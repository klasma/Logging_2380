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46034</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46034</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46034</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2237-2022</t>
        </is>
      </c>
      <c r="B14" s="1" t="n">
        <v>44578</v>
      </c>
      <c r="C14" s="1" t="n">
        <v>46034</v>
      </c>
      <c r="D14" t="inlineStr">
        <is>
          <t>JÄMTLANDS LÄN</t>
        </is>
      </c>
      <c r="E14" t="inlineStr">
        <is>
          <t>ÖSTERSUND</t>
        </is>
      </c>
      <c r="G14" t="n">
        <v>13.5</v>
      </c>
      <c r="H14" t="n">
        <v>6</v>
      </c>
      <c r="I14" t="n">
        <v>7</v>
      </c>
      <c r="J14" t="n">
        <v>7</v>
      </c>
      <c r="K14" t="n">
        <v>2</v>
      </c>
      <c r="L14" t="n">
        <v>0</v>
      </c>
      <c r="M14" t="n">
        <v>0</v>
      </c>
      <c r="N14" t="n">
        <v>0</v>
      </c>
      <c r="O14" t="n">
        <v>9</v>
      </c>
      <c r="P14" t="n">
        <v>2</v>
      </c>
      <c r="Q14" t="n">
        <v>17</v>
      </c>
      <c r="R14" s="2" t="inlineStr">
        <is>
          <t>Bitter taggsvamp
Doftticka
Garnlav
Granticka
Lunglav
Orange taggsvamp
Rödvingetrast
Skrovellav
Ullticka
Bårdlav
Fjällig taggsvamp s.str.
Luddlav
Plattlummer
Spindelblomster
Stuplav
Tvåblad
Kungsfågel</t>
        </is>
      </c>
      <c r="S14">
        <f>HYPERLINK("https://klasma.github.io/Logging_2380/artfynd/A 2237-2022 artfynd.xlsx", "A 2237-2022")</f>
        <v/>
      </c>
      <c r="T14">
        <f>HYPERLINK("https://klasma.github.io/Logging_2380/kartor/A 2237-2022 karta.png", "A 2237-2022")</f>
        <v/>
      </c>
      <c r="V14">
        <f>HYPERLINK("https://klasma.github.io/Logging_2380/klagomål/A 2237-2022 FSC-klagomål.docx", "A 2237-2022")</f>
        <v/>
      </c>
      <c r="W14">
        <f>HYPERLINK("https://klasma.github.io/Logging_2380/klagomålsmail/A 2237-2022 FSC-klagomål mail.docx", "A 2237-2022")</f>
        <v/>
      </c>
      <c r="X14">
        <f>HYPERLINK("https://klasma.github.io/Logging_2380/tillsyn/A 2237-2022 tillsynsbegäran.docx", "A 2237-2022")</f>
        <v/>
      </c>
      <c r="Y14">
        <f>HYPERLINK("https://klasma.github.io/Logging_2380/tillsynsmail/A 2237-2022 tillsynsbegäran mail.docx", "A 2237-2022")</f>
        <v/>
      </c>
      <c r="Z14">
        <f>HYPERLINK("https://klasma.github.io/Logging_2380/fåglar/A 2237-2022 prioriterade fågelarter.docx", "A 2237-2022")</f>
        <v/>
      </c>
    </row>
    <row r="15" ht="15" customHeight="1">
      <c r="A15" t="inlineStr">
        <is>
          <t>A 15382-2025</t>
        </is>
      </c>
      <c r="B15" s="1" t="n">
        <v>45747</v>
      </c>
      <c r="C15" s="1" t="n">
        <v>46034</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46034</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46034</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46034</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46034</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46034</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54517-2025</t>
        </is>
      </c>
      <c r="B21" s="1" t="n">
        <v>45965</v>
      </c>
      <c r="C21" s="1" t="n">
        <v>46034</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56557-2025</t>
        </is>
      </c>
      <c r="B22" s="1" t="n">
        <v>45975.49049768518</v>
      </c>
      <c r="C22" s="1" t="n">
        <v>46034</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56899-2025</t>
        </is>
      </c>
      <c r="B23" s="1" t="n">
        <v>45978.57238425926</v>
      </c>
      <c r="C23" s="1" t="n">
        <v>46034</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47128-2025</t>
        </is>
      </c>
      <c r="B24" s="1" t="n">
        <v>45929</v>
      </c>
      <c r="C24" s="1" t="n">
        <v>46034</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39541-2025</t>
        </is>
      </c>
      <c r="B25" s="1" t="n">
        <v>45890.45399305555</v>
      </c>
      <c r="C25" s="1" t="n">
        <v>46034</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46034</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55314-2024</t>
        </is>
      </c>
      <c r="B27" s="1" t="n">
        <v>45621</v>
      </c>
      <c r="C27" s="1" t="n">
        <v>46034</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48959-2025</t>
        </is>
      </c>
      <c r="B28" s="1" t="n">
        <v>45937.55055555556</v>
      </c>
      <c r="C28" s="1" t="n">
        <v>46034</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48030-2025</t>
        </is>
      </c>
      <c r="B29" s="1" t="n">
        <v>45932.65210648148</v>
      </c>
      <c r="C29" s="1" t="n">
        <v>46034</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7457-2023</t>
        </is>
      </c>
      <c r="B30" s="1" t="n">
        <v>44971</v>
      </c>
      <c r="C30" s="1" t="n">
        <v>46034</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46034</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46034</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46034</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46034</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46034</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27907-2024</t>
        </is>
      </c>
      <c r="B36" s="1" t="n">
        <v>45475.94597222222</v>
      </c>
      <c r="C36" s="1" t="n">
        <v>46034</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46034</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46034</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21753-2023</t>
        </is>
      </c>
      <c r="B39" s="1" t="n">
        <v>45063</v>
      </c>
      <c r="C39" s="1" t="n">
        <v>46034</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56648-2025</t>
        </is>
      </c>
      <c r="B40" s="1" t="n">
        <v>45975.63604166666</v>
      </c>
      <c r="C40" s="1" t="n">
        <v>46034</v>
      </c>
      <c r="D40" t="inlineStr">
        <is>
          <t>JÄMTLANDS LÄN</t>
        </is>
      </c>
      <c r="E40" t="inlineStr">
        <is>
          <t>ÖSTERSUND</t>
        </is>
      </c>
      <c r="G40" t="n">
        <v>4.3</v>
      </c>
      <c r="H40" t="n">
        <v>4</v>
      </c>
      <c r="I40" t="n">
        <v>1</v>
      </c>
      <c r="J40" t="n">
        <v>6</v>
      </c>
      <c r="K40" t="n">
        <v>0</v>
      </c>
      <c r="L40" t="n">
        <v>0</v>
      </c>
      <c r="M40" t="n">
        <v>0</v>
      </c>
      <c r="N40" t="n">
        <v>0</v>
      </c>
      <c r="O40" t="n">
        <v>6</v>
      </c>
      <c r="P40" t="n">
        <v>0</v>
      </c>
      <c r="Q40" t="n">
        <v>8</v>
      </c>
      <c r="R40" s="2" t="inlineStr">
        <is>
          <t>Garnlav
Granticka
Spillkråka
Talltita
Tretåig hackspett
Ullticka
Stuplav
Revlummer</t>
        </is>
      </c>
      <c r="S40">
        <f>HYPERLINK("https://klasma.github.io/Logging_2380/artfynd/A 56648-2025 artfynd.xlsx", "A 56648-2025")</f>
        <v/>
      </c>
      <c r="T40">
        <f>HYPERLINK("https://klasma.github.io/Logging_2380/kartor/A 56648-2025 karta.png", "A 56648-2025")</f>
        <v/>
      </c>
      <c r="V40">
        <f>HYPERLINK("https://klasma.github.io/Logging_2380/klagomål/A 56648-2025 FSC-klagomål.docx", "A 56648-2025")</f>
        <v/>
      </c>
      <c r="W40">
        <f>HYPERLINK("https://klasma.github.io/Logging_2380/klagomålsmail/A 56648-2025 FSC-klagomål mail.docx", "A 56648-2025")</f>
        <v/>
      </c>
      <c r="X40">
        <f>HYPERLINK("https://klasma.github.io/Logging_2380/tillsyn/A 56648-2025 tillsynsbegäran.docx", "A 56648-2025")</f>
        <v/>
      </c>
      <c r="Y40">
        <f>HYPERLINK("https://klasma.github.io/Logging_2380/tillsynsmail/A 56648-2025 tillsynsbegäran mail.docx", "A 56648-2025")</f>
        <v/>
      </c>
      <c r="Z40">
        <f>HYPERLINK("https://klasma.github.io/Logging_2380/fåglar/A 56648-2025 prioriterade fågelarter.docx", "A 56648-2025")</f>
        <v/>
      </c>
    </row>
    <row r="41" ht="15" customHeight="1">
      <c r="A41" t="inlineStr">
        <is>
          <t>A 17716-2024</t>
        </is>
      </c>
      <c r="B41" s="1" t="n">
        <v>45415</v>
      </c>
      <c r="C41" s="1" t="n">
        <v>46034</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55039-2025</t>
        </is>
      </c>
      <c r="B42" s="1" t="n">
        <v>45967.65594907408</v>
      </c>
      <c r="C42" s="1" t="n">
        <v>46034</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10744-2024</t>
        </is>
      </c>
      <c r="B43" s="1" t="n">
        <v>45369</v>
      </c>
      <c r="C43" s="1" t="n">
        <v>46034</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46034</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46034</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46034</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46034</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46034</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39586-2025</t>
        </is>
      </c>
      <c r="B49" s="1" t="n">
        <v>45890</v>
      </c>
      <c r="C49" s="1" t="n">
        <v>46034</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26372-2025</t>
        </is>
      </c>
      <c r="B50" s="1" t="n">
        <v>45806</v>
      </c>
      <c r="C50" s="1" t="n">
        <v>46034</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44741-2025</t>
        </is>
      </c>
      <c r="B51" s="1" t="n">
        <v>45917.66619212963</v>
      </c>
      <c r="C51" s="1" t="n">
        <v>46034</v>
      </c>
      <c r="D51" t="inlineStr">
        <is>
          <t>JÄMTLANDS LÄN</t>
        </is>
      </c>
      <c r="E51" t="inlineStr">
        <is>
          <t>ÖSTERSUND</t>
        </is>
      </c>
      <c r="G51" t="n">
        <v>14.4</v>
      </c>
      <c r="H51" t="n">
        <v>3</v>
      </c>
      <c r="I51" t="n">
        <v>2</v>
      </c>
      <c r="J51" t="n">
        <v>3</v>
      </c>
      <c r="K51" t="n">
        <v>1</v>
      </c>
      <c r="L51" t="n">
        <v>0</v>
      </c>
      <c r="M51" t="n">
        <v>0</v>
      </c>
      <c r="N51" t="n">
        <v>0</v>
      </c>
      <c r="O51" t="n">
        <v>4</v>
      </c>
      <c r="P51" t="n">
        <v>1</v>
      </c>
      <c r="Q51" t="n">
        <v>7</v>
      </c>
      <c r="R51" s="2" t="inlineStr">
        <is>
          <t>Knärot
Garnlav
Talltita
Ullticka
Kransrams
Svavelriska
Revlummer</t>
        </is>
      </c>
      <c r="S51">
        <f>HYPERLINK("https://klasma.github.io/Logging_2380/artfynd/A 44741-2025 artfynd.xlsx", "A 44741-2025")</f>
        <v/>
      </c>
      <c r="T51">
        <f>HYPERLINK("https://klasma.github.io/Logging_2380/kartor/A 44741-2025 karta.png", "A 44741-2025")</f>
        <v/>
      </c>
      <c r="U51">
        <f>HYPERLINK("https://klasma.github.io/Logging_2380/knärot/A 44741-2025 karta knärot.png", "A 44741-2025")</f>
        <v/>
      </c>
      <c r="V51">
        <f>HYPERLINK("https://klasma.github.io/Logging_2380/klagomål/A 44741-2025 FSC-klagomål.docx", "A 44741-2025")</f>
        <v/>
      </c>
      <c r="W51">
        <f>HYPERLINK("https://klasma.github.io/Logging_2380/klagomålsmail/A 44741-2025 FSC-klagomål mail.docx", "A 44741-2025")</f>
        <v/>
      </c>
      <c r="X51">
        <f>HYPERLINK("https://klasma.github.io/Logging_2380/tillsyn/A 44741-2025 tillsynsbegäran.docx", "A 44741-2025")</f>
        <v/>
      </c>
      <c r="Y51">
        <f>HYPERLINK("https://klasma.github.io/Logging_2380/tillsynsmail/A 44741-2025 tillsynsbegäran mail.docx", "A 44741-2025")</f>
        <v/>
      </c>
      <c r="Z51">
        <f>HYPERLINK("https://klasma.github.io/Logging_2380/fåglar/A 44741-2025 prioriterade fågelarter.docx", "A 44741-2025")</f>
        <v/>
      </c>
    </row>
    <row r="52" ht="15" customHeight="1">
      <c r="A52" t="inlineStr">
        <is>
          <t>A 50529-2025</t>
        </is>
      </c>
      <c r="B52" s="1" t="n">
        <v>45945.47331018518</v>
      </c>
      <c r="C52" s="1" t="n">
        <v>46034</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57729-2025</t>
        </is>
      </c>
      <c r="B53" s="1" t="n">
        <v>45981.50630787037</v>
      </c>
      <c r="C53" s="1" t="n">
        <v>46034</v>
      </c>
      <c r="D53" t="inlineStr">
        <is>
          <t>JÄMTLANDS LÄN</t>
        </is>
      </c>
      <c r="E53" t="inlineStr">
        <is>
          <t>ÖSTERSUND</t>
        </is>
      </c>
      <c r="G53" t="n">
        <v>5.2</v>
      </c>
      <c r="H53" t="n">
        <v>3</v>
      </c>
      <c r="I53" t="n">
        <v>2</v>
      </c>
      <c r="J53" t="n">
        <v>4</v>
      </c>
      <c r="K53" t="n">
        <v>0</v>
      </c>
      <c r="L53" t="n">
        <v>0</v>
      </c>
      <c r="M53" t="n">
        <v>0</v>
      </c>
      <c r="N53" t="n">
        <v>0</v>
      </c>
      <c r="O53" t="n">
        <v>4</v>
      </c>
      <c r="P53" t="n">
        <v>0</v>
      </c>
      <c r="Q53" t="n">
        <v>7</v>
      </c>
      <c r="R53" s="2" t="inlineStr">
        <is>
          <t>Granticka
Kråka
Talltita
Ullticka
Stuplav
Vedticka
Revlummer</t>
        </is>
      </c>
      <c r="S53">
        <f>HYPERLINK("https://klasma.github.io/Logging_2380/artfynd/A 57729-2025 artfynd.xlsx", "A 57729-2025")</f>
        <v/>
      </c>
      <c r="T53">
        <f>HYPERLINK("https://klasma.github.io/Logging_2380/kartor/A 57729-2025 karta.png", "A 57729-2025")</f>
        <v/>
      </c>
      <c r="V53">
        <f>HYPERLINK("https://klasma.github.io/Logging_2380/klagomål/A 57729-2025 FSC-klagomål.docx", "A 57729-2025")</f>
        <v/>
      </c>
      <c r="W53">
        <f>HYPERLINK("https://klasma.github.io/Logging_2380/klagomålsmail/A 57729-2025 FSC-klagomål mail.docx", "A 57729-2025")</f>
        <v/>
      </c>
      <c r="X53">
        <f>HYPERLINK("https://klasma.github.io/Logging_2380/tillsyn/A 57729-2025 tillsynsbegäran.docx", "A 57729-2025")</f>
        <v/>
      </c>
      <c r="Y53">
        <f>HYPERLINK("https://klasma.github.io/Logging_2380/tillsynsmail/A 57729-2025 tillsynsbegäran mail.docx", "A 57729-2025")</f>
        <v/>
      </c>
      <c r="Z53">
        <f>HYPERLINK("https://klasma.github.io/Logging_2380/fåglar/A 57729-2025 prioriterade fågelarter.docx", "A 57729-2025")</f>
        <v/>
      </c>
    </row>
    <row r="54" ht="15" customHeight="1">
      <c r="A54" t="inlineStr">
        <is>
          <t>A 48736-2025</t>
        </is>
      </c>
      <c r="B54" s="1" t="n">
        <v>45936.66547453704</v>
      </c>
      <c r="C54" s="1" t="n">
        <v>46034</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52297-2025</t>
        </is>
      </c>
      <c r="B55" s="1" t="n">
        <v>45953.61092592592</v>
      </c>
      <c r="C55" s="1" t="n">
        <v>46034</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16369-2023</t>
        </is>
      </c>
      <c r="B56" s="1" t="n">
        <v>45028</v>
      </c>
      <c r="C56" s="1" t="n">
        <v>46034</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46034</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46034</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46034</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46034</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46034</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46034</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61212-2025</t>
        </is>
      </c>
      <c r="B63" s="1" t="n">
        <v>46000.61640046296</v>
      </c>
      <c r="C63" s="1" t="n">
        <v>46034</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24523-2021</t>
        </is>
      </c>
      <c r="B64" s="1" t="n">
        <v>44337</v>
      </c>
      <c r="C64" s="1" t="n">
        <v>46034</v>
      </c>
      <c r="D64" t="inlineStr">
        <is>
          <t>JÄMTLANDS LÄN</t>
        </is>
      </c>
      <c r="E64" t="inlineStr">
        <is>
          <t>ÖSTERSUND</t>
        </is>
      </c>
      <c r="G64" t="n">
        <v>9.300000000000001</v>
      </c>
      <c r="H64" t="n">
        <v>2</v>
      </c>
      <c r="I64" t="n">
        <v>3</v>
      </c>
      <c r="J64" t="n">
        <v>2</v>
      </c>
      <c r="K64" t="n">
        <v>0</v>
      </c>
      <c r="L64" t="n">
        <v>0</v>
      </c>
      <c r="M64" t="n">
        <v>0</v>
      </c>
      <c r="N64" t="n">
        <v>0</v>
      </c>
      <c r="O64" t="n">
        <v>2</v>
      </c>
      <c r="P64" t="n">
        <v>0</v>
      </c>
      <c r="Q64" t="n">
        <v>6</v>
      </c>
      <c r="R64" s="2" t="inlineStr">
        <is>
          <t>Garnlav
Spillkråka
Svart trolldruva
Tibast
Underviol
Blåsippa</t>
        </is>
      </c>
      <c r="S64">
        <f>HYPERLINK("https://klasma.github.io/Logging_2380/artfynd/A 24523-2021 artfynd.xlsx", "A 24523-2021")</f>
        <v/>
      </c>
      <c r="T64">
        <f>HYPERLINK("https://klasma.github.io/Logging_2380/kartor/A 24523-2021 karta.png", "A 24523-2021")</f>
        <v/>
      </c>
      <c r="V64">
        <f>HYPERLINK("https://klasma.github.io/Logging_2380/klagomål/A 24523-2021 FSC-klagomål.docx", "A 24523-2021")</f>
        <v/>
      </c>
      <c r="W64">
        <f>HYPERLINK("https://klasma.github.io/Logging_2380/klagomålsmail/A 24523-2021 FSC-klagomål mail.docx", "A 24523-2021")</f>
        <v/>
      </c>
      <c r="X64">
        <f>HYPERLINK("https://klasma.github.io/Logging_2380/tillsyn/A 24523-2021 tillsynsbegäran.docx", "A 24523-2021")</f>
        <v/>
      </c>
      <c r="Y64">
        <f>HYPERLINK("https://klasma.github.io/Logging_2380/tillsynsmail/A 24523-2021 tillsynsbegäran mail.docx", "A 24523-2021")</f>
        <v/>
      </c>
      <c r="Z64">
        <f>HYPERLINK("https://klasma.github.io/Logging_2380/fåglar/A 24523-2021 prioriterade fågelarter.docx", "A 24523-2021")</f>
        <v/>
      </c>
    </row>
    <row r="65" ht="15" customHeight="1">
      <c r="A65" t="inlineStr">
        <is>
          <t>A 3995-2025</t>
        </is>
      </c>
      <c r="B65" s="1" t="n">
        <v>45684</v>
      </c>
      <c r="C65" s="1" t="n">
        <v>46034</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46034</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46034</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46034</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46034</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46034</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46034</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62060-2025</t>
        </is>
      </c>
      <c r="B72" s="1" t="n">
        <v>46006.34435185185</v>
      </c>
      <c r="C72" s="1" t="n">
        <v>46034</v>
      </c>
      <c r="D72" t="inlineStr">
        <is>
          <t>JÄMTLANDS LÄN</t>
        </is>
      </c>
      <c r="E72" t="inlineStr">
        <is>
          <t>ÖSTERSUND</t>
        </is>
      </c>
      <c r="F72" t="inlineStr">
        <is>
          <t>SCA</t>
        </is>
      </c>
      <c r="G72" t="n">
        <v>6</v>
      </c>
      <c r="H72" t="n">
        <v>1</v>
      </c>
      <c r="I72" t="n">
        <v>3</v>
      </c>
      <c r="J72" t="n">
        <v>2</v>
      </c>
      <c r="K72" t="n">
        <v>0</v>
      </c>
      <c r="L72" t="n">
        <v>0</v>
      </c>
      <c r="M72" t="n">
        <v>0</v>
      </c>
      <c r="N72" t="n">
        <v>0</v>
      </c>
      <c r="O72" t="n">
        <v>2</v>
      </c>
      <c r="P72" t="n">
        <v>0</v>
      </c>
      <c r="Q72" t="n">
        <v>5</v>
      </c>
      <c r="R72" s="2" t="inlineStr">
        <is>
          <t>Skrovlig taggsvamp
Tretåig hackspett
Dropptaggsvamp
Fjällig taggsvamp s.str.
Skarp dropptaggsvamp</t>
        </is>
      </c>
      <c r="S72">
        <f>HYPERLINK("https://klasma.github.io/Logging_2380/artfynd/A 62060-2025 artfynd.xlsx", "A 62060-2025")</f>
        <v/>
      </c>
      <c r="T72">
        <f>HYPERLINK("https://klasma.github.io/Logging_2380/kartor/A 62060-2025 karta.png", "A 62060-2025")</f>
        <v/>
      </c>
      <c r="V72">
        <f>HYPERLINK("https://klasma.github.io/Logging_2380/klagomål/A 62060-2025 FSC-klagomål.docx", "A 62060-2025")</f>
        <v/>
      </c>
      <c r="W72">
        <f>HYPERLINK("https://klasma.github.io/Logging_2380/klagomålsmail/A 62060-2025 FSC-klagomål mail.docx", "A 62060-2025")</f>
        <v/>
      </c>
      <c r="X72">
        <f>HYPERLINK("https://klasma.github.io/Logging_2380/tillsyn/A 62060-2025 tillsynsbegäran.docx", "A 62060-2025")</f>
        <v/>
      </c>
      <c r="Y72">
        <f>HYPERLINK("https://klasma.github.io/Logging_2380/tillsynsmail/A 62060-2025 tillsynsbegäran mail.docx", "A 62060-2025")</f>
        <v/>
      </c>
      <c r="Z72">
        <f>HYPERLINK("https://klasma.github.io/Logging_2380/fåglar/A 62060-2025 prioriterade fågelarter.docx", "A 62060-2025")</f>
        <v/>
      </c>
    </row>
    <row r="73" ht="15" customHeight="1">
      <c r="A73" t="inlineStr">
        <is>
          <t>A 56499-2025</t>
        </is>
      </c>
      <c r="B73" s="1" t="n">
        <v>45975.43427083334</v>
      </c>
      <c r="C73" s="1" t="n">
        <v>46034</v>
      </c>
      <c r="D73" t="inlineStr">
        <is>
          <t>JÄMTLANDS LÄN</t>
        </is>
      </c>
      <c r="E73" t="inlineStr">
        <is>
          <t>ÖSTERSUND</t>
        </is>
      </c>
      <c r="G73" t="n">
        <v>7.4</v>
      </c>
      <c r="H73" t="n">
        <v>2</v>
      </c>
      <c r="I73" t="n">
        <v>1</v>
      </c>
      <c r="J73" t="n">
        <v>3</v>
      </c>
      <c r="K73" t="n">
        <v>0</v>
      </c>
      <c r="L73" t="n">
        <v>0</v>
      </c>
      <c r="M73" t="n">
        <v>0</v>
      </c>
      <c r="N73" t="n">
        <v>0</v>
      </c>
      <c r="O73" t="n">
        <v>3</v>
      </c>
      <c r="P73" t="n">
        <v>0</v>
      </c>
      <c r="Q73" t="n">
        <v>5</v>
      </c>
      <c r="R73" s="2" t="inlineStr">
        <is>
          <t>Garnlav
Lunglav
Tretåig hackspett
Luddlav
Revlummer</t>
        </is>
      </c>
      <c r="S73">
        <f>HYPERLINK("https://klasma.github.io/Logging_2380/artfynd/A 56499-2025 artfynd.xlsx", "A 56499-2025")</f>
        <v/>
      </c>
      <c r="T73">
        <f>HYPERLINK("https://klasma.github.io/Logging_2380/kartor/A 56499-2025 karta.png", "A 56499-2025")</f>
        <v/>
      </c>
      <c r="V73">
        <f>HYPERLINK("https://klasma.github.io/Logging_2380/klagomål/A 56499-2025 FSC-klagomål.docx", "A 56499-2025")</f>
        <v/>
      </c>
      <c r="W73">
        <f>HYPERLINK("https://klasma.github.io/Logging_2380/klagomålsmail/A 56499-2025 FSC-klagomål mail.docx", "A 56499-2025")</f>
        <v/>
      </c>
      <c r="X73">
        <f>HYPERLINK("https://klasma.github.io/Logging_2380/tillsyn/A 56499-2025 tillsynsbegäran.docx", "A 56499-2025")</f>
        <v/>
      </c>
      <c r="Y73">
        <f>HYPERLINK("https://klasma.github.io/Logging_2380/tillsynsmail/A 56499-2025 tillsynsbegäran mail.docx", "A 56499-2025")</f>
        <v/>
      </c>
      <c r="Z73">
        <f>HYPERLINK("https://klasma.github.io/Logging_2380/fåglar/A 56499-2025 prioriterade fågelarter.docx", "A 56499-2025")</f>
        <v/>
      </c>
    </row>
    <row r="74" ht="15" customHeight="1">
      <c r="A74" t="inlineStr">
        <is>
          <t>A 56934-2025</t>
        </is>
      </c>
      <c r="B74" s="1" t="n">
        <v>45978.61351851852</v>
      </c>
      <c r="C74" s="1" t="n">
        <v>46034</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54731-2024</t>
        </is>
      </c>
      <c r="B75" s="1" t="n">
        <v>45618.43853009259</v>
      </c>
      <c r="C75" s="1" t="n">
        <v>46034</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58372-2025</t>
        </is>
      </c>
      <c r="B76" s="1" t="n">
        <v>45985.53155092592</v>
      </c>
      <c r="C76" s="1" t="n">
        <v>46034</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7717-2024</t>
        </is>
      </c>
      <c r="B77" s="1" t="n">
        <v>45349</v>
      </c>
      <c r="C77" s="1" t="n">
        <v>46034</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10747-2024</t>
        </is>
      </c>
      <c r="B78" s="1" t="n">
        <v>45369</v>
      </c>
      <c r="C78" s="1" t="n">
        <v>46034</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38334-2023</t>
        </is>
      </c>
      <c r="B79" s="1" t="n">
        <v>45161</v>
      </c>
      <c r="C79" s="1" t="n">
        <v>46034</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45979-2023</t>
        </is>
      </c>
      <c r="B80" s="1" t="n">
        <v>45189</v>
      </c>
      <c r="C80" s="1" t="n">
        <v>46034</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39941-2024</t>
        </is>
      </c>
      <c r="B81" s="1" t="n">
        <v>45553</v>
      </c>
      <c r="C81" s="1" t="n">
        <v>46034</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55344-2023</t>
        </is>
      </c>
      <c r="B82" s="1" t="n">
        <v>45237</v>
      </c>
      <c r="C82" s="1" t="n">
        <v>46034</v>
      </c>
      <c r="D82" t="inlineStr">
        <is>
          <t>JÄMTLANDS LÄN</t>
        </is>
      </c>
      <c r="E82" t="inlineStr">
        <is>
          <t>ÖSTERSUND</t>
        </is>
      </c>
      <c r="F82" t="inlineStr">
        <is>
          <t>SCA</t>
        </is>
      </c>
      <c r="G82" t="n">
        <v>1.5</v>
      </c>
      <c r="H82" t="n">
        <v>1</v>
      </c>
      <c r="I82" t="n">
        <v>1</v>
      </c>
      <c r="J82" t="n">
        <v>2</v>
      </c>
      <c r="K82" t="n">
        <v>1</v>
      </c>
      <c r="L82" t="n">
        <v>0</v>
      </c>
      <c r="M82" t="n">
        <v>0</v>
      </c>
      <c r="N82" t="n">
        <v>0</v>
      </c>
      <c r="O82" t="n">
        <v>3</v>
      </c>
      <c r="P82" t="n">
        <v>1</v>
      </c>
      <c r="Q82" t="n">
        <v>4</v>
      </c>
      <c r="R82" s="2" t="inlineStr">
        <is>
          <t>Lappuggla
Garnlav
Lunglav
Stuplav</t>
        </is>
      </c>
      <c r="S82">
        <f>HYPERLINK("https://klasma.github.io/Logging_2380/artfynd/A 55344-2023 artfynd.xlsx", "A 55344-2023")</f>
        <v/>
      </c>
      <c r="T82">
        <f>HYPERLINK("https://klasma.github.io/Logging_2380/kartor/A 55344-2023 karta.png", "A 55344-2023")</f>
        <v/>
      </c>
      <c r="V82">
        <f>HYPERLINK("https://klasma.github.io/Logging_2380/klagomål/A 55344-2023 FSC-klagomål.docx", "A 55344-2023")</f>
        <v/>
      </c>
      <c r="W82">
        <f>HYPERLINK("https://klasma.github.io/Logging_2380/klagomålsmail/A 55344-2023 FSC-klagomål mail.docx", "A 55344-2023")</f>
        <v/>
      </c>
      <c r="X82">
        <f>HYPERLINK("https://klasma.github.io/Logging_2380/tillsyn/A 55344-2023 tillsynsbegäran.docx", "A 55344-2023")</f>
        <v/>
      </c>
      <c r="Y82">
        <f>HYPERLINK("https://klasma.github.io/Logging_2380/tillsynsmail/A 55344-2023 tillsynsbegäran mail.docx", "A 55344-2023")</f>
        <v/>
      </c>
      <c r="Z82">
        <f>HYPERLINK("https://klasma.github.io/Logging_2380/fåglar/A 55344-2023 prioriterade fågelarter.docx", "A 55344-2023")</f>
        <v/>
      </c>
    </row>
    <row r="83" ht="15" customHeight="1">
      <c r="A83" t="inlineStr">
        <is>
          <t>A 7698-2024</t>
        </is>
      </c>
      <c r="B83" s="1" t="n">
        <v>45349</v>
      </c>
      <c r="C83" s="1" t="n">
        <v>46034</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25369-2024</t>
        </is>
      </c>
      <c r="B84" s="1" t="n">
        <v>45462.95982638889</v>
      </c>
      <c r="C84" s="1" t="n">
        <v>46034</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41493-2025</t>
        </is>
      </c>
      <c r="B85" s="1" t="n">
        <v>45901.49171296296</v>
      </c>
      <c r="C85" s="1" t="n">
        <v>46034</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46034</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46034</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46034</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55258-2025</t>
        </is>
      </c>
      <c r="B89" s="1" t="n">
        <v>45968.6444212963</v>
      </c>
      <c r="C89" s="1" t="n">
        <v>46034</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56539-2025</t>
        </is>
      </c>
      <c r="B90" s="1" t="n">
        <v>45975.47357638889</v>
      </c>
      <c r="C90" s="1" t="n">
        <v>46034</v>
      </c>
      <c r="D90" t="inlineStr">
        <is>
          <t>JÄMTLANDS LÄN</t>
        </is>
      </c>
      <c r="E90" t="inlineStr">
        <is>
          <t>ÖSTERSUND</t>
        </is>
      </c>
      <c r="G90" t="n">
        <v>7.5</v>
      </c>
      <c r="H90" t="n">
        <v>1</v>
      </c>
      <c r="I90" t="n">
        <v>0</v>
      </c>
      <c r="J90" t="n">
        <v>4</v>
      </c>
      <c r="K90" t="n">
        <v>0</v>
      </c>
      <c r="L90" t="n">
        <v>0</v>
      </c>
      <c r="M90" t="n">
        <v>0</v>
      </c>
      <c r="N90" t="n">
        <v>0</v>
      </c>
      <c r="O90" t="n">
        <v>4</v>
      </c>
      <c r="P90" t="n">
        <v>0</v>
      </c>
      <c r="Q90" t="n">
        <v>4</v>
      </c>
      <c r="R90" s="2" t="inlineStr">
        <is>
          <t>Garnlav
Granticka
Tretåig hackspett
Vitgrynig nållav</t>
        </is>
      </c>
      <c r="S90">
        <f>HYPERLINK("https://klasma.github.io/Logging_2380/artfynd/A 56539-2025 artfynd.xlsx", "A 56539-2025")</f>
        <v/>
      </c>
      <c r="T90">
        <f>HYPERLINK("https://klasma.github.io/Logging_2380/kartor/A 56539-2025 karta.png", "A 56539-2025")</f>
        <v/>
      </c>
      <c r="V90">
        <f>HYPERLINK("https://klasma.github.io/Logging_2380/klagomål/A 56539-2025 FSC-klagomål.docx", "A 56539-2025")</f>
        <v/>
      </c>
      <c r="W90">
        <f>HYPERLINK("https://klasma.github.io/Logging_2380/klagomålsmail/A 56539-2025 FSC-klagomål mail.docx", "A 56539-2025")</f>
        <v/>
      </c>
      <c r="X90">
        <f>HYPERLINK("https://klasma.github.io/Logging_2380/tillsyn/A 56539-2025 tillsynsbegäran.docx", "A 56539-2025")</f>
        <v/>
      </c>
      <c r="Y90">
        <f>HYPERLINK("https://klasma.github.io/Logging_2380/tillsynsmail/A 56539-2025 tillsynsbegäran mail.docx", "A 56539-2025")</f>
        <v/>
      </c>
      <c r="Z90">
        <f>HYPERLINK("https://klasma.github.io/Logging_2380/fåglar/A 56539-2025 prioriterade fågelarter.docx", "A 56539-2025")</f>
        <v/>
      </c>
    </row>
    <row r="91" ht="15" customHeight="1">
      <c r="A91" t="inlineStr">
        <is>
          <t>A 57711-2025</t>
        </is>
      </c>
      <c r="B91" s="1" t="n">
        <v>45981.47217592593</v>
      </c>
      <c r="C91" s="1" t="n">
        <v>46034</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59291-2022</t>
        </is>
      </c>
      <c r="B92" s="1" t="n">
        <v>44904</v>
      </c>
      <c r="C92" s="1" t="n">
        <v>46034</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60580-2024</t>
        </is>
      </c>
      <c r="B93" s="1" t="n">
        <v>45644</v>
      </c>
      <c r="C93" s="1" t="n">
        <v>46034</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46034</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38335-2023</t>
        </is>
      </c>
      <c r="B95" s="1" t="n">
        <v>45161</v>
      </c>
      <c r="C95" s="1" t="n">
        <v>46034</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54421-2021</t>
        </is>
      </c>
      <c r="B96" s="1" t="n">
        <v>44473.43114583333</v>
      </c>
      <c r="C96" s="1" t="n">
        <v>46034</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50895-2024</t>
        </is>
      </c>
      <c r="B97" s="1" t="n">
        <v>45602</v>
      </c>
      <c r="C97" s="1" t="n">
        <v>46034</v>
      </c>
      <c r="D97" t="inlineStr">
        <is>
          <t>JÄMTLANDS LÄN</t>
        </is>
      </c>
      <c r="E97" t="inlineStr">
        <is>
          <t>ÖSTERSUND</t>
        </is>
      </c>
      <c r="F97" t="inlineStr">
        <is>
          <t>Kommuner</t>
        </is>
      </c>
      <c r="G97" t="n">
        <v>6</v>
      </c>
      <c r="H97" t="n">
        <v>2</v>
      </c>
      <c r="I97" t="n">
        <v>0</v>
      </c>
      <c r="J97" t="n">
        <v>2</v>
      </c>
      <c r="K97" t="n">
        <v>1</v>
      </c>
      <c r="L97" t="n">
        <v>0</v>
      </c>
      <c r="M97" t="n">
        <v>0</v>
      </c>
      <c r="N97" t="n">
        <v>0</v>
      </c>
      <c r="O97" t="n">
        <v>3</v>
      </c>
      <c r="P97" t="n">
        <v>1</v>
      </c>
      <c r="Q97" t="n">
        <v>3</v>
      </c>
      <c r="R97" s="2" t="inlineStr">
        <is>
          <t>Knärot
Garnlav
Tretåig hackspett</t>
        </is>
      </c>
      <c r="S97">
        <f>HYPERLINK("https://klasma.github.io/Logging_2380/artfynd/A 50895-2024 artfynd.xlsx", "A 50895-2024")</f>
        <v/>
      </c>
      <c r="T97">
        <f>HYPERLINK("https://klasma.github.io/Logging_2380/kartor/A 50895-2024 karta.png", "A 50895-2024")</f>
        <v/>
      </c>
      <c r="U97">
        <f>HYPERLINK("https://klasma.github.io/Logging_2380/knärot/A 50895-2024 karta knärot.png", "A 50895-2024")</f>
        <v/>
      </c>
      <c r="V97">
        <f>HYPERLINK("https://klasma.github.io/Logging_2380/klagomål/A 50895-2024 FSC-klagomål.docx", "A 50895-2024")</f>
        <v/>
      </c>
      <c r="W97">
        <f>HYPERLINK("https://klasma.github.io/Logging_2380/klagomålsmail/A 50895-2024 FSC-klagomål mail.docx", "A 50895-2024")</f>
        <v/>
      </c>
      <c r="X97">
        <f>HYPERLINK("https://klasma.github.io/Logging_2380/tillsyn/A 50895-2024 tillsynsbegäran.docx", "A 50895-2024")</f>
        <v/>
      </c>
      <c r="Y97">
        <f>HYPERLINK("https://klasma.github.io/Logging_2380/tillsynsmail/A 50895-2024 tillsynsbegäran mail.docx", "A 50895-2024")</f>
        <v/>
      </c>
      <c r="Z97">
        <f>HYPERLINK("https://klasma.github.io/Logging_2380/fåglar/A 50895-2024 prioriterade fågelarter.docx", "A 50895-2024")</f>
        <v/>
      </c>
    </row>
    <row r="98" ht="15" customHeight="1">
      <c r="A98" t="inlineStr">
        <is>
          <t>A 5100-2023</t>
        </is>
      </c>
      <c r="B98" s="1" t="n">
        <v>44956</v>
      </c>
      <c r="C98" s="1" t="n">
        <v>46034</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7965-2025</t>
        </is>
      </c>
      <c r="B99" s="1" t="n">
        <v>45707.45219907408</v>
      </c>
      <c r="C99" s="1" t="n">
        <v>46034</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43981-2023</t>
        </is>
      </c>
      <c r="B100" s="1" t="n">
        <v>45187</v>
      </c>
      <c r="C100" s="1" t="n">
        <v>46034</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19520-2023</t>
        </is>
      </c>
      <c r="B101" s="1" t="n">
        <v>45049</v>
      </c>
      <c r="C101" s="1" t="n">
        <v>46034</v>
      </c>
      <c r="D101" t="inlineStr">
        <is>
          <t>JÄMTLANDS LÄN</t>
        </is>
      </c>
      <c r="E101" t="inlineStr">
        <is>
          <t>ÖSTERSUND</t>
        </is>
      </c>
      <c r="G101" t="n">
        <v>2</v>
      </c>
      <c r="H101" t="n">
        <v>0</v>
      </c>
      <c r="I101" t="n">
        <v>2</v>
      </c>
      <c r="J101" t="n">
        <v>0</v>
      </c>
      <c r="K101" t="n">
        <v>0</v>
      </c>
      <c r="L101" t="n">
        <v>1</v>
      </c>
      <c r="M101" t="n">
        <v>0</v>
      </c>
      <c r="N101" t="n">
        <v>0</v>
      </c>
      <c r="O101" t="n">
        <v>1</v>
      </c>
      <c r="P101" t="n">
        <v>1</v>
      </c>
      <c r="Q101" t="n">
        <v>3</v>
      </c>
      <c r="R101" s="2" t="inlineStr">
        <is>
          <t>Trolldruvemätare
Svart trolldruva
Svavelriska</t>
        </is>
      </c>
      <c r="S101">
        <f>HYPERLINK("https://klasma.github.io/Logging_2380/artfynd/A 19520-2023 artfynd.xlsx", "A 19520-2023")</f>
        <v/>
      </c>
      <c r="T101">
        <f>HYPERLINK("https://klasma.github.io/Logging_2380/kartor/A 19520-2023 karta.png", "A 19520-2023")</f>
        <v/>
      </c>
      <c r="V101">
        <f>HYPERLINK("https://klasma.github.io/Logging_2380/klagomål/A 19520-2023 FSC-klagomål.docx", "A 19520-2023")</f>
        <v/>
      </c>
      <c r="W101">
        <f>HYPERLINK("https://klasma.github.io/Logging_2380/klagomålsmail/A 19520-2023 FSC-klagomål mail.docx", "A 19520-2023")</f>
        <v/>
      </c>
      <c r="X101">
        <f>HYPERLINK("https://klasma.github.io/Logging_2380/tillsyn/A 19520-2023 tillsynsbegäran.docx", "A 19520-2023")</f>
        <v/>
      </c>
      <c r="Y101">
        <f>HYPERLINK("https://klasma.github.io/Logging_2380/tillsynsmail/A 19520-2023 tillsynsbegäran mail.docx", "A 19520-2023")</f>
        <v/>
      </c>
    </row>
    <row r="102" ht="15" customHeight="1">
      <c r="A102" t="inlineStr">
        <is>
          <t>A 36742-2024</t>
        </is>
      </c>
      <c r="B102" s="1" t="n">
        <v>45538.33584490741</v>
      </c>
      <c r="C102" s="1" t="n">
        <v>46034</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3846-2024</t>
        </is>
      </c>
      <c r="B103" s="1" t="n">
        <v>45321</v>
      </c>
      <c r="C103" s="1" t="n">
        <v>46034</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36806-2025</t>
        </is>
      </c>
      <c r="B104" s="1" t="n">
        <v>45873.69988425926</v>
      </c>
      <c r="C104" s="1" t="n">
        <v>46034</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46034</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56647-2025</t>
        </is>
      </c>
      <c r="B106" s="1" t="n">
        <v>45975.63585648148</v>
      </c>
      <c r="C106" s="1" t="n">
        <v>46034</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46705-2023</t>
        </is>
      </c>
      <c r="B107" s="1" t="n">
        <v>45198</v>
      </c>
      <c r="C107" s="1" t="n">
        <v>46034</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46034</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46034</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46034</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13795-2025</t>
        </is>
      </c>
      <c r="B111" s="1" t="n">
        <v>45737</v>
      </c>
      <c r="C111" s="1" t="n">
        <v>46034</v>
      </c>
      <c r="D111" t="inlineStr">
        <is>
          <t>JÄMTLANDS LÄN</t>
        </is>
      </c>
      <c r="E111" t="inlineStr">
        <is>
          <t>ÖSTERSUND</t>
        </is>
      </c>
      <c r="G111" t="n">
        <v>13.4</v>
      </c>
      <c r="H111" t="n">
        <v>1</v>
      </c>
      <c r="I111" t="n">
        <v>0</v>
      </c>
      <c r="J111" t="n">
        <v>1</v>
      </c>
      <c r="K111" t="n">
        <v>1</v>
      </c>
      <c r="L111" t="n">
        <v>0</v>
      </c>
      <c r="M111" t="n">
        <v>0</v>
      </c>
      <c r="N111" t="n">
        <v>0</v>
      </c>
      <c r="O111" t="n">
        <v>2</v>
      </c>
      <c r="P111" t="n">
        <v>1</v>
      </c>
      <c r="Q111" t="n">
        <v>2</v>
      </c>
      <c r="R111" s="2" t="inlineStr">
        <is>
          <t>Knärot
Lunglav</t>
        </is>
      </c>
      <c r="S111">
        <f>HYPERLINK("https://klasma.github.io/Logging_2380/artfynd/A 13795-2025 artfynd.xlsx", "A 13795-2025")</f>
        <v/>
      </c>
      <c r="T111">
        <f>HYPERLINK("https://klasma.github.io/Logging_2380/kartor/A 13795-2025 karta.png", "A 13795-2025")</f>
        <v/>
      </c>
      <c r="U111">
        <f>HYPERLINK("https://klasma.github.io/Logging_2380/knärot/A 13795-2025 karta knärot.png", "A 13795-2025")</f>
        <v/>
      </c>
      <c r="V111">
        <f>HYPERLINK("https://klasma.github.io/Logging_2380/klagomål/A 13795-2025 FSC-klagomål.docx", "A 13795-2025")</f>
        <v/>
      </c>
      <c r="W111">
        <f>HYPERLINK("https://klasma.github.io/Logging_2380/klagomålsmail/A 13795-2025 FSC-klagomål mail.docx", "A 13795-2025")</f>
        <v/>
      </c>
      <c r="X111">
        <f>HYPERLINK("https://klasma.github.io/Logging_2380/tillsyn/A 13795-2025 tillsynsbegäran.docx", "A 13795-2025")</f>
        <v/>
      </c>
      <c r="Y111">
        <f>HYPERLINK("https://klasma.github.io/Logging_2380/tillsynsmail/A 13795-2025 tillsynsbegäran mail.docx", "A 13795-2025")</f>
        <v/>
      </c>
    </row>
    <row r="112" ht="15" customHeight="1">
      <c r="A112" t="inlineStr">
        <is>
          <t>A 60534-2022</t>
        </is>
      </c>
      <c r="B112" s="1" t="n">
        <v>44904</v>
      </c>
      <c r="C112" s="1" t="n">
        <v>46034</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50125-2024</t>
        </is>
      </c>
      <c r="B113" s="1" t="n">
        <v>45600.42737268518</v>
      </c>
      <c r="C113" s="1" t="n">
        <v>46034</v>
      </c>
      <c r="D113" t="inlineStr">
        <is>
          <t>JÄMTLANDS LÄN</t>
        </is>
      </c>
      <c r="E113" t="inlineStr">
        <is>
          <t>ÖSTERSUND</t>
        </is>
      </c>
      <c r="F113" t="inlineStr">
        <is>
          <t>SCA</t>
        </is>
      </c>
      <c r="G113" t="n">
        <v>2.4</v>
      </c>
      <c r="H113" t="n">
        <v>0</v>
      </c>
      <c r="I113" t="n">
        <v>1</v>
      </c>
      <c r="J113" t="n">
        <v>1</v>
      </c>
      <c r="K113" t="n">
        <v>0</v>
      </c>
      <c r="L113" t="n">
        <v>0</v>
      </c>
      <c r="M113" t="n">
        <v>0</v>
      </c>
      <c r="N113" t="n">
        <v>0</v>
      </c>
      <c r="O113" t="n">
        <v>1</v>
      </c>
      <c r="P113" t="n">
        <v>0</v>
      </c>
      <c r="Q113" t="n">
        <v>2</v>
      </c>
      <c r="R113" s="2" t="inlineStr">
        <is>
          <t>Dvärgbägarlav
Skinnlav</t>
        </is>
      </c>
      <c r="S113">
        <f>HYPERLINK("https://klasma.github.io/Logging_2380/artfynd/A 50125-2024 artfynd.xlsx", "A 50125-2024")</f>
        <v/>
      </c>
      <c r="T113">
        <f>HYPERLINK("https://klasma.github.io/Logging_2380/kartor/A 50125-2024 karta.png", "A 50125-2024")</f>
        <v/>
      </c>
      <c r="V113">
        <f>HYPERLINK("https://klasma.github.io/Logging_2380/klagomål/A 50125-2024 FSC-klagomål.docx", "A 50125-2024")</f>
        <v/>
      </c>
      <c r="W113">
        <f>HYPERLINK("https://klasma.github.io/Logging_2380/klagomålsmail/A 50125-2024 FSC-klagomål mail.docx", "A 50125-2024")</f>
        <v/>
      </c>
      <c r="X113">
        <f>HYPERLINK("https://klasma.github.io/Logging_2380/tillsyn/A 50125-2024 tillsynsbegäran.docx", "A 50125-2024")</f>
        <v/>
      </c>
      <c r="Y113">
        <f>HYPERLINK("https://klasma.github.io/Logging_2380/tillsynsmail/A 50125-2024 tillsynsbegäran mail.docx", "A 50125-2024")</f>
        <v/>
      </c>
    </row>
    <row r="114" ht="15" customHeight="1">
      <c r="A114" t="inlineStr">
        <is>
          <t>A 60446-2024</t>
        </is>
      </c>
      <c r="B114" s="1" t="n">
        <v>45643.59420138889</v>
      </c>
      <c r="C114" s="1" t="n">
        <v>46034</v>
      </c>
      <c r="D114" t="inlineStr">
        <is>
          <t>JÄMTLANDS LÄN</t>
        </is>
      </c>
      <c r="E114" t="inlineStr">
        <is>
          <t>ÖSTERSUND</t>
        </is>
      </c>
      <c r="F114" t="inlineStr">
        <is>
          <t>SCA</t>
        </is>
      </c>
      <c r="G114" t="n">
        <v>3.6</v>
      </c>
      <c r="H114" t="n">
        <v>0</v>
      </c>
      <c r="I114" t="n">
        <v>1</v>
      </c>
      <c r="J114" t="n">
        <v>1</v>
      </c>
      <c r="K114" t="n">
        <v>0</v>
      </c>
      <c r="L114" t="n">
        <v>0</v>
      </c>
      <c r="M114" t="n">
        <v>0</v>
      </c>
      <c r="N114" t="n">
        <v>0</v>
      </c>
      <c r="O114" t="n">
        <v>1</v>
      </c>
      <c r="P114" t="n">
        <v>0</v>
      </c>
      <c r="Q114" t="n">
        <v>2</v>
      </c>
      <c r="R114" s="2" t="inlineStr">
        <is>
          <t>Ullticka
Vedticka</t>
        </is>
      </c>
      <c r="S114">
        <f>HYPERLINK("https://klasma.github.io/Logging_2380/artfynd/A 60446-2024 artfynd.xlsx", "A 60446-2024")</f>
        <v/>
      </c>
      <c r="T114">
        <f>HYPERLINK("https://klasma.github.io/Logging_2380/kartor/A 60446-2024 karta.png", "A 60446-2024")</f>
        <v/>
      </c>
      <c r="V114">
        <f>HYPERLINK("https://klasma.github.io/Logging_2380/klagomål/A 60446-2024 FSC-klagomål.docx", "A 60446-2024")</f>
        <v/>
      </c>
      <c r="W114">
        <f>HYPERLINK("https://klasma.github.io/Logging_2380/klagomålsmail/A 60446-2024 FSC-klagomål mail.docx", "A 60446-2024")</f>
        <v/>
      </c>
      <c r="X114">
        <f>HYPERLINK("https://klasma.github.io/Logging_2380/tillsyn/A 60446-2024 tillsynsbegäran.docx", "A 60446-2024")</f>
        <v/>
      </c>
      <c r="Y114">
        <f>HYPERLINK("https://klasma.github.io/Logging_2380/tillsynsmail/A 60446-2024 tillsynsbegäran mail.docx", "A 60446-2024")</f>
        <v/>
      </c>
    </row>
    <row r="115" ht="15" customHeight="1">
      <c r="A115" t="inlineStr">
        <is>
          <t>A 40207-2025</t>
        </is>
      </c>
      <c r="B115" s="1" t="n">
        <v>45894.67988425926</v>
      </c>
      <c r="C115" s="1" t="n">
        <v>46034</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10529-2025</t>
        </is>
      </c>
      <c r="B116" s="1" t="n">
        <v>45721.44840277778</v>
      </c>
      <c r="C116" s="1" t="n">
        <v>46034</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26612-2025</t>
        </is>
      </c>
      <c r="B117" s="1" t="n">
        <v>45810</v>
      </c>
      <c r="C117" s="1" t="n">
        <v>46034</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15700-2025</t>
        </is>
      </c>
      <c r="B118" s="1" t="n">
        <v>45748.47314814815</v>
      </c>
      <c r="C118" s="1" t="n">
        <v>46034</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45237-2025</t>
        </is>
      </c>
      <c r="B119" s="1" t="n">
        <v>45919.59467592592</v>
      </c>
      <c r="C119" s="1" t="n">
        <v>46034</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54872-2025</t>
        </is>
      </c>
      <c r="B120" s="1" t="n">
        <v>45966.94104166667</v>
      </c>
      <c r="C120" s="1" t="n">
        <v>46034</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46034</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35977-2024</t>
        </is>
      </c>
      <c r="B122" s="1" t="n">
        <v>45533.49601851852</v>
      </c>
      <c r="C122" s="1" t="n">
        <v>46034</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58931-2025</t>
        </is>
      </c>
      <c r="B123" s="1" t="n">
        <v>45987.55831018519</v>
      </c>
      <c r="C123" s="1" t="n">
        <v>46034</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63930-2023</t>
        </is>
      </c>
      <c r="B124" s="1" t="n">
        <v>45278</v>
      </c>
      <c r="C124" s="1" t="n">
        <v>46034</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59793-2022</t>
        </is>
      </c>
      <c r="B125" s="1" t="n">
        <v>44908</v>
      </c>
      <c r="C125" s="1" t="n">
        <v>46034</v>
      </c>
      <c r="D125" t="inlineStr">
        <is>
          <t>JÄMTLANDS LÄN</t>
        </is>
      </c>
      <c r="E125" t="inlineStr">
        <is>
          <t>ÖSTERSUND</t>
        </is>
      </c>
      <c r="G125" t="n">
        <v>23.3</v>
      </c>
      <c r="H125" t="n">
        <v>1</v>
      </c>
      <c r="I125" t="n">
        <v>1</v>
      </c>
      <c r="J125" t="n">
        <v>1</v>
      </c>
      <c r="K125" t="n">
        <v>0</v>
      </c>
      <c r="L125" t="n">
        <v>0</v>
      </c>
      <c r="M125" t="n">
        <v>0</v>
      </c>
      <c r="N125" t="n">
        <v>0</v>
      </c>
      <c r="O125" t="n">
        <v>1</v>
      </c>
      <c r="P125" t="n">
        <v>0</v>
      </c>
      <c r="Q125" t="n">
        <v>2</v>
      </c>
      <c r="R125" s="2" t="inlineStr">
        <is>
          <t>Majviva
Spindelblomster</t>
        </is>
      </c>
      <c r="S125">
        <f>HYPERLINK("https://klasma.github.io/Logging_2380/artfynd/A 59793-2022 artfynd.xlsx", "A 59793-2022")</f>
        <v/>
      </c>
      <c r="T125">
        <f>HYPERLINK("https://klasma.github.io/Logging_2380/kartor/A 59793-2022 karta.png", "A 59793-2022")</f>
        <v/>
      </c>
      <c r="V125">
        <f>HYPERLINK("https://klasma.github.io/Logging_2380/klagomål/A 59793-2022 FSC-klagomål.docx", "A 59793-2022")</f>
        <v/>
      </c>
      <c r="W125">
        <f>HYPERLINK("https://klasma.github.io/Logging_2380/klagomålsmail/A 59793-2022 FSC-klagomål mail.docx", "A 59793-2022")</f>
        <v/>
      </c>
      <c r="X125">
        <f>HYPERLINK("https://klasma.github.io/Logging_2380/tillsyn/A 59793-2022 tillsynsbegäran.docx", "A 59793-2022")</f>
        <v/>
      </c>
      <c r="Y125">
        <f>HYPERLINK("https://klasma.github.io/Logging_2380/tillsynsmail/A 59793-2022 tillsynsbegäran mail.docx", "A 59793-2022")</f>
        <v/>
      </c>
    </row>
    <row r="126" ht="15" customHeight="1">
      <c r="A126" t="inlineStr">
        <is>
          <t>A 46105-2021</t>
        </is>
      </c>
      <c r="B126" s="1" t="n">
        <v>44441</v>
      </c>
      <c r="C126" s="1" t="n">
        <v>46034</v>
      </c>
      <c r="D126" t="inlineStr">
        <is>
          <t>JÄMTLANDS LÄN</t>
        </is>
      </c>
      <c r="E126" t="inlineStr">
        <is>
          <t>ÖSTERSUND</t>
        </is>
      </c>
      <c r="G126" t="n">
        <v>4.4</v>
      </c>
      <c r="H126" t="n">
        <v>2</v>
      </c>
      <c r="I126" t="n">
        <v>0</v>
      </c>
      <c r="J126" t="n">
        <v>1</v>
      </c>
      <c r="K126" t="n">
        <v>1</v>
      </c>
      <c r="L126" t="n">
        <v>0</v>
      </c>
      <c r="M126" t="n">
        <v>0</v>
      </c>
      <c r="N126" t="n">
        <v>0</v>
      </c>
      <c r="O126" t="n">
        <v>2</v>
      </c>
      <c r="P126" t="n">
        <v>1</v>
      </c>
      <c r="Q126" t="n">
        <v>2</v>
      </c>
      <c r="R126" s="2" t="inlineStr">
        <is>
          <t>Tallbit
Tretåig hackspett</t>
        </is>
      </c>
      <c r="S126">
        <f>HYPERLINK("https://klasma.github.io/Logging_2380/artfynd/A 46105-2021 artfynd.xlsx", "A 46105-2021")</f>
        <v/>
      </c>
      <c r="T126">
        <f>HYPERLINK("https://klasma.github.io/Logging_2380/kartor/A 46105-2021 karta.png", "A 46105-2021")</f>
        <v/>
      </c>
      <c r="V126">
        <f>HYPERLINK("https://klasma.github.io/Logging_2380/klagomål/A 46105-2021 FSC-klagomål.docx", "A 46105-2021")</f>
        <v/>
      </c>
      <c r="W126">
        <f>HYPERLINK("https://klasma.github.io/Logging_2380/klagomålsmail/A 46105-2021 FSC-klagomål mail.docx", "A 46105-2021")</f>
        <v/>
      </c>
      <c r="X126">
        <f>HYPERLINK("https://klasma.github.io/Logging_2380/tillsyn/A 46105-2021 tillsynsbegäran.docx", "A 46105-2021")</f>
        <v/>
      </c>
      <c r="Y126">
        <f>HYPERLINK("https://klasma.github.io/Logging_2380/tillsynsmail/A 46105-2021 tillsynsbegäran mail.docx", "A 46105-2021")</f>
        <v/>
      </c>
      <c r="Z126">
        <f>HYPERLINK("https://klasma.github.io/Logging_2380/fåglar/A 46105-2021 prioriterade fågelarter.docx", "A 46105-2021")</f>
        <v/>
      </c>
    </row>
    <row r="127" ht="15" customHeight="1">
      <c r="A127" t="inlineStr">
        <is>
          <t>A 47385-2022</t>
        </is>
      </c>
      <c r="B127" s="1" t="n">
        <v>44853</v>
      </c>
      <c r="C127" s="1" t="n">
        <v>46034</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60614-2022</t>
        </is>
      </c>
      <c r="B128" s="1" t="n">
        <v>44911</v>
      </c>
      <c r="C128" s="1" t="n">
        <v>46034</v>
      </c>
      <c r="D128" t="inlineStr">
        <is>
          <t>JÄMTLANDS LÄN</t>
        </is>
      </c>
      <c r="E128" t="inlineStr">
        <is>
          <t>ÖSTERSUND</t>
        </is>
      </c>
      <c r="G128" t="n">
        <v>17.6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60614-2022 artfynd.xlsx", "A 60614-2022")</f>
        <v/>
      </c>
      <c r="T128">
        <f>HYPERLINK("https://klasma.github.io/Logging_2380/kartor/A 60614-2022 karta.png", "A 60614-2022")</f>
        <v/>
      </c>
      <c r="V128">
        <f>HYPERLINK("https://klasma.github.io/Logging_2380/klagomål/A 60614-2022 FSC-klagomål.docx", "A 60614-2022")</f>
        <v/>
      </c>
      <c r="W128">
        <f>HYPERLINK("https://klasma.github.io/Logging_2380/klagomålsmail/A 60614-2022 FSC-klagomål mail.docx", "A 60614-2022")</f>
        <v/>
      </c>
      <c r="X128">
        <f>HYPERLINK("https://klasma.github.io/Logging_2380/tillsyn/A 60614-2022 tillsynsbegäran.docx", "A 60614-2022")</f>
        <v/>
      </c>
      <c r="Y128">
        <f>HYPERLINK("https://klasma.github.io/Logging_2380/tillsynsmail/A 60614-2022 tillsynsbegäran mail.docx", "A 60614-2022")</f>
        <v/>
      </c>
    </row>
    <row r="129" ht="15" customHeight="1">
      <c r="A129" t="inlineStr">
        <is>
          <t>A 52129-2023</t>
        </is>
      </c>
      <c r="B129" s="1" t="n">
        <v>45223</v>
      </c>
      <c r="C129" s="1" t="n">
        <v>46034</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46034</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46034</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46034</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46034</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33137-2021</t>
        </is>
      </c>
      <c r="B134" s="1" t="n">
        <v>44376</v>
      </c>
      <c r="C134" s="1" t="n">
        <v>46034</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46034</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46034</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46163-2021</t>
        </is>
      </c>
      <c r="B137" s="1" t="n">
        <v>44441</v>
      </c>
      <c r="C137" s="1" t="n">
        <v>46034</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27578-2022</t>
        </is>
      </c>
      <c r="B138" s="1" t="n">
        <v>44742</v>
      </c>
      <c r="C138" s="1" t="n">
        <v>46034</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40694-2024</t>
        </is>
      </c>
      <c r="B139" s="1" t="n">
        <v>45558</v>
      </c>
      <c r="C139" s="1" t="n">
        <v>46034</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40781-2025</t>
        </is>
      </c>
      <c r="B140" s="1" t="n">
        <v>45897</v>
      </c>
      <c r="C140" s="1" t="n">
        <v>46034</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59108-2024</t>
        </is>
      </c>
      <c r="B141" s="1" t="n">
        <v>45637.34469907408</v>
      </c>
      <c r="C141" s="1" t="n">
        <v>46034</v>
      </c>
      <c r="D141" t="inlineStr">
        <is>
          <t>JÄMTLANDS LÄN</t>
        </is>
      </c>
      <c r="E141" t="inlineStr">
        <is>
          <t>ÖSTERSUND</t>
        </is>
      </c>
      <c r="F141" t="inlineStr">
        <is>
          <t>SCA</t>
        </is>
      </c>
      <c r="G141" t="n">
        <v>10.6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59108-2024 artfynd.xlsx", "A 59108-2024")</f>
        <v/>
      </c>
      <c r="T141">
        <f>HYPERLINK("https://klasma.github.io/Logging_2380/kartor/A 59108-2024 karta.png", "A 59108-2024")</f>
        <v/>
      </c>
      <c r="V141">
        <f>HYPERLINK("https://klasma.github.io/Logging_2380/klagomål/A 59108-2024 FSC-klagomål.docx", "A 59108-2024")</f>
        <v/>
      </c>
      <c r="W141">
        <f>HYPERLINK("https://klasma.github.io/Logging_2380/klagomålsmail/A 59108-2024 FSC-klagomål mail.docx", "A 59108-2024")</f>
        <v/>
      </c>
      <c r="X141">
        <f>HYPERLINK("https://klasma.github.io/Logging_2380/tillsyn/A 59108-2024 tillsynsbegäran.docx", "A 59108-2024")</f>
        <v/>
      </c>
      <c r="Y141">
        <f>HYPERLINK("https://klasma.github.io/Logging_2380/tillsynsmail/A 59108-2024 tillsynsbegäran mail.docx", "A 59108-2024")</f>
        <v/>
      </c>
      <c r="Z141">
        <f>HYPERLINK("https://klasma.github.io/Logging_2380/fåglar/A 59108-2024 prioriterade fågelarter.docx", "A 59108-2024")</f>
        <v/>
      </c>
    </row>
    <row r="142" ht="15" customHeight="1">
      <c r="A142" t="inlineStr">
        <is>
          <t>A 26605-2025</t>
        </is>
      </c>
      <c r="B142" s="1" t="n">
        <v>45809.86790509259</v>
      </c>
      <c r="C142" s="1" t="n">
        <v>46034</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43188-2025</t>
        </is>
      </c>
      <c r="B143" s="1" t="n">
        <v>45910.41201388889</v>
      </c>
      <c r="C143" s="1" t="n">
        <v>46034</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64380-2023</t>
        </is>
      </c>
      <c r="B144" s="1" t="n">
        <v>45280.56451388889</v>
      </c>
      <c r="C144" s="1" t="n">
        <v>46034</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55821-2021</t>
        </is>
      </c>
      <c r="B145" s="1" t="n">
        <v>44476</v>
      </c>
      <c r="C145" s="1" t="n">
        <v>46034</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17217-2021</t>
        </is>
      </c>
      <c r="B146" s="1" t="n">
        <v>44298</v>
      </c>
      <c r="C146" s="1" t="n">
        <v>46034</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31883-2024</t>
        </is>
      </c>
      <c r="B147" s="1" t="n">
        <v>45509.9572800926</v>
      </c>
      <c r="C147" s="1" t="n">
        <v>46034</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46034</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60966-2025</t>
        </is>
      </c>
      <c r="B149" s="1" t="n">
        <v>45999.67758101852</v>
      </c>
      <c r="C149" s="1" t="n">
        <v>46034</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60966-2025 artfynd.xlsx", "A 60966-2025")</f>
        <v/>
      </c>
      <c r="T149">
        <f>HYPERLINK("https://klasma.github.io/Logging_2380/kartor/A 60966-2025 karta.png", "A 60966-2025")</f>
        <v/>
      </c>
      <c r="V149">
        <f>HYPERLINK("https://klasma.github.io/Logging_2380/klagomål/A 60966-2025 FSC-klagomål.docx", "A 60966-2025")</f>
        <v/>
      </c>
      <c r="W149">
        <f>HYPERLINK("https://klasma.github.io/Logging_2380/klagomålsmail/A 60966-2025 FSC-klagomål mail.docx", "A 60966-2025")</f>
        <v/>
      </c>
      <c r="X149">
        <f>HYPERLINK("https://klasma.github.io/Logging_2380/tillsyn/A 60966-2025 tillsynsbegäran.docx", "A 60966-2025")</f>
        <v/>
      </c>
      <c r="Y149">
        <f>HYPERLINK("https://klasma.github.io/Logging_2380/tillsynsmail/A 60966-2025 tillsynsbegäran mail.docx", "A 60966-2025")</f>
        <v/>
      </c>
    </row>
    <row r="150" ht="15" customHeight="1">
      <c r="A150" t="inlineStr">
        <is>
          <t>A 9739-2022</t>
        </is>
      </c>
      <c r="B150" s="1" t="n">
        <v>44617</v>
      </c>
      <c r="C150" s="1" t="n">
        <v>46034</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33550-2025</t>
        </is>
      </c>
      <c r="B151" s="1" t="n">
        <v>45841.57331018519</v>
      </c>
      <c r="C151" s="1" t="n">
        <v>46034</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53300-2025</t>
        </is>
      </c>
      <c r="B152" s="1" t="n">
        <v>45959.32394675926</v>
      </c>
      <c r="C152" s="1" t="n">
        <v>46034</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36225-2025</t>
        </is>
      </c>
      <c r="B153" s="1" t="n">
        <v>45867.51128472222</v>
      </c>
      <c r="C153" s="1" t="n">
        <v>46034</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24368-2025</t>
        </is>
      </c>
      <c r="B154" s="1" t="n">
        <v>45797.60623842593</v>
      </c>
      <c r="C154" s="1" t="n">
        <v>46034</v>
      </c>
      <c r="D154" t="inlineStr">
        <is>
          <t>JÄMTLANDS LÄN</t>
        </is>
      </c>
      <c r="E154" t="inlineStr">
        <is>
          <t>ÖSTERSUND</t>
        </is>
      </c>
      <c r="G154" t="n">
        <v>2.9</v>
      </c>
      <c r="H154" t="n">
        <v>0</v>
      </c>
      <c r="I154" t="n">
        <v>0</v>
      </c>
      <c r="J154" t="n">
        <v>0</v>
      </c>
      <c r="K154" t="n">
        <v>1</v>
      </c>
      <c r="L154" t="n">
        <v>0</v>
      </c>
      <c r="M154" t="n">
        <v>0</v>
      </c>
      <c r="N154" t="n">
        <v>0</v>
      </c>
      <c r="O154" t="n">
        <v>1</v>
      </c>
      <c r="P154" t="n">
        <v>1</v>
      </c>
      <c r="Q154" t="n">
        <v>1</v>
      </c>
      <c r="R154" s="2" t="inlineStr">
        <is>
          <t>Fjällfotad fingersvamp</t>
        </is>
      </c>
      <c r="S154">
        <f>HYPERLINK("https://klasma.github.io/Logging_2380/artfynd/A 24368-2025 artfynd.xlsx", "A 24368-2025")</f>
        <v/>
      </c>
      <c r="T154">
        <f>HYPERLINK("https://klasma.github.io/Logging_2380/kartor/A 24368-2025 karta.png", "A 24368-2025")</f>
        <v/>
      </c>
      <c r="V154">
        <f>HYPERLINK("https://klasma.github.io/Logging_2380/klagomål/A 24368-2025 FSC-klagomål.docx", "A 24368-2025")</f>
        <v/>
      </c>
      <c r="W154">
        <f>HYPERLINK("https://klasma.github.io/Logging_2380/klagomålsmail/A 24368-2025 FSC-klagomål mail.docx", "A 24368-2025")</f>
        <v/>
      </c>
      <c r="X154">
        <f>HYPERLINK("https://klasma.github.io/Logging_2380/tillsyn/A 24368-2025 tillsynsbegäran.docx", "A 24368-2025")</f>
        <v/>
      </c>
      <c r="Y154">
        <f>HYPERLINK("https://klasma.github.io/Logging_2380/tillsynsmail/A 24368-2025 tillsynsbegäran mail.docx", "A 24368-2025")</f>
        <v/>
      </c>
    </row>
    <row r="155" ht="15" customHeight="1">
      <c r="A155" t="inlineStr">
        <is>
          <t>A 28980-2023</t>
        </is>
      </c>
      <c r="B155" s="1" t="n">
        <v>45096</v>
      </c>
      <c r="C155" s="1" t="n">
        <v>46034</v>
      </c>
      <c r="D155" t="inlineStr">
        <is>
          <t>JÄMTLANDS LÄN</t>
        </is>
      </c>
      <c r="E155" t="inlineStr">
        <is>
          <t>ÖSTERSUND</t>
        </is>
      </c>
      <c r="G155" t="n">
        <v>2.7</v>
      </c>
      <c r="H155" t="n">
        <v>0</v>
      </c>
      <c r="I155" t="n">
        <v>1</v>
      </c>
      <c r="J155" t="n">
        <v>0</v>
      </c>
      <c r="K155" t="n">
        <v>0</v>
      </c>
      <c r="L155" t="n">
        <v>0</v>
      </c>
      <c r="M155" t="n">
        <v>0</v>
      </c>
      <c r="N155" t="n">
        <v>0</v>
      </c>
      <c r="O155" t="n">
        <v>0</v>
      </c>
      <c r="P155" t="n">
        <v>0</v>
      </c>
      <c r="Q155" t="n">
        <v>1</v>
      </c>
      <c r="R155" s="2" t="inlineStr">
        <is>
          <t>Finbräken</t>
        </is>
      </c>
      <c r="S155">
        <f>HYPERLINK("https://klasma.github.io/Logging_2380/artfynd/A 28980-2023 artfynd.xlsx", "A 28980-2023")</f>
        <v/>
      </c>
      <c r="T155">
        <f>HYPERLINK("https://klasma.github.io/Logging_2380/kartor/A 28980-2023 karta.png", "A 28980-2023")</f>
        <v/>
      </c>
      <c r="V155">
        <f>HYPERLINK("https://klasma.github.io/Logging_2380/klagomål/A 28980-2023 FSC-klagomål.docx", "A 28980-2023")</f>
        <v/>
      </c>
      <c r="W155">
        <f>HYPERLINK("https://klasma.github.io/Logging_2380/klagomålsmail/A 28980-2023 FSC-klagomål mail.docx", "A 28980-2023")</f>
        <v/>
      </c>
      <c r="X155">
        <f>HYPERLINK("https://klasma.github.io/Logging_2380/tillsyn/A 28980-2023 tillsynsbegäran.docx", "A 28980-2023")</f>
        <v/>
      </c>
      <c r="Y155">
        <f>HYPERLINK("https://klasma.github.io/Logging_2380/tillsynsmail/A 28980-2023 tillsynsbegäran mail.docx", "A 28980-2023")</f>
        <v/>
      </c>
    </row>
    <row r="156" ht="15" customHeight="1">
      <c r="A156" t="inlineStr">
        <is>
          <t>A 62835-2025</t>
        </is>
      </c>
      <c r="B156" s="1" t="n">
        <v>46008.67969907408</v>
      </c>
      <c r="C156" s="1" t="n">
        <v>46034</v>
      </c>
      <c r="D156" t="inlineStr">
        <is>
          <t>JÄMTLANDS LÄN</t>
        </is>
      </c>
      <c r="E156" t="inlineStr">
        <is>
          <t>ÖSTERSUND</t>
        </is>
      </c>
      <c r="G156" t="n">
        <v>2.2</v>
      </c>
      <c r="H156" t="n">
        <v>0</v>
      </c>
      <c r="I156" t="n">
        <v>0</v>
      </c>
      <c r="J156" t="n">
        <v>1</v>
      </c>
      <c r="K156" t="n">
        <v>0</v>
      </c>
      <c r="L156" t="n">
        <v>0</v>
      </c>
      <c r="M156" t="n">
        <v>0</v>
      </c>
      <c r="N156" t="n">
        <v>0</v>
      </c>
      <c r="O156" t="n">
        <v>1</v>
      </c>
      <c r="P156" t="n">
        <v>0</v>
      </c>
      <c r="Q156" t="n">
        <v>1</v>
      </c>
      <c r="R156" s="2" t="inlineStr">
        <is>
          <t>Åkerkål</t>
        </is>
      </c>
      <c r="S156">
        <f>HYPERLINK("https://klasma.github.io/Logging_2380/artfynd/A 62835-2025 artfynd.xlsx", "A 62835-2025")</f>
        <v/>
      </c>
      <c r="T156">
        <f>HYPERLINK("https://klasma.github.io/Logging_2380/kartor/A 62835-2025 karta.png", "A 62835-2025")</f>
        <v/>
      </c>
      <c r="V156">
        <f>HYPERLINK("https://klasma.github.io/Logging_2380/klagomål/A 62835-2025 FSC-klagomål.docx", "A 62835-2025")</f>
        <v/>
      </c>
      <c r="W156">
        <f>HYPERLINK("https://klasma.github.io/Logging_2380/klagomålsmail/A 62835-2025 FSC-klagomål mail.docx", "A 62835-2025")</f>
        <v/>
      </c>
      <c r="X156">
        <f>HYPERLINK("https://klasma.github.io/Logging_2380/tillsyn/A 62835-2025 tillsynsbegäran.docx", "A 62835-2025")</f>
        <v/>
      </c>
      <c r="Y156">
        <f>HYPERLINK("https://klasma.github.io/Logging_2380/tillsynsmail/A 62835-2025 tillsynsbegäran mail.docx", "A 62835-2025")</f>
        <v/>
      </c>
    </row>
    <row r="157" ht="15" customHeight="1">
      <c r="A157" t="inlineStr">
        <is>
          <t>A 44049-2024</t>
        </is>
      </c>
      <c r="B157" s="1" t="n">
        <v>45572.59462962963</v>
      </c>
      <c r="C157" s="1" t="n">
        <v>46034</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63201-2025</t>
        </is>
      </c>
      <c r="B158" s="1" t="n">
        <v>46010.46366898148</v>
      </c>
      <c r="C158" s="1" t="n">
        <v>46034</v>
      </c>
      <c r="D158" t="inlineStr">
        <is>
          <t>JÄMTLANDS LÄN</t>
        </is>
      </c>
      <c r="E158" t="inlineStr">
        <is>
          <t>ÖSTERSUND</t>
        </is>
      </c>
      <c r="G158" t="n">
        <v>5.8</v>
      </c>
      <c r="H158" t="n">
        <v>1</v>
      </c>
      <c r="I158" t="n">
        <v>0</v>
      </c>
      <c r="J158" t="n">
        <v>0</v>
      </c>
      <c r="K158" t="n">
        <v>0</v>
      </c>
      <c r="L158" t="n">
        <v>0</v>
      </c>
      <c r="M158" t="n">
        <v>0</v>
      </c>
      <c r="N158" t="n">
        <v>0</v>
      </c>
      <c r="O158" t="n">
        <v>0</v>
      </c>
      <c r="P158" t="n">
        <v>0</v>
      </c>
      <c r="Q158" t="n">
        <v>1</v>
      </c>
      <c r="R158" s="2" t="inlineStr">
        <is>
          <t>Lavskrika</t>
        </is>
      </c>
      <c r="S158">
        <f>HYPERLINK("https://klasma.github.io/Logging_2380/artfynd/A 63201-2025 artfynd.xlsx", "A 63201-2025")</f>
        <v/>
      </c>
      <c r="T158">
        <f>HYPERLINK("https://klasma.github.io/Logging_2380/kartor/A 63201-2025 karta.png", "A 63201-2025")</f>
        <v/>
      </c>
      <c r="V158">
        <f>HYPERLINK("https://klasma.github.io/Logging_2380/klagomål/A 63201-2025 FSC-klagomål.docx", "A 63201-2025")</f>
        <v/>
      </c>
      <c r="W158">
        <f>HYPERLINK("https://klasma.github.io/Logging_2380/klagomålsmail/A 63201-2025 FSC-klagomål mail.docx", "A 63201-2025")</f>
        <v/>
      </c>
      <c r="X158">
        <f>HYPERLINK("https://klasma.github.io/Logging_2380/tillsyn/A 63201-2025 tillsynsbegäran.docx", "A 63201-2025")</f>
        <v/>
      </c>
      <c r="Y158">
        <f>HYPERLINK("https://klasma.github.io/Logging_2380/tillsynsmail/A 63201-2025 tillsynsbegäran mail.docx", "A 63201-2025")</f>
        <v/>
      </c>
      <c r="Z158">
        <f>HYPERLINK("https://klasma.github.io/Logging_2380/fåglar/A 63201-2025 prioriterade fågelarter.docx", "A 63201-2025")</f>
        <v/>
      </c>
    </row>
    <row r="159" ht="15" customHeight="1">
      <c r="A159" t="inlineStr">
        <is>
          <t>A 54354-2024</t>
        </is>
      </c>
      <c r="B159" s="1" t="n">
        <v>45617.40244212963</v>
      </c>
      <c r="C159" s="1" t="n">
        <v>46034</v>
      </c>
      <c r="D159" t="inlineStr">
        <is>
          <t>JÄMTLANDS LÄN</t>
        </is>
      </c>
      <c r="E159" t="inlineStr">
        <is>
          <t>ÖSTERSUND</t>
        </is>
      </c>
      <c r="G159" t="n">
        <v>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54354-2024 artfynd.xlsx", "A 54354-2024")</f>
        <v/>
      </c>
      <c r="T159">
        <f>HYPERLINK("https://klasma.github.io/Logging_2380/kartor/A 54354-2024 karta.png", "A 54354-2024")</f>
        <v/>
      </c>
      <c r="V159">
        <f>HYPERLINK("https://klasma.github.io/Logging_2380/klagomål/A 54354-2024 FSC-klagomål.docx", "A 54354-2024")</f>
        <v/>
      </c>
      <c r="W159">
        <f>HYPERLINK("https://klasma.github.io/Logging_2380/klagomålsmail/A 54354-2024 FSC-klagomål mail.docx", "A 54354-2024")</f>
        <v/>
      </c>
      <c r="X159">
        <f>HYPERLINK("https://klasma.github.io/Logging_2380/tillsyn/A 54354-2024 tillsynsbegäran.docx", "A 54354-2024")</f>
        <v/>
      </c>
      <c r="Y159">
        <f>HYPERLINK("https://klasma.github.io/Logging_2380/tillsynsmail/A 54354-2024 tillsynsbegäran mail.docx", "A 54354-2024")</f>
        <v/>
      </c>
      <c r="Z159">
        <f>HYPERLINK("https://klasma.github.io/Logging_2380/fåglar/A 54354-2024 prioriterade fågelarter.docx", "A 54354-2024")</f>
        <v/>
      </c>
    </row>
    <row r="160" ht="15" customHeight="1">
      <c r="A160" t="inlineStr">
        <is>
          <t>A 58274-2025</t>
        </is>
      </c>
      <c r="B160" s="1" t="n">
        <v>45985.43086805556</v>
      </c>
      <c r="C160" s="1" t="n">
        <v>46034</v>
      </c>
      <c r="D160" t="inlineStr">
        <is>
          <t>JÄMTLANDS LÄN</t>
        </is>
      </c>
      <c r="E160" t="inlineStr">
        <is>
          <t>ÖSTERSUND</t>
        </is>
      </c>
      <c r="F160" t="inlineStr">
        <is>
          <t>Övriga Aktiebolag</t>
        </is>
      </c>
      <c r="G160" t="n">
        <v>18.7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58274-2025 artfynd.xlsx", "A 58274-2025")</f>
        <v/>
      </c>
      <c r="T160">
        <f>HYPERLINK("https://klasma.github.io/Logging_2380/kartor/A 58274-2025 karta.png", "A 58274-2025")</f>
        <v/>
      </c>
      <c r="V160">
        <f>HYPERLINK("https://klasma.github.io/Logging_2380/klagomål/A 58274-2025 FSC-klagomål.docx", "A 58274-2025")</f>
        <v/>
      </c>
      <c r="W160">
        <f>HYPERLINK("https://klasma.github.io/Logging_2380/klagomålsmail/A 58274-2025 FSC-klagomål mail.docx", "A 58274-2025")</f>
        <v/>
      </c>
      <c r="X160">
        <f>HYPERLINK("https://klasma.github.io/Logging_2380/tillsyn/A 58274-2025 tillsynsbegäran.docx", "A 58274-2025")</f>
        <v/>
      </c>
      <c r="Y160">
        <f>HYPERLINK("https://klasma.github.io/Logging_2380/tillsynsmail/A 58274-2025 tillsynsbegäran mail.docx", "A 58274-2025")</f>
        <v/>
      </c>
      <c r="Z160">
        <f>HYPERLINK("https://klasma.github.io/Logging_2380/fåglar/A 58274-2025 prioriterade fågelarter.docx", "A 58274-2025")</f>
        <v/>
      </c>
    </row>
    <row r="161" ht="15" customHeight="1">
      <c r="A161" t="inlineStr">
        <is>
          <t>A 58181-2022</t>
        </is>
      </c>
      <c r="B161" s="1" t="n">
        <v>44900</v>
      </c>
      <c r="C161" s="1" t="n">
        <v>46034</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41312-2024</t>
        </is>
      </c>
      <c r="B162" s="1" t="n">
        <v>45559.63584490741</v>
      </c>
      <c r="C162" s="1" t="n">
        <v>46034</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33267-2022</t>
        </is>
      </c>
      <c r="B163" s="1" t="n">
        <v>44785</v>
      </c>
      <c r="C163" s="1" t="n">
        <v>46034</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57065-2024</t>
        </is>
      </c>
      <c r="B164" s="1" t="n">
        <v>45629.35344907407</v>
      </c>
      <c r="C164" s="1" t="n">
        <v>46034</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56201-2024</t>
        </is>
      </c>
      <c r="B165" s="1" t="n">
        <v>45624.59462962963</v>
      </c>
      <c r="C165" s="1" t="n">
        <v>46034</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46034</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41279-2024</t>
        </is>
      </c>
      <c r="B167" s="1" t="n">
        <v>45559</v>
      </c>
      <c r="C167" s="1" t="n">
        <v>46034</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40692-2024</t>
        </is>
      </c>
      <c r="B168" s="1" t="n">
        <v>45558</v>
      </c>
      <c r="C168" s="1" t="n">
        <v>46034</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41770-2024</t>
        </is>
      </c>
      <c r="B169" s="1" t="n">
        <v>45561.34641203703</v>
      </c>
      <c r="C169" s="1" t="n">
        <v>46034</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59433-2021</t>
        </is>
      </c>
      <c r="B170" s="1" t="n">
        <v>44491</v>
      </c>
      <c r="C170" s="1" t="n">
        <v>46034</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55-2023</t>
        </is>
      </c>
      <c r="B171" s="1" t="n">
        <v>44928</v>
      </c>
      <c r="C171" s="1" t="n">
        <v>46034</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40696-2024</t>
        </is>
      </c>
      <c r="B172" s="1" t="n">
        <v>45558</v>
      </c>
      <c r="C172" s="1" t="n">
        <v>46034</v>
      </c>
      <c r="D172" t="inlineStr">
        <is>
          <t>JÄMTLANDS LÄN</t>
        </is>
      </c>
      <c r="E172" t="inlineStr">
        <is>
          <t>ÖSTERSUND</t>
        </is>
      </c>
      <c r="F172" t="inlineStr">
        <is>
          <t>SCA</t>
        </is>
      </c>
      <c r="G172" t="n">
        <v>2.7</v>
      </c>
      <c r="H172" t="n">
        <v>0</v>
      </c>
      <c r="I172" t="n">
        <v>0</v>
      </c>
      <c r="J172" t="n">
        <v>1</v>
      </c>
      <c r="K172" t="n">
        <v>0</v>
      </c>
      <c r="L172" t="n">
        <v>0</v>
      </c>
      <c r="M172" t="n">
        <v>0</v>
      </c>
      <c r="N172" t="n">
        <v>0</v>
      </c>
      <c r="O172" t="n">
        <v>1</v>
      </c>
      <c r="P172" t="n">
        <v>0</v>
      </c>
      <c r="Q172" t="n">
        <v>1</v>
      </c>
      <c r="R172" s="2" t="inlineStr">
        <is>
          <t>Lunglav</t>
        </is>
      </c>
      <c r="S172">
        <f>HYPERLINK("https://klasma.github.io/Logging_2380/artfynd/A 40696-2024 artfynd.xlsx", "A 40696-2024")</f>
        <v/>
      </c>
      <c r="T172">
        <f>HYPERLINK("https://klasma.github.io/Logging_2380/kartor/A 40696-2024 karta.png", "A 40696-2024")</f>
        <v/>
      </c>
      <c r="V172">
        <f>HYPERLINK("https://klasma.github.io/Logging_2380/klagomål/A 40696-2024 FSC-klagomål.docx", "A 40696-2024")</f>
        <v/>
      </c>
      <c r="W172">
        <f>HYPERLINK("https://klasma.github.io/Logging_2380/klagomålsmail/A 40696-2024 FSC-klagomål mail.docx", "A 40696-2024")</f>
        <v/>
      </c>
      <c r="X172">
        <f>HYPERLINK("https://klasma.github.io/Logging_2380/tillsyn/A 40696-2024 tillsynsbegäran.docx", "A 40696-2024")</f>
        <v/>
      </c>
      <c r="Y172">
        <f>HYPERLINK("https://klasma.github.io/Logging_2380/tillsynsmail/A 40696-2024 tillsynsbegäran mail.docx", "A 40696-2024")</f>
        <v/>
      </c>
    </row>
    <row r="173" ht="15" customHeight="1">
      <c r="A173" t="inlineStr">
        <is>
          <t>A 43883-2024</t>
        </is>
      </c>
      <c r="B173" s="1" t="n">
        <v>45570</v>
      </c>
      <c r="C173" s="1" t="n">
        <v>46034</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20620-2021</t>
        </is>
      </c>
      <c r="B174" s="1" t="n">
        <v>44316</v>
      </c>
      <c r="C174" s="1" t="n">
        <v>46034</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46034</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46034</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46034</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46034</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46034</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46034</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46034</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46034</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46034</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46034</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46034</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46034</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46034</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46034</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46034</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46034</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46034</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46034</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46034</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46034</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46034</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46034</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46034</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46034</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46034</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46034</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46034</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46034</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46034</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46034</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46034</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46034</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46034</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46034</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46034</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46034</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46034</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46034</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46034</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46034</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46034</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46034</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46034</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29094-2022</t>
        </is>
      </c>
      <c r="B218" s="1" t="n">
        <v>44750</v>
      </c>
      <c r="C218" s="1" t="n">
        <v>46034</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46034</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46034</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46034</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46034</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46034</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46034</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46034</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46034</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46034</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46034</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46034</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46034</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46034</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46034</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46034</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46034</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46034</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46034</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46034</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63099-2023</t>
        </is>
      </c>
      <c r="B238" s="1" t="n">
        <v>45273</v>
      </c>
      <c r="C238" s="1" t="n">
        <v>46034</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49592-2024</t>
        </is>
      </c>
      <c r="B239" s="1" t="n">
        <v>45596.55266203704</v>
      </c>
      <c r="C239" s="1" t="n">
        <v>46034</v>
      </c>
      <c r="D239" t="inlineStr">
        <is>
          <t>JÄMTLANDS LÄN</t>
        </is>
      </c>
      <c r="E239" t="inlineStr">
        <is>
          <t>ÖSTERSUND</t>
        </is>
      </c>
      <c r="F239" t="inlineStr">
        <is>
          <t>SCA</t>
        </is>
      </c>
      <c r="G239" t="n">
        <v>4.1</v>
      </c>
      <c r="H239" t="n">
        <v>0</v>
      </c>
      <c r="I239" t="n">
        <v>0</v>
      </c>
      <c r="J239" t="n">
        <v>0</v>
      </c>
      <c r="K239" t="n">
        <v>0</v>
      </c>
      <c r="L239" t="n">
        <v>0</v>
      </c>
      <c r="M239" t="n">
        <v>0</v>
      </c>
      <c r="N239" t="n">
        <v>0</v>
      </c>
      <c r="O239" t="n">
        <v>0</v>
      </c>
      <c r="P239" t="n">
        <v>0</v>
      </c>
      <c r="Q239" t="n">
        <v>0</v>
      </c>
      <c r="R239" s="2" t="inlineStr"/>
    </row>
    <row r="240" ht="15" customHeight="1">
      <c r="A240" t="inlineStr">
        <is>
          <t>A 58407-2024</t>
        </is>
      </c>
      <c r="B240" s="1" t="n">
        <v>45634.72633101852</v>
      </c>
      <c r="C240" s="1" t="n">
        <v>46034</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46034</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53802-2022</t>
        </is>
      </c>
      <c r="B242" s="1" t="n">
        <v>44875</v>
      </c>
      <c r="C242" s="1" t="n">
        <v>46034</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31464-2024</t>
        </is>
      </c>
      <c r="B243" s="1" t="n">
        <v>45505.95078703704</v>
      </c>
      <c r="C243" s="1" t="n">
        <v>46034</v>
      </c>
      <c r="D243" t="inlineStr">
        <is>
          <t>JÄMTLANDS LÄN</t>
        </is>
      </c>
      <c r="E243" t="inlineStr">
        <is>
          <t>ÖSTERSUND</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46034</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46034</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6578-2021</t>
        </is>
      </c>
      <c r="B246" s="1" t="n">
        <v>44236</v>
      </c>
      <c r="C246" s="1" t="n">
        <v>46034</v>
      </c>
      <c r="D246" t="inlineStr">
        <is>
          <t>JÄMTLANDS LÄN</t>
        </is>
      </c>
      <c r="E246" t="inlineStr">
        <is>
          <t>ÖSTERSUND</t>
        </is>
      </c>
      <c r="G246" t="n">
        <v>1.4</v>
      </c>
      <c r="H246" t="n">
        <v>0</v>
      </c>
      <c r="I246" t="n">
        <v>0</v>
      </c>
      <c r="J246" t="n">
        <v>0</v>
      </c>
      <c r="K246" t="n">
        <v>0</v>
      </c>
      <c r="L246" t="n">
        <v>0</v>
      </c>
      <c r="M246" t="n">
        <v>0</v>
      </c>
      <c r="N246" t="n">
        <v>0</v>
      </c>
      <c r="O246" t="n">
        <v>0</v>
      </c>
      <c r="P246" t="n">
        <v>0</v>
      </c>
      <c r="Q246" t="n">
        <v>0</v>
      </c>
      <c r="R246" s="2" t="inlineStr"/>
    </row>
    <row r="247" ht="15" customHeight="1">
      <c r="A247" t="inlineStr">
        <is>
          <t>A 4872-2023</t>
        </is>
      </c>
      <c r="B247" s="1" t="n">
        <v>44957</v>
      </c>
      <c r="C247" s="1" t="n">
        <v>46034</v>
      </c>
      <c r="D247" t="inlineStr">
        <is>
          <t>JÄMTLANDS LÄN</t>
        </is>
      </c>
      <c r="E247" t="inlineStr">
        <is>
          <t>ÖSTERSUND</t>
        </is>
      </c>
      <c r="G247" t="n">
        <v>10.7</v>
      </c>
      <c r="H247" t="n">
        <v>0</v>
      </c>
      <c r="I247" t="n">
        <v>0</v>
      </c>
      <c r="J247" t="n">
        <v>0</v>
      </c>
      <c r="K247" t="n">
        <v>0</v>
      </c>
      <c r="L247" t="n">
        <v>0</v>
      </c>
      <c r="M247" t="n">
        <v>0</v>
      </c>
      <c r="N247" t="n">
        <v>0</v>
      </c>
      <c r="O247" t="n">
        <v>0</v>
      </c>
      <c r="P247" t="n">
        <v>0</v>
      </c>
      <c r="Q247" t="n">
        <v>0</v>
      </c>
      <c r="R247" s="2" t="inlineStr"/>
    </row>
    <row r="248" ht="15" customHeight="1">
      <c r="A248" t="inlineStr">
        <is>
          <t>A 4480-2025</t>
        </is>
      </c>
      <c r="B248" s="1" t="n">
        <v>45686.64175925926</v>
      </c>
      <c r="C248" s="1" t="n">
        <v>46034</v>
      </c>
      <c r="D248" t="inlineStr">
        <is>
          <t>JÄMTLANDS LÄN</t>
        </is>
      </c>
      <c r="E248" t="inlineStr">
        <is>
          <t>ÖSTERSUND</t>
        </is>
      </c>
      <c r="G248" t="n">
        <v>27.7</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44599.45850694444</v>
      </c>
      <c r="C249" s="1" t="n">
        <v>46034</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60681-2022</t>
        </is>
      </c>
      <c r="B250" s="1" t="n">
        <v>44911.93994212963</v>
      </c>
      <c r="C250" s="1" t="n">
        <v>46034</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22612-2025</t>
        </is>
      </c>
      <c r="B251" s="1" t="n">
        <v>45789.42538194444</v>
      </c>
      <c r="C251" s="1" t="n">
        <v>46034</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46034</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46034</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17948-2025</t>
        </is>
      </c>
      <c r="B254" s="1" t="n">
        <v>45760.66995370371</v>
      </c>
      <c r="C254" s="1" t="n">
        <v>46034</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10493-2025</t>
        </is>
      </c>
      <c r="B255" s="1" t="n">
        <v>45721.36320601852</v>
      </c>
      <c r="C255" s="1" t="n">
        <v>46034</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4520-2025</t>
        </is>
      </c>
      <c r="B256" s="1" t="n">
        <v>45686.92384259259</v>
      </c>
      <c r="C256" s="1" t="n">
        <v>46034</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4523-2025</t>
        </is>
      </c>
      <c r="B257" s="1" t="n">
        <v>45686.92864583333</v>
      </c>
      <c r="C257" s="1" t="n">
        <v>46034</v>
      </c>
      <c r="D257" t="inlineStr">
        <is>
          <t>JÄMTLANDS LÄN</t>
        </is>
      </c>
      <c r="E257" t="inlineStr">
        <is>
          <t>ÖSTERSUND</t>
        </is>
      </c>
      <c r="G257" t="n">
        <v>15.2</v>
      </c>
      <c r="H257" t="n">
        <v>0</v>
      </c>
      <c r="I257" t="n">
        <v>0</v>
      </c>
      <c r="J257" t="n">
        <v>0</v>
      </c>
      <c r="K257" t="n">
        <v>0</v>
      </c>
      <c r="L257" t="n">
        <v>0</v>
      </c>
      <c r="M257" t="n">
        <v>0</v>
      </c>
      <c r="N257" t="n">
        <v>0</v>
      </c>
      <c r="O257" t="n">
        <v>0</v>
      </c>
      <c r="P257" t="n">
        <v>0</v>
      </c>
      <c r="Q257" t="n">
        <v>0</v>
      </c>
      <c r="R257" s="2" t="inlineStr"/>
    </row>
    <row r="258" ht="15" customHeight="1">
      <c r="A258" t="inlineStr">
        <is>
          <t>A 22713-2025</t>
        </is>
      </c>
      <c r="B258" s="1" t="n">
        <v>45789.56414351852</v>
      </c>
      <c r="C258" s="1" t="n">
        <v>46034</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1255-2025</t>
        </is>
      </c>
      <c r="B259" s="1" t="n">
        <v>45667.46922453704</v>
      </c>
      <c r="C259" s="1" t="n">
        <v>46034</v>
      </c>
      <c r="D259" t="inlineStr">
        <is>
          <t>JÄMTLANDS LÄN</t>
        </is>
      </c>
      <c r="E259" t="inlineStr">
        <is>
          <t>ÖSTERSUND</t>
        </is>
      </c>
      <c r="F259" t="inlineStr">
        <is>
          <t>SCA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38871-2025</t>
        </is>
      </c>
      <c r="B260" s="1" t="n">
        <v>45887.57407407407</v>
      </c>
      <c r="C260" s="1" t="n">
        <v>46034</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21495-2022</t>
        </is>
      </c>
      <c r="B261" s="1" t="n">
        <v>44706</v>
      </c>
      <c r="C261" s="1" t="n">
        <v>46034</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46139-2021</t>
        </is>
      </c>
      <c r="B262" s="1" t="n">
        <v>44441</v>
      </c>
      <c r="C262" s="1" t="n">
        <v>46034</v>
      </c>
      <c r="D262" t="inlineStr">
        <is>
          <t>JÄMTLANDS LÄN</t>
        </is>
      </c>
      <c r="E262" t="inlineStr">
        <is>
          <t>ÖSTERSUND</t>
        </is>
      </c>
      <c r="G262" t="n">
        <v>12.8</v>
      </c>
      <c r="H262" t="n">
        <v>0</v>
      </c>
      <c r="I262" t="n">
        <v>0</v>
      </c>
      <c r="J262" t="n">
        <v>0</v>
      </c>
      <c r="K262" t="n">
        <v>0</v>
      </c>
      <c r="L262" t="n">
        <v>0</v>
      </c>
      <c r="M262" t="n">
        <v>0</v>
      </c>
      <c r="N262" t="n">
        <v>0</v>
      </c>
      <c r="O262" t="n">
        <v>0</v>
      </c>
      <c r="P262" t="n">
        <v>0</v>
      </c>
      <c r="Q262" t="n">
        <v>0</v>
      </c>
      <c r="R262" s="2" t="inlineStr"/>
    </row>
    <row r="263" ht="15" customHeight="1">
      <c r="A263" t="inlineStr">
        <is>
          <t>A 22822-2025</t>
        </is>
      </c>
      <c r="B263" s="1" t="n">
        <v>45789</v>
      </c>
      <c r="C263" s="1" t="n">
        <v>46034</v>
      </c>
      <c r="D263" t="inlineStr">
        <is>
          <t>JÄMTLANDS LÄN</t>
        </is>
      </c>
      <c r="E263" t="inlineStr">
        <is>
          <t>ÖSTERSUND</t>
        </is>
      </c>
      <c r="G263" t="n">
        <v>2.2</v>
      </c>
      <c r="H263" t="n">
        <v>0</v>
      </c>
      <c r="I263" t="n">
        <v>0</v>
      </c>
      <c r="J263" t="n">
        <v>0</v>
      </c>
      <c r="K263" t="n">
        <v>0</v>
      </c>
      <c r="L263" t="n">
        <v>0</v>
      </c>
      <c r="M263" t="n">
        <v>0</v>
      </c>
      <c r="N263" t="n">
        <v>0</v>
      </c>
      <c r="O263" t="n">
        <v>0</v>
      </c>
      <c r="P263" t="n">
        <v>0</v>
      </c>
      <c r="Q263" t="n">
        <v>0</v>
      </c>
      <c r="R263" s="2" t="inlineStr"/>
    </row>
    <row r="264" ht="15" customHeight="1">
      <c r="A264" t="inlineStr">
        <is>
          <t>A 22384-2025</t>
        </is>
      </c>
      <c r="B264" s="1" t="n">
        <v>45786</v>
      </c>
      <c r="C264" s="1" t="n">
        <v>46034</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38853-2025</t>
        </is>
      </c>
      <c r="B265" s="1" t="n">
        <v>45887.55666666666</v>
      </c>
      <c r="C265" s="1" t="n">
        <v>46034</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43557-2024</t>
        </is>
      </c>
      <c r="B266" s="1" t="n">
        <v>45569.39229166666</v>
      </c>
      <c r="C266" s="1" t="n">
        <v>46034</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4521-2025</t>
        </is>
      </c>
      <c r="B267" s="1" t="n">
        <v>45686</v>
      </c>
      <c r="C267" s="1" t="n">
        <v>46034</v>
      </c>
      <c r="D267" t="inlineStr">
        <is>
          <t>JÄMTLANDS LÄN</t>
        </is>
      </c>
      <c r="E267" t="inlineStr">
        <is>
          <t>ÖSTERSUND</t>
        </is>
      </c>
      <c r="G267" t="n">
        <v>28.4</v>
      </c>
      <c r="H267" t="n">
        <v>0</v>
      </c>
      <c r="I267" t="n">
        <v>0</v>
      </c>
      <c r="J267" t="n">
        <v>0</v>
      </c>
      <c r="K267" t="n">
        <v>0</v>
      </c>
      <c r="L267" t="n">
        <v>0</v>
      </c>
      <c r="M267" t="n">
        <v>0</v>
      </c>
      <c r="N267" t="n">
        <v>0</v>
      </c>
      <c r="O267" t="n">
        <v>0</v>
      </c>
      <c r="P267" t="n">
        <v>0</v>
      </c>
      <c r="Q267" t="n">
        <v>0</v>
      </c>
      <c r="R267" s="2" t="inlineStr"/>
    </row>
    <row r="268" ht="15" customHeight="1">
      <c r="A268" t="inlineStr">
        <is>
          <t>A 23249-2025</t>
        </is>
      </c>
      <c r="B268" s="1" t="n">
        <v>45791</v>
      </c>
      <c r="C268" s="1" t="n">
        <v>46034</v>
      </c>
      <c r="D268" t="inlineStr">
        <is>
          <t>JÄMTLANDS LÄN</t>
        </is>
      </c>
      <c r="E268" t="inlineStr">
        <is>
          <t>ÖSTERSUND</t>
        </is>
      </c>
      <c r="G268" t="n">
        <v>10</v>
      </c>
      <c r="H268" t="n">
        <v>0</v>
      </c>
      <c r="I268" t="n">
        <v>0</v>
      </c>
      <c r="J268" t="n">
        <v>0</v>
      </c>
      <c r="K268" t="n">
        <v>0</v>
      </c>
      <c r="L268" t="n">
        <v>0</v>
      </c>
      <c r="M268" t="n">
        <v>0</v>
      </c>
      <c r="N268" t="n">
        <v>0</v>
      </c>
      <c r="O268" t="n">
        <v>0</v>
      </c>
      <c r="P268" t="n">
        <v>0</v>
      </c>
      <c r="Q268" t="n">
        <v>0</v>
      </c>
      <c r="R268" s="2" t="inlineStr"/>
    </row>
    <row r="269" ht="15" customHeight="1">
      <c r="A269" t="inlineStr">
        <is>
          <t>A 7938-2025</t>
        </is>
      </c>
      <c r="B269" s="1" t="n">
        <v>45707</v>
      </c>
      <c r="C269" s="1" t="n">
        <v>46034</v>
      </c>
      <c r="D269" t="inlineStr">
        <is>
          <t>JÄMTLANDS LÄN</t>
        </is>
      </c>
      <c r="E269" t="inlineStr">
        <is>
          <t>ÖSTERSUND</t>
        </is>
      </c>
      <c r="G269" t="n">
        <v>3</v>
      </c>
      <c r="H269" t="n">
        <v>0</v>
      </c>
      <c r="I269" t="n">
        <v>0</v>
      </c>
      <c r="J269" t="n">
        <v>0</v>
      </c>
      <c r="K269" t="n">
        <v>0</v>
      </c>
      <c r="L269" t="n">
        <v>0</v>
      </c>
      <c r="M269" t="n">
        <v>0</v>
      </c>
      <c r="N269" t="n">
        <v>0</v>
      </c>
      <c r="O269" t="n">
        <v>0</v>
      </c>
      <c r="P269" t="n">
        <v>0</v>
      </c>
      <c r="Q269" t="n">
        <v>0</v>
      </c>
      <c r="R269" s="2" t="inlineStr"/>
    </row>
    <row r="270" ht="15" customHeight="1">
      <c r="A270" t="inlineStr">
        <is>
          <t>A 23100-2025</t>
        </is>
      </c>
      <c r="B270" s="1" t="n">
        <v>45791.35212962963</v>
      </c>
      <c r="C270" s="1" t="n">
        <v>46034</v>
      </c>
      <c r="D270" t="inlineStr">
        <is>
          <t>JÄMTLANDS LÄN</t>
        </is>
      </c>
      <c r="E270" t="inlineStr">
        <is>
          <t>ÖSTERSUND</t>
        </is>
      </c>
      <c r="G270" t="n">
        <v>4.5</v>
      </c>
      <c r="H270" t="n">
        <v>0</v>
      </c>
      <c r="I270" t="n">
        <v>0</v>
      </c>
      <c r="J270" t="n">
        <v>0</v>
      </c>
      <c r="K270" t="n">
        <v>0</v>
      </c>
      <c r="L270" t="n">
        <v>0</v>
      </c>
      <c r="M270" t="n">
        <v>0</v>
      </c>
      <c r="N270" t="n">
        <v>0</v>
      </c>
      <c r="O270" t="n">
        <v>0</v>
      </c>
      <c r="P270" t="n">
        <v>0</v>
      </c>
      <c r="Q270" t="n">
        <v>0</v>
      </c>
      <c r="R270" s="2" t="inlineStr"/>
    </row>
    <row r="271" ht="15" customHeight="1">
      <c r="A271" t="inlineStr">
        <is>
          <t>A 23110-2025</t>
        </is>
      </c>
      <c r="B271" s="1" t="n">
        <v>45791.36526620371</v>
      </c>
      <c r="C271" s="1" t="n">
        <v>46034</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47627-2024</t>
        </is>
      </c>
      <c r="B272" s="1" t="n">
        <v>45588.3440625</v>
      </c>
      <c r="C272" s="1" t="n">
        <v>46034</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47628-2024</t>
        </is>
      </c>
      <c r="B273" s="1" t="n">
        <v>45588.34418981482</v>
      </c>
      <c r="C273" s="1" t="n">
        <v>46034</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56646-2024</t>
        </is>
      </c>
      <c r="B274" s="1" t="n">
        <v>45625</v>
      </c>
      <c r="C274" s="1" t="n">
        <v>46034</v>
      </c>
      <c r="D274" t="inlineStr">
        <is>
          <t>JÄMTLANDS LÄN</t>
        </is>
      </c>
      <c r="E274" t="inlineStr">
        <is>
          <t>ÖSTERSUND</t>
        </is>
      </c>
      <c r="G274" t="n">
        <v>18.9</v>
      </c>
      <c r="H274" t="n">
        <v>0</v>
      </c>
      <c r="I274" t="n">
        <v>0</v>
      </c>
      <c r="J274" t="n">
        <v>0</v>
      </c>
      <c r="K274" t="n">
        <v>0</v>
      </c>
      <c r="L274" t="n">
        <v>0</v>
      </c>
      <c r="M274" t="n">
        <v>0</v>
      </c>
      <c r="N274" t="n">
        <v>0</v>
      </c>
      <c r="O274" t="n">
        <v>0</v>
      </c>
      <c r="P274" t="n">
        <v>0</v>
      </c>
      <c r="Q274" t="n">
        <v>0</v>
      </c>
      <c r="R274" s="2" t="inlineStr"/>
    </row>
    <row r="275" ht="15" customHeight="1">
      <c r="A275" t="inlineStr">
        <is>
          <t>A 22920-2025</t>
        </is>
      </c>
      <c r="B275" s="1" t="n">
        <v>45790.43905092592</v>
      </c>
      <c r="C275" s="1" t="n">
        <v>46034</v>
      </c>
      <c r="D275" t="inlineStr">
        <is>
          <t>JÄMTLANDS LÄN</t>
        </is>
      </c>
      <c r="E275" t="inlineStr">
        <is>
          <t>ÖSTERSUND</t>
        </is>
      </c>
      <c r="G275" t="n">
        <v>0.4</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46034</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46034</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39030-2025</t>
        </is>
      </c>
      <c r="B278" s="1" t="n">
        <v>45888.40700231482</v>
      </c>
      <c r="C278" s="1" t="n">
        <v>46034</v>
      </c>
      <c r="D278" t="inlineStr">
        <is>
          <t>JÄMTLANDS LÄN</t>
        </is>
      </c>
      <c r="E278" t="inlineStr">
        <is>
          <t>ÖSTERSUND</t>
        </is>
      </c>
      <c r="G278" t="n">
        <v>1.8</v>
      </c>
      <c r="H278" t="n">
        <v>0</v>
      </c>
      <c r="I278" t="n">
        <v>0</v>
      </c>
      <c r="J278" t="n">
        <v>0</v>
      </c>
      <c r="K278" t="n">
        <v>0</v>
      </c>
      <c r="L278" t="n">
        <v>0</v>
      </c>
      <c r="M278" t="n">
        <v>0</v>
      </c>
      <c r="N278" t="n">
        <v>0</v>
      </c>
      <c r="O278" t="n">
        <v>0</v>
      </c>
      <c r="P278" t="n">
        <v>0</v>
      </c>
      <c r="Q278" t="n">
        <v>0</v>
      </c>
      <c r="R278" s="2" t="inlineStr"/>
    </row>
    <row r="279" ht="15" customHeight="1">
      <c r="A279" t="inlineStr">
        <is>
          <t>A 16335-2025</t>
        </is>
      </c>
      <c r="B279" s="1" t="n">
        <v>45751.36518518518</v>
      </c>
      <c r="C279" s="1" t="n">
        <v>46034</v>
      </c>
      <c r="D279" t="inlineStr">
        <is>
          <t>JÄMTLANDS LÄN</t>
        </is>
      </c>
      <c r="E279" t="inlineStr">
        <is>
          <t>ÖSTERSUND</t>
        </is>
      </c>
      <c r="G279" t="n">
        <v>3.7</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46034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39103-2025</t>
        </is>
      </c>
      <c r="B281" s="1" t="n">
        <v>45888.52440972222</v>
      </c>
      <c r="C281" s="1" t="n">
        <v>46034</v>
      </c>
      <c r="D281" t="inlineStr">
        <is>
          <t>JÄMTLANDS LÄN</t>
        </is>
      </c>
      <c r="E281" t="inlineStr">
        <is>
          <t>ÖSTERSUND</t>
        </is>
      </c>
      <c r="G281" t="n">
        <v>23.9</v>
      </c>
      <c r="H281" t="n">
        <v>0</v>
      </c>
      <c r="I281" t="n">
        <v>0</v>
      </c>
      <c r="J281" t="n">
        <v>0</v>
      </c>
      <c r="K281" t="n">
        <v>0</v>
      </c>
      <c r="L281" t="n">
        <v>0</v>
      </c>
      <c r="M281" t="n">
        <v>0</v>
      </c>
      <c r="N281" t="n">
        <v>0</v>
      </c>
      <c r="O281" t="n">
        <v>0</v>
      </c>
      <c r="P281" t="n">
        <v>0</v>
      </c>
      <c r="Q281" t="n">
        <v>0</v>
      </c>
      <c r="R281" s="2" t="inlineStr"/>
    </row>
    <row r="282" ht="15" customHeight="1">
      <c r="A282" t="inlineStr">
        <is>
          <t>A 23877-2025</t>
        </is>
      </c>
      <c r="B282" s="1" t="n">
        <v>45793.68469907407</v>
      </c>
      <c r="C282" s="1" t="n">
        <v>46034</v>
      </c>
      <c r="D282" t="inlineStr">
        <is>
          <t>JÄMTLANDS LÄN</t>
        </is>
      </c>
      <c r="E282" t="inlineStr">
        <is>
          <t>ÖSTERSUND</t>
        </is>
      </c>
      <c r="G282" t="n">
        <v>0.5</v>
      </c>
      <c r="H282" t="n">
        <v>0</v>
      </c>
      <c r="I282" t="n">
        <v>0</v>
      </c>
      <c r="J282" t="n">
        <v>0</v>
      </c>
      <c r="K282" t="n">
        <v>0</v>
      </c>
      <c r="L282" t="n">
        <v>0</v>
      </c>
      <c r="M282" t="n">
        <v>0</v>
      </c>
      <c r="N282" t="n">
        <v>0</v>
      </c>
      <c r="O282" t="n">
        <v>0</v>
      </c>
      <c r="P282" t="n">
        <v>0</v>
      </c>
      <c r="Q282" t="n">
        <v>0</v>
      </c>
      <c r="R282" s="2" t="inlineStr"/>
    </row>
    <row r="283" ht="15" customHeight="1">
      <c r="A283" t="inlineStr">
        <is>
          <t>A 59687-2025</t>
        </is>
      </c>
      <c r="B283" s="1" t="n">
        <v>45992.47729166667</v>
      </c>
      <c r="C283" s="1" t="n">
        <v>46034</v>
      </c>
      <c r="D283" t="inlineStr">
        <is>
          <t>JÄMTLANDS LÄN</t>
        </is>
      </c>
      <c r="E283" t="inlineStr">
        <is>
          <t>ÖSTERSUND</t>
        </is>
      </c>
      <c r="G283" t="n">
        <v>5</v>
      </c>
      <c r="H283" t="n">
        <v>0</v>
      </c>
      <c r="I283" t="n">
        <v>0</v>
      </c>
      <c r="J283" t="n">
        <v>0</v>
      </c>
      <c r="K283" t="n">
        <v>0</v>
      </c>
      <c r="L283" t="n">
        <v>0</v>
      </c>
      <c r="M283" t="n">
        <v>0</v>
      </c>
      <c r="N283" t="n">
        <v>0</v>
      </c>
      <c r="O283" t="n">
        <v>0</v>
      </c>
      <c r="P283" t="n">
        <v>0</v>
      </c>
      <c r="Q283" t="n">
        <v>0</v>
      </c>
      <c r="R283" s="2" t="inlineStr"/>
    </row>
    <row r="284" ht="15" customHeight="1">
      <c r="A284" t="inlineStr">
        <is>
          <t>A 11181-2025</t>
        </is>
      </c>
      <c r="B284" s="1" t="n">
        <v>45725.44039351852</v>
      </c>
      <c r="C284" s="1" t="n">
        <v>46034</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25221-2025</t>
        </is>
      </c>
      <c r="B285" s="1" t="n">
        <v>45800.47802083333</v>
      </c>
      <c r="C285" s="1" t="n">
        <v>46034</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40325-2025</t>
        </is>
      </c>
      <c r="B286" s="1" t="n">
        <v>45895.4484837963</v>
      </c>
      <c r="C286" s="1" t="n">
        <v>46034</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40361-2025</t>
        </is>
      </c>
      <c r="B287" s="1" t="n">
        <v>45895.49026620371</v>
      </c>
      <c r="C287" s="1" t="n">
        <v>46034</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40360-2025</t>
        </is>
      </c>
      <c r="B288" s="1" t="n">
        <v>45895.49024305555</v>
      </c>
      <c r="C288" s="1" t="n">
        <v>46034</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2984-2024</t>
        </is>
      </c>
      <c r="B289" s="1" t="n">
        <v>45315</v>
      </c>
      <c r="C289" s="1" t="n">
        <v>46034</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59619-2025</t>
        </is>
      </c>
      <c r="B290" s="1" t="n">
        <v>45992.38109953704</v>
      </c>
      <c r="C290" s="1" t="n">
        <v>46034</v>
      </c>
      <c r="D290" t="inlineStr">
        <is>
          <t>JÄMTLANDS LÄN</t>
        </is>
      </c>
      <c r="E290" t="inlineStr">
        <is>
          <t>ÖSTERSUND</t>
        </is>
      </c>
      <c r="G290" t="n">
        <v>3.6</v>
      </c>
      <c r="H290" t="n">
        <v>0</v>
      </c>
      <c r="I290" t="n">
        <v>0</v>
      </c>
      <c r="J290" t="n">
        <v>0</v>
      </c>
      <c r="K290" t="n">
        <v>0</v>
      </c>
      <c r="L290" t="n">
        <v>0</v>
      </c>
      <c r="M290" t="n">
        <v>0</v>
      </c>
      <c r="N290" t="n">
        <v>0</v>
      </c>
      <c r="O290" t="n">
        <v>0</v>
      </c>
      <c r="P290" t="n">
        <v>0</v>
      </c>
      <c r="Q290" t="n">
        <v>0</v>
      </c>
      <c r="R290" s="2" t="inlineStr"/>
    </row>
    <row r="291" ht="15" customHeight="1">
      <c r="A291" t="inlineStr">
        <is>
          <t>A 55002-2024</t>
        </is>
      </c>
      <c r="B291" s="1" t="n">
        <v>45621</v>
      </c>
      <c r="C291" s="1" t="n">
        <v>46034</v>
      </c>
      <c r="D291" t="inlineStr">
        <is>
          <t>JÄMTLANDS LÄN</t>
        </is>
      </c>
      <c r="E291" t="inlineStr">
        <is>
          <t>ÖSTERSUND</t>
        </is>
      </c>
      <c r="F291" t="inlineStr">
        <is>
          <t>Övriga Aktiebolag</t>
        </is>
      </c>
      <c r="G291" t="n">
        <v>0.3</v>
      </c>
      <c r="H291" t="n">
        <v>0</v>
      </c>
      <c r="I291" t="n">
        <v>0</v>
      </c>
      <c r="J291" t="n">
        <v>0</v>
      </c>
      <c r="K291" t="n">
        <v>0</v>
      </c>
      <c r="L291" t="n">
        <v>0</v>
      </c>
      <c r="M291" t="n">
        <v>0</v>
      </c>
      <c r="N291" t="n">
        <v>0</v>
      </c>
      <c r="O291" t="n">
        <v>0</v>
      </c>
      <c r="P291" t="n">
        <v>0</v>
      </c>
      <c r="Q291" t="n">
        <v>0</v>
      </c>
      <c r="R291" s="2" t="inlineStr"/>
    </row>
    <row r="292" ht="15" customHeight="1">
      <c r="A292" t="inlineStr">
        <is>
          <t>A 24403-2025</t>
        </is>
      </c>
      <c r="B292" s="1" t="n">
        <v>45797.65025462963</v>
      </c>
      <c r="C292" s="1" t="n">
        <v>46034</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7941-2025</t>
        </is>
      </c>
      <c r="B293" s="1" t="n">
        <v>45707</v>
      </c>
      <c r="C293" s="1" t="n">
        <v>46034</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60048-2025</t>
        </is>
      </c>
      <c r="B294" s="1" t="n">
        <v>45993.62974537037</v>
      </c>
      <c r="C294" s="1" t="n">
        <v>46034</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46034</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41780-2024</t>
        </is>
      </c>
      <c r="B296" s="1" t="n">
        <v>45561.34908564815</v>
      </c>
      <c r="C296" s="1" t="n">
        <v>46034</v>
      </c>
      <c r="D296" t="inlineStr">
        <is>
          <t>JÄMTLANDS LÄN</t>
        </is>
      </c>
      <c r="E296" t="inlineStr">
        <is>
          <t>ÖSTERSUND</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9109-2024</t>
        </is>
      </c>
      <c r="B297" s="1" t="n">
        <v>45357.96106481482</v>
      </c>
      <c r="C297" s="1" t="n">
        <v>46034</v>
      </c>
      <c r="D297" t="inlineStr">
        <is>
          <t>JÄMTLANDS LÄN</t>
        </is>
      </c>
      <c r="E297" t="inlineStr">
        <is>
          <t>ÖSTERSUND</t>
        </is>
      </c>
      <c r="G297" t="n">
        <v>17.1</v>
      </c>
      <c r="H297" t="n">
        <v>0</v>
      </c>
      <c r="I297" t="n">
        <v>0</v>
      </c>
      <c r="J297" t="n">
        <v>0</v>
      </c>
      <c r="K297" t="n">
        <v>0</v>
      </c>
      <c r="L297" t="n">
        <v>0</v>
      </c>
      <c r="M297" t="n">
        <v>0</v>
      </c>
      <c r="N297" t="n">
        <v>0</v>
      </c>
      <c r="O297" t="n">
        <v>0</v>
      </c>
      <c r="P297" t="n">
        <v>0</v>
      </c>
      <c r="Q297" t="n">
        <v>0</v>
      </c>
      <c r="R297" s="2" t="inlineStr"/>
    </row>
    <row r="298" ht="15" customHeight="1">
      <c r="A298" t="inlineStr">
        <is>
          <t>A 40326-2025</t>
        </is>
      </c>
      <c r="B298" s="1" t="n">
        <v>45895.44856481482</v>
      </c>
      <c r="C298" s="1" t="n">
        <v>46034</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24568-2025</t>
        </is>
      </c>
      <c r="B299" s="1" t="n">
        <v>45798.46913194445</v>
      </c>
      <c r="C299" s="1" t="n">
        <v>46034</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46034</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46034</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50088-2024</t>
        </is>
      </c>
      <c r="B302" s="1" t="n">
        <v>45600.38585648148</v>
      </c>
      <c r="C302" s="1" t="n">
        <v>46034</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59612-2025</t>
        </is>
      </c>
      <c r="B303" s="1" t="n">
        <v>45992.3706712963</v>
      </c>
      <c r="C303" s="1" t="n">
        <v>46034</v>
      </c>
      <c r="D303" t="inlineStr">
        <is>
          <t>JÄMTLANDS LÄN</t>
        </is>
      </c>
      <c r="E303" t="inlineStr">
        <is>
          <t>ÖSTERSUND</t>
        </is>
      </c>
      <c r="G303" t="n">
        <v>2.3</v>
      </c>
      <c r="H303" t="n">
        <v>0</v>
      </c>
      <c r="I303" t="n">
        <v>0</v>
      </c>
      <c r="J303" t="n">
        <v>0</v>
      </c>
      <c r="K303" t="n">
        <v>0</v>
      </c>
      <c r="L303" t="n">
        <v>0</v>
      </c>
      <c r="M303" t="n">
        <v>0</v>
      </c>
      <c r="N303" t="n">
        <v>0</v>
      </c>
      <c r="O303" t="n">
        <v>0</v>
      </c>
      <c r="P303" t="n">
        <v>0</v>
      </c>
      <c r="Q303" t="n">
        <v>0</v>
      </c>
      <c r="R303" s="2" t="inlineStr"/>
    </row>
    <row r="304" ht="15" customHeight="1">
      <c r="A304" t="inlineStr">
        <is>
          <t>A 25058-2025</t>
        </is>
      </c>
      <c r="B304" s="1" t="n">
        <v>45799.68418981481</v>
      </c>
      <c r="C304" s="1" t="n">
        <v>46034</v>
      </c>
      <c r="D304" t="inlineStr">
        <is>
          <t>JÄMTLANDS LÄN</t>
        </is>
      </c>
      <c r="E304" t="inlineStr">
        <is>
          <t>ÖSTERSUND</t>
        </is>
      </c>
      <c r="G304" t="n">
        <v>0.8</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46034</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11740-2022</t>
        </is>
      </c>
      <c r="B306" s="1" t="n">
        <v>44634.52982638889</v>
      </c>
      <c r="C306" s="1" t="n">
        <v>46034</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25069-2025</t>
        </is>
      </c>
      <c r="B307" s="1" t="n">
        <v>45799.7372337963</v>
      </c>
      <c r="C307" s="1" t="n">
        <v>46034</v>
      </c>
      <c r="D307" t="inlineStr">
        <is>
          <t>JÄMTLANDS LÄN</t>
        </is>
      </c>
      <c r="E307" t="inlineStr">
        <is>
          <t>ÖSTERSUND</t>
        </is>
      </c>
      <c r="G307" t="n">
        <v>3.5</v>
      </c>
      <c r="H307" t="n">
        <v>0</v>
      </c>
      <c r="I307" t="n">
        <v>0</v>
      </c>
      <c r="J307" t="n">
        <v>0</v>
      </c>
      <c r="K307" t="n">
        <v>0</v>
      </c>
      <c r="L307" t="n">
        <v>0</v>
      </c>
      <c r="M307" t="n">
        <v>0</v>
      </c>
      <c r="N307" t="n">
        <v>0</v>
      </c>
      <c r="O307" t="n">
        <v>0</v>
      </c>
      <c r="P307" t="n">
        <v>0</v>
      </c>
      <c r="Q307" t="n">
        <v>0</v>
      </c>
      <c r="R307" s="2" t="inlineStr"/>
    </row>
    <row r="308" ht="15" customHeight="1">
      <c r="A308" t="inlineStr">
        <is>
          <t>A 24946-2025</t>
        </is>
      </c>
      <c r="B308" s="1" t="n">
        <v>45799.56515046296</v>
      </c>
      <c r="C308" s="1" t="n">
        <v>46034</v>
      </c>
      <c r="D308" t="inlineStr">
        <is>
          <t>JÄMTLANDS LÄN</t>
        </is>
      </c>
      <c r="E308" t="inlineStr">
        <is>
          <t>ÖSTERSUND</t>
        </is>
      </c>
      <c r="G308" t="n">
        <v>4.8</v>
      </c>
      <c r="H308" t="n">
        <v>0</v>
      </c>
      <c r="I308" t="n">
        <v>0</v>
      </c>
      <c r="J308" t="n">
        <v>0</v>
      </c>
      <c r="K308" t="n">
        <v>0</v>
      </c>
      <c r="L308" t="n">
        <v>0</v>
      </c>
      <c r="M308" t="n">
        <v>0</v>
      </c>
      <c r="N308" t="n">
        <v>0</v>
      </c>
      <c r="O308" t="n">
        <v>0</v>
      </c>
      <c r="P308" t="n">
        <v>0</v>
      </c>
      <c r="Q308" t="n">
        <v>0</v>
      </c>
      <c r="R308" s="2" t="inlineStr"/>
    </row>
    <row r="309" ht="15" customHeight="1">
      <c r="A309" t="inlineStr">
        <is>
          <t>A 14182-2025</t>
        </is>
      </c>
      <c r="B309" s="1" t="n">
        <v>45740.54168981482</v>
      </c>
      <c r="C309" s="1" t="n">
        <v>46034</v>
      </c>
      <c r="D309" t="inlineStr">
        <is>
          <t>JÄMTLANDS LÄN</t>
        </is>
      </c>
      <c r="E309" t="inlineStr">
        <is>
          <t>ÖSTERSUND</t>
        </is>
      </c>
      <c r="F309" t="inlineStr">
        <is>
          <t>Övriga Aktiebolag</t>
        </is>
      </c>
      <c r="G309" t="n">
        <v>20.1</v>
      </c>
      <c r="H309" t="n">
        <v>0</v>
      </c>
      <c r="I309" t="n">
        <v>0</v>
      </c>
      <c r="J309" t="n">
        <v>0</v>
      </c>
      <c r="K309" t="n">
        <v>0</v>
      </c>
      <c r="L309" t="n">
        <v>0</v>
      </c>
      <c r="M309" t="n">
        <v>0</v>
      </c>
      <c r="N309" t="n">
        <v>0</v>
      </c>
      <c r="O309" t="n">
        <v>0</v>
      </c>
      <c r="P309" t="n">
        <v>0</v>
      </c>
      <c r="Q309" t="n">
        <v>0</v>
      </c>
      <c r="R309" s="2" t="inlineStr"/>
    </row>
    <row r="310" ht="15" customHeight="1">
      <c r="A310" t="inlineStr">
        <is>
          <t>A 25059-2025</t>
        </is>
      </c>
      <c r="B310" s="1" t="n">
        <v>45799.69116898148</v>
      </c>
      <c r="C310" s="1" t="n">
        <v>46034</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25572-2025</t>
        </is>
      </c>
      <c r="B311" s="1" t="n">
        <v>45803</v>
      </c>
      <c r="C311" s="1" t="n">
        <v>46034</v>
      </c>
      <c r="D311" t="inlineStr">
        <is>
          <t>JÄMTLANDS LÄN</t>
        </is>
      </c>
      <c r="E311" t="inlineStr">
        <is>
          <t>ÖSTERSUND</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41582-2025</t>
        </is>
      </c>
      <c r="B312" s="1" t="n">
        <v>45901</v>
      </c>
      <c r="C312" s="1" t="n">
        <v>46034</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5549-2025</t>
        </is>
      </c>
      <c r="B313" s="1" t="n">
        <v>45693</v>
      </c>
      <c r="C313" s="1" t="n">
        <v>46034</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5553-2025</t>
        </is>
      </c>
      <c r="B314" s="1" t="n">
        <v>45693</v>
      </c>
      <c r="C314" s="1" t="n">
        <v>46034</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60560-2022</t>
        </is>
      </c>
      <c r="B315" s="1" t="n">
        <v>44911.54984953703</v>
      </c>
      <c r="C315" s="1" t="n">
        <v>46034</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25252-2025</t>
        </is>
      </c>
      <c r="B316" s="1" t="n">
        <v>45800.50355324074</v>
      </c>
      <c r="C316" s="1" t="n">
        <v>46034</v>
      </c>
      <c r="D316" t="inlineStr">
        <is>
          <t>JÄMTLANDS LÄN</t>
        </is>
      </c>
      <c r="E316" t="inlineStr">
        <is>
          <t>ÖSTERSUND</t>
        </is>
      </c>
      <c r="G316" t="n">
        <v>2.7</v>
      </c>
      <c r="H316" t="n">
        <v>0</v>
      </c>
      <c r="I316" t="n">
        <v>0</v>
      </c>
      <c r="J316" t="n">
        <v>0</v>
      </c>
      <c r="K316" t="n">
        <v>0</v>
      </c>
      <c r="L316" t="n">
        <v>0</v>
      </c>
      <c r="M316" t="n">
        <v>0</v>
      </c>
      <c r="N316" t="n">
        <v>0</v>
      </c>
      <c r="O316" t="n">
        <v>0</v>
      </c>
      <c r="P316" t="n">
        <v>0</v>
      </c>
      <c r="Q316" t="n">
        <v>0</v>
      </c>
      <c r="R316" s="2" t="inlineStr"/>
    </row>
    <row r="317" ht="15" customHeight="1">
      <c r="A317" t="inlineStr">
        <is>
          <t>A 25210-2025</t>
        </is>
      </c>
      <c r="B317" s="1" t="n">
        <v>45800.46960648148</v>
      </c>
      <c r="C317" s="1" t="n">
        <v>46034</v>
      </c>
      <c r="D317" t="inlineStr">
        <is>
          <t>JÄMTLANDS LÄN</t>
        </is>
      </c>
      <c r="E317" t="inlineStr">
        <is>
          <t>ÖSTERSUND</t>
        </is>
      </c>
      <c r="G317" t="n">
        <v>3.5</v>
      </c>
      <c r="H317" t="n">
        <v>0</v>
      </c>
      <c r="I317" t="n">
        <v>0</v>
      </c>
      <c r="J317" t="n">
        <v>0</v>
      </c>
      <c r="K317" t="n">
        <v>0</v>
      </c>
      <c r="L317" t="n">
        <v>0</v>
      </c>
      <c r="M317" t="n">
        <v>0</v>
      </c>
      <c r="N317" t="n">
        <v>0</v>
      </c>
      <c r="O317" t="n">
        <v>0</v>
      </c>
      <c r="P317" t="n">
        <v>0</v>
      </c>
      <c r="Q317" t="n">
        <v>0</v>
      </c>
      <c r="R317" s="2" t="inlineStr"/>
    </row>
    <row r="318" ht="15" customHeight="1">
      <c r="A318" t="inlineStr">
        <is>
          <t>A 26144-2025</t>
        </is>
      </c>
      <c r="B318" s="1" t="n">
        <v>45805.42827546296</v>
      </c>
      <c r="C318" s="1" t="n">
        <v>46034</v>
      </c>
      <c r="D318" t="inlineStr">
        <is>
          <t>JÄMTLANDS LÄN</t>
        </is>
      </c>
      <c r="E318" t="inlineStr">
        <is>
          <t>ÖSTERSUND</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5140-2025</t>
        </is>
      </c>
      <c r="B319" s="1" t="n">
        <v>45691</v>
      </c>
      <c r="C319" s="1" t="n">
        <v>46034</v>
      </c>
      <c r="D319" t="inlineStr">
        <is>
          <t>JÄMTLANDS LÄN</t>
        </is>
      </c>
      <c r="E319" t="inlineStr">
        <is>
          <t>ÖSTERSUND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46034</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60174-2022</t>
        </is>
      </c>
      <c r="B321" s="1" t="n">
        <v>44909.9640162037</v>
      </c>
      <c r="C321" s="1" t="n">
        <v>46034</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41675-2025</t>
        </is>
      </c>
      <c r="B322" s="1" t="n">
        <v>45902.36641203704</v>
      </c>
      <c r="C322" s="1" t="n">
        <v>46034</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43016-2024</t>
        </is>
      </c>
      <c r="B323" s="1" t="n">
        <v>45567.39192129629</v>
      </c>
      <c r="C323" s="1" t="n">
        <v>46034</v>
      </c>
      <c r="D323" t="inlineStr">
        <is>
          <t>JÄMTLANDS LÄN</t>
        </is>
      </c>
      <c r="E323" t="inlineStr">
        <is>
          <t>ÖSTERSUND</t>
        </is>
      </c>
      <c r="G323" t="n">
        <v>5.3</v>
      </c>
      <c r="H323" t="n">
        <v>0</v>
      </c>
      <c r="I323" t="n">
        <v>0</v>
      </c>
      <c r="J323" t="n">
        <v>0</v>
      </c>
      <c r="K323" t="n">
        <v>0</v>
      </c>
      <c r="L323" t="n">
        <v>0</v>
      </c>
      <c r="M323" t="n">
        <v>0</v>
      </c>
      <c r="N323" t="n">
        <v>0</v>
      </c>
      <c r="O323" t="n">
        <v>0</v>
      </c>
      <c r="P323" t="n">
        <v>0</v>
      </c>
      <c r="Q323" t="n">
        <v>0</v>
      </c>
      <c r="R323" s="2" t="inlineStr"/>
    </row>
    <row r="324" ht="15" customHeight="1">
      <c r="A324" t="inlineStr">
        <is>
          <t>A 41708-2025</t>
        </is>
      </c>
      <c r="B324" s="1" t="n">
        <v>45902.42280092592</v>
      </c>
      <c r="C324" s="1" t="n">
        <v>46034</v>
      </c>
      <c r="D324" t="inlineStr">
        <is>
          <t>JÄMTLANDS LÄN</t>
        </is>
      </c>
      <c r="E324" t="inlineStr">
        <is>
          <t>ÖSTERSUND</t>
        </is>
      </c>
      <c r="G324" t="n">
        <v>1.2</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46034</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51481-2023</t>
        </is>
      </c>
      <c r="B326" s="1" t="n">
        <v>45221.92440972223</v>
      </c>
      <c r="C326" s="1" t="n">
        <v>46034</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42129-2025</t>
        </is>
      </c>
      <c r="B327" s="1" t="n">
        <v>45904.3452662037</v>
      </c>
      <c r="C327" s="1" t="n">
        <v>46034</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46034</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46034</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59613-2025</t>
        </is>
      </c>
      <c r="B330" s="1" t="n">
        <v>45992.37172453704</v>
      </c>
      <c r="C330" s="1" t="n">
        <v>46034</v>
      </c>
      <c r="D330" t="inlineStr">
        <is>
          <t>JÄMTLANDS LÄN</t>
        </is>
      </c>
      <c r="E330" t="inlineStr">
        <is>
          <t>ÖSTERSUND</t>
        </is>
      </c>
      <c r="G330" t="n">
        <v>2.1</v>
      </c>
      <c r="H330" t="n">
        <v>0</v>
      </c>
      <c r="I330" t="n">
        <v>0</v>
      </c>
      <c r="J330" t="n">
        <v>0</v>
      </c>
      <c r="K330" t="n">
        <v>0</v>
      </c>
      <c r="L330" t="n">
        <v>0</v>
      </c>
      <c r="M330" t="n">
        <v>0</v>
      </c>
      <c r="N330" t="n">
        <v>0</v>
      </c>
      <c r="O330" t="n">
        <v>0</v>
      </c>
      <c r="P330" t="n">
        <v>0</v>
      </c>
      <c r="Q330" t="n">
        <v>0</v>
      </c>
      <c r="R330" s="2" t="inlineStr"/>
    </row>
    <row r="331" ht="15" customHeight="1">
      <c r="A331" t="inlineStr">
        <is>
          <t>A 5135-2025</t>
        </is>
      </c>
      <c r="B331" s="1" t="n">
        <v>45691</v>
      </c>
      <c r="C331" s="1" t="n">
        <v>46034</v>
      </c>
      <c r="D331" t="inlineStr">
        <is>
          <t>JÄMTLANDS LÄN</t>
        </is>
      </c>
      <c r="E331" t="inlineStr">
        <is>
          <t>ÖSTERSUND</t>
        </is>
      </c>
      <c r="F331" t="inlineStr">
        <is>
          <t>Övriga Aktiebolag</t>
        </is>
      </c>
      <c r="G331" t="n">
        <v>126.9</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46034</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46034</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26587-2025</t>
        </is>
      </c>
      <c r="B334" s="1" t="n">
        <v>45807.75076388889</v>
      </c>
      <c r="C334" s="1" t="n">
        <v>46034</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8675-2023</t>
        </is>
      </c>
      <c r="B335" s="1" t="n">
        <v>44977.98629629629</v>
      </c>
      <c r="C335" s="1" t="n">
        <v>46034</v>
      </c>
      <c r="D335" t="inlineStr">
        <is>
          <t>JÄMTLANDS LÄN</t>
        </is>
      </c>
      <c r="E335" t="inlineStr">
        <is>
          <t>ÖSTERSUND</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46034</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13651-2025</t>
        </is>
      </c>
      <c r="B337" s="1" t="n">
        <v>45736.71818287037</v>
      </c>
      <c r="C337" s="1" t="n">
        <v>46034</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39510-2024</t>
        </is>
      </c>
      <c r="B338" s="1" t="n">
        <v>45551.67761574074</v>
      </c>
      <c r="C338" s="1" t="n">
        <v>46034</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46034</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46034</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46034</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42989-2025</t>
        </is>
      </c>
      <c r="B342" s="1" t="n">
        <v>45909.44971064815</v>
      </c>
      <c r="C342" s="1" t="n">
        <v>46034</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27035-2025</t>
        </is>
      </c>
      <c r="B343" s="1" t="n">
        <v>45811.5928587963</v>
      </c>
      <c r="C343" s="1" t="n">
        <v>46034</v>
      </c>
      <c r="D343" t="inlineStr">
        <is>
          <t>JÄMTLANDS LÄN</t>
        </is>
      </c>
      <c r="E343" t="inlineStr">
        <is>
          <t>ÖSTERSUND</t>
        </is>
      </c>
      <c r="G343" t="n">
        <v>2.8</v>
      </c>
      <c r="H343" t="n">
        <v>0</v>
      </c>
      <c r="I343" t="n">
        <v>0</v>
      </c>
      <c r="J343" t="n">
        <v>0</v>
      </c>
      <c r="K343" t="n">
        <v>0</v>
      </c>
      <c r="L343" t="n">
        <v>0</v>
      </c>
      <c r="M343" t="n">
        <v>0</v>
      </c>
      <c r="N343" t="n">
        <v>0</v>
      </c>
      <c r="O343" t="n">
        <v>0</v>
      </c>
      <c r="P343" t="n">
        <v>0</v>
      </c>
      <c r="Q343" t="n">
        <v>0</v>
      </c>
      <c r="R343" s="2" t="inlineStr"/>
    </row>
    <row r="344" ht="15" customHeight="1">
      <c r="A344" t="inlineStr">
        <is>
          <t>A 6048-2024</t>
        </is>
      </c>
      <c r="B344" s="1" t="n">
        <v>45336</v>
      </c>
      <c r="C344" s="1" t="n">
        <v>46034</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2747-2025</t>
        </is>
      </c>
      <c r="B345" s="1" t="n">
        <v>45677.4649537037</v>
      </c>
      <c r="C345" s="1" t="n">
        <v>46034</v>
      </c>
      <c r="D345" t="inlineStr">
        <is>
          <t>JÄMTLANDS LÄN</t>
        </is>
      </c>
      <c r="E345" t="inlineStr">
        <is>
          <t>ÖSTERSUND</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52247-2025</t>
        </is>
      </c>
      <c r="B346" s="1" t="n">
        <v>45953.47575231481</v>
      </c>
      <c r="C346" s="1" t="n">
        <v>46034</v>
      </c>
      <c r="D346" t="inlineStr">
        <is>
          <t>JÄMTLANDS LÄN</t>
        </is>
      </c>
      <c r="E346" t="inlineStr">
        <is>
          <t>ÖSTERSUND</t>
        </is>
      </c>
      <c r="G346" t="n">
        <v>8.4</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46034</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43225-2025</t>
        </is>
      </c>
      <c r="B348" s="1" t="n">
        <v>45910.4900462963</v>
      </c>
      <c r="C348" s="1" t="n">
        <v>46034</v>
      </c>
      <c r="D348" t="inlineStr">
        <is>
          <t>JÄMTLANDS LÄN</t>
        </is>
      </c>
      <c r="E348" t="inlineStr">
        <is>
          <t>ÖSTERSUND</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46034</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46034</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10266-2025</t>
        </is>
      </c>
      <c r="B351" s="1" t="n">
        <v>45720.38576388889</v>
      </c>
      <c r="C351" s="1" t="n">
        <v>46034</v>
      </c>
      <c r="D351" t="inlineStr">
        <is>
          <t>JÄMTLANDS LÄN</t>
        </is>
      </c>
      <c r="E351" t="inlineStr">
        <is>
          <t>ÖSTERSUND</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27517-2025</t>
        </is>
      </c>
      <c r="B352" s="1" t="n">
        <v>45813.43966435185</v>
      </c>
      <c r="C352" s="1" t="n">
        <v>46034</v>
      </c>
      <c r="D352" t="inlineStr">
        <is>
          <t>JÄMTLANDS LÄN</t>
        </is>
      </c>
      <c r="E352" t="inlineStr">
        <is>
          <t>ÖSTERSUND</t>
        </is>
      </c>
      <c r="G352" t="n">
        <v>2.2</v>
      </c>
      <c r="H352" t="n">
        <v>0</v>
      </c>
      <c r="I352" t="n">
        <v>0</v>
      </c>
      <c r="J352" t="n">
        <v>0</v>
      </c>
      <c r="K352" t="n">
        <v>0</v>
      </c>
      <c r="L352" t="n">
        <v>0</v>
      </c>
      <c r="M352" t="n">
        <v>0</v>
      </c>
      <c r="N352" t="n">
        <v>0</v>
      </c>
      <c r="O352" t="n">
        <v>0</v>
      </c>
      <c r="P352" t="n">
        <v>0</v>
      </c>
      <c r="Q352" t="n">
        <v>0</v>
      </c>
      <c r="R352" s="2" t="inlineStr"/>
    </row>
    <row r="353" ht="15" customHeight="1">
      <c r="A353" t="inlineStr">
        <is>
          <t>A 43519-2025</t>
        </is>
      </c>
      <c r="B353" s="1" t="n">
        <v>45911.57349537037</v>
      </c>
      <c r="C353" s="1" t="n">
        <v>46034</v>
      </c>
      <c r="D353" t="inlineStr">
        <is>
          <t>JÄMTLANDS LÄN</t>
        </is>
      </c>
      <c r="E353" t="inlineStr">
        <is>
          <t>ÖSTERSUND</t>
        </is>
      </c>
      <c r="F353" t="inlineStr">
        <is>
          <t>SCA</t>
        </is>
      </c>
      <c r="G353" t="n">
        <v>14.4</v>
      </c>
      <c r="H353" t="n">
        <v>0</v>
      </c>
      <c r="I353" t="n">
        <v>0</v>
      </c>
      <c r="J353" t="n">
        <v>0</v>
      </c>
      <c r="K353" t="n">
        <v>0</v>
      </c>
      <c r="L353" t="n">
        <v>0</v>
      </c>
      <c r="M353" t="n">
        <v>0</v>
      </c>
      <c r="N353" t="n">
        <v>0</v>
      </c>
      <c r="O353" t="n">
        <v>0</v>
      </c>
      <c r="P353" t="n">
        <v>0</v>
      </c>
      <c r="Q353" t="n">
        <v>0</v>
      </c>
      <c r="R353" s="2" t="inlineStr"/>
    </row>
    <row r="354" ht="15" customHeight="1">
      <c r="A354" t="inlineStr">
        <is>
          <t>A 7956-2025</t>
        </is>
      </c>
      <c r="B354" s="1" t="n">
        <v>45707.42825231481</v>
      </c>
      <c r="C354" s="1" t="n">
        <v>46034</v>
      </c>
      <c r="D354" t="inlineStr">
        <is>
          <t>JÄMTLANDS LÄN</t>
        </is>
      </c>
      <c r="E354" t="inlineStr">
        <is>
          <t>ÖSTERSUND</t>
        </is>
      </c>
      <c r="F354" t="inlineStr">
        <is>
          <t>Övriga Aktiebolag</t>
        </is>
      </c>
      <c r="G354" t="n">
        <v>111.2</v>
      </c>
      <c r="H354" t="n">
        <v>0</v>
      </c>
      <c r="I354" t="n">
        <v>0</v>
      </c>
      <c r="J354" t="n">
        <v>0</v>
      </c>
      <c r="K354" t="n">
        <v>0</v>
      </c>
      <c r="L354" t="n">
        <v>0</v>
      </c>
      <c r="M354" t="n">
        <v>0</v>
      </c>
      <c r="N354" t="n">
        <v>0</v>
      </c>
      <c r="O354" t="n">
        <v>0</v>
      </c>
      <c r="P354" t="n">
        <v>0</v>
      </c>
      <c r="Q354" t="n">
        <v>0</v>
      </c>
      <c r="R354" s="2" t="inlineStr"/>
    </row>
    <row r="355" ht="15" customHeight="1">
      <c r="A355" t="inlineStr">
        <is>
          <t>A 28025-2025</t>
        </is>
      </c>
      <c r="B355" s="1" t="n">
        <v>45817</v>
      </c>
      <c r="C355" s="1" t="n">
        <v>46034</v>
      </c>
      <c r="D355" t="inlineStr">
        <is>
          <t>JÄMTLANDS LÄN</t>
        </is>
      </c>
      <c r="E355" t="inlineStr">
        <is>
          <t>ÖSTERSUND</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28595-2025</t>
        </is>
      </c>
      <c r="B356" s="1" t="n">
        <v>45819.59429398148</v>
      </c>
      <c r="C356" s="1" t="n">
        <v>46034</v>
      </c>
      <c r="D356" t="inlineStr">
        <is>
          <t>JÄMTLANDS LÄN</t>
        </is>
      </c>
      <c r="E356" t="inlineStr">
        <is>
          <t>ÖSTERSUND</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22082-2022</t>
        </is>
      </c>
      <c r="B357" s="1" t="n">
        <v>44711.9403587963</v>
      </c>
      <c r="C357" s="1" t="n">
        <v>46034</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38142-2021</t>
        </is>
      </c>
      <c r="B358" s="1" t="n">
        <v>44405</v>
      </c>
      <c r="C358" s="1" t="n">
        <v>46034</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44446-2025</t>
        </is>
      </c>
      <c r="B359" s="1" t="n">
        <v>45916.59773148148</v>
      </c>
      <c r="C359" s="1" t="n">
        <v>46034</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28185-2025</t>
        </is>
      </c>
      <c r="B360" s="1" t="n">
        <v>45818.40337962963</v>
      </c>
      <c r="C360" s="1" t="n">
        <v>46034</v>
      </c>
      <c r="D360" t="inlineStr">
        <is>
          <t>JÄMTLANDS LÄN</t>
        </is>
      </c>
      <c r="E360" t="inlineStr">
        <is>
          <t>ÖSTERSUND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46034</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61256-2022</t>
        </is>
      </c>
      <c r="B362" s="1" t="n">
        <v>44909</v>
      </c>
      <c r="C362" s="1" t="n">
        <v>46034</v>
      </c>
      <c r="D362" t="inlineStr">
        <is>
          <t>JÄMTLANDS LÄN</t>
        </is>
      </c>
      <c r="E362" t="inlineStr">
        <is>
          <t>ÖSTERSUND</t>
        </is>
      </c>
      <c r="G362" t="n">
        <v>3.9</v>
      </c>
      <c r="H362" t="n">
        <v>0</v>
      </c>
      <c r="I362" t="n">
        <v>0</v>
      </c>
      <c r="J362" t="n">
        <v>0</v>
      </c>
      <c r="K362" t="n">
        <v>0</v>
      </c>
      <c r="L362" t="n">
        <v>0</v>
      </c>
      <c r="M362" t="n">
        <v>0</v>
      </c>
      <c r="N362" t="n">
        <v>0</v>
      </c>
      <c r="O362" t="n">
        <v>0</v>
      </c>
      <c r="P362" t="n">
        <v>0</v>
      </c>
      <c r="Q362" t="n">
        <v>0</v>
      </c>
      <c r="R362" s="2" t="inlineStr"/>
    </row>
    <row r="363" ht="15" customHeight="1">
      <c r="A363" t="inlineStr">
        <is>
          <t>A 24781-2024</t>
        </is>
      </c>
      <c r="B363" s="1" t="n">
        <v>45460.7772800926</v>
      </c>
      <c r="C363" s="1" t="n">
        <v>46034</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45389-2025</t>
        </is>
      </c>
      <c r="B364" s="1" t="n">
        <v>45922.4075</v>
      </c>
      <c r="C364" s="1" t="n">
        <v>46034</v>
      </c>
      <c r="D364" t="inlineStr">
        <is>
          <t>JÄMTLANDS LÄN</t>
        </is>
      </c>
      <c r="E364" t="inlineStr">
        <is>
          <t>ÖSTERSUND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45391-2025</t>
        </is>
      </c>
      <c r="B365" s="1" t="n">
        <v>45922.4077662037</v>
      </c>
      <c r="C365" s="1" t="n">
        <v>46034</v>
      </c>
      <c r="D365" t="inlineStr">
        <is>
          <t>JÄMTLANDS LÄN</t>
        </is>
      </c>
      <c r="E365" t="inlineStr">
        <is>
          <t>ÖSTERSUND</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45297-2025</t>
        </is>
      </c>
      <c r="B366" s="1" t="n">
        <v>45920.8446412037</v>
      </c>
      <c r="C366" s="1" t="n">
        <v>46034</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46034</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61376-2024</t>
        </is>
      </c>
      <c r="B368" s="1" t="n">
        <v>45646.39434027778</v>
      </c>
      <c r="C368" s="1" t="n">
        <v>46034</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45385-2025</t>
        </is>
      </c>
      <c r="B369" s="1" t="n">
        <v>45922.40680555555</v>
      </c>
      <c r="C369" s="1" t="n">
        <v>46034</v>
      </c>
      <c r="D369" t="inlineStr">
        <is>
          <t>JÄMTLANDS LÄN</t>
        </is>
      </c>
      <c r="E369" t="inlineStr">
        <is>
          <t>ÖSTERSUND</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52280-2025</t>
        </is>
      </c>
      <c r="B370" s="1" t="n">
        <v>45953.56976851852</v>
      </c>
      <c r="C370" s="1" t="n">
        <v>46034</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46034</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46034</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30320-2025</t>
        </is>
      </c>
      <c r="B373" s="1" t="n">
        <v>45827.49415509259</v>
      </c>
      <c r="C373" s="1" t="n">
        <v>46034</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45558-2025</t>
        </is>
      </c>
      <c r="B374" s="1" t="n">
        <v>45922</v>
      </c>
      <c r="C374" s="1" t="n">
        <v>46034</v>
      </c>
      <c r="D374" t="inlineStr">
        <is>
          <t>JÄMTLANDS LÄN</t>
        </is>
      </c>
      <c r="E374" t="inlineStr">
        <is>
          <t>ÖSTERSUND</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45481-2025</t>
        </is>
      </c>
      <c r="B375" s="1" t="n">
        <v>45922.53217592592</v>
      </c>
      <c r="C375" s="1" t="n">
        <v>46034</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46132-2025</t>
        </is>
      </c>
      <c r="B376" s="1" t="n">
        <v>45924.59484953704</v>
      </c>
      <c r="C376" s="1" t="n">
        <v>46034</v>
      </c>
      <c r="D376" t="inlineStr">
        <is>
          <t>JÄMTLANDS LÄN</t>
        </is>
      </c>
      <c r="E376" t="inlineStr">
        <is>
          <t>ÖSTERSUND</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46152-2025</t>
        </is>
      </c>
      <c r="B377" s="1" t="n">
        <v>45924.61512731481</v>
      </c>
      <c r="C377" s="1" t="n">
        <v>46034</v>
      </c>
      <c r="D377" t="inlineStr">
        <is>
          <t>JÄMTLANDS LÄN</t>
        </is>
      </c>
      <c r="E377" t="inlineStr">
        <is>
          <t>ÖSTERSUND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69190-2021</t>
        </is>
      </c>
      <c r="B378" s="1" t="n">
        <v>44529</v>
      </c>
      <c r="C378" s="1" t="n">
        <v>46034</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30210-2025</t>
        </is>
      </c>
      <c r="B379" s="1" t="n">
        <v>45827.36590277778</v>
      </c>
      <c r="C379" s="1" t="n">
        <v>46034</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11182-2025</t>
        </is>
      </c>
      <c r="B380" s="1" t="n">
        <v>45725.44297453704</v>
      </c>
      <c r="C380" s="1" t="n">
        <v>46034</v>
      </c>
      <c r="D380" t="inlineStr">
        <is>
          <t>JÄMTLANDS LÄN</t>
        </is>
      </c>
      <c r="E380" t="inlineStr">
        <is>
          <t>ÖSTERSUND</t>
        </is>
      </c>
      <c r="G380" t="n">
        <v>3.3</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46034</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46202-2025</t>
        </is>
      </c>
      <c r="B382" s="1" t="n">
        <v>45924.70346064815</v>
      </c>
      <c r="C382" s="1" t="n">
        <v>46034</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52003-2025</t>
        </is>
      </c>
      <c r="B383" s="1" t="n">
        <v>45952.5909375</v>
      </c>
      <c r="C383" s="1" t="n">
        <v>46034</v>
      </c>
      <c r="D383" t="inlineStr">
        <is>
          <t>JÄMTLANDS LÄN</t>
        </is>
      </c>
      <c r="E383" t="inlineStr">
        <is>
          <t>ÖSTERSUND</t>
        </is>
      </c>
      <c r="G383" t="n">
        <v>5.7</v>
      </c>
      <c r="H383" t="n">
        <v>0</v>
      </c>
      <c r="I383" t="n">
        <v>0</v>
      </c>
      <c r="J383" t="n">
        <v>0</v>
      </c>
      <c r="K383" t="n">
        <v>0</v>
      </c>
      <c r="L383" t="n">
        <v>0</v>
      </c>
      <c r="M383" t="n">
        <v>0</v>
      </c>
      <c r="N383" t="n">
        <v>0</v>
      </c>
      <c r="O383" t="n">
        <v>0</v>
      </c>
      <c r="P383" t="n">
        <v>0</v>
      </c>
      <c r="Q383" t="n">
        <v>0</v>
      </c>
      <c r="R383" s="2" t="inlineStr"/>
    </row>
    <row r="384" ht="15" customHeight="1">
      <c r="A384" t="inlineStr">
        <is>
          <t>A 47563-2025</t>
        </is>
      </c>
      <c r="B384" s="1" t="n">
        <v>45931.38956018518</v>
      </c>
      <c r="C384" s="1" t="n">
        <v>46034</v>
      </c>
      <c r="D384" t="inlineStr">
        <is>
          <t>JÄMTLANDS LÄN</t>
        </is>
      </c>
      <c r="E384" t="inlineStr">
        <is>
          <t>ÖSTERSUND</t>
        </is>
      </c>
      <c r="G384" t="n">
        <v>2.3</v>
      </c>
      <c r="H384" t="n">
        <v>0</v>
      </c>
      <c r="I384" t="n">
        <v>0</v>
      </c>
      <c r="J384" t="n">
        <v>0</v>
      </c>
      <c r="K384" t="n">
        <v>0</v>
      </c>
      <c r="L384" t="n">
        <v>0</v>
      </c>
      <c r="M384" t="n">
        <v>0</v>
      </c>
      <c r="N384" t="n">
        <v>0</v>
      </c>
      <c r="O384" t="n">
        <v>0</v>
      </c>
      <c r="P384" t="n">
        <v>0</v>
      </c>
      <c r="Q384" t="n">
        <v>0</v>
      </c>
      <c r="R384" s="2" t="inlineStr"/>
    </row>
    <row r="385" ht="15" customHeight="1">
      <c r="A385" t="inlineStr">
        <is>
          <t>A 47805-2024</t>
        </is>
      </c>
      <c r="B385" s="1" t="n">
        <v>45588.61512731481</v>
      </c>
      <c r="C385" s="1" t="n">
        <v>46034</v>
      </c>
      <c r="D385" t="inlineStr">
        <is>
          <t>JÄMTLANDS LÄN</t>
        </is>
      </c>
      <c r="E385" t="inlineStr">
        <is>
          <t>ÖSTERSUND</t>
        </is>
      </c>
      <c r="G385" t="n">
        <v>7.4</v>
      </c>
      <c r="H385" t="n">
        <v>0</v>
      </c>
      <c r="I385" t="n">
        <v>0</v>
      </c>
      <c r="J385" t="n">
        <v>0</v>
      </c>
      <c r="K385" t="n">
        <v>0</v>
      </c>
      <c r="L385" t="n">
        <v>0</v>
      </c>
      <c r="M385" t="n">
        <v>0</v>
      </c>
      <c r="N385" t="n">
        <v>0</v>
      </c>
      <c r="O385" t="n">
        <v>0</v>
      </c>
      <c r="P385" t="n">
        <v>0</v>
      </c>
      <c r="Q385" t="n">
        <v>0</v>
      </c>
      <c r="R385" s="2" t="inlineStr"/>
    </row>
    <row r="386" ht="15" customHeight="1">
      <c r="A386" t="inlineStr">
        <is>
          <t>A 45338-2024</t>
        </is>
      </c>
      <c r="B386" s="1" t="n">
        <v>45576.46905092592</v>
      </c>
      <c r="C386" s="1" t="n">
        <v>46034</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45895-2024</t>
        </is>
      </c>
      <c r="B387" s="1" t="n">
        <v>45580.42736111111</v>
      </c>
      <c r="C387" s="1" t="n">
        <v>46034</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47575-2025</t>
        </is>
      </c>
      <c r="B388" s="1" t="n">
        <v>45931.40100694444</v>
      </c>
      <c r="C388" s="1" t="n">
        <v>46034</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46034</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27343-2022</t>
        </is>
      </c>
      <c r="B390" s="1" t="n">
        <v>44742</v>
      </c>
      <c r="C390" s="1" t="n">
        <v>46034</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32071-2025</t>
        </is>
      </c>
      <c r="B391" s="1" t="n">
        <v>45835.4491087963</v>
      </c>
      <c r="C391" s="1" t="n">
        <v>46034</v>
      </c>
      <c r="D391" t="inlineStr">
        <is>
          <t>JÄMTLANDS LÄN</t>
        </is>
      </c>
      <c r="E391" t="inlineStr">
        <is>
          <t>ÖSTERSUND</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45583.46936342592</v>
      </c>
      <c r="C392" s="1" t="n">
        <v>46034</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26373-2025</t>
        </is>
      </c>
      <c r="B393" s="1" t="n">
        <v>45806.40677083333</v>
      </c>
      <c r="C393" s="1" t="n">
        <v>46034</v>
      </c>
      <c r="D393" t="inlineStr">
        <is>
          <t>JÄMTLANDS LÄN</t>
        </is>
      </c>
      <c r="E393" t="inlineStr">
        <is>
          <t>ÖSTERSUND</t>
        </is>
      </c>
      <c r="G393" t="n">
        <v>3.6</v>
      </c>
      <c r="H393" t="n">
        <v>0</v>
      </c>
      <c r="I393" t="n">
        <v>0</v>
      </c>
      <c r="J393" t="n">
        <v>0</v>
      </c>
      <c r="K393" t="n">
        <v>0</v>
      </c>
      <c r="L393" t="n">
        <v>0</v>
      </c>
      <c r="M393" t="n">
        <v>0</v>
      </c>
      <c r="N393" t="n">
        <v>0</v>
      </c>
      <c r="O393" t="n">
        <v>0</v>
      </c>
      <c r="P393" t="n">
        <v>0</v>
      </c>
      <c r="Q393" t="n">
        <v>0</v>
      </c>
      <c r="R393" s="2" t="inlineStr"/>
    </row>
    <row r="394" ht="15" customHeight="1">
      <c r="A394" t="inlineStr">
        <is>
          <t>A 47759-2025</t>
        </is>
      </c>
      <c r="B394" s="1" t="n">
        <v>45931.67381944445</v>
      </c>
      <c r="C394" s="1" t="n">
        <v>46034</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2763-2022</t>
        </is>
      </c>
      <c r="B395" s="1" t="n">
        <v>44580</v>
      </c>
      <c r="C395" s="1" t="n">
        <v>46034</v>
      </c>
      <c r="D395" t="inlineStr">
        <is>
          <t>JÄMTLANDS LÄN</t>
        </is>
      </c>
      <c r="E395" t="inlineStr">
        <is>
          <t>ÖSTERSUND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7022-2025</t>
        </is>
      </c>
      <c r="B396" s="1" t="n">
        <v>45701.61899305556</v>
      </c>
      <c r="C396" s="1" t="n">
        <v>46034</v>
      </c>
      <c r="D396" t="inlineStr">
        <is>
          <t>JÄMTLANDS LÄN</t>
        </is>
      </c>
      <c r="E396" t="inlineStr">
        <is>
          <t>ÖSTERSUND</t>
        </is>
      </c>
      <c r="G396" t="n">
        <v>4.8</v>
      </c>
      <c r="H396" t="n">
        <v>0</v>
      </c>
      <c r="I396" t="n">
        <v>0</v>
      </c>
      <c r="J396" t="n">
        <v>0</v>
      </c>
      <c r="K396" t="n">
        <v>0</v>
      </c>
      <c r="L396" t="n">
        <v>0</v>
      </c>
      <c r="M396" t="n">
        <v>0</v>
      </c>
      <c r="N396" t="n">
        <v>0</v>
      </c>
      <c r="O396" t="n">
        <v>0</v>
      </c>
      <c r="P396" t="n">
        <v>0</v>
      </c>
      <c r="Q396" t="n">
        <v>0</v>
      </c>
      <c r="R396" s="2" t="inlineStr"/>
    </row>
    <row r="397" ht="15" customHeight="1">
      <c r="A397" t="inlineStr">
        <is>
          <t>A 32279-2025</t>
        </is>
      </c>
      <c r="B397" s="1" t="n">
        <v>45835.67109953704</v>
      </c>
      <c r="C397" s="1" t="n">
        <v>46034</v>
      </c>
      <c r="D397" t="inlineStr">
        <is>
          <t>JÄMTLANDS LÄN</t>
        </is>
      </c>
      <c r="E397" t="inlineStr">
        <is>
          <t>ÖSTERSUND</t>
        </is>
      </c>
      <c r="G397" t="n">
        <v>3.5</v>
      </c>
      <c r="H397" t="n">
        <v>0</v>
      </c>
      <c r="I397" t="n">
        <v>0</v>
      </c>
      <c r="J397" t="n">
        <v>0</v>
      </c>
      <c r="K397" t="n">
        <v>0</v>
      </c>
      <c r="L397" t="n">
        <v>0</v>
      </c>
      <c r="M397" t="n">
        <v>0</v>
      </c>
      <c r="N397" t="n">
        <v>0</v>
      </c>
      <c r="O397" t="n">
        <v>0</v>
      </c>
      <c r="P397" t="n">
        <v>0</v>
      </c>
      <c r="Q397" t="n">
        <v>0</v>
      </c>
      <c r="R397" s="2" t="inlineStr"/>
    </row>
    <row r="398" ht="15" customHeight="1">
      <c r="A398" t="inlineStr">
        <is>
          <t>A 52935-2025</t>
        </is>
      </c>
      <c r="B398" s="1" t="n">
        <v>45957.62978009259</v>
      </c>
      <c r="C398" s="1" t="n">
        <v>46034</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62111-2024</t>
        </is>
      </c>
      <c r="B399" s="1" t="n">
        <v>45656.53215277778</v>
      </c>
      <c r="C399" s="1" t="n">
        <v>46034</v>
      </c>
      <c r="D399" t="inlineStr">
        <is>
          <t>JÄMTLANDS LÄN</t>
        </is>
      </c>
      <c r="E399" t="inlineStr">
        <is>
          <t>ÖSTERSUND</t>
        </is>
      </c>
      <c r="G399" t="n">
        <v>3.4</v>
      </c>
      <c r="H399" t="n">
        <v>0</v>
      </c>
      <c r="I399" t="n">
        <v>0</v>
      </c>
      <c r="J399" t="n">
        <v>0</v>
      </c>
      <c r="K399" t="n">
        <v>0</v>
      </c>
      <c r="L399" t="n">
        <v>0</v>
      </c>
      <c r="M399" t="n">
        <v>0</v>
      </c>
      <c r="N399" t="n">
        <v>0</v>
      </c>
      <c r="O399" t="n">
        <v>0</v>
      </c>
      <c r="P399" t="n">
        <v>0</v>
      </c>
      <c r="Q399" t="n">
        <v>0</v>
      </c>
      <c r="R399" s="2" t="inlineStr"/>
    </row>
    <row r="400" ht="15" customHeight="1">
      <c r="A400" t="inlineStr">
        <is>
          <t>A 2686-2021</t>
        </is>
      </c>
      <c r="B400" s="1" t="n">
        <v>44214</v>
      </c>
      <c r="C400" s="1" t="n">
        <v>46034</v>
      </c>
      <c r="D400" t="inlineStr">
        <is>
          <t>JÄMTLANDS LÄN</t>
        </is>
      </c>
      <c r="E400" t="inlineStr">
        <is>
          <t>ÖSTERSUND</t>
        </is>
      </c>
      <c r="G400" t="n">
        <v>1.6</v>
      </c>
      <c r="H400" t="n">
        <v>0</v>
      </c>
      <c r="I400" t="n">
        <v>0</v>
      </c>
      <c r="J400" t="n">
        <v>0</v>
      </c>
      <c r="K400" t="n">
        <v>0</v>
      </c>
      <c r="L400" t="n">
        <v>0</v>
      </c>
      <c r="M400" t="n">
        <v>0</v>
      </c>
      <c r="N400" t="n">
        <v>0</v>
      </c>
      <c r="O400" t="n">
        <v>0</v>
      </c>
      <c r="P400" t="n">
        <v>0</v>
      </c>
      <c r="Q400" t="n">
        <v>0</v>
      </c>
      <c r="R400" s="2" t="inlineStr"/>
    </row>
    <row r="401" ht="15" customHeight="1">
      <c r="A401" t="inlineStr">
        <is>
          <t>A 14653-2022</t>
        </is>
      </c>
      <c r="B401" s="1" t="n">
        <v>44655.69303240741</v>
      </c>
      <c r="C401" s="1" t="n">
        <v>46034</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32358-2025</t>
        </is>
      </c>
      <c r="B402" s="1" t="n">
        <v>45837.57481481481</v>
      </c>
      <c r="C402" s="1" t="n">
        <v>46034</v>
      </c>
      <c r="D402" t="inlineStr">
        <is>
          <t>JÄMTLANDS LÄN</t>
        </is>
      </c>
      <c r="E402" t="inlineStr">
        <is>
          <t>ÖSTERSUND</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32353-2025</t>
        </is>
      </c>
      <c r="B403" s="1" t="n">
        <v>45837.51741898148</v>
      </c>
      <c r="C403" s="1" t="n">
        <v>46034</v>
      </c>
      <c r="D403" t="inlineStr">
        <is>
          <t>JÄMTLANDS LÄN</t>
        </is>
      </c>
      <c r="E403" t="inlineStr">
        <is>
          <t>ÖSTERSUND</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32369-2025</t>
        </is>
      </c>
      <c r="B404" s="1" t="n">
        <v>45837.67381944445</v>
      </c>
      <c r="C404" s="1" t="n">
        <v>46034</v>
      </c>
      <c r="D404" t="inlineStr">
        <is>
          <t>JÄMTLANDS LÄN</t>
        </is>
      </c>
      <c r="E404" t="inlineStr">
        <is>
          <t>ÖSTERSUND</t>
        </is>
      </c>
      <c r="F404" t="inlineStr">
        <is>
          <t>Övriga Aktiebolag</t>
        </is>
      </c>
      <c r="G404" t="n">
        <v>5.7</v>
      </c>
      <c r="H404" t="n">
        <v>0</v>
      </c>
      <c r="I404" t="n">
        <v>0</v>
      </c>
      <c r="J404" t="n">
        <v>0</v>
      </c>
      <c r="K404" t="n">
        <v>0</v>
      </c>
      <c r="L404" t="n">
        <v>0</v>
      </c>
      <c r="M404" t="n">
        <v>0</v>
      </c>
      <c r="N404" t="n">
        <v>0</v>
      </c>
      <c r="O404" t="n">
        <v>0</v>
      </c>
      <c r="P404" t="n">
        <v>0</v>
      </c>
      <c r="Q404" t="n">
        <v>0</v>
      </c>
      <c r="R404" s="2" t="inlineStr"/>
    </row>
    <row r="405" ht="15" customHeight="1">
      <c r="A405" t="inlineStr">
        <is>
          <t>A 56811-2025</t>
        </is>
      </c>
      <c r="B405" s="1" t="n">
        <v>45978.45540509259</v>
      </c>
      <c r="C405" s="1" t="n">
        <v>46034</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46034</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32368-2025</t>
        </is>
      </c>
      <c r="B407" s="1" t="n">
        <v>45837.66230324074</v>
      </c>
      <c r="C407" s="1" t="n">
        <v>46034</v>
      </c>
      <c r="D407" t="inlineStr">
        <is>
          <t>JÄMTLANDS LÄN</t>
        </is>
      </c>
      <c r="E407" t="inlineStr">
        <is>
          <t>ÖSTERSUND</t>
        </is>
      </c>
      <c r="F407" t="inlineStr">
        <is>
          <t>Övriga Aktiebolag</t>
        </is>
      </c>
      <c r="G407" t="n">
        <v>19.5</v>
      </c>
      <c r="H407" t="n">
        <v>0</v>
      </c>
      <c r="I407" t="n">
        <v>0</v>
      </c>
      <c r="J407" t="n">
        <v>0</v>
      </c>
      <c r="K407" t="n">
        <v>0</v>
      </c>
      <c r="L407" t="n">
        <v>0</v>
      </c>
      <c r="M407" t="n">
        <v>0</v>
      </c>
      <c r="N407" t="n">
        <v>0</v>
      </c>
      <c r="O407" t="n">
        <v>0</v>
      </c>
      <c r="P407" t="n">
        <v>0</v>
      </c>
      <c r="Q407" t="n">
        <v>0</v>
      </c>
      <c r="R407" s="2" t="inlineStr"/>
    </row>
    <row r="408" ht="15" customHeight="1">
      <c r="A408" t="inlineStr">
        <is>
          <t>A 3844-2024</t>
        </is>
      </c>
      <c r="B408" s="1" t="n">
        <v>45321</v>
      </c>
      <c r="C408" s="1" t="n">
        <v>46034</v>
      </c>
      <c r="D408" t="inlineStr">
        <is>
          <t>JÄMTLANDS LÄN</t>
        </is>
      </c>
      <c r="E408" t="inlineStr">
        <is>
          <t>ÖSTERSUND</t>
        </is>
      </c>
      <c r="G408" t="n">
        <v>2.2</v>
      </c>
      <c r="H408" t="n">
        <v>0</v>
      </c>
      <c r="I408" t="n">
        <v>0</v>
      </c>
      <c r="J408" t="n">
        <v>0</v>
      </c>
      <c r="K408" t="n">
        <v>0</v>
      </c>
      <c r="L408" t="n">
        <v>0</v>
      </c>
      <c r="M408" t="n">
        <v>0</v>
      </c>
      <c r="N408" t="n">
        <v>0</v>
      </c>
      <c r="O408" t="n">
        <v>0</v>
      </c>
      <c r="P408" t="n">
        <v>0</v>
      </c>
      <c r="Q408" t="n">
        <v>0</v>
      </c>
      <c r="R408" s="2" t="inlineStr"/>
    </row>
    <row r="409" ht="15" customHeight="1">
      <c r="A409" t="inlineStr">
        <is>
          <t>A 52620-2025</t>
        </is>
      </c>
      <c r="B409" s="1" t="n">
        <v>45954.68207175926</v>
      </c>
      <c r="C409" s="1" t="n">
        <v>46034</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48893-2025</t>
        </is>
      </c>
      <c r="B410" s="1" t="n">
        <v>45937.47302083333</v>
      </c>
      <c r="C410" s="1" t="n">
        <v>46034</v>
      </c>
      <c r="D410" t="inlineStr">
        <is>
          <t>JÄMTLANDS LÄN</t>
        </is>
      </c>
      <c r="E410" t="inlineStr">
        <is>
          <t>ÖSTERSUND</t>
        </is>
      </c>
      <c r="F410" t="inlineStr">
        <is>
          <t>Sveaskog</t>
        </is>
      </c>
      <c r="G410" t="n">
        <v>4.4</v>
      </c>
      <c r="H410" t="n">
        <v>0</v>
      </c>
      <c r="I410" t="n">
        <v>0</v>
      </c>
      <c r="J410" t="n">
        <v>0</v>
      </c>
      <c r="K410" t="n">
        <v>0</v>
      </c>
      <c r="L410" t="n">
        <v>0</v>
      </c>
      <c r="M410" t="n">
        <v>0</v>
      </c>
      <c r="N410" t="n">
        <v>0</v>
      </c>
      <c r="O410" t="n">
        <v>0</v>
      </c>
      <c r="P410" t="n">
        <v>0</v>
      </c>
      <c r="Q410" t="n">
        <v>0</v>
      </c>
      <c r="R410" s="2" t="inlineStr"/>
    </row>
    <row r="411" ht="15" customHeight="1">
      <c r="A411" t="inlineStr">
        <is>
          <t>A 7327-2023</t>
        </is>
      </c>
      <c r="B411" s="1" t="n">
        <v>44970.97871527778</v>
      </c>
      <c r="C411" s="1" t="n">
        <v>46034</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49192-2024</t>
        </is>
      </c>
      <c r="B412" s="1" t="n">
        <v>45595.34762731481</v>
      </c>
      <c r="C412" s="1" t="n">
        <v>46034</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33358-2025</t>
        </is>
      </c>
      <c r="B413" s="1" t="n">
        <v>45841.38054398148</v>
      </c>
      <c r="C413" s="1" t="n">
        <v>46034</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49039-2025</t>
        </is>
      </c>
      <c r="B414" s="1" t="n">
        <v>45937.63275462963</v>
      </c>
      <c r="C414" s="1" t="n">
        <v>46034</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49572-2025</t>
        </is>
      </c>
      <c r="B415" s="1" t="n">
        <v>45939.49018518518</v>
      </c>
      <c r="C415" s="1" t="n">
        <v>46034</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49576-2025</t>
        </is>
      </c>
      <c r="B416" s="1" t="n">
        <v>45939</v>
      </c>
      <c r="C416" s="1" t="n">
        <v>46034</v>
      </c>
      <c r="D416" t="inlineStr">
        <is>
          <t>JÄMTLANDS LÄN</t>
        </is>
      </c>
      <c r="E416" t="inlineStr">
        <is>
          <t>ÖSTERSUND</t>
        </is>
      </c>
      <c r="F416" t="inlineStr">
        <is>
          <t>SCA</t>
        </is>
      </c>
      <c r="G416" t="n">
        <v>17.1</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45659.44413194444</v>
      </c>
      <c r="C417" s="1" t="n">
        <v>46034</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52975-2025</t>
        </is>
      </c>
      <c r="B418" s="1" t="n">
        <v>45957.67876157408</v>
      </c>
      <c r="C418" s="1" t="n">
        <v>46034</v>
      </c>
      <c r="D418" t="inlineStr">
        <is>
          <t>JÄMTLANDS LÄN</t>
        </is>
      </c>
      <c r="E418" t="inlineStr">
        <is>
          <t>ÖSTERSUND</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46034</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50168-2025</t>
        </is>
      </c>
      <c r="B420" s="1" t="n">
        <v>45943.59442129629</v>
      </c>
      <c r="C420" s="1" t="n">
        <v>46034</v>
      </c>
      <c r="D420" t="inlineStr">
        <is>
          <t>JÄMTLANDS LÄN</t>
        </is>
      </c>
      <c r="E420" t="inlineStr">
        <is>
          <t>ÖSTERSUND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21667-2024</t>
        </is>
      </c>
      <c r="B421" s="1" t="n">
        <v>45442.38511574074</v>
      </c>
      <c r="C421" s="1" t="n">
        <v>46034</v>
      </c>
      <c r="D421" t="inlineStr">
        <is>
          <t>JÄMTLANDS LÄN</t>
        </is>
      </c>
      <c r="E421" t="inlineStr">
        <is>
          <t>ÖSTERSUND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50528-2025</t>
        </is>
      </c>
      <c r="B422" s="1" t="n">
        <v>45945.47097222223</v>
      </c>
      <c r="C422" s="1" t="n">
        <v>46034</v>
      </c>
      <c r="D422" t="inlineStr">
        <is>
          <t>JÄMTLANDS LÄN</t>
        </is>
      </c>
      <c r="E422" t="inlineStr">
        <is>
          <t>ÖSTERSUND</t>
        </is>
      </c>
      <c r="G422" t="n">
        <v>3.4</v>
      </c>
      <c r="H422" t="n">
        <v>0</v>
      </c>
      <c r="I422" t="n">
        <v>0</v>
      </c>
      <c r="J422" t="n">
        <v>0</v>
      </c>
      <c r="K422" t="n">
        <v>0</v>
      </c>
      <c r="L422" t="n">
        <v>0</v>
      </c>
      <c r="M422" t="n">
        <v>0</v>
      </c>
      <c r="N422" t="n">
        <v>0</v>
      </c>
      <c r="O422" t="n">
        <v>0</v>
      </c>
      <c r="P422" t="n">
        <v>0</v>
      </c>
      <c r="Q422" t="n">
        <v>0</v>
      </c>
      <c r="R422" s="2" t="inlineStr"/>
    </row>
    <row r="423" ht="15" customHeight="1">
      <c r="A423" t="inlineStr">
        <is>
          <t>A 34490-2025</t>
        </is>
      </c>
      <c r="B423" s="1" t="n">
        <v>45847.40722222222</v>
      </c>
      <c r="C423" s="1" t="n">
        <v>46034</v>
      </c>
      <c r="D423" t="inlineStr">
        <is>
          <t>JÄMTLANDS LÄN</t>
        </is>
      </c>
      <c r="E423" t="inlineStr">
        <is>
          <t>ÖSTERSUND</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50428-2025</t>
        </is>
      </c>
      <c r="B424" s="1" t="n">
        <v>45944.67787037037</v>
      </c>
      <c r="C424" s="1" t="n">
        <v>46034</v>
      </c>
      <c r="D424" t="inlineStr">
        <is>
          <t>JÄMTLANDS LÄN</t>
        </is>
      </c>
      <c r="E424" t="inlineStr">
        <is>
          <t>ÖSTERSUND</t>
        </is>
      </c>
      <c r="F424" t="inlineStr">
        <is>
          <t>SCA</t>
        </is>
      </c>
      <c r="G424" t="n">
        <v>4.9</v>
      </c>
      <c r="H424" t="n">
        <v>0</v>
      </c>
      <c r="I424" t="n">
        <v>0</v>
      </c>
      <c r="J424" t="n">
        <v>0</v>
      </c>
      <c r="K424" t="n">
        <v>0</v>
      </c>
      <c r="L424" t="n">
        <v>0</v>
      </c>
      <c r="M424" t="n">
        <v>0</v>
      </c>
      <c r="N424" t="n">
        <v>0</v>
      </c>
      <c r="O424" t="n">
        <v>0</v>
      </c>
      <c r="P424" t="n">
        <v>0</v>
      </c>
      <c r="Q424" t="n">
        <v>0</v>
      </c>
      <c r="R424" s="2" t="inlineStr"/>
    </row>
    <row r="425" ht="15" customHeight="1">
      <c r="A425" t="inlineStr">
        <is>
          <t>A 58996-2025</t>
        </is>
      </c>
      <c r="B425" s="1" t="n">
        <v>45987.67032407408</v>
      </c>
      <c r="C425" s="1" t="n">
        <v>46034</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25187-2024</t>
        </is>
      </c>
      <c r="B426" s="1" t="n">
        <v>45462.56172453704</v>
      </c>
      <c r="C426" s="1" t="n">
        <v>46034</v>
      </c>
      <c r="D426" t="inlineStr">
        <is>
          <t>JÄMTLANDS LÄN</t>
        </is>
      </c>
      <c r="E426" t="inlineStr">
        <is>
          <t>ÖSTERSUND</t>
        </is>
      </c>
      <c r="G426" t="n">
        <v>2.4</v>
      </c>
      <c r="H426" t="n">
        <v>0</v>
      </c>
      <c r="I426" t="n">
        <v>0</v>
      </c>
      <c r="J426" t="n">
        <v>0</v>
      </c>
      <c r="K426" t="n">
        <v>0</v>
      </c>
      <c r="L426" t="n">
        <v>0</v>
      </c>
      <c r="M426" t="n">
        <v>0</v>
      </c>
      <c r="N426" t="n">
        <v>0</v>
      </c>
      <c r="O426" t="n">
        <v>0</v>
      </c>
      <c r="P426" t="n">
        <v>0</v>
      </c>
      <c r="Q426" t="n">
        <v>0</v>
      </c>
      <c r="R426" s="2" t="inlineStr"/>
    </row>
    <row r="427" ht="15" customHeight="1">
      <c r="A427" t="inlineStr">
        <is>
          <t>A 34331-2025</t>
        </is>
      </c>
      <c r="B427" s="1" t="n">
        <v>45846.44827546296</v>
      </c>
      <c r="C427" s="1" t="n">
        <v>46034</v>
      </c>
      <c r="D427" t="inlineStr">
        <is>
          <t>JÄMTLANDS LÄN</t>
        </is>
      </c>
      <c r="E427" t="inlineStr">
        <is>
          <t>ÖSTERSUND</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34589-2025</t>
        </is>
      </c>
      <c r="B428" s="1" t="n">
        <v>45847.61561342593</v>
      </c>
      <c r="C428" s="1" t="n">
        <v>46034</v>
      </c>
      <c r="D428" t="inlineStr">
        <is>
          <t>JÄMTLANDS LÄN</t>
        </is>
      </c>
      <c r="E428" t="inlineStr">
        <is>
          <t>ÖSTERSUND</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34587-2025</t>
        </is>
      </c>
      <c r="B429" s="1" t="n">
        <v>45847.61533564814</v>
      </c>
      <c r="C429" s="1" t="n">
        <v>46034</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13282-2023</t>
        </is>
      </c>
      <c r="B430" s="1" t="n">
        <v>45004</v>
      </c>
      <c r="C430" s="1" t="n">
        <v>46034</v>
      </c>
      <c r="D430" t="inlineStr">
        <is>
          <t>JÄMTLANDS LÄN</t>
        </is>
      </c>
      <c r="E430" t="inlineStr">
        <is>
          <t>ÖSTERSUND</t>
        </is>
      </c>
      <c r="G430" t="n">
        <v>28.5</v>
      </c>
      <c r="H430" t="n">
        <v>0</v>
      </c>
      <c r="I430" t="n">
        <v>0</v>
      </c>
      <c r="J430" t="n">
        <v>0</v>
      </c>
      <c r="K430" t="n">
        <v>0</v>
      </c>
      <c r="L430" t="n">
        <v>0</v>
      </c>
      <c r="M430" t="n">
        <v>0</v>
      </c>
      <c r="N430" t="n">
        <v>0</v>
      </c>
      <c r="O430" t="n">
        <v>0</v>
      </c>
      <c r="P430" t="n">
        <v>0</v>
      </c>
      <c r="Q430" t="n">
        <v>0</v>
      </c>
      <c r="R430" s="2" t="inlineStr"/>
    </row>
    <row r="431" ht="15" customHeight="1">
      <c r="A431" t="inlineStr">
        <is>
          <t>A 53054-2025</t>
        </is>
      </c>
      <c r="B431" s="1" t="n">
        <v>45958.36498842593</v>
      </c>
      <c r="C431" s="1" t="n">
        <v>46034</v>
      </c>
      <c r="D431" t="inlineStr">
        <is>
          <t>JÄMTLANDS LÄN</t>
        </is>
      </c>
      <c r="E431" t="inlineStr">
        <is>
          <t>ÖSTERSUND</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10267-2025</t>
        </is>
      </c>
      <c r="B432" s="1" t="n">
        <v>45720.3859375</v>
      </c>
      <c r="C432" s="1" t="n">
        <v>46034</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61222-2025</t>
        </is>
      </c>
      <c r="B433" s="1" t="n">
        <v>46000.62851851852</v>
      </c>
      <c r="C433" s="1" t="n">
        <v>46034</v>
      </c>
      <c r="D433" t="inlineStr">
        <is>
          <t>JÄMTLANDS LÄN</t>
        </is>
      </c>
      <c r="E433" t="inlineStr">
        <is>
          <t>ÖSTERSUND</t>
        </is>
      </c>
      <c r="G433" t="n">
        <v>9.1</v>
      </c>
      <c r="H433" t="n">
        <v>0</v>
      </c>
      <c r="I433" t="n">
        <v>0</v>
      </c>
      <c r="J433" t="n">
        <v>0</v>
      </c>
      <c r="K433" t="n">
        <v>0</v>
      </c>
      <c r="L433" t="n">
        <v>0</v>
      </c>
      <c r="M433" t="n">
        <v>0</v>
      </c>
      <c r="N433" t="n">
        <v>0</v>
      </c>
      <c r="O433" t="n">
        <v>0</v>
      </c>
      <c r="P433" t="n">
        <v>0</v>
      </c>
      <c r="Q433" t="n">
        <v>0</v>
      </c>
      <c r="R433" s="2" t="inlineStr"/>
    </row>
    <row r="434" ht="15" customHeight="1">
      <c r="A434" t="inlineStr">
        <is>
          <t>A 27780-2022</t>
        </is>
      </c>
      <c r="B434" s="1" t="n">
        <v>44743</v>
      </c>
      <c r="C434" s="1" t="n">
        <v>46034</v>
      </c>
      <c r="D434" t="inlineStr">
        <is>
          <t>JÄMTLANDS LÄN</t>
        </is>
      </c>
      <c r="E434" t="inlineStr">
        <is>
          <t>ÖSTERSUND</t>
        </is>
      </c>
      <c r="G434" t="n">
        <v>2.2</v>
      </c>
      <c r="H434" t="n">
        <v>0</v>
      </c>
      <c r="I434" t="n">
        <v>0</v>
      </c>
      <c r="J434" t="n">
        <v>0</v>
      </c>
      <c r="K434" t="n">
        <v>0</v>
      </c>
      <c r="L434" t="n">
        <v>0</v>
      </c>
      <c r="M434" t="n">
        <v>0</v>
      </c>
      <c r="N434" t="n">
        <v>0</v>
      </c>
      <c r="O434" t="n">
        <v>0</v>
      </c>
      <c r="P434" t="n">
        <v>0</v>
      </c>
      <c r="Q434" t="n">
        <v>0</v>
      </c>
      <c r="R434" s="2" t="inlineStr"/>
    </row>
    <row r="435" ht="15" customHeight="1">
      <c r="A435" t="inlineStr">
        <is>
          <t>A 43082-2024</t>
        </is>
      </c>
      <c r="B435" s="1" t="n">
        <v>45567.51068287037</v>
      </c>
      <c r="C435" s="1" t="n">
        <v>46034</v>
      </c>
      <c r="D435" t="inlineStr">
        <is>
          <t>JÄMTLANDS LÄN</t>
        </is>
      </c>
      <c r="E435" t="inlineStr">
        <is>
          <t>ÖSTERSUND</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61653-2022</t>
        </is>
      </c>
      <c r="B436" s="1" t="n">
        <v>44916</v>
      </c>
      <c r="C436" s="1" t="n">
        <v>46034</v>
      </c>
      <c r="D436" t="inlineStr">
        <is>
          <t>JÄMTLANDS LÄN</t>
        </is>
      </c>
      <c r="E436" t="inlineStr">
        <is>
          <t>ÖSTERSUND</t>
        </is>
      </c>
      <c r="G436" t="n">
        <v>7.6</v>
      </c>
      <c r="H436" t="n">
        <v>0</v>
      </c>
      <c r="I436" t="n">
        <v>0</v>
      </c>
      <c r="J436" t="n">
        <v>0</v>
      </c>
      <c r="K436" t="n">
        <v>0</v>
      </c>
      <c r="L436" t="n">
        <v>0</v>
      </c>
      <c r="M436" t="n">
        <v>0</v>
      </c>
      <c r="N436" t="n">
        <v>0</v>
      </c>
      <c r="O436" t="n">
        <v>0</v>
      </c>
      <c r="P436" t="n">
        <v>0</v>
      </c>
      <c r="Q436" t="n">
        <v>0</v>
      </c>
      <c r="R436" s="2" t="inlineStr"/>
    </row>
    <row r="437" ht="15" customHeight="1">
      <c r="A437" t="inlineStr">
        <is>
          <t>A 53057-2025</t>
        </is>
      </c>
      <c r="B437" s="1" t="n">
        <v>45958.36537037037</v>
      </c>
      <c r="C437" s="1" t="n">
        <v>46034</v>
      </c>
      <c r="D437" t="inlineStr">
        <is>
          <t>JÄMTLANDS LÄN</t>
        </is>
      </c>
      <c r="E437" t="inlineStr">
        <is>
          <t>ÖSTERSUND</t>
        </is>
      </c>
      <c r="F437" t="inlineStr">
        <is>
          <t>SCA</t>
        </is>
      </c>
      <c r="G437" t="n">
        <v>47.8</v>
      </c>
      <c r="H437" t="n">
        <v>0</v>
      </c>
      <c r="I437" t="n">
        <v>0</v>
      </c>
      <c r="J437" t="n">
        <v>0</v>
      </c>
      <c r="K437" t="n">
        <v>0</v>
      </c>
      <c r="L437" t="n">
        <v>0</v>
      </c>
      <c r="M437" t="n">
        <v>0</v>
      </c>
      <c r="N437" t="n">
        <v>0</v>
      </c>
      <c r="O437" t="n">
        <v>0</v>
      </c>
      <c r="P437" t="n">
        <v>0</v>
      </c>
      <c r="Q437" t="n">
        <v>0</v>
      </c>
      <c r="R437" s="2" t="inlineStr"/>
    </row>
    <row r="438" ht="15" customHeight="1">
      <c r="A438" t="inlineStr">
        <is>
          <t>A 52854-2024</t>
        </is>
      </c>
      <c r="B438" s="1" t="n">
        <v>45610.61030092592</v>
      </c>
      <c r="C438" s="1" t="n">
        <v>46034</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25228-2025</t>
        </is>
      </c>
      <c r="B439" s="1" t="n">
        <v>45800.48368055555</v>
      </c>
      <c r="C439" s="1" t="n">
        <v>46034</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2228-2024</t>
        </is>
      </c>
      <c r="B440" s="1" t="n">
        <v>45309</v>
      </c>
      <c r="C440" s="1" t="n">
        <v>46034</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46034</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61235-2025</t>
        </is>
      </c>
      <c r="B442" s="1" t="n">
        <v>46000.63969907408</v>
      </c>
      <c r="C442" s="1" t="n">
        <v>46034</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61267-2025</t>
        </is>
      </c>
      <c r="B443" s="1" t="n">
        <v>46000.67793981481</v>
      </c>
      <c r="C443" s="1" t="n">
        <v>46034</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61530-2023</t>
        </is>
      </c>
      <c r="B444" s="1" t="n">
        <v>45261</v>
      </c>
      <c r="C444" s="1" t="n">
        <v>46034</v>
      </c>
      <c r="D444" t="inlineStr">
        <is>
          <t>JÄMTLANDS LÄN</t>
        </is>
      </c>
      <c r="E444" t="inlineStr">
        <is>
          <t>ÖSTERSUND</t>
        </is>
      </c>
      <c r="F444" t="inlineStr">
        <is>
          <t>Övriga statliga verk och myndigheter</t>
        </is>
      </c>
      <c r="G444" t="n">
        <v>1</v>
      </c>
      <c r="H444" t="n">
        <v>0</v>
      </c>
      <c r="I444" t="n">
        <v>0</v>
      </c>
      <c r="J444" t="n">
        <v>0</v>
      </c>
      <c r="K444" t="n">
        <v>0</v>
      </c>
      <c r="L444" t="n">
        <v>0</v>
      </c>
      <c r="M444" t="n">
        <v>0</v>
      </c>
      <c r="N444" t="n">
        <v>0</v>
      </c>
      <c r="O444" t="n">
        <v>0</v>
      </c>
      <c r="P444" t="n">
        <v>0</v>
      </c>
      <c r="Q444" t="n">
        <v>0</v>
      </c>
      <c r="R444" s="2" t="inlineStr"/>
    </row>
    <row r="445" ht="15" customHeight="1">
      <c r="A445" t="inlineStr">
        <is>
          <t>A 26586-2025</t>
        </is>
      </c>
      <c r="B445" s="1" t="n">
        <v>45807.74140046296</v>
      </c>
      <c r="C445" s="1" t="n">
        <v>46034</v>
      </c>
      <c r="D445" t="inlineStr">
        <is>
          <t>JÄMTLANDS LÄN</t>
        </is>
      </c>
      <c r="E445" t="inlineStr">
        <is>
          <t>ÖSTERSUND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36211-2025</t>
        </is>
      </c>
      <c r="B446" s="1" t="n">
        <v>45867.46946759259</v>
      </c>
      <c r="C446" s="1" t="n">
        <v>46034</v>
      </c>
      <c r="D446" t="inlineStr">
        <is>
          <t>JÄMTLANDS LÄN</t>
        </is>
      </c>
      <c r="E446" t="inlineStr">
        <is>
          <t>ÖSTERSUND</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34923-2025</t>
        </is>
      </c>
      <c r="B447" s="1" t="n">
        <v>45849.55601851852</v>
      </c>
      <c r="C447" s="1" t="n">
        <v>46034</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36098-2025</t>
        </is>
      </c>
      <c r="B448" s="1" t="n">
        <v>45866.50549768518</v>
      </c>
      <c r="C448" s="1" t="n">
        <v>46034</v>
      </c>
      <c r="D448" t="inlineStr">
        <is>
          <t>JÄMTLANDS LÄN</t>
        </is>
      </c>
      <c r="E448" t="inlineStr">
        <is>
          <t>ÖSTERSUND</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25535-2023</t>
        </is>
      </c>
      <c r="B449" s="1" t="n">
        <v>45089.54944444444</v>
      </c>
      <c r="C449" s="1" t="n">
        <v>46034</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36566-2025</t>
        </is>
      </c>
      <c r="B450" s="1" t="n">
        <v>45869</v>
      </c>
      <c r="C450" s="1" t="n">
        <v>46034</v>
      </c>
      <c r="D450" t="inlineStr">
        <is>
          <t>JÄMTLANDS LÄN</t>
        </is>
      </c>
      <c r="E450" t="inlineStr">
        <is>
          <t>ÖSTERSUND</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32225-2024</t>
        </is>
      </c>
      <c r="B451" s="1" t="n">
        <v>45511.92825231481</v>
      </c>
      <c r="C451" s="1" t="n">
        <v>46034</v>
      </c>
      <c r="D451" t="inlineStr">
        <is>
          <t>JÄMTLANDS LÄN</t>
        </is>
      </c>
      <c r="E451" t="inlineStr">
        <is>
          <t>ÖSTERSUND</t>
        </is>
      </c>
      <c r="G451" t="n">
        <v>2</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46034</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12998-2025</t>
        </is>
      </c>
      <c r="B453" s="1" t="n">
        <v>45734.48991898148</v>
      </c>
      <c r="C453" s="1" t="n">
        <v>46034</v>
      </c>
      <c r="D453" t="inlineStr">
        <is>
          <t>JÄMTLANDS LÄN</t>
        </is>
      </c>
      <c r="E453" t="inlineStr">
        <is>
          <t>ÖSTERSUND</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54913-2024</t>
        </is>
      </c>
      <c r="B454" s="1" t="n">
        <v>45618.6917824074</v>
      </c>
      <c r="C454" s="1" t="n">
        <v>46034</v>
      </c>
      <c r="D454" t="inlineStr">
        <is>
          <t>JÄMTLANDS LÄN</t>
        </is>
      </c>
      <c r="E454" t="inlineStr">
        <is>
          <t>ÖSTERSUND</t>
        </is>
      </c>
      <c r="G454" t="n">
        <v>4.7</v>
      </c>
      <c r="H454" t="n">
        <v>0</v>
      </c>
      <c r="I454" t="n">
        <v>0</v>
      </c>
      <c r="J454" t="n">
        <v>0</v>
      </c>
      <c r="K454" t="n">
        <v>0</v>
      </c>
      <c r="L454" t="n">
        <v>0</v>
      </c>
      <c r="M454" t="n">
        <v>0</v>
      </c>
      <c r="N454" t="n">
        <v>0</v>
      </c>
      <c r="O454" t="n">
        <v>0</v>
      </c>
      <c r="P454" t="n">
        <v>0</v>
      </c>
      <c r="Q454" t="n">
        <v>0</v>
      </c>
      <c r="R454" s="2" t="inlineStr"/>
    </row>
    <row r="455" ht="15" customHeight="1">
      <c r="A455" t="inlineStr">
        <is>
          <t>A 57398-2023</t>
        </is>
      </c>
      <c r="B455" s="1" t="n">
        <v>45245</v>
      </c>
      <c r="C455" s="1" t="n">
        <v>46034</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44051-2021</t>
        </is>
      </c>
      <c r="B456" s="1" t="n">
        <v>44434</v>
      </c>
      <c r="C456" s="1" t="n">
        <v>46034</v>
      </c>
      <c r="D456" t="inlineStr">
        <is>
          <t>JÄMTLANDS LÄN</t>
        </is>
      </c>
      <c r="E456" t="inlineStr">
        <is>
          <t>ÖSTERSUND</t>
        </is>
      </c>
      <c r="G456" t="n">
        <v>2.9</v>
      </c>
      <c r="H456" t="n">
        <v>0</v>
      </c>
      <c r="I456" t="n">
        <v>0</v>
      </c>
      <c r="J456" t="n">
        <v>0</v>
      </c>
      <c r="K456" t="n">
        <v>0</v>
      </c>
      <c r="L456" t="n">
        <v>0</v>
      </c>
      <c r="M456" t="n">
        <v>0</v>
      </c>
      <c r="N456" t="n">
        <v>0</v>
      </c>
      <c r="O456" t="n">
        <v>0</v>
      </c>
      <c r="P456" t="n">
        <v>0</v>
      </c>
      <c r="Q456" t="n">
        <v>0</v>
      </c>
      <c r="R456" s="2" t="inlineStr"/>
    </row>
    <row r="457" ht="15" customHeight="1">
      <c r="A457" t="inlineStr">
        <is>
          <t>A 55235-2023</t>
        </is>
      </c>
      <c r="B457" s="1" t="n">
        <v>45231</v>
      </c>
      <c r="C457" s="1" t="n">
        <v>46034</v>
      </c>
      <c r="D457" t="inlineStr">
        <is>
          <t>JÄMTLANDS LÄN</t>
        </is>
      </c>
      <c r="E457" t="inlineStr">
        <is>
          <t>ÖSTERSUND</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54587-2024</t>
        </is>
      </c>
      <c r="B458" s="1" t="n">
        <v>45617.65800925926</v>
      </c>
      <c r="C458" s="1" t="n">
        <v>46034</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45533-2025</t>
        </is>
      </c>
      <c r="B459" s="1" t="n">
        <v>45922</v>
      </c>
      <c r="C459" s="1" t="n">
        <v>46034</v>
      </c>
      <c r="D459" t="inlineStr">
        <is>
          <t>JÄMTLANDS LÄN</t>
        </is>
      </c>
      <c r="E459" t="inlineStr">
        <is>
          <t>ÖSTERSUND</t>
        </is>
      </c>
      <c r="F459" t="inlineStr">
        <is>
          <t>Övriga statliga verk och myndigheter</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38644-2021</t>
        </is>
      </c>
      <c r="B460" s="1" t="n">
        <v>44410.35376157407</v>
      </c>
      <c r="C460" s="1" t="n">
        <v>46034</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37085-2025</t>
        </is>
      </c>
      <c r="B461" s="1" t="n">
        <v>45875.44840277778</v>
      </c>
      <c r="C461" s="1" t="n">
        <v>46034</v>
      </c>
      <c r="D461" t="inlineStr">
        <is>
          <t>JÄMTLANDS LÄN</t>
        </is>
      </c>
      <c r="E461" t="inlineStr">
        <is>
          <t>ÖSTERSUND</t>
        </is>
      </c>
      <c r="G461" t="n">
        <v>5.5</v>
      </c>
      <c r="H461" t="n">
        <v>0</v>
      </c>
      <c r="I461" t="n">
        <v>0</v>
      </c>
      <c r="J461" t="n">
        <v>0</v>
      </c>
      <c r="K461" t="n">
        <v>0</v>
      </c>
      <c r="L461" t="n">
        <v>0</v>
      </c>
      <c r="M461" t="n">
        <v>0</v>
      </c>
      <c r="N461" t="n">
        <v>0</v>
      </c>
      <c r="O461" t="n">
        <v>0</v>
      </c>
      <c r="P461" t="n">
        <v>0</v>
      </c>
      <c r="Q461" t="n">
        <v>0</v>
      </c>
      <c r="R461" s="2" t="inlineStr"/>
    </row>
    <row r="462" ht="15" customHeight="1">
      <c r="A462" t="inlineStr">
        <is>
          <t>A 52913-2021</t>
        </is>
      </c>
      <c r="B462" s="1" t="n">
        <v>44466</v>
      </c>
      <c r="C462" s="1" t="n">
        <v>46034</v>
      </c>
      <c r="D462" t="inlineStr">
        <is>
          <t>JÄMTLANDS LÄN</t>
        </is>
      </c>
      <c r="E462" t="inlineStr">
        <is>
          <t>ÖSTERSUND</t>
        </is>
      </c>
      <c r="G462" t="n">
        <v>4.2</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44701.94034722223</v>
      </c>
      <c r="C463" s="1" t="n">
        <v>46034</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61982-2025</t>
        </is>
      </c>
      <c r="B464" s="1" t="n">
        <v>46003.6159375</v>
      </c>
      <c r="C464" s="1" t="n">
        <v>46034</v>
      </c>
      <c r="D464" t="inlineStr">
        <is>
          <t>JÄMTLANDS LÄN</t>
        </is>
      </c>
      <c r="E464" t="inlineStr">
        <is>
          <t>ÖSTERSUND</t>
        </is>
      </c>
      <c r="G464" t="n">
        <v>4.7</v>
      </c>
      <c r="H464" t="n">
        <v>0</v>
      </c>
      <c r="I464" t="n">
        <v>0</v>
      </c>
      <c r="J464" t="n">
        <v>0</v>
      </c>
      <c r="K464" t="n">
        <v>0</v>
      </c>
      <c r="L464" t="n">
        <v>0</v>
      </c>
      <c r="M464" t="n">
        <v>0</v>
      </c>
      <c r="N464" t="n">
        <v>0</v>
      </c>
      <c r="O464" t="n">
        <v>0</v>
      </c>
      <c r="P464" t="n">
        <v>0</v>
      </c>
      <c r="Q464" t="n">
        <v>0</v>
      </c>
      <c r="R464" s="2" t="inlineStr"/>
    </row>
    <row r="465" ht="15" customHeight="1">
      <c r="A465" t="inlineStr">
        <is>
          <t>A 61985-2025</t>
        </is>
      </c>
      <c r="B465" s="1" t="n">
        <v>46003.62509259259</v>
      </c>
      <c r="C465" s="1" t="n">
        <v>46034</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61849-2025</t>
        </is>
      </c>
      <c r="B466" s="1" t="n">
        <v>46003.38026620371</v>
      </c>
      <c r="C466" s="1" t="n">
        <v>46034</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10756-2025</t>
        </is>
      </c>
      <c r="B467" s="1" t="n">
        <v>45722.44892361111</v>
      </c>
      <c r="C467" s="1" t="n">
        <v>46034</v>
      </c>
      <c r="D467" t="inlineStr">
        <is>
          <t>JÄMTLANDS LÄN</t>
        </is>
      </c>
      <c r="E467" t="inlineStr">
        <is>
          <t>ÖSTERSUND</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61944-2025</t>
        </is>
      </c>
      <c r="B468" s="1" t="n">
        <v>46003.56467592593</v>
      </c>
      <c r="C468" s="1" t="n">
        <v>46034</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7936-2025</t>
        </is>
      </c>
      <c r="B469" s="1" t="n">
        <v>45707</v>
      </c>
      <c r="C469" s="1" t="n">
        <v>46034</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7940-2025</t>
        </is>
      </c>
      <c r="B470" s="1" t="n">
        <v>45707.40493055555</v>
      </c>
      <c r="C470" s="1" t="n">
        <v>46034</v>
      </c>
      <c r="D470" t="inlineStr">
        <is>
          <t>JÄMTLANDS LÄN</t>
        </is>
      </c>
      <c r="E470" t="inlineStr">
        <is>
          <t>ÖSTERSUND</t>
        </is>
      </c>
      <c r="F470" t="inlineStr">
        <is>
          <t>Övriga Aktiebolag</t>
        </is>
      </c>
      <c r="G470" t="n">
        <v>48.1</v>
      </c>
      <c r="H470" t="n">
        <v>0</v>
      </c>
      <c r="I470" t="n">
        <v>0</v>
      </c>
      <c r="J470" t="n">
        <v>0</v>
      </c>
      <c r="K470" t="n">
        <v>0</v>
      </c>
      <c r="L470" t="n">
        <v>0</v>
      </c>
      <c r="M470" t="n">
        <v>0</v>
      </c>
      <c r="N470" t="n">
        <v>0</v>
      </c>
      <c r="O470" t="n">
        <v>0</v>
      </c>
      <c r="P470" t="n">
        <v>0</v>
      </c>
      <c r="Q470" t="n">
        <v>0</v>
      </c>
      <c r="R470" s="2" t="inlineStr"/>
    </row>
    <row r="471" ht="15" customHeight="1">
      <c r="A471" t="inlineStr">
        <is>
          <t>A 5024-2025</t>
        </is>
      </c>
      <c r="B471" s="1" t="n">
        <v>45691.40832175926</v>
      </c>
      <c r="C471" s="1" t="n">
        <v>46034</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5025-2025</t>
        </is>
      </c>
      <c r="B472" s="1" t="n">
        <v>45691.40836805556</v>
      </c>
      <c r="C472" s="1" t="n">
        <v>46034</v>
      </c>
      <c r="D472" t="inlineStr">
        <is>
          <t>JÄMTLANDS LÄN</t>
        </is>
      </c>
      <c r="E472" t="inlineStr">
        <is>
          <t>ÖSTERSUND</t>
        </is>
      </c>
      <c r="G472" t="n">
        <v>0.1</v>
      </c>
      <c r="H472" t="n">
        <v>0</v>
      </c>
      <c r="I472" t="n">
        <v>0</v>
      </c>
      <c r="J472" t="n">
        <v>0</v>
      </c>
      <c r="K472" t="n">
        <v>0</v>
      </c>
      <c r="L472" t="n">
        <v>0</v>
      </c>
      <c r="M472" t="n">
        <v>0</v>
      </c>
      <c r="N472" t="n">
        <v>0</v>
      </c>
      <c r="O472" t="n">
        <v>0</v>
      </c>
      <c r="P472" t="n">
        <v>0</v>
      </c>
      <c r="Q472" t="n">
        <v>0</v>
      </c>
      <c r="R472" s="2" t="inlineStr"/>
    </row>
    <row r="473" ht="15" customHeight="1">
      <c r="A473" t="inlineStr">
        <is>
          <t>A 47727-2023</t>
        </is>
      </c>
      <c r="B473" s="1" t="n">
        <v>45203</v>
      </c>
      <c r="C473" s="1" t="n">
        <v>46034</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61964-2025</t>
        </is>
      </c>
      <c r="B474" s="1" t="n">
        <v>46003</v>
      </c>
      <c r="C474" s="1" t="n">
        <v>46034</v>
      </c>
      <c r="D474" t="inlineStr">
        <is>
          <t>JÄMTLANDS LÄN</t>
        </is>
      </c>
      <c r="E474" t="inlineStr">
        <is>
          <t>ÖSTERSUND</t>
        </is>
      </c>
      <c r="G474" t="n">
        <v>16.5</v>
      </c>
      <c r="H474" t="n">
        <v>0</v>
      </c>
      <c r="I474" t="n">
        <v>0</v>
      </c>
      <c r="J474" t="n">
        <v>0</v>
      </c>
      <c r="K474" t="n">
        <v>0</v>
      </c>
      <c r="L474" t="n">
        <v>0</v>
      </c>
      <c r="M474" t="n">
        <v>0</v>
      </c>
      <c r="N474" t="n">
        <v>0</v>
      </c>
      <c r="O474" t="n">
        <v>0</v>
      </c>
      <c r="P474" t="n">
        <v>0</v>
      </c>
      <c r="Q474" t="n">
        <v>0</v>
      </c>
      <c r="R474" s="2" t="inlineStr"/>
    </row>
    <row r="475" ht="15" customHeight="1">
      <c r="A475" t="inlineStr">
        <is>
          <t>A 60767-2022</t>
        </is>
      </c>
      <c r="B475" s="1" t="n">
        <v>44914.35599537037</v>
      </c>
      <c r="C475" s="1" t="n">
        <v>46034</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44911.6459837963</v>
      </c>
      <c r="C476" s="1" t="n">
        <v>46034</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62175-2025</t>
        </is>
      </c>
      <c r="B477" s="1" t="n">
        <v>46006.51155092593</v>
      </c>
      <c r="C477" s="1" t="n">
        <v>46034</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54133-2025</t>
        </is>
      </c>
      <c r="B478" s="1" t="n">
        <v>45964.46944444445</v>
      </c>
      <c r="C478" s="1" t="n">
        <v>46034</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3615-2025</t>
        </is>
      </c>
      <c r="B479" s="1" t="n">
        <v>45681.36493055556</v>
      </c>
      <c r="C479" s="1" t="n">
        <v>46034</v>
      </c>
      <c r="D479" t="inlineStr">
        <is>
          <t>JÄMTLANDS LÄN</t>
        </is>
      </c>
      <c r="E479" t="inlineStr">
        <is>
          <t>ÖSTERSUND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3651-2025</t>
        </is>
      </c>
      <c r="B480" s="1" t="n">
        <v>45681.40689814815</v>
      </c>
      <c r="C480" s="1" t="n">
        <v>46034</v>
      </c>
      <c r="D480" t="inlineStr">
        <is>
          <t>JÄMTLANDS LÄN</t>
        </is>
      </c>
      <c r="E480" t="inlineStr">
        <is>
          <t>ÖSTERSUND</t>
        </is>
      </c>
      <c r="F480" t="inlineStr">
        <is>
          <t>SCA</t>
        </is>
      </c>
      <c r="G480" t="n">
        <v>9.6</v>
      </c>
      <c r="H480" t="n">
        <v>0</v>
      </c>
      <c r="I480" t="n">
        <v>0</v>
      </c>
      <c r="J480" t="n">
        <v>0</v>
      </c>
      <c r="K480" t="n">
        <v>0</v>
      </c>
      <c r="L480" t="n">
        <v>0</v>
      </c>
      <c r="M480" t="n">
        <v>0</v>
      </c>
      <c r="N480" t="n">
        <v>0</v>
      </c>
      <c r="O480" t="n">
        <v>0</v>
      </c>
      <c r="P480" t="n">
        <v>0</v>
      </c>
      <c r="Q480" t="n">
        <v>0</v>
      </c>
      <c r="R480" s="2" t="inlineStr"/>
    </row>
    <row r="481" ht="15" customHeight="1">
      <c r="A481" t="inlineStr">
        <is>
          <t>A 3664-2025</t>
        </is>
      </c>
      <c r="B481" s="1" t="n">
        <v>45681.4275462963</v>
      </c>
      <c r="C481" s="1" t="n">
        <v>46034</v>
      </c>
      <c r="D481" t="inlineStr">
        <is>
          <t>JÄMTLANDS LÄN</t>
        </is>
      </c>
      <c r="E481" t="inlineStr">
        <is>
          <t>ÖSTERSUND</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12821-2023</t>
        </is>
      </c>
      <c r="B482" s="1" t="n">
        <v>45000</v>
      </c>
      <c r="C482" s="1" t="n">
        <v>46034</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62509-2025</t>
        </is>
      </c>
      <c r="B483" s="1" t="n">
        <v>46007.5958912037</v>
      </c>
      <c r="C483" s="1" t="n">
        <v>46034</v>
      </c>
      <c r="D483" t="inlineStr">
        <is>
          <t>JÄMTLANDS LÄN</t>
        </is>
      </c>
      <c r="E483" t="inlineStr">
        <is>
          <t>ÖSTERSUND</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62176-2025</t>
        </is>
      </c>
      <c r="B484" s="1" t="n">
        <v>46006.51157407407</v>
      </c>
      <c r="C484" s="1" t="n">
        <v>46034</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62452-2025</t>
        </is>
      </c>
      <c r="B485" s="1" t="n">
        <v>46007.49001157407</v>
      </c>
      <c r="C485" s="1" t="n">
        <v>46034</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44798-2023</t>
        </is>
      </c>
      <c r="B486" s="1" t="n">
        <v>45190</v>
      </c>
      <c r="C486" s="1" t="n">
        <v>46034</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54528-2025</t>
        </is>
      </c>
      <c r="B487" s="1" t="n">
        <v>45965.63496527778</v>
      </c>
      <c r="C487" s="1" t="n">
        <v>46034</v>
      </c>
      <c r="D487" t="inlineStr">
        <is>
          <t>JÄMTLANDS LÄN</t>
        </is>
      </c>
      <c r="E487" t="inlineStr">
        <is>
          <t>ÖSTERSUND</t>
        </is>
      </c>
      <c r="G487" t="n">
        <v>1.7</v>
      </c>
      <c r="H487" t="n">
        <v>0</v>
      </c>
      <c r="I487" t="n">
        <v>0</v>
      </c>
      <c r="J487" t="n">
        <v>0</v>
      </c>
      <c r="K487" t="n">
        <v>0</v>
      </c>
      <c r="L487" t="n">
        <v>0</v>
      </c>
      <c r="M487" t="n">
        <v>0</v>
      </c>
      <c r="N487" t="n">
        <v>0</v>
      </c>
      <c r="O487" t="n">
        <v>0</v>
      </c>
      <c r="P487" t="n">
        <v>0</v>
      </c>
      <c r="Q487" t="n">
        <v>0</v>
      </c>
      <c r="R487" s="2" t="inlineStr"/>
    </row>
    <row r="488" ht="15" customHeight="1">
      <c r="A488" t="inlineStr">
        <is>
          <t>A 4936-2025</t>
        </is>
      </c>
      <c r="B488" s="1" t="n">
        <v>45688.69356481481</v>
      </c>
      <c r="C488" s="1" t="n">
        <v>46034</v>
      </c>
      <c r="D488" t="inlineStr">
        <is>
          <t>JÄMTLANDS LÄN</t>
        </is>
      </c>
      <c r="E488" t="inlineStr">
        <is>
          <t>ÖSTERSUND</t>
        </is>
      </c>
      <c r="G488" t="n">
        <v>8.1</v>
      </c>
      <c r="H488" t="n">
        <v>0</v>
      </c>
      <c r="I488" t="n">
        <v>0</v>
      </c>
      <c r="J488" t="n">
        <v>0</v>
      </c>
      <c r="K488" t="n">
        <v>0</v>
      </c>
      <c r="L488" t="n">
        <v>0</v>
      </c>
      <c r="M488" t="n">
        <v>0</v>
      </c>
      <c r="N488" t="n">
        <v>0</v>
      </c>
      <c r="O488" t="n">
        <v>0</v>
      </c>
      <c r="P488" t="n">
        <v>0</v>
      </c>
      <c r="Q488" t="n">
        <v>0</v>
      </c>
      <c r="R488" s="2" t="inlineStr"/>
    </row>
    <row r="489" ht="15" customHeight="1">
      <c r="A489" t="inlineStr">
        <is>
          <t>A 62437-2025</t>
        </is>
      </c>
      <c r="B489" s="1" t="n">
        <v>46007.46907407408</v>
      </c>
      <c r="C489" s="1" t="n">
        <v>46034</v>
      </c>
      <c r="D489" t="inlineStr">
        <is>
          <t>JÄMTLANDS LÄN</t>
        </is>
      </c>
      <c r="E489" t="inlineStr">
        <is>
          <t>ÖSTERSUND</t>
        </is>
      </c>
      <c r="G489" t="n">
        <v>6.3</v>
      </c>
      <c r="H489" t="n">
        <v>0</v>
      </c>
      <c r="I489" t="n">
        <v>0</v>
      </c>
      <c r="J489" t="n">
        <v>0</v>
      </c>
      <c r="K489" t="n">
        <v>0</v>
      </c>
      <c r="L489" t="n">
        <v>0</v>
      </c>
      <c r="M489" t="n">
        <v>0</v>
      </c>
      <c r="N489" t="n">
        <v>0</v>
      </c>
      <c r="O489" t="n">
        <v>0</v>
      </c>
      <c r="P489" t="n">
        <v>0</v>
      </c>
      <c r="Q489" t="n">
        <v>0</v>
      </c>
      <c r="R489" s="2" t="inlineStr"/>
    </row>
    <row r="490" ht="15" customHeight="1">
      <c r="A490" t="inlineStr">
        <is>
          <t>A 62369-2025</t>
        </is>
      </c>
      <c r="B490" s="1" t="n">
        <v>46007.33719907407</v>
      </c>
      <c r="C490" s="1" t="n">
        <v>46034</v>
      </c>
      <c r="D490" t="inlineStr">
        <is>
          <t>JÄMTLANDS LÄN</t>
        </is>
      </c>
      <c r="E490" t="inlineStr">
        <is>
          <t>ÖSTERSUND</t>
        </is>
      </c>
      <c r="F490" t="inlineStr">
        <is>
          <t>Sveaskog</t>
        </is>
      </c>
      <c r="G490" t="n">
        <v>20.3</v>
      </c>
      <c r="H490" t="n">
        <v>0</v>
      </c>
      <c r="I490" t="n">
        <v>0</v>
      </c>
      <c r="J490" t="n">
        <v>0</v>
      </c>
      <c r="K490" t="n">
        <v>0</v>
      </c>
      <c r="L490" t="n">
        <v>0</v>
      </c>
      <c r="M490" t="n">
        <v>0</v>
      </c>
      <c r="N490" t="n">
        <v>0</v>
      </c>
      <c r="O490" t="n">
        <v>0</v>
      </c>
      <c r="P490" t="n">
        <v>0</v>
      </c>
      <c r="Q490" t="n">
        <v>0</v>
      </c>
      <c r="R490" s="2" t="inlineStr"/>
    </row>
    <row r="491" ht="15" customHeight="1">
      <c r="A491" t="inlineStr">
        <is>
          <t>A 6877-2024</t>
        </is>
      </c>
      <c r="B491" s="1" t="n">
        <v>45342</v>
      </c>
      <c r="C491" s="1" t="n">
        <v>46034</v>
      </c>
      <c r="D491" t="inlineStr">
        <is>
          <t>JÄMTLANDS LÄN</t>
        </is>
      </c>
      <c r="E491" t="inlineStr">
        <is>
          <t>ÖSTERSUND</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9971-2025</t>
        </is>
      </c>
      <c r="B492" s="1" t="n">
        <v>45719.38630787037</v>
      </c>
      <c r="C492" s="1" t="n">
        <v>46034</v>
      </c>
      <c r="D492" t="inlineStr">
        <is>
          <t>JÄMTLANDS LÄN</t>
        </is>
      </c>
      <c r="E492" t="inlineStr">
        <is>
          <t>ÖSTERSUND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54965-2025</t>
        </is>
      </c>
      <c r="B493" s="1" t="n">
        <v>45967.49037037037</v>
      </c>
      <c r="C493" s="1" t="n">
        <v>46034</v>
      </c>
      <c r="D493" t="inlineStr">
        <is>
          <t>JÄMTLANDS LÄN</t>
        </is>
      </c>
      <c r="E493" t="inlineStr">
        <is>
          <t>ÖSTERSUND</t>
        </is>
      </c>
      <c r="G493" t="n">
        <v>4.3</v>
      </c>
      <c r="H493" t="n">
        <v>0</v>
      </c>
      <c r="I493" t="n">
        <v>0</v>
      </c>
      <c r="J493" t="n">
        <v>0</v>
      </c>
      <c r="K493" t="n">
        <v>0</v>
      </c>
      <c r="L493" t="n">
        <v>0</v>
      </c>
      <c r="M493" t="n">
        <v>0</v>
      </c>
      <c r="N493" t="n">
        <v>0</v>
      </c>
      <c r="O493" t="n">
        <v>0</v>
      </c>
      <c r="P493" t="n">
        <v>0</v>
      </c>
      <c r="Q493" t="n">
        <v>0</v>
      </c>
      <c r="R493" s="2" t="inlineStr"/>
    </row>
    <row r="494" ht="15" customHeight="1">
      <c r="A494" t="inlineStr">
        <is>
          <t>A 62622-2025</t>
        </is>
      </c>
      <c r="B494" s="1" t="n">
        <v>46008.34438657408</v>
      </c>
      <c r="C494" s="1" t="n">
        <v>46034</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62623-2025</t>
        </is>
      </c>
      <c r="B495" s="1" t="n">
        <v>46008.34443287037</v>
      </c>
      <c r="C495" s="1" t="n">
        <v>46034</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46034</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6351-2024</t>
        </is>
      </c>
      <c r="B497" s="1" t="n">
        <v>45338</v>
      </c>
      <c r="C497" s="1" t="n">
        <v>46034</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54667-2025</t>
        </is>
      </c>
      <c r="B498" s="1" t="n">
        <v>45966.4077662037</v>
      </c>
      <c r="C498" s="1" t="n">
        <v>46034</v>
      </c>
      <c r="D498" t="inlineStr">
        <is>
          <t>JÄMTLANDS LÄN</t>
        </is>
      </c>
      <c r="E498" t="inlineStr">
        <is>
          <t>ÖSTERSUND</t>
        </is>
      </c>
      <c r="G498" t="n">
        <v>6.8</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46034</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3749-2023</t>
        </is>
      </c>
      <c r="B500" s="1" t="n">
        <v>44949</v>
      </c>
      <c r="C500" s="1" t="n">
        <v>46034</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3255-2025</t>
        </is>
      </c>
      <c r="B501" s="1" t="n">
        <v>45679.55256944444</v>
      </c>
      <c r="C501" s="1" t="n">
        <v>46034</v>
      </c>
      <c r="D501" t="inlineStr">
        <is>
          <t>JÄMTLANDS LÄN</t>
        </is>
      </c>
      <c r="E501" t="inlineStr">
        <is>
          <t>ÖSTERSUND</t>
        </is>
      </c>
      <c r="F501" t="inlineStr">
        <is>
          <t>SCA</t>
        </is>
      </c>
      <c r="G501" t="n">
        <v>16.7</v>
      </c>
      <c r="H501" t="n">
        <v>0</v>
      </c>
      <c r="I501" t="n">
        <v>0</v>
      </c>
      <c r="J501" t="n">
        <v>0</v>
      </c>
      <c r="K501" t="n">
        <v>0</v>
      </c>
      <c r="L501" t="n">
        <v>0</v>
      </c>
      <c r="M501" t="n">
        <v>0</v>
      </c>
      <c r="N501" t="n">
        <v>0</v>
      </c>
      <c r="O501" t="n">
        <v>0</v>
      </c>
      <c r="P501" t="n">
        <v>0</v>
      </c>
      <c r="Q501" t="n">
        <v>0</v>
      </c>
      <c r="R501" s="2" t="inlineStr"/>
    </row>
    <row r="502" ht="15" customHeight="1">
      <c r="A502" t="inlineStr">
        <is>
          <t>A 62696-2025</t>
        </is>
      </c>
      <c r="B502" s="1" t="n">
        <v>46008.48708333333</v>
      </c>
      <c r="C502" s="1" t="n">
        <v>46034</v>
      </c>
      <c r="D502" t="inlineStr">
        <is>
          <t>JÄMTLANDS LÄN</t>
        </is>
      </c>
      <c r="E502" t="inlineStr">
        <is>
          <t>ÖSTERSUND</t>
        </is>
      </c>
      <c r="G502" t="n">
        <v>11.3</v>
      </c>
      <c r="H502" t="n">
        <v>0</v>
      </c>
      <c r="I502" t="n">
        <v>0</v>
      </c>
      <c r="J502" t="n">
        <v>0</v>
      </c>
      <c r="K502" t="n">
        <v>0</v>
      </c>
      <c r="L502" t="n">
        <v>0</v>
      </c>
      <c r="M502" t="n">
        <v>0</v>
      </c>
      <c r="N502" t="n">
        <v>0</v>
      </c>
      <c r="O502" t="n">
        <v>0</v>
      </c>
      <c r="P502" t="n">
        <v>0</v>
      </c>
      <c r="Q502" t="n">
        <v>0</v>
      </c>
      <c r="R502" s="2" t="inlineStr"/>
    </row>
    <row r="503" ht="15" customHeight="1">
      <c r="A503" t="inlineStr">
        <is>
          <t>A 58364-2024</t>
        </is>
      </c>
      <c r="B503" s="1" t="n">
        <v>45632.68814814815</v>
      </c>
      <c r="C503" s="1" t="n">
        <v>46034</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46034</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63195-2025</t>
        </is>
      </c>
      <c r="B505" s="1" t="n">
        <v>46010.45680555556</v>
      </c>
      <c r="C505" s="1" t="n">
        <v>46034</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3997-2025</t>
        </is>
      </c>
      <c r="B506" s="1" t="n">
        <v>45684.56725694444</v>
      </c>
      <c r="C506" s="1" t="n">
        <v>46034</v>
      </c>
      <c r="D506" t="inlineStr">
        <is>
          <t>JÄMTLANDS LÄN</t>
        </is>
      </c>
      <c r="E506" t="inlineStr">
        <is>
          <t>ÖSTERSUND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63516-2025</t>
        </is>
      </c>
      <c r="B507" s="1" t="n">
        <v>46013.50993055556</v>
      </c>
      <c r="C507" s="1" t="n">
        <v>46034</v>
      </c>
      <c r="D507" t="inlineStr">
        <is>
          <t>JÄMTLANDS LÄN</t>
        </is>
      </c>
      <c r="E507" t="inlineStr">
        <is>
          <t>ÖSTERSUND</t>
        </is>
      </c>
      <c r="G507" t="n">
        <v>4.8</v>
      </c>
      <c r="H507" t="n">
        <v>0</v>
      </c>
      <c r="I507" t="n">
        <v>0</v>
      </c>
      <c r="J507" t="n">
        <v>0</v>
      </c>
      <c r="K507" t="n">
        <v>0</v>
      </c>
      <c r="L507" t="n">
        <v>0</v>
      </c>
      <c r="M507" t="n">
        <v>0</v>
      </c>
      <c r="N507" t="n">
        <v>0</v>
      </c>
      <c r="O507" t="n">
        <v>0</v>
      </c>
      <c r="P507" t="n">
        <v>0</v>
      </c>
      <c r="Q507" t="n">
        <v>0</v>
      </c>
      <c r="R507" s="2" t="inlineStr"/>
    </row>
    <row r="508" ht="15" customHeight="1">
      <c r="A508" t="inlineStr">
        <is>
          <t>A 64645-2021</t>
        </is>
      </c>
      <c r="B508" s="1" t="n">
        <v>44511.94629629629</v>
      </c>
      <c r="C508" s="1" t="n">
        <v>46034</v>
      </c>
      <c r="D508" t="inlineStr">
        <is>
          <t>JÄMTLANDS LÄN</t>
        </is>
      </c>
      <c r="E508" t="inlineStr">
        <is>
          <t>ÖSTERSUND</t>
        </is>
      </c>
      <c r="G508" t="n">
        <v>3.2</v>
      </c>
      <c r="H508" t="n">
        <v>0</v>
      </c>
      <c r="I508" t="n">
        <v>0</v>
      </c>
      <c r="J508" t="n">
        <v>0</v>
      </c>
      <c r="K508" t="n">
        <v>0</v>
      </c>
      <c r="L508" t="n">
        <v>0</v>
      </c>
      <c r="M508" t="n">
        <v>0</v>
      </c>
      <c r="N508" t="n">
        <v>0</v>
      </c>
      <c r="O508" t="n">
        <v>0</v>
      </c>
      <c r="P508" t="n">
        <v>0</v>
      </c>
      <c r="Q508" t="n">
        <v>0</v>
      </c>
      <c r="R508" s="2" t="inlineStr"/>
    </row>
    <row r="509" ht="15" customHeight="1">
      <c r="A509" t="inlineStr">
        <is>
          <t>A 63245-2025</t>
        </is>
      </c>
      <c r="B509" s="1" t="n">
        <v>46010.53825231481</v>
      </c>
      <c r="C509" s="1" t="n">
        <v>46034</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846-2024</t>
        </is>
      </c>
      <c r="B510" s="1" t="n">
        <v>45300</v>
      </c>
      <c r="C510" s="1" t="n">
        <v>46034</v>
      </c>
      <c r="D510" t="inlineStr">
        <is>
          <t>JÄMTLANDS LÄN</t>
        </is>
      </c>
      <c r="E510" t="inlineStr">
        <is>
          <t>ÖSTERSUND</t>
        </is>
      </c>
      <c r="G510" t="n">
        <v>2.8</v>
      </c>
      <c r="H510" t="n">
        <v>0</v>
      </c>
      <c r="I510" t="n">
        <v>0</v>
      </c>
      <c r="J510" t="n">
        <v>0</v>
      </c>
      <c r="K510" t="n">
        <v>0</v>
      </c>
      <c r="L510" t="n">
        <v>0</v>
      </c>
      <c r="M510" t="n">
        <v>0</v>
      </c>
      <c r="N510" t="n">
        <v>0</v>
      </c>
      <c r="O510" t="n">
        <v>0</v>
      </c>
      <c r="P510" t="n">
        <v>0</v>
      </c>
      <c r="Q510" t="n">
        <v>0</v>
      </c>
      <c r="R510" s="2" t="inlineStr"/>
    </row>
    <row r="511" ht="15" customHeight="1">
      <c r="A511" t="inlineStr">
        <is>
          <t>A 55179-2025</t>
        </is>
      </c>
      <c r="B511" s="1" t="n">
        <v>45968.53167824074</v>
      </c>
      <c r="C511" s="1" t="n">
        <v>46034</v>
      </c>
      <c r="D511" t="inlineStr">
        <is>
          <t>JÄMTLANDS LÄN</t>
        </is>
      </c>
      <c r="E511" t="inlineStr">
        <is>
          <t>ÖSTERSUND</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63475-2025</t>
        </is>
      </c>
      <c r="B512" s="1" t="n">
        <v>46013.4459375</v>
      </c>
      <c r="C512" s="1" t="n">
        <v>46034</v>
      </c>
      <c r="D512" t="inlineStr">
        <is>
          <t>JÄMTLANDS LÄN</t>
        </is>
      </c>
      <c r="E512" t="inlineStr">
        <is>
          <t>ÖSTERSUND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12102-2025</t>
        </is>
      </c>
      <c r="B513" s="1" t="n">
        <v>45729.3425</v>
      </c>
      <c r="C513" s="1" t="n">
        <v>46034</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63193-2025</t>
        </is>
      </c>
      <c r="B514" s="1" t="n">
        <v>46010.45428240741</v>
      </c>
      <c r="C514" s="1" t="n">
        <v>46034</v>
      </c>
      <c r="D514" t="inlineStr">
        <is>
          <t>JÄMTLANDS LÄN</t>
        </is>
      </c>
      <c r="E514" t="inlineStr">
        <is>
          <t>ÖSTERSUND</t>
        </is>
      </c>
      <c r="G514" t="n">
        <v>9</v>
      </c>
      <c r="H514" t="n">
        <v>0</v>
      </c>
      <c r="I514" t="n">
        <v>0</v>
      </c>
      <c r="J514" t="n">
        <v>0</v>
      </c>
      <c r="K514" t="n">
        <v>0</v>
      </c>
      <c r="L514" t="n">
        <v>0</v>
      </c>
      <c r="M514" t="n">
        <v>0</v>
      </c>
      <c r="N514" t="n">
        <v>0</v>
      </c>
      <c r="O514" t="n">
        <v>0</v>
      </c>
      <c r="P514" t="n">
        <v>0</v>
      </c>
      <c r="Q514" t="n">
        <v>0</v>
      </c>
      <c r="R514" s="2" t="inlineStr"/>
      <c r="U514">
        <f>HYPERLINK("https://klasma.github.io/Logging_2380/knärot/A 63193-2025 karta knärot.png", "A 63193-2025")</f>
        <v/>
      </c>
      <c r="V514">
        <f>HYPERLINK("https://klasma.github.io/Logging_2380/klagomål/A 63193-2025 FSC-klagomål.docx", "A 63193-2025")</f>
        <v/>
      </c>
      <c r="W514">
        <f>HYPERLINK("https://klasma.github.io/Logging_2380/klagomålsmail/A 63193-2025 FSC-klagomål mail.docx", "A 63193-2025")</f>
        <v/>
      </c>
      <c r="X514">
        <f>HYPERLINK("https://klasma.github.io/Logging_2380/tillsyn/A 63193-2025 tillsynsbegäran.docx", "A 63193-2025")</f>
        <v/>
      </c>
      <c r="Y514">
        <f>HYPERLINK("https://klasma.github.io/Logging_2380/tillsynsmail/A 63193-2025 tillsynsbegäran mail.docx", "A 63193-2025")</f>
        <v/>
      </c>
    </row>
    <row r="515" ht="15" customHeight="1">
      <c r="A515" t="inlineStr">
        <is>
          <t>A 7233-2024</t>
        </is>
      </c>
      <c r="B515" s="1" t="n">
        <v>45344</v>
      </c>
      <c r="C515" s="1" t="n">
        <v>46034</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46034</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56165-2025</t>
        </is>
      </c>
      <c r="B517" s="1" t="n">
        <v>45974.38310185185</v>
      </c>
      <c r="C517" s="1" t="n">
        <v>46034</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61791-2023</t>
        </is>
      </c>
      <c r="B518" s="1" t="n">
        <v>45265.95795138889</v>
      </c>
      <c r="C518" s="1" t="n">
        <v>46034</v>
      </c>
      <c r="D518" t="inlineStr">
        <is>
          <t>JÄMTLANDS LÄN</t>
        </is>
      </c>
      <c r="E518" t="inlineStr">
        <is>
          <t>ÖSTERSUND</t>
        </is>
      </c>
      <c r="F518" t="inlineStr">
        <is>
          <t>SCA</t>
        </is>
      </c>
      <c r="G518" t="n">
        <v>11.4</v>
      </c>
      <c r="H518" t="n">
        <v>0</v>
      </c>
      <c r="I518" t="n">
        <v>0</v>
      </c>
      <c r="J518" t="n">
        <v>0</v>
      </c>
      <c r="K518" t="n">
        <v>0</v>
      </c>
      <c r="L518" t="n">
        <v>0</v>
      </c>
      <c r="M518" t="n">
        <v>0</v>
      </c>
      <c r="N518" t="n">
        <v>0</v>
      </c>
      <c r="O518" t="n">
        <v>0</v>
      </c>
      <c r="P518" t="n">
        <v>0</v>
      </c>
      <c r="Q518" t="n">
        <v>0</v>
      </c>
      <c r="R518" s="2" t="inlineStr"/>
    </row>
    <row r="519" ht="15" customHeight="1">
      <c r="A519" t="inlineStr">
        <is>
          <t>A 47022-2024</t>
        </is>
      </c>
      <c r="B519" s="1" t="n">
        <v>45586.40660879629</v>
      </c>
      <c r="C519" s="1" t="n">
        <v>46034</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12-2023</t>
        </is>
      </c>
      <c r="B520" s="1" t="n">
        <v>44927.88021990741</v>
      </c>
      <c r="C520" s="1" t="n">
        <v>46034</v>
      </c>
      <c r="D520" t="inlineStr">
        <is>
          <t>JÄMTLANDS LÄN</t>
        </is>
      </c>
      <c r="E520" t="inlineStr">
        <is>
          <t>ÖSTERSUND</t>
        </is>
      </c>
      <c r="G520" t="n">
        <v>4.7</v>
      </c>
      <c r="H520" t="n">
        <v>0</v>
      </c>
      <c r="I520" t="n">
        <v>0</v>
      </c>
      <c r="J520" t="n">
        <v>0</v>
      </c>
      <c r="K520" t="n">
        <v>0</v>
      </c>
      <c r="L520" t="n">
        <v>0</v>
      </c>
      <c r="M520" t="n">
        <v>0</v>
      </c>
      <c r="N520" t="n">
        <v>0</v>
      </c>
      <c r="O520" t="n">
        <v>0</v>
      </c>
      <c r="P520" t="n">
        <v>0</v>
      </c>
      <c r="Q520" t="n">
        <v>0</v>
      </c>
      <c r="R520" s="2" t="inlineStr"/>
    </row>
    <row r="521" ht="15" customHeight="1">
      <c r="A521" t="inlineStr">
        <is>
          <t>A 63807-2025</t>
        </is>
      </c>
      <c r="B521" s="1" t="n">
        <v>46019</v>
      </c>
      <c r="C521" s="1" t="n">
        <v>46034</v>
      </c>
      <c r="D521" t="inlineStr">
        <is>
          <t>JÄMTLANDS LÄN</t>
        </is>
      </c>
      <c r="E521" t="inlineStr">
        <is>
          <t>ÖSTERSUND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56903-2025</t>
        </is>
      </c>
      <c r="B522" s="1" t="n">
        <v>45978.57414351852</v>
      </c>
      <c r="C522" s="1" t="n">
        <v>46034</v>
      </c>
      <c r="D522" t="inlineStr">
        <is>
          <t>JÄMTLANDS LÄN</t>
        </is>
      </c>
      <c r="E522" t="inlineStr">
        <is>
          <t>ÖSTERSUND</t>
        </is>
      </c>
      <c r="G522" t="n">
        <v>3</v>
      </c>
      <c r="H522" t="n">
        <v>0</v>
      </c>
      <c r="I522" t="n">
        <v>0</v>
      </c>
      <c r="J522" t="n">
        <v>0</v>
      </c>
      <c r="K522" t="n">
        <v>0</v>
      </c>
      <c r="L522" t="n">
        <v>0</v>
      </c>
      <c r="M522" t="n">
        <v>0</v>
      </c>
      <c r="N522" t="n">
        <v>0</v>
      </c>
      <c r="O522" t="n">
        <v>0</v>
      </c>
      <c r="P522" t="n">
        <v>0</v>
      </c>
      <c r="Q522" t="n">
        <v>0</v>
      </c>
      <c r="R522" s="2" t="inlineStr"/>
    </row>
    <row r="523" ht="15" customHeight="1">
      <c r="A523" t="inlineStr">
        <is>
          <t>A 61611-2025</t>
        </is>
      </c>
      <c r="B523" s="1" t="n">
        <v>46002</v>
      </c>
      <c r="C523" s="1" t="n">
        <v>46034</v>
      </c>
      <c r="D523" t="inlineStr">
        <is>
          <t>JÄMTLANDS LÄN</t>
        </is>
      </c>
      <c r="E523" t="inlineStr">
        <is>
          <t>ÖSTERSUND</t>
        </is>
      </c>
      <c r="G523" t="n">
        <v>5</v>
      </c>
      <c r="H523" t="n">
        <v>0</v>
      </c>
      <c r="I523" t="n">
        <v>0</v>
      </c>
      <c r="J523" t="n">
        <v>0</v>
      </c>
      <c r="K523" t="n">
        <v>0</v>
      </c>
      <c r="L523" t="n">
        <v>0</v>
      </c>
      <c r="M523" t="n">
        <v>0</v>
      </c>
      <c r="N523" t="n">
        <v>0</v>
      </c>
      <c r="O523" t="n">
        <v>0</v>
      </c>
      <c r="P523" t="n">
        <v>0</v>
      </c>
      <c r="Q523" t="n">
        <v>0</v>
      </c>
      <c r="R523" s="2" t="inlineStr"/>
    </row>
    <row r="524" ht="15" customHeight="1">
      <c r="A524" t="inlineStr">
        <is>
          <t>A 56690-2025</t>
        </is>
      </c>
      <c r="B524" s="1" t="n">
        <v>45976.58684027778</v>
      </c>
      <c r="C524" s="1" t="n">
        <v>46034</v>
      </c>
      <c r="D524" t="inlineStr">
        <is>
          <t>JÄMTLANDS LÄN</t>
        </is>
      </c>
      <c r="E524" t="inlineStr">
        <is>
          <t>ÖSTERSUND</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63982-2025</t>
        </is>
      </c>
      <c r="B525" s="1" t="n">
        <v>46021.34454861111</v>
      </c>
      <c r="C525" s="1" t="n">
        <v>46034</v>
      </c>
      <c r="D525" t="inlineStr">
        <is>
          <t>JÄMTLANDS LÄN</t>
        </is>
      </c>
      <c r="E525" t="inlineStr">
        <is>
          <t>ÖSTERSUND</t>
        </is>
      </c>
      <c r="G525" t="n">
        <v>6.5</v>
      </c>
      <c r="H525" t="n">
        <v>0</v>
      </c>
      <c r="I525" t="n">
        <v>0</v>
      </c>
      <c r="J525" t="n">
        <v>0</v>
      </c>
      <c r="K525" t="n">
        <v>0</v>
      </c>
      <c r="L525" t="n">
        <v>0</v>
      </c>
      <c r="M525" t="n">
        <v>0</v>
      </c>
      <c r="N525" t="n">
        <v>0</v>
      </c>
      <c r="O525" t="n">
        <v>0</v>
      </c>
      <c r="P525" t="n">
        <v>0</v>
      </c>
      <c r="Q525" t="n">
        <v>0</v>
      </c>
      <c r="R525" s="2" t="inlineStr"/>
    </row>
    <row r="526" ht="15" customHeight="1">
      <c r="A526" t="inlineStr">
        <is>
          <t>A 60537-2025</t>
        </is>
      </c>
      <c r="B526" s="1" t="n">
        <v>45995</v>
      </c>
      <c r="C526" s="1" t="n">
        <v>46034</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64309-2023</t>
        </is>
      </c>
      <c r="B527" s="1" t="n">
        <v>45280</v>
      </c>
      <c r="C527" s="1" t="n">
        <v>46034</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64314-2023</t>
        </is>
      </c>
      <c r="B528" s="1" t="n">
        <v>45280</v>
      </c>
      <c r="C528" s="1" t="n">
        <v>46034</v>
      </c>
      <c r="D528" t="inlineStr">
        <is>
          <t>JÄMTLANDS LÄN</t>
        </is>
      </c>
      <c r="E528" t="inlineStr">
        <is>
          <t>ÖSTERSUND</t>
        </is>
      </c>
      <c r="G528" t="n">
        <v>0.6</v>
      </c>
      <c r="H528" t="n">
        <v>0</v>
      </c>
      <c r="I528" t="n">
        <v>0</v>
      </c>
      <c r="J528" t="n">
        <v>0</v>
      </c>
      <c r="K528" t="n">
        <v>0</v>
      </c>
      <c r="L528" t="n">
        <v>0</v>
      </c>
      <c r="M528" t="n">
        <v>0</v>
      </c>
      <c r="N528" t="n">
        <v>0</v>
      </c>
      <c r="O528" t="n">
        <v>0</v>
      </c>
      <c r="P528" t="n">
        <v>0</v>
      </c>
      <c r="Q528" t="n">
        <v>0</v>
      </c>
      <c r="R528" s="2" t="inlineStr"/>
    </row>
    <row r="529" ht="15" customHeight="1">
      <c r="A529" t="inlineStr">
        <is>
          <t>A 27124-2023</t>
        </is>
      </c>
      <c r="B529" s="1" t="n">
        <v>45096</v>
      </c>
      <c r="C529" s="1" t="n">
        <v>46034</v>
      </c>
      <c r="D529" t="inlineStr">
        <is>
          <t>JÄMTLANDS LÄN</t>
        </is>
      </c>
      <c r="E529" t="inlineStr">
        <is>
          <t>ÖSTERSUND</t>
        </is>
      </c>
      <c r="G529" t="n">
        <v>1.9</v>
      </c>
      <c r="H529" t="n">
        <v>0</v>
      </c>
      <c r="I529" t="n">
        <v>0</v>
      </c>
      <c r="J529" t="n">
        <v>0</v>
      </c>
      <c r="K529" t="n">
        <v>0</v>
      </c>
      <c r="L529" t="n">
        <v>0</v>
      </c>
      <c r="M529" t="n">
        <v>0</v>
      </c>
      <c r="N529" t="n">
        <v>0</v>
      </c>
      <c r="O529" t="n">
        <v>0</v>
      </c>
      <c r="P529" t="n">
        <v>0</v>
      </c>
      <c r="Q529" t="n">
        <v>0</v>
      </c>
      <c r="R529" s="2" t="inlineStr"/>
    </row>
    <row r="530" ht="15" customHeight="1">
      <c r="A530" t="inlineStr">
        <is>
          <t>A 61836-2025</t>
        </is>
      </c>
      <c r="B530" s="1" t="n">
        <v>46003</v>
      </c>
      <c r="C530" s="1" t="n">
        <v>46034</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16336-2025</t>
        </is>
      </c>
      <c r="B531" s="1" t="n">
        <v>45751.36519675926</v>
      </c>
      <c r="C531" s="1" t="n">
        <v>46034</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64022-2025</t>
        </is>
      </c>
      <c r="B532" s="1" t="n">
        <v>46021.46912037037</v>
      </c>
      <c r="C532" s="1" t="n">
        <v>46034</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63981-2025</t>
        </is>
      </c>
      <c r="B533" s="1" t="n">
        <v>46021.34450231482</v>
      </c>
      <c r="C533" s="1" t="n">
        <v>46034</v>
      </c>
      <c r="D533" t="inlineStr">
        <is>
          <t>JÄMTLANDS LÄN</t>
        </is>
      </c>
      <c r="E533" t="inlineStr">
        <is>
          <t>ÖSTERSUND</t>
        </is>
      </c>
      <c r="G533" t="n">
        <v>17.7</v>
      </c>
      <c r="H533" t="n">
        <v>0</v>
      </c>
      <c r="I533" t="n">
        <v>0</v>
      </c>
      <c r="J533" t="n">
        <v>0</v>
      </c>
      <c r="K533" t="n">
        <v>0</v>
      </c>
      <c r="L533" t="n">
        <v>0</v>
      </c>
      <c r="M533" t="n">
        <v>0</v>
      </c>
      <c r="N533" t="n">
        <v>0</v>
      </c>
      <c r="O533" t="n">
        <v>0</v>
      </c>
      <c r="P533" t="n">
        <v>0</v>
      </c>
      <c r="Q533" t="n">
        <v>0</v>
      </c>
      <c r="R533" s="2" t="inlineStr"/>
    </row>
    <row r="534" ht="15" customHeight="1">
      <c r="A534" t="inlineStr">
        <is>
          <t>A 61330-2025</t>
        </is>
      </c>
      <c r="B534" s="1" t="n">
        <v>46001</v>
      </c>
      <c r="C534" s="1" t="n">
        <v>46034</v>
      </c>
      <c r="D534" t="inlineStr">
        <is>
          <t>JÄMTLANDS LÄN</t>
        </is>
      </c>
      <c r="E534" t="inlineStr">
        <is>
          <t>ÖSTERSUND</t>
        </is>
      </c>
      <c r="G534" t="n">
        <v>4.5</v>
      </c>
      <c r="H534" t="n">
        <v>0</v>
      </c>
      <c r="I534" t="n">
        <v>0</v>
      </c>
      <c r="J534" t="n">
        <v>0</v>
      </c>
      <c r="K534" t="n">
        <v>0</v>
      </c>
      <c r="L534" t="n">
        <v>0</v>
      </c>
      <c r="M534" t="n">
        <v>0</v>
      </c>
      <c r="N534" t="n">
        <v>0</v>
      </c>
      <c r="O534" t="n">
        <v>0</v>
      </c>
      <c r="P534" t="n">
        <v>0</v>
      </c>
      <c r="Q534" t="n">
        <v>0</v>
      </c>
      <c r="R534" s="2" t="inlineStr"/>
    </row>
    <row r="535" ht="15" customHeight="1">
      <c r="A535" t="inlineStr">
        <is>
          <t>A 17066-2024</t>
        </is>
      </c>
      <c r="B535" s="1" t="n">
        <v>45412.46636574074</v>
      </c>
      <c r="C535" s="1" t="n">
        <v>46034</v>
      </c>
      <c r="D535" t="inlineStr">
        <is>
          <t>JÄMTLANDS LÄN</t>
        </is>
      </c>
      <c r="E535" t="inlineStr">
        <is>
          <t>ÖSTERSUND</t>
        </is>
      </c>
      <c r="G535" t="n">
        <v>4.2</v>
      </c>
      <c r="H535" t="n">
        <v>0</v>
      </c>
      <c r="I535" t="n">
        <v>0</v>
      </c>
      <c r="J535" t="n">
        <v>0</v>
      </c>
      <c r="K535" t="n">
        <v>0</v>
      </c>
      <c r="L535" t="n">
        <v>0</v>
      </c>
      <c r="M535" t="n">
        <v>0</v>
      </c>
      <c r="N535" t="n">
        <v>0</v>
      </c>
      <c r="O535" t="n">
        <v>0</v>
      </c>
      <c r="P535" t="n">
        <v>0</v>
      </c>
      <c r="Q535" t="n">
        <v>0</v>
      </c>
      <c r="R535" s="2" t="inlineStr"/>
    </row>
    <row r="536" ht="15" customHeight="1">
      <c r="A536" t="inlineStr">
        <is>
          <t>A 63856-2025</t>
        </is>
      </c>
      <c r="B536" s="1" t="n">
        <v>46020.47796296296</v>
      </c>
      <c r="C536" s="1" t="n">
        <v>46034</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63861-2025</t>
        </is>
      </c>
      <c r="B537" s="1" t="n">
        <v>46020.49056712963</v>
      </c>
      <c r="C537" s="1" t="n">
        <v>46034</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46034</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46034</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46034</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57513-2025</t>
        </is>
      </c>
      <c r="B541" s="1" t="n">
        <v>45980.61142361111</v>
      </c>
      <c r="C541" s="1" t="n">
        <v>46034</v>
      </c>
      <c r="D541" t="inlineStr">
        <is>
          <t>JÄMTLANDS LÄN</t>
        </is>
      </c>
      <c r="E541" t="inlineStr">
        <is>
          <t>ÖSTERSUND</t>
        </is>
      </c>
      <c r="G541" t="n">
        <v>3.8</v>
      </c>
      <c r="H541" t="n">
        <v>0</v>
      </c>
      <c r="I541" t="n">
        <v>0</v>
      </c>
      <c r="J541" t="n">
        <v>0</v>
      </c>
      <c r="K541" t="n">
        <v>0</v>
      </c>
      <c r="L541" t="n">
        <v>0</v>
      </c>
      <c r="M541" t="n">
        <v>0</v>
      </c>
      <c r="N541" t="n">
        <v>0</v>
      </c>
      <c r="O541" t="n">
        <v>0</v>
      </c>
      <c r="P541" t="n">
        <v>0</v>
      </c>
      <c r="Q541" t="n">
        <v>0</v>
      </c>
      <c r="R541" s="2" t="inlineStr"/>
    </row>
    <row r="542" ht="15" customHeight="1">
      <c r="A542" t="inlineStr">
        <is>
          <t>A 8261-2025</t>
        </is>
      </c>
      <c r="B542" s="1" t="n">
        <v>45708.50256944444</v>
      </c>
      <c r="C542" s="1" t="n">
        <v>46034</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58122-2025</t>
        </is>
      </c>
      <c r="B543" s="1" t="n">
        <v>45982.61043981482</v>
      </c>
      <c r="C543" s="1" t="n">
        <v>46034</v>
      </c>
      <c r="D543" t="inlineStr">
        <is>
          <t>JÄMTLANDS LÄN</t>
        </is>
      </c>
      <c r="E543" t="inlineStr">
        <is>
          <t>ÖSTERSUND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39975-2024</t>
        </is>
      </c>
      <c r="B544" s="1" t="n">
        <v>45553.60474537037</v>
      </c>
      <c r="C544" s="1" t="n">
        <v>46034</v>
      </c>
      <c r="D544" t="inlineStr">
        <is>
          <t>JÄMTLANDS LÄN</t>
        </is>
      </c>
      <c r="E544" t="inlineStr">
        <is>
          <t>ÖSTERSUND</t>
        </is>
      </c>
      <c r="G544" t="n">
        <v>3.8</v>
      </c>
      <c r="H544" t="n">
        <v>0</v>
      </c>
      <c r="I544" t="n">
        <v>0</v>
      </c>
      <c r="J544" t="n">
        <v>0</v>
      </c>
      <c r="K544" t="n">
        <v>0</v>
      </c>
      <c r="L544" t="n">
        <v>0</v>
      </c>
      <c r="M544" t="n">
        <v>0</v>
      </c>
      <c r="N544" t="n">
        <v>0</v>
      </c>
      <c r="O544" t="n">
        <v>0</v>
      </c>
      <c r="P544" t="n">
        <v>0</v>
      </c>
      <c r="Q544" t="n">
        <v>0</v>
      </c>
      <c r="R544" s="2" t="inlineStr"/>
    </row>
    <row r="545" ht="15" customHeight="1">
      <c r="A545" t="inlineStr">
        <is>
          <t>A 58099-2025</t>
        </is>
      </c>
      <c r="B545" s="1" t="n">
        <v>45982.5862037037</v>
      </c>
      <c r="C545" s="1" t="n">
        <v>46034</v>
      </c>
      <c r="D545" t="inlineStr">
        <is>
          <t>JÄMTLANDS LÄN</t>
        </is>
      </c>
      <c r="E545" t="inlineStr">
        <is>
          <t>ÖSTERSUND</t>
        </is>
      </c>
      <c r="G545" t="n">
        <v>6.1</v>
      </c>
      <c r="H545" t="n">
        <v>0</v>
      </c>
      <c r="I545" t="n">
        <v>0</v>
      </c>
      <c r="J545" t="n">
        <v>0</v>
      </c>
      <c r="K545" t="n">
        <v>0</v>
      </c>
      <c r="L545" t="n">
        <v>0</v>
      </c>
      <c r="M545" t="n">
        <v>0</v>
      </c>
      <c r="N545" t="n">
        <v>0</v>
      </c>
      <c r="O545" t="n">
        <v>0</v>
      </c>
      <c r="P545" t="n">
        <v>0</v>
      </c>
      <c r="Q545" t="n">
        <v>0</v>
      </c>
      <c r="R545" s="2" t="inlineStr"/>
    </row>
    <row r="546" ht="15" customHeight="1">
      <c r="A546" t="inlineStr">
        <is>
          <t>A 379-2026</t>
        </is>
      </c>
      <c r="B546" s="1" t="n">
        <v>46027.7344212963</v>
      </c>
      <c r="C546" s="1" t="n">
        <v>46034</v>
      </c>
      <c r="D546" t="inlineStr">
        <is>
          <t>JÄMTLANDS LÄN</t>
        </is>
      </c>
      <c r="E546" t="inlineStr">
        <is>
          <t>ÖSTERSUND</t>
        </is>
      </c>
      <c r="G546" t="n">
        <v>5.6</v>
      </c>
      <c r="H546" t="n">
        <v>0</v>
      </c>
      <c r="I546" t="n">
        <v>0</v>
      </c>
      <c r="J546" t="n">
        <v>0</v>
      </c>
      <c r="K546" t="n">
        <v>0</v>
      </c>
      <c r="L546" t="n">
        <v>0</v>
      </c>
      <c r="M546" t="n">
        <v>0</v>
      </c>
      <c r="N546" t="n">
        <v>0</v>
      </c>
      <c r="O546" t="n">
        <v>0</v>
      </c>
      <c r="P546" t="n">
        <v>0</v>
      </c>
      <c r="Q546" t="n">
        <v>0</v>
      </c>
      <c r="R546" s="2" t="inlineStr"/>
    </row>
    <row r="547" ht="15" customHeight="1">
      <c r="A547" t="inlineStr">
        <is>
          <t>A 61506-2023</t>
        </is>
      </c>
      <c r="B547" s="1" t="n">
        <v>45264</v>
      </c>
      <c r="C547" s="1" t="n">
        <v>46034</v>
      </c>
      <c r="D547" t="inlineStr">
        <is>
          <t>JÄMTLANDS LÄN</t>
        </is>
      </c>
      <c r="E547" t="inlineStr">
        <is>
          <t>ÖSTERSUND</t>
        </is>
      </c>
      <c r="G547" t="n">
        <v>3</v>
      </c>
      <c r="H547" t="n">
        <v>0</v>
      </c>
      <c r="I547" t="n">
        <v>0</v>
      </c>
      <c r="J547" t="n">
        <v>0</v>
      </c>
      <c r="K547" t="n">
        <v>0</v>
      </c>
      <c r="L547" t="n">
        <v>0</v>
      </c>
      <c r="M547" t="n">
        <v>0</v>
      </c>
      <c r="N547" t="n">
        <v>0</v>
      </c>
      <c r="O547" t="n">
        <v>0</v>
      </c>
      <c r="P547" t="n">
        <v>0</v>
      </c>
      <c r="Q547" t="n">
        <v>0</v>
      </c>
      <c r="R547" s="2" t="inlineStr"/>
    </row>
    <row r="548" ht="15" customHeight="1">
      <c r="A548" t="inlineStr">
        <is>
          <t>A 16753-2025</t>
        </is>
      </c>
      <c r="B548" s="1" t="n">
        <v>45754.56839120371</v>
      </c>
      <c r="C548" s="1" t="n">
        <v>46034</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58440-2025</t>
        </is>
      </c>
      <c r="B549" s="1" t="n">
        <v>45985.61524305555</v>
      </c>
      <c r="C549" s="1" t="n">
        <v>46034</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56067-2022</t>
        </is>
      </c>
      <c r="B550" s="1" t="n">
        <v>44889.59378472222</v>
      </c>
      <c r="C550" s="1" t="n">
        <v>46034</v>
      </c>
      <c r="D550" t="inlineStr">
        <is>
          <t>JÄMTLANDS LÄN</t>
        </is>
      </c>
      <c r="E550" t="inlineStr">
        <is>
          <t>ÖSTERSUND</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58354-2025</t>
        </is>
      </c>
      <c r="B551" s="1" t="n">
        <v>45985.51131944444</v>
      </c>
      <c r="C551" s="1" t="n">
        <v>46034</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58353-2025</t>
        </is>
      </c>
      <c r="B552" s="1" t="n">
        <v>45985.51128472222</v>
      </c>
      <c r="C552" s="1" t="n">
        <v>46034</v>
      </c>
      <c r="D552" t="inlineStr">
        <is>
          <t>JÄMTLANDS LÄN</t>
        </is>
      </c>
      <c r="E552" t="inlineStr">
        <is>
          <t>ÖSTERSUND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46034</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318-2026</t>
        </is>
      </c>
      <c r="B554" s="1" t="n">
        <v>46027.57334490741</v>
      </c>
      <c r="C554" s="1" t="n">
        <v>46034</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14518-2023</t>
        </is>
      </c>
      <c r="B555" s="1" t="n">
        <v>45012</v>
      </c>
      <c r="C555" s="1" t="n">
        <v>46034</v>
      </c>
      <c r="D555" t="inlineStr">
        <is>
          <t>JÄMTLANDS LÄN</t>
        </is>
      </c>
      <c r="E555" t="inlineStr">
        <is>
          <t>ÖSTERSUND</t>
        </is>
      </c>
      <c r="G555" t="n">
        <v>14.4</v>
      </c>
      <c r="H555" t="n">
        <v>0</v>
      </c>
      <c r="I555" t="n">
        <v>0</v>
      </c>
      <c r="J555" t="n">
        <v>0</v>
      </c>
      <c r="K555" t="n">
        <v>0</v>
      </c>
      <c r="L555" t="n">
        <v>0</v>
      </c>
      <c r="M555" t="n">
        <v>0</v>
      </c>
      <c r="N555" t="n">
        <v>0</v>
      </c>
      <c r="O555" t="n">
        <v>0</v>
      </c>
      <c r="P555" t="n">
        <v>0</v>
      </c>
      <c r="Q555" t="n">
        <v>0</v>
      </c>
      <c r="R555" s="2" t="inlineStr"/>
    </row>
    <row r="556" ht="15" customHeight="1">
      <c r="A556" t="inlineStr">
        <is>
          <t>A 58373-2025</t>
        </is>
      </c>
      <c r="B556" s="1" t="n">
        <v>45985.53162037037</v>
      </c>
      <c r="C556" s="1" t="n">
        <v>46034</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330-2026</t>
        </is>
      </c>
      <c r="B557" s="1" t="n">
        <v>46027.59451388889</v>
      </c>
      <c r="C557" s="1" t="n">
        <v>46034</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30602-2023</t>
        </is>
      </c>
      <c r="B558" s="1" t="n">
        <v>45112</v>
      </c>
      <c r="C558" s="1" t="n">
        <v>46034</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58917-2025</t>
        </is>
      </c>
      <c r="B559" s="1" t="n">
        <v>45987.52949074074</v>
      </c>
      <c r="C559" s="1" t="n">
        <v>46034</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1211-2025</t>
        </is>
      </c>
      <c r="B560" s="1" t="n">
        <v>45667.40662037037</v>
      </c>
      <c r="C560" s="1" t="n">
        <v>46034</v>
      </c>
      <c r="D560" t="inlineStr">
        <is>
          <t>JÄMTLANDS LÄN</t>
        </is>
      </c>
      <c r="E560" t="inlineStr">
        <is>
          <t>ÖSTERSUND</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45004-2022</t>
        </is>
      </c>
      <c r="B561" s="1" t="n">
        <v>44840</v>
      </c>
      <c r="C561" s="1" t="n">
        <v>46034</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46034</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27906-2024</t>
        </is>
      </c>
      <c r="B563" s="1" t="n">
        <v>45475.94585648148</v>
      </c>
      <c r="C563" s="1" t="n">
        <v>46034</v>
      </c>
      <c r="D563" t="inlineStr">
        <is>
          <t>JÄMTLANDS LÄN</t>
        </is>
      </c>
      <c r="E563" t="inlineStr">
        <is>
          <t>ÖSTERSUND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58818-2025</t>
        </is>
      </c>
      <c r="B564" s="1" t="n">
        <v>45987.33479166667</v>
      </c>
      <c r="C564" s="1" t="n">
        <v>46034</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58824-2025</t>
        </is>
      </c>
      <c r="B565" s="1" t="n">
        <v>45987.34543981482</v>
      </c>
      <c r="C565" s="1" t="n">
        <v>46034</v>
      </c>
      <c r="D565" t="inlineStr">
        <is>
          <t>JÄMTLANDS LÄN</t>
        </is>
      </c>
      <c r="E565" t="inlineStr">
        <is>
          <t>ÖSTERSUND</t>
        </is>
      </c>
      <c r="G565" t="n">
        <v>3.2</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46034</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46034</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46034</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46034</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58583-2025</t>
        </is>
      </c>
      <c r="B570" s="1" t="n">
        <v>45986.39024305555</v>
      </c>
      <c r="C570" s="1" t="n">
        <v>46034</v>
      </c>
      <c r="D570" t="inlineStr">
        <is>
          <t>JÄMTLANDS LÄN</t>
        </is>
      </c>
      <c r="E570" t="inlineStr">
        <is>
          <t>ÖSTERSUND</t>
        </is>
      </c>
      <c r="G570" t="n">
        <v>43.1</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46034</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485-2026</t>
        </is>
      </c>
      <c r="B572" s="1" t="n">
        <v>46029.41560185186</v>
      </c>
      <c r="C572" s="1" t="n">
        <v>46034</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623-2026</t>
        </is>
      </c>
      <c r="B573" s="1" t="n">
        <v>46024</v>
      </c>
      <c r="C573" s="1" t="n">
        <v>46034</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59188-2025</t>
        </is>
      </c>
      <c r="B574" s="1" t="n">
        <v>45988.58856481482</v>
      </c>
      <c r="C574" s="1" t="n">
        <v>46034</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60088-2024</t>
        </is>
      </c>
      <c r="B575" s="1" t="n">
        <v>45642.54847222222</v>
      </c>
      <c r="C575" s="1" t="n">
        <v>46034</v>
      </c>
      <c r="D575" t="inlineStr">
        <is>
          <t>JÄMTLANDS LÄN</t>
        </is>
      </c>
      <c r="E575" t="inlineStr">
        <is>
          <t>ÖSTERSUND</t>
        </is>
      </c>
      <c r="G575" t="n">
        <v>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46034</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61427-2025</t>
        </is>
      </c>
      <c r="B577" s="1" t="n">
        <v>46000</v>
      </c>
      <c r="C577" s="1" t="n">
        <v>46034</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4901-2025</t>
        </is>
      </c>
      <c r="B578" s="1" t="n">
        <v>45688.67965277778</v>
      </c>
      <c r="C578" s="1" t="n">
        <v>46034</v>
      </c>
      <c r="D578" t="inlineStr">
        <is>
          <t>JÄMTLANDS LÄN</t>
        </is>
      </c>
      <c r="E578" t="inlineStr">
        <is>
          <t>ÖSTERSUND</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59015-2025</t>
        </is>
      </c>
      <c r="B579" s="1" t="n">
        <v>45987.83457175926</v>
      </c>
      <c r="C579" s="1" t="n">
        <v>46034</v>
      </c>
      <c r="D579" t="inlineStr">
        <is>
          <t>JÄMTLANDS LÄN</t>
        </is>
      </c>
      <c r="E579" t="inlineStr">
        <is>
          <t>ÖSTERSUND</t>
        </is>
      </c>
      <c r="G579" t="n">
        <v>2.4</v>
      </c>
      <c r="H579" t="n">
        <v>0</v>
      </c>
      <c r="I579" t="n">
        <v>0</v>
      </c>
      <c r="J579" t="n">
        <v>0</v>
      </c>
      <c r="K579" t="n">
        <v>0</v>
      </c>
      <c r="L579" t="n">
        <v>0</v>
      </c>
      <c r="M579" t="n">
        <v>0</v>
      </c>
      <c r="N579" t="n">
        <v>0</v>
      </c>
      <c r="O579" t="n">
        <v>0</v>
      </c>
      <c r="P579" t="n">
        <v>0</v>
      </c>
      <c r="Q579" t="n">
        <v>0</v>
      </c>
      <c r="R579" s="2" t="inlineStr"/>
    </row>
    <row r="580" ht="15" customHeight="1">
      <c r="A580" t="inlineStr">
        <is>
          <t>A 17709-2024</t>
        </is>
      </c>
      <c r="B580" s="1" t="n">
        <v>45418.4843287037</v>
      </c>
      <c r="C580" s="1" t="n">
        <v>46034</v>
      </c>
      <c r="D580" t="inlineStr">
        <is>
          <t>JÄMTLANDS LÄN</t>
        </is>
      </c>
      <c r="E580" t="inlineStr">
        <is>
          <t>ÖSTERSUND</t>
        </is>
      </c>
      <c r="G580" t="n">
        <v>2.9</v>
      </c>
      <c r="H580" t="n">
        <v>0</v>
      </c>
      <c r="I580" t="n">
        <v>0</v>
      </c>
      <c r="J580" t="n">
        <v>0</v>
      </c>
      <c r="K580" t="n">
        <v>0</v>
      </c>
      <c r="L580" t="n">
        <v>0</v>
      </c>
      <c r="M580" t="n">
        <v>0</v>
      </c>
      <c r="N580" t="n">
        <v>0</v>
      </c>
      <c r="O580" t="n">
        <v>0</v>
      </c>
      <c r="P580" t="n">
        <v>0</v>
      </c>
      <c r="Q580" t="n">
        <v>0</v>
      </c>
      <c r="R580" s="2" t="inlineStr"/>
    </row>
    <row r="581" ht="15" customHeight="1">
      <c r="A581" t="inlineStr">
        <is>
          <t>A 58406-2024</t>
        </is>
      </c>
      <c r="B581" s="1" t="n">
        <v>45634.70898148148</v>
      </c>
      <c r="C581" s="1" t="n">
        <v>46034</v>
      </c>
      <c r="D581" t="inlineStr">
        <is>
          <t>JÄMTLANDS LÄN</t>
        </is>
      </c>
      <c r="E581" t="inlineStr">
        <is>
          <t>ÖSTERSUND</t>
        </is>
      </c>
      <c r="G581" t="n">
        <v>3.8</v>
      </c>
      <c r="H581" t="n">
        <v>0</v>
      </c>
      <c r="I581" t="n">
        <v>0</v>
      </c>
      <c r="J581" t="n">
        <v>0</v>
      </c>
      <c r="K581" t="n">
        <v>0</v>
      </c>
      <c r="L581" t="n">
        <v>0</v>
      </c>
      <c r="M581" t="n">
        <v>0</v>
      </c>
      <c r="N581" t="n">
        <v>0</v>
      </c>
      <c r="O581" t="n">
        <v>0</v>
      </c>
      <c r="P581" t="n">
        <v>0</v>
      </c>
      <c r="Q581" t="n">
        <v>0</v>
      </c>
      <c r="R581" s="2" t="inlineStr"/>
    </row>
    <row r="582" ht="15" customHeight="1">
      <c r="A582" t="inlineStr">
        <is>
          <t>A 1374-2026</t>
        </is>
      </c>
      <c r="B582" s="1" t="n">
        <v>46031.6141087963</v>
      </c>
      <c r="C582" s="1" t="n">
        <v>46034</v>
      </c>
      <c r="D582" t="inlineStr">
        <is>
          <t>JÄMTLANDS LÄN</t>
        </is>
      </c>
      <c r="E582" t="inlineStr">
        <is>
          <t>ÖSTERSUND</t>
        </is>
      </c>
      <c r="G582" t="n">
        <v>2.7</v>
      </c>
      <c r="H582" t="n">
        <v>0</v>
      </c>
      <c r="I582" t="n">
        <v>0</v>
      </c>
      <c r="J582" t="n">
        <v>0</v>
      </c>
      <c r="K582" t="n">
        <v>0</v>
      </c>
      <c r="L582" t="n">
        <v>0</v>
      </c>
      <c r="M582" t="n">
        <v>0</v>
      </c>
      <c r="N582" t="n">
        <v>0</v>
      </c>
      <c r="O582" t="n">
        <v>0</v>
      </c>
      <c r="P582" t="n">
        <v>0</v>
      </c>
      <c r="Q582" t="n">
        <v>0</v>
      </c>
      <c r="R582" s="2" t="inlineStr"/>
    </row>
    <row r="583" ht="15" customHeight="1">
      <c r="A583" t="inlineStr">
        <is>
          <t>A 51826-2024</t>
        </is>
      </c>
      <c r="B583" s="1" t="n">
        <v>45607.50137731482</v>
      </c>
      <c r="C583" s="1" t="n">
        <v>46034</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1026-2026</t>
        </is>
      </c>
      <c r="B584" s="1" t="n">
        <v>46030.61326388889</v>
      </c>
      <c r="C584" s="1" t="n">
        <v>46034</v>
      </c>
      <c r="D584" t="inlineStr">
        <is>
          <t>JÄMTLANDS LÄN</t>
        </is>
      </c>
      <c r="E584" t="inlineStr">
        <is>
          <t>ÖSTERSUND</t>
        </is>
      </c>
      <c r="G584" t="n">
        <v>6.6</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46034</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59007-2025</t>
        </is>
      </c>
      <c r="B586" s="1" t="n">
        <v>45987.69552083333</v>
      </c>
      <c r="C586" s="1" t="n">
        <v>46034</v>
      </c>
      <c r="D586" t="inlineStr">
        <is>
          <t>JÄMTLANDS LÄN</t>
        </is>
      </c>
      <c r="E586" t="inlineStr">
        <is>
          <t>ÖSTERSUND</t>
        </is>
      </c>
      <c r="G586" t="n">
        <v>4</v>
      </c>
      <c r="H586" t="n">
        <v>0</v>
      </c>
      <c r="I586" t="n">
        <v>0</v>
      </c>
      <c r="J586" t="n">
        <v>0</v>
      </c>
      <c r="K586" t="n">
        <v>0</v>
      </c>
      <c r="L586" t="n">
        <v>0</v>
      </c>
      <c r="M586" t="n">
        <v>0</v>
      </c>
      <c r="N586" t="n">
        <v>0</v>
      </c>
      <c r="O586" t="n">
        <v>0</v>
      </c>
      <c r="P586" t="n">
        <v>0</v>
      </c>
      <c r="Q586" t="n">
        <v>0</v>
      </c>
      <c r="R586" s="2" t="inlineStr"/>
    </row>
    <row r="587" ht="15" customHeight="1">
      <c r="A587" t="inlineStr">
        <is>
          <t>A 721-2026</t>
        </is>
      </c>
      <c r="B587" s="1" t="n">
        <v>46029.63600694444</v>
      </c>
      <c r="C587" s="1" t="n">
        <v>46034</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46034</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14831-2025</t>
        </is>
      </c>
      <c r="B589" s="1" t="n">
        <v>45743.37109953703</v>
      </c>
      <c r="C589" s="1" t="n">
        <v>46034</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4500-2025</t>
        </is>
      </c>
      <c r="B590" s="1" t="n">
        <v>45686.6859375</v>
      </c>
      <c r="C590" s="1" t="n">
        <v>46034</v>
      </c>
      <c r="D590" t="inlineStr">
        <is>
          <t>JÄMTLANDS LÄN</t>
        </is>
      </c>
      <c r="E590" t="inlineStr">
        <is>
          <t>ÖSTERSUND</t>
        </is>
      </c>
      <c r="G590" t="n">
        <v>28.4</v>
      </c>
      <c r="H590" t="n">
        <v>0</v>
      </c>
      <c r="I590" t="n">
        <v>0</v>
      </c>
      <c r="J590" t="n">
        <v>0</v>
      </c>
      <c r="K590" t="n">
        <v>0</v>
      </c>
      <c r="L590" t="n">
        <v>0</v>
      </c>
      <c r="M590" t="n">
        <v>0</v>
      </c>
      <c r="N590" t="n">
        <v>0</v>
      </c>
      <c r="O590" t="n">
        <v>0</v>
      </c>
      <c r="P590" t="n">
        <v>0</v>
      </c>
      <c r="Q590" t="n">
        <v>0</v>
      </c>
      <c r="R590" s="2" t="inlineStr"/>
    </row>
    <row r="591" ht="15" customHeight="1">
      <c r="A591" t="inlineStr">
        <is>
          <t>A 4135-2023</t>
        </is>
      </c>
      <c r="B591" s="1" t="n">
        <v>44952</v>
      </c>
      <c r="C591" s="1" t="n">
        <v>46034</v>
      </c>
      <c r="D591" t="inlineStr">
        <is>
          <t>JÄMTLANDS LÄN</t>
        </is>
      </c>
      <c r="E591" t="inlineStr">
        <is>
          <t>ÖSTERSUND</t>
        </is>
      </c>
      <c r="G591" t="n">
        <v>1.3</v>
      </c>
      <c r="H591" t="n">
        <v>0</v>
      </c>
      <c r="I591" t="n">
        <v>0</v>
      </c>
      <c r="J591" t="n">
        <v>0</v>
      </c>
      <c r="K591" t="n">
        <v>0</v>
      </c>
      <c r="L591" t="n">
        <v>0</v>
      </c>
      <c r="M591" t="n">
        <v>0</v>
      </c>
      <c r="N591" t="n">
        <v>0</v>
      </c>
      <c r="O591" t="n">
        <v>0</v>
      </c>
      <c r="P591" t="n">
        <v>0</v>
      </c>
      <c r="Q591" t="n">
        <v>0</v>
      </c>
      <c r="R591" s="2" t="inlineStr"/>
    </row>
    <row r="592" ht="15" customHeight="1">
      <c r="A592" t="inlineStr">
        <is>
          <t>A 42151-2023</t>
        </is>
      </c>
      <c r="B592" s="1" t="n">
        <v>45177.93612268518</v>
      </c>
      <c r="C592" s="1" t="n">
        <v>46034</v>
      </c>
      <c r="D592" t="inlineStr">
        <is>
          <t>JÄMTLANDS LÄN</t>
        </is>
      </c>
      <c r="E592" t="inlineStr">
        <is>
          <t>ÖSTERSUND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59648-2022</t>
        </is>
      </c>
      <c r="B593" s="1" t="n">
        <v>44907</v>
      </c>
      <c r="C593" s="1" t="n">
        <v>46034</v>
      </c>
      <c r="D593" t="inlineStr">
        <is>
          <t>JÄMTLANDS LÄN</t>
        </is>
      </c>
      <c r="E593" t="inlineStr">
        <is>
          <t>ÖSTERSUND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46034</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14118-2025</t>
        </is>
      </c>
      <c r="B595" s="1" t="n">
        <v>45740.46325231482</v>
      </c>
      <c r="C595" s="1" t="n">
        <v>46034</v>
      </c>
      <c r="D595" t="inlineStr">
        <is>
          <t>JÄMTLANDS LÄN</t>
        </is>
      </c>
      <c r="E595" t="inlineStr">
        <is>
          <t>ÖSTERSUND</t>
        </is>
      </c>
      <c r="G595" t="n">
        <v>3.6</v>
      </c>
      <c r="H595" t="n">
        <v>0</v>
      </c>
      <c r="I595" t="n">
        <v>0</v>
      </c>
      <c r="J595" t="n">
        <v>0</v>
      </c>
      <c r="K595" t="n">
        <v>0</v>
      </c>
      <c r="L595" t="n">
        <v>0</v>
      </c>
      <c r="M595" t="n">
        <v>0</v>
      </c>
      <c r="N595" t="n">
        <v>0</v>
      </c>
      <c r="O595" t="n">
        <v>0</v>
      </c>
      <c r="P595" t="n">
        <v>0</v>
      </c>
      <c r="Q595" t="n">
        <v>0</v>
      </c>
      <c r="R595" s="2" t="inlineStr"/>
    </row>
    <row r="596" ht="15" customHeight="1">
      <c r="A596" t="inlineStr">
        <is>
          <t>A 44489-2024</t>
        </is>
      </c>
      <c r="B596" s="1" t="n">
        <v>45574.38943287037</v>
      </c>
      <c r="C596" s="1" t="n">
        <v>46034</v>
      </c>
      <c r="D596" t="inlineStr">
        <is>
          <t>JÄMTLANDS LÄN</t>
        </is>
      </c>
      <c r="E596" t="inlineStr">
        <is>
          <t>ÖSTERSUND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7549-2025</t>
        </is>
      </c>
      <c r="B597" s="1" t="n">
        <v>45705.57454861111</v>
      </c>
      <c r="C597" s="1" t="n">
        <v>46034</v>
      </c>
      <c r="D597" t="inlineStr">
        <is>
          <t>JÄMTLANDS LÄN</t>
        </is>
      </c>
      <c r="E597" t="inlineStr">
        <is>
          <t>ÖSTERSUND</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46034</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1159-2024</t>
        </is>
      </c>
      <c r="B599" s="1" t="n">
        <v>45302.52006944444</v>
      </c>
      <c r="C599" s="1" t="n">
        <v>46034</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15669-2025</t>
        </is>
      </c>
      <c r="B600" s="1" t="n">
        <v>45748.4396412037</v>
      </c>
      <c r="C600" s="1" t="n">
        <v>46034</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3122-2025</t>
        </is>
      </c>
      <c r="B601" s="1" t="n">
        <v>45678</v>
      </c>
      <c r="C601" s="1" t="n">
        <v>46034</v>
      </c>
      <c r="D601" t="inlineStr">
        <is>
          <t>JÄMTLANDS LÄN</t>
        </is>
      </c>
      <c r="E601" t="inlineStr">
        <is>
          <t>ÖSTERSUND</t>
        </is>
      </c>
      <c r="G601" t="n">
        <v>1.3</v>
      </c>
      <c r="H601" t="n">
        <v>0</v>
      </c>
      <c r="I601" t="n">
        <v>0</v>
      </c>
      <c r="J601" t="n">
        <v>0</v>
      </c>
      <c r="K601" t="n">
        <v>0</v>
      </c>
      <c r="L601" t="n">
        <v>0</v>
      </c>
      <c r="M601" t="n">
        <v>0</v>
      </c>
      <c r="N601" t="n">
        <v>0</v>
      </c>
      <c r="O601" t="n">
        <v>0</v>
      </c>
      <c r="P601" t="n">
        <v>0</v>
      </c>
      <c r="Q601" t="n">
        <v>0</v>
      </c>
      <c r="R601" s="2" t="inlineStr"/>
    </row>
    <row r="602" ht="15" customHeight="1">
      <c r="A602" t="inlineStr">
        <is>
          <t>A 60575-2022</t>
        </is>
      </c>
      <c r="B602" s="1" t="n">
        <v>44911.5662037037</v>
      </c>
      <c r="C602" s="1" t="n">
        <v>46034</v>
      </c>
      <c r="D602" t="inlineStr">
        <is>
          <t>JÄMTLANDS LÄN</t>
        </is>
      </c>
      <c r="E602" t="inlineStr">
        <is>
          <t>ÖSTERSUND</t>
        </is>
      </c>
      <c r="G602" t="n">
        <v>1</v>
      </c>
      <c r="H602" t="n">
        <v>0</v>
      </c>
      <c r="I602" t="n">
        <v>0</v>
      </c>
      <c r="J602" t="n">
        <v>0</v>
      </c>
      <c r="K602" t="n">
        <v>0</v>
      </c>
      <c r="L602" t="n">
        <v>0</v>
      </c>
      <c r="M602" t="n">
        <v>0</v>
      </c>
      <c r="N602" t="n">
        <v>0</v>
      </c>
      <c r="O602" t="n">
        <v>0</v>
      </c>
      <c r="P602" t="n">
        <v>0</v>
      </c>
      <c r="Q602" t="n">
        <v>0</v>
      </c>
      <c r="R602" s="2" t="inlineStr"/>
    </row>
    <row r="603" ht="15" customHeight="1">
      <c r="A603" t="inlineStr">
        <is>
          <t>A 53060-2024</t>
        </is>
      </c>
      <c r="B603" s="1" t="n">
        <v>45611.46912037037</v>
      </c>
      <c r="C603" s="1" t="n">
        <v>46034</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23555-2022</t>
        </is>
      </c>
      <c r="B604" s="1" t="n">
        <v>44721</v>
      </c>
      <c r="C604" s="1" t="n">
        <v>46034</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54237-2024</t>
        </is>
      </c>
      <c r="B605" s="1" t="n">
        <v>45616.67833333334</v>
      </c>
      <c r="C605" s="1" t="n">
        <v>46034</v>
      </c>
      <c r="D605" t="inlineStr">
        <is>
          <t>JÄMTLANDS LÄN</t>
        </is>
      </c>
      <c r="E605" t="inlineStr">
        <is>
          <t>ÖSTERSUND</t>
        </is>
      </c>
      <c r="F605" t="inlineStr">
        <is>
          <t>SCA</t>
        </is>
      </c>
      <c r="G605" t="n">
        <v>8.9</v>
      </c>
      <c r="H605" t="n">
        <v>0</v>
      </c>
      <c r="I605" t="n">
        <v>0</v>
      </c>
      <c r="J605" t="n">
        <v>0</v>
      </c>
      <c r="K605" t="n">
        <v>0</v>
      </c>
      <c r="L605" t="n">
        <v>0</v>
      </c>
      <c r="M605" t="n">
        <v>0</v>
      </c>
      <c r="N605" t="n">
        <v>0</v>
      </c>
      <c r="O605" t="n">
        <v>0</v>
      </c>
      <c r="P605" t="n">
        <v>0</v>
      </c>
      <c r="Q605" t="n">
        <v>0</v>
      </c>
      <c r="R605" s="2" t="inlineStr"/>
    </row>
    <row r="606" ht="15" customHeight="1">
      <c r="A606" t="inlineStr">
        <is>
          <t>A 296-2023</t>
        </is>
      </c>
      <c r="B606" s="1" t="n">
        <v>44922</v>
      </c>
      <c r="C606" s="1" t="n">
        <v>46034</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17732-2022</t>
        </is>
      </c>
      <c r="B607" s="1" t="n">
        <v>44680.92873842592</v>
      </c>
      <c r="C607" s="1" t="n">
        <v>46034</v>
      </c>
      <c r="D607" t="inlineStr">
        <is>
          <t>JÄMTLANDS LÄN</t>
        </is>
      </c>
      <c r="E607" t="inlineStr">
        <is>
          <t>ÖSTERSUND</t>
        </is>
      </c>
      <c r="G607" t="n">
        <v>5.4</v>
      </c>
      <c r="H607" t="n">
        <v>0</v>
      </c>
      <c r="I607" t="n">
        <v>0</v>
      </c>
      <c r="J607" t="n">
        <v>0</v>
      </c>
      <c r="K607" t="n">
        <v>0</v>
      </c>
      <c r="L607" t="n">
        <v>0</v>
      </c>
      <c r="M607" t="n">
        <v>0</v>
      </c>
      <c r="N607" t="n">
        <v>0</v>
      </c>
      <c r="O607" t="n">
        <v>0</v>
      </c>
      <c r="P607" t="n">
        <v>0</v>
      </c>
      <c r="Q607" t="n">
        <v>0</v>
      </c>
      <c r="R607" s="2" t="inlineStr"/>
    </row>
    <row r="608" ht="15" customHeight="1">
      <c r="A608" t="inlineStr">
        <is>
          <t>A 57589-2024</t>
        </is>
      </c>
      <c r="B608" s="1" t="n">
        <v>45630.49710648148</v>
      </c>
      <c r="C608" s="1" t="n">
        <v>46034</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31040-2021</t>
        </is>
      </c>
      <c r="B609" s="1" t="n">
        <v>44368</v>
      </c>
      <c r="C609" s="1" t="n">
        <v>46034</v>
      </c>
      <c r="D609" t="inlineStr">
        <is>
          <t>JÄMTLANDS LÄN</t>
        </is>
      </c>
      <c r="E609" t="inlineStr">
        <is>
          <t>ÖSTERSUND</t>
        </is>
      </c>
      <c r="G609" t="n">
        <v>4.3</v>
      </c>
      <c r="H609" t="n">
        <v>0</v>
      </c>
      <c r="I609" t="n">
        <v>0</v>
      </c>
      <c r="J609" t="n">
        <v>0</v>
      </c>
      <c r="K609" t="n">
        <v>0</v>
      </c>
      <c r="L609" t="n">
        <v>0</v>
      </c>
      <c r="M609" t="n">
        <v>0</v>
      </c>
      <c r="N609" t="n">
        <v>0</v>
      </c>
      <c r="O609" t="n">
        <v>0</v>
      </c>
      <c r="P609" t="n">
        <v>0</v>
      </c>
      <c r="Q609" t="n">
        <v>0</v>
      </c>
      <c r="R609" s="2" t="inlineStr"/>
    </row>
    <row r="610" ht="15" customHeight="1">
      <c r="A610" t="inlineStr">
        <is>
          <t>A 55678-2023</t>
        </is>
      </c>
      <c r="B610" s="1" t="n">
        <v>45239.33032407407</v>
      </c>
      <c r="C610" s="1" t="n">
        <v>46034</v>
      </c>
      <c r="D610" t="inlineStr">
        <is>
          <t>JÄMTLANDS LÄN</t>
        </is>
      </c>
      <c r="E610" t="inlineStr">
        <is>
          <t>ÖSTERSUND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15659-2021</t>
        </is>
      </c>
      <c r="B611" s="1" t="n">
        <v>44298</v>
      </c>
      <c r="C611" s="1" t="n">
        <v>46034</v>
      </c>
      <c r="D611" t="inlineStr">
        <is>
          <t>JÄMTLANDS LÄN</t>
        </is>
      </c>
      <c r="E611" t="inlineStr">
        <is>
          <t>ÖSTERSUND</t>
        </is>
      </c>
      <c r="G611" t="n">
        <v>13.3</v>
      </c>
      <c r="H611" t="n">
        <v>0</v>
      </c>
      <c r="I611" t="n">
        <v>0</v>
      </c>
      <c r="J611" t="n">
        <v>0</v>
      </c>
      <c r="K611" t="n">
        <v>0</v>
      </c>
      <c r="L611" t="n">
        <v>0</v>
      </c>
      <c r="M611" t="n">
        <v>0</v>
      </c>
      <c r="N611" t="n">
        <v>0</v>
      </c>
      <c r="O611" t="n">
        <v>0</v>
      </c>
      <c r="P611" t="n">
        <v>0</v>
      </c>
      <c r="Q611" t="n">
        <v>0</v>
      </c>
      <c r="R611" s="2" t="inlineStr"/>
    </row>
    <row r="612" ht="15" customHeight="1">
      <c r="A612" t="inlineStr">
        <is>
          <t>A 56847-2024</t>
        </is>
      </c>
      <c r="B612" s="1" t="n">
        <v>45628.53381944444</v>
      </c>
      <c r="C612" s="1" t="n">
        <v>46034</v>
      </c>
      <c r="D612" t="inlineStr">
        <is>
          <t>JÄMTLANDS LÄN</t>
        </is>
      </c>
      <c r="E612" t="inlineStr">
        <is>
          <t>ÖSTERSUND</t>
        </is>
      </c>
      <c r="G612" t="n">
        <v>1.4</v>
      </c>
      <c r="H612" t="n">
        <v>0</v>
      </c>
      <c r="I612" t="n">
        <v>0</v>
      </c>
      <c r="J612" t="n">
        <v>0</v>
      </c>
      <c r="K612" t="n">
        <v>0</v>
      </c>
      <c r="L612" t="n">
        <v>0</v>
      </c>
      <c r="M612" t="n">
        <v>0</v>
      </c>
      <c r="N612" t="n">
        <v>0</v>
      </c>
      <c r="O612" t="n">
        <v>0</v>
      </c>
      <c r="P612" t="n">
        <v>0</v>
      </c>
      <c r="Q612" t="n">
        <v>0</v>
      </c>
      <c r="R612" s="2" t="inlineStr"/>
    </row>
    <row r="613" ht="15" customHeight="1">
      <c r="A613" t="inlineStr">
        <is>
          <t>A 19323-2024</t>
        </is>
      </c>
      <c r="B613" s="1" t="n">
        <v>45428.92486111111</v>
      </c>
      <c r="C613" s="1" t="n">
        <v>46034</v>
      </c>
      <c r="D613" t="inlineStr">
        <is>
          <t>JÄMTLANDS LÄN</t>
        </is>
      </c>
      <c r="E613" t="inlineStr">
        <is>
          <t>ÖSTERSUND</t>
        </is>
      </c>
      <c r="F613" t="inlineStr">
        <is>
          <t>Kommuner</t>
        </is>
      </c>
      <c r="G613" t="n">
        <v>0.2</v>
      </c>
      <c r="H613" t="n">
        <v>0</v>
      </c>
      <c r="I613" t="n">
        <v>0</v>
      </c>
      <c r="J613" t="n">
        <v>0</v>
      </c>
      <c r="K613" t="n">
        <v>0</v>
      </c>
      <c r="L613" t="n">
        <v>0</v>
      </c>
      <c r="M613" t="n">
        <v>0</v>
      </c>
      <c r="N613" t="n">
        <v>0</v>
      </c>
      <c r="O613" t="n">
        <v>0</v>
      </c>
      <c r="P613" t="n">
        <v>0</v>
      </c>
      <c r="Q613" t="n">
        <v>0</v>
      </c>
      <c r="R613" s="2" t="inlineStr"/>
    </row>
    <row r="614" ht="15" customHeight="1">
      <c r="A614" t="inlineStr">
        <is>
          <t>A 7005-2025</t>
        </is>
      </c>
      <c r="B614" s="1" t="n">
        <v>45701.60046296296</v>
      </c>
      <c r="C614" s="1" t="n">
        <v>46034</v>
      </c>
      <c r="D614" t="inlineStr">
        <is>
          <t>JÄMTLANDS LÄN</t>
        </is>
      </c>
      <c r="E614" t="inlineStr">
        <is>
          <t>ÖSTERSUND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27294-2023</t>
        </is>
      </c>
      <c r="B615" s="1" t="n">
        <v>45092</v>
      </c>
      <c r="C615" s="1" t="n">
        <v>46034</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8389-2025</t>
        </is>
      </c>
      <c r="B616" s="1" t="n">
        <v>45709.36497685185</v>
      </c>
      <c r="C616" s="1" t="n">
        <v>46034</v>
      </c>
      <c r="D616" t="inlineStr">
        <is>
          <t>JÄMTLANDS LÄN</t>
        </is>
      </c>
      <c r="E616" t="inlineStr">
        <is>
          <t>ÖSTERSUND</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17570-2025</t>
        </is>
      </c>
      <c r="B617" s="1" t="n">
        <v>45757.64563657407</v>
      </c>
      <c r="C617" s="1" t="n">
        <v>46034</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41280-2024</t>
        </is>
      </c>
      <c r="B618" s="1" t="n">
        <v>45559.59476851852</v>
      </c>
      <c r="C618" s="1" t="n">
        <v>46034</v>
      </c>
      <c r="D618" t="inlineStr">
        <is>
          <t>JÄMTLANDS LÄN</t>
        </is>
      </c>
      <c r="E618" t="inlineStr">
        <is>
          <t>ÖSTERSUND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12429-2025</t>
        </is>
      </c>
      <c r="B619" s="1" t="n">
        <v>45730.45930555555</v>
      </c>
      <c r="C619" s="1" t="n">
        <v>46034</v>
      </c>
      <c r="D619" t="inlineStr">
        <is>
          <t>JÄMTLANDS LÄN</t>
        </is>
      </c>
      <c r="E619" t="inlineStr">
        <is>
          <t>ÖSTERSUND</t>
        </is>
      </c>
      <c r="F619" t="inlineStr">
        <is>
          <t>Övriga Aktiebolag</t>
        </is>
      </c>
      <c r="G619" t="n">
        <v>4.4</v>
      </c>
      <c r="H619" t="n">
        <v>0</v>
      </c>
      <c r="I619" t="n">
        <v>0</v>
      </c>
      <c r="J619" t="n">
        <v>0</v>
      </c>
      <c r="K619" t="n">
        <v>0</v>
      </c>
      <c r="L619" t="n">
        <v>0</v>
      </c>
      <c r="M619" t="n">
        <v>0</v>
      </c>
      <c r="N619" t="n">
        <v>0</v>
      </c>
      <c r="O619" t="n">
        <v>0</v>
      </c>
      <c r="P619" t="n">
        <v>0</v>
      </c>
      <c r="Q619" t="n">
        <v>0</v>
      </c>
      <c r="R619" s="2" t="inlineStr"/>
    </row>
    <row r="620" ht="15" customHeight="1">
      <c r="A620" t="inlineStr">
        <is>
          <t>A 19581-2025</t>
        </is>
      </c>
      <c r="B620" s="1" t="n">
        <v>45770.56363425926</v>
      </c>
      <c r="C620" s="1" t="n">
        <v>46034</v>
      </c>
      <c r="D620" t="inlineStr">
        <is>
          <t>JÄMTLANDS LÄN</t>
        </is>
      </c>
      <c r="E620" t="inlineStr">
        <is>
          <t>ÖSTERSUND</t>
        </is>
      </c>
      <c r="G620" t="n">
        <v>17.2</v>
      </c>
      <c r="H620" t="n">
        <v>0</v>
      </c>
      <c r="I620" t="n">
        <v>0</v>
      </c>
      <c r="J620" t="n">
        <v>0</v>
      </c>
      <c r="K620" t="n">
        <v>0</v>
      </c>
      <c r="L620" t="n">
        <v>0</v>
      </c>
      <c r="M620" t="n">
        <v>0</v>
      </c>
      <c r="N620" t="n">
        <v>0</v>
      </c>
      <c r="O620" t="n">
        <v>0</v>
      </c>
      <c r="P620" t="n">
        <v>0</v>
      </c>
      <c r="Q620" t="n">
        <v>0</v>
      </c>
      <c r="R620" s="2" t="inlineStr"/>
    </row>
    <row r="621" ht="15" customHeight="1">
      <c r="A621" t="inlineStr">
        <is>
          <t>A 24312-2021</t>
        </is>
      </c>
      <c r="B621" s="1" t="n">
        <v>44336</v>
      </c>
      <c r="C621" s="1" t="n">
        <v>46034</v>
      </c>
      <c r="D621" t="inlineStr">
        <is>
          <t>JÄMTLANDS LÄN</t>
        </is>
      </c>
      <c r="E621" t="inlineStr">
        <is>
          <t>ÖSTERSUND</t>
        </is>
      </c>
      <c r="G621" t="n">
        <v>10.6</v>
      </c>
      <c r="H621" t="n">
        <v>0</v>
      </c>
      <c r="I621" t="n">
        <v>0</v>
      </c>
      <c r="J621" t="n">
        <v>0</v>
      </c>
      <c r="K621" t="n">
        <v>0</v>
      </c>
      <c r="L621" t="n">
        <v>0</v>
      </c>
      <c r="M621" t="n">
        <v>0</v>
      </c>
      <c r="N621" t="n">
        <v>0</v>
      </c>
      <c r="O621" t="n">
        <v>0</v>
      </c>
      <c r="P621" t="n">
        <v>0</v>
      </c>
      <c r="Q621" t="n">
        <v>0</v>
      </c>
      <c r="R621" s="2" t="inlineStr"/>
    </row>
    <row r="622" ht="15" customHeight="1">
      <c r="A622" t="inlineStr">
        <is>
          <t>A 38926-2024</t>
        </is>
      </c>
      <c r="B622" s="1" t="n">
        <v>45547.90777777778</v>
      </c>
      <c r="C622" s="1" t="n">
        <v>46034</v>
      </c>
      <c r="D622" t="inlineStr">
        <is>
          <t>JÄMTLANDS LÄN</t>
        </is>
      </c>
      <c r="E622" t="inlineStr">
        <is>
          <t>ÖSTERSUND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55064-2024</t>
        </is>
      </c>
      <c r="B623" s="1" t="n">
        <v>45621.41050925926</v>
      </c>
      <c r="C623" s="1" t="n">
        <v>46034</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41802-2021</t>
        </is>
      </c>
      <c r="B624" s="1" t="n">
        <v>44425</v>
      </c>
      <c r="C624" s="1" t="n">
        <v>46034</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4063-2025</t>
        </is>
      </c>
      <c r="B625" s="1" t="n">
        <v>45684</v>
      </c>
      <c r="C625" s="1" t="n">
        <v>46034</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7224-2024</t>
        </is>
      </c>
      <c r="B626" s="1" t="n">
        <v>45344</v>
      </c>
      <c r="C626" s="1" t="n">
        <v>46034</v>
      </c>
      <c r="D626" t="inlineStr">
        <is>
          <t>JÄMTLANDS LÄN</t>
        </is>
      </c>
      <c r="E626" t="inlineStr">
        <is>
          <t>ÖSTERSUND</t>
        </is>
      </c>
      <c r="G626" t="n">
        <v>2.9</v>
      </c>
      <c r="H626" t="n">
        <v>0</v>
      </c>
      <c r="I626" t="n">
        <v>0</v>
      </c>
      <c r="J626" t="n">
        <v>0</v>
      </c>
      <c r="K626" t="n">
        <v>0</v>
      </c>
      <c r="L626" t="n">
        <v>0</v>
      </c>
      <c r="M626" t="n">
        <v>0</v>
      </c>
      <c r="N626" t="n">
        <v>0</v>
      </c>
      <c r="O626" t="n">
        <v>0</v>
      </c>
      <c r="P626" t="n">
        <v>0</v>
      </c>
      <c r="Q626" t="n">
        <v>0</v>
      </c>
      <c r="R626" s="2" t="inlineStr"/>
    </row>
    <row r="627" ht="15" customHeight="1">
      <c r="A627" t="inlineStr">
        <is>
          <t>A 62222-2022</t>
        </is>
      </c>
      <c r="B627" s="1" t="n">
        <v>44922</v>
      </c>
      <c r="C627" s="1" t="n">
        <v>46034</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47804-2024</t>
        </is>
      </c>
      <c r="B628" s="1" t="n">
        <v>45588.61498842593</v>
      </c>
      <c r="C628" s="1" t="n">
        <v>46034</v>
      </c>
      <c r="D628" t="inlineStr">
        <is>
          <t>JÄMTLANDS LÄN</t>
        </is>
      </c>
      <c r="E628" t="inlineStr">
        <is>
          <t>ÖSTERSUND</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50218-2024</t>
        </is>
      </c>
      <c r="B629" s="1" t="n">
        <v>45600.53160879629</v>
      </c>
      <c r="C629" s="1" t="n">
        <v>46034</v>
      </c>
      <c r="D629" t="inlineStr">
        <is>
          <t>JÄMTLANDS LÄN</t>
        </is>
      </c>
      <c r="E629" t="inlineStr">
        <is>
          <t>ÖSTERSUND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60780-2023</t>
        </is>
      </c>
      <c r="B630" s="1" t="n">
        <v>45260</v>
      </c>
      <c r="C630" s="1" t="n">
        <v>46034</v>
      </c>
      <c r="D630" t="inlineStr">
        <is>
          <t>JÄMTLANDS LÄN</t>
        </is>
      </c>
      <c r="E630" t="inlineStr">
        <is>
          <t>ÖSTERSUND</t>
        </is>
      </c>
      <c r="G630" t="n">
        <v>3.7</v>
      </c>
      <c r="H630" t="n">
        <v>0</v>
      </c>
      <c r="I630" t="n">
        <v>0</v>
      </c>
      <c r="J630" t="n">
        <v>0</v>
      </c>
      <c r="K630" t="n">
        <v>0</v>
      </c>
      <c r="L630" t="n">
        <v>0</v>
      </c>
      <c r="M630" t="n">
        <v>0</v>
      </c>
      <c r="N630" t="n">
        <v>0</v>
      </c>
      <c r="O630" t="n">
        <v>0</v>
      </c>
      <c r="P630" t="n">
        <v>0</v>
      </c>
      <c r="Q630" t="n">
        <v>0</v>
      </c>
      <c r="R630" s="2" t="inlineStr"/>
    </row>
    <row r="631" ht="15" customHeight="1">
      <c r="A631" t="inlineStr">
        <is>
          <t>A 60794-2023</t>
        </is>
      </c>
      <c r="B631" s="1" t="n">
        <v>45260</v>
      </c>
      <c r="C631" s="1" t="n">
        <v>46034</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11877-2024</t>
        </is>
      </c>
      <c r="B632" s="1" t="n">
        <v>45376</v>
      </c>
      <c r="C632" s="1" t="n">
        <v>46034</v>
      </c>
      <c r="D632" t="inlineStr">
        <is>
          <t>JÄMTLANDS LÄN</t>
        </is>
      </c>
      <c r="E632" t="inlineStr">
        <is>
          <t>ÖSTERSUND</t>
        </is>
      </c>
      <c r="G632" t="n">
        <v>2.6</v>
      </c>
      <c r="H632" t="n">
        <v>0</v>
      </c>
      <c r="I632" t="n">
        <v>0</v>
      </c>
      <c r="J632" t="n">
        <v>0</v>
      </c>
      <c r="K632" t="n">
        <v>0</v>
      </c>
      <c r="L632" t="n">
        <v>0</v>
      </c>
      <c r="M632" t="n">
        <v>0</v>
      </c>
      <c r="N632" t="n">
        <v>0</v>
      </c>
      <c r="O632" t="n">
        <v>0</v>
      </c>
      <c r="P632" t="n">
        <v>0</v>
      </c>
      <c r="Q632" t="n">
        <v>0</v>
      </c>
      <c r="R632" s="2" t="inlineStr"/>
    </row>
    <row r="633" ht="15" customHeight="1">
      <c r="A633" t="inlineStr">
        <is>
          <t>A 53714-2022</t>
        </is>
      </c>
      <c r="B633" s="1" t="n">
        <v>44880</v>
      </c>
      <c r="C633" s="1" t="n">
        <v>46034</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52128-2023</t>
        </is>
      </c>
      <c r="B634" s="1" t="n">
        <v>45223</v>
      </c>
      <c r="C634" s="1" t="n">
        <v>46034</v>
      </c>
      <c r="D634" t="inlineStr">
        <is>
          <t>JÄMTLANDS LÄN</t>
        </is>
      </c>
      <c r="E634" t="inlineStr">
        <is>
          <t>ÖSTERSUND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44013-2021</t>
        </is>
      </c>
      <c r="B635" s="1" t="n">
        <v>44434</v>
      </c>
      <c r="C635" s="1" t="n">
        <v>46034</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8003-2025</t>
        </is>
      </c>
      <c r="B636" s="1" t="n">
        <v>45707</v>
      </c>
      <c r="C636" s="1" t="n">
        <v>46034</v>
      </c>
      <c r="D636" t="inlineStr">
        <is>
          <t>JÄMTLANDS LÄN</t>
        </is>
      </c>
      <c r="E636" t="inlineStr">
        <is>
          <t>ÖSTERSUND</t>
        </is>
      </c>
      <c r="F636" t="inlineStr">
        <is>
          <t>Övriga Aktiebolag</t>
        </is>
      </c>
      <c r="G636" t="n">
        <v>35.1</v>
      </c>
      <c r="H636" t="n">
        <v>0</v>
      </c>
      <c r="I636" t="n">
        <v>0</v>
      </c>
      <c r="J636" t="n">
        <v>0</v>
      </c>
      <c r="K636" t="n">
        <v>0</v>
      </c>
      <c r="L636" t="n">
        <v>0</v>
      </c>
      <c r="M636" t="n">
        <v>0</v>
      </c>
      <c r="N636" t="n">
        <v>0</v>
      </c>
      <c r="O636" t="n">
        <v>0</v>
      </c>
      <c r="P636" t="n">
        <v>0</v>
      </c>
      <c r="Q636" t="n">
        <v>0</v>
      </c>
      <c r="R636" s="2" t="inlineStr"/>
    </row>
    <row r="637" ht="15" customHeight="1">
      <c r="A637" t="inlineStr">
        <is>
          <t>A 12285-2022</t>
        </is>
      </c>
      <c r="B637" s="1" t="n">
        <v>44637</v>
      </c>
      <c r="C637" s="1" t="n">
        <v>46034</v>
      </c>
      <c r="D637" t="inlineStr">
        <is>
          <t>JÄMTLANDS LÄN</t>
        </is>
      </c>
      <c r="E637" t="inlineStr">
        <is>
          <t>ÖSTERSUND</t>
        </is>
      </c>
      <c r="G637" t="n">
        <v>1.4</v>
      </c>
      <c r="H637" t="n">
        <v>0</v>
      </c>
      <c r="I637" t="n">
        <v>0</v>
      </c>
      <c r="J637" t="n">
        <v>0</v>
      </c>
      <c r="K637" t="n">
        <v>0</v>
      </c>
      <c r="L637" t="n">
        <v>0</v>
      </c>
      <c r="M637" t="n">
        <v>0</v>
      </c>
      <c r="N637" t="n">
        <v>0</v>
      </c>
      <c r="O637" t="n">
        <v>0</v>
      </c>
      <c r="P637" t="n">
        <v>0</v>
      </c>
      <c r="Q637" t="n">
        <v>0</v>
      </c>
      <c r="R637" s="2" t="inlineStr"/>
    </row>
    <row r="638" ht="15" customHeight="1">
      <c r="A638" t="inlineStr">
        <is>
          <t>A 25385-2024</t>
        </is>
      </c>
      <c r="B638" s="1" t="n">
        <v>45462.96347222223</v>
      </c>
      <c r="C638" s="1" t="n">
        <v>46034</v>
      </c>
      <c r="D638" t="inlineStr">
        <is>
          <t>JÄMTLANDS LÄN</t>
        </is>
      </c>
      <c r="E638" t="inlineStr">
        <is>
          <t>ÖSTERSUND</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8027-2022</t>
        </is>
      </c>
      <c r="B639" s="1" t="n">
        <v>44609</v>
      </c>
      <c r="C639" s="1" t="n">
        <v>46034</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11933-2022</t>
        </is>
      </c>
      <c r="B640" s="1" t="n">
        <v>44635</v>
      </c>
      <c r="C640" s="1" t="n">
        <v>46034</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14947-2025</t>
        </is>
      </c>
      <c r="B641" s="1" t="n">
        <v>45743.57336805556</v>
      </c>
      <c r="C641" s="1" t="n">
        <v>46034</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2753-2025</t>
        </is>
      </c>
      <c r="B642" s="1" t="n">
        <v>45677.47302083333</v>
      </c>
      <c r="C642" s="1" t="n">
        <v>46034</v>
      </c>
      <c r="D642" t="inlineStr">
        <is>
          <t>JÄMTLANDS LÄN</t>
        </is>
      </c>
      <c r="E642" t="inlineStr">
        <is>
          <t>ÖSTERSUND</t>
        </is>
      </c>
      <c r="G642" t="n">
        <v>6.4</v>
      </c>
      <c r="H642" t="n">
        <v>0</v>
      </c>
      <c r="I642" t="n">
        <v>0</v>
      </c>
      <c r="J642" t="n">
        <v>0</v>
      </c>
      <c r="K642" t="n">
        <v>0</v>
      </c>
      <c r="L642" t="n">
        <v>0</v>
      </c>
      <c r="M642" t="n">
        <v>0</v>
      </c>
      <c r="N642" t="n">
        <v>0</v>
      </c>
      <c r="O642" t="n">
        <v>0</v>
      </c>
      <c r="P642" t="n">
        <v>0</v>
      </c>
      <c r="Q642" t="n">
        <v>0</v>
      </c>
      <c r="R642" s="2" t="inlineStr"/>
    </row>
    <row r="643" ht="15" customHeight="1">
      <c r="A643" t="inlineStr">
        <is>
          <t>A 36406-2023</t>
        </is>
      </c>
      <c r="B643" s="1" t="n">
        <v>45149</v>
      </c>
      <c r="C643" s="1" t="n">
        <v>46034</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20400-2024</t>
        </is>
      </c>
      <c r="B644" s="1" t="n">
        <v>45435.55372685185</v>
      </c>
      <c r="C644" s="1" t="n">
        <v>46034</v>
      </c>
      <c r="D644" t="inlineStr">
        <is>
          <t>JÄMTLANDS LÄN</t>
        </is>
      </c>
      <c r="E644" t="inlineStr">
        <is>
          <t>ÖSTERSUND</t>
        </is>
      </c>
      <c r="G644" t="n">
        <v>0.9</v>
      </c>
      <c r="H644" t="n">
        <v>0</v>
      </c>
      <c r="I644" t="n">
        <v>0</v>
      </c>
      <c r="J644" t="n">
        <v>0</v>
      </c>
      <c r="K644" t="n">
        <v>0</v>
      </c>
      <c r="L644" t="n">
        <v>0</v>
      </c>
      <c r="M644" t="n">
        <v>0</v>
      </c>
      <c r="N644" t="n">
        <v>0</v>
      </c>
      <c r="O644" t="n">
        <v>0</v>
      </c>
      <c r="P644" t="n">
        <v>0</v>
      </c>
      <c r="Q644" t="n">
        <v>0</v>
      </c>
      <c r="R644" s="2" t="inlineStr"/>
    </row>
    <row r="645" ht="15" customHeight="1">
      <c r="A645" t="inlineStr">
        <is>
          <t>A 20588-2023</t>
        </is>
      </c>
      <c r="B645" s="1" t="n">
        <v>45057</v>
      </c>
      <c r="C645" s="1" t="n">
        <v>46034</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27689-2024</t>
        </is>
      </c>
      <c r="B646" s="1" t="n">
        <v>45475.3378125</v>
      </c>
      <c r="C646" s="1" t="n">
        <v>46034</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51818-2024</t>
        </is>
      </c>
      <c r="B647" s="1" t="n">
        <v>45607.49265046296</v>
      </c>
      <c r="C647" s="1" t="n">
        <v>46034</v>
      </c>
      <c r="D647" t="inlineStr">
        <is>
          <t>JÄMTLANDS LÄN</t>
        </is>
      </c>
      <c r="E647" t="inlineStr">
        <is>
          <t>ÖSTERSUND</t>
        </is>
      </c>
      <c r="G647" t="n">
        <v>4.6</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45221.92429398148</v>
      </c>
      <c r="C648" s="1" t="n">
        <v>46034</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2978-2024</t>
        </is>
      </c>
      <c r="B649" s="1" t="n">
        <v>45315</v>
      </c>
      <c r="C649" s="1" t="n">
        <v>46034</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28181-2024</t>
        </is>
      </c>
      <c r="B650" s="1" t="n">
        <v>45477.28482638889</v>
      </c>
      <c r="C650" s="1" t="n">
        <v>46034</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61002-2024</t>
        </is>
      </c>
      <c r="B651" s="1" t="n">
        <v>45645.44158564815</v>
      </c>
      <c r="C651" s="1" t="n">
        <v>46034</v>
      </c>
      <c r="D651" t="inlineStr">
        <is>
          <t>JÄMTLANDS LÄN</t>
        </is>
      </c>
      <c r="E651" t="inlineStr">
        <is>
          <t>ÖSTERSUND</t>
        </is>
      </c>
      <c r="G651" t="n">
        <v>4.1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45166.9569675926</v>
      </c>
      <c r="C652" s="1" t="n">
        <v>46034</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54883-2023</t>
        </is>
      </c>
      <c r="B653" s="1" t="n">
        <v>45236.62300925926</v>
      </c>
      <c r="C653" s="1" t="n">
        <v>46034</v>
      </c>
      <c r="D653" t="inlineStr">
        <is>
          <t>JÄMTLANDS LÄN</t>
        </is>
      </c>
      <c r="E653" t="inlineStr">
        <is>
          <t>ÖSTERSUND</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2730-2025</t>
        </is>
      </c>
      <c r="B654" s="1" t="n">
        <v>45677.44393518518</v>
      </c>
      <c r="C654" s="1" t="n">
        <v>46034</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62225-2022</t>
        </is>
      </c>
      <c r="B655" s="1" t="n">
        <v>44922</v>
      </c>
      <c r="C655" s="1" t="n">
        <v>46034</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8216-2025</t>
        </is>
      </c>
      <c r="B656" s="1" t="n">
        <v>45708.44947916667</v>
      </c>
      <c r="C656" s="1" t="n">
        <v>46034</v>
      </c>
      <c r="D656" t="inlineStr">
        <is>
          <t>JÄMTLANDS LÄN</t>
        </is>
      </c>
      <c r="E656" t="inlineStr">
        <is>
          <t>ÖSTERSUND</t>
        </is>
      </c>
      <c r="F656" t="inlineStr">
        <is>
          <t>Övriga Aktiebolag</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20634-2023</t>
        </is>
      </c>
      <c r="B657" s="1" t="n">
        <v>45057.9441087963</v>
      </c>
      <c r="C657" s="1" t="n">
        <v>46034</v>
      </c>
      <c r="D657" t="inlineStr">
        <is>
          <t>JÄMTLANDS LÄN</t>
        </is>
      </c>
      <c r="E657" t="inlineStr">
        <is>
          <t>ÖSTERSUND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10306-2023</t>
        </is>
      </c>
      <c r="B658" s="1" t="n">
        <v>44986.94196759259</v>
      </c>
      <c r="C658" s="1" t="n">
        <v>46034</v>
      </c>
      <c r="D658" t="inlineStr">
        <is>
          <t>JÄMTLANDS LÄN</t>
        </is>
      </c>
      <c r="E658" t="inlineStr">
        <is>
          <t>ÖSTERSUND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16306-2025</t>
        </is>
      </c>
      <c r="B659" s="1" t="n">
        <v>45751.34664351852</v>
      </c>
      <c r="C659" s="1" t="n">
        <v>46034</v>
      </c>
      <c r="D659" t="inlineStr">
        <is>
          <t>JÄMTLANDS LÄN</t>
        </is>
      </c>
      <c r="E659" t="inlineStr">
        <is>
          <t>ÖSTERSUND</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26321-2022</t>
        </is>
      </c>
      <c r="B660" s="1" t="n">
        <v>44735</v>
      </c>
      <c r="C660" s="1" t="n">
        <v>46034</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43252-2023</t>
        </is>
      </c>
      <c r="B661" s="1" t="n">
        <v>45183</v>
      </c>
      <c r="C661" s="1" t="n">
        <v>46034</v>
      </c>
      <c r="D661" t="inlineStr">
        <is>
          <t>JÄMTLANDS LÄN</t>
        </is>
      </c>
      <c r="E661" t="inlineStr">
        <is>
          <t>ÖSTERSUND</t>
        </is>
      </c>
      <c r="G661" t="n">
        <v>2.9</v>
      </c>
      <c r="H661" t="n">
        <v>0</v>
      </c>
      <c r="I661" t="n">
        <v>0</v>
      </c>
      <c r="J661" t="n">
        <v>0</v>
      </c>
      <c r="K661" t="n">
        <v>0</v>
      </c>
      <c r="L661" t="n">
        <v>0</v>
      </c>
      <c r="M661" t="n">
        <v>0</v>
      </c>
      <c r="N661" t="n">
        <v>0</v>
      </c>
      <c r="O661" t="n">
        <v>0</v>
      </c>
      <c r="P661" t="n">
        <v>0</v>
      </c>
      <c r="Q661" t="n">
        <v>0</v>
      </c>
      <c r="R661" s="2" t="inlineStr"/>
    </row>
    <row r="662" ht="15" customHeight="1">
      <c r="A662" t="inlineStr">
        <is>
          <t>A 22126-2021</t>
        </is>
      </c>
      <c r="B662" s="1" t="n">
        <v>44323</v>
      </c>
      <c r="C662" s="1" t="n">
        <v>46034</v>
      </c>
      <c r="D662" t="inlineStr">
        <is>
          <t>JÄMTLANDS LÄN</t>
        </is>
      </c>
      <c r="E662" t="inlineStr">
        <is>
          <t>ÖSTERSUND</t>
        </is>
      </c>
      <c r="G662" t="n">
        <v>1.4</v>
      </c>
      <c r="H662" t="n">
        <v>0</v>
      </c>
      <c r="I662" t="n">
        <v>0</v>
      </c>
      <c r="J662" t="n">
        <v>0</v>
      </c>
      <c r="K662" t="n">
        <v>0</v>
      </c>
      <c r="L662" t="n">
        <v>0</v>
      </c>
      <c r="M662" t="n">
        <v>0</v>
      </c>
      <c r="N662" t="n">
        <v>0</v>
      </c>
      <c r="O662" t="n">
        <v>0</v>
      </c>
      <c r="P662" t="n">
        <v>0</v>
      </c>
      <c r="Q662" t="n">
        <v>0</v>
      </c>
      <c r="R662" s="2" t="inlineStr"/>
    </row>
    <row r="663" ht="15" customHeight="1">
      <c r="A663" t="inlineStr">
        <is>
          <t>A 30217-2022</t>
        </is>
      </c>
      <c r="B663" s="1" t="n">
        <v>44757.92671296297</v>
      </c>
      <c r="C663" s="1" t="n">
        <v>46034</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55140-2023</t>
        </is>
      </c>
      <c r="B664" s="1" t="n">
        <v>45237.50966435186</v>
      </c>
      <c r="C664" s="1" t="n">
        <v>46034</v>
      </c>
      <c r="D664" t="inlineStr">
        <is>
          <t>JÄMTLANDS LÄN</t>
        </is>
      </c>
      <c r="E664" t="inlineStr">
        <is>
          <t>ÖSTERSUND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54663-2022</t>
        </is>
      </c>
      <c r="B665" s="1" t="n">
        <v>44883.44737268519</v>
      </c>
      <c r="C665" s="1" t="n">
        <v>46034</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11052-2024</t>
        </is>
      </c>
      <c r="B666" s="1" t="n">
        <v>45370</v>
      </c>
      <c r="C666" s="1" t="n">
        <v>46034</v>
      </c>
      <c r="D666" t="inlineStr">
        <is>
          <t>JÄMTLANDS LÄN</t>
        </is>
      </c>
      <c r="E666" t="inlineStr">
        <is>
          <t>ÖSTERSUND</t>
        </is>
      </c>
      <c r="G666" t="n">
        <v>2.3</v>
      </c>
      <c r="H666" t="n">
        <v>0</v>
      </c>
      <c r="I666" t="n">
        <v>0</v>
      </c>
      <c r="J666" t="n">
        <v>0</v>
      </c>
      <c r="K666" t="n">
        <v>0</v>
      </c>
      <c r="L666" t="n">
        <v>0</v>
      </c>
      <c r="M666" t="n">
        <v>0</v>
      </c>
      <c r="N666" t="n">
        <v>0</v>
      </c>
      <c r="O666" t="n">
        <v>0</v>
      </c>
      <c r="P666" t="n">
        <v>0</v>
      </c>
      <c r="Q666" t="n">
        <v>0</v>
      </c>
      <c r="R666" s="2" t="inlineStr"/>
    </row>
    <row r="667" ht="15" customHeight="1">
      <c r="A667" t="inlineStr">
        <is>
          <t>A 37597-2023</t>
        </is>
      </c>
      <c r="B667" s="1" t="n">
        <v>45159.42180555555</v>
      </c>
      <c r="C667" s="1" t="n">
        <v>46034</v>
      </c>
      <c r="D667" t="inlineStr">
        <is>
          <t>JÄMTLANDS LÄN</t>
        </is>
      </c>
      <c r="E667" t="inlineStr">
        <is>
          <t>ÖSTERSUND</t>
        </is>
      </c>
      <c r="G667" t="n">
        <v>4.7</v>
      </c>
      <c r="H667" t="n">
        <v>0</v>
      </c>
      <c r="I667" t="n">
        <v>0</v>
      </c>
      <c r="J667" t="n">
        <v>0</v>
      </c>
      <c r="K667" t="n">
        <v>0</v>
      </c>
      <c r="L667" t="n">
        <v>0</v>
      </c>
      <c r="M667" t="n">
        <v>0</v>
      </c>
      <c r="N667" t="n">
        <v>0</v>
      </c>
      <c r="O667" t="n">
        <v>0</v>
      </c>
      <c r="P667" t="n">
        <v>0</v>
      </c>
      <c r="Q667" t="n">
        <v>0</v>
      </c>
      <c r="R667" s="2" t="inlineStr"/>
    </row>
    <row r="668" ht="15" customHeight="1">
      <c r="A668" t="inlineStr">
        <is>
          <t>A 55365-2024</t>
        </is>
      </c>
      <c r="B668" s="1" t="n">
        <v>45621.86827546296</v>
      </c>
      <c r="C668" s="1" t="n">
        <v>46034</v>
      </c>
      <c r="D668" t="inlineStr">
        <is>
          <t>JÄMTLANDS LÄN</t>
        </is>
      </c>
      <c r="E668" t="inlineStr">
        <is>
          <t>ÖSTERSUND</t>
        </is>
      </c>
      <c r="G668" t="n">
        <v>1.6</v>
      </c>
      <c r="H668" t="n">
        <v>0</v>
      </c>
      <c r="I668" t="n">
        <v>0</v>
      </c>
      <c r="J668" t="n">
        <v>0</v>
      </c>
      <c r="K668" t="n">
        <v>0</v>
      </c>
      <c r="L668" t="n">
        <v>0</v>
      </c>
      <c r="M668" t="n">
        <v>0</v>
      </c>
      <c r="N668" t="n">
        <v>0</v>
      </c>
      <c r="O668" t="n">
        <v>0</v>
      </c>
      <c r="P668" t="n">
        <v>0</v>
      </c>
      <c r="Q668" t="n">
        <v>0</v>
      </c>
      <c r="R668" s="2" t="inlineStr"/>
    </row>
    <row r="669" ht="15" customHeight="1">
      <c r="A669" t="inlineStr">
        <is>
          <t>A 44048-2024</t>
        </is>
      </c>
      <c r="B669" s="1" t="n">
        <v>45572.59430555555</v>
      </c>
      <c r="C669" s="1" t="n">
        <v>46034</v>
      </c>
      <c r="D669" t="inlineStr">
        <is>
          <t>JÄMTLANDS LÄN</t>
        </is>
      </c>
      <c r="E669" t="inlineStr">
        <is>
          <t>ÖSTERSUND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18429-2025</t>
        </is>
      </c>
      <c r="B670" s="1" t="n">
        <v>45762.63375</v>
      </c>
      <c r="C670" s="1" t="n">
        <v>46034</v>
      </c>
      <c r="D670" t="inlineStr">
        <is>
          <t>JÄMTLANDS LÄN</t>
        </is>
      </c>
      <c r="E670" t="inlineStr">
        <is>
          <t>ÖSTERSUND</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60349-2024</t>
        </is>
      </c>
      <c r="B671" s="1" t="n">
        <v>45643.42986111111</v>
      </c>
      <c r="C671" s="1" t="n">
        <v>46034</v>
      </c>
      <c r="D671" t="inlineStr">
        <is>
          <t>JÄMTLANDS LÄN</t>
        </is>
      </c>
      <c r="E671" t="inlineStr">
        <is>
          <t>ÖSTERSUND</t>
        </is>
      </c>
      <c r="F671" t="inlineStr">
        <is>
          <t>Sveaskog</t>
        </is>
      </c>
      <c r="G671" t="n">
        <v>16.6</v>
      </c>
      <c r="H671" t="n">
        <v>0</v>
      </c>
      <c r="I671" t="n">
        <v>0</v>
      </c>
      <c r="J671" t="n">
        <v>0</v>
      </c>
      <c r="K671" t="n">
        <v>0</v>
      </c>
      <c r="L671" t="n">
        <v>0</v>
      </c>
      <c r="M671" t="n">
        <v>0</v>
      </c>
      <c r="N671" t="n">
        <v>0</v>
      </c>
      <c r="O671" t="n">
        <v>0</v>
      </c>
      <c r="P671" t="n">
        <v>0</v>
      </c>
      <c r="Q671" t="n">
        <v>0</v>
      </c>
      <c r="R671" s="2" t="inlineStr"/>
    </row>
    <row r="672" ht="15" customHeight="1">
      <c r="A672" t="inlineStr">
        <is>
          <t>A 17574-2022</t>
        </is>
      </c>
      <c r="B672" s="1" t="n">
        <v>44679.92574074074</v>
      </c>
      <c r="C672" s="1" t="n">
        <v>46034</v>
      </c>
      <c r="D672" t="inlineStr">
        <is>
          <t>JÄMTLANDS LÄN</t>
        </is>
      </c>
      <c r="E672" t="inlineStr">
        <is>
          <t>ÖSTERSUND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61332-2024</t>
        </is>
      </c>
      <c r="B673" s="1" t="n">
        <v>45646.35685185185</v>
      </c>
      <c r="C673" s="1" t="n">
        <v>46034</v>
      </c>
      <c r="D673" t="inlineStr">
        <is>
          <t>JÄMTLANDS LÄN</t>
        </is>
      </c>
      <c r="E673" t="inlineStr">
        <is>
          <t>ÖSTERSUND</t>
        </is>
      </c>
      <c r="G673" t="n">
        <v>3.2</v>
      </c>
      <c r="H673" t="n">
        <v>0</v>
      </c>
      <c r="I673" t="n">
        <v>0</v>
      </c>
      <c r="J673" t="n">
        <v>0</v>
      </c>
      <c r="K673" t="n">
        <v>0</v>
      </c>
      <c r="L673" t="n">
        <v>0</v>
      </c>
      <c r="M673" t="n">
        <v>0</v>
      </c>
      <c r="N673" t="n">
        <v>0</v>
      </c>
      <c r="O673" t="n">
        <v>0</v>
      </c>
      <c r="P673" t="n">
        <v>0</v>
      </c>
      <c r="Q673" t="n">
        <v>0</v>
      </c>
      <c r="R673" s="2" t="inlineStr"/>
    </row>
    <row r="674" ht="15" customHeight="1">
      <c r="A674" t="inlineStr">
        <is>
          <t>A 32998-2021</t>
        </is>
      </c>
      <c r="B674" s="1" t="n">
        <v>44375</v>
      </c>
      <c r="C674" s="1" t="n">
        <v>46034</v>
      </c>
      <c r="D674" t="inlineStr">
        <is>
          <t>JÄMTLANDS LÄN</t>
        </is>
      </c>
      <c r="E674" t="inlineStr">
        <is>
          <t>ÖSTERSUND</t>
        </is>
      </c>
      <c r="G674" t="n">
        <v>0.1</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46034</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33831-2021</t>
        </is>
      </c>
      <c r="B676" s="1" t="n">
        <v>44378</v>
      </c>
      <c r="C676" s="1" t="n">
        <v>46034</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45223.5036574074</v>
      </c>
      <c r="C677" s="1" t="n">
        <v>46034</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54973-2023</t>
        </is>
      </c>
      <c r="B678" s="1" t="n">
        <v>45236.92776620371</v>
      </c>
      <c r="C678" s="1" t="n">
        <v>46034</v>
      </c>
      <c r="D678" t="inlineStr">
        <is>
          <t>JÄMTLANDS LÄN</t>
        </is>
      </c>
      <c r="E678" t="inlineStr">
        <is>
          <t>ÖSTERSUND</t>
        </is>
      </c>
      <c r="G678" t="n">
        <v>15.4</v>
      </c>
      <c r="H678" t="n">
        <v>0</v>
      </c>
      <c r="I678" t="n">
        <v>0</v>
      </c>
      <c r="J678" t="n">
        <v>0</v>
      </c>
      <c r="K678" t="n">
        <v>0</v>
      </c>
      <c r="L678" t="n">
        <v>0</v>
      </c>
      <c r="M678" t="n">
        <v>0</v>
      </c>
      <c r="N678" t="n">
        <v>0</v>
      </c>
      <c r="O678" t="n">
        <v>0</v>
      </c>
      <c r="P678" t="n">
        <v>0</v>
      </c>
      <c r="Q678" t="n">
        <v>0</v>
      </c>
      <c r="R678" s="2" t="inlineStr"/>
    </row>
    <row r="679" ht="15" customHeight="1">
      <c r="A679" t="inlineStr">
        <is>
          <t>A 28179-2024</t>
        </is>
      </c>
      <c r="B679" s="1" t="n">
        <v>45477.26746527778</v>
      </c>
      <c r="C679" s="1" t="n">
        <v>46034</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13921-2023</t>
        </is>
      </c>
      <c r="B680" s="1" t="n">
        <v>45008</v>
      </c>
      <c r="C680" s="1" t="n">
        <v>46034</v>
      </c>
      <c r="D680" t="inlineStr">
        <is>
          <t>JÄMTLANDS LÄN</t>
        </is>
      </c>
      <c r="E680" t="inlineStr">
        <is>
          <t>ÖSTERSUND</t>
        </is>
      </c>
      <c r="G680" t="n">
        <v>0.3</v>
      </c>
      <c r="H680" t="n">
        <v>0</v>
      </c>
      <c r="I680" t="n">
        <v>0</v>
      </c>
      <c r="J680" t="n">
        <v>0</v>
      </c>
      <c r="K680" t="n">
        <v>0</v>
      </c>
      <c r="L680" t="n">
        <v>0</v>
      </c>
      <c r="M680" t="n">
        <v>0</v>
      </c>
      <c r="N680" t="n">
        <v>0</v>
      </c>
      <c r="O680" t="n">
        <v>0</v>
      </c>
      <c r="P680" t="n">
        <v>0</v>
      </c>
      <c r="Q680" t="n">
        <v>0</v>
      </c>
      <c r="R680" s="2" t="inlineStr"/>
    </row>
    <row r="681" ht="15" customHeight="1">
      <c r="A681" t="inlineStr">
        <is>
          <t>A 207-2025</t>
        </is>
      </c>
      <c r="B681" s="1" t="n">
        <v>45660.32672453704</v>
      </c>
      <c r="C681" s="1" t="n">
        <v>46034</v>
      </c>
      <c r="D681" t="inlineStr">
        <is>
          <t>JÄMTLANDS LÄN</t>
        </is>
      </c>
      <c r="E681" t="inlineStr">
        <is>
          <t>ÖSTERSUND</t>
        </is>
      </c>
      <c r="G681" t="n">
        <v>4</v>
      </c>
      <c r="H681" t="n">
        <v>0</v>
      </c>
      <c r="I681" t="n">
        <v>0</v>
      </c>
      <c r="J681" t="n">
        <v>0</v>
      </c>
      <c r="K681" t="n">
        <v>0</v>
      </c>
      <c r="L681" t="n">
        <v>0</v>
      </c>
      <c r="M681" t="n">
        <v>0</v>
      </c>
      <c r="N681" t="n">
        <v>0</v>
      </c>
      <c r="O681" t="n">
        <v>0</v>
      </c>
      <c r="P681" t="n">
        <v>0</v>
      </c>
      <c r="Q681" t="n">
        <v>0</v>
      </c>
      <c r="R681" s="2" t="inlineStr"/>
    </row>
    <row r="682" ht="15" customHeight="1">
      <c r="A682" t="inlineStr">
        <is>
          <t>A 13738-2025</t>
        </is>
      </c>
      <c r="B682" s="1" t="n">
        <v>45737.40131944444</v>
      </c>
      <c r="C682" s="1" t="n">
        <v>46034</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46034</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46034</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46034</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46034</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23563-2022</t>
        </is>
      </c>
      <c r="B687" s="1" t="n">
        <v>44721.47241898148</v>
      </c>
      <c r="C687" s="1" t="n">
        <v>46034</v>
      </c>
      <c r="D687" t="inlineStr">
        <is>
          <t>JÄMTLANDS LÄN</t>
        </is>
      </c>
      <c r="E687" t="inlineStr">
        <is>
          <t>ÖSTERSUND</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27118-2023</t>
        </is>
      </c>
      <c r="B688" s="1" t="n">
        <v>45096</v>
      </c>
      <c r="C688" s="1" t="n">
        <v>46034</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8972-2022</t>
        </is>
      </c>
      <c r="B689" s="1" t="n">
        <v>44614.91989583334</v>
      </c>
      <c r="C689" s="1" t="n">
        <v>46034</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10305-2023</t>
        </is>
      </c>
      <c r="B690" s="1" t="n">
        <v>44986</v>
      </c>
      <c r="C690" s="1" t="n">
        <v>46034</v>
      </c>
      <c r="D690" t="inlineStr">
        <is>
          <t>JÄMTLANDS LÄN</t>
        </is>
      </c>
      <c r="E690" t="inlineStr">
        <is>
          <t>ÖSTERSUND</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51865-2024</t>
        </is>
      </c>
      <c r="B691" s="1" t="n">
        <v>45607.55260416667</v>
      </c>
      <c r="C691" s="1" t="n">
        <v>46034</v>
      </c>
      <c r="D691" t="inlineStr">
        <is>
          <t>JÄMTLANDS LÄN</t>
        </is>
      </c>
      <c r="E691" t="inlineStr">
        <is>
          <t>ÖSTERSUND</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55235-2023</t>
        </is>
      </c>
      <c r="B692" s="1" t="n">
        <v>45231</v>
      </c>
      <c r="C692" s="1" t="n">
        <v>46034</v>
      </c>
      <c r="D692" t="inlineStr">
        <is>
          <t>JÄMTLANDS LÄN</t>
        </is>
      </c>
      <c r="E692" t="inlineStr">
        <is>
          <t>ÖSTERSUND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7953-2025</t>
        </is>
      </c>
      <c r="B693" s="1" t="n">
        <v>45707.42392361111</v>
      </c>
      <c r="C693" s="1" t="n">
        <v>46034</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4350-2024</t>
        </is>
      </c>
      <c r="B694" s="1" t="n">
        <v>45324.93804398148</v>
      </c>
      <c r="C694" s="1" t="n">
        <v>46034</v>
      </c>
      <c r="D694" t="inlineStr">
        <is>
          <t>JÄMTLANDS LÄN</t>
        </is>
      </c>
      <c r="E694" t="inlineStr">
        <is>
          <t>ÖSTERSUND</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2756-2024</t>
        </is>
      </c>
      <c r="B695" s="1" t="n">
        <v>45314.58785879629</v>
      </c>
      <c r="C695" s="1" t="n">
        <v>46034</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70256-2021</t>
        </is>
      </c>
      <c r="B696" s="1" t="n">
        <v>44533</v>
      </c>
      <c r="C696" s="1" t="n">
        <v>46034</v>
      </c>
      <c r="D696" t="inlineStr">
        <is>
          <t>JÄMTLANDS LÄN</t>
        </is>
      </c>
      <c r="E696" t="inlineStr">
        <is>
          <t>ÖSTERSUND</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4136-2023</t>
        </is>
      </c>
      <c r="B697" s="1" t="n">
        <v>44952</v>
      </c>
      <c r="C697" s="1" t="n">
        <v>46034</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1893-2023</t>
        </is>
      </c>
      <c r="B698" s="1" t="n">
        <v>44937</v>
      </c>
      <c r="C698" s="1" t="n">
        <v>46034</v>
      </c>
      <c r="D698" t="inlineStr">
        <is>
          <t>JÄMTLANDS LÄN</t>
        </is>
      </c>
      <c r="E698" t="inlineStr">
        <is>
          <t>ÖSTERSUND</t>
        </is>
      </c>
      <c r="G698" t="n">
        <v>11</v>
      </c>
      <c r="H698" t="n">
        <v>0</v>
      </c>
      <c r="I698" t="n">
        <v>0</v>
      </c>
      <c r="J698" t="n">
        <v>0</v>
      </c>
      <c r="K698" t="n">
        <v>0</v>
      </c>
      <c r="L698" t="n">
        <v>0</v>
      </c>
      <c r="M698" t="n">
        <v>0</v>
      </c>
      <c r="N698" t="n">
        <v>0</v>
      </c>
      <c r="O698" t="n">
        <v>0</v>
      </c>
      <c r="P698" t="n">
        <v>0</v>
      </c>
      <c r="Q698" t="n">
        <v>0</v>
      </c>
      <c r="R698" s="2" t="inlineStr"/>
    </row>
    <row r="699" ht="15" customHeight="1">
      <c r="A699" t="inlineStr">
        <is>
          <t>A 57556-2024</t>
        </is>
      </c>
      <c r="B699" s="1" t="n">
        <v>45630</v>
      </c>
      <c r="C699" s="1" t="n">
        <v>46034</v>
      </c>
      <c r="D699" t="inlineStr">
        <is>
          <t>JÄMTLANDS LÄN</t>
        </is>
      </c>
      <c r="E699" t="inlineStr">
        <is>
          <t>ÖSTERSUND</t>
        </is>
      </c>
      <c r="G699" t="n">
        <v>5.5</v>
      </c>
      <c r="H699" t="n">
        <v>0</v>
      </c>
      <c r="I699" t="n">
        <v>0</v>
      </c>
      <c r="J699" t="n">
        <v>0</v>
      </c>
      <c r="K699" t="n">
        <v>0</v>
      </c>
      <c r="L699" t="n">
        <v>0</v>
      </c>
      <c r="M699" t="n">
        <v>0</v>
      </c>
      <c r="N699" t="n">
        <v>0</v>
      </c>
      <c r="O699" t="n">
        <v>0</v>
      </c>
      <c r="P699" t="n">
        <v>0</v>
      </c>
      <c r="Q699" t="n">
        <v>0</v>
      </c>
      <c r="R699" s="2" t="inlineStr"/>
    </row>
    <row r="700" ht="15" customHeight="1">
      <c r="A700" t="inlineStr">
        <is>
          <t>A 19566-2024</t>
        </is>
      </c>
      <c r="B700" s="1" t="n">
        <v>45429.92313657407</v>
      </c>
      <c r="C700" s="1" t="n">
        <v>46034</v>
      </c>
      <c r="D700" t="inlineStr">
        <is>
          <t>JÄMTLANDS LÄN</t>
        </is>
      </c>
      <c r="E700" t="inlineStr">
        <is>
          <t>ÖSTERSUND</t>
        </is>
      </c>
      <c r="G700" t="n">
        <v>0</v>
      </c>
      <c r="H700" t="n">
        <v>0</v>
      </c>
      <c r="I700" t="n">
        <v>0</v>
      </c>
      <c r="J700" t="n">
        <v>0</v>
      </c>
      <c r="K700" t="n">
        <v>0</v>
      </c>
      <c r="L700" t="n">
        <v>0</v>
      </c>
      <c r="M700" t="n">
        <v>0</v>
      </c>
      <c r="N700" t="n">
        <v>0</v>
      </c>
      <c r="O700" t="n">
        <v>0</v>
      </c>
      <c r="P700" t="n">
        <v>0</v>
      </c>
      <c r="Q700" t="n">
        <v>0</v>
      </c>
      <c r="R700" s="2" t="inlineStr"/>
    </row>
    <row r="701" ht="15" customHeight="1">
      <c r="A701" t="inlineStr">
        <is>
          <t>A 9552-2025</t>
        </is>
      </c>
      <c r="B701" s="1" t="n">
        <v>45715.59545138889</v>
      </c>
      <c r="C701" s="1" t="n">
        <v>46034</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13024-2022</t>
        </is>
      </c>
      <c r="B702" s="1" t="n">
        <v>44643</v>
      </c>
      <c r="C702" s="1" t="n">
        <v>46034</v>
      </c>
      <c r="D702" t="inlineStr">
        <is>
          <t>JÄMTLANDS LÄN</t>
        </is>
      </c>
      <c r="E702" t="inlineStr">
        <is>
          <t>ÖSTERSUND</t>
        </is>
      </c>
      <c r="G702" t="n">
        <v>0.9</v>
      </c>
      <c r="H702" t="n">
        <v>0</v>
      </c>
      <c r="I702" t="n">
        <v>0</v>
      </c>
      <c r="J702" t="n">
        <v>0</v>
      </c>
      <c r="K702" t="n">
        <v>0</v>
      </c>
      <c r="L702" t="n">
        <v>0</v>
      </c>
      <c r="M702" t="n">
        <v>0</v>
      </c>
      <c r="N702" t="n">
        <v>0</v>
      </c>
      <c r="O702" t="n">
        <v>0</v>
      </c>
      <c r="P702" t="n">
        <v>0</v>
      </c>
      <c r="Q702" t="n">
        <v>0</v>
      </c>
      <c r="R702" s="2" t="inlineStr"/>
    </row>
    <row r="703" ht="15" customHeight="1">
      <c r="A703" t="inlineStr">
        <is>
          <t>A 7233-2025</t>
        </is>
      </c>
      <c r="B703" s="1" t="n">
        <v>45702.51765046296</v>
      </c>
      <c r="C703" s="1" t="n">
        <v>46034</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4966-2025</t>
        </is>
      </c>
      <c r="B704" s="1" t="n">
        <v>45690.63628472222</v>
      </c>
      <c r="C704" s="1" t="n">
        <v>46034</v>
      </c>
      <c r="D704" t="inlineStr">
        <is>
          <t>JÄMTLANDS LÄN</t>
        </is>
      </c>
      <c r="E704" t="inlineStr">
        <is>
          <t>ÖSTERSUND</t>
        </is>
      </c>
      <c r="G704" t="n">
        <v>3.4</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46034</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33002-2021</t>
        </is>
      </c>
      <c r="B706" s="1" t="n">
        <v>44375</v>
      </c>
      <c r="C706" s="1" t="n">
        <v>46034</v>
      </c>
      <c r="D706" t="inlineStr">
        <is>
          <t>JÄMTLANDS LÄN</t>
        </is>
      </c>
      <c r="E706" t="inlineStr">
        <is>
          <t>ÖSTERSUND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14542-2025</t>
        </is>
      </c>
      <c r="B707" s="1" t="n">
        <v>45741.68631944444</v>
      </c>
      <c r="C707" s="1" t="n">
        <v>46034</v>
      </c>
      <c r="D707" t="inlineStr">
        <is>
          <t>JÄMTLANDS LÄN</t>
        </is>
      </c>
      <c r="E707" t="inlineStr">
        <is>
          <t>ÖSTERSUND</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24786-2024</t>
        </is>
      </c>
      <c r="B708" s="1" t="n">
        <v>45460.81277777778</v>
      </c>
      <c r="C708" s="1" t="n">
        <v>46034</v>
      </c>
      <c r="D708" t="inlineStr">
        <is>
          <t>JÄMTLANDS LÄN</t>
        </is>
      </c>
      <c r="E708" t="inlineStr">
        <is>
          <t>ÖSTERSUND</t>
        </is>
      </c>
      <c r="G708" t="n">
        <v>0.1</v>
      </c>
      <c r="H708" t="n">
        <v>0</v>
      </c>
      <c r="I708" t="n">
        <v>0</v>
      </c>
      <c r="J708" t="n">
        <v>0</v>
      </c>
      <c r="K708" t="n">
        <v>0</v>
      </c>
      <c r="L708" t="n">
        <v>0</v>
      </c>
      <c r="M708" t="n">
        <v>0</v>
      </c>
      <c r="N708" t="n">
        <v>0</v>
      </c>
      <c r="O708" t="n">
        <v>0</v>
      </c>
      <c r="P708" t="n">
        <v>0</v>
      </c>
      <c r="Q708" t="n">
        <v>0</v>
      </c>
      <c r="R708" s="2" t="inlineStr"/>
    </row>
    <row r="709" ht="15" customHeight="1">
      <c r="A709" t="inlineStr">
        <is>
          <t>A 53660-2024</t>
        </is>
      </c>
      <c r="B709" s="1" t="n">
        <v>45615.31297453704</v>
      </c>
      <c r="C709" s="1" t="n">
        <v>46034</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16682-2023</t>
        </is>
      </c>
      <c r="B710" s="1" t="n">
        <v>45028</v>
      </c>
      <c r="C710" s="1" t="n">
        <v>46034</v>
      </c>
      <c r="D710" t="inlineStr">
        <is>
          <t>JÄMTLANDS LÄN</t>
        </is>
      </c>
      <c r="E710" t="inlineStr">
        <is>
          <t>ÖSTERSUND</t>
        </is>
      </c>
      <c r="G710" t="n">
        <v>7.9</v>
      </c>
      <c r="H710" t="n">
        <v>0</v>
      </c>
      <c r="I710" t="n">
        <v>0</v>
      </c>
      <c r="J710" t="n">
        <v>0</v>
      </c>
      <c r="K710" t="n">
        <v>0</v>
      </c>
      <c r="L710" t="n">
        <v>0</v>
      </c>
      <c r="M710" t="n">
        <v>0</v>
      </c>
      <c r="N710" t="n">
        <v>0</v>
      </c>
      <c r="O710" t="n">
        <v>0</v>
      </c>
      <c r="P710" t="n">
        <v>0</v>
      </c>
      <c r="Q710" t="n">
        <v>0</v>
      </c>
      <c r="R710" s="2" t="inlineStr"/>
    </row>
    <row r="711" ht="15" customHeight="1">
      <c r="A711" t="inlineStr">
        <is>
          <t>A 1670-2024</t>
        </is>
      </c>
      <c r="B711" s="1" t="n">
        <v>45306</v>
      </c>
      <c r="C711" s="1" t="n">
        <v>46034</v>
      </c>
      <c r="D711" t="inlineStr">
        <is>
          <t>JÄMTLANDS LÄN</t>
        </is>
      </c>
      <c r="E711" t="inlineStr">
        <is>
          <t>ÖSTERSUND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56111-2022</t>
        </is>
      </c>
      <c r="B712" s="1" t="n">
        <v>44889</v>
      </c>
      <c r="C712" s="1" t="n">
        <v>46034</v>
      </c>
      <c r="D712" t="inlineStr">
        <is>
          <t>JÄMTLANDS LÄN</t>
        </is>
      </c>
      <c r="E712" t="inlineStr">
        <is>
          <t>ÖSTERSUND</t>
        </is>
      </c>
      <c r="G712" t="n">
        <v>2.5</v>
      </c>
      <c r="H712" t="n">
        <v>0</v>
      </c>
      <c r="I712" t="n">
        <v>0</v>
      </c>
      <c r="J712" t="n">
        <v>0</v>
      </c>
      <c r="K712" t="n">
        <v>0</v>
      </c>
      <c r="L712" t="n">
        <v>0</v>
      </c>
      <c r="M712" t="n">
        <v>0</v>
      </c>
      <c r="N712" t="n">
        <v>0</v>
      </c>
      <c r="O712" t="n">
        <v>0</v>
      </c>
      <c r="P712" t="n">
        <v>0</v>
      </c>
      <c r="Q712" t="n">
        <v>0</v>
      </c>
      <c r="R712" s="2" t="inlineStr"/>
    </row>
    <row r="713" ht="15" customHeight="1">
      <c r="A713" t="inlineStr">
        <is>
          <t>A 14867-2025</t>
        </is>
      </c>
      <c r="B713" s="1" t="n">
        <v>45743.44207175926</v>
      </c>
      <c r="C713" s="1" t="n">
        <v>46034</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5544-2025</t>
        </is>
      </c>
      <c r="B714" s="1" t="n">
        <v>45693</v>
      </c>
      <c r="C714" s="1" t="n">
        <v>46034</v>
      </c>
      <c r="D714" t="inlineStr">
        <is>
          <t>JÄMTLANDS LÄN</t>
        </is>
      </c>
      <c r="E714" t="inlineStr">
        <is>
          <t>ÖSTERSUND</t>
        </is>
      </c>
      <c r="G714" t="n">
        <v>5.8</v>
      </c>
      <c r="H714" t="n">
        <v>0</v>
      </c>
      <c r="I714" t="n">
        <v>0</v>
      </c>
      <c r="J714" t="n">
        <v>0</v>
      </c>
      <c r="K714" t="n">
        <v>0</v>
      </c>
      <c r="L714" t="n">
        <v>0</v>
      </c>
      <c r="M714" t="n">
        <v>0</v>
      </c>
      <c r="N714" t="n">
        <v>0</v>
      </c>
      <c r="O714" t="n">
        <v>0</v>
      </c>
      <c r="P714" t="n">
        <v>0</v>
      </c>
      <c r="Q714" t="n">
        <v>0</v>
      </c>
      <c r="R714" s="2" t="inlineStr"/>
    </row>
    <row r="715" ht="15" customHeight="1">
      <c r="A715" t="inlineStr">
        <is>
          <t>A 4707-2024</t>
        </is>
      </c>
      <c r="B715" s="1" t="n">
        <v>45328</v>
      </c>
      <c r="C715" s="1" t="n">
        <v>46034</v>
      </c>
      <c r="D715" t="inlineStr">
        <is>
          <t>JÄMTLANDS LÄN</t>
        </is>
      </c>
      <c r="E715" t="inlineStr">
        <is>
          <t>ÖSTERSUND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231-2022</t>
        </is>
      </c>
      <c r="B716" s="1" t="n">
        <v>44564.93909722222</v>
      </c>
      <c r="C716" s="1" t="n">
        <v>46034</v>
      </c>
      <c r="D716" t="inlineStr">
        <is>
          <t>JÄMTLANDS LÄN</t>
        </is>
      </c>
      <c r="E716" t="inlineStr">
        <is>
          <t>ÖSTERSUND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58952-2024</t>
        </is>
      </c>
      <c r="B717" s="1" t="n">
        <v>45636.5674537037</v>
      </c>
      <c r="C717" s="1" t="n">
        <v>46034</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46748-2023</t>
        </is>
      </c>
      <c r="B718" s="1" t="n">
        <v>45198</v>
      </c>
      <c r="C718" s="1" t="n">
        <v>46034</v>
      </c>
      <c r="D718" t="inlineStr">
        <is>
          <t>JÄMTLANDS LÄN</t>
        </is>
      </c>
      <c r="E718" t="inlineStr">
        <is>
          <t>ÖSTERSUND</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46763-2023</t>
        </is>
      </c>
      <c r="B719" s="1" t="n">
        <v>45198</v>
      </c>
      <c r="C719" s="1" t="n">
        <v>46034</v>
      </c>
      <c r="D719" t="inlineStr">
        <is>
          <t>JÄMTLANDS LÄN</t>
        </is>
      </c>
      <c r="E719" t="inlineStr">
        <is>
          <t>ÖSTERSUND</t>
        </is>
      </c>
      <c r="F719" t="inlineStr">
        <is>
          <t>Sveaskog</t>
        </is>
      </c>
      <c r="G719" t="n">
        <v>13.3</v>
      </c>
      <c r="H719" t="n">
        <v>0</v>
      </c>
      <c r="I719" t="n">
        <v>0</v>
      </c>
      <c r="J719" t="n">
        <v>0</v>
      </c>
      <c r="K719" t="n">
        <v>0</v>
      </c>
      <c r="L719" t="n">
        <v>0</v>
      </c>
      <c r="M719" t="n">
        <v>0</v>
      </c>
      <c r="N719" t="n">
        <v>0</v>
      </c>
      <c r="O719" t="n">
        <v>0</v>
      </c>
      <c r="P719" t="n">
        <v>0</v>
      </c>
      <c r="Q719" t="n">
        <v>0</v>
      </c>
      <c r="R719" s="2" t="inlineStr"/>
    </row>
    <row r="720" ht="15" customHeight="1">
      <c r="A720" t="inlineStr">
        <is>
          <t>A 5341-2025</t>
        </is>
      </c>
      <c r="B720" s="1" t="n">
        <v>45692.55256944444</v>
      </c>
      <c r="C720" s="1" t="n">
        <v>46034</v>
      </c>
      <c r="D720" t="inlineStr">
        <is>
          <t>JÄMTLANDS LÄN</t>
        </is>
      </c>
      <c r="E720" t="inlineStr">
        <is>
          <t>ÖSTERSUND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21060-2025</t>
        </is>
      </c>
      <c r="B721" s="1" t="n">
        <v>45777.58025462963</v>
      </c>
      <c r="C721" s="1" t="n">
        <v>46034</v>
      </c>
      <c r="D721" t="inlineStr">
        <is>
          <t>JÄMTLANDS LÄN</t>
        </is>
      </c>
      <c r="E721" t="inlineStr">
        <is>
          <t>ÖSTERSUND</t>
        </is>
      </c>
      <c r="G721" t="n">
        <v>2.9</v>
      </c>
      <c r="H721" t="n">
        <v>0</v>
      </c>
      <c r="I721" t="n">
        <v>0</v>
      </c>
      <c r="J721" t="n">
        <v>0</v>
      </c>
      <c r="K721" t="n">
        <v>0</v>
      </c>
      <c r="L721" t="n">
        <v>0</v>
      </c>
      <c r="M721" t="n">
        <v>0</v>
      </c>
      <c r="N721" t="n">
        <v>0</v>
      </c>
      <c r="O721" t="n">
        <v>0</v>
      </c>
      <c r="P721" t="n">
        <v>0</v>
      </c>
      <c r="Q721" t="n">
        <v>0</v>
      </c>
      <c r="R721" s="2" t="inlineStr"/>
    </row>
    <row r="722" ht="15" customHeight="1">
      <c r="A722" t="inlineStr">
        <is>
          <t>A 21094-2025</t>
        </is>
      </c>
      <c r="B722" s="1" t="n">
        <v>45777.62665509259</v>
      </c>
      <c r="C722" s="1" t="n">
        <v>46034</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21237-2025</t>
        </is>
      </c>
      <c r="B723" s="1" t="n">
        <v>45779</v>
      </c>
      <c r="C723" s="1" t="n">
        <v>46034</v>
      </c>
      <c r="D723" t="inlineStr">
        <is>
          <t>JÄMTLANDS LÄN</t>
        </is>
      </c>
      <c r="E723" t="inlineStr">
        <is>
          <t>ÖSTERSUND</t>
        </is>
      </c>
      <c r="G723" t="n">
        <v>0.4</v>
      </c>
      <c r="H723" t="n">
        <v>0</v>
      </c>
      <c r="I723" t="n">
        <v>0</v>
      </c>
      <c r="J723" t="n">
        <v>0</v>
      </c>
      <c r="K723" t="n">
        <v>0</v>
      </c>
      <c r="L723" t="n">
        <v>0</v>
      </c>
      <c r="M723" t="n">
        <v>0</v>
      </c>
      <c r="N723" t="n">
        <v>0</v>
      </c>
      <c r="O723" t="n">
        <v>0</v>
      </c>
      <c r="P723" t="n">
        <v>0</v>
      </c>
      <c r="Q723" t="n">
        <v>0</v>
      </c>
      <c r="R723" s="2" t="inlineStr"/>
    </row>
    <row r="724" ht="15" customHeight="1">
      <c r="A724" t="inlineStr">
        <is>
          <t>A 16812-2025</t>
        </is>
      </c>
      <c r="B724" s="1" t="n">
        <v>45754</v>
      </c>
      <c r="C724" s="1" t="n">
        <v>46034</v>
      </c>
      <c r="D724" t="inlineStr">
        <is>
          <t>JÄMTLANDS LÄN</t>
        </is>
      </c>
      <c r="E724" t="inlineStr">
        <is>
          <t>ÖSTERSUND</t>
        </is>
      </c>
      <c r="F724" t="inlineStr">
        <is>
          <t>Övriga statliga verk och myndigheter</t>
        </is>
      </c>
      <c r="G724" t="n">
        <v>3.7</v>
      </c>
      <c r="H724" t="n">
        <v>0</v>
      </c>
      <c r="I724" t="n">
        <v>0</v>
      </c>
      <c r="J724" t="n">
        <v>0</v>
      </c>
      <c r="K724" t="n">
        <v>0</v>
      </c>
      <c r="L724" t="n">
        <v>0</v>
      </c>
      <c r="M724" t="n">
        <v>0</v>
      </c>
      <c r="N724" t="n">
        <v>0</v>
      </c>
      <c r="O724" t="n">
        <v>0</v>
      </c>
      <c r="P724" t="n">
        <v>0</v>
      </c>
      <c r="Q724" t="n">
        <v>0</v>
      </c>
      <c r="R724" s="2" t="inlineStr"/>
    </row>
    <row r="725" ht="15" customHeight="1">
      <c r="A725" t="inlineStr">
        <is>
          <t>A 14848-2025</t>
        </is>
      </c>
      <c r="B725" s="1" t="n">
        <v>45743.39528935185</v>
      </c>
      <c r="C725" s="1" t="n">
        <v>46034</v>
      </c>
      <c r="D725" t="inlineStr">
        <is>
          <t>JÄMTLANDS LÄN</t>
        </is>
      </c>
      <c r="E725" t="inlineStr">
        <is>
          <t>ÖSTERSUND</t>
        </is>
      </c>
      <c r="G725" t="n">
        <v>12.1</v>
      </c>
      <c r="H725" t="n">
        <v>0</v>
      </c>
      <c r="I725" t="n">
        <v>0</v>
      </c>
      <c r="J725" t="n">
        <v>0</v>
      </c>
      <c r="K725" t="n">
        <v>0</v>
      </c>
      <c r="L725" t="n">
        <v>0</v>
      </c>
      <c r="M725" t="n">
        <v>0</v>
      </c>
      <c r="N725" t="n">
        <v>0</v>
      </c>
      <c r="O725" t="n">
        <v>0</v>
      </c>
      <c r="P725" t="n">
        <v>0</v>
      </c>
      <c r="Q725" t="n">
        <v>0</v>
      </c>
      <c r="R725" s="2" t="inlineStr"/>
    </row>
    <row r="726">
      <c r="A726" t="inlineStr">
        <is>
          <t>A 16725-2025</t>
        </is>
      </c>
      <c r="B726" s="1" t="n">
        <v>45754</v>
      </c>
      <c r="C726" s="1" t="n">
        <v>46034</v>
      </c>
      <c r="D726" t="inlineStr">
        <is>
          <t>JÄMTLANDS LÄN</t>
        </is>
      </c>
      <c r="E726" t="inlineStr">
        <is>
          <t>ÖSTERSUND</t>
        </is>
      </c>
      <c r="F726" t="inlineStr">
        <is>
          <t>Övriga statliga verk och myndigheter</t>
        </is>
      </c>
      <c r="G726" t="n">
        <v>3.7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2026-01-12T10:48:03Z</dcterms:created>
  <dcterms:modified xmlns:dcterms="http://purl.org/dc/terms/" xmlns:xsi="http://www.w3.org/2001/XMLSchema-instance" xsi:type="dcterms:W3CDTF">2026-01-12T10:48:04Z</dcterms:modified>
</cp:coreProperties>
</file>