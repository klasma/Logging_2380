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46188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46188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46188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46188</v>
      </c>
      <c r="D5" t="inlineStr">
        <is>
          <t>JÄMTLANDS LÄN</t>
        </is>
      </c>
      <c r="E5" t="inlineStr">
        <is>
          <t>ÖSTERSUND</t>
        </is>
      </c>
      <c r="G5" t="n">
        <v>26.9</v>
      </c>
      <c r="H5" t="n">
        <v>1</v>
      </c>
      <c r="I5" t="n">
        <v>9</v>
      </c>
      <c r="J5" t="n">
        <v>17</v>
      </c>
      <c r="K5" t="n">
        <v>7</v>
      </c>
      <c r="L5" t="n">
        <v>0</v>
      </c>
      <c r="M5" t="n">
        <v>0</v>
      </c>
      <c r="N5" t="n">
        <v>0</v>
      </c>
      <c r="O5" t="n">
        <v>24</v>
      </c>
      <c r="P5" t="n">
        <v>7</v>
      </c>
      <c r="Q5" t="n">
        <v>34</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46099.50569444444</v>
      </c>
      <c r="C6" s="1" t="n">
        <v>46188</v>
      </c>
      <c r="D6" t="inlineStr">
        <is>
          <t>JÄMTLANDS LÄN</t>
        </is>
      </c>
      <c r="E6" t="inlineStr">
        <is>
          <t>ÖSTERSUND</t>
        </is>
      </c>
      <c r="G6" t="n">
        <v>4.4</v>
      </c>
      <c r="H6" t="n">
        <v>6</v>
      </c>
      <c r="I6" t="n">
        <v>6</v>
      </c>
      <c r="J6" t="n">
        <v>15</v>
      </c>
      <c r="K6" t="n">
        <v>3</v>
      </c>
      <c r="L6" t="n">
        <v>0</v>
      </c>
      <c r="M6" t="n">
        <v>0</v>
      </c>
      <c r="N6" t="n">
        <v>0</v>
      </c>
      <c r="O6" t="n">
        <v>18</v>
      </c>
      <c r="P6" t="n">
        <v>3</v>
      </c>
      <c r="Q6" t="n">
        <v>26</v>
      </c>
      <c r="R6"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48059-2025</t>
        </is>
      </c>
      <c r="B7" s="1" t="n">
        <v>45932</v>
      </c>
      <c r="C7" s="1" t="n">
        <v>46188</v>
      </c>
      <c r="D7" t="inlineStr">
        <is>
          <t>JÄMTLANDS LÄN</t>
        </is>
      </c>
      <c r="E7" t="inlineStr">
        <is>
          <t>ÖSTERSUND</t>
        </is>
      </c>
      <c r="G7" t="n">
        <v>12.2</v>
      </c>
      <c r="H7" t="n">
        <v>6</v>
      </c>
      <c r="I7" t="n">
        <v>5</v>
      </c>
      <c r="J7" t="n">
        <v>14</v>
      </c>
      <c r="K7" t="n">
        <v>2</v>
      </c>
      <c r="L7" t="n">
        <v>0</v>
      </c>
      <c r="M7" t="n">
        <v>0</v>
      </c>
      <c r="N7" t="n">
        <v>0</v>
      </c>
      <c r="O7" t="n">
        <v>16</v>
      </c>
      <c r="P7" t="n">
        <v>2</v>
      </c>
      <c r="Q7" t="n">
        <v>23</v>
      </c>
      <c r="R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7">
        <f>HYPERLINK("https://klasma.github.io/Logging_2380/artfynd/A 48059-2025 artfynd.xlsx", "A 48059-2025")</f>
        <v/>
      </c>
      <c r="T7">
        <f>HYPERLINK("https://klasma.github.io/Logging_2380/kartor/A 48059-2025 karta.png", "A 48059-2025")</f>
        <v/>
      </c>
      <c r="U7">
        <f>HYPERLINK("https://klasma.github.io/Logging_2380/knärot/A 48059-2025 karta knärot.png", "A 48059-2025")</f>
        <v/>
      </c>
      <c r="V7">
        <f>HYPERLINK("https://klasma.github.io/Logging_2380/klagomål/A 48059-2025 FSC-klagomål.docx", "A 48059-2025")</f>
        <v/>
      </c>
      <c r="W7">
        <f>HYPERLINK("https://klasma.github.io/Logging_2380/klagomålsmail/A 48059-2025 FSC-klagomål mail.docx", "A 48059-2025")</f>
        <v/>
      </c>
      <c r="X7">
        <f>HYPERLINK("https://klasma.github.io/Logging_2380/tillsyn/A 48059-2025 tillsynsbegäran.docx", "A 48059-2025")</f>
        <v/>
      </c>
      <c r="Y7">
        <f>HYPERLINK("https://klasma.github.io/Logging_2380/tillsynsmail/A 48059-2025 tillsynsbegäran mail.docx", "A 48059-2025")</f>
        <v/>
      </c>
      <c r="Z7">
        <f>HYPERLINK("https://klasma.github.io/Logging_2380/fåglar/A 48059-2025 prioriterade fågelarter.docx", "A 48059-2025")</f>
        <v/>
      </c>
    </row>
    <row r="8" ht="15" customHeight="1">
      <c r="A8" t="inlineStr">
        <is>
          <t>A 58266-2025</t>
        </is>
      </c>
      <c r="B8" s="1" t="n">
        <v>45985.42282407408</v>
      </c>
      <c r="C8" s="1" t="n">
        <v>46188</v>
      </c>
      <c r="D8" t="inlineStr">
        <is>
          <t>JÄMTLANDS LÄN</t>
        </is>
      </c>
      <c r="E8" t="inlineStr">
        <is>
          <t>ÖSTERSUND</t>
        </is>
      </c>
      <c r="G8" t="n">
        <v>17.4</v>
      </c>
      <c r="H8" t="n">
        <v>5</v>
      </c>
      <c r="I8" t="n">
        <v>7</v>
      </c>
      <c r="J8" t="n">
        <v>11</v>
      </c>
      <c r="K8" t="n">
        <v>2</v>
      </c>
      <c r="L8" t="n">
        <v>0</v>
      </c>
      <c r="M8" t="n">
        <v>0</v>
      </c>
      <c r="N8" t="n">
        <v>0</v>
      </c>
      <c r="O8" t="n">
        <v>13</v>
      </c>
      <c r="P8" t="n">
        <v>2</v>
      </c>
      <c r="Q8" t="n">
        <v>22</v>
      </c>
      <c r="R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8">
        <f>HYPERLINK("https://klasma.github.io/Logging_2380/artfynd/A 58266-2025 artfynd.xlsx", "A 58266-2025")</f>
        <v/>
      </c>
      <c r="T8">
        <f>HYPERLINK("https://klasma.github.io/Logging_2380/kartor/A 58266-2025 karta.png", "A 58266-2025")</f>
        <v/>
      </c>
      <c r="U8">
        <f>HYPERLINK("https://klasma.github.io/Logging_2380/knärot/A 58266-2025 karta knärot.png", "A 58266-2025")</f>
        <v/>
      </c>
      <c r="V8">
        <f>HYPERLINK("https://klasma.github.io/Logging_2380/klagomål/A 58266-2025 FSC-klagomål.docx", "A 58266-2025")</f>
        <v/>
      </c>
      <c r="W8">
        <f>HYPERLINK("https://klasma.github.io/Logging_2380/klagomålsmail/A 58266-2025 FSC-klagomål mail.docx", "A 58266-2025")</f>
        <v/>
      </c>
      <c r="X8">
        <f>HYPERLINK("https://klasma.github.io/Logging_2380/tillsyn/A 58266-2025 tillsynsbegäran.docx", "A 58266-2025")</f>
        <v/>
      </c>
      <c r="Y8">
        <f>HYPERLINK("https://klasma.github.io/Logging_2380/tillsynsmail/A 58266-2025 tillsynsbegäran mail.docx", "A 58266-2025")</f>
        <v/>
      </c>
      <c r="Z8">
        <f>HYPERLINK("https://klasma.github.io/Logging_2380/fåglar/A 58266-2025 prioriterade fågelarter.docx", "A 58266-2025")</f>
        <v/>
      </c>
    </row>
    <row r="9" ht="15" customHeight="1">
      <c r="A9" t="inlineStr">
        <is>
          <t>A 45985-2025</t>
        </is>
      </c>
      <c r="B9" s="1" t="n">
        <v>45924</v>
      </c>
      <c r="C9" s="1" t="n">
        <v>46188</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16101-2026</t>
        </is>
      </c>
      <c r="B10" s="1" t="n">
        <v>46108.58754629629</v>
      </c>
      <c r="C10" s="1" t="n">
        <v>46188</v>
      </c>
      <c r="D10" t="inlineStr">
        <is>
          <t>JÄMTLANDS LÄN</t>
        </is>
      </c>
      <c r="E10" t="inlineStr">
        <is>
          <t>ÖSTERSUND</t>
        </is>
      </c>
      <c r="G10" t="n">
        <v>19.8</v>
      </c>
      <c r="H10" t="n">
        <v>4</v>
      </c>
      <c r="I10" t="n">
        <v>3</v>
      </c>
      <c r="J10" t="n">
        <v>13</v>
      </c>
      <c r="K10" t="n">
        <v>4</v>
      </c>
      <c r="L10" t="n">
        <v>0</v>
      </c>
      <c r="M10" t="n">
        <v>0</v>
      </c>
      <c r="N10" t="n">
        <v>0</v>
      </c>
      <c r="O10" t="n">
        <v>17</v>
      </c>
      <c r="P10" t="n">
        <v>4</v>
      </c>
      <c r="Q10" t="n">
        <v>21</v>
      </c>
      <c r="R10"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10">
        <f>HYPERLINK("https://klasma.github.io/Logging_2380/artfynd/A 16101-2026 artfynd.xlsx", "A 16101-2026")</f>
        <v/>
      </c>
      <c r="T10">
        <f>HYPERLINK("https://klasma.github.io/Logging_2380/kartor/A 16101-2026 karta.png", "A 16101-2026")</f>
        <v/>
      </c>
      <c r="V10">
        <f>HYPERLINK("https://klasma.github.io/Logging_2380/klagomål/A 16101-2026 FSC-klagomål.docx", "A 16101-2026")</f>
        <v/>
      </c>
      <c r="W10">
        <f>HYPERLINK("https://klasma.github.io/Logging_2380/klagomålsmail/A 16101-2026 FSC-klagomål mail.docx", "A 16101-2026")</f>
        <v/>
      </c>
      <c r="X10">
        <f>HYPERLINK("https://klasma.github.io/Logging_2380/tillsyn/A 16101-2026 tillsynsbegäran.docx", "A 16101-2026")</f>
        <v/>
      </c>
      <c r="Y10">
        <f>HYPERLINK("https://klasma.github.io/Logging_2380/tillsynsmail/A 16101-2026 tillsynsbegäran mail.docx", "A 16101-2026")</f>
        <v/>
      </c>
      <c r="Z10">
        <f>HYPERLINK("https://klasma.github.io/Logging_2380/fåglar/A 16101-2026 prioriterade fågelarter.docx", "A 16101-2026")</f>
        <v/>
      </c>
    </row>
    <row r="11" ht="15" customHeight="1">
      <c r="A11" t="inlineStr">
        <is>
          <t>A 12943-2022</t>
        </is>
      </c>
      <c r="B11" s="1" t="n">
        <v>44642</v>
      </c>
      <c r="C11" s="1" t="n">
        <v>46188</v>
      </c>
      <c r="D11" t="inlineStr">
        <is>
          <t>JÄMTLANDS LÄN</t>
        </is>
      </c>
      <c r="E11" t="inlineStr">
        <is>
          <t>ÖSTERSUND</t>
        </is>
      </c>
      <c r="G11" t="n">
        <v>10</v>
      </c>
      <c r="H11" t="n">
        <v>6</v>
      </c>
      <c r="I11" t="n">
        <v>10</v>
      </c>
      <c r="J11" t="n">
        <v>6</v>
      </c>
      <c r="K11" t="n">
        <v>2</v>
      </c>
      <c r="L11" t="n">
        <v>0</v>
      </c>
      <c r="M11" t="n">
        <v>0</v>
      </c>
      <c r="N11" t="n">
        <v>0</v>
      </c>
      <c r="O11" t="n">
        <v>8</v>
      </c>
      <c r="P11" t="n">
        <v>2</v>
      </c>
      <c r="Q11" t="n">
        <v>20</v>
      </c>
      <c r="R1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
        <f>HYPERLINK("https://klasma.github.io/Logging_2380/artfynd/A 12943-2022 artfynd.xlsx", "A 12943-2022")</f>
        <v/>
      </c>
      <c r="T11">
        <f>HYPERLINK("https://klasma.github.io/Logging_2380/kartor/A 12943-2022 karta.png", "A 12943-2022")</f>
        <v/>
      </c>
      <c r="U11">
        <f>HYPERLINK("https://klasma.github.io/Logging_2380/knärot/A 12943-2022 karta knärot.png", "A 12943-2022")</f>
        <v/>
      </c>
      <c r="V11">
        <f>HYPERLINK("https://klasma.github.io/Logging_2380/klagomål/A 12943-2022 FSC-klagomål.docx", "A 12943-2022")</f>
        <v/>
      </c>
      <c r="W11">
        <f>HYPERLINK("https://klasma.github.io/Logging_2380/klagomålsmail/A 12943-2022 FSC-klagomål mail.docx", "A 12943-2022")</f>
        <v/>
      </c>
      <c r="X11">
        <f>HYPERLINK("https://klasma.github.io/Logging_2380/tillsyn/A 12943-2022 tillsynsbegäran.docx", "A 12943-2022")</f>
        <v/>
      </c>
      <c r="Y11">
        <f>HYPERLINK("https://klasma.github.io/Logging_2380/tillsynsmail/A 12943-2022 tillsynsbegäran mail.docx", "A 12943-2022")</f>
        <v/>
      </c>
      <c r="Z11">
        <f>HYPERLINK("https://klasma.github.io/Logging_2380/fåglar/A 12943-2022 prioriterade fågelarter.docx", "A 12943-2022")</f>
        <v/>
      </c>
    </row>
    <row r="12" ht="15" customHeight="1">
      <c r="A12" t="inlineStr">
        <is>
          <t>A 50126-2024</t>
        </is>
      </c>
      <c r="B12" s="1" t="n">
        <v>45600</v>
      </c>
      <c r="C12" s="1" t="n">
        <v>46188</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46188</v>
      </c>
      <c r="D13" t="inlineStr">
        <is>
          <t>JÄMTLANDS LÄN</t>
        </is>
      </c>
      <c r="E13" t="inlineStr">
        <is>
          <t>ÖSTERSUND</t>
        </is>
      </c>
      <c r="F13" t="inlineStr">
        <is>
          <t>Kommuner</t>
        </is>
      </c>
      <c r="G13" t="n">
        <v>5.7</v>
      </c>
      <c r="H13" t="n">
        <v>4</v>
      </c>
      <c r="I13" t="n">
        <v>4</v>
      </c>
      <c r="J13" t="n">
        <v>12</v>
      </c>
      <c r="K13" t="n">
        <v>3</v>
      </c>
      <c r="L13" t="n">
        <v>0</v>
      </c>
      <c r="M13" t="n">
        <v>0</v>
      </c>
      <c r="N13" t="n">
        <v>0</v>
      </c>
      <c r="O13" t="n">
        <v>15</v>
      </c>
      <c r="P13" t="n">
        <v>3</v>
      </c>
      <c r="Q13" t="n">
        <v>19</v>
      </c>
      <c r="R13" s="2" t="inlineStr">
        <is>
          <t>Knärot
Rynkskinn
Sprickporing
Garnlav
Granticka
Gränsticka
Harticka
Järpe
Liten svartspik
Lunglav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14960-2026</t>
        </is>
      </c>
      <c r="B14" s="1" t="n">
        <v>46104.55519675926</v>
      </c>
      <c r="C14" s="1" t="n">
        <v>46188</v>
      </c>
      <c r="D14" t="inlineStr">
        <is>
          <t>JÄMTLANDS LÄN</t>
        </is>
      </c>
      <c r="E14" t="inlineStr">
        <is>
          <t>ÖSTERSUND</t>
        </is>
      </c>
      <c r="G14" t="n">
        <v>14.8</v>
      </c>
      <c r="H14" t="n">
        <v>7</v>
      </c>
      <c r="I14" t="n">
        <v>7</v>
      </c>
      <c r="J14" t="n">
        <v>7</v>
      </c>
      <c r="K14" t="n">
        <v>1</v>
      </c>
      <c r="L14" t="n">
        <v>0</v>
      </c>
      <c r="M14" t="n">
        <v>0</v>
      </c>
      <c r="N14" t="n">
        <v>0</v>
      </c>
      <c r="O14" t="n">
        <v>8</v>
      </c>
      <c r="P14" t="n">
        <v>1</v>
      </c>
      <c r="Q14" t="n">
        <v>18</v>
      </c>
      <c r="R14" s="2" t="inlineStr">
        <is>
          <t>Knärot
Björktrast
Garnlav
Harticka
Lunglav
Rödvingetrast
Skrovellav
Tretåig hackspett
Bårdlav
Luddlav
Norrlandslav
Skinnlav
Stuplav
Tibast
Ögonpyrola
Kungsfågel
Blåsippa
Revlummer</t>
        </is>
      </c>
      <c r="S14">
        <f>HYPERLINK("https://klasma.github.io/Logging_2380/artfynd/A 14960-2026 artfynd.xlsx", "A 14960-2026")</f>
        <v/>
      </c>
      <c r="T14">
        <f>HYPERLINK("https://klasma.github.io/Logging_2380/kartor/A 14960-2026 karta.png", "A 14960-2026")</f>
        <v/>
      </c>
      <c r="U14">
        <f>HYPERLINK("https://klasma.github.io/Logging_2380/knärot/A 14960-2026 karta knärot.png", "A 14960-2026")</f>
        <v/>
      </c>
      <c r="V14">
        <f>HYPERLINK("https://klasma.github.io/Logging_2380/klagomål/A 14960-2026 FSC-klagomål.docx", "A 14960-2026")</f>
        <v/>
      </c>
      <c r="W14">
        <f>HYPERLINK("https://klasma.github.io/Logging_2380/klagomålsmail/A 14960-2026 FSC-klagomål mail.docx", "A 14960-2026")</f>
        <v/>
      </c>
      <c r="X14">
        <f>HYPERLINK("https://klasma.github.io/Logging_2380/tillsyn/A 14960-2026 tillsynsbegäran.docx", "A 14960-2026")</f>
        <v/>
      </c>
      <c r="Y14">
        <f>HYPERLINK("https://klasma.github.io/Logging_2380/tillsynsmail/A 14960-2026 tillsynsbegäran mail.docx", "A 14960-2026")</f>
        <v/>
      </c>
      <c r="Z14">
        <f>HYPERLINK("https://klasma.github.io/Logging_2380/fåglar/A 14960-2026 prioriterade fågelarter.docx", "A 14960-2026")</f>
        <v/>
      </c>
    </row>
    <row r="15" ht="15" customHeight="1">
      <c r="A15" t="inlineStr">
        <is>
          <t>A 15382-2025</t>
        </is>
      </c>
      <c r="B15" s="1" t="n">
        <v>45747</v>
      </c>
      <c r="C15" s="1" t="n">
        <v>46188</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v>
      </c>
      <c r="C16" s="1" t="n">
        <v>46188</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46188</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Druvfingersvampar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39928-2022</t>
        </is>
      </c>
      <c r="B18" s="1" t="n">
        <v>44819</v>
      </c>
      <c r="C18" s="1" t="n">
        <v>46188</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46188</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46188</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56557-2025</t>
        </is>
      </c>
      <c r="B21" s="1" t="n">
        <v>45975.49049768518</v>
      </c>
      <c r="C21" s="1" t="n">
        <v>46188</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46188</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54517-2025</t>
        </is>
      </c>
      <c r="B23" s="1" t="n">
        <v>45965</v>
      </c>
      <c r="C23" s="1" t="n">
        <v>46188</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47128-2025</t>
        </is>
      </c>
      <c r="B24" s="1" t="n">
        <v>45929</v>
      </c>
      <c r="C24" s="1" t="n">
        <v>46188</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18322-2026</t>
        </is>
      </c>
      <c r="B25" s="1" t="n">
        <v>46126</v>
      </c>
      <c r="C25" s="1" t="n">
        <v>46188</v>
      </c>
      <c r="D25" t="inlineStr">
        <is>
          <t>JÄMTLANDS LÄN</t>
        </is>
      </c>
      <c r="E25" t="inlineStr">
        <is>
          <t>ÖSTERSUND</t>
        </is>
      </c>
      <c r="G25" t="n">
        <v>9.6</v>
      </c>
      <c r="H25" t="n">
        <v>4</v>
      </c>
      <c r="I25" t="n">
        <v>1</v>
      </c>
      <c r="J25" t="n">
        <v>11</v>
      </c>
      <c r="K25" t="n">
        <v>1</v>
      </c>
      <c r="L25" t="n">
        <v>0</v>
      </c>
      <c r="M25" t="n">
        <v>0</v>
      </c>
      <c r="N25" t="n">
        <v>0</v>
      </c>
      <c r="O25" t="n">
        <v>12</v>
      </c>
      <c r="P25" t="n">
        <v>1</v>
      </c>
      <c r="Q25" t="n">
        <v>13</v>
      </c>
      <c r="R25" s="2" t="inlineStr">
        <is>
          <t>Rynkskinn
Gammelgransskål
Garnlav
Harticka
Järpe
Rosenticka
Spillkråka
Talltita
Tretåig hackspett
Ullticka
Vedtrappmossa
Vitgrynig nållav
Trådticka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56647-2025</t>
        </is>
      </c>
      <c r="B26" s="1" t="n">
        <v>45975.63585648148</v>
      </c>
      <c r="C26" s="1" t="n">
        <v>46188</v>
      </c>
      <c r="D26" t="inlineStr">
        <is>
          <t>JÄMTLANDS LÄN</t>
        </is>
      </c>
      <c r="E26" t="inlineStr">
        <is>
          <t>ÖSTERSUND</t>
        </is>
      </c>
      <c r="G26" t="n">
        <v>12.1</v>
      </c>
      <c r="H26" t="n">
        <v>9</v>
      </c>
      <c r="I26" t="n">
        <v>2</v>
      </c>
      <c r="J26" t="n">
        <v>3</v>
      </c>
      <c r="K26" t="n">
        <v>2</v>
      </c>
      <c r="L26" t="n">
        <v>0</v>
      </c>
      <c r="M26" t="n">
        <v>0</v>
      </c>
      <c r="N26" t="n">
        <v>0</v>
      </c>
      <c r="O26" t="n">
        <v>5</v>
      </c>
      <c r="P26" t="n">
        <v>2</v>
      </c>
      <c r="Q26" t="n">
        <v>12</v>
      </c>
      <c r="R26" s="2" t="inlineStr">
        <is>
          <t>Knärot
Rynkskinn
Garnlav
Rödvingetrast
Tretåig hackspett
Spindelblomster
Stuplav
Grönsiska
Kungsfågel
Fläcknycklar
Blåsippa
Revlummer</t>
        </is>
      </c>
      <c r="S26">
        <f>HYPERLINK("https://klasma.github.io/Logging_2380/artfynd/A 56647-2025 artfynd.xlsx", "A 56647-2025")</f>
        <v/>
      </c>
      <c r="T26">
        <f>HYPERLINK("https://klasma.github.io/Logging_2380/kartor/A 56647-2025 karta.png", "A 56647-2025")</f>
        <v/>
      </c>
      <c r="U26">
        <f>HYPERLINK("https://klasma.github.io/Logging_2380/knärot/A 56647-2025 karta knärot.png", "A 56647-2025")</f>
        <v/>
      </c>
      <c r="V26">
        <f>HYPERLINK("https://klasma.github.io/Logging_2380/klagomål/A 56647-2025 FSC-klagomål.docx", "A 56647-2025")</f>
        <v/>
      </c>
      <c r="W26">
        <f>HYPERLINK("https://klasma.github.io/Logging_2380/klagomålsmail/A 56647-2025 FSC-klagomål mail.docx", "A 56647-2025")</f>
        <v/>
      </c>
      <c r="X26">
        <f>HYPERLINK("https://klasma.github.io/Logging_2380/tillsyn/A 56647-2025 tillsynsbegäran.docx", "A 56647-2025")</f>
        <v/>
      </c>
      <c r="Y26">
        <f>HYPERLINK("https://klasma.github.io/Logging_2380/tillsynsmail/A 56647-2025 tillsynsbegäran mail.docx", "A 56647-2025")</f>
        <v/>
      </c>
      <c r="Z26">
        <f>HYPERLINK("https://klasma.github.io/Logging_2380/fåglar/A 56647-2025 prioriterade fågelarter.docx", "A 56647-2025")</f>
        <v/>
      </c>
    </row>
    <row r="27" ht="15" customHeight="1">
      <c r="A27" t="inlineStr">
        <is>
          <t>A 63201-2025</t>
        </is>
      </c>
      <c r="B27" s="1" t="n">
        <v>46010.46366898148</v>
      </c>
      <c r="C27" s="1" t="n">
        <v>46188</v>
      </c>
      <c r="D27" t="inlineStr">
        <is>
          <t>JÄMTLANDS LÄN</t>
        </is>
      </c>
      <c r="E27" t="inlineStr">
        <is>
          <t>ÖSTERSUND</t>
        </is>
      </c>
      <c r="G27" t="n">
        <v>5.8</v>
      </c>
      <c r="H27" t="n">
        <v>7</v>
      </c>
      <c r="I27" t="n">
        <v>3</v>
      </c>
      <c r="J27" t="n">
        <v>6</v>
      </c>
      <c r="K27" t="n">
        <v>1</v>
      </c>
      <c r="L27" t="n">
        <v>0</v>
      </c>
      <c r="M27" t="n">
        <v>0</v>
      </c>
      <c r="N27" t="n">
        <v>0</v>
      </c>
      <c r="O27" t="n">
        <v>7</v>
      </c>
      <c r="P27" t="n">
        <v>1</v>
      </c>
      <c r="Q27" t="n">
        <v>12</v>
      </c>
      <c r="R27" s="2" t="inlineStr">
        <is>
          <t>Knärot
Garnlav
Järpe
Lunglav
Skrovellav
Spillkråka
Tretåig hackspett
Kransrams
Stuplav
Tvåblad
Lavskrika
Revlummer</t>
        </is>
      </c>
      <c r="S27">
        <f>HYPERLINK("https://klasma.github.io/Logging_2380/artfynd/A 63201-2025 artfynd.xlsx", "A 63201-2025")</f>
        <v/>
      </c>
      <c r="T27">
        <f>HYPERLINK("https://klasma.github.io/Logging_2380/kartor/A 63201-2025 karta.png", "A 63201-2025")</f>
        <v/>
      </c>
      <c r="U27">
        <f>HYPERLINK("https://klasma.github.io/Logging_2380/knärot/A 63201-2025 karta knärot.png", "A 63201-2025")</f>
        <v/>
      </c>
      <c r="V27">
        <f>HYPERLINK("https://klasma.github.io/Logging_2380/klagomål/A 63201-2025 FSC-klagomål.docx", "A 63201-2025")</f>
        <v/>
      </c>
      <c r="W27">
        <f>HYPERLINK("https://klasma.github.io/Logging_2380/klagomålsmail/A 63201-2025 FSC-klagomål mail.docx", "A 63201-2025")</f>
        <v/>
      </c>
      <c r="X27">
        <f>HYPERLINK("https://klasma.github.io/Logging_2380/tillsyn/A 63201-2025 tillsynsbegäran.docx", "A 63201-2025")</f>
        <v/>
      </c>
      <c r="Y27">
        <f>HYPERLINK("https://klasma.github.io/Logging_2380/tillsynsmail/A 63201-2025 tillsynsbegäran mail.docx", "A 63201-2025")</f>
        <v/>
      </c>
      <c r="Z27">
        <f>HYPERLINK("https://klasma.github.io/Logging_2380/fåglar/A 63201-2025 prioriterade fågelarter.docx", "A 63201-2025")</f>
        <v/>
      </c>
    </row>
    <row r="28" ht="15" customHeight="1">
      <c r="A28" t="inlineStr">
        <is>
          <t>A 10056-2026</t>
        </is>
      </c>
      <c r="B28" s="1" t="n">
        <v>46073.61809027778</v>
      </c>
      <c r="C28" s="1" t="n">
        <v>46188</v>
      </c>
      <c r="D28" t="inlineStr">
        <is>
          <t>JÄMTLANDS LÄN</t>
        </is>
      </c>
      <c r="E28" t="inlineStr">
        <is>
          <t>ÖSTERSUND</t>
        </is>
      </c>
      <c r="G28" t="n">
        <v>17.2</v>
      </c>
      <c r="H28" t="n">
        <v>4</v>
      </c>
      <c r="I28" t="n">
        <v>1</v>
      </c>
      <c r="J28" t="n">
        <v>8</v>
      </c>
      <c r="K28" t="n">
        <v>2</v>
      </c>
      <c r="L28" t="n">
        <v>0</v>
      </c>
      <c r="M28" t="n">
        <v>0</v>
      </c>
      <c r="N28" t="n">
        <v>0</v>
      </c>
      <c r="O28" t="n">
        <v>10</v>
      </c>
      <c r="P28" t="n">
        <v>2</v>
      </c>
      <c r="Q28" t="n">
        <v>12</v>
      </c>
      <c r="R28" s="2" t="inlineStr">
        <is>
          <t>Blackticka
Knärot
Garnlav
Harticka
Liten svartspik
Rosenticka
Spillkråka
Tretåig hackspett
Ullticka
Vitgrynig nållav
Stuplav
Tjäder</t>
        </is>
      </c>
      <c r="S28">
        <f>HYPERLINK("https://klasma.github.io/Logging_2380/artfynd/A 10056-2026 artfynd.xlsx", "A 10056-2026")</f>
        <v/>
      </c>
      <c r="T28">
        <f>HYPERLINK("https://klasma.github.io/Logging_2380/kartor/A 10056-2026 karta.png", "A 10056-2026")</f>
        <v/>
      </c>
      <c r="U28">
        <f>HYPERLINK("https://klasma.github.io/Logging_2380/knärot/A 10056-2026 karta knärot.png", "A 10056-2026")</f>
        <v/>
      </c>
      <c r="V28">
        <f>HYPERLINK("https://klasma.github.io/Logging_2380/klagomål/A 10056-2026 FSC-klagomål.docx", "A 10056-2026")</f>
        <v/>
      </c>
      <c r="W28">
        <f>HYPERLINK("https://klasma.github.io/Logging_2380/klagomålsmail/A 10056-2026 FSC-klagomål mail.docx", "A 10056-2026")</f>
        <v/>
      </c>
      <c r="X28">
        <f>HYPERLINK("https://klasma.github.io/Logging_2380/tillsyn/A 10056-2026 tillsynsbegäran.docx", "A 10056-2026")</f>
        <v/>
      </c>
      <c r="Y28">
        <f>HYPERLINK("https://klasma.github.io/Logging_2380/tillsynsmail/A 10056-2026 tillsynsbegäran mail.docx", "A 10056-2026")</f>
        <v/>
      </c>
      <c r="Z28">
        <f>HYPERLINK("https://klasma.github.io/Logging_2380/fåglar/A 10056-2026 prioriterade fågelarter.docx", "A 10056-2026")</f>
        <v/>
      </c>
    </row>
    <row r="29" ht="15" customHeight="1">
      <c r="A29" t="inlineStr">
        <is>
          <t>A 49928-2025</t>
        </is>
      </c>
      <c r="B29" s="1" t="n">
        <v>45940</v>
      </c>
      <c r="C29" s="1" t="n">
        <v>46188</v>
      </c>
      <c r="D29" t="inlineStr">
        <is>
          <t>JÄMTLANDS LÄN</t>
        </is>
      </c>
      <c r="E29" t="inlineStr">
        <is>
          <t>ÖSTERSUND</t>
        </is>
      </c>
      <c r="G29" t="n">
        <v>6.4</v>
      </c>
      <c r="H29" t="n">
        <v>4</v>
      </c>
      <c r="I29" t="n">
        <v>2</v>
      </c>
      <c r="J29" t="n">
        <v>7</v>
      </c>
      <c r="K29" t="n">
        <v>1</v>
      </c>
      <c r="L29" t="n">
        <v>1</v>
      </c>
      <c r="M29" t="n">
        <v>0</v>
      </c>
      <c r="N29" t="n">
        <v>0</v>
      </c>
      <c r="O29" t="n">
        <v>9</v>
      </c>
      <c r="P29" t="n">
        <v>2</v>
      </c>
      <c r="Q29" t="n">
        <v>12</v>
      </c>
      <c r="R29" s="2" t="inlineStr">
        <is>
          <t>Mikroskapania
Knärot
Doftskinn
Garnlav
Granticka
Harticka
Platt spretmossa
Tretåig hackspett
Ullticka
Rödgul trumpetsvamp
Trådticka
Revlummer</t>
        </is>
      </c>
      <c r="S29">
        <f>HYPERLINK("https://klasma.github.io/Logging_2380/artfynd/A 49928-2025 artfynd.xlsx", "A 49928-2025")</f>
        <v/>
      </c>
      <c r="T29">
        <f>HYPERLINK("https://klasma.github.io/Logging_2380/kartor/A 49928-2025 karta.png", "A 49928-2025")</f>
        <v/>
      </c>
      <c r="U29">
        <f>HYPERLINK("https://klasma.github.io/Logging_2380/knärot/A 49928-2025 karta knärot.png", "A 49928-2025")</f>
        <v/>
      </c>
      <c r="V29">
        <f>HYPERLINK("https://klasma.github.io/Logging_2380/klagomål/A 49928-2025 FSC-klagomål.docx", "A 49928-2025")</f>
        <v/>
      </c>
      <c r="W29">
        <f>HYPERLINK("https://klasma.github.io/Logging_2380/klagomålsmail/A 49928-2025 FSC-klagomål mail.docx", "A 49928-2025")</f>
        <v/>
      </c>
      <c r="X29">
        <f>HYPERLINK("https://klasma.github.io/Logging_2380/tillsyn/A 49928-2025 tillsynsbegäran.docx", "A 49928-2025")</f>
        <v/>
      </c>
      <c r="Y29">
        <f>HYPERLINK("https://klasma.github.io/Logging_2380/tillsynsmail/A 49928-2025 tillsynsbegäran mail.docx", "A 49928-2025")</f>
        <v/>
      </c>
      <c r="Z29">
        <f>HYPERLINK("https://klasma.github.io/Logging_2380/fåglar/A 49928-2025 prioriterade fågelarter.docx", "A 49928-2025")</f>
        <v/>
      </c>
    </row>
    <row r="30" ht="15" customHeight="1">
      <c r="A30" t="inlineStr">
        <is>
          <t>A 39541-2025</t>
        </is>
      </c>
      <c r="B30" s="1" t="n">
        <v>45890</v>
      </c>
      <c r="C30" s="1" t="n">
        <v>46188</v>
      </c>
      <c r="D30" t="inlineStr">
        <is>
          <t>JÄMTLANDS LÄN</t>
        </is>
      </c>
      <c r="E30" t="inlineStr">
        <is>
          <t>ÖSTERSUND</t>
        </is>
      </c>
      <c r="G30" t="n">
        <v>9</v>
      </c>
      <c r="H30" t="n">
        <v>4</v>
      </c>
      <c r="I30" t="n">
        <v>1</v>
      </c>
      <c r="J30" t="n">
        <v>9</v>
      </c>
      <c r="K30" t="n">
        <v>1</v>
      </c>
      <c r="L30" t="n">
        <v>0</v>
      </c>
      <c r="M30" t="n">
        <v>0</v>
      </c>
      <c r="N30" t="n">
        <v>0</v>
      </c>
      <c r="O30" t="n">
        <v>10</v>
      </c>
      <c r="P30" t="n">
        <v>1</v>
      </c>
      <c r="Q30" t="n">
        <v>12</v>
      </c>
      <c r="R30" s="2" t="inlineStr">
        <is>
          <t>Knärot
Doftskinn
Gammelgransskål
Garnlav
Granticka
Harticka
Liten svartspik
Talltita
Tretåig hackspett
Vitgrynig nållav
Skinnlav
Sparvuggla</t>
        </is>
      </c>
      <c r="S30">
        <f>HYPERLINK("https://klasma.github.io/Logging_2380/artfynd/A 39541-2025 artfynd.xlsx", "A 39541-2025")</f>
        <v/>
      </c>
      <c r="T30">
        <f>HYPERLINK("https://klasma.github.io/Logging_2380/kartor/A 39541-2025 karta.png", "A 39541-2025")</f>
        <v/>
      </c>
      <c r="U30">
        <f>HYPERLINK("https://klasma.github.io/Logging_2380/knärot/A 39541-2025 karta knärot.png", "A 39541-2025")</f>
        <v/>
      </c>
      <c r="V30">
        <f>HYPERLINK("https://klasma.github.io/Logging_2380/klagomål/A 39541-2025 FSC-klagomål.docx", "A 39541-2025")</f>
        <v/>
      </c>
      <c r="W30">
        <f>HYPERLINK("https://klasma.github.io/Logging_2380/klagomålsmail/A 39541-2025 FSC-klagomål mail.docx", "A 39541-2025")</f>
        <v/>
      </c>
      <c r="X30">
        <f>HYPERLINK("https://klasma.github.io/Logging_2380/tillsyn/A 39541-2025 tillsynsbegäran.docx", "A 39541-2025")</f>
        <v/>
      </c>
      <c r="Y30">
        <f>HYPERLINK("https://klasma.github.io/Logging_2380/tillsynsmail/A 39541-2025 tillsynsbegäran mail.docx", "A 39541-2025")</f>
        <v/>
      </c>
      <c r="Z30">
        <f>HYPERLINK("https://klasma.github.io/Logging_2380/fåglar/A 39541-2025 prioriterade fågelarter.docx", "A 39541-2025")</f>
        <v/>
      </c>
    </row>
    <row r="31" ht="15" customHeight="1">
      <c r="A31" t="inlineStr">
        <is>
          <t>A 48959-2025</t>
        </is>
      </c>
      <c r="B31" s="1" t="n">
        <v>45937.55055555556</v>
      </c>
      <c r="C31" s="1" t="n">
        <v>46188</v>
      </c>
      <c r="D31" t="inlineStr">
        <is>
          <t>JÄMTLANDS LÄN</t>
        </is>
      </c>
      <c r="E31" t="inlineStr">
        <is>
          <t>ÖSTERSUND</t>
        </is>
      </c>
      <c r="G31" t="n">
        <v>10.5</v>
      </c>
      <c r="H31" t="n">
        <v>6</v>
      </c>
      <c r="I31" t="n">
        <v>2</v>
      </c>
      <c r="J31" t="n">
        <v>7</v>
      </c>
      <c r="K31" t="n">
        <v>1</v>
      </c>
      <c r="L31" t="n">
        <v>0</v>
      </c>
      <c r="M31" t="n">
        <v>0</v>
      </c>
      <c r="N31" t="n">
        <v>0</v>
      </c>
      <c r="O31" t="n">
        <v>8</v>
      </c>
      <c r="P31" t="n">
        <v>1</v>
      </c>
      <c r="Q31" t="n">
        <v>11</v>
      </c>
      <c r="R31" s="2" t="inlineStr">
        <is>
          <t>Knärot
Garnlav
Granticka
Harticka
Spillkråka
Talltita
Tretåig hackspett
Ullticka
Korallrot
Trådticka
Fläcknycklar</t>
        </is>
      </c>
      <c r="S31">
        <f>HYPERLINK("https://klasma.github.io/Logging_2380/artfynd/A 48959-2025 artfynd.xlsx", "A 48959-2025")</f>
        <v/>
      </c>
      <c r="T31">
        <f>HYPERLINK("https://klasma.github.io/Logging_2380/kartor/A 48959-2025 karta.png", "A 48959-2025")</f>
        <v/>
      </c>
      <c r="U31">
        <f>HYPERLINK("https://klasma.github.io/Logging_2380/knärot/A 48959-2025 karta knärot.png", "A 48959-2025")</f>
        <v/>
      </c>
      <c r="V31">
        <f>HYPERLINK("https://klasma.github.io/Logging_2380/klagomål/A 48959-2025 FSC-klagomål.docx", "A 48959-2025")</f>
        <v/>
      </c>
      <c r="W31">
        <f>HYPERLINK("https://klasma.github.io/Logging_2380/klagomålsmail/A 48959-2025 FSC-klagomål mail.docx", "A 48959-2025")</f>
        <v/>
      </c>
      <c r="X31">
        <f>HYPERLINK("https://klasma.github.io/Logging_2380/tillsyn/A 48959-2025 tillsynsbegäran.docx", "A 48959-2025")</f>
        <v/>
      </c>
      <c r="Y31">
        <f>HYPERLINK("https://klasma.github.io/Logging_2380/tillsynsmail/A 48959-2025 tillsynsbegäran mail.docx", "A 48959-2025")</f>
        <v/>
      </c>
      <c r="Z31">
        <f>HYPERLINK("https://klasma.github.io/Logging_2380/fåglar/A 48959-2025 prioriterade fågelarter.docx", "A 48959-2025")</f>
        <v/>
      </c>
    </row>
    <row r="32" ht="15" customHeight="1">
      <c r="A32" t="inlineStr">
        <is>
          <t>A 55314-2024</t>
        </is>
      </c>
      <c r="B32" s="1" t="n">
        <v>45621</v>
      </c>
      <c r="C32" s="1" t="n">
        <v>46188</v>
      </c>
      <c r="D32" t="inlineStr">
        <is>
          <t>JÄMTLANDS LÄN</t>
        </is>
      </c>
      <c r="E32" t="inlineStr">
        <is>
          <t>ÖSTERSUND</t>
        </is>
      </c>
      <c r="G32" t="n">
        <v>14.2</v>
      </c>
      <c r="H32" t="n">
        <v>4</v>
      </c>
      <c r="I32" t="n">
        <v>3</v>
      </c>
      <c r="J32" t="n">
        <v>7</v>
      </c>
      <c r="K32" t="n">
        <v>0</v>
      </c>
      <c r="L32" t="n">
        <v>0</v>
      </c>
      <c r="M32" t="n">
        <v>0</v>
      </c>
      <c r="N32" t="n">
        <v>0</v>
      </c>
      <c r="O32" t="n">
        <v>7</v>
      </c>
      <c r="P32" t="n">
        <v>0</v>
      </c>
      <c r="Q32" t="n">
        <v>11</v>
      </c>
      <c r="R32" s="2" t="inlineStr">
        <is>
          <t>Garnlav
Granticka
Lunglav
Skrovellav
Spillkråka
Talltita
Tretåig hackspett
Bårdlav
Luddlav
Stuplav
Tjäder</t>
        </is>
      </c>
      <c r="S32">
        <f>HYPERLINK("https://klasma.github.io/Logging_2380/artfynd/A 55314-2024 artfynd.xlsx", "A 55314-2024")</f>
        <v/>
      </c>
      <c r="T32">
        <f>HYPERLINK("https://klasma.github.io/Logging_2380/kartor/A 55314-2024 karta.png", "A 55314-2024")</f>
        <v/>
      </c>
      <c r="V32">
        <f>HYPERLINK("https://klasma.github.io/Logging_2380/klagomål/A 55314-2024 FSC-klagomål.docx", "A 55314-2024")</f>
        <v/>
      </c>
      <c r="W32">
        <f>HYPERLINK("https://klasma.github.io/Logging_2380/klagomålsmail/A 55314-2024 FSC-klagomål mail.docx", "A 55314-2024")</f>
        <v/>
      </c>
      <c r="X32">
        <f>HYPERLINK("https://klasma.github.io/Logging_2380/tillsyn/A 55314-2024 tillsynsbegäran.docx", "A 55314-2024")</f>
        <v/>
      </c>
      <c r="Y32">
        <f>HYPERLINK("https://klasma.github.io/Logging_2380/tillsynsmail/A 55314-2024 tillsynsbegäran mail.docx", "A 55314-2024")</f>
        <v/>
      </c>
      <c r="Z32">
        <f>HYPERLINK("https://klasma.github.io/Logging_2380/fåglar/A 55314-2024 prioriterade fågelarter.docx", "A 55314-2024")</f>
        <v/>
      </c>
    </row>
    <row r="33" ht="15" customHeight="1">
      <c r="A33" t="inlineStr">
        <is>
          <t>A 5791-2026</t>
        </is>
      </c>
      <c r="B33" s="1" t="n">
        <v>46051</v>
      </c>
      <c r="C33" s="1" t="n">
        <v>46188</v>
      </c>
      <c r="D33" t="inlineStr">
        <is>
          <t>JÄMTLANDS LÄN</t>
        </is>
      </c>
      <c r="E33" t="inlineStr">
        <is>
          <t>ÖSTERSUND</t>
        </is>
      </c>
      <c r="G33" t="n">
        <v>7.8</v>
      </c>
      <c r="H33" t="n">
        <v>4</v>
      </c>
      <c r="I33" t="n">
        <v>3</v>
      </c>
      <c r="J33" t="n">
        <v>7</v>
      </c>
      <c r="K33" t="n">
        <v>0</v>
      </c>
      <c r="L33" t="n">
        <v>0</v>
      </c>
      <c r="M33" t="n">
        <v>0</v>
      </c>
      <c r="N33" t="n">
        <v>0</v>
      </c>
      <c r="O33" t="n">
        <v>7</v>
      </c>
      <c r="P33" t="n">
        <v>0</v>
      </c>
      <c r="Q33" t="n">
        <v>11</v>
      </c>
      <c r="R33" s="2" t="inlineStr">
        <is>
          <t>Garnlav
Granticka
Lunglav
Skrovellav
Spillkråka
Talltita
Tretåig hackspett
Luddlav
Stuplav
Svavelriska
Blåsippa</t>
        </is>
      </c>
      <c r="S33">
        <f>HYPERLINK("https://klasma.github.io/Logging_2380/artfynd/A 5791-2026 artfynd.xlsx", "A 5791-2026")</f>
        <v/>
      </c>
      <c r="T33">
        <f>HYPERLINK("https://klasma.github.io/Logging_2380/kartor/A 5791-2026 karta.png", "A 5791-2026")</f>
        <v/>
      </c>
      <c r="U33">
        <f>HYPERLINK("https://klasma.github.io/Logging_2380/knärot/A 5791-2026 karta knärot.png", "A 5791-2026")</f>
        <v/>
      </c>
      <c r="V33">
        <f>HYPERLINK("https://klasma.github.io/Logging_2380/klagomål/A 5791-2026 FSC-klagomål.docx", "A 5791-2026")</f>
        <v/>
      </c>
      <c r="W33">
        <f>HYPERLINK("https://klasma.github.io/Logging_2380/klagomålsmail/A 5791-2026 FSC-klagomål mail.docx", "A 5791-2026")</f>
        <v/>
      </c>
      <c r="X33">
        <f>HYPERLINK("https://klasma.github.io/Logging_2380/tillsyn/A 5791-2026 tillsynsbegäran.docx", "A 5791-2026")</f>
        <v/>
      </c>
      <c r="Y33">
        <f>HYPERLINK("https://klasma.github.io/Logging_2380/tillsynsmail/A 5791-2026 tillsynsbegäran mail.docx", "A 5791-2026")</f>
        <v/>
      </c>
      <c r="Z33">
        <f>HYPERLINK("https://klasma.github.io/Logging_2380/fåglar/A 5791-2026 prioriterade fågelarter.docx", "A 5791-2026")</f>
        <v/>
      </c>
    </row>
    <row r="34" ht="15" customHeight="1">
      <c r="A34" t="inlineStr">
        <is>
          <t>A 48030-2025</t>
        </is>
      </c>
      <c r="B34" s="1" t="n">
        <v>45932</v>
      </c>
      <c r="C34" s="1" t="n">
        <v>46188</v>
      </c>
      <c r="D34" t="inlineStr">
        <is>
          <t>JÄMTLANDS LÄN</t>
        </is>
      </c>
      <c r="E34" t="inlineStr">
        <is>
          <t>ÖSTERSUND</t>
        </is>
      </c>
      <c r="G34" t="n">
        <v>6.4</v>
      </c>
      <c r="H34" t="n">
        <v>4</v>
      </c>
      <c r="I34" t="n">
        <v>4</v>
      </c>
      <c r="J34" t="n">
        <v>5</v>
      </c>
      <c r="K34" t="n">
        <v>1</v>
      </c>
      <c r="L34" t="n">
        <v>0</v>
      </c>
      <c r="M34" t="n">
        <v>0</v>
      </c>
      <c r="N34" t="n">
        <v>0</v>
      </c>
      <c r="O34" t="n">
        <v>6</v>
      </c>
      <c r="P34" t="n">
        <v>1</v>
      </c>
      <c r="Q34" t="n">
        <v>11</v>
      </c>
      <c r="R34" s="2" t="inlineStr">
        <is>
          <t>Knärot
Garnlav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7457-2023</t>
        </is>
      </c>
      <c r="B35" s="1" t="n">
        <v>44971</v>
      </c>
      <c r="C35" s="1" t="n">
        <v>46188</v>
      </c>
      <c r="D35" t="inlineStr">
        <is>
          <t>JÄMTLANDS LÄN</t>
        </is>
      </c>
      <c r="E35" t="inlineStr">
        <is>
          <t>ÖSTERSUND</t>
        </is>
      </c>
      <c r="F35" t="inlineStr">
        <is>
          <t>Kommuner</t>
        </is>
      </c>
      <c r="G35" t="n">
        <v>2.5</v>
      </c>
      <c r="H35" t="n">
        <v>0</v>
      </c>
      <c r="I35" t="n">
        <v>3</v>
      </c>
      <c r="J35" t="n">
        <v>6</v>
      </c>
      <c r="K35" t="n">
        <v>1</v>
      </c>
      <c r="L35" t="n">
        <v>0</v>
      </c>
      <c r="M35" t="n">
        <v>0</v>
      </c>
      <c r="N35" t="n">
        <v>0</v>
      </c>
      <c r="O35" t="n">
        <v>7</v>
      </c>
      <c r="P35" t="n">
        <v>1</v>
      </c>
      <c r="Q35" t="n">
        <v>10</v>
      </c>
      <c r="R35" s="2" t="inlineStr">
        <is>
          <t>Ruttaggsvamp
Frygisk spindling
Garnlav
Grantaggsvamp
Tallriska
Ullticka
Äggvaxskivling
Diskvaxskivling
Skarp dropptaggsvamp
Svavelriska</t>
        </is>
      </c>
      <c r="S35">
        <f>HYPERLINK("https://klasma.github.io/Logging_2380/artfynd/A 7457-2023 artfynd.xlsx", "A 7457-2023")</f>
        <v/>
      </c>
      <c r="T35">
        <f>HYPERLINK("https://klasma.github.io/Logging_2380/kartor/A 7457-2023 karta.png", "A 7457-2023")</f>
        <v/>
      </c>
      <c r="V35">
        <f>HYPERLINK("https://klasma.github.io/Logging_2380/klagomål/A 7457-2023 FSC-klagomål.docx", "A 7457-2023")</f>
        <v/>
      </c>
      <c r="W35">
        <f>HYPERLINK("https://klasma.github.io/Logging_2380/klagomålsmail/A 7457-2023 FSC-klagomål mail.docx", "A 7457-2023")</f>
        <v/>
      </c>
      <c r="X35">
        <f>HYPERLINK("https://klasma.github.io/Logging_2380/tillsyn/A 7457-2023 tillsynsbegäran.docx", "A 7457-2023")</f>
        <v/>
      </c>
      <c r="Y35">
        <f>HYPERLINK("https://klasma.github.io/Logging_2380/tillsynsmail/A 7457-2023 tillsynsbegäran mail.docx", "A 7457-2023")</f>
        <v/>
      </c>
    </row>
    <row r="36" ht="15" customHeight="1">
      <c r="A36" t="inlineStr">
        <is>
          <t>A 49056-2025</t>
        </is>
      </c>
      <c r="B36" s="1" t="n">
        <v>45937.64063657408</v>
      </c>
      <c r="C36" s="1" t="n">
        <v>46188</v>
      </c>
      <c r="D36" t="inlineStr">
        <is>
          <t>JÄMTLANDS LÄN</t>
        </is>
      </c>
      <c r="E36" t="inlineStr">
        <is>
          <t>ÖSTERSUND</t>
        </is>
      </c>
      <c r="G36" t="n">
        <v>6.1</v>
      </c>
      <c r="H36" t="n">
        <v>5</v>
      </c>
      <c r="I36" t="n">
        <v>3</v>
      </c>
      <c r="J36" t="n">
        <v>5</v>
      </c>
      <c r="K36" t="n">
        <v>1</v>
      </c>
      <c r="L36" t="n">
        <v>0</v>
      </c>
      <c r="M36" t="n">
        <v>0</v>
      </c>
      <c r="N36" t="n">
        <v>0</v>
      </c>
      <c r="O36" t="n">
        <v>6</v>
      </c>
      <c r="P36" t="n">
        <v>1</v>
      </c>
      <c r="Q36" t="n">
        <v>10</v>
      </c>
      <c r="R36" s="2" t="inlineStr">
        <is>
          <t>Knärot
Garnlav
Granticka
Harticka
Spillkråka
Tretåig hackspett
Grönkulla
Kransrams
Norrlandslav
Blåsippa</t>
        </is>
      </c>
      <c r="S36">
        <f>HYPERLINK("https://klasma.github.io/Logging_2380/artfynd/A 49056-2025 artfynd.xlsx", "A 49056-2025")</f>
        <v/>
      </c>
      <c r="T36">
        <f>HYPERLINK("https://klasma.github.io/Logging_2380/kartor/A 49056-2025 karta.png", "A 49056-2025")</f>
        <v/>
      </c>
      <c r="U36">
        <f>HYPERLINK("https://klasma.github.io/Logging_2380/knärot/A 49056-2025 karta knärot.png", "A 49056-2025")</f>
        <v/>
      </c>
      <c r="V36">
        <f>HYPERLINK("https://klasma.github.io/Logging_2380/klagomål/A 49056-2025 FSC-klagomål.docx", "A 49056-2025")</f>
        <v/>
      </c>
      <c r="W36">
        <f>HYPERLINK("https://klasma.github.io/Logging_2380/klagomålsmail/A 49056-2025 FSC-klagomål mail.docx", "A 49056-2025")</f>
        <v/>
      </c>
      <c r="X36">
        <f>HYPERLINK("https://klasma.github.io/Logging_2380/tillsyn/A 49056-2025 tillsynsbegäran.docx", "A 49056-2025")</f>
        <v/>
      </c>
      <c r="Y36">
        <f>HYPERLINK("https://klasma.github.io/Logging_2380/tillsynsmail/A 49056-2025 tillsynsbegäran mail.docx", "A 49056-2025")</f>
        <v/>
      </c>
      <c r="Z36">
        <f>HYPERLINK("https://klasma.github.io/Logging_2380/fåglar/A 49056-2025 prioriterade fågelarter.docx", "A 49056-2025")</f>
        <v/>
      </c>
    </row>
    <row r="37" ht="15" customHeight="1">
      <c r="A37" t="inlineStr">
        <is>
          <t>A 26796-2024</t>
        </is>
      </c>
      <c r="B37" s="1" t="n">
        <v>45470</v>
      </c>
      <c r="C37" s="1" t="n">
        <v>46188</v>
      </c>
      <c r="D37" t="inlineStr">
        <is>
          <t>JÄMTLANDS LÄN</t>
        </is>
      </c>
      <c r="E37" t="inlineStr">
        <is>
          <t>ÖSTERSUND</t>
        </is>
      </c>
      <c r="G37" t="n">
        <v>13.5</v>
      </c>
      <c r="H37" t="n">
        <v>6</v>
      </c>
      <c r="I37" t="n">
        <v>1</v>
      </c>
      <c r="J37" t="n">
        <v>6</v>
      </c>
      <c r="K37" t="n">
        <v>1</v>
      </c>
      <c r="L37" t="n">
        <v>0</v>
      </c>
      <c r="M37" t="n">
        <v>0</v>
      </c>
      <c r="N37" t="n">
        <v>0</v>
      </c>
      <c r="O37" t="n">
        <v>7</v>
      </c>
      <c r="P37" t="n">
        <v>1</v>
      </c>
      <c r="Q37" t="n">
        <v>10</v>
      </c>
      <c r="R37" s="2" t="inlineStr">
        <is>
          <t>Knärot
Garnlav
Granticka
Harticka
Talltita
Tretåig hackspett
Ullticka
Spindelblomster
Kungsfågel
Revlummer</t>
        </is>
      </c>
      <c r="S37">
        <f>HYPERLINK("https://klasma.github.io/Logging_2380/artfynd/A 26796-2024 artfynd.xlsx", "A 26796-2024")</f>
        <v/>
      </c>
      <c r="T37">
        <f>HYPERLINK("https://klasma.github.io/Logging_2380/kartor/A 26796-2024 karta.png", "A 26796-2024")</f>
        <v/>
      </c>
      <c r="U37">
        <f>HYPERLINK("https://klasma.github.io/Logging_2380/knärot/A 26796-2024 karta knärot.png", "A 26796-2024")</f>
        <v/>
      </c>
      <c r="V37">
        <f>HYPERLINK("https://klasma.github.io/Logging_2380/klagomål/A 26796-2024 FSC-klagomål.docx", "A 26796-2024")</f>
        <v/>
      </c>
      <c r="W37">
        <f>HYPERLINK("https://klasma.github.io/Logging_2380/klagomålsmail/A 26796-2024 FSC-klagomål mail.docx", "A 26796-2024")</f>
        <v/>
      </c>
      <c r="X37">
        <f>HYPERLINK("https://klasma.github.io/Logging_2380/tillsyn/A 26796-2024 tillsynsbegäran.docx", "A 26796-2024")</f>
        <v/>
      </c>
      <c r="Y37">
        <f>HYPERLINK("https://klasma.github.io/Logging_2380/tillsynsmail/A 26796-2024 tillsynsbegäran mail.docx", "A 26796-2024")</f>
        <v/>
      </c>
      <c r="Z37">
        <f>HYPERLINK("https://klasma.github.io/Logging_2380/fåglar/A 26796-2024 prioriterade fågelarter.docx", "A 26796-2024")</f>
        <v/>
      </c>
    </row>
    <row r="38" ht="15" customHeight="1">
      <c r="A38" t="inlineStr">
        <is>
          <t>A 61766-2024</t>
        </is>
      </c>
      <c r="B38" s="1" t="n">
        <v>45649</v>
      </c>
      <c r="C38" s="1" t="n">
        <v>46188</v>
      </c>
      <c r="D38" t="inlineStr">
        <is>
          <t>JÄMTLANDS LÄN</t>
        </is>
      </c>
      <c r="E38" t="inlineStr">
        <is>
          <t>ÖSTERSUND</t>
        </is>
      </c>
      <c r="G38" t="n">
        <v>14.9</v>
      </c>
      <c r="H38" t="n">
        <v>5</v>
      </c>
      <c r="I38" t="n">
        <v>1</v>
      </c>
      <c r="J38" t="n">
        <v>8</v>
      </c>
      <c r="K38" t="n">
        <v>0</v>
      </c>
      <c r="L38" t="n">
        <v>0</v>
      </c>
      <c r="M38" t="n">
        <v>0</v>
      </c>
      <c r="N38" t="n">
        <v>0</v>
      </c>
      <c r="O38" t="n">
        <v>8</v>
      </c>
      <c r="P38" t="n">
        <v>0</v>
      </c>
      <c r="Q38" t="n">
        <v>10</v>
      </c>
      <c r="R38" s="2" t="inlineStr">
        <is>
          <t>Gammelgransskål
Garnlav
Granticka
Järpe
Lunglav
Spillkråka
Talltita
Tretåig hackspett
Luddlav
Revlummer</t>
        </is>
      </c>
      <c r="S38">
        <f>HYPERLINK("https://klasma.github.io/Logging_2380/artfynd/A 61766-2024 artfynd.xlsx", "A 61766-2024")</f>
        <v/>
      </c>
      <c r="T38">
        <f>HYPERLINK("https://klasma.github.io/Logging_2380/kartor/A 61766-2024 karta.png", "A 61766-2024")</f>
        <v/>
      </c>
      <c r="V38">
        <f>HYPERLINK("https://klasma.github.io/Logging_2380/klagomål/A 61766-2024 FSC-klagomål.docx", "A 61766-2024")</f>
        <v/>
      </c>
      <c r="W38">
        <f>HYPERLINK("https://klasma.github.io/Logging_2380/klagomålsmail/A 61766-2024 FSC-klagomål mail.docx", "A 61766-2024")</f>
        <v/>
      </c>
      <c r="X38">
        <f>HYPERLINK("https://klasma.github.io/Logging_2380/tillsyn/A 61766-2024 tillsynsbegäran.docx", "A 61766-2024")</f>
        <v/>
      </c>
      <c r="Y38">
        <f>HYPERLINK("https://klasma.github.io/Logging_2380/tillsynsmail/A 61766-2024 tillsynsbegäran mail.docx", "A 61766-2024")</f>
        <v/>
      </c>
      <c r="Z38">
        <f>HYPERLINK("https://klasma.github.io/Logging_2380/fåglar/A 61766-2024 prioriterade fågelarter.docx", "A 61766-2024")</f>
        <v/>
      </c>
    </row>
    <row r="39" ht="15" customHeight="1">
      <c r="A39" t="inlineStr">
        <is>
          <t>A 16845-2025</t>
        </is>
      </c>
      <c r="B39" s="1" t="n">
        <v>45754.67761574074</v>
      </c>
      <c r="C39" s="1" t="n">
        <v>46188</v>
      </c>
      <c r="D39" t="inlineStr">
        <is>
          <t>JÄMTLANDS LÄN</t>
        </is>
      </c>
      <c r="E39" t="inlineStr">
        <is>
          <t>ÖSTERSUND</t>
        </is>
      </c>
      <c r="F39" t="inlineStr">
        <is>
          <t>SCA</t>
        </is>
      </c>
      <c r="G39" t="n">
        <v>18.1</v>
      </c>
      <c r="H39" t="n">
        <v>0</v>
      </c>
      <c r="I39" t="n">
        <v>1</v>
      </c>
      <c r="J39" t="n">
        <v>9</v>
      </c>
      <c r="K39" t="n">
        <v>0</v>
      </c>
      <c r="L39" t="n">
        <v>0</v>
      </c>
      <c r="M39" t="n">
        <v>0</v>
      </c>
      <c r="N39" t="n">
        <v>0</v>
      </c>
      <c r="O39" t="n">
        <v>9</v>
      </c>
      <c r="P39" t="n">
        <v>0</v>
      </c>
      <c r="Q39" t="n">
        <v>10</v>
      </c>
      <c r="R39" s="2" t="inlineStr">
        <is>
          <t>Dvärgbägarlav
Kortskaftad ärgspik
Mörk kolflarnlav
Nordtagging
Orange taggsvamp
Reliktbock
Skrovlig taggsvamp
Svart taggsvamp agg.
Vedflamlav
Dropptaggsvamp</t>
        </is>
      </c>
      <c r="S39">
        <f>HYPERLINK("https://klasma.github.io/Logging_2380/artfynd/A 16845-2025 artfynd.xlsx", "A 16845-2025")</f>
        <v/>
      </c>
      <c r="T39">
        <f>HYPERLINK("https://klasma.github.io/Logging_2380/kartor/A 16845-2025 karta.png", "A 16845-2025")</f>
        <v/>
      </c>
      <c r="V39">
        <f>HYPERLINK("https://klasma.github.io/Logging_2380/klagomål/A 16845-2025 FSC-klagomål.docx", "A 16845-2025")</f>
        <v/>
      </c>
      <c r="W39">
        <f>HYPERLINK("https://klasma.github.io/Logging_2380/klagomålsmail/A 16845-2025 FSC-klagomål mail.docx", "A 16845-2025")</f>
        <v/>
      </c>
      <c r="X39">
        <f>HYPERLINK("https://klasma.github.io/Logging_2380/tillsyn/A 16845-2025 tillsynsbegäran.docx", "A 16845-2025")</f>
        <v/>
      </c>
      <c r="Y39">
        <f>HYPERLINK("https://klasma.github.io/Logging_2380/tillsynsmail/A 16845-2025 tillsynsbegäran mail.docx", "A 16845-2025")</f>
        <v/>
      </c>
    </row>
    <row r="40" ht="15" customHeight="1">
      <c r="A40" t="inlineStr">
        <is>
          <t>A 34816-2024</t>
        </is>
      </c>
      <c r="B40" s="1" t="n">
        <v>45526</v>
      </c>
      <c r="C40" s="1" t="n">
        <v>46188</v>
      </c>
      <c r="D40" t="inlineStr">
        <is>
          <t>JÄMTLANDS LÄN</t>
        </is>
      </c>
      <c r="E40" t="inlineStr">
        <is>
          <t>ÖSTERSUND</t>
        </is>
      </c>
      <c r="F40" t="inlineStr">
        <is>
          <t>SCA</t>
        </is>
      </c>
      <c r="G40" t="n">
        <v>14.4</v>
      </c>
      <c r="H40" t="n">
        <v>0</v>
      </c>
      <c r="I40" t="n">
        <v>0</v>
      </c>
      <c r="J40" t="n">
        <v>9</v>
      </c>
      <c r="K40" t="n">
        <v>0</v>
      </c>
      <c r="L40" t="n">
        <v>0</v>
      </c>
      <c r="M40" t="n">
        <v>0</v>
      </c>
      <c r="N40" t="n">
        <v>0</v>
      </c>
      <c r="O40" t="n">
        <v>9</v>
      </c>
      <c r="P40" t="n">
        <v>0</v>
      </c>
      <c r="Q40" t="n">
        <v>9</v>
      </c>
      <c r="R40" s="2" t="inlineStr">
        <is>
          <t>Blå taggsvamp
Dvärgbägarlav
Lunglav
Mörk kolflarnlav
Orange taggsvamp
Skrovlig taggsvamp
Stiftgelélav
Svart taggsvamp agg.
Vedskivlav</t>
        </is>
      </c>
      <c r="S40">
        <f>HYPERLINK("https://klasma.github.io/Logging_2380/artfynd/A 34816-2024 artfynd.xlsx", "A 34816-2024")</f>
        <v/>
      </c>
      <c r="T40">
        <f>HYPERLINK("https://klasma.github.io/Logging_2380/kartor/A 34816-2024 karta.png", "A 34816-2024")</f>
        <v/>
      </c>
      <c r="V40">
        <f>HYPERLINK("https://klasma.github.io/Logging_2380/klagomål/A 34816-2024 FSC-klagomål.docx", "A 34816-2024")</f>
        <v/>
      </c>
      <c r="W40">
        <f>HYPERLINK("https://klasma.github.io/Logging_2380/klagomålsmail/A 34816-2024 FSC-klagomål mail.docx", "A 34816-2024")</f>
        <v/>
      </c>
      <c r="X40">
        <f>HYPERLINK("https://klasma.github.io/Logging_2380/tillsyn/A 34816-2024 tillsynsbegäran.docx", "A 34816-2024")</f>
        <v/>
      </c>
      <c r="Y40">
        <f>HYPERLINK("https://klasma.github.io/Logging_2380/tillsynsmail/A 34816-2024 tillsynsbegäran mail.docx", "A 34816-2024")</f>
        <v/>
      </c>
    </row>
    <row r="41" ht="15" customHeight="1">
      <c r="A41" t="inlineStr">
        <is>
          <t>A 27907-2024</t>
        </is>
      </c>
      <c r="B41" s="1" t="n">
        <v>45475.94597222222</v>
      </c>
      <c r="C41" s="1" t="n">
        <v>46188</v>
      </c>
      <c r="D41" t="inlineStr">
        <is>
          <t>JÄMTLANDS LÄN</t>
        </is>
      </c>
      <c r="E41" t="inlineStr">
        <is>
          <t>ÖSTERSUND</t>
        </is>
      </c>
      <c r="F41" t="inlineStr">
        <is>
          <t>SCA</t>
        </is>
      </c>
      <c r="G41" t="n">
        <v>12.7</v>
      </c>
      <c r="H41" t="n">
        <v>0</v>
      </c>
      <c r="I41" t="n">
        <v>1</v>
      </c>
      <c r="J41" t="n">
        <v>6</v>
      </c>
      <c r="K41" t="n">
        <v>2</v>
      </c>
      <c r="L41" t="n">
        <v>0</v>
      </c>
      <c r="M41" t="n">
        <v>0</v>
      </c>
      <c r="N41" t="n">
        <v>0</v>
      </c>
      <c r="O41" t="n">
        <v>8</v>
      </c>
      <c r="P41" t="n">
        <v>2</v>
      </c>
      <c r="Q41" t="n">
        <v>9</v>
      </c>
      <c r="R41" s="2" t="inlineStr">
        <is>
          <t>Goliatmusseron
Jättemusseron
Blå taggsvamp
Dvärgbägarlav
Orange taggsvamp
Skrovlig taggsvamp
Svart taggsvamp agg.
Vedflamlav
Skarp dropptaggsvamp</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row>
    <row r="42" ht="15" customHeight="1">
      <c r="A42" t="inlineStr">
        <is>
          <t>A 51908-2025</t>
        </is>
      </c>
      <c r="B42" s="1" t="n">
        <v>45952.46650462963</v>
      </c>
      <c r="C42" s="1" t="n">
        <v>46188</v>
      </c>
      <c r="D42" t="inlineStr">
        <is>
          <t>JÄMTLANDS LÄN</t>
        </is>
      </c>
      <c r="E42" t="inlineStr">
        <is>
          <t>ÖSTERSUND</t>
        </is>
      </c>
      <c r="G42" t="n">
        <v>14.4</v>
      </c>
      <c r="H42" t="n">
        <v>5</v>
      </c>
      <c r="I42" t="n">
        <v>1</v>
      </c>
      <c r="J42" t="n">
        <v>4</v>
      </c>
      <c r="K42" t="n">
        <v>1</v>
      </c>
      <c r="L42" t="n">
        <v>0</v>
      </c>
      <c r="M42" t="n">
        <v>0</v>
      </c>
      <c r="N42" t="n">
        <v>0</v>
      </c>
      <c r="O42" t="n">
        <v>5</v>
      </c>
      <c r="P42" t="n">
        <v>1</v>
      </c>
      <c r="Q42" t="n">
        <v>9</v>
      </c>
      <c r="R42" s="2" t="inlineStr">
        <is>
          <t>Knärot
Garnlav
Lunglav
Talltita
Ullticka
Stuplav
Kungsfågel
Blåsippa
Revlummer</t>
        </is>
      </c>
      <c r="S42">
        <f>HYPERLINK("https://klasma.github.io/Logging_2380/artfynd/A 51908-2025 artfynd.xlsx", "A 51908-2025")</f>
        <v/>
      </c>
      <c r="T42">
        <f>HYPERLINK("https://klasma.github.io/Logging_2380/kartor/A 51908-2025 karta.png", "A 51908-2025")</f>
        <v/>
      </c>
      <c r="U42">
        <f>HYPERLINK("https://klasma.github.io/Logging_2380/knärot/A 51908-2025 karta knärot.png", "A 51908-2025")</f>
        <v/>
      </c>
      <c r="V42">
        <f>HYPERLINK("https://klasma.github.io/Logging_2380/klagomål/A 51908-2025 FSC-klagomål.docx", "A 51908-2025")</f>
        <v/>
      </c>
      <c r="W42">
        <f>HYPERLINK("https://klasma.github.io/Logging_2380/klagomålsmail/A 51908-2025 FSC-klagomål mail.docx", "A 51908-2025")</f>
        <v/>
      </c>
      <c r="X42">
        <f>HYPERLINK("https://klasma.github.io/Logging_2380/tillsyn/A 51908-2025 tillsynsbegäran.docx", "A 51908-2025")</f>
        <v/>
      </c>
      <c r="Y42">
        <f>HYPERLINK("https://klasma.github.io/Logging_2380/tillsynsmail/A 51908-2025 tillsynsbegäran mail.docx", "A 51908-2025")</f>
        <v/>
      </c>
      <c r="Z42">
        <f>HYPERLINK("https://klasma.github.io/Logging_2380/fåglar/A 51908-2025 prioriterade fågelarter.docx", "A 51908-2025")</f>
        <v/>
      </c>
    </row>
    <row r="43" ht="15" customHeight="1">
      <c r="A43" t="inlineStr">
        <is>
          <t>A 17716-2024</t>
        </is>
      </c>
      <c r="B43" s="1" t="n">
        <v>45415</v>
      </c>
      <c r="C43" s="1" t="n">
        <v>46188</v>
      </c>
      <c r="D43" t="inlineStr">
        <is>
          <t>JÄMTLANDS LÄN</t>
        </is>
      </c>
      <c r="E43" t="inlineStr">
        <is>
          <t>ÖSTERSUND</t>
        </is>
      </c>
      <c r="G43" t="n">
        <v>1.4</v>
      </c>
      <c r="H43" t="n">
        <v>9</v>
      </c>
      <c r="I43" t="n">
        <v>2</v>
      </c>
      <c r="J43" t="n">
        <v>2</v>
      </c>
      <c r="K43" t="n">
        <v>1</v>
      </c>
      <c r="L43" t="n">
        <v>1</v>
      </c>
      <c r="M43" t="n">
        <v>0</v>
      </c>
      <c r="N43" t="n">
        <v>0</v>
      </c>
      <c r="O43" t="n">
        <v>4</v>
      </c>
      <c r="P43" t="n">
        <v>2</v>
      </c>
      <c r="Q43" t="n">
        <v>9</v>
      </c>
      <c r="R43" s="2" t="inlineStr">
        <is>
          <t>Storspov
Knärot
Järpe
Spillkråka
Spindelblomster
Tvåblad
Tjäder
Fläcknycklar
Blåsippa</t>
        </is>
      </c>
      <c r="S43">
        <f>HYPERLINK("https://klasma.github.io/Logging_2380/artfynd/A 17716-2024 artfynd.xlsx", "A 17716-2024")</f>
        <v/>
      </c>
      <c r="T43">
        <f>HYPERLINK("https://klasma.github.io/Logging_2380/kartor/A 17716-2024 karta.png", "A 17716-2024")</f>
        <v/>
      </c>
      <c r="U43">
        <f>HYPERLINK("https://klasma.github.io/Logging_2380/knärot/A 17716-2024 karta knärot.png", "A 17716-2024")</f>
        <v/>
      </c>
      <c r="V43">
        <f>HYPERLINK("https://klasma.github.io/Logging_2380/klagomål/A 17716-2024 FSC-klagomål.docx", "A 17716-2024")</f>
        <v/>
      </c>
      <c r="W43">
        <f>HYPERLINK("https://klasma.github.io/Logging_2380/klagomålsmail/A 17716-2024 FSC-klagomål mail.docx", "A 17716-2024")</f>
        <v/>
      </c>
      <c r="X43">
        <f>HYPERLINK("https://klasma.github.io/Logging_2380/tillsyn/A 17716-2024 tillsynsbegäran.docx", "A 17716-2024")</f>
        <v/>
      </c>
      <c r="Y43">
        <f>HYPERLINK("https://klasma.github.io/Logging_2380/tillsynsmail/A 17716-2024 tillsynsbegäran mail.docx", "A 17716-2024")</f>
        <v/>
      </c>
      <c r="Z43">
        <f>HYPERLINK("https://klasma.github.io/Logging_2380/fåglar/A 17716-2024 prioriterade fågelarter.docx", "A 17716-2024")</f>
        <v/>
      </c>
    </row>
    <row r="44" ht="15" customHeight="1">
      <c r="A44" t="inlineStr">
        <is>
          <t>A 18114-2026</t>
        </is>
      </c>
      <c r="B44" s="1" t="n">
        <v>46125.5738425926</v>
      </c>
      <c r="C44" s="1" t="n">
        <v>46188</v>
      </c>
      <c r="D44" t="inlineStr">
        <is>
          <t>JÄMTLANDS LÄN</t>
        </is>
      </c>
      <c r="E44" t="inlineStr">
        <is>
          <t>ÖSTERSUND</t>
        </is>
      </c>
      <c r="G44" t="n">
        <v>8.300000000000001</v>
      </c>
      <c r="H44" t="n">
        <v>3</v>
      </c>
      <c r="I44" t="n">
        <v>0</v>
      </c>
      <c r="J44" t="n">
        <v>6</v>
      </c>
      <c r="K44" t="n">
        <v>3</v>
      </c>
      <c r="L44" t="n">
        <v>0</v>
      </c>
      <c r="M44" t="n">
        <v>0</v>
      </c>
      <c r="N44" t="n">
        <v>0</v>
      </c>
      <c r="O44" t="n">
        <v>9</v>
      </c>
      <c r="P44" t="n">
        <v>3</v>
      </c>
      <c r="Q44" t="n">
        <v>9</v>
      </c>
      <c r="R44" s="2" t="inlineStr">
        <is>
          <t>Blackticka
Knärot
Rynkskinn
Gammelgransskål
Garnlav
Talltita
Tretåig hackspett
Ullticka
Vitgrynig nållav</t>
        </is>
      </c>
      <c r="S44">
        <f>HYPERLINK("https://klasma.github.io/Logging_2380/artfynd/A 18114-2026 artfynd.xlsx", "A 18114-2026")</f>
        <v/>
      </c>
      <c r="T44">
        <f>HYPERLINK("https://klasma.github.io/Logging_2380/kartor/A 18114-2026 karta.png", "A 18114-2026")</f>
        <v/>
      </c>
      <c r="U44">
        <f>HYPERLINK("https://klasma.github.io/Logging_2380/knärot/A 18114-2026 karta knärot.png", "A 18114-2026")</f>
        <v/>
      </c>
      <c r="V44">
        <f>HYPERLINK("https://klasma.github.io/Logging_2380/klagomål/A 18114-2026 FSC-klagomål.docx", "A 18114-2026")</f>
        <v/>
      </c>
      <c r="W44">
        <f>HYPERLINK("https://klasma.github.io/Logging_2380/klagomålsmail/A 18114-2026 FSC-klagomål mail.docx", "A 18114-2026")</f>
        <v/>
      </c>
      <c r="X44">
        <f>HYPERLINK("https://klasma.github.io/Logging_2380/tillsyn/A 18114-2026 tillsynsbegäran.docx", "A 18114-2026")</f>
        <v/>
      </c>
      <c r="Y44">
        <f>HYPERLINK("https://klasma.github.io/Logging_2380/tillsynsmail/A 18114-2026 tillsynsbegäran mail.docx", "A 18114-2026")</f>
        <v/>
      </c>
      <c r="Z44">
        <f>HYPERLINK("https://klasma.github.io/Logging_2380/fåglar/A 18114-2026 prioriterade fågelarter.docx", "A 18114-2026")</f>
        <v/>
      </c>
    </row>
    <row r="45" ht="15" customHeight="1">
      <c r="A45" t="inlineStr">
        <is>
          <t>A 18942-2026</t>
        </is>
      </c>
      <c r="B45" s="1" t="n">
        <v>46129.57354166666</v>
      </c>
      <c r="C45" s="1" t="n">
        <v>46188</v>
      </c>
      <c r="D45" t="inlineStr">
        <is>
          <t>JÄMTLANDS LÄN</t>
        </is>
      </c>
      <c r="E45" t="inlineStr">
        <is>
          <t>ÖSTERSUND</t>
        </is>
      </c>
      <c r="F45" t="inlineStr">
        <is>
          <t>SCA</t>
        </is>
      </c>
      <c r="G45" t="n">
        <v>2.1</v>
      </c>
      <c r="H45" t="n">
        <v>0</v>
      </c>
      <c r="I45" t="n">
        <v>2</v>
      </c>
      <c r="J45" t="n">
        <v>7</v>
      </c>
      <c r="K45" t="n">
        <v>0</v>
      </c>
      <c r="L45" t="n">
        <v>0</v>
      </c>
      <c r="M45" t="n">
        <v>0</v>
      </c>
      <c r="N45" t="n">
        <v>0</v>
      </c>
      <c r="O45" t="n">
        <v>7</v>
      </c>
      <c r="P45" t="n">
        <v>0</v>
      </c>
      <c r="Q45" t="n">
        <v>9</v>
      </c>
      <c r="R45" s="2" t="inlineStr">
        <is>
          <t>Blågrå svartspik
Dvärgbägarlav
Kolflarnlav
Mörk kolflarnlav
Nordtagging
Vedflamlav
Vedskivlav
Luddlav
Nästlav</t>
        </is>
      </c>
      <c r="S45">
        <f>HYPERLINK("https://klasma.github.io/Logging_2380/artfynd/A 18942-2026 artfynd.xlsx", "A 18942-2026")</f>
        <v/>
      </c>
      <c r="T45">
        <f>HYPERLINK("https://klasma.github.io/Logging_2380/kartor/A 18942-2026 karta.png", "A 18942-2026")</f>
        <v/>
      </c>
      <c r="V45">
        <f>HYPERLINK("https://klasma.github.io/Logging_2380/klagomål/A 18942-2026 FSC-klagomål.docx", "A 18942-2026")</f>
        <v/>
      </c>
      <c r="W45">
        <f>HYPERLINK("https://klasma.github.io/Logging_2380/klagomålsmail/A 18942-2026 FSC-klagomål mail.docx", "A 18942-2026")</f>
        <v/>
      </c>
      <c r="X45">
        <f>HYPERLINK("https://klasma.github.io/Logging_2380/tillsyn/A 18942-2026 tillsynsbegäran.docx", "A 18942-2026")</f>
        <v/>
      </c>
      <c r="Y45">
        <f>HYPERLINK("https://klasma.github.io/Logging_2380/tillsynsmail/A 18942-2026 tillsynsbegäran mail.docx", "A 18942-2026")</f>
        <v/>
      </c>
    </row>
    <row r="46" ht="15" customHeight="1">
      <c r="A46" t="inlineStr">
        <is>
          <t>A 45224-2024</t>
        </is>
      </c>
      <c r="B46" s="1" t="n">
        <v>45575.77440972222</v>
      </c>
      <c r="C46" s="1" t="n">
        <v>46188</v>
      </c>
      <c r="D46" t="inlineStr">
        <is>
          <t>JÄMTLANDS LÄN</t>
        </is>
      </c>
      <c r="E46" t="inlineStr">
        <is>
          <t>ÖSTERSUND</t>
        </is>
      </c>
      <c r="G46" t="n">
        <v>31.6</v>
      </c>
      <c r="H46" t="n">
        <v>5</v>
      </c>
      <c r="I46" t="n">
        <v>4</v>
      </c>
      <c r="J46" t="n">
        <v>3</v>
      </c>
      <c r="K46" t="n">
        <v>0</v>
      </c>
      <c r="L46" t="n">
        <v>0</v>
      </c>
      <c r="M46" t="n">
        <v>0</v>
      </c>
      <c r="N46" t="n">
        <v>0</v>
      </c>
      <c r="O46" t="n">
        <v>3</v>
      </c>
      <c r="P46" t="n">
        <v>0</v>
      </c>
      <c r="Q46" t="n">
        <v>9</v>
      </c>
      <c r="R46" s="2" t="inlineStr">
        <is>
          <t>Garnlav
Talltita
Tretåig hackspett
Gräsull
Guckusko
Strimspindling
Vitvaxing agg.
Tjäder
Blåsippa</t>
        </is>
      </c>
      <c r="S46">
        <f>HYPERLINK("https://klasma.github.io/Logging_2380/artfynd/A 45224-2024 artfynd.xlsx", "A 45224-2024")</f>
        <v/>
      </c>
      <c r="T46">
        <f>HYPERLINK("https://klasma.github.io/Logging_2380/kartor/A 45224-2024 karta.png", "A 45224-2024")</f>
        <v/>
      </c>
      <c r="V46">
        <f>HYPERLINK("https://klasma.github.io/Logging_2380/klagomål/A 45224-2024 FSC-klagomål.docx", "A 45224-2024")</f>
        <v/>
      </c>
      <c r="W46">
        <f>HYPERLINK("https://klasma.github.io/Logging_2380/klagomålsmail/A 45224-2024 FSC-klagomål mail.docx", "A 45224-2024")</f>
        <v/>
      </c>
      <c r="X46">
        <f>HYPERLINK("https://klasma.github.io/Logging_2380/tillsyn/A 45224-2024 tillsynsbegäran.docx", "A 45224-2024")</f>
        <v/>
      </c>
      <c r="Y46">
        <f>HYPERLINK("https://klasma.github.io/Logging_2380/tillsynsmail/A 45224-2024 tillsynsbegäran mail.docx", "A 45224-2024")</f>
        <v/>
      </c>
      <c r="Z46">
        <f>HYPERLINK("https://klasma.github.io/Logging_2380/fåglar/A 45224-2024 prioriterade fågelarter.docx", "A 45224-2024")</f>
        <v/>
      </c>
    </row>
    <row r="47" ht="15" customHeight="1">
      <c r="A47" t="inlineStr">
        <is>
          <t>A 21753-2023</t>
        </is>
      </c>
      <c r="B47" s="1" t="n">
        <v>45063</v>
      </c>
      <c r="C47" s="1" t="n">
        <v>46188</v>
      </c>
      <c r="D47" t="inlineStr">
        <is>
          <t>JÄMTLANDS LÄN</t>
        </is>
      </c>
      <c r="E47" t="inlineStr">
        <is>
          <t>ÖSTERSUND</t>
        </is>
      </c>
      <c r="G47" t="n">
        <v>6.1</v>
      </c>
      <c r="H47" t="n">
        <v>4</v>
      </c>
      <c r="I47" t="n">
        <v>2</v>
      </c>
      <c r="J47" t="n">
        <v>3</v>
      </c>
      <c r="K47" t="n">
        <v>1</v>
      </c>
      <c r="L47" t="n">
        <v>0</v>
      </c>
      <c r="M47" t="n">
        <v>0</v>
      </c>
      <c r="N47" t="n">
        <v>0</v>
      </c>
      <c r="O47" t="n">
        <v>4</v>
      </c>
      <c r="P47" t="n">
        <v>1</v>
      </c>
      <c r="Q47" t="n">
        <v>8</v>
      </c>
      <c r="R47" s="2" t="inlineStr">
        <is>
          <t>Knärot
Flattoppad klubbsvamp
Rosenticka
Ullticka
Rödgul trumpetsvamp
Spindelblomster
Fläcknycklar
Blåsippa</t>
        </is>
      </c>
      <c r="S47">
        <f>HYPERLINK("https://klasma.github.io/Logging_2380/artfynd/A 21753-2023 artfynd.xlsx", "A 21753-2023")</f>
        <v/>
      </c>
      <c r="T47">
        <f>HYPERLINK("https://klasma.github.io/Logging_2380/kartor/A 21753-2023 karta.png", "A 21753-2023")</f>
        <v/>
      </c>
      <c r="U47">
        <f>HYPERLINK("https://klasma.github.io/Logging_2380/knärot/A 21753-2023 karta knärot.png", "A 21753-2023")</f>
        <v/>
      </c>
      <c r="V47">
        <f>HYPERLINK("https://klasma.github.io/Logging_2380/klagomål/A 21753-2023 FSC-klagomål.docx", "A 21753-2023")</f>
        <v/>
      </c>
      <c r="W47">
        <f>HYPERLINK("https://klasma.github.io/Logging_2380/klagomålsmail/A 21753-2023 FSC-klagomål mail.docx", "A 21753-2023")</f>
        <v/>
      </c>
      <c r="X47">
        <f>HYPERLINK("https://klasma.github.io/Logging_2380/tillsyn/A 21753-2023 tillsynsbegäran.docx", "A 21753-2023")</f>
        <v/>
      </c>
      <c r="Y47">
        <f>HYPERLINK("https://klasma.github.io/Logging_2380/tillsynsmail/A 21753-2023 tillsynsbegäran mail.docx", "A 21753-2023")</f>
        <v/>
      </c>
    </row>
    <row r="48" ht="15" customHeight="1">
      <c r="A48" t="inlineStr">
        <is>
          <t>A 56648-2025</t>
        </is>
      </c>
      <c r="B48" s="1" t="n">
        <v>45975</v>
      </c>
      <c r="C48" s="1" t="n">
        <v>46188</v>
      </c>
      <c r="D48" t="inlineStr">
        <is>
          <t>JÄMTLANDS LÄN</t>
        </is>
      </c>
      <c r="E48" t="inlineStr">
        <is>
          <t>ÖSTERSUND</t>
        </is>
      </c>
      <c r="G48" t="n">
        <v>4.3</v>
      </c>
      <c r="H48" t="n">
        <v>4</v>
      </c>
      <c r="I48" t="n">
        <v>1</v>
      </c>
      <c r="J48" t="n">
        <v>6</v>
      </c>
      <c r="K48" t="n">
        <v>0</v>
      </c>
      <c r="L48" t="n">
        <v>0</v>
      </c>
      <c r="M48" t="n">
        <v>0</v>
      </c>
      <c r="N48" t="n">
        <v>0</v>
      </c>
      <c r="O48" t="n">
        <v>6</v>
      </c>
      <c r="P48" t="n">
        <v>0</v>
      </c>
      <c r="Q48" t="n">
        <v>8</v>
      </c>
      <c r="R48" s="2" t="inlineStr">
        <is>
          <t>Garnlav
Granticka
Spillkråka
Talltita
Tretåig hackspett
Ullticka
Stuplav
Revlummer</t>
        </is>
      </c>
      <c r="S48">
        <f>HYPERLINK("https://klasma.github.io/Logging_2380/artfynd/A 56648-2025 artfynd.xlsx", "A 56648-2025")</f>
        <v/>
      </c>
      <c r="T48">
        <f>HYPERLINK("https://klasma.github.io/Logging_2380/kartor/A 56648-2025 karta.png", "A 56648-2025")</f>
        <v/>
      </c>
      <c r="V48">
        <f>HYPERLINK("https://klasma.github.io/Logging_2380/klagomål/A 56648-2025 FSC-klagomål.docx", "A 56648-2025")</f>
        <v/>
      </c>
      <c r="W48">
        <f>HYPERLINK("https://klasma.github.io/Logging_2380/klagomålsmail/A 56648-2025 FSC-klagomål mail.docx", "A 56648-2025")</f>
        <v/>
      </c>
      <c r="X48">
        <f>HYPERLINK("https://klasma.github.io/Logging_2380/tillsyn/A 56648-2025 tillsynsbegäran.docx", "A 56648-2025")</f>
        <v/>
      </c>
      <c r="Y48">
        <f>HYPERLINK("https://klasma.github.io/Logging_2380/tillsynsmail/A 56648-2025 tillsynsbegäran mail.docx", "A 56648-2025")</f>
        <v/>
      </c>
      <c r="Z48">
        <f>HYPERLINK("https://klasma.github.io/Logging_2380/fåglar/A 56648-2025 prioriterade fågelarter.docx", "A 56648-2025")</f>
        <v/>
      </c>
    </row>
    <row r="49" ht="15" customHeight="1">
      <c r="A49" t="inlineStr">
        <is>
          <t>A 63193-2025</t>
        </is>
      </c>
      <c r="B49" s="1" t="n">
        <v>46010.45428240741</v>
      </c>
      <c r="C49" s="1" t="n">
        <v>46188</v>
      </c>
      <c r="D49" t="inlineStr">
        <is>
          <t>JÄMTLANDS LÄN</t>
        </is>
      </c>
      <c r="E49" t="inlineStr">
        <is>
          <t>ÖSTERSUND</t>
        </is>
      </c>
      <c r="G49" t="n">
        <v>9</v>
      </c>
      <c r="H49" t="n">
        <v>1</v>
      </c>
      <c r="I49" t="n">
        <v>1</v>
      </c>
      <c r="J49" t="n">
        <v>7</v>
      </c>
      <c r="K49" t="n">
        <v>0</v>
      </c>
      <c r="L49" t="n">
        <v>0</v>
      </c>
      <c r="M49" t="n">
        <v>0</v>
      </c>
      <c r="N49" t="n">
        <v>0</v>
      </c>
      <c r="O49" t="n">
        <v>7</v>
      </c>
      <c r="P49" t="n">
        <v>0</v>
      </c>
      <c r="Q49" t="n">
        <v>8</v>
      </c>
      <c r="R49" s="2" t="inlineStr">
        <is>
          <t>Garnlav
Granticka
Harticka
Lunglav
Skrovellav
Tretåig hackspett
Ullticka
Kransrams</t>
        </is>
      </c>
      <c r="S49">
        <f>HYPERLINK("https://klasma.github.io/Logging_2380/artfynd/A 63193-2025 artfynd.xlsx", "A 63193-2025")</f>
        <v/>
      </c>
      <c r="T49">
        <f>HYPERLINK("https://klasma.github.io/Logging_2380/kartor/A 63193-2025 karta.png", "A 63193-2025")</f>
        <v/>
      </c>
      <c r="U49">
        <f>HYPERLINK("https://klasma.github.io/Logging_2380/knärot/A 63193-2025 karta knärot.png", "A 63193-2025")</f>
        <v/>
      </c>
      <c r="V49">
        <f>HYPERLINK("https://klasma.github.io/Logging_2380/klagomål/A 63193-2025 FSC-klagomål.docx", "A 63193-2025")</f>
        <v/>
      </c>
      <c r="W49">
        <f>HYPERLINK("https://klasma.github.io/Logging_2380/klagomålsmail/A 63193-2025 FSC-klagomål mail.docx", "A 63193-2025")</f>
        <v/>
      </c>
      <c r="X49">
        <f>HYPERLINK("https://klasma.github.io/Logging_2380/tillsyn/A 63193-2025 tillsynsbegäran.docx", "A 63193-2025")</f>
        <v/>
      </c>
      <c r="Y49">
        <f>HYPERLINK("https://klasma.github.io/Logging_2380/tillsynsmail/A 63193-2025 tillsynsbegäran mail.docx", "A 63193-2025")</f>
        <v/>
      </c>
      <c r="Z49">
        <f>HYPERLINK("https://klasma.github.io/Logging_2380/fåglar/A 63193-2025 prioriterade fågelarter.docx", "A 63193-2025")</f>
        <v/>
      </c>
    </row>
    <row r="50" ht="15" customHeight="1">
      <c r="A50" t="inlineStr">
        <is>
          <t>A 3894-2026</t>
        </is>
      </c>
      <c r="B50" s="1" t="n">
        <v>46043.67922453704</v>
      </c>
      <c r="C50" s="1" t="n">
        <v>46188</v>
      </c>
      <c r="D50" t="inlineStr">
        <is>
          <t>JÄMTLANDS LÄN</t>
        </is>
      </c>
      <c r="E50" t="inlineStr">
        <is>
          <t>ÖSTERSUND</t>
        </is>
      </c>
      <c r="G50" t="n">
        <v>3.5</v>
      </c>
      <c r="H50" t="n">
        <v>2</v>
      </c>
      <c r="I50" t="n">
        <v>1</v>
      </c>
      <c r="J50" t="n">
        <v>6</v>
      </c>
      <c r="K50" t="n">
        <v>1</v>
      </c>
      <c r="L50" t="n">
        <v>0</v>
      </c>
      <c r="M50" t="n">
        <v>0</v>
      </c>
      <c r="N50" t="n">
        <v>0</v>
      </c>
      <c r="O50" t="n">
        <v>7</v>
      </c>
      <c r="P50" t="n">
        <v>1</v>
      </c>
      <c r="Q50" t="n">
        <v>8</v>
      </c>
      <c r="R50" s="2" t="inlineStr">
        <is>
          <t>Rynkskinn
Garnlav
Granticka
Lunglav
Talltita
Tretåig hackspett
Vitgrynig nållav
Trådticka</t>
        </is>
      </c>
      <c r="S50">
        <f>HYPERLINK("https://klasma.github.io/Logging_2380/artfynd/A 3894-2026 artfynd.xlsx", "A 3894-2026")</f>
        <v/>
      </c>
      <c r="T50">
        <f>HYPERLINK("https://klasma.github.io/Logging_2380/kartor/A 3894-2026 karta.png", "A 3894-2026")</f>
        <v/>
      </c>
      <c r="V50">
        <f>HYPERLINK("https://klasma.github.io/Logging_2380/klagomål/A 3894-2026 FSC-klagomål.docx", "A 3894-2026")</f>
        <v/>
      </c>
      <c r="W50">
        <f>HYPERLINK("https://klasma.github.io/Logging_2380/klagomålsmail/A 3894-2026 FSC-klagomål mail.docx", "A 3894-2026")</f>
        <v/>
      </c>
      <c r="X50">
        <f>HYPERLINK("https://klasma.github.io/Logging_2380/tillsyn/A 3894-2026 tillsynsbegäran.docx", "A 3894-2026")</f>
        <v/>
      </c>
      <c r="Y50">
        <f>HYPERLINK("https://klasma.github.io/Logging_2380/tillsynsmail/A 3894-2026 tillsynsbegäran mail.docx", "A 3894-2026")</f>
        <v/>
      </c>
      <c r="Z50">
        <f>HYPERLINK("https://klasma.github.io/Logging_2380/fåglar/A 3894-2026 prioriterade fågelarter.docx", "A 3894-2026")</f>
        <v/>
      </c>
    </row>
    <row r="51" ht="15" customHeight="1">
      <c r="A51" t="inlineStr">
        <is>
          <t>A 10196-2026</t>
        </is>
      </c>
      <c r="B51" s="1" t="n">
        <v>46076.46630787037</v>
      </c>
      <c r="C51" s="1" t="n">
        <v>46188</v>
      </c>
      <c r="D51" t="inlineStr">
        <is>
          <t>JÄMTLANDS LÄN</t>
        </is>
      </c>
      <c r="E51" t="inlineStr">
        <is>
          <t>ÖSTERSUND</t>
        </is>
      </c>
      <c r="G51" t="n">
        <v>3.2</v>
      </c>
      <c r="H51" t="n">
        <v>4</v>
      </c>
      <c r="I51" t="n">
        <v>1</v>
      </c>
      <c r="J51" t="n">
        <v>6</v>
      </c>
      <c r="K51" t="n">
        <v>1</v>
      </c>
      <c r="L51" t="n">
        <v>0</v>
      </c>
      <c r="M51" t="n">
        <v>0</v>
      </c>
      <c r="N51" t="n">
        <v>0</v>
      </c>
      <c r="O51" t="n">
        <v>7</v>
      </c>
      <c r="P51" t="n">
        <v>1</v>
      </c>
      <c r="Q51" t="n">
        <v>8</v>
      </c>
      <c r="R51" s="2" t="inlineStr">
        <is>
          <t>Knärot
Garnlav
Järpe
Liten svartspik
Talltita
Tretåig hackspett
Vitgrynig nållav
Vedticka</t>
        </is>
      </c>
      <c r="S51">
        <f>HYPERLINK("https://klasma.github.io/Logging_2380/artfynd/A 10196-2026 artfynd.xlsx", "A 10196-2026")</f>
        <v/>
      </c>
      <c r="T51">
        <f>HYPERLINK("https://klasma.github.io/Logging_2380/kartor/A 10196-2026 karta.png", "A 10196-2026")</f>
        <v/>
      </c>
      <c r="U51">
        <f>HYPERLINK("https://klasma.github.io/Logging_2380/knärot/A 10196-2026 karta knärot.png", "A 10196-2026")</f>
        <v/>
      </c>
      <c r="V51">
        <f>HYPERLINK("https://klasma.github.io/Logging_2380/klagomål/A 10196-2026 FSC-klagomål.docx", "A 10196-2026")</f>
        <v/>
      </c>
      <c r="W51">
        <f>HYPERLINK("https://klasma.github.io/Logging_2380/klagomålsmail/A 10196-2026 FSC-klagomål mail.docx", "A 10196-2026")</f>
        <v/>
      </c>
      <c r="X51">
        <f>HYPERLINK("https://klasma.github.io/Logging_2380/tillsyn/A 10196-2026 tillsynsbegäran.docx", "A 10196-2026")</f>
        <v/>
      </c>
      <c r="Y51">
        <f>HYPERLINK("https://klasma.github.io/Logging_2380/tillsynsmail/A 10196-2026 tillsynsbegäran mail.docx", "A 10196-2026")</f>
        <v/>
      </c>
      <c r="Z51">
        <f>HYPERLINK("https://klasma.github.io/Logging_2380/fåglar/A 10196-2026 prioriterade fågelarter.docx", "A 10196-2026")</f>
        <v/>
      </c>
    </row>
    <row r="52" ht="15" customHeight="1">
      <c r="A52" t="inlineStr">
        <is>
          <t>A 19444-2026</t>
        </is>
      </c>
      <c r="B52" s="1" t="n">
        <v>46133.65690972222</v>
      </c>
      <c r="C52" s="1" t="n">
        <v>46188</v>
      </c>
      <c r="D52" t="inlineStr">
        <is>
          <t>JÄMTLANDS LÄN</t>
        </is>
      </c>
      <c r="E52" t="inlineStr">
        <is>
          <t>ÖSTERSUND</t>
        </is>
      </c>
      <c r="F52" t="inlineStr">
        <is>
          <t>SCA</t>
        </is>
      </c>
      <c r="G52" t="n">
        <v>1.2</v>
      </c>
      <c r="H52" t="n">
        <v>5</v>
      </c>
      <c r="I52" t="n">
        <v>4</v>
      </c>
      <c r="J52" t="n">
        <v>3</v>
      </c>
      <c r="K52" t="n">
        <v>0</v>
      </c>
      <c r="L52" t="n">
        <v>0</v>
      </c>
      <c r="M52" t="n">
        <v>0</v>
      </c>
      <c r="N52" t="n">
        <v>0</v>
      </c>
      <c r="O52" t="n">
        <v>3</v>
      </c>
      <c r="P52" t="n">
        <v>0</v>
      </c>
      <c r="Q52" t="n">
        <v>8</v>
      </c>
      <c r="R52" s="2" t="inlineStr">
        <is>
          <t>Brunpudrad nållav
Garnlav
Ullticka
Grönkulla
Korallrot
Spindelblomster
Tvåblad
Fläcknycklar</t>
        </is>
      </c>
      <c r="S52">
        <f>HYPERLINK("https://klasma.github.io/Logging_2380/artfynd/A 19444-2026 artfynd.xlsx", "A 19444-2026")</f>
        <v/>
      </c>
      <c r="T52">
        <f>HYPERLINK("https://klasma.github.io/Logging_2380/kartor/A 19444-2026 karta.png", "A 19444-2026")</f>
        <v/>
      </c>
      <c r="V52">
        <f>HYPERLINK("https://klasma.github.io/Logging_2380/klagomål/A 19444-2026 FSC-klagomål.docx", "A 19444-2026")</f>
        <v/>
      </c>
      <c r="W52">
        <f>HYPERLINK("https://klasma.github.io/Logging_2380/klagomålsmail/A 19444-2026 FSC-klagomål mail.docx", "A 19444-2026")</f>
        <v/>
      </c>
      <c r="X52">
        <f>HYPERLINK("https://klasma.github.io/Logging_2380/tillsyn/A 19444-2026 tillsynsbegäran.docx", "A 19444-2026")</f>
        <v/>
      </c>
      <c r="Y52">
        <f>HYPERLINK("https://klasma.github.io/Logging_2380/tillsynsmail/A 19444-2026 tillsynsbegäran mail.docx", "A 19444-2026")</f>
        <v/>
      </c>
    </row>
    <row r="53" ht="15" customHeight="1">
      <c r="A53" t="inlineStr">
        <is>
          <t>A 40777-2023</t>
        </is>
      </c>
      <c r="B53" s="1" t="n">
        <v>45170</v>
      </c>
      <c r="C53" s="1" t="n">
        <v>46188</v>
      </c>
      <c r="D53" t="inlineStr">
        <is>
          <t>JÄMTLANDS LÄN</t>
        </is>
      </c>
      <c r="E53" t="inlineStr">
        <is>
          <t>ÖSTERSUND</t>
        </is>
      </c>
      <c r="F53" t="inlineStr">
        <is>
          <t>SCA</t>
        </is>
      </c>
      <c r="G53" t="n">
        <v>16.4</v>
      </c>
      <c r="H53" t="n">
        <v>3</v>
      </c>
      <c r="I53" t="n">
        <v>1</v>
      </c>
      <c r="J53" t="n">
        <v>5</v>
      </c>
      <c r="K53" t="n">
        <v>1</v>
      </c>
      <c r="L53" t="n">
        <v>0</v>
      </c>
      <c r="M53" t="n">
        <v>0</v>
      </c>
      <c r="N53" t="n">
        <v>0</v>
      </c>
      <c r="O53" t="n">
        <v>6</v>
      </c>
      <c r="P53" t="n">
        <v>1</v>
      </c>
      <c r="Q53" t="n">
        <v>8</v>
      </c>
      <c r="R53" s="2" t="inlineStr">
        <is>
          <t>Doftticka
Kungsörn
Lunglav
Stiftgelélav
Veckticka
Vedtrappmossa
Korallblylav
Blåsippa</t>
        </is>
      </c>
      <c r="S53">
        <f>HYPERLINK("https://klasma.github.io/Logging_2380/artfynd/A 40777-2023 artfynd.xlsx", "A 40777-2023")</f>
        <v/>
      </c>
      <c r="T53">
        <f>HYPERLINK("https://klasma.github.io/Logging_2380/kartor/A 40777-2023 karta.png", "A 40777-2023")</f>
        <v/>
      </c>
      <c r="V53">
        <f>HYPERLINK("https://klasma.github.io/Logging_2380/klagomål/A 40777-2023 FSC-klagomål.docx", "A 40777-2023")</f>
        <v/>
      </c>
      <c r="W53">
        <f>HYPERLINK("https://klasma.github.io/Logging_2380/klagomålsmail/A 40777-2023 FSC-klagomål mail.docx", "A 40777-2023")</f>
        <v/>
      </c>
      <c r="X53">
        <f>HYPERLINK("https://klasma.github.io/Logging_2380/tillsyn/A 40777-2023 tillsynsbegäran.docx", "A 40777-2023")</f>
        <v/>
      </c>
      <c r="Y53">
        <f>HYPERLINK("https://klasma.github.io/Logging_2380/tillsynsmail/A 40777-2023 tillsynsbegäran mail.docx", "A 40777-2023")</f>
        <v/>
      </c>
      <c r="Z53">
        <f>HYPERLINK("https://klasma.github.io/Logging_2380/fåglar/A 40777-2023 prioriterade fågelarter.docx", "A 40777-2023")</f>
        <v/>
      </c>
    </row>
    <row r="54" ht="15" customHeight="1">
      <c r="A54" t="inlineStr">
        <is>
          <t>A 7710-2024</t>
        </is>
      </c>
      <c r="B54" s="1" t="n">
        <v>45349</v>
      </c>
      <c r="C54" s="1" t="n">
        <v>46188</v>
      </c>
      <c r="D54" t="inlineStr">
        <is>
          <t>JÄMTLANDS LÄN</t>
        </is>
      </c>
      <c r="E54" t="inlineStr">
        <is>
          <t>ÖSTERSUND</t>
        </is>
      </c>
      <c r="F54" t="inlineStr">
        <is>
          <t>Övriga Aktiebolag</t>
        </is>
      </c>
      <c r="G54" t="n">
        <v>0.7</v>
      </c>
      <c r="H54" t="n">
        <v>7</v>
      </c>
      <c r="I54" t="n">
        <v>3</v>
      </c>
      <c r="J54" t="n">
        <v>2</v>
      </c>
      <c r="K54" t="n">
        <v>0</v>
      </c>
      <c r="L54" t="n">
        <v>0</v>
      </c>
      <c r="M54" t="n">
        <v>0</v>
      </c>
      <c r="N54" t="n">
        <v>0</v>
      </c>
      <c r="O54" t="n">
        <v>2</v>
      </c>
      <c r="P54" t="n">
        <v>0</v>
      </c>
      <c r="Q54" t="n">
        <v>8</v>
      </c>
      <c r="R54" s="2" t="inlineStr">
        <is>
          <t>Garnlav
Talltita
Guckusko
Spindelblomster
Tvåblad
Brudsporre
Fläcknycklar
Revlummer</t>
        </is>
      </c>
      <c r="S54">
        <f>HYPERLINK("https://klasma.github.io/Logging_2380/artfynd/A 7710-2024 artfynd.xlsx", "A 7710-2024")</f>
        <v/>
      </c>
      <c r="T54">
        <f>HYPERLINK("https://klasma.github.io/Logging_2380/kartor/A 7710-2024 karta.png", "A 7710-2024")</f>
        <v/>
      </c>
      <c r="V54">
        <f>HYPERLINK("https://klasma.github.io/Logging_2380/klagomål/A 7710-2024 FSC-klagomål.docx", "A 7710-2024")</f>
        <v/>
      </c>
      <c r="W54">
        <f>HYPERLINK("https://klasma.github.io/Logging_2380/klagomålsmail/A 7710-2024 FSC-klagomål mail.docx", "A 7710-2024")</f>
        <v/>
      </c>
      <c r="X54">
        <f>HYPERLINK("https://klasma.github.io/Logging_2380/tillsyn/A 7710-2024 tillsynsbegäran.docx", "A 7710-2024")</f>
        <v/>
      </c>
      <c r="Y54">
        <f>HYPERLINK("https://klasma.github.io/Logging_2380/tillsynsmail/A 7710-2024 tillsynsbegäran mail.docx", "A 7710-2024")</f>
        <v/>
      </c>
      <c r="Z54">
        <f>HYPERLINK("https://klasma.github.io/Logging_2380/fåglar/A 7710-2024 prioriterade fågelarter.docx", "A 7710-2024")</f>
        <v/>
      </c>
    </row>
    <row r="55" ht="15" customHeight="1">
      <c r="A55" t="inlineStr">
        <is>
          <t>A 39735-2021</t>
        </is>
      </c>
      <c r="B55" s="1" t="n">
        <v>44414</v>
      </c>
      <c r="C55" s="1" t="n">
        <v>46188</v>
      </c>
      <c r="D55" t="inlineStr">
        <is>
          <t>JÄMTLANDS LÄN</t>
        </is>
      </c>
      <c r="E55" t="inlineStr">
        <is>
          <t>ÖSTERSUND</t>
        </is>
      </c>
      <c r="G55" t="n">
        <v>4.5</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39735-2021 artfynd.xlsx", "A 39735-2021")</f>
        <v/>
      </c>
      <c r="T55">
        <f>HYPERLINK("https://klasma.github.io/Logging_2380/kartor/A 39735-2021 karta.png", "A 39735-2021")</f>
        <v/>
      </c>
      <c r="V55">
        <f>HYPERLINK("https://klasma.github.io/Logging_2380/klagomål/A 39735-2021 FSC-klagomål.docx", "A 39735-2021")</f>
        <v/>
      </c>
      <c r="W55">
        <f>HYPERLINK("https://klasma.github.io/Logging_2380/klagomålsmail/A 39735-2021 FSC-klagomål mail.docx", "A 39735-2021")</f>
        <v/>
      </c>
      <c r="X55">
        <f>HYPERLINK("https://klasma.github.io/Logging_2380/tillsyn/A 39735-2021 tillsynsbegäran.docx", "A 39735-2021")</f>
        <v/>
      </c>
      <c r="Y55">
        <f>HYPERLINK("https://klasma.github.io/Logging_2380/tillsynsmail/A 39735-2021 tillsynsbegäran mail.docx", "A 39735-2021")</f>
        <v/>
      </c>
      <c r="Z55">
        <f>HYPERLINK("https://klasma.github.io/Logging_2380/fåglar/A 39735-2021 prioriterade fågelarter.docx", "A 39735-2021")</f>
        <v/>
      </c>
    </row>
    <row r="56" ht="15" customHeight="1">
      <c r="A56" t="inlineStr">
        <is>
          <t>A 26372-2025</t>
        </is>
      </c>
      <c r="B56" s="1" t="n">
        <v>45806</v>
      </c>
      <c r="C56" s="1" t="n">
        <v>46188</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53292-2025</t>
        </is>
      </c>
      <c r="B57" s="1" t="n">
        <v>45958</v>
      </c>
      <c r="C57" s="1" t="n">
        <v>46188</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3512-2026</t>
        </is>
      </c>
      <c r="B58" s="1" t="n">
        <v>46042.58655092592</v>
      </c>
      <c r="C58" s="1" t="n">
        <v>46188</v>
      </c>
      <c r="D58" t="inlineStr">
        <is>
          <t>JÄMTLANDS LÄN</t>
        </is>
      </c>
      <c r="E58" t="inlineStr">
        <is>
          <t>ÖSTERSUND</t>
        </is>
      </c>
      <c r="G58" t="n">
        <v>5.7</v>
      </c>
      <c r="H58" t="n">
        <v>2</v>
      </c>
      <c r="I58" t="n">
        <v>1</v>
      </c>
      <c r="J58" t="n">
        <v>6</v>
      </c>
      <c r="K58" t="n">
        <v>0</v>
      </c>
      <c r="L58" t="n">
        <v>0</v>
      </c>
      <c r="M58" t="n">
        <v>0</v>
      </c>
      <c r="N58" t="n">
        <v>0</v>
      </c>
      <c r="O58" t="n">
        <v>6</v>
      </c>
      <c r="P58" t="n">
        <v>0</v>
      </c>
      <c r="Q58" t="n">
        <v>7</v>
      </c>
      <c r="R58" s="2" t="inlineStr">
        <is>
          <t>Garnlav
Kolflarnlav
Slåtterfibbla
Talltita
Tretåig hackspett
Vitgrynig nållav
Skinnlav</t>
        </is>
      </c>
      <c r="S58">
        <f>HYPERLINK("https://klasma.github.io/Logging_2380/artfynd/A 3512-2026 artfynd.xlsx", "A 3512-2026")</f>
        <v/>
      </c>
      <c r="T58">
        <f>HYPERLINK("https://klasma.github.io/Logging_2380/kartor/A 3512-2026 karta.png", "A 3512-2026")</f>
        <v/>
      </c>
      <c r="V58">
        <f>HYPERLINK("https://klasma.github.io/Logging_2380/klagomål/A 3512-2026 FSC-klagomål.docx", "A 3512-2026")</f>
        <v/>
      </c>
      <c r="W58">
        <f>HYPERLINK("https://klasma.github.io/Logging_2380/klagomålsmail/A 3512-2026 FSC-klagomål mail.docx", "A 3512-2026")</f>
        <v/>
      </c>
      <c r="X58">
        <f>HYPERLINK("https://klasma.github.io/Logging_2380/tillsyn/A 3512-2026 tillsynsbegäran.docx", "A 3512-2026")</f>
        <v/>
      </c>
      <c r="Y58">
        <f>HYPERLINK("https://klasma.github.io/Logging_2380/tillsynsmail/A 3512-2026 tillsynsbegäran mail.docx", "A 3512-2026")</f>
        <v/>
      </c>
      <c r="Z58">
        <f>HYPERLINK("https://klasma.github.io/Logging_2380/fåglar/A 3512-2026 prioriterade fågelarter.docx", "A 3512-2026")</f>
        <v/>
      </c>
    </row>
    <row r="59" ht="15" customHeight="1">
      <c r="A59" t="inlineStr">
        <is>
          <t>A 10058-2026</t>
        </is>
      </c>
      <c r="B59" s="1" t="n">
        <v>46073.62262731481</v>
      </c>
      <c r="C59" s="1" t="n">
        <v>46188</v>
      </c>
      <c r="D59" t="inlineStr">
        <is>
          <t>JÄMTLANDS LÄN</t>
        </is>
      </c>
      <c r="E59" t="inlineStr">
        <is>
          <t>ÖSTERSUND</t>
        </is>
      </c>
      <c r="G59" t="n">
        <v>3.2</v>
      </c>
      <c r="H59" t="n">
        <v>2</v>
      </c>
      <c r="I59" t="n">
        <v>0</v>
      </c>
      <c r="J59" t="n">
        <v>6</v>
      </c>
      <c r="K59" t="n">
        <v>1</v>
      </c>
      <c r="L59" t="n">
        <v>0</v>
      </c>
      <c r="M59" t="n">
        <v>0</v>
      </c>
      <c r="N59" t="n">
        <v>0</v>
      </c>
      <c r="O59" t="n">
        <v>7</v>
      </c>
      <c r="P59" t="n">
        <v>1</v>
      </c>
      <c r="Q59" t="n">
        <v>7</v>
      </c>
      <c r="R59" s="2" t="inlineStr">
        <is>
          <t>Knärot
Doftskinn
Harticka
Liten svartspik
Tretåig hackspett
Ullticka
Vitgrynig nållav</t>
        </is>
      </c>
      <c r="S59">
        <f>HYPERLINK("https://klasma.github.io/Logging_2380/artfynd/A 10058-2026 artfynd.xlsx", "A 10058-2026")</f>
        <v/>
      </c>
      <c r="T59">
        <f>HYPERLINK("https://klasma.github.io/Logging_2380/kartor/A 10058-2026 karta.png", "A 10058-2026")</f>
        <v/>
      </c>
      <c r="U59">
        <f>HYPERLINK("https://klasma.github.io/Logging_2380/knärot/A 10058-2026 karta knärot.png", "A 10058-2026")</f>
        <v/>
      </c>
      <c r="V59">
        <f>HYPERLINK("https://klasma.github.io/Logging_2380/klagomål/A 10058-2026 FSC-klagomål.docx", "A 10058-2026")</f>
        <v/>
      </c>
      <c r="W59">
        <f>HYPERLINK("https://klasma.github.io/Logging_2380/klagomålsmail/A 10058-2026 FSC-klagomål mail.docx", "A 10058-2026")</f>
        <v/>
      </c>
      <c r="X59">
        <f>HYPERLINK("https://klasma.github.io/Logging_2380/tillsyn/A 10058-2026 tillsynsbegäran.docx", "A 10058-2026")</f>
        <v/>
      </c>
      <c r="Y59">
        <f>HYPERLINK("https://klasma.github.io/Logging_2380/tillsynsmail/A 10058-2026 tillsynsbegäran mail.docx", "A 10058-2026")</f>
        <v/>
      </c>
      <c r="Z59">
        <f>HYPERLINK("https://klasma.github.io/Logging_2380/fåglar/A 10058-2026 prioriterade fågelarter.docx", "A 10058-2026")</f>
        <v/>
      </c>
    </row>
    <row r="60" ht="15" customHeight="1">
      <c r="A60" t="inlineStr">
        <is>
          <t>A 39586-2025</t>
        </is>
      </c>
      <c r="B60" s="1" t="n">
        <v>45890</v>
      </c>
      <c r="C60" s="1" t="n">
        <v>46188</v>
      </c>
      <c r="D60" t="inlineStr">
        <is>
          <t>JÄMTLANDS LÄN</t>
        </is>
      </c>
      <c r="E60" t="inlineStr">
        <is>
          <t>ÖSTERSUND</t>
        </is>
      </c>
      <c r="G60" t="n">
        <v>4.6</v>
      </c>
      <c r="H60" t="n">
        <v>2</v>
      </c>
      <c r="I60" t="n">
        <v>0</v>
      </c>
      <c r="J60" t="n">
        <v>7</v>
      </c>
      <c r="K60" t="n">
        <v>0</v>
      </c>
      <c r="L60" t="n">
        <v>0</v>
      </c>
      <c r="M60" t="n">
        <v>0</v>
      </c>
      <c r="N60" t="n">
        <v>0</v>
      </c>
      <c r="O60" t="n">
        <v>7</v>
      </c>
      <c r="P60" t="n">
        <v>0</v>
      </c>
      <c r="Q60" t="n">
        <v>7</v>
      </c>
      <c r="R60" s="2" t="inlineStr">
        <is>
          <t>Gammelgransskål
Garnlav
Harticka
Talltita
Tretåig hackspett
Vitgrynig nållav
Äggvaxskivling</t>
        </is>
      </c>
      <c r="S60">
        <f>HYPERLINK("https://klasma.github.io/Logging_2380/artfynd/A 39586-2025 artfynd.xlsx", "A 39586-2025")</f>
        <v/>
      </c>
      <c r="T60">
        <f>HYPERLINK("https://klasma.github.io/Logging_2380/kartor/A 39586-2025 karta.png", "A 39586-2025")</f>
        <v/>
      </c>
      <c r="V60">
        <f>HYPERLINK("https://klasma.github.io/Logging_2380/klagomål/A 39586-2025 FSC-klagomål.docx", "A 39586-2025")</f>
        <v/>
      </c>
      <c r="W60">
        <f>HYPERLINK("https://klasma.github.io/Logging_2380/klagomålsmail/A 39586-2025 FSC-klagomål mail.docx", "A 39586-2025")</f>
        <v/>
      </c>
      <c r="X60">
        <f>HYPERLINK("https://klasma.github.io/Logging_2380/tillsyn/A 39586-2025 tillsynsbegäran.docx", "A 39586-2025")</f>
        <v/>
      </c>
      <c r="Y60">
        <f>HYPERLINK("https://klasma.github.io/Logging_2380/tillsynsmail/A 39586-2025 tillsynsbegäran mail.docx", "A 39586-2025")</f>
        <v/>
      </c>
      <c r="Z60">
        <f>HYPERLINK("https://klasma.github.io/Logging_2380/fåglar/A 39586-2025 prioriterade fågelarter.docx", "A 39586-2025")</f>
        <v/>
      </c>
    </row>
    <row r="61" ht="15" customHeight="1">
      <c r="A61" t="inlineStr">
        <is>
          <t>A 16369-2023</t>
        </is>
      </c>
      <c r="B61" s="1" t="n">
        <v>45028</v>
      </c>
      <c r="C61" s="1" t="n">
        <v>46188</v>
      </c>
      <c r="D61" t="inlineStr">
        <is>
          <t>JÄMTLANDS LÄN</t>
        </is>
      </c>
      <c r="E61" t="inlineStr">
        <is>
          <t>ÖSTERSUND</t>
        </is>
      </c>
      <c r="F61" t="inlineStr">
        <is>
          <t>SCA</t>
        </is>
      </c>
      <c r="G61" t="n">
        <v>4.6</v>
      </c>
      <c r="H61" t="n">
        <v>1</v>
      </c>
      <c r="I61" t="n">
        <v>1</v>
      </c>
      <c r="J61" t="n">
        <v>4</v>
      </c>
      <c r="K61" t="n">
        <v>1</v>
      </c>
      <c r="L61" t="n">
        <v>0</v>
      </c>
      <c r="M61" t="n">
        <v>0</v>
      </c>
      <c r="N61" t="n">
        <v>0</v>
      </c>
      <c r="O61" t="n">
        <v>5</v>
      </c>
      <c r="P61" t="n">
        <v>1</v>
      </c>
      <c r="Q61" t="n">
        <v>7</v>
      </c>
      <c r="R61" s="2" t="inlineStr">
        <is>
          <t>Rynkskinn
Flattoppad klubbsvamp
Granticka
Gränsticka
Ullticka
Rödgul trumpetsvamp
Blåsippa</t>
        </is>
      </c>
      <c r="S61">
        <f>HYPERLINK("https://klasma.github.io/Logging_2380/artfynd/A 16369-2023 artfynd.xlsx", "A 16369-2023")</f>
        <v/>
      </c>
      <c r="T61">
        <f>HYPERLINK("https://klasma.github.io/Logging_2380/kartor/A 16369-2023 karta.png", "A 16369-2023")</f>
        <v/>
      </c>
      <c r="V61">
        <f>HYPERLINK("https://klasma.github.io/Logging_2380/klagomål/A 16369-2023 FSC-klagomål.docx", "A 16369-2023")</f>
        <v/>
      </c>
      <c r="W61">
        <f>HYPERLINK("https://klasma.github.io/Logging_2380/klagomålsmail/A 16369-2023 FSC-klagomål mail.docx", "A 16369-2023")</f>
        <v/>
      </c>
      <c r="X61">
        <f>HYPERLINK("https://klasma.github.io/Logging_2380/tillsyn/A 16369-2023 tillsynsbegäran.docx", "A 16369-2023")</f>
        <v/>
      </c>
      <c r="Y61">
        <f>HYPERLINK("https://klasma.github.io/Logging_2380/tillsynsmail/A 16369-2023 tillsynsbegäran mail.docx", "A 16369-2023")</f>
        <v/>
      </c>
    </row>
    <row r="62" ht="15" customHeight="1">
      <c r="A62" t="inlineStr">
        <is>
          <t>A 54608-2023</t>
        </is>
      </c>
      <c r="B62" s="1" t="n">
        <v>45233</v>
      </c>
      <c r="C62" s="1" t="n">
        <v>46188</v>
      </c>
      <c r="D62" t="inlineStr">
        <is>
          <t>JÄMTLANDS LÄN</t>
        </is>
      </c>
      <c r="E62" t="inlineStr">
        <is>
          <t>ÖSTERSUND</t>
        </is>
      </c>
      <c r="F62" t="inlineStr">
        <is>
          <t>SCA</t>
        </is>
      </c>
      <c r="G62" t="n">
        <v>4.3</v>
      </c>
      <c r="H62" t="n">
        <v>1</v>
      </c>
      <c r="I62" t="n">
        <v>5</v>
      </c>
      <c r="J62" t="n">
        <v>2</v>
      </c>
      <c r="K62" t="n">
        <v>0</v>
      </c>
      <c r="L62" t="n">
        <v>0</v>
      </c>
      <c r="M62" t="n">
        <v>0</v>
      </c>
      <c r="N62" t="n">
        <v>0</v>
      </c>
      <c r="O62" t="n">
        <v>2</v>
      </c>
      <c r="P62" t="n">
        <v>0</v>
      </c>
      <c r="Q62" t="n">
        <v>7</v>
      </c>
      <c r="R62" s="2" t="inlineStr">
        <is>
          <t>Granticka
Ullticka
Guckusko
Svavelriska
Trådfräken
Trådticka
Underviol</t>
        </is>
      </c>
      <c r="S62">
        <f>HYPERLINK("https://klasma.github.io/Logging_2380/artfynd/A 54608-2023 artfynd.xlsx", "A 54608-2023")</f>
        <v/>
      </c>
      <c r="T62">
        <f>HYPERLINK("https://klasma.github.io/Logging_2380/kartor/A 54608-2023 karta.png", "A 54608-2023")</f>
        <v/>
      </c>
      <c r="V62">
        <f>HYPERLINK("https://klasma.github.io/Logging_2380/klagomål/A 54608-2023 FSC-klagomål.docx", "A 54608-2023")</f>
        <v/>
      </c>
      <c r="W62">
        <f>HYPERLINK("https://klasma.github.io/Logging_2380/klagomålsmail/A 54608-2023 FSC-klagomål mail.docx", "A 54608-2023")</f>
        <v/>
      </c>
      <c r="X62">
        <f>HYPERLINK("https://klasma.github.io/Logging_2380/tillsyn/A 54608-2023 tillsynsbegäran.docx", "A 54608-2023")</f>
        <v/>
      </c>
      <c r="Y62">
        <f>HYPERLINK("https://klasma.github.io/Logging_2380/tillsynsmail/A 54608-2023 tillsynsbegäran mail.docx", "A 54608-2023")</f>
        <v/>
      </c>
    </row>
    <row r="63" ht="15" customHeight="1">
      <c r="A63" t="inlineStr">
        <is>
          <t>A 52297-2025</t>
        </is>
      </c>
      <c r="B63" s="1" t="n">
        <v>45953</v>
      </c>
      <c r="C63" s="1" t="n">
        <v>46188</v>
      </c>
      <c r="D63" t="inlineStr">
        <is>
          <t>JÄMTLANDS LÄN</t>
        </is>
      </c>
      <c r="E63" t="inlineStr">
        <is>
          <t>ÖSTERSUND</t>
        </is>
      </c>
      <c r="G63" t="n">
        <v>2.3</v>
      </c>
      <c r="H63" t="n">
        <v>3</v>
      </c>
      <c r="I63" t="n">
        <v>1</v>
      </c>
      <c r="J63" t="n">
        <v>5</v>
      </c>
      <c r="K63" t="n">
        <v>1</v>
      </c>
      <c r="L63" t="n">
        <v>0</v>
      </c>
      <c r="M63" t="n">
        <v>0</v>
      </c>
      <c r="N63" t="n">
        <v>0</v>
      </c>
      <c r="O63" t="n">
        <v>6</v>
      </c>
      <c r="P63" t="n">
        <v>1</v>
      </c>
      <c r="Q63" t="n">
        <v>7</v>
      </c>
      <c r="R63" s="2" t="inlineStr">
        <is>
          <t>Knärot
Garnlav
Harticka
Rosenticka
Talltita
Tretåig hackspett
Gullgröppa</t>
        </is>
      </c>
      <c r="S63">
        <f>HYPERLINK("https://klasma.github.io/Logging_2380/artfynd/A 52297-2025 artfynd.xlsx", "A 52297-2025")</f>
        <v/>
      </c>
      <c r="T63">
        <f>HYPERLINK("https://klasma.github.io/Logging_2380/kartor/A 52297-2025 karta.png", "A 52297-2025")</f>
        <v/>
      </c>
      <c r="U63">
        <f>HYPERLINK("https://klasma.github.io/Logging_2380/knärot/A 52297-2025 karta knärot.png", "A 52297-2025")</f>
        <v/>
      </c>
      <c r="V63">
        <f>HYPERLINK("https://klasma.github.io/Logging_2380/klagomål/A 52297-2025 FSC-klagomål.docx", "A 52297-2025")</f>
        <v/>
      </c>
      <c r="W63">
        <f>HYPERLINK("https://klasma.github.io/Logging_2380/klagomålsmail/A 52297-2025 FSC-klagomål mail.docx", "A 52297-2025")</f>
        <v/>
      </c>
      <c r="X63">
        <f>HYPERLINK("https://klasma.github.io/Logging_2380/tillsyn/A 52297-2025 tillsynsbegäran.docx", "A 52297-2025")</f>
        <v/>
      </c>
      <c r="Y63">
        <f>HYPERLINK("https://klasma.github.io/Logging_2380/tillsynsmail/A 52297-2025 tillsynsbegäran mail.docx", "A 52297-2025")</f>
        <v/>
      </c>
      <c r="Z63">
        <f>HYPERLINK("https://klasma.github.io/Logging_2380/fåglar/A 52297-2025 prioriterade fågelarter.docx", "A 52297-2025")</f>
        <v/>
      </c>
    </row>
    <row r="64" ht="15" customHeight="1">
      <c r="A64" t="inlineStr">
        <is>
          <t>A 17267-2026</t>
        </is>
      </c>
      <c r="B64" s="1" t="n">
        <v>46119.48238425926</v>
      </c>
      <c r="C64" s="1" t="n">
        <v>46188</v>
      </c>
      <c r="D64" t="inlineStr">
        <is>
          <t>JÄMTLANDS LÄN</t>
        </is>
      </c>
      <c r="E64" t="inlineStr">
        <is>
          <t>ÖSTERSUND</t>
        </is>
      </c>
      <c r="G64" t="n">
        <v>7.7</v>
      </c>
      <c r="H64" t="n">
        <v>4</v>
      </c>
      <c r="I64" t="n">
        <v>2</v>
      </c>
      <c r="J64" t="n">
        <v>3</v>
      </c>
      <c r="K64" t="n">
        <v>1</v>
      </c>
      <c r="L64" t="n">
        <v>0</v>
      </c>
      <c r="M64" t="n">
        <v>0</v>
      </c>
      <c r="N64" t="n">
        <v>0</v>
      </c>
      <c r="O64" t="n">
        <v>4</v>
      </c>
      <c r="P64" t="n">
        <v>1</v>
      </c>
      <c r="Q64" t="n">
        <v>7</v>
      </c>
      <c r="R64" s="2" t="inlineStr">
        <is>
          <t>Knärot
Garnlav
Lunglav
Tretåig hackspett
Luddlav
Plattlummer
Revlummer</t>
        </is>
      </c>
      <c r="S64">
        <f>HYPERLINK("https://klasma.github.io/Logging_2380/artfynd/A 17267-2026 artfynd.xlsx", "A 17267-2026")</f>
        <v/>
      </c>
      <c r="T64">
        <f>HYPERLINK("https://klasma.github.io/Logging_2380/kartor/A 17267-2026 karta.png", "A 17267-2026")</f>
        <v/>
      </c>
      <c r="U64">
        <f>HYPERLINK("https://klasma.github.io/Logging_2380/knärot/A 17267-2026 karta knärot.png", "A 17267-2026")</f>
        <v/>
      </c>
      <c r="V64">
        <f>HYPERLINK("https://klasma.github.io/Logging_2380/klagomål/A 17267-2026 FSC-klagomål.docx", "A 17267-2026")</f>
        <v/>
      </c>
      <c r="W64">
        <f>HYPERLINK("https://klasma.github.io/Logging_2380/klagomålsmail/A 17267-2026 FSC-klagomål mail.docx", "A 17267-2026")</f>
        <v/>
      </c>
      <c r="X64">
        <f>HYPERLINK("https://klasma.github.io/Logging_2380/tillsyn/A 17267-2026 tillsynsbegäran.docx", "A 17267-2026")</f>
        <v/>
      </c>
      <c r="Y64">
        <f>HYPERLINK("https://klasma.github.io/Logging_2380/tillsynsmail/A 17267-2026 tillsynsbegäran mail.docx", "A 17267-2026")</f>
        <v/>
      </c>
      <c r="Z64">
        <f>HYPERLINK("https://klasma.github.io/Logging_2380/fåglar/A 17267-2026 prioriterade fågelarter.docx", "A 17267-2026")</f>
        <v/>
      </c>
    </row>
    <row r="65" ht="15" customHeight="1">
      <c r="A65" t="inlineStr">
        <is>
          <t>A 50529-2025</t>
        </is>
      </c>
      <c r="B65" s="1" t="n">
        <v>45945</v>
      </c>
      <c r="C65" s="1" t="n">
        <v>46188</v>
      </c>
      <c r="D65" t="inlineStr">
        <is>
          <t>JÄMTLANDS LÄN</t>
        </is>
      </c>
      <c r="E65" t="inlineStr">
        <is>
          <t>ÖSTERSUND</t>
        </is>
      </c>
      <c r="G65" t="n">
        <v>7</v>
      </c>
      <c r="H65" t="n">
        <v>3</v>
      </c>
      <c r="I65" t="n">
        <v>2</v>
      </c>
      <c r="J65" t="n">
        <v>4</v>
      </c>
      <c r="K65" t="n">
        <v>1</v>
      </c>
      <c r="L65" t="n">
        <v>0</v>
      </c>
      <c r="M65" t="n">
        <v>0</v>
      </c>
      <c r="N65" t="n">
        <v>0</v>
      </c>
      <c r="O65" t="n">
        <v>5</v>
      </c>
      <c r="P65" t="n">
        <v>1</v>
      </c>
      <c r="Q65" t="n">
        <v>7</v>
      </c>
      <c r="R65" s="2" t="inlineStr">
        <is>
          <t>Knärot
Garnlav
Granticka
Harticka
Tretåig hackspett
Korallrot
Ögonpyrola</t>
        </is>
      </c>
      <c r="S65">
        <f>HYPERLINK("https://klasma.github.io/Logging_2380/artfynd/A 50529-2025 artfynd.xlsx", "A 50529-2025")</f>
        <v/>
      </c>
      <c r="T65">
        <f>HYPERLINK("https://klasma.github.io/Logging_2380/kartor/A 50529-2025 karta.png", "A 50529-2025")</f>
        <v/>
      </c>
      <c r="U65">
        <f>HYPERLINK("https://klasma.github.io/Logging_2380/knärot/A 50529-2025 karta knärot.png", "A 50529-2025")</f>
        <v/>
      </c>
      <c r="V65">
        <f>HYPERLINK("https://klasma.github.io/Logging_2380/klagomål/A 50529-2025 FSC-klagomål.docx", "A 50529-2025")</f>
        <v/>
      </c>
      <c r="W65">
        <f>HYPERLINK("https://klasma.github.io/Logging_2380/klagomålsmail/A 50529-2025 FSC-klagomål mail.docx", "A 50529-2025")</f>
        <v/>
      </c>
      <c r="X65">
        <f>HYPERLINK("https://klasma.github.io/Logging_2380/tillsyn/A 50529-2025 tillsynsbegäran.docx", "A 50529-2025")</f>
        <v/>
      </c>
      <c r="Y65">
        <f>HYPERLINK("https://klasma.github.io/Logging_2380/tillsynsmail/A 50529-2025 tillsynsbegäran mail.docx", "A 50529-2025")</f>
        <v/>
      </c>
      <c r="Z65">
        <f>HYPERLINK("https://klasma.github.io/Logging_2380/fåglar/A 50529-2025 prioriterade fågelarter.docx", "A 50529-2025")</f>
        <v/>
      </c>
    </row>
    <row r="66" ht="15" customHeight="1">
      <c r="A66" t="inlineStr">
        <is>
          <t>A 48736-2025</t>
        </is>
      </c>
      <c r="B66" s="1" t="n">
        <v>45936</v>
      </c>
      <c r="C66" s="1" t="n">
        <v>46188</v>
      </c>
      <c r="D66" t="inlineStr">
        <is>
          <t>JÄMTLANDS LÄN</t>
        </is>
      </c>
      <c r="E66" t="inlineStr">
        <is>
          <t>ÖSTERSUND</t>
        </is>
      </c>
      <c r="G66" t="n">
        <v>2.8</v>
      </c>
      <c r="H66" t="n">
        <v>3</v>
      </c>
      <c r="I66" t="n">
        <v>3</v>
      </c>
      <c r="J66" t="n">
        <v>2</v>
      </c>
      <c r="K66" t="n">
        <v>1</v>
      </c>
      <c r="L66" t="n">
        <v>0</v>
      </c>
      <c r="M66" t="n">
        <v>0</v>
      </c>
      <c r="N66" t="n">
        <v>0</v>
      </c>
      <c r="O66" t="n">
        <v>3</v>
      </c>
      <c r="P66" t="n">
        <v>1</v>
      </c>
      <c r="Q66" t="n">
        <v>7</v>
      </c>
      <c r="R66" s="2" t="inlineStr">
        <is>
          <t>Knärot
Harticka
Tretåig hackspett
Rödgul trumpetsvamp
Trådticka
Vedticka
Revlummer</t>
        </is>
      </c>
      <c r="S66">
        <f>HYPERLINK("https://klasma.github.io/Logging_2380/artfynd/A 48736-2025 artfynd.xlsx", "A 48736-2025")</f>
        <v/>
      </c>
      <c r="T66">
        <f>HYPERLINK("https://klasma.github.io/Logging_2380/kartor/A 48736-2025 karta.png", "A 48736-2025")</f>
        <v/>
      </c>
      <c r="U66">
        <f>HYPERLINK("https://klasma.github.io/Logging_2380/knärot/A 48736-2025 karta knärot.png", "A 48736-2025")</f>
        <v/>
      </c>
      <c r="V66">
        <f>HYPERLINK("https://klasma.github.io/Logging_2380/klagomål/A 48736-2025 FSC-klagomål.docx", "A 48736-2025")</f>
        <v/>
      </c>
      <c r="W66">
        <f>HYPERLINK("https://klasma.github.io/Logging_2380/klagomålsmail/A 48736-2025 FSC-klagomål mail.docx", "A 48736-2025")</f>
        <v/>
      </c>
      <c r="X66">
        <f>HYPERLINK("https://klasma.github.io/Logging_2380/tillsyn/A 48736-2025 tillsynsbegäran.docx", "A 48736-2025")</f>
        <v/>
      </c>
      <c r="Y66">
        <f>HYPERLINK("https://klasma.github.io/Logging_2380/tillsynsmail/A 48736-2025 tillsynsbegäran mail.docx", "A 48736-2025")</f>
        <v/>
      </c>
      <c r="Z66">
        <f>HYPERLINK("https://klasma.github.io/Logging_2380/fåglar/A 48736-2025 prioriterade fågelarter.docx", "A 48736-2025")</f>
        <v/>
      </c>
    </row>
    <row r="67" ht="15" customHeight="1">
      <c r="A67" t="inlineStr">
        <is>
          <t>A 18338-2025</t>
        </is>
      </c>
      <c r="B67" s="1" t="n">
        <v>45762.51075231482</v>
      </c>
      <c r="C67" s="1" t="n">
        <v>46188</v>
      </c>
      <c r="D67" t="inlineStr">
        <is>
          <t>JÄMTLANDS LÄN</t>
        </is>
      </c>
      <c r="E67" t="inlineStr">
        <is>
          <t>ÖSTERSUND</t>
        </is>
      </c>
      <c r="F67" t="inlineStr">
        <is>
          <t>SCA</t>
        </is>
      </c>
      <c r="G67" t="n">
        <v>5.3</v>
      </c>
      <c r="H67" t="n">
        <v>1</v>
      </c>
      <c r="I67" t="n">
        <v>2</v>
      </c>
      <c r="J67" t="n">
        <v>3</v>
      </c>
      <c r="K67" t="n">
        <v>0</v>
      </c>
      <c r="L67" t="n">
        <v>0</v>
      </c>
      <c r="M67" t="n">
        <v>0</v>
      </c>
      <c r="N67" t="n">
        <v>0</v>
      </c>
      <c r="O67" t="n">
        <v>3</v>
      </c>
      <c r="P67" t="n">
        <v>0</v>
      </c>
      <c r="Q67" t="n">
        <v>6</v>
      </c>
      <c r="R67" s="2" t="inlineStr">
        <is>
          <t>Kolflarnlav
Oljetagging
Vedflamlav
Barkticka
Stor aspticka
Fläcknycklar</t>
        </is>
      </c>
      <c r="S67">
        <f>HYPERLINK("https://klasma.github.io/Logging_2380/artfynd/A 18338-2025 artfynd.xlsx", "A 18338-2025")</f>
        <v/>
      </c>
      <c r="T67">
        <f>HYPERLINK("https://klasma.github.io/Logging_2380/kartor/A 18338-2025 karta.png", "A 18338-2025")</f>
        <v/>
      </c>
      <c r="V67">
        <f>HYPERLINK("https://klasma.github.io/Logging_2380/klagomål/A 18338-2025 FSC-klagomål.docx", "A 18338-2025")</f>
        <v/>
      </c>
      <c r="W67">
        <f>HYPERLINK("https://klasma.github.io/Logging_2380/klagomålsmail/A 18338-2025 FSC-klagomål mail.docx", "A 18338-2025")</f>
        <v/>
      </c>
      <c r="X67">
        <f>HYPERLINK("https://klasma.github.io/Logging_2380/tillsyn/A 18338-2025 tillsynsbegäran.docx", "A 18338-2025")</f>
        <v/>
      </c>
      <c r="Y67">
        <f>HYPERLINK("https://klasma.github.io/Logging_2380/tillsynsmail/A 18338-2025 tillsynsbegäran mail.docx", "A 18338-2025")</f>
        <v/>
      </c>
    </row>
    <row r="68" ht="15" customHeight="1">
      <c r="A68" t="inlineStr">
        <is>
          <t>A 40815-2025</t>
        </is>
      </c>
      <c r="B68" s="1" t="n">
        <v>45897</v>
      </c>
      <c r="C68" s="1" t="n">
        <v>46188</v>
      </c>
      <c r="D68" t="inlineStr">
        <is>
          <t>JÄMTLANDS LÄN</t>
        </is>
      </c>
      <c r="E68" t="inlineStr">
        <is>
          <t>ÖSTERSUND</t>
        </is>
      </c>
      <c r="F68" t="inlineStr">
        <is>
          <t>Kommuner</t>
        </is>
      </c>
      <c r="G68" t="n">
        <v>0.8</v>
      </c>
      <c r="H68" t="n">
        <v>2</v>
      </c>
      <c r="I68" t="n">
        <v>2</v>
      </c>
      <c r="J68" t="n">
        <v>2</v>
      </c>
      <c r="K68" t="n">
        <v>0</v>
      </c>
      <c r="L68" t="n">
        <v>0</v>
      </c>
      <c r="M68" t="n">
        <v>0</v>
      </c>
      <c r="N68" t="n">
        <v>0</v>
      </c>
      <c r="O68" t="n">
        <v>2</v>
      </c>
      <c r="P68" t="n">
        <v>0</v>
      </c>
      <c r="Q68" t="n">
        <v>6</v>
      </c>
      <c r="R68" s="2" t="inlineStr">
        <is>
          <t>Granticka
Lunglav
Svart trolldruva
Tibast
Blåsippa
Revlummer</t>
        </is>
      </c>
      <c r="S68">
        <f>HYPERLINK("https://klasma.github.io/Logging_2380/artfynd/A 40815-2025 artfynd.xlsx", "A 40815-2025")</f>
        <v/>
      </c>
      <c r="T68">
        <f>HYPERLINK("https://klasma.github.io/Logging_2380/kartor/A 40815-2025 karta.png", "A 40815-2025")</f>
        <v/>
      </c>
      <c r="V68">
        <f>HYPERLINK("https://klasma.github.io/Logging_2380/klagomål/A 40815-2025 FSC-klagomål.docx", "A 40815-2025")</f>
        <v/>
      </c>
      <c r="W68">
        <f>HYPERLINK("https://klasma.github.io/Logging_2380/klagomålsmail/A 40815-2025 FSC-klagomål mail.docx", "A 40815-2025")</f>
        <v/>
      </c>
      <c r="X68">
        <f>HYPERLINK("https://klasma.github.io/Logging_2380/tillsyn/A 40815-2025 tillsynsbegäran.docx", "A 40815-2025")</f>
        <v/>
      </c>
      <c r="Y68">
        <f>HYPERLINK("https://klasma.github.io/Logging_2380/tillsynsmail/A 40815-2025 tillsynsbegäran mail.docx", "A 40815-2025")</f>
        <v/>
      </c>
    </row>
    <row r="69" ht="15" customHeight="1">
      <c r="A69" t="inlineStr">
        <is>
          <t>A 376-2023</t>
        </is>
      </c>
      <c r="B69" s="1" t="n">
        <v>44929</v>
      </c>
      <c r="C69" s="1" t="n">
        <v>46188</v>
      </c>
      <c r="D69" t="inlineStr">
        <is>
          <t>JÄMTLANDS LÄN</t>
        </is>
      </c>
      <c r="E69" t="inlineStr">
        <is>
          <t>ÖSTERSUND</t>
        </is>
      </c>
      <c r="G69" t="n">
        <v>11.5</v>
      </c>
      <c r="H69" t="n">
        <v>2</v>
      </c>
      <c r="I69" t="n">
        <v>1</v>
      </c>
      <c r="J69" t="n">
        <v>5</v>
      </c>
      <c r="K69" t="n">
        <v>0</v>
      </c>
      <c r="L69" t="n">
        <v>0</v>
      </c>
      <c r="M69" t="n">
        <v>0</v>
      </c>
      <c r="N69" t="n">
        <v>0</v>
      </c>
      <c r="O69" t="n">
        <v>5</v>
      </c>
      <c r="P69" t="n">
        <v>0</v>
      </c>
      <c r="Q69" t="n">
        <v>6</v>
      </c>
      <c r="R69" s="2" t="inlineStr">
        <is>
          <t>Garnlav
Lunglav
Skrovellav
Spillkråka
Tretåig hackspett
Stuplav</t>
        </is>
      </c>
      <c r="S69">
        <f>HYPERLINK("https://klasma.github.io/Logging_2380/artfynd/A 376-2023 artfynd.xlsx", "A 376-2023")</f>
        <v/>
      </c>
      <c r="T69">
        <f>HYPERLINK("https://klasma.github.io/Logging_2380/kartor/A 376-2023 karta.png", "A 376-2023")</f>
        <v/>
      </c>
      <c r="V69">
        <f>HYPERLINK("https://klasma.github.io/Logging_2380/klagomål/A 376-2023 FSC-klagomål.docx", "A 376-2023")</f>
        <v/>
      </c>
      <c r="W69">
        <f>HYPERLINK("https://klasma.github.io/Logging_2380/klagomålsmail/A 376-2023 FSC-klagomål mail.docx", "A 376-2023")</f>
        <v/>
      </c>
      <c r="X69">
        <f>HYPERLINK("https://klasma.github.io/Logging_2380/tillsyn/A 376-2023 tillsynsbegäran.docx", "A 376-2023")</f>
        <v/>
      </c>
      <c r="Y69">
        <f>HYPERLINK("https://klasma.github.io/Logging_2380/tillsynsmail/A 376-2023 tillsynsbegäran mail.docx", "A 376-2023")</f>
        <v/>
      </c>
      <c r="Z69">
        <f>HYPERLINK("https://klasma.github.io/Logging_2380/fåglar/A 376-2023 prioriterade fågelarter.docx", "A 376-2023")</f>
        <v/>
      </c>
    </row>
    <row r="70" ht="15" customHeight="1">
      <c r="A70" t="inlineStr">
        <is>
          <t>A 61212-2025</t>
        </is>
      </c>
      <c r="B70" s="1" t="n">
        <v>46000.61640046296</v>
      </c>
      <c r="C70" s="1" t="n">
        <v>46188</v>
      </c>
      <c r="D70" t="inlineStr">
        <is>
          <t>JÄMTLANDS LÄN</t>
        </is>
      </c>
      <c r="E70" t="inlineStr">
        <is>
          <t>ÖSTERSUND</t>
        </is>
      </c>
      <c r="G70" t="n">
        <v>7.8</v>
      </c>
      <c r="H70" t="n">
        <v>3</v>
      </c>
      <c r="I70" t="n">
        <v>0</v>
      </c>
      <c r="J70" t="n">
        <v>5</v>
      </c>
      <c r="K70" t="n">
        <v>1</v>
      </c>
      <c r="L70" t="n">
        <v>0</v>
      </c>
      <c r="M70" t="n">
        <v>0</v>
      </c>
      <c r="N70" t="n">
        <v>0</v>
      </c>
      <c r="O70" t="n">
        <v>6</v>
      </c>
      <c r="P70" t="n">
        <v>1</v>
      </c>
      <c r="Q70" t="n">
        <v>6</v>
      </c>
      <c r="R70" s="2" t="inlineStr">
        <is>
          <t>Knärot
Granticka
Harticka
Spillkråka
Talltita
Ullticka</t>
        </is>
      </c>
      <c r="S70">
        <f>HYPERLINK("https://klasma.github.io/Logging_2380/artfynd/A 61212-2025 artfynd.xlsx", "A 61212-2025")</f>
        <v/>
      </c>
      <c r="T70">
        <f>HYPERLINK("https://klasma.github.io/Logging_2380/kartor/A 61212-2025 karta.png", "A 61212-2025")</f>
        <v/>
      </c>
      <c r="U70">
        <f>HYPERLINK("https://klasma.github.io/Logging_2380/knärot/A 61212-2025 karta knärot.png", "A 61212-2025")</f>
        <v/>
      </c>
      <c r="V70">
        <f>HYPERLINK("https://klasma.github.io/Logging_2380/klagomål/A 61212-2025 FSC-klagomål.docx", "A 61212-2025")</f>
        <v/>
      </c>
      <c r="W70">
        <f>HYPERLINK("https://klasma.github.io/Logging_2380/klagomålsmail/A 61212-2025 FSC-klagomål mail.docx", "A 61212-2025")</f>
        <v/>
      </c>
      <c r="X70">
        <f>HYPERLINK("https://klasma.github.io/Logging_2380/tillsyn/A 61212-2025 tillsynsbegäran.docx", "A 61212-2025")</f>
        <v/>
      </c>
      <c r="Y70">
        <f>HYPERLINK("https://klasma.github.io/Logging_2380/tillsynsmail/A 61212-2025 tillsynsbegäran mail.docx", "A 61212-2025")</f>
        <v/>
      </c>
      <c r="Z70">
        <f>HYPERLINK("https://klasma.github.io/Logging_2380/fåglar/A 61212-2025 prioriterade fågelarter.docx", "A 61212-2025")</f>
        <v/>
      </c>
    </row>
    <row r="71" ht="15" customHeight="1">
      <c r="A71" t="inlineStr">
        <is>
          <t>A 62696-2025</t>
        </is>
      </c>
      <c r="B71" s="1" t="n">
        <v>46008.48708333333</v>
      </c>
      <c r="C71" s="1" t="n">
        <v>46188</v>
      </c>
      <c r="D71" t="inlineStr">
        <is>
          <t>JÄMTLANDS LÄN</t>
        </is>
      </c>
      <c r="E71" t="inlineStr">
        <is>
          <t>ÖSTERSUND</t>
        </is>
      </c>
      <c r="G71" t="n">
        <v>11.3</v>
      </c>
      <c r="H71" t="n">
        <v>3</v>
      </c>
      <c r="I71" t="n">
        <v>1</v>
      </c>
      <c r="J71" t="n">
        <v>4</v>
      </c>
      <c r="K71" t="n">
        <v>0</v>
      </c>
      <c r="L71" t="n">
        <v>0</v>
      </c>
      <c r="M71" t="n">
        <v>0</v>
      </c>
      <c r="N71" t="n">
        <v>0</v>
      </c>
      <c r="O71" t="n">
        <v>4</v>
      </c>
      <c r="P71" t="n">
        <v>0</v>
      </c>
      <c r="Q71" t="n">
        <v>6</v>
      </c>
      <c r="R71" s="2" t="inlineStr">
        <is>
          <t>Garnlav
Spillkråka
Tretåig hackspett
Ullticka
Stuplav
Revlummer</t>
        </is>
      </c>
      <c r="S71">
        <f>HYPERLINK("https://klasma.github.io/Logging_2380/artfynd/A 62696-2025 artfynd.xlsx", "A 62696-2025")</f>
        <v/>
      </c>
      <c r="T71">
        <f>HYPERLINK("https://klasma.github.io/Logging_2380/kartor/A 62696-2025 karta.png", "A 62696-2025")</f>
        <v/>
      </c>
      <c r="V71">
        <f>HYPERLINK("https://klasma.github.io/Logging_2380/klagomål/A 62696-2025 FSC-klagomål.docx", "A 62696-2025")</f>
        <v/>
      </c>
      <c r="W71">
        <f>HYPERLINK("https://klasma.github.io/Logging_2380/klagomålsmail/A 62696-2025 FSC-klagomål mail.docx", "A 62696-2025")</f>
        <v/>
      </c>
      <c r="X71">
        <f>HYPERLINK("https://klasma.github.io/Logging_2380/tillsyn/A 62696-2025 tillsynsbegäran.docx", "A 62696-2025")</f>
        <v/>
      </c>
      <c r="Y71">
        <f>HYPERLINK("https://klasma.github.io/Logging_2380/tillsynsmail/A 62696-2025 tillsynsbegäran mail.docx", "A 62696-2025")</f>
        <v/>
      </c>
      <c r="Z71">
        <f>HYPERLINK("https://klasma.github.io/Logging_2380/fåglar/A 62696-2025 prioriterade fågelarter.docx", "A 62696-2025")</f>
        <v/>
      </c>
    </row>
    <row r="72" ht="15" customHeight="1">
      <c r="A72" t="inlineStr">
        <is>
          <t>A 60623-2022</t>
        </is>
      </c>
      <c r="B72" s="1" t="n">
        <v>44911.6459837963</v>
      </c>
      <c r="C72" s="1" t="n">
        <v>46188</v>
      </c>
      <c r="D72" t="inlineStr">
        <is>
          <t>JÄMTLANDS LÄN</t>
        </is>
      </c>
      <c r="E72" t="inlineStr">
        <is>
          <t>ÖSTERSUND</t>
        </is>
      </c>
      <c r="G72" t="n">
        <v>10.9</v>
      </c>
      <c r="H72" t="n">
        <v>3</v>
      </c>
      <c r="I72" t="n">
        <v>0</v>
      </c>
      <c r="J72" t="n">
        <v>6</v>
      </c>
      <c r="K72" t="n">
        <v>0</v>
      </c>
      <c r="L72" t="n">
        <v>0</v>
      </c>
      <c r="M72" t="n">
        <v>0</v>
      </c>
      <c r="N72" t="n">
        <v>0</v>
      </c>
      <c r="O72" t="n">
        <v>6</v>
      </c>
      <c r="P72" t="n">
        <v>0</v>
      </c>
      <c r="Q72" t="n">
        <v>6</v>
      </c>
      <c r="R72" s="2" t="inlineStr">
        <is>
          <t>Garnlav
Granticka
Järpe
Spillkråka
Tretåig hackspett
Vitgrynig nållav</t>
        </is>
      </c>
      <c r="S72">
        <f>HYPERLINK("https://klasma.github.io/Logging_2380/artfynd/A 60623-2022 artfynd.xlsx", "A 60623-2022")</f>
        <v/>
      </c>
      <c r="T72">
        <f>HYPERLINK("https://klasma.github.io/Logging_2380/kartor/A 60623-2022 karta.png", "A 60623-2022")</f>
        <v/>
      </c>
      <c r="V72">
        <f>HYPERLINK("https://klasma.github.io/Logging_2380/klagomål/A 60623-2022 FSC-klagomål.docx", "A 60623-2022")</f>
        <v/>
      </c>
      <c r="W72">
        <f>HYPERLINK("https://klasma.github.io/Logging_2380/klagomålsmail/A 60623-2022 FSC-klagomål mail.docx", "A 60623-2022")</f>
        <v/>
      </c>
      <c r="X72">
        <f>HYPERLINK("https://klasma.github.io/Logging_2380/tillsyn/A 60623-2022 tillsynsbegäran.docx", "A 60623-2022")</f>
        <v/>
      </c>
      <c r="Y72">
        <f>HYPERLINK("https://klasma.github.io/Logging_2380/tillsynsmail/A 60623-2022 tillsynsbegäran mail.docx", "A 60623-2022")</f>
        <v/>
      </c>
      <c r="Z72">
        <f>HYPERLINK("https://klasma.github.io/Logging_2380/fåglar/A 60623-2022 prioriterade fågelarter.docx", "A 60623-2022")</f>
        <v/>
      </c>
    </row>
    <row r="73" ht="15" customHeight="1">
      <c r="A73" t="inlineStr">
        <is>
          <t>A 60614-2022</t>
        </is>
      </c>
      <c r="B73" s="1" t="n">
        <v>44911</v>
      </c>
      <c r="C73" s="1" t="n">
        <v>46188</v>
      </c>
      <c r="D73" t="inlineStr">
        <is>
          <t>JÄMTLANDS LÄN</t>
        </is>
      </c>
      <c r="E73" t="inlineStr">
        <is>
          <t>ÖSTERSUND</t>
        </is>
      </c>
      <c r="G73" t="n">
        <v>17.6</v>
      </c>
      <c r="H73" t="n">
        <v>2</v>
      </c>
      <c r="I73" t="n">
        <v>1</v>
      </c>
      <c r="J73" t="n">
        <v>4</v>
      </c>
      <c r="K73" t="n">
        <v>0</v>
      </c>
      <c r="L73" t="n">
        <v>0</v>
      </c>
      <c r="M73" t="n">
        <v>0</v>
      </c>
      <c r="N73" t="n">
        <v>0</v>
      </c>
      <c r="O73" t="n">
        <v>4</v>
      </c>
      <c r="P73" t="n">
        <v>0</v>
      </c>
      <c r="Q73" t="n">
        <v>6</v>
      </c>
      <c r="R73" s="2" t="inlineStr">
        <is>
          <t>Garnlav
Granticka
Kolflarnlav
Tretåig hackspett
Dropptaggsvamp
Blåsippa</t>
        </is>
      </c>
      <c r="S73">
        <f>HYPERLINK("https://klasma.github.io/Logging_2380/artfynd/A 60614-2022 artfynd.xlsx", "A 60614-2022")</f>
        <v/>
      </c>
      <c r="T73">
        <f>HYPERLINK("https://klasma.github.io/Logging_2380/kartor/A 60614-2022 karta.png", "A 60614-2022")</f>
        <v/>
      </c>
      <c r="V73">
        <f>HYPERLINK("https://klasma.github.io/Logging_2380/klagomål/A 60614-2022 FSC-klagomål.docx", "A 60614-2022")</f>
        <v/>
      </c>
      <c r="W73">
        <f>HYPERLINK("https://klasma.github.io/Logging_2380/klagomålsmail/A 60614-2022 FSC-klagomål mail.docx", "A 60614-2022")</f>
        <v/>
      </c>
      <c r="X73">
        <f>HYPERLINK("https://klasma.github.io/Logging_2380/tillsyn/A 60614-2022 tillsynsbegäran.docx", "A 60614-2022")</f>
        <v/>
      </c>
      <c r="Y73">
        <f>HYPERLINK("https://klasma.github.io/Logging_2380/tillsynsmail/A 60614-2022 tillsynsbegäran mail.docx", "A 60614-2022")</f>
        <v/>
      </c>
      <c r="Z73">
        <f>HYPERLINK("https://klasma.github.io/Logging_2380/fåglar/A 60614-2022 prioriterade fågelarter.docx", "A 60614-2022")</f>
        <v/>
      </c>
    </row>
    <row r="74" ht="15" customHeight="1">
      <c r="A74" t="inlineStr">
        <is>
          <t>A 10048-2026</t>
        </is>
      </c>
      <c r="B74" s="1" t="n">
        <v>46073.60355324074</v>
      </c>
      <c r="C74" s="1" t="n">
        <v>46188</v>
      </c>
      <c r="D74" t="inlineStr">
        <is>
          <t>JÄMTLANDS LÄN</t>
        </is>
      </c>
      <c r="E74" t="inlineStr">
        <is>
          <t>ÖSTERSUND</t>
        </is>
      </c>
      <c r="G74" t="n">
        <v>5.7</v>
      </c>
      <c r="H74" t="n">
        <v>3</v>
      </c>
      <c r="I74" t="n">
        <v>0</v>
      </c>
      <c r="J74" t="n">
        <v>5</v>
      </c>
      <c r="K74" t="n">
        <v>1</v>
      </c>
      <c r="L74" t="n">
        <v>0</v>
      </c>
      <c r="M74" t="n">
        <v>0</v>
      </c>
      <c r="N74" t="n">
        <v>0</v>
      </c>
      <c r="O74" t="n">
        <v>6</v>
      </c>
      <c r="P74" t="n">
        <v>1</v>
      </c>
      <c r="Q74" t="n">
        <v>6</v>
      </c>
      <c r="R74" s="2" t="inlineStr">
        <is>
          <t>Knärot
Garnlav
Talltita
Tretåig hackspett
Ullticka
Vitgrynig nållav</t>
        </is>
      </c>
      <c r="S74">
        <f>HYPERLINK("https://klasma.github.io/Logging_2380/artfynd/A 10048-2026 artfynd.xlsx", "A 10048-2026")</f>
        <v/>
      </c>
      <c r="T74">
        <f>HYPERLINK("https://klasma.github.io/Logging_2380/kartor/A 10048-2026 karta.png", "A 10048-2026")</f>
        <v/>
      </c>
      <c r="U74">
        <f>HYPERLINK("https://klasma.github.io/Logging_2380/knärot/A 10048-2026 karta knärot.png", "A 10048-2026")</f>
        <v/>
      </c>
      <c r="V74">
        <f>HYPERLINK("https://klasma.github.io/Logging_2380/klagomål/A 10048-2026 FSC-klagomål.docx", "A 10048-2026")</f>
        <v/>
      </c>
      <c r="W74">
        <f>HYPERLINK("https://klasma.github.io/Logging_2380/klagomålsmail/A 10048-2026 FSC-klagomål mail.docx", "A 10048-2026")</f>
        <v/>
      </c>
      <c r="X74">
        <f>HYPERLINK("https://klasma.github.io/Logging_2380/tillsyn/A 10048-2026 tillsynsbegäran.docx", "A 10048-2026")</f>
        <v/>
      </c>
      <c r="Y74">
        <f>HYPERLINK("https://klasma.github.io/Logging_2380/tillsynsmail/A 10048-2026 tillsynsbegäran mail.docx", "A 10048-2026")</f>
        <v/>
      </c>
      <c r="Z74">
        <f>HYPERLINK("https://klasma.github.io/Logging_2380/fåglar/A 10048-2026 prioriterade fågelarter.docx", "A 10048-2026")</f>
        <v/>
      </c>
    </row>
    <row r="75" ht="15" customHeight="1">
      <c r="A75" t="inlineStr">
        <is>
          <t>A 1026-2026</t>
        </is>
      </c>
      <c r="B75" s="1" t="n">
        <v>46030.61326388889</v>
      </c>
      <c r="C75" s="1" t="n">
        <v>46188</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47392-2022</t>
        </is>
      </c>
      <c r="B76" s="1" t="n">
        <v>44851</v>
      </c>
      <c r="C76" s="1" t="n">
        <v>46188</v>
      </c>
      <c r="D76" t="inlineStr">
        <is>
          <t>JÄMTLANDS LÄN</t>
        </is>
      </c>
      <c r="E76" t="inlineStr">
        <is>
          <t>ÖSTERSUND</t>
        </is>
      </c>
      <c r="G76" t="n">
        <v>1.6</v>
      </c>
      <c r="H76" t="n">
        <v>4</v>
      </c>
      <c r="I76" t="n">
        <v>3</v>
      </c>
      <c r="J76" t="n">
        <v>1</v>
      </c>
      <c r="K76" t="n">
        <v>1</v>
      </c>
      <c r="L76" t="n">
        <v>0</v>
      </c>
      <c r="M76" t="n">
        <v>0</v>
      </c>
      <c r="N76" t="n">
        <v>0</v>
      </c>
      <c r="O76" t="n">
        <v>2</v>
      </c>
      <c r="P76" t="n">
        <v>1</v>
      </c>
      <c r="Q76" t="n">
        <v>6</v>
      </c>
      <c r="R76" s="2" t="inlineStr">
        <is>
          <t>Knärot
Garnlav
Guckusko
Plattlummer
Trådfräken
Revlummer</t>
        </is>
      </c>
      <c r="S76">
        <f>HYPERLINK("https://klasma.github.io/Logging_2380/artfynd/A 47392-2022 artfynd.xlsx", "A 47392-2022")</f>
        <v/>
      </c>
      <c r="T76">
        <f>HYPERLINK("https://klasma.github.io/Logging_2380/kartor/A 47392-2022 karta.png", "A 47392-2022")</f>
        <v/>
      </c>
      <c r="U76">
        <f>HYPERLINK("https://klasma.github.io/Logging_2380/knärot/A 47392-2022 karta knärot.png", "A 47392-2022")</f>
        <v/>
      </c>
      <c r="V76">
        <f>HYPERLINK("https://klasma.github.io/Logging_2380/klagomål/A 47392-2022 FSC-klagomål.docx", "A 47392-2022")</f>
        <v/>
      </c>
      <c r="W76">
        <f>HYPERLINK("https://klasma.github.io/Logging_2380/klagomålsmail/A 47392-2022 FSC-klagomål mail.docx", "A 47392-2022")</f>
        <v/>
      </c>
      <c r="X76">
        <f>HYPERLINK("https://klasma.github.io/Logging_2380/tillsyn/A 47392-2022 tillsynsbegäran.docx", "A 47392-2022")</f>
        <v/>
      </c>
      <c r="Y76">
        <f>HYPERLINK("https://klasma.github.io/Logging_2380/tillsynsmail/A 47392-2022 tillsynsbegäran mail.docx", "A 47392-2022")</f>
        <v/>
      </c>
    </row>
    <row r="77" ht="15" customHeight="1">
      <c r="A77" t="inlineStr">
        <is>
          <t>A 17248-2026</t>
        </is>
      </c>
      <c r="B77" s="1" t="n">
        <v>46119.44172453704</v>
      </c>
      <c r="C77" s="1" t="n">
        <v>46188</v>
      </c>
      <c r="D77" t="inlineStr">
        <is>
          <t>JÄMTLANDS LÄN</t>
        </is>
      </c>
      <c r="E77" t="inlineStr">
        <is>
          <t>ÖSTERSUND</t>
        </is>
      </c>
      <c r="G77" t="n">
        <v>14.4</v>
      </c>
      <c r="H77" t="n">
        <v>2</v>
      </c>
      <c r="I77" t="n">
        <v>2</v>
      </c>
      <c r="J77" t="n">
        <v>3</v>
      </c>
      <c r="K77" t="n">
        <v>1</v>
      </c>
      <c r="L77" t="n">
        <v>0</v>
      </c>
      <c r="M77" t="n">
        <v>0</v>
      </c>
      <c r="N77" t="n">
        <v>0</v>
      </c>
      <c r="O77" t="n">
        <v>4</v>
      </c>
      <c r="P77" t="n">
        <v>1</v>
      </c>
      <c r="Q77" t="n">
        <v>6</v>
      </c>
      <c r="R77" s="2" t="inlineStr">
        <is>
          <t>Knärot
Garnlav
Lunglav
Tretåig hackspett
Luddlav
Stuplav</t>
        </is>
      </c>
      <c r="S77">
        <f>HYPERLINK("https://klasma.github.io/Logging_2380/artfynd/A 17248-2026 artfynd.xlsx", "A 17248-2026")</f>
        <v/>
      </c>
      <c r="T77">
        <f>HYPERLINK("https://klasma.github.io/Logging_2380/kartor/A 17248-2026 karta.png", "A 17248-2026")</f>
        <v/>
      </c>
      <c r="U77">
        <f>HYPERLINK("https://klasma.github.io/Logging_2380/knärot/A 17248-2026 karta knärot.png", "A 17248-2026")</f>
        <v/>
      </c>
      <c r="V77">
        <f>HYPERLINK("https://klasma.github.io/Logging_2380/klagomål/A 17248-2026 FSC-klagomål.docx", "A 17248-2026")</f>
        <v/>
      </c>
      <c r="W77">
        <f>HYPERLINK("https://klasma.github.io/Logging_2380/klagomålsmail/A 17248-2026 FSC-klagomål mail.docx", "A 17248-2026")</f>
        <v/>
      </c>
      <c r="X77">
        <f>HYPERLINK("https://klasma.github.io/Logging_2380/tillsyn/A 17248-2026 tillsynsbegäran.docx", "A 17248-2026")</f>
        <v/>
      </c>
      <c r="Y77">
        <f>HYPERLINK("https://klasma.github.io/Logging_2380/tillsynsmail/A 17248-2026 tillsynsbegäran mail.docx", "A 17248-2026")</f>
        <v/>
      </c>
      <c r="Z77">
        <f>HYPERLINK("https://klasma.github.io/Logging_2380/fåglar/A 17248-2026 prioriterade fågelarter.docx", "A 17248-2026")</f>
        <v/>
      </c>
    </row>
    <row r="78" ht="15" customHeight="1">
      <c r="A78" t="inlineStr">
        <is>
          <t>A 17230-2026</t>
        </is>
      </c>
      <c r="B78" s="1" t="n">
        <v>46119.39278935185</v>
      </c>
      <c r="C78" s="1" t="n">
        <v>46188</v>
      </c>
      <c r="D78" t="inlineStr">
        <is>
          <t>JÄMTLANDS LÄN</t>
        </is>
      </c>
      <c r="E78" t="inlineStr">
        <is>
          <t>ÖSTERSUND</t>
        </is>
      </c>
      <c r="G78" t="n">
        <v>3.4</v>
      </c>
      <c r="H78" t="n">
        <v>3</v>
      </c>
      <c r="I78" t="n">
        <v>1</v>
      </c>
      <c r="J78" t="n">
        <v>3</v>
      </c>
      <c r="K78" t="n">
        <v>0</v>
      </c>
      <c r="L78" t="n">
        <v>0</v>
      </c>
      <c r="M78" t="n">
        <v>0</v>
      </c>
      <c r="N78" t="n">
        <v>0</v>
      </c>
      <c r="O78" t="n">
        <v>3</v>
      </c>
      <c r="P78" t="n">
        <v>0</v>
      </c>
      <c r="Q78" t="n">
        <v>6</v>
      </c>
      <c r="R78" s="2" t="inlineStr">
        <is>
          <t>Garnlav
Harticka
Tretåig hackspett
Norrlandslav
Kungsfågel
Revlummer</t>
        </is>
      </c>
      <c r="S78">
        <f>HYPERLINK("https://klasma.github.io/Logging_2380/artfynd/A 17230-2026 artfynd.xlsx", "A 17230-2026")</f>
        <v/>
      </c>
      <c r="T78">
        <f>HYPERLINK("https://klasma.github.io/Logging_2380/kartor/A 17230-2026 karta.png", "A 17230-2026")</f>
        <v/>
      </c>
      <c r="V78">
        <f>HYPERLINK("https://klasma.github.io/Logging_2380/klagomål/A 17230-2026 FSC-klagomål.docx", "A 17230-2026")</f>
        <v/>
      </c>
      <c r="W78">
        <f>HYPERLINK("https://klasma.github.io/Logging_2380/klagomålsmail/A 17230-2026 FSC-klagomål mail.docx", "A 17230-2026")</f>
        <v/>
      </c>
      <c r="X78">
        <f>HYPERLINK("https://klasma.github.io/Logging_2380/tillsyn/A 17230-2026 tillsynsbegäran.docx", "A 17230-2026")</f>
        <v/>
      </c>
      <c r="Y78">
        <f>HYPERLINK("https://klasma.github.io/Logging_2380/tillsynsmail/A 17230-2026 tillsynsbegäran mail.docx", "A 17230-2026")</f>
        <v/>
      </c>
      <c r="Z78">
        <f>HYPERLINK("https://klasma.github.io/Logging_2380/fåglar/A 17230-2026 prioriterade fågelarter.docx", "A 17230-2026")</f>
        <v/>
      </c>
    </row>
    <row r="79" ht="15" customHeight="1">
      <c r="A79" t="inlineStr">
        <is>
          <t>A 27577-2022</t>
        </is>
      </c>
      <c r="B79" s="1" t="n">
        <v>44742</v>
      </c>
      <c r="C79" s="1" t="n">
        <v>46188</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56934-2025</t>
        </is>
      </c>
      <c r="B80" s="1" t="n">
        <v>45978.61351851852</v>
      </c>
      <c r="C80" s="1" t="n">
        <v>46188</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56499-2025</t>
        </is>
      </c>
      <c r="B81" s="1" t="n">
        <v>45975.43427083334</v>
      </c>
      <c r="C81" s="1" t="n">
        <v>46188</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62060-2025</t>
        </is>
      </c>
      <c r="B82" s="1" t="n">
        <v>46006.34435185185</v>
      </c>
      <c r="C82" s="1" t="n">
        <v>46188</v>
      </c>
      <c r="D82" t="inlineStr">
        <is>
          <t>JÄMTLANDS LÄN</t>
        </is>
      </c>
      <c r="E82" t="inlineStr">
        <is>
          <t>ÖSTERSUND</t>
        </is>
      </c>
      <c r="F82" t="inlineStr">
        <is>
          <t>SCA</t>
        </is>
      </c>
      <c r="G82" t="n">
        <v>6</v>
      </c>
      <c r="H82" t="n">
        <v>1</v>
      </c>
      <c r="I82" t="n">
        <v>3</v>
      </c>
      <c r="J82" t="n">
        <v>2</v>
      </c>
      <c r="K82" t="n">
        <v>0</v>
      </c>
      <c r="L82" t="n">
        <v>0</v>
      </c>
      <c r="M82" t="n">
        <v>0</v>
      </c>
      <c r="N82" t="n">
        <v>0</v>
      </c>
      <c r="O82" t="n">
        <v>2</v>
      </c>
      <c r="P82" t="n">
        <v>0</v>
      </c>
      <c r="Q82" t="n">
        <v>5</v>
      </c>
      <c r="R82" s="2" t="inlineStr">
        <is>
          <t>Skrovlig taggsvamp
Tretåig hackspett
Dropptaggsvamp
Fjällig taggsvamp s.str.
Skarp dropptaggsvamp</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58372-2025</t>
        </is>
      </c>
      <c r="B83" s="1" t="n">
        <v>45985</v>
      </c>
      <c r="C83" s="1" t="n">
        <v>46188</v>
      </c>
      <c r="D83" t="inlineStr">
        <is>
          <t>JÄMTLANDS LÄN</t>
        </is>
      </c>
      <c r="E83" t="inlineStr">
        <is>
          <t>ÖSTERSUND</t>
        </is>
      </c>
      <c r="G83" t="n">
        <v>7.1</v>
      </c>
      <c r="H83" t="n">
        <v>1</v>
      </c>
      <c r="I83" t="n">
        <v>0</v>
      </c>
      <c r="J83" t="n">
        <v>5</v>
      </c>
      <c r="K83" t="n">
        <v>0</v>
      </c>
      <c r="L83" t="n">
        <v>0</v>
      </c>
      <c r="M83" t="n">
        <v>0</v>
      </c>
      <c r="N83" t="n">
        <v>0</v>
      </c>
      <c r="O83" t="n">
        <v>5</v>
      </c>
      <c r="P83" t="n">
        <v>0</v>
      </c>
      <c r="Q83" t="n">
        <v>5</v>
      </c>
      <c r="R83" s="2" t="inlineStr">
        <is>
          <t>Garnlav
Harticka
Lunglav
Tretåig hackspett
Ullticka</t>
        </is>
      </c>
      <c r="S83">
        <f>HYPERLINK("https://klasma.github.io/Logging_2380/artfynd/A 58372-2025 artfynd.xlsx", "A 58372-2025")</f>
        <v/>
      </c>
      <c r="T83">
        <f>HYPERLINK("https://klasma.github.io/Logging_2380/kartor/A 58372-2025 karta.png", "A 58372-2025")</f>
        <v/>
      </c>
      <c r="V83">
        <f>HYPERLINK("https://klasma.github.io/Logging_2380/klagomål/A 58372-2025 FSC-klagomål.docx", "A 58372-2025")</f>
        <v/>
      </c>
      <c r="W83">
        <f>HYPERLINK("https://klasma.github.io/Logging_2380/klagomålsmail/A 58372-2025 FSC-klagomål mail.docx", "A 58372-2025")</f>
        <v/>
      </c>
      <c r="X83">
        <f>HYPERLINK("https://klasma.github.io/Logging_2380/tillsyn/A 58372-2025 tillsynsbegäran.docx", "A 58372-2025")</f>
        <v/>
      </c>
      <c r="Y83">
        <f>HYPERLINK("https://klasma.github.io/Logging_2380/tillsynsmail/A 58372-2025 tillsynsbegäran mail.docx", "A 58372-2025")</f>
        <v/>
      </c>
      <c r="Z83">
        <f>HYPERLINK("https://klasma.github.io/Logging_2380/fåglar/A 58372-2025 prioriterade fågelarter.docx", "A 58372-2025")</f>
        <v/>
      </c>
    </row>
    <row r="84" ht="15" customHeight="1">
      <c r="A84" t="inlineStr">
        <is>
          <t>A 13767-2026</t>
        </is>
      </c>
      <c r="B84" s="1" t="n">
        <v>46097.65557870371</v>
      </c>
      <c r="C84" s="1" t="n">
        <v>46188</v>
      </c>
      <c r="D84" t="inlineStr">
        <is>
          <t>JÄMTLANDS LÄN</t>
        </is>
      </c>
      <c r="E84" t="inlineStr">
        <is>
          <t>ÖSTERSUND</t>
        </is>
      </c>
      <c r="G84" t="n">
        <v>1.5</v>
      </c>
      <c r="H84" t="n">
        <v>1</v>
      </c>
      <c r="I84" t="n">
        <v>2</v>
      </c>
      <c r="J84" t="n">
        <v>0</v>
      </c>
      <c r="K84" t="n">
        <v>2</v>
      </c>
      <c r="L84" t="n">
        <v>0</v>
      </c>
      <c r="M84" t="n">
        <v>0</v>
      </c>
      <c r="N84" t="n">
        <v>0</v>
      </c>
      <c r="O84" t="n">
        <v>2</v>
      </c>
      <c r="P84" t="n">
        <v>2</v>
      </c>
      <c r="Q84" t="n">
        <v>5</v>
      </c>
      <c r="R84" s="2" t="inlineStr">
        <is>
          <t>Fjällfotad fingersvamp
Läderdoftande fingersvamp
Kransrams
Svavelriska
Blåsippa</t>
        </is>
      </c>
      <c r="S84">
        <f>HYPERLINK("https://klasma.github.io/Logging_2380/artfynd/A 13767-2026 artfynd.xlsx", "A 13767-2026")</f>
        <v/>
      </c>
      <c r="T84">
        <f>HYPERLINK("https://klasma.github.io/Logging_2380/kartor/A 13767-2026 karta.png", "A 13767-2026")</f>
        <v/>
      </c>
      <c r="V84">
        <f>HYPERLINK("https://klasma.github.io/Logging_2380/klagomål/A 13767-2026 FSC-klagomål.docx", "A 13767-2026")</f>
        <v/>
      </c>
      <c r="W84">
        <f>HYPERLINK("https://klasma.github.io/Logging_2380/klagomålsmail/A 13767-2026 FSC-klagomål mail.docx", "A 13767-2026")</f>
        <v/>
      </c>
      <c r="X84">
        <f>HYPERLINK("https://klasma.github.io/Logging_2380/tillsyn/A 13767-2026 tillsynsbegäran.docx", "A 13767-2026")</f>
        <v/>
      </c>
      <c r="Y84">
        <f>HYPERLINK("https://klasma.github.io/Logging_2380/tillsynsmail/A 13767-2026 tillsynsbegäran mail.docx", "A 13767-2026")</f>
        <v/>
      </c>
    </row>
    <row r="85" ht="15" customHeight="1">
      <c r="A85" t="inlineStr">
        <is>
          <t>A 54731-2024</t>
        </is>
      </c>
      <c r="B85" s="1" t="n">
        <v>45618.43853009259</v>
      </c>
      <c r="C85" s="1" t="n">
        <v>46188</v>
      </c>
      <c r="D85" t="inlineStr">
        <is>
          <t>JÄMTLANDS LÄN</t>
        </is>
      </c>
      <c r="E85" t="inlineStr">
        <is>
          <t>ÖSTERSUND</t>
        </is>
      </c>
      <c r="F85" t="inlineStr">
        <is>
          <t>SCA</t>
        </is>
      </c>
      <c r="G85" t="n">
        <v>16.8</v>
      </c>
      <c r="H85" t="n">
        <v>1</v>
      </c>
      <c r="I85" t="n">
        <v>1</v>
      </c>
      <c r="J85" t="n">
        <v>4</v>
      </c>
      <c r="K85" t="n">
        <v>0</v>
      </c>
      <c r="L85" t="n">
        <v>0</v>
      </c>
      <c r="M85" t="n">
        <v>0</v>
      </c>
      <c r="N85" t="n">
        <v>0</v>
      </c>
      <c r="O85" t="n">
        <v>4</v>
      </c>
      <c r="P85" t="n">
        <v>0</v>
      </c>
      <c r="Q85" t="n">
        <v>5</v>
      </c>
      <c r="R85" s="2" t="inlineStr">
        <is>
          <t>Granticka
Lunglav
Rödvingetrast
Ullticka
Kransrams</t>
        </is>
      </c>
      <c r="S85">
        <f>HYPERLINK("https://klasma.github.io/Logging_2380/artfynd/A 54731-2024 artfynd.xlsx", "A 54731-2024")</f>
        <v/>
      </c>
      <c r="T85">
        <f>HYPERLINK("https://klasma.github.io/Logging_2380/kartor/A 54731-2024 karta.png", "A 54731-2024")</f>
        <v/>
      </c>
      <c r="V85">
        <f>HYPERLINK("https://klasma.github.io/Logging_2380/klagomål/A 54731-2024 FSC-klagomål.docx", "A 54731-2024")</f>
        <v/>
      </c>
      <c r="W85">
        <f>HYPERLINK("https://klasma.github.io/Logging_2380/klagomålsmail/A 54731-2024 FSC-klagomål mail.docx", "A 54731-2024")</f>
        <v/>
      </c>
      <c r="X85">
        <f>HYPERLINK("https://klasma.github.io/Logging_2380/tillsyn/A 54731-2024 tillsynsbegäran.docx", "A 54731-2024")</f>
        <v/>
      </c>
      <c r="Y85">
        <f>HYPERLINK("https://klasma.github.io/Logging_2380/tillsynsmail/A 54731-2024 tillsynsbegäran mail.docx", "A 54731-2024")</f>
        <v/>
      </c>
      <c r="Z85">
        <f>HYPERLINK("https://klasma.github.io/Logging_2380/fåglar/A 54731-2024 prioriterade fågelarter.docx", "A 54731-2024")</f>
        <v/>
      </c>
    </row>
    <row r="86" ht="15" customHeight="1">
      <c r="A86" t="inlineStr">
        <is>
          <t>A 7717-2024</t>
        </is>
      </c>
      <c r="B86" s="1" t="n">
        <v>45349</v>
      </c>
      <c r="C86" s="1" t="n">
        <v>46188</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45979-2023</t>
        </is>
      </c>
      <c r="B87" s="1" t="n">
        <v>45189</v>
      </c>
      <c r="C87" s="1" t="n">
        <v>46188</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38334-2023</t>
        </is>
      </c>
      <c r="B88" s="1" t="n">
        <v>45161</v>
      </c>
      <c r="C88" s="1" t="n">
        <v>46188</v>
      </c>
      <c r="D88" t="inlineStr">
        <is>
          <t>JÄMTLANDS LÄN</t>
        </is>
      </c>
      <c r="E88" t="inlineStr">
        <is>
          <t>ÖSTERSUND</t>
        </is>
      </c>
      <c r="G88" t="n">
        <v>10.5</v>
      </c>
      <c r="H88" t="n">
        <v>1</v>
      </c>
      <c r="I88" t="n">
        <v>0</v>
      </c>
      <c r="J88" t="n">
        <v>3</v>
      </c>
      <c r="K88" t="n">
        <v>2</v>
      </c>
      <c r="L88" t="n">
        <v>0</v>
      </c>
      <c r="M88" t="n">
        <v>0</v>
      </c>
      <c r="N88" t="n">
        <v>0</v>
      </c>
      <c r="O88" t="n">
        <v>5</v>
      </c>
      <c r="P88" t="n">
        <v>2</v>
      </c>
      <c r="Q88" t="n">
        <v>5</v>
      </c>
      <c r="R88" s="2" t="inlineStr">
        <is>
          <t>Rynkskinn
Violett fingersvamp
Granticka
Harticka
Tretåig hackspett</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c r="Z88">
        <f>HYPERLINK("https://klasma.github.io/Logging_2380/fåglar/A 38334-2023 prioriterade fågelarter.docx", "A 38334-2023")</f>
        <v/>
      </c>
    </row>
    <row r="89" ht="15" customHeight="1">
      <c r="A89" t="inlineStr">
        <is>
          <t>A 39941-2024</t>
        </is>
      </c>
      <c r="B89" s="1" t="n">
        <v>45553</v>
      </c>
      <c r="C89" s="1" t="n">
        <v>46188</v>
      </c>
      <c r="D89" t="inlineStr">
        <is>
          <t>JÄMTLANDS LÄN</t>
        </is>
      </c>
      <c r="E89" t="inlineStr">
        <is>
          <t>ÖSTERSUND</t>
        </is>
      </c>
      <c r="G89" t="n">
        <v>6</v>
      </c>
      <c r="H89" t="n">
        <v>0</v>
      </c>
      <c r="I89" t="n">
        <v>2</v>
      </c>
      <c r="J89" t="n">
        <v>3</v>
      </c>
      <c r="K89" t="n">
        <v>0</v>
      </c>
      <c r="L89" t="n">
        <v>0</v>
      </c>
      <c r="M89" t="n">
        <v>0</v>
      </c>
      <c r="N89" t="n">
        <v>0</v>
      </c>
      <c r="O89" t="n">
        <v>3</v>
      </c>
      <c r="P89" t="n">
        <v>0</v>
      </c>
      <c r="Q89" t="n">
        <v>5</v>
      </c>
      <c r="R89" s="2" t="inlineStr">
        <is>
          <t>Garnlav
Lunglav
Skrovellav
Bårdlav
Luddlav</t>
        </is>
      </c>
      <c r="S89">
        <f>HYPERLINK("https://klasma.github.io/Logging_2380/artfynd/A 39941-2024 artfynd.xlsx", "A 39941-2024")</f>
        <v/>
      </c>
      <c r="T89">
        <f>HYPERLINK("https://klasma.github.io/Logging_2380/kartor/A 39941-2024 karta.png", "A 39941-2024")</f>
        <v/>
      </c>
      <c r="V89">
        <f>HYPERLINK("https://klasma.github.io/Logging_2380/klagomål/A 39941-2024 FSC-klagomål.docx", "A 39941-2024")</f>
        <v/>
      </c>
      <c r="W89">
        <f>HYPERLINK("https://klasma.github.io/Logging_2380/klagomålsmail/A 39941-2024 FSC-klagomål mail.docx", "A 39941-2024")</f>
        <v/>
      </c>
      <c r="X89">
        <f>HYPERLINK("https://klasma.github.io/Logging_2380/tillsyn/A 39941-2024 tillsynsbegäran.docx", "A 39941-2024")</f>
        <v/>
      </c>
      <c r="Y89">
        <f>HYPERLINK("https://klasma.github.io/Logging_2380/tillsynsmail/A 39941-2024 tillsynsbegäran mail.docx", "A 39941-2024")</f>
        <v/>
      </c>
    </row>
    <row r="90" ht="15" customHeight="1">
      <c r="A90" t="inlineStr">
        <is>
          <t>A 55344-2023</t>
        </is>
      </c>
      <c r="B90" s="1" t="n">
        <v>45237</v>
      </c>
      <c r="C90" s="1" t="n">
        <v>46188</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7698-2024</t>
        </is>
      </c>
      <c r="B91" s="1" t="n">
        <v>45349</v>
      </c>
      <c r="C91" s="1" t="n">
        <v>46188</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46188</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5171-2026</t>
        </is>
      </c>
      <c r="B93" s="1" t="n">
        <v>46049.64416666667</v>
      </c>
      <c r="C93" s="1" t="n">
        <v>46188</v>
      </c>
      <c r="D93" t="inlineStr">
        <is>
          <t>JÄMTLANDS LÄN</t>
        </is>
      </c>
      <c r="E93" t="inlineStr">
        <is>
          <t>ÖSTERSUND</t>
        </is>
      </c>
      <c r="G93" t="n">
        <v>4.1</v>
      </c>
      <c r="H93" t="n">
        <v>1</v>
      </c>
      <c r="I93" t="n">
        <v>4</v>
      </c>
      <c r="J93" t="n">
        <v>0</v>
      </c>
      <c r="K93" t="n">
        <v>0</v>
      </c>
      <c r="L93" t="n">
        <v>0</v>
      </c>
      <c r="M93" t="n">
        <v>0</v>
      </c>
      <c r="N93" t="n">
        <v>0</v>
      </c>
      <c r="O93" t="n">
        <v>0</v>
      </c>
      <c r="P93" t="n">
        <v>0</v>
      </c>
      <c r="Q93" t="n">
        <v>4</v>
      </c>
      <c r="R93" s="2" t="inlineStr">
        <is>
          <t>Fjällig taggsvamp s.str.
Korallblylav
Korallrot
Stuplav</t>
        </is>
      </c>
      <c r="S93">
        <f>HYPERLINK("https://klasma.github.io/Logging_2380/artfynd/A 5171-2026 artfynd.xlsx", "A 5171-2026")</f>
        <v/>
      </c>
      <c r="T93">
        <f>HYPERLINK("https://klasma.github.io/Logging_2380/kartor/A 5171-2026 karta.png", "A 5171-2026")</f>
        <v/>
      </c>
      <c r="V93">
        <f>HYPERLINK("https://klasma.github.io/Logging_2380/klagomål/A 5171-2026 FSC-klagomål.docx", "A 5171-2026")</f>
        <v/>
      </c>
      <c r="W93">
        <f>HYPERLINK("https://klasma.github.io/Logging_2380/klagomålsmail/A 5171-2026 FSC-klagomål mail.docx", "A 5171-2026")</f>
        <v/>
      </c>
      <c r="X93">
        <f>HYPERLINK("https://klasma.github.io/Logging_2380/tillsyn/A 5171-2026 tillsynsbegäran.docx", "A 5171-2026")</f>
        <v/>
      </c>
      <c r="Y93">
        <f>HYPERLINK("https://klasma.github.io/Logging_2380/tillsynsmail/A 5171-2026 tillsynsbegäran mail.docx", "A 5171-2026")</f>
        <v/>
      </c>
    </row>
    <row r="94" ht="15" customHeight="1">
      <c r="A94" t="inlineStr">
        <is>
          <t>A 25369-2024</t>
        </is>
      </c>
      <c r="B94" s="1" t="n">
        <v>45462.95982638889</v>
      </c>
      <c r="C94" s="1" t="n">
        <v>46188</v>
      </c>
      <c r="D94" t="inlineStr">
        <is>
          <t>JÄMTLANDS LÄN</t>
        </is>
      </c>
      <c r="E94" t="inlineStr">
        <is>
          <t>ÖSTERSUND</t>
        </is>
      </c>
      <c r="G94" t="n">
        <v>14.7</v>
      </c>
      <c r="H94" t="n">
        <v>1</v>
      </c>
      <c r="I94" t="n">
        <v>2</v>
      </c>
      <c r="J94" t="n">
        <v>1</v>
      </c>
      <c r="K94" t="n">
        <v>0</v>
      </c>
      <c r="L94" t="n">
        <v>0</v>
      </c>
      <c r="M94" t="n">
        <v>0</v>
      </c>
      <c r="N94" t="n">
        <v>0</v>
      </c>
      <c r="O94" t="n">
        <v>1</v>
      </c>
      <c r="P94" t="n">
        <v>0</v>
      </c>
      <c r="Q94" t="n">
        <v>4</v>
      </c>
      <c r="R94" s="2" t="inlineStr">
        <is>
          <t>Ullticka
Kransrams
Underviol
Blåsippa</t>
        </is>
      </c>
      <c r="S94">
        <f>HYPERLINK("https://klasma.github.io/Logging_2380/artfynd/A 25369-2024 artfynd.xlsx", "A 25369-2024")</f>
        <v/>
      </c>
      <c r="T94">
        <f>HYPERLINK("https://klasma.github.io/Logging_2380/kartor/A 25369-2024 karta.png", "A 25369-2024")</f>
        <v/>
      </c>
      <c r="V94">
        <f>HYPERLINK("https://klasma.github.io/Logging_2380/klagomål/A 25369-2024 FSC-klagomål.docx", "A 25369-2024")</f>
        <v/>
      </c>
      <c r="W94">
        <f>HYPERLINK("https://klasma.github.io/Logging_2380/klagomålsmail/A 25369-2024 FSC-klagomål mail.docx", "A 25369-2024")</f>
        <v/>
      </c>
      <c r="X94">
        <f>HYPERLINK("https://klasma.github.io/Logging_2380/tillsyn/A 25369-2024 tillsynsbegäran.docx", "A 25369-2024")</f>
        <v/>
      </c>
      <c r="Y94">
        <f>HYPERLINK("https://klasma.github.io/Logging_2380/tillsynsmail/A 25369-2024 tillsynsbegäran mail.docx", "A 25369-2024")</f>
        <v/>
      </c>
    </row>
    <row r="95" ht="15" customHeight="1">
      <c r="A95" t="inlineStr">
        <is>
          <t>A 2962-2023</t>
        </is>
      </c>
      <c r="B95" s="1" t="n">
        <v>44945</v>
      </c>
      <c r="C95" s="1" t="n">
        <v>46188</v>
      </c>
      <c r="D95" t="inlineStr">
        <is>
          <t>JÄMTLANDS LÄN</t>
        </is>
      </c>
      <c r="E95" t="inlineStr">
        <is>
          <t>ÖSTERSUND</t>
        </is>
      </c>
      <c r="F95" t="inlineStr">
        <is>
          <t>Övriga Aktiebolag</t>
        </is>
      </c>
      <c r="G95" t="n">
        <v>14.4</v>
      </c>
      <c r="H95" t="n">
        <v>2</v>
      </c>
      <c r="I95" t="n">
        <v>0</v>
      </c>
      <c r="J95" t="n">
        <v>3</v>
      </c>
      <c r="K95" t="n">
        <v>0</v>
      </c>
      <c r="L95" t="n">
        <v>0</v>
      </c>
      <c r="M95" t="n">
        <v>0</v>
      </c>
      <c r="N95" t="n">
        <v>0</v>
      </c>
      <c r="O95" t="n">
        <v>3</v>
      </c>
      <c r="P95" t="n">
        <v>0</v>
      </c>
      <c r="Q95" t="n">
        <v>4</v>
      </c>
      <c r="R95" s="2" t="inlineStr">
        <is>
          <t>Garnlav
Lunglav
Tretåig hackspett
Revlummer</t>
        </is>
      </c>
      <c r="S95">
        <f>HYPERLINK("https://klasma.github.io/Logging_2380/artfynd/A 2962-2023 artfynd.xlsx", "A 2962-2023")</f>
        <v/>
      </c>
      <c r="T95">
        <f>HYPERLINK("https://klasma.github.io/Logging_2380/kartor/A 2962-2023 karta.png", "A 2962-2023")</f>
        <v/>
      </c>
      <c r="V95">
        <f>HYPERLINK("https://klasma.github.io/Logging_2380/klagomål/A 2962-2023 FSC-klagomål.docx", "A 2962-2023")</f>
        <v/>
      </c>
      <c r="W95">
        <f>HYPERLINK("https://klasma.github.io/Logging_2380/klagomålsmail/A 2962-2023 FSC-klagomål mail.docx", "A 2962-2023")</f>
        <v/>
      </c>
      <c r="X95">
        <f>HYPERLINK("https://klasma.github.io/Logging_2380/tillsyn/A 2962-2023 tillsynsbegäran.docx", "A 2962-2023")</f>
        <v/>
      </c>
      <c r="Y95">
        <f>HYPERLINK("https://klasma.github.io/Logging_2380/tillsynsmail/A 2962-2023 tillsynsbegäran mail.docx", "A 2962-2023")</f>
        <v/>
      </c>
      <c r="Z95">
        <f>HYPERLINK("https://klasma.github.io/Logging_2380/fåglar/A 2962-2023 prioriterade fågelarter.docx", "A 2962-2023")</f>
        <v/>
      </c>
    </row>
    <row r="96" ht="15" customHeight="1">
      <c r="A96" t="inlineStr">
        <is>
          <t>A 59291-2022</t>
        </is>
      </c>
      <c r="B96" s="1" t="n">
        <v>44904</v>
      </c>
      <c r="C96" s="1" t="n">
        <v>46188</v>
      </c>
      <c r="D96" t="inlineStr">
        <is>
          <t>JÄMTLANDS LÄN</t>
        </is>
      </c>
      <c r="E96" t="inlineStr">
        <is>
          <t>ÖSTERSUND</t>
        </is>
      </c>
      <c r="G96" t="n">
        <v>9.199999999999999</v>
      </c>
      <c r="H96" t="n">
        <v>1</v>
      </c>
      <c r="I96" t="n">
        <v>0</v>
      </c>
      <c r="J96" t="n">
        <v>3</v>
      </c>
      <c r="K96" t="n">
        <v>0</v>
      </c>
      <c r="L96" t="n">
        <v>0</v>
      </c>
      <c r="M96" t="n">
        <v>0</v>
      </c>
      <c r="N96" t="n">
        <v>0</v>
      </c>
      <c r="O96" t="n">
        <v>3</v>
      </c>
      <c r="P96" t="n">
        <v>0</v>
      </c>
      <c r="Q96" t="n">
        <v>4</v>
      </c>
      <c r="R96" s="2" t="inlineStr">
        <is>
          <t>Garnlav
Lunglav
Skrovellav
Revlummer</t>
        </is>
      </c>
      <c r="S96">
        <f>HYPERLINK("https://klasma.github.io/Logging_2380/artfynd/A 59291-2022 artfynd.xlsx", "A 59291-2022")</f>
        <v/>
      </c>
      <c r="T96">
        <f>HYPERLINK("https://klasma.github.io/Logging_2380/kartor/A 59291-2022 karta.png", "A 59291-2022")</f>
        <v/>
      </c>
      <c r="V96">
        <f>HYPERLINK("https://klasma.github.io/Logging_2380/klagomål/A 59291-2022 FSC-klagomål.docx", "A 59291-2022")</f>
        <v/>
      </c>
      <c r="W96">
        <f>HYPERLINK("https://klasma.github.io/Logging_2380/klagomålsmail/A 59291-2022 FSC-klagomål mail.docx", "A 59291-2022")</f>
        <v/>
      </c>
      <c r="X96">
        <f>HYPERLINK("https://klasma.github.io/Logging_2380/tillsyn/A 59291-2022 tillsynsbegäran.docx", "A 59291-2022")</f>
        <v/>
      </c>
      <c r="Y96">
        <f>HYPERLINK("https://klasma.github.io/Logging_2380/tillsynsmail/A 59291-2022 tillsynsbegäran mail.docx", "A 59291-2022")</f>
        <v/>
      </c>
    </row>
    <row r="97" ht="15" customHeight="1">
      <c r="A97" t="inlineStr">
        <is>
          <t>A 8423-2023</t>
        </is>
      </c>
      <c r="B97" s="1" t="n">
        <v>44977</v>
      </c>
      <c r="C97" s="1" t="n">
        <v>46188</v>
      </c>
      <c r="D97" t="inlineStr">
        <is>
          <t>JÄMTLANDS LÄN</t>
        </is>
      </c>
      <c r="E97" t="inlineStr">
        <is>
          <t>ÖSTERSUND</t>
        </is>
      </c>
      <c r="F97" t="inlineStr">
        <is>
          <t>Övriga Aktiebolag</t>
        </is>
      </c>
      <c r="G97" t="n">
        <v>53.1</v>
      </c>
      <c r="H97" t="n">
        <v>1</v>
      </c>
      <c r="I97" t="n">
        <v>1</v>
      </c>
      <c r="J97" t="n">
        <v>2</v>
      </c>
      <c r="K97" t="n">
        <v>0</v>
      </c>
      <c r="L97" t="n">
        <v>0</v>
      </c>
      <c r="M97" t="n">
        <v>0</v>
      </c>
      <c r="N97" t="n">
        <v>0</v>
      </c>
      <c r="O97" t="n">
        <v>2</v>
      </c>
      <c r="P97" t="n">
        <v>0</v>
      </c>
      <c r="Q97" t="n">
        <v>4</v>
      </c>
      <c r="R97" s="2" t="inlineStr">
        <is>
          <t>Dvärgbägarlav
Garnlav
Stor aspticka
Nattviol</t>
        </is>
      </c>
      <c r="S97">
        <f>HYPERLINK("https://klasma.github.io/Logging_2380/artfynd/A 8423-2023 artfynd.xlsx", "A 8423-2023")</f>
        <v/>
      </c>
      <c r="T97">
        <f>HYPERLINK("https://klasma.github.io/Logging_2380/kartor/A 8423-2023 karta.png", "A 8423-2023")</f>
        <v/>
      </c>
      <c r="V97">
        <f>HYPERLINK("https://klasma.github.io/Logging_2380/klagomål/A 8423-2023 FSC-klagomål.docx", "A 8423-2023")</f>
        <v/>
      </c>
      <c r="W97">
        <f>HYPERLINK("https://klasma.github.io/Logging_2380/klagomålsmail/A 8423-2023 FSC-klagomål mail.docx", "A 8423-2023")</f>
        <v/>
      </c>
      <c r="X97">
        <f>HYPERLINK("https://klasma.github.io/Logging_2380/tillsyn/A 8423-2023 tillsynsbegäran.docx", "A 8423-2023")</f>
        <v/>
      </c>
      <c r="Y97">
        <f>HYPERLINK("https://klasma.github.io/Logging_2380/tillsynsmail/A 8423-2023 tillsynsbegäran mail.docx", "A 8423-2023")</f>
        <v/>
      </c>
    </row>
    <row r="98" ht="15" customHeight="1">
      <c r="A98" t="inlineStr">
        <is>
          <t>A 7439-2026</t>
        </is>
      </c>
      <c r="B98" s="1" t="n">
        <v>46059.44539351852</v>
      </c>
      <c r="C98" s="1" t="n">
        <v>46188</v>
      </c>
      <c r="D98" t="inlineStr">
        <is>
          <t>JÄMTLANDS LÄN</t>
        </is>
      </c>
      <c r="E98" t="inlineStr">
        <is>
          <t>ÖSTERSUND</t>
        </is>
      </c>
      <c r="G98" t="n">
        <v>4.7</v>
      </c>
      <c r="H98" t="n">
        <v>3</v>
      </c>
      <c r="I98" t="n">
        <v>0</v>
      </c>
      <c r="J98" t="n">
        <v>3</v>
      </c>
      <c r="K98" t="n">
        <v>1</v>
      </c>
      <c r="L98" t="n">
        <v>0</v>
      </c>
      <c r="M98" t="n">
        <v>0</v>
      </c>
      <c r="N98" t="n">
        <v>0</v>
      </c>
      <c r="O98" t="n">
        <v>4</v>
      </c>
      <c r="P98" t="n">
        <v>1</v>
      </c>
      <c r="Q98" t="n">
        <v>4</v>
      </c>
      <c r="R98" s="2" t="inlineStr">
        <is>
          <t>Knärot
Garnlav
Spillkråka
Tretåig hackspett</t>
        </is>
      </c>
      <c r="S98">
        <f>HYPERLINK("https://klasma.github.io/Logging_2380/artfynd/A 7439-2026 artfynd.xlsx", "A 7439-2026")</f>
        <v/>
      </c>
      <c r="T98">
        <f>HYPERLINK("https://klasma.github.io/Logging_2380/kartor/A 7439-2026 karta.png", "A 7439-2026")</f>
        <v/>
      </c>
      <c r="U98">
        <f>HYPERLINK("https://klasma.github.io/Logging_2380/knärot/A 7439-2026 karta knärot.png", "A 7439-2026")</f>
        <v/>
      </c>
      <c r="V98">
        <f>HYPERLINK("https://klasma.github.io/Logging_2380/klagomål/A 7439-2026 FSC-klagomål.docx", "A 7439-2026")</f>
        <v/>
      </c>
      <c r="W98">
        <f>HYPERLINK("https://klasma.github.io/Logging_2380/klagomålsmail/A 7439-2026 FSC-klagomål mail.docx", "A 7439-2026")</f>
        <v/>
      </c>
      <c r="X98">
        <f>HYPERLINK("https://klasma.github.io/Logging_2380/tillsyn/A 7439-2026 tillsynsbegäran.docx", "A 7439-2026")</f>
        <v/>
      </c>
      <c r="Y98">
        <f>HYPERLINK("https://klasma.github.io/Logging_2380/tillsynsmail/A 7439-2026 tillsynsbegäran mail.docx", "A 7439-2026")</f>
        <v/>
      </c>
      <c r="Z98">
        <f>HYPERLINK("https://klasma.github.io/Logging_2380/fåglar/A 7439-2026 prioriterade fågelarter.docx", "A 7439-2026")</f>
        <v/>
      </c>
    </row>
    <row r="99" ht="15" customHeight="1">
      <c r="A99" t="inlineStr">
        <is>
          <t>A 60580-2024</t>
        </is>
      </c>
      <c r="B99" s="1" t="n">
        <v>45644</v>
      </c>
      <c r="C99" s="1" t="n">
        <v>46188</v>
      </c>
      <c r="D99" t="inlineStr">
        <is>
          <t>JÄMTLANDS LÄN</t>
        </is>
      </c>
      <c r="E99" t="inlineStr">
        <is>
          <t>ÖSTERSUND</t>
        </is>
      </c>
      <c r="G99" t="n">
        <v>13.5</v>
      </c>
      <c r="H99" t="n">
        <v>2</v>
      </c>
      <c r="I99" t="n">
        <v>0</v>
      </c>
      <c r="J99" t="n">
        <v>4</v>
      </c>
      <c r="K99" t="n">
        <v>0</v>
      </c>
      <c r="L99" t="n">
        <v>0</v>
      </c>
      <c r="M99" t="n">
        <v>0</v>
      </c>
      <c r="N99" t="n">
        <v>0</v>
      </c>
      <c r="O99" t="n">
        <v>4</v>
      </c>
      <c r="P99" t="n">
        <v>0</v>
      </c>
      <c r="Q99" t="n">
        <v>4</v>
      </c>
      <c r="R99" s="2" t="inlineStr">
        <is>
          <t>Granticka
Lunglav
Spillkråka
Tretåig hackspett</t>
        </is>
      </c>
      <c r="S99">
        <f>HYPERLINK("https://klasma.github.io/Logging_2380/artfynd/A 60580-2024 artfynd.xlsx", "A 60580-2024")</f>
        <v/>
      </c>
      <c r="T99">
        <f>HYPERLINK("https://klasma.github.io/Logging_2380/kartor/A 60580-2024 karta.png", "A 60580-2024")</f>
        <v/>
      </c>
      <c r="V99">
        <f>HYPERLINK("https://klasma.github.io/Logging_2380/klagomål/A 60580-2024 FSC-klagomål.docx", "A 60580-2024")</f>
        <v/>
      </c>
      <c r="W99">
        <f>HYPERLINK("https://klasma.github.io/Logging_2380/klagomålsmail/A 60580-2024 FSC-klagomål mail.docx", "A 60580-2024")</f>
        <v/>
      </c>
      <c r="X99">
        <f>HYPERLINK("https://klasma.github.io/Logging_2380/tillsyn/A 60580-2024 tillsynsbegäran.docx", "A 60580-2024")</f>
        <v/>
      </c>
      <c r="Y99">
        <f>HYPERLINK("https://klasma.github.io/Logging_2380/tillsynsmail/A 60580-2024 tillsynsbegäran mail.docx", "A 60580-2024")</f>
        <v/>
      </c>
      <c r="Z99">
        <f>HYPERLINK("https://klasma.github.io/Logging_2380/fåglar/A 60580-2024 prioriterade fågelarter.docx", "A 60580-2024")</f>
        <v/>
      </c>
    </row>
    <row r="100" ht="15" customHeight="1">
      <c r="A100" t="inlineStr">
        <is>
          <t>A 15254-2026</t>
        </is>
      </c>
      <c r="B100" s="1" t="n">
        <v>46105.57688657408</v>
      </c>
      <c r="C100" s="1" t="n">
        <v>46188</v>
      </c>
      <c r="D100" t="inlineStr">
        <is>
          <t>JÄMTLANDS LÄN</t>
        </is>
      </c>
      <c r="E100" t="inlineStr">
        <is>
          <t>ÖSTERSUND</t>
        </is>
      </c>
      <c r="G100" t="n">
        <v>2.7</v>
      </c>
      <c r="H100" t="n">
        <v>1</v>
      </c>
      <c r="I100" t="n">
        <v>1</v>
      </c>
      <c r="J100" t="n">
        <v>3</v>
      </c>
      <c r="K100" t="n">
        <v>0</v>
      </c>
      <c r="L100" t="n">
        <v>0</v>
      </c>
      <c r="M100" t="n">
        <v>0</v>
      </c>
      <c r="N100" t="n">
        <v>0</v>
      </c>
      <c r="O100" t="n">
        <v>3</v>
      </c>
      <c r="P100" t="n">
        <v>0</v>
      </c>
      <c r="Q100" t="n">
        <v>4</v>
      </c>
      <c r="R100" s="2" t="inlineStr">
        <is>
          <t>Garnlav
Lunglav
Tretåig hackspett
Stuplav</t>
        </is>
      </c>
      <c r="S100">
        <f>HYPERLINK("https://klasma.github.io/Logging_2380/artfynd/A 15254-2026 artfynd.xlsx", "A 15254-2026")</f>
        <v/>
      </c>
      <c r="T100">
        <f>HYPERLINK("https://klasma.github.io/Logging_2380/kartor/A 15254-2026 karta.png", "A 15254-2026")</f>
        <v/>
      </c>
      <c r="V100">
        <f>HYPERLINK("https://klasma.github.io/Logging_2380/klagomål/A 15254-2026 FSC-klagomål.docx", "A 15254-2026")</f>
        <v/>
      </c>
      <c r="W100">
        <f>HYPERLINK("https://klasma.github.io/Logging_2380/klagomålsmail/A 15254-2026 FSC-klagomål mail.docx", "A 15254-2026")</f>
        <v/>
      </c>
      <c r="X100">
        <f>HYPERLINK("https://klasma.github.io/Logging_2380/tillsyn/A 15254-2026 tillsynsbegäran.docx", "A 15254-2026")</f>
        <v/>
      </c>
      <c r="Y100">
        <f>HYPERLINK("https://klasma.github.io/Logging_2380/tillsynsmail/A 15254-2026 tillsynsbegäran mail.docx", "A 15254-2026")</f>
        <v/>
      </c>
      <c r="Z100">
        <f>HYPERLINK("https://klasma.github.io/Logging_2380/fåglar/A 15254-2026 prioriterade fågelarter.docx", "A 15254-2026")</f>
        <v/>
      </c>
    </row>
    <row r="101" ht="15" customHeight="1">
      <c r="A101" t="inlineStr">
        <is>
          <t>A 29135-2022</t>
        </is>
      </c>
      <c r="B101" s="1" t="n">
        <v>44750</v>
      </c>
      <c r="C101" s="1" t="n">
        <v>46188</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46188</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20450-2026</t>
        </is>
      </c>
      <c r="B103" s="1" t="n">
        <v>46140.41887731481</v>
      </c>
      <c r="C103" s="1" t="n">
        <v>46188</v>
      </c>
      <c r="D103" t="inlineStr">
        <is>
          <t>JÄMTLANDS LÄN</t>
        </is>
      </c>
      <c r="E103" t="inlineStr">
        <is>
          <t>ÖSTERSUND</t>
        </is>
      </c>
      <c r="G103" t="n">
        <v>5.7</v>
      </c>
      <c r="H103" t="n">
        <v>1</v>
      </c>
      <c r="I103" t="n">
        <v>1</v>
      </c>
      <c r="J103" t="n">
        <v>2</v>
      </c>
      <c r="K103" t="n">
        <v>0</v>
      </c>
      <c r="L103" t="n">
        <v>0</v>
      </c>
      <c r="M103" t="n">
        <v>0</v>
      </c>
      <c r="N103" t="n">
        <v>0</v>
      </c>
      <c r="O103" t="n">
        <v>2</v>
      </c>
      <c r="P103" t="n">
        <v>0</v>
      </c>
      <c r="Q103" t="n">
        <v>4</v>
      </c>
      <c r="R103" s="2" t="inlineStr">
        <is>
          <t>Garnlav
Lunglav
Tibast
Blåsippa</t>
        </is>
      </c>
      <c r="S103">
        <f>HYPERLINK("https://klasma.github.io/Logging_2380/artfynd/A 20450-2026 artfynd.xlsx", "A 20450-2026")</f>
        <v/>
      </c>
      <c r="T103">
        <f>HYPERLINK("https://klasma.github.io/Logging_2380/kartor/A 20450-2026 karta.png", "A 20450-2026")</f>
        <v/>
      </c>
      <c r="V103">
        <f>HYPERLINK("https://klasma.github.io/Logging_2380/klagomål/A 20450-2026 FSC-klagomål.docx", "A 20450-2026")</f>
        <v/>
      </c>
      <c r="W103">
        <f>HYPERLINK("https://klasma.github.io/Logging_2380/klagomålsmail/A 20450-2026 FSC-klagomål mail.docx", "A 20450-2026")</f>
        <v/>
      </c>
      <c r="X103">
        <f>HYPERLINK("https://klasma.github.io/Logging_2380/tillsyn/A 20450-2026 tillsynsbegäran.docx", "A 20450-2026")</f>
        <v/>
      </c>
      <c r="Y103">
        <f>HYPERLINK("https://klasma.github.io/Logging_2380/tillsynsmail/A 20450-2026 tillsynsbegäran mail.docx", "A 20450-2026")</f>
        <v/>
      </c>
    </row>
    <row r="104" ht="15" customHeight="1">
      <c r="A104" t="inlineStr">
        <is>
          <t>A 50895-2024</t>
        </is>
      </c>
      <c r="B104" s="1" t="n">
        <v>45602</v>
      </c>
      <c r="C104" s="1" t="n">
        <v>46188</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19520-2023</t>
        </is>
      </c>
      <c r="B105" s="1" t="n">
        <v>45049</v>
      </c>
      <c r="C105" s="1" t="n">
        <v>46188</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43981-2023</t>
        </is>
      </c>
      <c r="B106" s="1" t="n">
        <v>45187</v>
      </c>
      <c r="C106" s="1" t="n">
        <v>46188</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3846-2024</t>
        </is>
      </c>
      <c r="B107" s="1" t="n">
        <v>45321</v>
      </c>
      <c r="C107" s="1" t="n">
        <v>46188</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36742-2024</t>
        </is>
      </c>
      <c r="B108" s="1" t="n">
        <v>45538.33584490741</v>
      </c>
      <c r="C108" s="1" t="n">
        <v>46188</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22491-2026</t>
        </is>
      </c>
      <c r="B109" s="1" t="n">
        <v>46155.4246412037</v>
      </c>
      <c r="C109" s="1" t="n">
        <v>46188</v>
      </c>
      <c r="D109" t="inlineStr">
        <is>
          <t>JÄMTLANDS LÄN</t>
        </is>
      </c>
      <c r="E109" t="inlineStr">
        <is>
          <t>ÖSTERSUND</t>
        </is>
      </c>
      <c r="G109" t="n">
        <v>6.5</v>
      </c>
      <c r="H109" t="n">
        <v>2</v>
      </c>
      <c r="I109" t="n">
        <v>2</v>
      </c>
      <c r="J109" t="n">
        <v>0</v>
      </c>
      <c r="K109" t="n">
        <v>0</v>
      </c>
      <c r="L109" t="n">
        <v>0</v>
      </c>
      <c r="M109" t="n">
        <v>0</v>
      </c>
      <c r="N109" t="n">
        <v>0</v>
      </c>
      <c r="O109" t="n">
        <v>0</v>
      </c>
      <c r="P109" t="n">
        <v>0</v>
      </c>
      <c r="Q109" t="n">
        <v>3</v>
      </c>
      <c r="R109" s="2" t="inlineStr">
        <is>
          <t>Finbräken
Tvåblad
Blåsippa</t>
        </is>
      </c>
      <c r="S109">
        <f>HYPERLINK("https://klasma.github.io/Logging_2380/artfynd/A 22491-2026 artfynd.xlsx", "A 22491-2026")</f>
        <v/>
      </c>
      <c r="T109">
        <f>HYPERLINK("https://klasma.github.io/Logging_2380/kartor/A 22491-2026 karta.png", "A 22491-2026")</f>
        <v/>
      </c>
      <c r="V109">
        <f>HYPERLINK("https://klasma.github.io/Logging_2380/klagomål/A 22491-2026 FSC-klagomål.docx", "A 22491-2026")</f>
        <v/>
      </c>
      <c r="W109">
        <f>HYPERLINK("https://klasma.github.io/Logging_2380/klagomålsmail/A 22491-2026 FSC-klagomål mail.docx", "A 22491-2026")</f>
        <v/>
      </c>
      <c r="X109">
        <f>HYPERLINK("https://klasma.github.io/Logging_2380/tillsyn/A 22491-2026 tillsynsbegäran.docx", "A 22491-2026")</f>
        <v/>
      </c>
      <c r="Y109">
        <f>HYPERLINK("https://klasma.github.io/Logging_2380/tillsynsmail/A 22491-2026 tillsynsbegäran mail.docx", "A 22491-2026")</f>
        <v/>
      </c>
    </row>
    <row r="110" ht="15" customHeight="1">
      <c r="A110" t="inlineStr">
        <is>
          <t>A 46705-2023</t>
        </is>
      </c>
      <c r="B110" s="1" t="n">
        <v>45198</v>
      </c>
      <c r="C110" s="1" t="n">
        <v>46188</v>
      </c>
      <c r="D110" t="inlineStr">
        <is>
          <t>JÄMTLANDS LÄN</t>
        </is>
      </c>
      <c r="E110" t="inlineStr">
        <is>
          <t>ÖSTERSUND</t>
        </is>
      </c>
      <c r="F110" t="inlineStr">
        <is>
          <t>Sveaskog</t>
        </is>
      </c>
      <c r="G110" t="n">
        <v>7.5</v>
      </c>
      <c r="H110" t="n">
        <v>1</v>
      </c>
      <c r="I110" t="n">
        <v>3</v>
      </c>
      <c r="J110" t="n">
        <v>0</v>
      </c>
      <c r="K110" t="n">
        <v>0</v>
      </c>
      <c r="L110" t="n">
        <v>0</v>
      </c>
      <c r="M110" t="n">
        <v>0</v>
      </c>
      <c r="N110" t="n">
        <v>0</v>
      </c>
      <c r="O110" t="n">
        <v>0</v>
      </c>
      <c r="P110" t="n">
        <v>0</v>
      </c>
      <c r="Q110" t="n">
        <v>3</v>
      </c>
      <c r="R110" s="2" t="inlineStr">
        <is>
          <t>Finbräken
Guckusko
Ögonpyrola</t>
        </is>
      </c>
      <c r="S110">
        <f>HYPERLINK("https://klasma.github.io/Logging_2380/artfynd/A 46705-2023 artfynd.xlsx", "A 46705-2023")</f>
        <v/>
      </c>
      <c r="T110">
        <f>HYPERLINK("https://klasma.github.io/Logging_2380/kartor/A 46705-2023 karta.png", "A 46705-2023")</f>
        <v/>
      </c>
      <c r="V110">
        <f>HYPERLINK("https://klasma.github.io/Logging_2380/klagomål/A 46705-2023 FSC-klagomål.docx", "A 46705-2023")</f>
        <v/>
      </c>
      <c r="W110">
        <f>HYPERLINK("https://klasma.github.io/Logging_2380/klagomålsmail/A 46705-2023 FSC-klagomål mail.docx", "A 46705-2023")</f>
        <v/>
      </c>
      <c r="X110">
        <f>HYPERLINK("https://klasma.github.io/Logging_2380/tillsyn/A 46705-2023 tillsynsbegäran.docx", "A 46705-2023")</f>
        <v/>
      </c>
      <c r="Y110">
        <f>HYPERLINK("https://klasma.github.io/Logging_2380/tillsynsmail/A 46705-2023 tillsynsbegäran mail.docx", "A 46705-2023")</f>
        <v/>
      </c>
    </row>
    <row r="111" ht="15" customHeight="1">
      <c r="A111" t="inlineStr">
        <is>
          <t>A 8610-2026</t>
        </is>
      </c>
      <c r="B111" s="1" t="n">
        <v>46065</v>
      </c>
      <c r="C111" s="1" t="n">
        <v>46188</v>
      </c>
      <c r="D111" t="inlineStr">
        <is>
          <t>JÄMTLANDS LÄN</t>
        </is>
      </c>
      <c r="E111" t="inlineStr">
        <is>
          <t>ÖSTERSUND</t>
        </is>
      </c>
      <c r="G111" t="n">
        <v>2.1</v>
      </c>
      <c r="H111" t="n">
        <v>3</v>
      </c>
      <c r="I111" t="n">
        <v>0</v>
      </c>
      <c r="J111" t="n">
        <v>2</v>
      </c>
      <c r="K111" t="n">
        <v>0</v>
      </c>
      <c r="L111" t="n">
        <v>0</v>
      </c>
      <c r="M111" t="n">
        <v>0</v>
      </c>
      <c r="N111" t="n">
        <v>0</v>
      </c>
      <c r="O111" t="n">
        <v>2</v>
      </c>
      <c r="P111" t="n">
        <v>0</v>
      </c>
      <c r="Q111" t="n">
        <v>3</v>
      </c>
      <c r="R111" s="2" t="inlineStr">
        <is>
          <t>Björktrast
Rödvingetrast
Kungsfågel</t>
        </is>
      </c>
      <c r="S111">
        <f>HYPERLINK("https://klasma.github.io/Logging_2380/artfynd/A 8610-2026 artfynd.xlsx", "A 8610-2026")</f>
        <v/>
      </c>
      <c r="T111">
        <f>HYPERLINK("https://klasma.github.io/Logging_2380/kartor/A 8610-2026 karta.png", "A 8610-2026")</f>
        <v/>
      </c>
      <c r="V111">
        <f>HYPERLINK("https://klasma.github.io/Logging_2380/klagomål/A 8610-2026 FSC-klagomål.docx", "A 8610-2026")</f>
        <v/>
      </c>
      <c r="W111">
        <f>HYPERLINK("https://klasma.github.io/Logging_2380/klagomålsmail/A 8610-2026 FSC-klagomål mail.docx", "A 8610-2026")</f>
        <v/>
      </c>
      <c r="X111">
        <f>HYPERLINK("https://klasma.github.io/Logging_2380/tillsyn/A 8610-2026 tillsynsbegäran.docx", "A 8610-2026")</f>
        <v/>
      </c>
      <c r="Y111">
        <f>HYPERLINK("https://klasma.github.io/Logging_2380/tillsynsmail/A 8610-2026 tillsynsbegäran mail.docx", "A 8610-2026")</f>
        <v/>
      </c>
      <c r="Z111">
        <f>HYPERLINK("https://klasma.github.io/Logging_2380/fåglar/A 8610-2026 prioriterade fågelarter.docx", "A 8610-2026")</f>
        <v/>
      </c>
    </row>
    <row r="112" ht="15" customHeight="1">
      <c r="A112" t="inlineStr">
        <is>
          <t>A 60565-2022</t>
        </is>
      </c>
      <c r="B112" s="1" t="n">
        <v>44904</v>
      </c>
      <c r="C112" s="1" t="n">
        <v>46188</v>
      </c>
      <c r="D112" t="inlineStr">
        <is>
          <t>JÄMTLANDS LÄN</t>
        </is>
      </c>
      <c r="E112" t="inlineStr">
        <is>
          <t>ÖSTERSUND</t>
        </is>
      </c>
      <c r="G112" t="n">
        <v>2.5</v>
      </c>
      <c r="H112" t="n">
        <v>2</v>
      </c>
      <c r="I112" t="n">
        <v>0</v>
      </c>
      <c r="J112" t="n">
        <v>2</v>
      </c>
      <c r="K112" t="n">
        <v>0</v>
      </c>
      <c r="L112" t="n">
        <v>0</v>
      </c>
      <c r="M112" t="n">
        <v>0</v>
      </c>
      <c r="N112" t="n">
        <v>0</v>
      </c>
      <c r="O112" t="n">
        <v>2</v>
      </c>
      <c r="P112" t="n">
        <v>0</v>
      </c>
      <c r="Q112" t="n">
        <v>3</v>
      </c>
      <c r="R112" s="2" t="inlineStr">
        <is>
          <t>Garnlav
Talltita
Revlummer</t>
        </is>
      </c>
      <c r="S112">
        <f>HYPERLINK("https://klasma.github.io/Logging_2380/artfynd/A 60565-2022 artfynd.xlsx", "A 60565-2022")</f>
        <v/>
      </c>
      <c r="T112">
        <f>HYPERLINK("https://klasma.github.io/Logging_2380/kartor/A 60565-2022 karta.png", "A 60565-2022")</f>
        <v/>
      </c>
      <c r="V112">
        <f>HYPERLINK("https://klasma.github.io/Logging_2380/klagomål/A 60565-2022 FSC-klagomål.docx", "A 60565-2022")</f>
        <v/>
      </c>
      <c r="W112">
        <f>HYPERLINK("https://klasma.github.io/Logging_2380/klagomålsmail/A 60565-2022 FSC-klagomål mail.docx", "A 60565-2022")</f>
        <v/>
      </c>
      <c r="X112">
        <f>HYPERLINK("https://klasma.github.io/Logging_2380/tillsyn/A 60565-2022 tillsynsbegäran.docx", "A 60565-2022")</f>
        <v/>
      </c>
      <c r="Y112">
        <f>HYPERLINK("https://klasma.github.io/Logging_2380/tillsynsmail/A 60565-2022 tillsynsbegäran mail.docx", "A 60565-2022")</f>
        <v/>
      </c>
      <c r="Z112">
        <f>HYPERLINK("https://klasma.github.io/Logging_2380/fåglar/A 60565-2022 prioriterade fågelarter.docx", "A 60565-2022")</f>
        <v/>
      </c>
    </row>
    <row r="113" ht="15" customHeight="1">
      <c r="A113" t="inlineStr">
        <is>
          <t>A 60565-2022</t>
        </is>
      </c>
      <c r="B113" s="1" t="n">
        <v>44904</v>
      </c>
      <c r="C113" s="1" t="n">
        <v>46188</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5100-2023</t>
        </is>
      </c>
      <c r="B114" s="1" t="n">
        <v>44956</v>
      </c>
      <c r="C114" s="1" t="n">
        <v>46188</v>
      </c>
      <c r="D114" t="inlineStr">
        <is>
          <t>JÄMTLANDS LÄN</t>
        </is>
      </c>
      <c r="E114" t="inlineStr">
        <is>
          <t>ÖSTERSUND</t>
        </is>
      </c>
      <c r="G114" t="n">
        <v>2.6</v>
      </c>
      <c r="H114" t="n">
        <v>0</v>
      </c>
      <c r="I114" t="n">
        <v>2</v>
      </c>
      <c r="J114" t="n">
        <v>0</v>
      </c>
      <c r="K114" t="n">
        <v>0</v>
      </c>
      <c r="L114" t="n">
        <v>1</v>
      </c>
      <c r="M114" t="n">
        <v>0</v>
      </c>
      <c r="N114" t="n">
        <v>0</v>
      </c>
      <c r="O114" t="n">
        <v>1</v>
      </c>
      <c r="P114" t="n">
        <v>1</v>
      </c>
      <c r="Q114" t="n">
        <v>3</v>
      </c>
      <c r="R114" s="2" t="inlineStr">
        <is>
          <t>Trolldruvemätare
Svart trolldruva
Tibast</t>
        </is>
      </c>
      <c r="S114">
        <f>HYPERLINK("https://klasma.github.io/Logging_2380/artfynd/A 5100-2023 artfynd.xlsx", "A 5100-2023")</f>
        <v/>
      </c>
      <c r="T114">
        <f>HYPERLINK("https://klasma.github.io/Logging_2380/kartor/A 5100-2023 karta.png", "A 5100-2023")</f>
        <v/>
      </c>
      <c r="V114">
        <f>HYPERLINK("https://klasma.github.io/Logging_2380/klagomål/A 5100-2023 FSC-klagomål.docx", "A 5100-2023")</f>
        <v/>
      </c>
      <c r="W114">
        <f>HYPERLINK("https://klasma.github.io/Logging_2380/klagomålsmail/A 5100-2023 FSC-klagomål mail.docx", "A 5100-2023")</f>
        <v/>
      </c>
      <c r="X114">
        <f>HYPERLINK("https://klasma.github.io/Logging_2380/tillsyn/A 5100-2023 tillsynsbegäran.docx", "A 5100-2023")</f>
        <v/>
      </c>
      <c r="Y114">
        <f>HYPERLINK("https://klasma.github.io/Logging_2380/tillsynsmail/A 5100-2023 tillsynsbegäran mail.docx", "A 5100-2023")</f>
        <v/>
      </c>
    </row>
    <row r="115" ht="15" customHeight="1">
      <c r="A115" t="inlineStr">
        <is>
          <t>A 20145-2026</t>
        </is>
      </c>
      <c r="B115" s="1" t="n">
        <v>46137.66166666667</v>
      </c>
      <c r="C115" s="1" t="n">
        <v>46188</v>
      </c>
      <c r="D115" t="inlineStr">
        <is>
          <t>JÄMTLANDS LÄN</t>
        </is>
      </c>
      <c r="E115" t="inlineStr">
        <is>
          <t>ÖSTERSUND</t>
        </is>
      </c>
      <c r="G115" t="n">
        <v>11.1</v>
      </c>
      <c r="H115" t="n">
        <v>2</v>
      </c>
      <c r="I115" t="n">
        <v>2</v>
      </c>
      <c r="J115" t="n">
        <v>0</v>
      </c>
      <c r="K115" t="n">
        <v>0</v>
      </c>
      <c r="L115" t="n">
        <v>0</v>
      </c>
      <c r="M115" t="n">
        <v>0</v>
      </c>
      <c r="N115" t="n">
        <v>0</v>
      </c>
      <c r="O115" t="n">
        <v>0</v>
      </c>
      <c r="P115" t="n">
        <v>0</v>
      </c>
      <c r="Q115" t="n">
        <v>3</v>
      </c>
      <c r="R115" s="2" t="inlineStr">
        <is>
          <t>Gräsull
Tvåblad
Brudsporre</t>
        </is>
      </c>
      <c r="S115">
        <f>HYPERLINK("https://klasma.github.io/Logging_2380/artfynd/A 20145-2026 artfynd.xlsx", "A 20145-2026")</f>
        <v/>
      </c>
      <c r="T115">
        <f>HYPERLINK("https://klasma.github.io/Logging_2380/kartor/A 20145-2026 karta.png", "A 20145-2026")</f>
        <v/>
      </c>
      <c r="V115">
        <f>HYPERLINK("https://klasma.github.io/Logging_2380/klagomål/A 20145-2026 FSC-klagomål.docx", "A 20145-2026")</f>
        <v/>
      </c>
      <c r="W115">
        <f>HYPERLINK("https://klasma.github.io/Logging_2380/klagomålsmail/A 20145-2026 FSC-klagomål mail.docx", "A 20145-2026")</f>
        <v/>
      </c>
      <c r="X115">
        <f>HYPERLINK("https://klasma.github.io/Logging_2380/tillsyn/A 20145-2026 tillsynsbegäran.docx", "A 20145-2026")</f>
        <v/>
      </c>
      <c r="Y115">
        <f>HYPERLINK("https://klasma.github.io/Logging_2380/tillsynsmail/A 20145-2026 tillsynsbegäran mail.docx", "A 20145-2026")</f>
        <v/>
      </c>
    </row>
    <row r="116" ht="15" customHeight="1">
      <c r="A116" t="inlineStr">
        <is>
          <t>A 53652-2024</t>
        </is>
      </c>
      <c r="B116" s="1" t="n">
        <v>45615.29761574074</v>
      </c>
      <c r="C116" s="1" t="n">
        <v>46188</v>
      </c>
      <c r="D116" t="inlineStr">
        <is>
          <t>JÄMTLANDS LÄN</t>
        </is>
      </c>
      <c r="E116" t="inlineStr">
        <is>
          <t>ÖSTERSUND</t>
        </is>
      </c>
      <c r="G116" t="n">
        <v>4.2</v>
      </c>
      <c r="H116" t="n">
        <v>1</v>
      </c>
      <c r="I116" t="n">
        <v>1</v>
      </c>
      <c r="J116" t="n">
        <v>1</v>
      </c>
      <c r="K116" t="n">
        <v>0</v>
      </c>
      <c r="L116" t="n">
        <v>0</v>
      </c>
      <c r="M116" t="n">
        <v>0</v>
      </c>
      <c r="N116" t="n">
        <v>0</v>
      </c>
      <c r="O116" t="n">
        <v>1</v>
      </c>
      <c r="P116" t="n">
        <v>0</v>
      </c>
      <c r="Q116" t="n">
        <v>3</v>
      </c>
      <c r="R116" s="2" t="inlineStr">
        <is>
          <t>Flattoppad klubbsvamp
Kransrams
Revlummer</t>
        </is>
      </c>
      <c r="S116">
        <f>HYPERLINK("https://klasma.github.io/Logging_2380/artfynd/A 53652-2024 artfynd.xlsx", "A 53652-2024")</f>
        <v/>
      </c>
      <c r="T116">
        <f>HYPERLINK("https://klasma.github.io/Logging_2380/kartor/A 53652-2024 karta.png", "A 53652-2024")</f>
        <v/>
      </c>
      <c r="V116">
        <f>HYPERLINK("https://klasma.github.io/Logging_2380/klagomål/A 53652-2024 FSC-klagomål.docx", "A 53652-2024")</f>
        <v/>
      </c>
      <c r="W116">
        <f>HYPERLINK("https://klasma.github.io/Logging_2380/klagomålsmail/A 53652-2024 FSC-klagomål mail.docx", "A 53652-2024")</f>
        <v/>
      </c>
      <c r="X116">
        <f>HYPERLINK("https://klasma.github.io/Logging_2380/tillsyn/A 53652-2024 tillsynsbegäran.docx", "A 53652-2024")</f>
        <v/>
      </c>
      <c r="Y116">
        <f>HYPERLINK("https://klasma.github.io/Logging_2380/tillsynsmail/A 53652-2024 tillsynsbegäran mail.docx", "A 53652-2024")</f>
        <v/>
      </c>
    </row>
    <row r="117" ht="15" customHeight="1">
      <c r="A117" t="inlineStr">
        <is>
          <t>A 60446-2024</t>
        </is>
      </c>
      <c r="B117" s="1" t="n">
        <v>45643.59420138889</v>
      </c>
      <c r="C117" s="1" t="n">
        <v>46188</v>
      </c>
      <c r="D117" t="inlineStr">
        <is>
          <t>JÄMTLANDS LÄN</t>
        </is>
      </c>
      <c r="E117" t="inlineStr">
        <is>
          <t>ÖSTERSUND</t>
        </is>
      </c>
      <c r="F117" t="inlineStr">
        <is>
          <t>SCA</t>
        </is>
      </c>
      <c r="G117" t="n">
        <v>3.6</v>
      </c>
      <c r="H117" t="n">
        <v>0</v>
      </c>
      <c r="I117" t="n">
        <v>1</v>
      </c>
      <c r="J117" t="n">
        <v>1</v>
      </c>
      <c r="K117" t="n">
        <v>0</v>
      </c>
      <c r="L117" t="n">
        <v>0</v>
      </c>
      <c r="M117" t="n">
        <v>0</v>
      </c>
      <c r="N117" t="n">
        <v>0</v>
      </c>
      <c r="O117" t="n">
        <v>1</v>
      </c>
      <c r="P117" t="n">
        <v>0</v>
      </c>
      <c r="Q117" t="n">
        <v>2</v>
      </c>
      <c r="R117" s="2" t="inlineStr">
        <is>
          <t>Ullticka
Vedticka</t>
        </is>
      </c>
      <c r="S117">
        <f>HYPERLINK("https://klasma.github.io/Logging_2380/artfynd/A 60446-2024 artfynd.xlsx", "A 60446-2024")</f>
        <v/>
      </c>
      <c r="T117">
        <f>HYPERLINK("https://klasma.github.io/Logging_2380/kartor/A 60446-2024 karta.png", "A 60446-2024")</f>
        <v/>
      </c>
      <c r="V117">
        <f>HYPERLINK("https://klasma.github.io/Logging_2380/klagomål/A 60446-2024 FSC-klagomål.docx", "A 60446-2024")</f>
        <v/>
      </c>
      <c r="W117">
        <f>HYPERLINK("https://klasma.github.io/Logging_2380/klagomålsmail/A 60446-2024 FSC-klagomål mail.docx", "A 60446-2024")</f>
        <v/>
      </c>
      <c r="X117">
        <f>HYPERLINK("https://klasma.github.io/Logging_2380/tillsyn/A 60446-2024 tillsynsbegäran.docx", "A 60446-2024")</f>
        <v/>
      </c>
      <c r="Y117">
        <f>HYPERLINK("https://klasma.github.io/Logging_2380/tillsynsmail/A 60446-2024 tillsynsbegäran mail.docx", "A 60446-2024")</f>
        <v/>
      </c>
    </row>
    <row r="118" ht="15" customHeight="1">
      <c r="A118" t="inlineStr">
        <is>
          <t>A 13795-2025</t>
        </is>
      </c>
      <c r="B118" s="1" t="n">
        <v>45737</v>
      </c>
      <c r="C118" s="1" t="n">
        <v>46188</v>
      </c>
      <c r="D118" t="inlineStr">
        <is>
          <t>JÄMTLANDS LÄN</t>
        </is>
      </c>
      <c r="E118" t="inlineStr">
        <is>
          <t>ÖSTERSUND</t>
        </is>
      </c>
      <c r="G118" t="n">
        <v>13.4</v>
      </c>
      <c r="H118" t="n">
        <v>1</v>
      </c>
      <c r="I118" t="n">
        <v>0</v>
      </c>
      <c r="J118" t="n">
        <v>1</v>
      </c>
      <c r="K118" t="n">
        <v>1</v>
      </c>
      <c r="L118" t="n">
        <v>0</v>
      </c>
      <c r="M118" t="n">
        <v>0</v>
      </c>
      <c r="N118" t="n">
        <v>0</v>
      </c>
      <c r="O118" t="n">
        <v>2</v>
      </c>
      <c r="P118" t="n">
        <v>1</v>
      </c>
      <c r="Q118" t="n">
        <v>2</v>
      </c>
      <c r="R118" s="2" t="inlineStr">
        <is>
          <t>Knärot
Lunglav</t>
        </is>
      </c>
      <c r="S118">
        <f>HYPERLINK("https://klasma.github.io/Logging_2380/artfynd/A 13795-2025 artfynd.xlsx", "A 13795-2025")</f>
        <v/>
      </c>
      <c r="T118">
        <f>HYPERLINK("https://klasma.github.io/Logging_2380/kartor/A 13795-2025 karta.png", "A 13795-2025")</f>
        <v/>
      </c>
      <c r="U118">
        <f>HYPERLINK("https://klasma.github.io/Logging_2380/knärot/A 13795-2025 karta knärot.png", "A 13795-2025")</f>
        <v/>
      </c>
      <c r="V118">
        <f>HYPERLINK("https://klasma.github.io/Logging_2380/klagomål/A 13795-2025 FSC-klagomål.docx", "A 13795-2025")</f>
        <v/>
      </c>
      <c r="W118">
        <f>HYPERLINK("https://klasma.github.io/Logging_2380/klagomålsmail/A 13795-2025 FSC-klagomål mail.docx", "A 13795-2025")</f>
        <v/>
      </c>
      <c r="X118">
        <f>HYPERLINK("https://klasma.github.io/Logging_2380/tillsyn/A 13795-2025 tillsynsbegäran.docx", "A 13795-2025")</f>
        <v/>
      </c>
      <c r="Y118">
        <f>HYPERLINK("https://klasma.github.io/Logging_2380/tillsynsmail/A 13795-2025 tillsynsbegäran mail.docx", "A 13795-2025")</f>
        <v/>
      </c>
    </row>
    <row r="119" ht="15" customHeight="1">
      <c r="A119" t="inlineStr">
        <is>
          <t>A 60534-2022</t>
        </is>
      </c>
      <c r="B119" s="1" t="n">
        <v>44904</v>
      </c>
      <c r="C119" s="1" t="n">
        <v>46188</v>
      </c>
      <c r="D119" t="inlineStr">
        <is>
          <t>JÄMTLANDS LÄN</t>
        </is>
      </c>
      <c r="E119" t="inlineStr">
        <is>
          <t>ÖSTERSUND</t>
        </is>
      </c>
      <c r="G119" t="n">
        <v>9.9</v>
      </c>
      <c r="H119" t="n">
        <v>0</v>
      </c>
      <c r="I119" t="n">
        <v>0</v>
      </c>
      <c r="J119" t="n">
        <v>2</v>
      </c>
      <c r="K119" t="n">
        <v>0</v>
      </c>
      <c r="L119" t="n">
        <v>0</v>
      </c>
      <c r="M119" t="n">
        <v>0</v>
      </c>
      <c r="N119" t="n">
        <v>0</v>
      </c>
      <c r="O119" t="n">
        <v>2</v>
      </c>
      <c r="P119" t="n">
        <v>0</v>
      </c>
      <c r="Q119" t="n">
        <v>2</v>
      </c>
      <c r="R119" s="2" t="inlineStr">
        <is>
          <t>Rosenticka
Ullticka</t>
        </is>
      </c>
      <c r="S119">
        <f>HYPERLINK("https://klasma.github.io/Logging_2380/artfynd/A 60534-2022 artfynd.xlsx", "A 60534-2022")</f>
        <v/>
      </c>
      <c r="T119">
        <f>HYPERLINK("https://klasma.github.io/Logging_2380/kartor/A 60534-2022 karta.png", "A 60534-2022")</f>
        <v/>
      </c>
      <c r="V119">
        <f>HYPERLINK("https://klasma.github.io/Logging_2380/klagomål/A 60534-2022 FSC-klagomål.docx", "A 60534-2022")</f>
        <v/>
      </c>
      <c r="W119">
        <f>HYPERLINK("https://klasma.github.io/Logging_2380/klagomålsmail/A 60534-2022 FSC-klagomål mail.docx", "A 60534-2022")</f>
        <v/>
      </c>
      <c r="X119">
        <f>HYPERLINK("https://klasma.github.io/Logging_2380/tillsyn/A 60534-2022 tillsynsbegäran.docx", "A 60534-2022")</f>
        <v/>
      </c>
      <c r="Y119">
        <f>HYPERLINK("https://klasma.github.io/Logging_2380/tillsynsmail/A 60534-2022 tillsynsbegäran mail.docx", "A 60534-2022")</f>
        <v/>
      </c>
    </row>
    <row r="120" ht="15" customHeight="1">
      <c r="A120" t="inlineStr">
        <is>
          <t>A 45237-2025</t>
        </is>
      </c>
      <c r="B120" s="1" t="n">
        <v>45919.59467592592</v>
      </c>
      <c r="C120" s="1" t="n">
        <v>46188</v>
      </c>
      <c r="D120" t="inlineStr">
        <is>
          <t>JÄMTLANDS LÄN</t>
        </is>
      </c>
      <c r="E120" t="inlineStr">
        <is>
          <t>ÖSTERSUND</t>
        </is>
      </c>
      <c r="F120" t="inlineStr">
        <is>
          <t>SCA</t>
        </is>
      </c>
      <c r="G120" t="n">
        <v>1.5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HYPERLINK("https://klasma.github.io/Logging_2380/artfynd/A 45237-2025 artfynd.xlsx", "A 45237-2025")</f>
        <v/>
      </c>
      <c r="T120">
        <f>HYPERLINK("https://klasma.github.io/Logging_2380/kartor/A 45237-2025 karta.png", "A 45237-2025")</f>
        <v/>
      </c>
      <c r="V120">
        <f>HYPERLINK("https://klasma.github.io/Logging_2380/klagomål/A 45237-2025 FSC-klagomål.docx", "A 45237-2025")</f>
        <v/>
      </c>
      <c r="W120">
        <f>HYPERLINK("https://klasma.github.io/Logging_2380/klagomålsmail/A 45237-2025 FSC-klagomål mail.docx", "A 45237-2025")</f>
        <v/>
      </c>
      <c r="X120">
        <f>HYPERLINK("https://klasma.github.io/Logging_2380/tillsyn/A 45237-2025 tillsynsbegäran.docx", "A 45237-2025")</f>
        <v/>
      </c>
      <c r="Y120">
        <f>HYPERLINK("https://klasma.github.io/Logging_2380/tillsynsmail/A 45237-2025 tillsynsbegäran mail.docx", "A 45237-2025")</f>
        <v/>
      </c>
    </row>
    <row r="121" ht="15" customHeight="1">
      <c r="A121" t="inlineStr">
        <is>
          <t>A 58931-2025</t>
        </is>
      </c>
      <c r="B121" s="1" t="n">
        <v>45987.55831018519</v>
      </c>
      <c r="C121" s="1" t="n">
        <v>46188</v>
      </c>
      <c r="D121" t="inlineStr">
        <is>
          <t>JÄMTLANDS LÄN</t>
        </is>
      </c>
      <c r="E121" t="inlineStr">
        <is>
          <t>ÖSTERSUND</t>
        </is>
      </c>
      <c r="G121" t="n">
        <v>3.9</v>
      </c>
      <c r="H121" t="n">
        <v>2</v>
      </c>
      <c r="I121" t="n">
        <v>0</v>
      </c>
      <c r="J121" t="n">
        <v>0</v>
      </c>
      <c r="K121" t="n">
        <v>0</v>
      </c>
      <c r="L121" t="n">
        <v>0</v>
      </c>
      <c r="M121" t="n">
        <v>0</v>
      </c>
      <c r="N121" t="n">
        <v>0</v>
      </c>
      <c r="O121" t="n">
        <v>0</v>
      </c>
      <c r="P121" t="n">
        <v>0</v>
      </c>
      <c r="Q121" t="n">
        <v>2</v>
      </c>
      <c r="R121" s="2" t="inlineStr">
        <is>
          <t>Blåsippa
Revlummer</t>
        </is>
      </c>
      <c r="S121">
        <f>HYPERLINK("https://klasma.github.io/Logging_2380/artfynd/A 58931-2025 artfynd.xlsx", "A 58931-2025")</f>
        <v/>
      </c>
      <c r="T121">
        <f>HYPERLINK("https://klasma.github.io/Logging_2380/kartor/A 58931-2025 karta.png", "A 58931-2025")</f>
        <v/>
      </c>
      <c r="V121">
        <f>HYPERLINK("https://klasma.github.io/Logging_2380/klagomål/A 58931-2025 FSC-klagomål.docx", "A 58931-2025")</f>
        <v/>
      </c>
      <c r="W121">
        <f>HYPERLINK("https://klasma.github.io/Logging_2380/klagomålsmail/A 58931-2025 FSC-klagomål mail.docx", "A 58931-2025")</f>
        <v/>
      </c>
      <c r="X121">
        <f>HYPERLINK("https://klasma.github.io/Logging_2380/tillsyn/A 58931-2025 tillsynsbegäran.docx", "A 58931-2025")</f>
        <v/>
      </c>
      <c r="Y121">
        <f>HYPERLINK("https://klasma.github.io/Logging_2380/tillsynsmail/A 58931-2025 tillsynsbegäran mail.docx", "A 58931-2025")</f>
        <v/>
      </c>
    </row>
    <row r="122" ht="15" customHeight="1">
      <c r="A122" t="inlineStr">
        <is>
          <t>A 15700-2025</t>
        </is>
      </c>
      <c r="B122" s="1" t="n">
        <v>45748.47314814815</v>
      </c>
      <c r="C122" s="1" t="n">
        <v>46188</v>
      </c>
      <c r="D122" t="inlineStr">
        <is>
          <t>JÄMTLANDS LÄN</t>
        </is>
      </c>
      <c r="E122" t="inlineStr">
        <is>
          <t>ÖSTERSUND</t>
        </is>
      </c>
      <c r="G122" t="n">
        <v>0.9</v>
      </c>
      <c r="H122" t="n">
        <v>0</v>
      </c>
      <c r="I122" t="n">
        <v>2</v>
      </c>
      <c r="J122" t="n">
        <v>0</v>
      </c>
      <c r="K122" t="n">
        <v>0</v>
      </c>
      <c r="L122" t="n">
        <v>0</v>
      </c>
      <c r="M122" t="n">
        <v>0</v>
      </c>
      <c r="N122" t="n">
        <v>0</v>
      </c>
      <c r="O122" t="n">
        <v>0</v>
      </c>
      <c r="P122" t="n">
        <v>0</v>
      </c>
      <c r="Q122" t="n">
        <v>2</v>
      </c>
      <c r="R122" s="2" t="inlineStr">
        <is>
          <t>Brun klibbskivling
Droppklibbskivling</t>
        </is>
      </c>
      <c r="S122">
        <f>HYPERLINK("https://klasma.github.io/Logging_2380/artfynd/A 15700-2025 artfynd.xlsx", "A 15700-2025")</f>
        <v/>
      </c>
      <c r="T122">
        <f>HYPERLINK("https://klasma.github.io/Logging_2380/kartor/A 15700-2025 karta.png", "A 15700-2025")</f>
        <v/>
      </c>
      <c r="V122">
        <f>HYPERLINK("https://klasma.github.io/Logging_2380/klagomål/A 15700-2025 FSC-klagomål.docx", "A 15700-2025")</f>
        <v/>
      </c>
      <c r="W122">
        <f>HYPERLINK("https://klasma.github.io/Logging_2380/klagomålsmail/A 15700-2025 FSC-klagomål mail.docx", "A 15700-2025")</f>
        <v/>
      </c>
      <c r="X122">
        <f>HYPERLINK("https://klasma.github.io/Logging_2380/tillsyn/A 15700-2025 tillsynsbegäran.docx", "A 15700-2025")</f>
        <v/>
      </c>
      <c r="Y122">
        <f>HYPERLINK("https://klasma.github.io/Logging_2380/tillsynsmail/A 15700-2025 tillsynsbegäran mail.docx", "A 15700-2025")</f>
        <v/>
      </c>
    </row>
    <row r="123" ht="15" customHeight="1">
      <c r="A123" t="inlineStr">
        <is>
          <t>A 56750-2025</t>
        </is>
      </c>
      <c r="B123" s="1" t="n">
        <v>45975</v>
      </c>
      <c r="C123" s="1" t="n">
        <v>46188</v>
      </c>
      <c r="D123" t="inlineStr">
        <is>
          <t>JÄMTLANDS LÄN</t>
        </is>
      </c>
      <c r="E123" t="inlineStr">
        <is>
          <t>ÖSTERSUND</t>
        </is>
      </c>
      <c r="G123" t="n">
        <v>5.1</v>
      </c>
      <c r="H123" t="n">
        <v>1</v>
      </c>
      <c r="I123" t="n">
        <v>0</v>
      </c>
      <c r="J123" t="n">
        <v>1</v>
      </c>
      <c r="K123" t="n">
        <v>0</v>
      </c>
      <c r="L123" t="n">
        <v>0</v>
      </c>
      <c r="M123" t="n">
        <v>0</v>
      </c>
      <c r="N123" t="n">
        <v>0</v>
      </c>
      <c r="O123" t="n">
        <v>1</v>
      </c>
      <c r="P123" t="n">
        <v>0</v>
      </c>
      <c r="Q123" t="n">
        <v>2</v>
      </c>
      <c r="R123" s="2" t="inlineStr">
        <is>
          <t>Garnlav
Revlummer</t>
        </is>
      </c>
      <c r="S123">
        <f>HYPERLINK("https://klasma.github.io/Logging_2380/artfynd/A 56750-2025 artfynd.xlsx", "A 56750-2025")</f>
        <v/>
      </c>
      <c r="T123">
        <f>HYPERLINK("https://klasma.github.io/Logging_2380/kartor/A 56750-2025 karta.png", "A 56750-2025")</f>
        <v/>
      </c>
      <c r="V123">
        <f>HYPERLINK("https://klasma.github.io/Logging_2380/klagomål/A 56750-2025 FSC-klagomål.docx", "A 56750-2025")</f>
        <v/>
      </c>
      <c r="W123">
        <f>HYPERLINK("https://klasma.github.io/Logging_2380/klagomålsmail/A 56750-2025 FSC-klagomål mail.docx", "A 56750-2025")</f>
        <v/>
      </c>
      <c r="X123">
        <f>HYPERLINK("https://klasma.github.io/Logging_2380/tillsyn/A 56750-2025 tillsynsbegäran.docx", "A 56750-2025")</f>
        <v/>
      </c>
      <c r="Y123">
        <f>HYPERLINK("https://klasma.github.io/Logging_2380/tillsynsmail/A 56750-2025 tillsynsbegäran mail.docx", "A 56750-2025")</f>
        <v/>
      </c>
    </row>
    <row r="124" ht="15" customHeight="1">
      <c r="A124" t="inlineStr">
        <is>
          <t>A 26612-2025</t>
        </is>
      </c>
      <c r="B124" s="1" t="n">
        <v>45810</v>
      </c>
      <c r="C124" s="1" t="n">
        <v>46188</v>
      </c>
      <c r="D124" t="inlineStr">
        <is>
          <t>JÄMTLANDS LÄN</t>
        </is>
      </c>
      <c r="E124" t="inlineStr">
        <is>
          <t>ÖSTERSUND</t>
        </is>
      </c>
      <c r="G124" t="n">
        <v>20.6</v>
      </c>
      <c r="H124" t="n">
        <v>1</v>
      </c>
      <c r="I124" t="n">
        <v>0</v>
      </c>
      <c r="J124" t="n">
        <v>0</v>
      </c>
      <c r="K124" t="n">
        <v>1</v>
      </c>
      <c r="L124" t="n">
        <v>1</v>
      </c>
      <c r="M124" t="n">
        <v>0</v>
      </c>
      <c r="N124" t="n">
        <v>0</v>
      </c>
      <c r="O124" t="n">
        <v>2</v>
      </c>
      <c r="P124" t="n">
        <v>2</v>
      </c>
      <c r="Q124" t="n">
        <v>2</v>
      </c>
      <c r="R124" s="2" t="inlineStr">
        <is>
          <t>Violett guldvinge
Turkos blåvinge</t>
        </is>
      </c>
      <c r="S124">
        <f>HYPERLINK("https://klasma.github.io/Logging_2380/artfynd/A 26612-2025 artfynd.xlsx", "A 26612-2025")</f>
        <v/>
      </c>
      <c r="T124">
        <f>HYPERLINK("https://klasma.github.io/Logging_2380/kartor/A 26612-2025 karta.png", "A 26612-2025")</f>
        <v/>
      </c>
      <c r="V124">
        <f>HYPERLINK("https://klasma.github.io/Logging_2380/klagomål/A 26612-2025 FSC-klagomål.docx", "A 26612-2025")</f>
        <v/>
      </c>
      <c r="W124">
        <f>HYPERLINK("https://klasma.github.io/Logging_2380/klagomålsmail/A 26612-2025 FSC-klagomål mail.docx", "A 26612-2025")</f>
        <v/>
      </c>
      <c r="X124">
        <f>HYPERLINK("https://klasma.github.io/Logging_2380/tillsyn/A 26612-2025 tillsynsbegäran.docx", "A 26612-2025")</f>
        <v/>
      </c>
      <c r="Y124">
        <f>HYPERLINK("https://klasma.github.io/Logging_2380/tillsynsmail/A 26612-2025 tillsynsbegäran mail.docx", "A 26612-2025")</f>
        <v/>
      </c>
    </row>
    <row r="125" ht="15" customHeight="1">
      <c r="A125" t="inlineStr">
        <is>
          <t>A 10796-2026</t>
        </is>
      </c>
      <c r="B125" s="1" t="n">
        <v>46078.59487268519</v>
      </c>
      <c r="C125" s="1" t="n">
        <v>46188</v>
      </c>
      <c r="D125" t="inlineStr">
        <is>
          <t>JÄMTLANDS LÄN</t>
        </is>
      </c>
      <c r="E125" t="inlineStr">
        <is>
          <t>ÖSTERSUND</t>
        </is>
      </c>
      <c r="G125" t="n">
        <v>3.3</v>
      </c>
      <c r="H125" t="n">
        <v>0</v>
      </c>
      <c r="I125" t="n">
        <v>0</v>
      </c>
      <c r="J125" t="n">
        <v>2</v>
      </c>
      <c r="K125" t="n">
        <v>0</v>
      </c>
      <c r="L125" t="n">
        <v>0</v>
      </c>
      <c r="M125" t="n">
        <v>0</v>
      </c>
      <c r="N125" t="n">
        <v>0</v>
      </c>
      <c r="O125" t="n">
        <v>2</v>
      </c>
      <c r="P125" t="n">
        <v>0</v>
      </c>
      <c r="Q125" t="n">
        <v>2</v>
      </c>
      <c r="R125" s="2" t="inlineStr">
        <is>
          <t>Granticka
Harticka</t>
        </is>
      </c>
      <c r="S125">
        <f>HYPERLINK("https://klasma.github.io/Logging_2380/artfynd/A 10796-2026 artfynd.xlsx", "A 10796-2026")</f>
        <v/>
      </c>
      <c r="T125">
        <f>HYPERLINK("https://klasma.github.io/Logging_2380/kartor/A 10796-2026 karta.png", "A 10796-2026")</f>
        <v/>
      </c>
      <c r="V125">
        <f>HYPERLINK("https://klasma.github.io/Logging_2380/klagomål/A 10796-2026 FSC-klagomål.docx", "A 10796-2026")</f>
        <v/>
      </c>
      <c r="W125">
        <f>HYPERLINK("https://klasma.github.io/Logging_2380/klagomålsmail/A 10796-2026 FSC-klagomål mail.docx", "A 10796-2026")</f>
        <v/>
      </c>
      <c r="X125">
        <f>HYPERLINK("https://klasma.github.io/Logging_2380/tillsyn/A 10796-2026 tillsynsbegäran.docx", "A 10796-2026")</f>
        <v/>
      </c>
      <c r="Y125">
        <f>HYPERLINK("https://klasma.github.io/Logging_2380/tillsynsmail/A 10796-2026 tillsynsbegäran mail.docx", "A 10796-2026")</f>
        <v/>
      </c>
    </row>
    <row r="126" ht="15" customHeight="1">
      <c r="A126" t="inlineStr">
        <is>
          <t>A 10529-2025</t>
        </is>
      </c>
      <c r="B126" s="1" t="n">
        <v>45721</v>
      </c>
      <c r="C126" s="1" t="n">
        <v>46188</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35977-2024</t>
        </is>
      </c>
      <c r="B127" s="1" t="n">
        <v>45533.49601851852</v>
      </c>
      <c r="C127" s="1" t="n">
        <v>46188</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63930-2023</t>
        </is>
      </c>
      <c r="B128" s="1" t="n">
        <v>45278</v>
      </c>
      <c r="C128" s="1" t="n">
        <v>46188</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59793-2022</t>
        </is>
      </c>
      <c r="B129" s="1" t="n">
        <v>44908</v>
      </c>
      <c r="C129" s="1" t="n">
        <v>46188</v>
      </c>
      <c r="D129" t="inlineStr">
        <is>
          <t>JÄMTLANDS LÄN</t>
        </is>
      </c>
      <c r="E129" t="inlineStr">
        <is>
          <t>ÖSTERSUND</t>
        </is>
      </c>
      <c r="G129" t="n">
        <v>23.3</v>
      </c>
      <c r="H129" t="n">
        <v>1</v>
      </c>
      <c r="I129" t="n">
        <v>1</v>
      </c>
      <c r="J129" t="n">
        <v>1</v>
      </c>
      <c r="K129" t="n">
        <v>0</v>
      </c>
      <c r="L129" t="n">
        <v>0</v>
      </c>
      <c r="M129" t="n">
        <v>0</v>
      </c>
      <c r="N129" t="n">
        <v>0</v>
      </c>
      <c r="O129" t="n">
        <v>1</v>
      </c>
      <c r="P129" t="n">
        <v>0</v>
      </c>
      <c r="Q129" t="n">
        <v>2</v>
      </c>
      <c r="R129" s="2" t="inlineStr">
        <is>
          <t>Majviva
Spindelblomster</t>
        </is>
      </c>
      <c r="S129">
        <f>HYPERLINK("https://klasma.github.io/Logging_2380/artfynd/A 59793-2022 artfynd.xlsx", "A 59793-2022")</f>
        <v/>
      </c>
      <c r="T129">
        <f>HYPERLINK("https://klasma.github.io/Logging_2380/kartor/A 59793-2022 karta.png", "A 59793-2022")</f>
        <v/>
      </c>
      <c r="V129">
        <f>HYPERLINK("https://klasma.github.io/Logging_2380/klagomål/A 59793-2022 FSC-klagomål.docx", "A 59793-2022")</f>
        <v/>
      </c>
      <c r="W129">
        <f>HYPERLINK("https://klasma.github.io/Logging_2380/klagomålsmail/A 59793-2022 FSC-klagomål mail.docx", "A 59793-2022")</f>
        <v/>
      </c>
      <c r="X129">
        <f>HYPERLINK("https://klasma.github.io/Logging_2380/tillsyn/A 59793-2022 tillsynsbegäran.docx", "A 59793-2022")</f>
        <v/>
      </c>
      <c r="Y129">
        <f>HYPERLINK("https://klasma.github.io/Logging_2380/tillsynsmail/A 59793-2022 tillsynsbegäran mail.docx", "A 59793-2022")</f>
        <v/>
      </c>
    </row>
    <row r="130" ht="15" customHeight="1">
      <c r="A130" t="inlineStr">
        <is>
          <t>A 25271-2026</t>
        </is>
      </c>
      <c r="B130" s="1" t="n">
        <v>46176.34450231482</v>
      </c>
      <c r="C130" s="1" t="n">
        <v>46188</v>
      </c>
      <c r="D130" t="inlineStr">
        <is>
          <t>JÄMTLANDS LÄN</t>
        </is>
      </c>
      <c r="E130" t="inlineStr">
        <is>
          <t>ÖSTERSUND</t>
        </is>
      </c>
      <c r="F130" t="inlineStr">
        <is>
          <t>SCA</t>
        </is>
      </c>
      <c r="G130" t="n">
        <v>5.8</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25271-2026 artfynd.xlsx", "A 25271-2026")</f>
        <v/>
      </c>
      <c r="T130">
        <f>HYPERLINK("https://klasma.github.io/Logging_2380/kartor/A 25271-2026 karta.png", "A 25271-2026")</f>
        <v/>
      </c>
      <c r="V130">
        <f>HYPERLINK("https://klasma.github.io/Logging_2380/klagomål/A 25271-2026 FSC-klagomål.docx", "A 25271-2026")</f>
        <v/>
      </c>
      <c r="W130">
        <f>HYPERLINK("https://klasma.github.io/Logging_2380/klagomålsmail/A 25271-2026 FSC-klagomål mail.docx", "A 25271-2026")</f>
        <v/>
      </c>
      <c r="X130">
        <f>HYPERLINK("https://klasma.github.io/Logging_2380/tillsyn/A 25271-2026 tillsynsbegäran.docx", "A 25271-2026")</f>
        <v/>
      </c>
      <c r="Y130">
        <f>HYPERLINK("https://klasma.github.io/Logging_2380/tillsynsmail/A 25271-2026 tillsynsbegäran mail.docx", "A 25271-2026")</f>
        <v/>
      </c>
    </row>
    <row r="131" ht="15" customHeight="1">
      <c r="A131" t="inlineStr">
        <is>
          <t>A 47385-2022</t>
        </is>
      </c>
      <c r="B131" s="1" t="n">
        <v>44853</v>
      </c>
      <c r="C131" s="1" t="n">
        <v>46188</v>
      </c>
      <c r="D131" t="inlineStr">
        <is>
          <t>JÄMTLANDS LÄN</t>
        </is>
      </c>
      <c r="E131" t="inlineStr">
        <is>
          <t>ÖSTERSUND</t>
        </is>
      </c>
      <c r="G131" t="n">
        <v>0.9</v>
      </c>
      <c r="H131" t="n">
        <v>0</v>
      </c>
      <c r="I131" t="n">
        <v>0</v>
      </c>
      <c r="J131" t="n">
        <v>2</v>
      </c>
      <c r="K131" t="n">
        <v>0</v>
      </c>
      <c r="L131" t="n">
        <v>0</v>
      </c>
      <c r="M131" t="n">
        <v>0</v>
      </c>
      <c r="N131" t="n">
        <v>0</v>
      </c>
      <c r="O131" t="n">
        <v>2</v>
      </c>
      <c r="P131" t="n">
        <v>0</v>
      </c>
      <c r="Q131" t="n">
        <v>2</v>
      </c>
      <c r="R131" s="2" t="inlineStr">
        <is>
          <t>Garnlav
Ullticka</t>
        </is>
      </c>
      <c r="S131">
        <f>HYPERLINK("https://klasma.github.io/Logging_2380/artfynd/A 47385-2022 artfynd.xlsx", "A 47385-2022")</f>
        <v/>
      </c>
      <c r="T131">
        <f>HYPERLINK("https://klasma.github.io/Logging_2380/kartor/A 47385-2022 karta.png", "A 47385-2022")</f>
        <v/>
      </c>
      <c r="U131">
        <f>HYPERLINK("https://klasma.github.io/Logging_2380/knärot/A 47385-2022 karta knärot.png", "A 47385-2022")</f>
        <v/>
      </c>
      <c r="V131">
        <f>HYPERLINK("https://klasma.github.io/Logging_2380/klagomål/A 47385-2022 FSC-klagomål.docx", "A 47385-2022")</f>
        <v/>
      </c>
      <c r="W131">
        <f>HYPERLINK("https://klasma.github.io/Logging_2380/klagomålsmail/A 47385-2022 FSC-klagomål mail.docx", "A 47385-2022")</f>
        <v/>
      </c>
      <c r="X131">
        <f>HYPERLINK("https://klasma.github.io/Logging_2380/tillsyn/A 47385-2022 tillsynsbegäran.docx", "A 47385-2022")</f>
        <v/>
      </c>
      <c r="Y131">
        <f>HYPERLINK("https://klasma.github.io/Logging_2380/tillsynsmail/A 47385-2022 tillsynsbegäran mail.docx", "A 47385-2022")</f>
        <v/>
      </c>
    </row>
    <row r="132" ht="15" customHeight="1">
      <c r="A132" t="inlineStr">
        <is>
          <t>A 52129-2023</t>
        </is>
      </c>
      <c r="B132" s="1" t="n">
        <v>45223</v>
      </c>
      <c r="C132" s="1" t="n">
        <v>46188</v>
      </c>
      <c r="D132" t="inlineStr">
        <is>
          <t>JÄMTLANDS LÄN</t>
        </is>
      </c>
      <c r="E132" t="inlineStr">
        <is>
          <t>ÖSTERSUND</t>
        </is>
      </c>
      <c r="F132" t="inlineStr">
        <is>
          <t>SCA</t>
        </is>
      </c>
      <c r="G132" t="n">
        <v>2</v>
      </c>
      <c r="H132" t="n">
        <v>0</v>
      </c>
      <c r="I132" t="n">
        <v>0</v>
      </c>
      <c r="J132" t="n">
        <v>2</v>
      </c>
      <c r="K132" t="n">
        <v>0</v>
      </c>
      <c r="L132" t="n">
        <v>0</v>
      </c>
      <c r="M132" t="n">
        <v>0</v>
      </c>
      <c r="N132" t="n">
        <v>0</v>
      </c>
      <c r="O132" t="n">
        <v>2</v>
      </c>
      <c r="P132" t="n">
        <v>0</v>
      </c>
      <c r="Q132" t="n">
        <v>2</v>
      </c>
      <c r="R132" s="2" t="inlineStr">
        <is>
          <t>Dvärgbägarlav
Kolflarnlav</t>
        </is>
      </c>
      <c r="S132">
        <f>HYPERLINK("https://klasma.github.io/Logging_2380/artfynd/A 52129-2023 artfynd.xlsx", "A 52129-2023")</f>
        <v/>
      </c>
      <c r="T132">
        <f>HYPERLINK("https://klasma.github.io/Logging_2380/kartor/A 52129-2023 karta.png", "A 52129-2023")</f>
        <v/>
      </c>
      <c r="V132">
        <f>HYPERLINK("https://klasma.github.io/Logging_2380/klagomål/A 52129-2023 FSC-klagomål.docx", "A 52129-2023")</f>
        <v/>
      </c>
      <c r="W132">
        <f>HYPERLINK("https://klasma.github.io/Logging_2380/klagomålsmail/A 52129-2023 FSC-klagomål mail.docx", "A 52129-2023")</f>
        <v/>
      </c>
      <c r="X132">
        <f>HYPERLINK("https://klasma.github.io/Logging_2380/tillsyn/A 52129-2023 tillsynsbegäran.docx", "A 52129-2023")</f>
        <v/>
      </c>
      <c r="Y132">
        <f>HYPERLINK("https://klasma.github.io/Logging_2380/tillsynsmail/A 52129-2023 tillsynsbegäran mail.docx", "A 52129-2023")</f>
        <v/>
      </c>
    </row>
    <row r="133" ht="15" customHeight="1">
      <c r="A133" t="inlineStr">
        <is>
          <t>A 4916-2023</t>
        </is>
      </c>
      <c r="B133" s="1" t="n">
        <v>44956</v>
      </c>
      <c r="C133" s="1" t="n">
        <v>46188</v>
      </c>
      <c r="D133" t="inlineStr">
        <is>
          <t>JÄMTLANDS LÄN</t>
        </is>
      </c>
      <c r="E133" t="inlineStr">
        <is>
          <t>ÖSTERSUND</t>
        </is>
      </c>
      <c r="G133" t="n">
        <v>1.2</v>
      </c>
      <c r="H133" t="n">
        <v>0</v>
      </c>
      <c r="I133" t="n">
        <v>1</v>
      </c>
      <c r="J133" t="n">
        <v>0</v>
      </c>
      <c r="K133" t="n">
        <v>0</v>
      </c>
      <c r="L133" t="n">
        <v>1</v>
      </c>
      <c r="M133" t="n">
        <v>0</v>
      </c>
      <c r="N133" t="n">
        <v>0</v>
      </c>
      <c r="O133" t="n">
        <v>1</v>
      </c>
      <c r="P133" t="n">
        <v>1</v>
      </c>
      <c r="Q133" t="n">
        <v>2</v>
      </c>
      <c r="R133" s="2" t="inlineStr">
        <is>
          <t>Trolldruvemätare
Svart trolldruva</t>
        </is>
      </c>
      <c r="S133">
        <f>HYPERLINK("https://klasma.github.io/Logging_2380/artfynd/A 4916-2023 artfynd.xlsx", "A 4916-2023")</f>
        <v/>
      </c>
      <c r="T133">
        <f>HYPERLINK("https://klasma.github.io/Logging_2380/kartor/A 4916-2023 karta.png", "A 4916-2023")</f>
        <v/>
      </c>
      <c r="V133">
        <f>HYPERLINK("https://klasma.github.io/Logging_2380/klagomål/A 4916-2023 FSC-klagomål.docx", "A 4916-2023")</f>
        <v/>
      </c>
      <c r="W133">
        <f>HYPERLINK("https://klasma.github.io/Logging_2380/klagomålsmail/A 4916-2023 FSC-klagomål mail.docx", "A 4916-2023")</f>
        <v/>
      </c>
      <c r="X133">
        <f>HYPERLINK("https://klasma.github.io/Logging_2380/tillsyn/A 4916-2023 tillsynsbegäran.docx", "A 4916-2023")</f>
        <v/>
      </c>
      <c r="Y133">
        <f>HYPERLINK("https://klasma.github.io/Logging_2380/tillsynsmail/A 4916-2023 tillsynsbegäran mail.docx", "A 4916-2023")</f>
        <v/>
      </c>
    </row>
    <row r="134" ht="15" customHeight="1">
      <c r="A134" t="inlineStr">
        <is>
          <t>A 21615-2024</t>
        </is>
      </c>
      <c r="B134" s="1" t="n">
        <v>45441.95357638889</v>
      </c>
      <c r="C134" s="1" t="n">
        <v>46188</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39968-2024</t>
        </is>
      </c>
      <c r="B135" s="1" t="n">
        <v>45553.59296296296</v>
      </c>
      <c r="C135" s="1" t="n">
        <v>46188</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56006-2023</t>
        </is>
      </c>
      <c r="B136" s="1" t="n">
        <v>45233</v>
      </c>
      <c r="C136" s="1" t="n">
        <v>46188</v>
      </c>
      <c r="D136" t="inlineStr">
        <is>
          <t>JÄMTLANDS LÄN</t>
        </is>
      </c>
      <c r="E136" t="inlineStr">
        <is>
          <t>ÖSTERSUND</t>
        </is>
      </c>
      <c r="G136" t="n">
        <v>2.3</v>
      </c>
      <c r="H136" t="n">
        <v>0</v>
      </c>
      <c r="I136" t="n">
        <v>2</v>
      </c>
      <c r="J136" t="n">
        <v>0</v>
      </c>
      <c r="K136" t="n">
        <v>0</v>
      </c>
      <c r="L136" t="n">
        <v>0</v>
      </c>
      <c r="M136" t="n">
        <v>0</v>
      </c>
      <c r="N136" t="n">
        <v>0</v>
      </c>
      <c r="O136" t="n">
        <v>0</v>
      </c>
      <c r="P136" t="n">
        <v>0</v>
      </c>
      <c r="Q136" t="n">
        <v>2</v>
      </c>
      <c r="R136" s="2" t="inlineStr">
        <is>
          <t>Korallblylav
Skinnlav</t>
        </is>
      </c>
      <c r="S136">
        <f>HYPERLINK("https://klasma.github.io/Logging_2380/artfynd/A 56006-2023 artfynd.xlsx", "A 56006-2023")</f>
        <v/>
      </c>
      <c r="T136">
        <f>HYPERLINK("https://klasma.github.io/Logging_2380/kartor/A 56006-2023 karta.png", "A 56006-2023")</f>
        <v/>
      </c>
      <c r="V136">
        <f>HYPERLINK("https://klasma.github.io/Logging_2380/klagomål/A 56006-2023 FSC-klagomål.docx", "A 56006-2023")</f>
        <v/>
      </c>
      <c r="W136">
        <f>HYPERLINK("https://klasma.github.io/Logging_2380/klagomålsmail/A 56006-2023 FSC-klagomål mail.docx", "A 56006-2023")</f>
        <v/>
      </c>
      <c r="X136">
        <f>HYPERLINK("https://klasma.github.io/Logging_2380/tillsyn/A 56006-2023 tillsynsbegäran.docx", "A 56006-2023")</f>
        <v/>
      </c>
      <c r="Y136">
        <f>HYPERLINK("https://klasma.github.io/Logging_2380/tillsynsmail/A 56006-2023 tillsynsbegäran mail.docx", "A 56006-2023")</f>
        <v/>
      </c>
    </row>
    <row r="137" ht="15" customHeight="1">
      <c r="A137" t="inlineStr">
        <is>
          <t>A 43883-2024</t>
        </is>
      </c>
      <c r="B137" s="1" t="n">
        <v>45570</v>
      </c>
      <c r="C137" s="1" t="n">
        <v>46188</v>
      </c>
      <c r="D137" t="inlineStr">
        <is>
          <t>JÄMTLANDS LÄN</t>
        </is>
      </c>
      <c r="E137" t="inlineStr">
        <is>
          <t>ÖSTERSUND</t>
        </is>
      </c>
      <c r="G137" t="n">
        <v>3.8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43883-2024 artfynd.xlsx", "A 43883-2024")</f>
        <v/>
      </c>
      <c r="T137">
        <f>HYPERLINK("https://klasma.github.io/Logging_2380/kartor/A 43883-2024 karta.png", "A 43883-2024")</f>
        <v/>
      </c>
      <c r="V137">
        <f>HYPERLINK("https://klasma.github.io/Logging_2380/klagomål/A 43883-2024 FSC-klagomål.docx", "A 43883-2024")</f>
        <v/>
      </c>
      <c r="W137">
        <f>HYPERLINK("https://klasma.github.io/Logging_2380/klagomålsmail/A 43883-2024 FSC-klagomål mail.docx", "A 43883-2024")</f>
        <v/>
      </c>
      <c r="X137">
        <f>HYPERLINK("https://klasma.github.io/Logging_2380/tillsyn/A 43883-2024 tillsynsbegäran.docx", "A 43883-2024")</f>
        <v/>
      </c>
      <c r="Y137">
        <f>HYPERLINK("https://klasma.github.io/Logging_2380/tillsynsmail/A 43883-2024 tillsynsbegäran mail.docx", "A 43883-2024")</f>
        <v/>
      </c>
    </row>
    <row r="138" ht="15" customHeight="1">
      <c r="A138" t="inlineStr">
        <is>
          <t>A 48947-2021</t>
        </is>
      </c>
      <c r="B138" s="1" t="n">
        <v>44453</v>
      </c>
      <c r="C138" s="1" t="n">
        <v>46188</v>
      </c>
      <c r="D138" t="inlineStr">
        <is>
          <t>JÄMTLANDS LÄN</t>
        </is>
      </c>
      <c r="E138" t="inlineStr">
        <is>
          <t>ÖSTERSUND</t>
        </is>
      </c>
      <c r="G138" t="n">
        <v>22.3</v>
      </c>
      <c r="H138" t="n">
        <v>1</v>
      </c>
      <c r="I138" t="n">
        <v>0</v>
      </c>
      <c r="J138" t="n">
        <v>0</v>
      </c>
      <c r="K138" t="n">
        <v>0</v>
      </c>
      <c r="L138" t="n">
        <v>0</v>
      </c>
      <c r="M138" t="n">
        <v>0</v>
      </c>
      <c r="N138" t="n">
        <v>0</v>
      </c>
      <c r="O138" t="n">
        <v>0</v>
      </c>
      <c r="P138" t="n">
        <v>0</v>
      </c>
      <c r="Q138" t="n">
        <v>1</v>
      </c>
      <c r="R138" s="2" t="inlineStr">
        <is>
          <t>Blåsippa</t>
        </is>
      </c>
      <c r="S138">
        <f>HYPERLINK("https://klasma.github.io/Logging_2380/artfynd/A 48947-2021 artfynd.xlsx", "A 48947-2021")</f>
        <v/>
      </c>
      <c r="T138">
        <f>HYPERLINK("https://klasma.github.io/Logging_2380/kartor/A 48947-2021 karta.png", "A 48947-2021")</f>
        <v/>
      </c>
      <c r="V138">
        <f>HYPERLINK("https://klasma.github.io/Logging_2380/klagomål/A 48947-2021 FSC-klagomål.docx", "A 48947-2021")</f>
        <v/>
      </c>
      <c r="W138">
        <f>HYPERLINK("https://klasma.github.io/Logging_2380/klagomålsmail/A 48947-2021 FSC-klagomål mail.docx", "A 48947-2021")</f>
        <v/>
      </c>
      <c r="X138">
        <f>HYPERLINK("https://klasma.github.io/Logging_2380/tillsyn/A 48947-2021 tillsynsbegäran.docx", "A 48947-2021")</f>
        <v/>
      </c>
      <c r="Y138">
        <f>HYPERLINK("https://klasma.github.io/Logging_2380/tillsynsmail/A 48947-2021 tillsynsbegäran mail.docx", "A 48947-2021")</f>
        <v/>
      </c>
    </row>
    <row r="139" ht="15" customHeight="1">
      <c r="A139" t="inlineStr">
        <is>
          <t>A 33137-2021</t>
        </is>
      </c>
      <c r="B139" s="1" t="n">
        <v>44376</v>
      </c>
      <c r="C139" s="1" t="n">
        <v>46188</v>
      </c>
      <c r="D139" t="inlineStr">
        <is>
          <t>JÄMTLANDS LÄN</t>
        </is>
      </c>
      <c r="E139" t="inlineStr">
        <is>
          <t>ÖSTERSUND</t>
        </is>
      </c>
      <c r="F139" t="inlineStr">
        <is>
          <t>Kommuner</t>
        </is>
      </c>
      <c r="G139" t="n">
        <v>3.7</v>
      </c>
      <c r="H139" t="n">
        <v>1</v>
      </c>
      <c r="I139" t="n">
        <v>1</v>
      </c>
      <c r="J139" t="n">
        <v>0</v>
      </c>
      <c r="K139" t="n">
        <v>0</v>
      </c>
      <c r="L139" t="n">
        <v>0</v>
      </c>
      <c r="M139" t="n">
        <v>0</v>
      </c>
      <c r="N139" t="n">
        <v>0</v>
      </c>
      <c r="O139" t="n">
        <v>0</v>
      </c>
      <c r="P139" t="n">
        <v>0</v>
      </c>
      <c r="Q139" t="n">
        <v>1</v>
      </c>
      <c r="R139" s="2" t="inlineStr">
        <is>
          <t>Guckusko</t>
        </is>
      </c>
      <c r="S139">
        <f>HYPERLINK("https://klasma.github.io/Logging_2380/artfynd/A 33137-2021 artfynd.xlsx", "A 33137-2021")</f>
        <v/>
      </c>
      <c r="T139">
        <f>HYPERLINK("https://klasma.github.io/Logging_2380/kartor/A 33137-2021 karta.png", "A 33137-2021")</f>
        <v/>
      </c>
      <c r="V139">
        <f>HYPERLINK("https://klasma.github.io/Logging_2380/klagomål/A 33137-2021 FSC-klagomål.docx", "A 33137-2021")</f>
        <v/>
      </c>
      <c r="W139">
        <f>HYPERLINK("https://klasma.github.io/Logging_2380/klagomålsmail/A 33137-2021 FSC-klagomål mail.docx", "A 33137-2021")</f>
        <v/>
      </c>
      <c r="X139">
        <f>HYPERLINK("https://klasma.github.io/Logging_2380/tillsyn/A 33137-2021 tillsynsbegäran.docx", "A 33137-2021")</f>
        <v/>
      </c>
      <c r="Y139">
        <f>HYPERLINK("https://klasma.github.io/Logging_2380/tillsynsmail/A 33137-2021 tillsynsbegäran mail.docx", "A 33137-2021")</f>
        <v/>
      </c>
    </row>
    <row r="140" ht="15" customHeight="1">
      <c r="A140" t="inlineStr">
        <is>
          <t>A 10336-2022</t>
        </is>
      </c>
      <c r="B140" s="1" t="n">
        <v>44623</v>
      </c>
      <c r="C140" s="1" t="n">
        <v>46188</v>
      </c>
      <c r="D140" t="inlineStr">
        <is>
          <t>JÄMTLANDS LÄN</t>
        </is>
      </c>
      <c r="E140" t="inlineStr">
        <is>
          <t>ÖSTERSUND</t>
        </is>
      </c>
      <c r="G140" t="n">
        <v>0.9</v>
      </c>
      <c r="H140" t="n">
        <v>0</v>
      </c>
      <c r="I140" t="n">
        <v>1</v>
      </c>
      <c r="J140" t="n">
        <v>0</v>
      </c>
      <c r="K140" t="n">
        <v>0</v>
      </c>
      <c r="L140" t="n">
        <v>0</v>
      </c>
      <c r="M140" t="n">
        <v>0</v>
      </c>
      <c r="N140" t="n">
        <v>0</v>
      </c>
      <c r="O140" t="n">
        <v>0</v>
      </c>
      <c r="P140" t="n">
        <v>0</v>
      </c>
      <c r="Q140" t="n">
        <v>1</v>
      </c>
      <c r="R140" s="2" t="inlineStr">
        <is>
          <t>Underviol</t>
        </is>
      </c>
      <c r="S140">
        <f>HYPERLINK("https://klasma.github.io/Logging_2380/artfynd/A 10336-2022 artfynd.xlsx", "A 10336-2022")</f>
        <v/>
      </c>
      <c r="T140">
        <f>HYPERLINK("https://klasma.github.io/Logging_2380/kartor/A 10336-2022 karta.png", "A 10336-2022")</f>
        <v/>
      </c>
      <c r="V140">
        <f>HYPERLINK("https://klasma.github.io/Logging_2380/klagomål/A 10336-2022 FSC-klagomål.docx", "A 10336-2022")</f>
        <v/>
      </c>
      <c r="W140">
        <f>HYPERLINK("https://klasma.github.io/Logging_2380/klagomålsmail/A 10336-2022 FSC-klagomål mail.docx", "A 10336-2022")</f>
        <v/>
      </c>
      <c r="X140">
        <f>HYPERLINK("https://klasma.github.io/Logging_2380/tillsyn/A 10336-2022 tillsynsbegäran.docx", "A 10336-2022")</f>
        <v/>
      </c>
      <c r="Y140">
        <f>HYPERLINK("https://klasma.github.io/Logging_2380/tillsynsmail/A 10336-2022 tillsynsbegäran mail.docx", "A 10336-2022")</f>
        <v/>
      </c>
    </row>
    <row r="141" ht="15" customHeight="1">
      <c r="A141" t="inlineStr">
        <is>
          <t>A 19798-2022</t>
        </is>
      </c>
      <c r="B141" s="1" t="n">
        <v>44694</v>
      </c>
      <c r="C141" s="1" t="n">
        <v>46188</v>
      </c>
      <c r="D141" t="inlineStr">
        <is>
          <t>JÄMTLANDS LÄN</t>
        </is>
      </c>
      <c r="E141" t="inlineStr">
        <is>
          <t>ÖSTERSUND</t>
        </is>
      </c>
      <c r="F141" t="inlineStr">
        <is>
          <t>SCA</t>
        </is>
      </c>
      <c r="G141" t="n">
        <v>1</v>
      </c>
      <c r="H141" t="n">
        <v>1</v>
      </c>
      <c r="I141" t="n">
        <v>1</v>
      </c>
      <c r="J141" t="n">
        <v>0</v>
      </c>
      <c r="K141" t="n">
        <v>0</v>
      </c>
      <c r="L141" t="n">
        <v>0</v>
      </c>
      <c r="M141" t="n">
        <v>0</v>
      </c>
      <c r="N141" t="n">
        <v>0</v>
      </c>
      <c r="O141" t="n">
        <v>0</v>
      </c>
      <c r="P141" t="n">
        <v>0</v>
      </c>
      <c r="Q141" t="n">
        <v>1</v>
      </c>
      <c r="R141" s="2" t="inlineStr">
        <is>
          <t>Guckusko</t>
        </is>
      </c>
      <c r="S141">
        <f>HYPERLINK("https://klasma.github.io/Logging_2380/artfynd/A 19798-2022 artfynd.xlsx", "A 19798-2022")</f>
        <v/>
      </c>
      <c r="T141">
        <f>HYPERLINK("https://klasma.github.io/Logging_2380/kartor/A 19798-2022 karta.png", "A 19798-2022")</f>
        <v/>
      </c>
      <c r="V141">
        <f>HYPERLINK("https://klasma.github.io/Logging_2380/klagomål/A 19798-2022 FSC-klagomål.docx", "A 19798-2022")</f>
        <v/>
      </c>
      <c r="W141">
        <f>HYPERLINK("https://klasma.github.io/Logging_2380/klagomålsmail/A 19798-2022 FSC-klagomål mail.docx", "A 19798-2022")</f>
        <v/>
      </c>
      <c r="X141">
        <f>HYPERLINK("https://klasma.github.io/Logging_2380/tillsyn/A 19798-2022 tillsynsbegäran.docx", "A 19798-2022")</f>
        <v/>
      </c>
      <c r="Y141">
        <f>HYPERLINK("https://klasma.github.io/Logging_2380/tillsynsmail/A 19798-2022 tillsynsbegäran mail.docx", "A 19798-2022")</f>
        <v/>
      </c>
    </row>
    <row r="142" ht="15" customHeight="1">
      <c r="A142" t="inlineStr">
        <is>
          <t>A 27578-2022</t>
        </is>
      </c>
      <c r="B142" s="1" t="n">
        <v>44742</v>
      </c>
      <c r="C142" s="1" t="n">
        <v>46188</v>
      </c>
      <c r="D142" t="inlineStr">
        <is>
          <t>JÄMTLANDS LÄN</t>
        </is>
      </c>
      <c r="E142" t="inlineStr">
        <is>
          <t>ÖSTERSUND</t>
        </is>
      </c>
      <c r="F142" t="inlineStr">
        <is>
          <t>SCA</t>
        </is>
      </c>
      <c r="G142" t="n">
        <v>2</v>
      </c>
      <c r="H142" t="n">
        <v>1</v>
      </c>
      <c r="I142" t="n">
        <v>0</v>
      </c>
      <c r="J142" t="n">
        <v>0</v>
      </c>
      <c r="K142" t="n">
        <v>0</v>
      </c>
      <c r="L142" t="n">
        <v>0</v>
      </c>
      <c r="M142" t="n">
        <v>0</v>
      </c>
      <c r="N142" t="n">
        <v>0</v>
      </c>
      <c r="O142" t="n">
        <v>0</v>
      </c>
      <c r="P142" t="n">
        <v>0</v>
      </c>
      <c r="Q142" t="n">
        <v>1</v>
      </c>
      <c r="R142" s="2" t="inlineStr">
        <is>
          <t>Blåsippa</t>
        </is>
      </c>
      <c r="S142">
        <f>HYPERLINK("https://klasma.github.io/Logging_2380/artfynd/A 27578-2022 artfynd.xlsx", "A 27578-2022")</f>
        <v/>
      </c>
      <c r="T142">
        <f>HYPERLINK("https://klasma.github.io/Logging_2380/kartor/A 27578-2022 karta.png", "A 27578-2022")</f>
        <v/>
      </c>
      <c r="V142">
        <f>HYPERLINK("https://klasma.github.io/Logging_2380/klagomål/A 27578-2022 FSC-klagomål.docx", "A 27578-2022")</f>
        <v/>
      </c>
      <c r="W142">
        <f>HYPERLINK("https://klasma.github.io/Logging_2380/klagomålsmail/A 27578-2022 FSC-klagomål mail.docx", "A 27578-2022")</f>
        <v/>
      </c>
      <c r="X142">
        <f>HYPERLINK("https://klasma.github.io/Logging_2380/tillsyn/A 27578-2022 tillsynsbegäran.docx", "A 27578-2022")</f>
        <v/>
      </c>
      <c r="Y142">
        <f>HYPERLINK("https://klasma.github.io/Logging_2380/tillsynsmail/A 27578-2022 tillsynsbegäran mail.docx", "A 27578-2022")</f>
        <v/>
      </c>
    </row>
    <row r="143" ht="15" customHeight="1">
      <c r="A143" t="inlineStr">
        <is>
          <t>A 59108-2024</t>
        </is>
      </c>
      <c r="B143" s="1" t="n">
        <v>45637.34469907408</v>
      </c>
      <c r="C143" s="1" t="n">
        <v>46188</v>
      </c>
      <c r="D143" t="inlineStr">
        <is>
          <t>JÄMTLANDS LÄN</t>
        </is>
      </c>
      <c r="E143" t="inlineStr">
        <is>
          <t>ÖSTERSUND</t>
        </is>
      </c>
      <c r="F143" t="inlineStr">
        <is>
          <t>SCA</t>
        </is>
      </c>
      <c r="G143" t="n">
        <v>10.6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59108-2024 artfynd.xlsx", "A 59108-2024")</f>
        <v/>
      </c>
      <c r="T143">
        <f>HYPERLINK("https://klasma.github.io/Logging_2380/kartor/A 59108-2024 karta.png", "A 59108-2024")</f>
        <v/>
      </c>
      <c r="V143">
        <f>HYPERLINK("https://klasma.github.io/Logging_2380/klagomål/A 59108-2024 FSC-klagomål.docx", "A 59108-2024")</f>
        <v/>
      </c>
      <c r="W143">
        <f>HYPERLINK("https://klasma.github.io/Logging_2380/klagomålsmail/A 59108-2024 FSC-klagomål mail.docx", "A 59108-2024")</f>
        <v/>
      </c>
      <c r="X143">
        <f>HYPERLINK("https://klasma.github.io/Logging_2380/tillsyn/A 59108-2024 tillsynsbegäran.docx", "A 59108-2024")</f>
        <v/>
      </c>
      <c r="Y143">
        <f>HYPERLINK("https://klasma.github.io/Logging_2380/tillsynsmail/A 59108-2024 tillsynsbegäran mail.docx", "A 59108-2024")</f>
        <v/>
      </c>
      <c r="Z143">
        <f>HYPERLINK("https://klasma.github.io/Logging_2380/fåglar/A 59108-2024 prioriterade fågelarter.docx", "A 59108-2024")</f>
        <v/>
      </c>
    </row>
    <row r="144" ht="15" customHeight="1">
      <c r="A144" t="inlineStr">
        <is>
          <t>A 55821-2021</t>
        </is>
      </c>
      <c r="B144" s="1" t="n">
        <v>44476</v>
      </c>
      <c r="C144" s="1" t="n">
        <v>46188</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60966-2025</t>
        </is>
      </c>
      <c r="B145" s="1" t="n">
        <v>45999.67758101852</v>
      </c>
      <c r="C145" s="1" t="n">
        <v>46188</v>
      </c>
      <c r="D145" t="inlineStr">
        <is>
          <t>JÄMTLANDS LÄN</t>
        </is>
      </c>
      <c r="E145" t="inlineStr">
        <is>
          <t>ÖSTERSUND</t>
        </is>
      </c>
      <c r="F145" t="inlineStr">
        <is>
          <t>SCA</t>
        </is>
      </c>
      <c r="G145" t="n">
        <v>1.9</v>
      </c>
      <c r="H145" t="n">
        <v>1</v>
      </c>
      <c r="I145" t="n">
        <v>1</v>
      </c>
      <c r="J145" t="n">
        <v>0</v>
      </c>
      <c r="K145" t="n">
        <v>0</v>
      </c>
      <c r="L145" t="n">
        <v>0</v>
      </c>
      <c r="M145" t="n">
        <v>0</v>
      </c>
      <c r="N145" t="n">
        <v>0</v>
      </c>
      <c r="O145" t="n">
        <v>0</v>
      </c>
      <c r="P145" t="n">
        <v>0</v>
      </c>
      <c r="Q145" t="n">
        <v>1</v>
      </c>
      <c r="R145" s="2" t="inlineStr">
        <is>
          <t>Tvåblad</t>
        </is>
      </c>
      <c r="S145">
        <f>HYPERLINK("https://klasma.github.io/Logging_2380/artfynd/A 60966-2025 artfynd.xlsx", "A 60966-2025")</f>
        <v/>
      </c>
      <c r="T145">
        <f>HYPERLINK("https://klasma.github.io/Logging_2380/kartor/A 60966-2025 karta.png", "A 60966-2025")</f>
        <v/>
      </c>
      <c r="V145">
        <f>HYPERLINK("https://klasma.github.io/Logging_2380/klagomål/A 60966-2025 FSC-klagomål.docx", "A 60966-2025")</f>
        <v/>
      </c>
      <c r="W145">
        <f>HYPERLINK("https://klasma.github.io/Logging_2380/klagomålsmail/A 60966-2025 FSC-klagomål mail.docx", "A 60966-2025")</f>
        <v/>
      </c>
      <c r="X145">
        <f>HYPERLINK("https://klasma.github.io/Logging_2380/tillsyn/A 60966-2025 tillsynsbegäran.docx", "A 60966-2025")</f>
        <v/>
      </c>
      <c r="Y145">
        <f>HYPERLINK("https://klasma.github.io/Logging_2380/tillsynsmail/A 60966-2025 tillsynsbegäran mail.docx", "A 60966-2025")</f>
        <v/>
      </c>
    </row>
    <row r="146" ht="15" customHeight="1">
      <c r="A146" t="inlineStr">
        <is>
          <t>A 31883-2024</t>
        </is>
      </c>
      <c r="B146" s="1" t="n">
        <v>45509.9572800926</v>
      </c>
      <c r="C146" s="1" t="n">
        <v>46188</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40781-2025</t>
        </is>
      </c>
      <c r="B147" s="1" t="n">
        <v>45897</v>
      </c>
      <c r="C147" s="1" t="n">
        <v>46188</v>
      </c>
      <c r="D147" t="inlineStr">
        <is>
          <t>JÄMTLANDS LÄN</t>
        </is>
      </c>
      <c r="E147" t="inlineStr">
        <is>
          <t>ÖSTERSUND</t>
        </is>
      </c>
      <c r="F147" t="inlineStr">
        <is>
          <t>Övriga Aktiebolag</t>
        </is>
      </c>
      <c r="G147" t="n">
        <v>2.2</v>
      </c>
      <c r="H147" t="n">
        <v>1</v>
      </c>
      <c r="I147" t="n">
        <v>0</v>
      </c>
      <c r="J147" t="n">
        <v>0</v>
      </c>
      <c r="K147" t="n">
        <v>0</v>
      </c>
      <c r="L147" t="n">
        <v>0</v>
      </c>
      <c r="M147" t="n">
        <v>0</v>
      </c>
      <c r="N147" t="n">
        <v>0</v>
      </c>
      <c r="O147" t="n">
        <v>0</v>
      </c>
      <c r="P147" t="n">
        <v>0</v>
      </c>
      <c r="Q147" t="n">
        <v>1</v>
      </c>
      <c r="R147" s="2" t="inlineStr">
        <is>
          <t>Blåsippa</t>
        </is>
      </c>
      <c r="S147">
        <f>HYPERLINK("https://klasma.github.io/Logging_2380/artfynd/A 40781-2025 artfynd.xlsx", "A 40781-2025")</f>
        <v/>
      </c>
      <c r="T147">
        <f>HYPERLINK("https://klasma.github.io/Logging_2380/kartor/A 40781-2025 karta.png", "A 40781-2025")</f>
        <v/>
      </c>
      <c r="V147">
        <f>HYPERLINK("https://klasma.github.io/Logging_2380/klagomål/A 40781-2025 FSC-klagomål.docx", "A 40781-2025")</f>
        <v/>
      </c>
      <c r="W147">
        <f>HYPERLINK("https://klasma.github.io/Logging_2380/klagomålsmail/A 40781-2025 FSC-klagomål mail.docx", "A 40781-2025")</f>
        <v/>
      </c>
      <c r="X147">
        <f>HYPERLINK("https://klasma.github.io/Logging_2380/tillsyn/A 40781-2025 tillsynsbegäran.docx", "A 40781-2025")</f>
        <v/>
      </c>
      <c r="Y147">
        <f>HYPERLINK("https://klasma.github.io/Logging_2380/tillsynsmail/A 40781-2025 tillsynsbegäran mail.docx", "A 40781-2025")</f>
        <v/>
      </c>
    </row>
    <row r="148" ht="15" customHeight="1">
      <c r="A148" t="inlineStr">
        <is>
          <t>A 9739-2022</t>
        </is>
      </c>
      <c r="B148" s="1" t="n">
        <v>44617</v>
      </c>
      <c r="C148" s="1" t="n">
        <v>46188</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40694-2024</t>
        </is>
      </c>
      <c r="B149" s="1" t="n">
        <v>45558</v>
      </c>
      <c r="C149" s="1" t="n">
        <v>46188</v>
      </c>
      <c r="D149" t="inlineStr">
        <is>
          <t>JÄMTLANDS LÄN</t>
        </is>
      </c>
      <c r="E149" t="inlineStr">
        <is>
          <t>ÖSTERSUND</t>
        </is>
      </c>
      <c r="F149" t="inlineStr">
        <is>
          <t>SCA</t>
        </is>
      </c>
      <c r="G149" t="n">
        <v>6.2</v>
      </c>
      <c r="H149" t="n">
        <v>0</v>
      </c>
      <c r="I149" t="n">
        <v>0</v>
      </c>
      <c r="J149" t="n">
        <v>1</v>
      </c>
      <c r="K149" t="n">
        <v>0</v>
      </c>
      <c r="L149" t="n">
        <v>0</v>
      </c>
      <c r="M149" t="n">
        <v>0</v>
      </c>
      <c r="N149" t="n">
        <v>0</v>
      </c>
      <c r="O149" t="n">
        <v>1</v>
      </c>
      <c r="P149" t="n">
        <v>0</v>
      </c>
      <c r="Q149" t="n">
        <v>1</v>
      </c>
      <c r="R149" s="2" t="inlineStr">
        <is>
          <t>Reliktbock</t>
        </is>
      </c>
      <c r="S149">
        <f>HYPERLINK("https://klasma.github.io/Logging_2380/artfynd/A 40694-2024 artfynd.xlsx", "A 40694-2024")</f>
        <v/>
      </c>
      <c r="T149">
        <f>HYPERLINK("https://klasma.github.io/Logging_2380/kartor/A 40694-2024 karta.png", "A 40694-2024")</f>
        <v/>
      </c>
      <c r="V149">
        <f>HYPERLINK("https://klasma.github.io/Logging_2380/klagomål/A 40694-2024 FSC-klagomål.docx", "A 40694-2024")</f>
        <v/>
      </c>
      <c r="W149">
        <f>HYPERLINK("https://klasma.github.io/Logging_2380/klagomålsmail/A 40694-2024 FSC-klagomål mail.docx", "A 40694-2024")</f>
        <v/>
      </c>
      <c r="X149">
        <f>HYPERLINK("https://klasma.github.io/Logging_2380/tillsyn/A 40694-2024 tillsynsbegäran.docx", "A 40694-2024")</f>
        <v/>
      </c>
      <c r="Y149">
        <f>HYPERLINK("https://klasma.github.io/Logging_2380/tillsynsmail/A 40694-2024 tillsynsbegäran mail.docx", "A 40694-2024")</f>
        <v/>
      </c>
    </row>
    <row r="150" ht="15" customHeight="1">
      <c r="A150" t="inlineStr">
        <is>
          <t>A 4223-2026</t>
        </is>
      </c>
      <c r="B150" s="1" t="n">
        <v>46044.84650462963</v>
      </c>
      <c r="C150" s="1" t="n">
        <v>46188</v>
      </c>
      <c r="D150" t="inlineStr">
        <is>
          <t>JÄMTLANDS LÄN</t>
        </is>
      </c>
      <c r="E150" t="inlineStr">
        <is>
          <t>ÖSTERSUND</t>
        </is>
      </c>
      <c r="G150" t="n">
        <v>3.5</v>
      </c>
      <c r="H150" t="n">
        <v>0</v>
      </c>
      <c r="I150" t="n">
        <v>0</v>
      </c>
      <c r="J150" t="n">
        <v>0</v>
      </c>
      <c r="K150" t="n">
        <v>1</v>
      </c>
      <c r="L150" t="n">
        <v>0</v>
      </c>
      <c r="M150" t="n">
        <v>0</v>
      </c>
      <c r="N150" t="n">
        <v>0</v>
      </c>
      <c r="O150" t="n">
        <v>1</v>
      </c>
      <c r="P150" t="n">
        <v>1</v>
      </c>
      <c r="Q150" t="n">
        <v>1</v>
      </c>
      <c r="R150" s="2" t="inlineStr">
        <is>
          <t>Taggfingersvamp</t>
        </is>
      </c>
      <c r="S150">
        <f>HYPERLINK("https://klasma.github.io/Logging_2380/artfynd/A 4223-2026 artfynd.xlsx", "A 4223-2026")</f>
        <v/>
      </c>
      <c r="T150">
        <f>HYPERLINK("https://klasma.github.io/Logging_2380/kartor/A 4223-2026 karta.png", "A 4223-2026")</f>
        <v/>
      </c>
      <c r="V150">
        <f>HYPERLINK("https://klasma.github.io/Logging_2380/klagomål/A 4223-2026 FSC-klagomål.docx", "A 4223-2026")</f>
        <v/>
      </c>
      <c r="W150">
        <f>HYPERLINK("https://klasma.github.io/Logging_2380/klagomålsmail/A 4223-2026 FSC-klagomål mail.docx", "A 4223-2026")</f>
        <v/>
      </c>
      <c r="X150">
        <f>HYPERLINK("https://klasma.github.io/Logging_2380/tillsyn/A 4223-2026 tillsynsbegäran.docx", "A 4223-2026")</f>
        <v/>
      </c>
      <c r="Y150">
        <f>HYPERLINK("https://klasma.github.io/Logging_2380/tillsynsmail/A 4223-2026 tillsynsbegäran mail.docx", "A 4223-2026")</f>
        <v/>
      </c>
    </row>
    <row r="151" ht="15" customHeight="1">
      <c r="A151" t="inlineStr">
        <is>
          <t>A 26605-2025</t>
        </is>
      </c>
      <c r="B151" s="1" t="n">
        <v>45809.86790509259</v>
      </c>
      <c r="C151" s="1" t="n">
        <v>46188</v>
      </c>
      <c r="D151" t="inlineStr">
        <is>
          <t>JÄMTLANDS LÄN</t>
        </is>
      </c>
      <c r="E151" t="inlineStr">
        <is>
          <t>ÖSTERSUND</t>
        </is>
      </c>
      <c r="G151" t="n">
        <v>1.3</v>
      </c>
      <c r="H151" t="n">
        <v>0</v>
      </c>
      <c r="I151" t="n">
        <v>0</v>
      </c>
      <c r="J151" t="n">
        <v>1</v>
      </c>
      <c r="K151" t="n">
        <v>0</v>
      </c>
      <c r="L151" t="n">
        <v>0</v>
      </c>
      <c r="M151" t="n">
        <v>0</v>
      </c>
      <c r="N151" t="n">
        <v>0</v>
      </c>
      <c r="O151" t="n">
        <v>1</v>
      </c>
      <c r="P151" t="n">
        <v>0</v>
      </c>
      <c r="Q151" t="n">
        <v>1</v>
      </c>
      <c r="R151" s="2" t="inlineStr">
        <is>
          <t>Garnlav</t>
        </is>
      </c>
      <c r="S151">
        <f>HYPERLINK("https://klasma.github.io/Logging_2380/artfynd/A 26605-2025 artfynd.xlsx", "A 26605-2025")</f>
        <v/>
      </c>
      <c r="T151">
        <f>HYPERLINK("https://klasma.github.io/Logging_2380/kartor/A 26605-2025 karta.png", "A 26605-2025")</f>
        <v/>
      </c>
      <c r="V151">
        <f>HYPERLINK("https://klasma.github.io/Logging_2380/klagomål/A 26605-2025 FSC-klagomål.docx", "A 26605-2025")</f>
        <v/>
      </c>
      <c r="W151">
        <f>HYPERLINK("https://klasma.github.io/Logging_2380/klagomålsmail/A 26605-2025 FSC-klagomål mail.docx", "A 26605-2025")</f>
        <v/>
      </c>
      <c r="X151">
        <f>HYPERLINK("https://klasma.github.io/Logging_2380/tillsyn/A 26605-2025 tillsynsbegäran.docx", "A 26605-2025")</f>
        <v/>
      </c>
      <c r="Y151">
        <f>HYPERLINK("https://klasma.github.io/Logging_2380/tillsynsmail/A 26605-2025 tillsynsbegäran mail.docx", "A 26605-2025")</f>
        <v/>
      </c>
    </row>
    <row r="152" ht="15" customHeight="1">
      <c r="A152" t="inlineStr">
        <is>
          <t>A 4226-2026</t>
        </is>
      </c>
      <c r="B152" s="1" t="n">
        <v>46044.85285879629</v>
      </c>
      <c r="C152" s="1" t="n">
        <v>46188</v>
      </c>
      <c r="D152" t="inlineStr">
        <is>
          <t>JÄMTLANDS LÄN</t>
        </is>
      </c>
      <c r="E152" t="inlineStr">
        <is>
          <t>ÖSTERSUND</t>
        </is>
      </c>
      <c r="G152" t="n">
        <v>2.1</v>
      </c>
      <c r="H152" t="n">
        <v>0</v>
      </c>
      <c r="I152" t="n">
        <v>0</v>
      </c>
      <c r="J152" t="n">
        <v>0</v>
      </c>
      <c r="K152" t="n">
        <v>1</v>
      </c>
      <c r="L152" t="n">
        <v>0</v>
      </c>
      <c r="M152" t="n">
        <v>0</v>
      </c>
      <c r="N152" t="n">
        <v>0</v>
      </c>
      <c r="O152" t="n">
        <v>1</v>
      </c>
      <c r="P152" t="n">
        <v>1</v>
      </c>
      <c r="Q152" t="n">
        <v>1</v>
      </c>
      <c r="R152" s="2" t="inlineStr">
        <is>
          <t>Fjällfotad fingersvamp</t>
        </is>
      </c>
      <c r="S152">
        <f>HYPERLINK("https://klasma.github.io/Logging_2380/artfynd/A 4226-2026 artfynd.xlsx", "A 4226-2026")</f>
        <v/>
      </c>
      <c r="T152">
        <f>HYPERLINK("https://klasma.github.io/Logging_2380/kartor/A 4226-2026 karta.png", "A 4226-2026")</f>
        <v/>
      </c>
      <c r="V152">
        <f>HYPERLINK("https://klasma.github.io/Logging_2380/klagomål/A 4226-2026 FSC-klagomål.docx", "A 4226-2026")</f>
        <v/>
      </c>
      <c r="W152">
        <f>HYPERLINK("https://klasma.github.io/Logging_2380/klagomålsmail/A 4226-2026 FSC-klagomål mail.docx", "A 4226-2026")</f>
        <v/>
      </c>
      <c r="X152">
        <f>HYPERLINK("https://klasma.github.io/Logging_2380/tillsyn/A 4226-2026 tillsynsbegäran.docx", "A 4226-2026")</f>
        <v/>
      </c>
      <c r="Y152">
        <f>HYPERLINK("https://klasma.github.io/Logging_2380/tillsynsmail/A 4226-2026 tillsynsbegäran mail.docx", "A 4226-2026")</f>
        <v/>
      </c>
    </row>
    <row r="153" ht="15" customHeight="1">
      <c r="A153" t="inlineStr">
        <is>
          <t>A 5729-2026</t>
        </is>
      </c>
      <c r="B153" s="1" t="n">
        <v>46051.57149305556</v>
      </c>
      <c r="C153" s="1" t="n">
        <v>46188</v>
      </c>
      <c r="D153" t="inlineStr">
        <is>
          <t>JÄMTLANDS LÄN</t>
        </is>
      </c>
      <c r="E153" t="inlineStr">
        <is>
          <t>ÖSTERSUND</t>
        </is>
      </c>
      <c r="G153" t="n">
        <v>4.4</v>
      </c>
      <c r="H153" t="n">
        <v>0</v>
      </c>
      <c r="I153" t="n">
        <v>0</v>
      </c>
      <c r="J153" t="n">
        <v>1</v>
      </c>
      <c r="K153" t="n">
        <v>0</v>
      </c>
      <c r="L153" t="n">
        <v>0</v>
      </c>
      <c r="M153" t="n">
        <v>0</v>
      </c>
      <c r="N153" t="n">
        <v>0</v>
      </c>
      <c r="O153" t="n">
        <v>1</v>
      </c>
      <c r="P153" t="n">
        <v>0</v>
      </c>
      <c r="Q153" t="n">
        <v>1</v>
      </c>
      <c r="R153" s="2" t="inlineStr">
        <is>
          <t>Lunglav</t>
        </is>
      </c>
      <c r="S153">
        <f>HYPERLINK("https://klasma.github.io/Logging_2380/artfynd/A 5729-2026 artfynd.xlsx", "A 5729-2026")</f>
        <v/>
      </c>
      <c r="T153">
        <f>HYPERLINK("https://klasma.github.io/Logging_2380/kartor/A 5729-2026 karta.png", "A 5729-2026")</f>
        <v/>
      </c>
      <c r="V153">
        <f>HYPERLINK("https://klasma.github.io/Logging_2380/klagomål/A 5729-2026 FSC-klagomål.docx", "A 5729-2026")</f>
        <v/>
      </c>
      <c r="W153">
        <f>HYPERLINK("https://klasma.github.io/Logging_2380/klagomålsmail/A 5729-2026 FSC-klagomål mail.docx", "A 5729-2026")</f>
        <v/>
      </c>
      <c r="X153">
        <f>HYPERLINK("https://klasma.github.io/Logging_2380/tillsyn/A 5729-2026 tillsynsbegäran.docx", "A 5729-2026")</f>
        <v/>
      </c>
      <c r="Y153">
        <f>HYPERLINK("https://klasma.github.io/Logging_2380/tillsynsmail/A 5729-2026 tillsynsbegäran mail.docx", "A 5729-2026")</f>
        <v/>
      </c>
    </row>
    <row r="154" ht="15" customHeight="1">
      <c r="A154" t="inlineStr">
        <is>
          <t>A 28980-2023</t>
        </is>
      </c>
      <c r="B154" s="1" t="n">
        <v>45096</v>
      </c>
      <c r="C154" s="1" t="n">
        <v>46188</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54354-2024</t>
        </is>
      </c>
      <c r="B155" s="1" t="n">
        <v>45617.40244212963</v>
      </c>
      <c r="C155" s="1" t="n">
        <v>46188</v>
      </c>
      <c r="D155" t="inlineStr">
        <is>
          <t>JÄMTLANDS LÄN</t>
        </is>
      </c>
      <c r="E155" t="inlineStr">
        <is>
          <t>ÖSTERSUND</t>
        </is>
      </c>
      <c r="G155" t="n">
        <v>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54354-2024 artfynd.xlsx", "A 54354-2024")</f>
        <v/>
      </c>
      <c r="T155">
        <f>HYPERLINK("https://klasma.github.io/Logging_2380/kartor/A 54354-2024 karta.png", "A 54354-2024")</f>
        <v/>
      </c>
      <c r="V155">
        <f>HYPERLINK("https://klasma.github.io/Logging_2380/klagomål/A 54354-2024 FSC-klagomål.docx", "A 54354-2024")</f>
        <v/>
      </c>
      <c r="W155">
        <f>HYPERLINK("https://klasma.github.io/Logging_2380/klagomålsmail/A 54354-2024 FSC-klagomål mail.docx", "A 54354-2024")</f>
        <v/>
      </c>
      <c r="X155">
        <f>HYPERLINK("https://klasma.github.io/Logging_2380/tillsyn/A 54354-2024 tillsynsbegäran.docx", "A 54354-2024")</f>
        <v/>
      </c>
      <c r="Y155">
        <f>HYPERLINK("https://klasma.github.io/Logging_2380/tillsynsmail/A 54354-2024 tillsynsbegäran mail.docx", "A 54354-2024")</f>
        <v/>
      </c>
      <c r="Z155">
        <f>HYPERLINK("https://klasma.github.io/Logging_2380/fåglar/A 54354-2024 prioriterade fågelarter.docx", "A 54354-2024")</f>
        <v/>
      </c>
    </row>
    <row r="156" ht="15" customHeight="1">
      <c r="A156" t="inlineStr">
        <is>
          <t>A 12-2023</t>
        </is>
      </c>
      <c r="B156" s="1" t="n">
        <v>44927.88021990741</v>
      </c>
      <c r="C156" s="1" t="n">
        <v>46188</v>
      </c>
      <c r="D156" t="inlineStr">
        <is>
          <t>JÄMTLANDS LÄN</t>
        </is>
      </c>
      <c r="E156" t="inlineStr">
        <is>
          <t>ÖSTERSUND</t>
        </is>
      </c>
      <c r="G156" t="n">
        <v>4.7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12-2023 artfynd.xlsx", "A 12-2023")</f>
        <v/>
      </c>
      <c r="T156">
        <f>HYPERLINK("https://klasma.github.io/Logging_2380/kartor/A 12-2023 karta.png", "A 12-2023")</f>
        <v/>
      </c>
      <c r="V156">
        <f>HYPERLINK("https://klasma.github.io/Logging_2380/klagomål/A 12-2023 FSC-klagomål.docx", "A 12-2023")</f>
        <v/>
      </c>
      <c r="W156">
        <f>HYPERLINK("https://klasma.github.io/Logging_2380/klagomålsmail/A 12-2023 FSC-klagomål mail.docx", "A 12-2023")</f>
        <v/>
      </c>
      <c r="X156">
        <f>HYPERLINK("https://klasma.github.io/Logging_2380/tillsyn/A 12-2023 tillsynsbegäran.docx", "A 12-2023")</f>
        <v/>
      </c>
      <c r="Y156">
        <f>HYPERLINK("https://klasma.github.io/Logging_2380/tillsynsmail/A 12-2023 tillsynsbegäran mail.docx", "A 12-2023")</f>
        <v/>
      </c>
      <c r="Z156">
        <f>HYPERLINK("https://klasma.github.io/Logging_2380/fåglar/A 12-2023 prioriterade fågelarter.docx", "A 12-2023")</f>
        <v/>
      </c>
    </row>
    <row r="157" ht="15" customHeight="1">
      <c r="A157" t="inlineStr">
        <is>
          <t>A 61451-2024</t>
        </is>
      </c>
      <c r="B157" s="1" t="n">
        <v>45646.49017361111</v>
      </c>
      <c r="C157" s="1" t="n">
        <v>46188</v>
      </c>
      <c r="D157" t="inlineStr">
        <is>
          <t>JÄMTLANDS LÄN</t>
        </is>
      </c>
      <c r="E157" t="inlineStr">
        <is>
          <t>ÖSTERSUND</t>
        </is>
      </c>
      <c r="F157" t="inlineStr">
        <is>
          <t>SCA</t>
        </is>
      </c>
      <c r="G157" t="n">
        <v>2.4</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61451-2024 artfynd.xlsx", "A 61451-2024")</f>
        <v/>
      </c>
      <c r="T157">
        <f>HYPERLINK("https://klasma.github.io/Logging_2380/kartor/A 61451-2024 karta.png", "A 61451-2024")</f>
        <v/>
      </c>
      <c r="V157">
        <f>HYPERLINK("https://klasma.github.io/Logging_2380/klagomål/A 61451-2024 FSC-klagomål.docx", "A 61451-2024")</f>
        <v/>
      </c>
      <c r="W157">
        <f>HYPERLINK("https://klasma.github.io/Logging_2380/klagomålsmail/A 61451-2024 FSC-klagomål mail.docx", "A 61451-2024")</f>
        <v/>
      </c>
      <c r="X157">
        <f>HYPERLINK("https://klasma.github.io/Logging_2380/tillsyn/A 61451-2024 tillsynsbegäran.docx", "A 61451-2024")</f>
        <v/>
      </c>
      <c r="Y157">
        <f>HYPERLINK("https://klasma.github.io/Logging_2380/tillsynsmail/A 61451-2024 tillsynsbegäran mail.docx", "A 61451-2024")</f>
        <v/>
      </c>
      <c r="Z157">
        <f>HYPERLINK("https://klasma.github.io/Logging_2380/fåglar/A 61451-2024 prioriterade fågelarter.docx", "A 61451-2024")</f>
        <v/>
      </c>
    </row>
    <row r="158" ht="15" customHeight="1">
      <c r="A158" t="inlineStr">
        <is>
          <t>A 58181-2022</t>
        </is>
      </c>
      <c r="B158" s="1" t="n">
        <v>44900</v>
      </c>
      <c r="C158" s="1" t="n">
        <v>46188</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36225-2025</t>
        </is>
      </c>
      <c r="B159" s="1" t="n">
        <v>45867.51128472222</v>
      </c>
      <c r="C159" s="1" t="n">
        <v>46188</v>
      </c>
      <c r="D159" t="inlineStr">
        <is>
          <t>JÄMTLANDS LÄN</t>
        </is>
      </c>
      <c r="E159" t="inlineStr">
        <is>
          <t>ÖSTERSUND</t>
        </is>
      </c>
      <c r="F159" t="inlineStr">
        <is>
          <t>SCA</t>
        </is>
      </c>
      <c r="G159" t="n">
        <v>1.8</v>
      </c>
      <c r="H159" t="n">
        <v>0</v>
      </c>
      <c r="I159" t="n">
        <v>0</v>
      </c>
      <c r="J159" t="n">
        <v>1</v>
      </c>
      <c r="K159" t="n">
        <v>0</v>
      </c>
      <c r="L159" t="n">
        <v>0</v>
      </c>
      <c r="M159" t="n">
        <v>0</v>
      </c>
      <c r="N159" t="n">
        <v>0</v>
      </c>
      <c r="O159" t="n">
        <v>1</v>
      </c>
      <c r="P159" t="n">
        <v>0</v>
      </c>
      <c r="Q159" t="n">
        <v>1</v>
      </c>
      <c r="R159" s="2" t="inlineStr">
        <is>
          <t>Kolflarnlav</t>
        </is>
      </c>
      <c r="S159">
        <f>HYPERLINK("https://klasma.github.io/Logging_2380/artfynd/A 36225-2025 artfynd.xlsx", "A 36225-2025")</f>
        <v/>
      </c>
      <c r="T159">
        <f>HYPERLINK("https://klasma.github.io/Logging_2380/kartor/A 36225-2025 karta.png", "A 36225-2025")</f>
        <v/>
      </c>
      <c r="V159">
        <f>HYPERLINK("https://klasma.github.io/Logging_2380/klagomål/A 36225-2025 FSC-klagomål.docx", "A 36225-2025")</f>
        <v/>
      </c>
      <c r="W159">
        <f>HYPERLINK("https://klasma.github.io/Logging_2380/klagomålsmail/A 36225-2025 FSC-klagomål mail.docx", "A 36225-2025")</f>
        <v/>
      </c>
      <c r="X159">
        <f>HYPERLINK("https://klasma.github.io/Logging_2380/tillsyn/A 36225-2025 tillsynsbegäran.docx", "A 36225-2025")</f>
        <v/>
      </c>
      <c r="Y159">
        <f>HYPERLINK("https://klasma.github.io/Logging_2380/tillsynsmail/A 36225-2025 tillsynsbegäran mail.docx", "A 36225-2025")</f>
        <v/>
      </c>
    </row>
    <row r="160" ht="15" customHeight="1">
      <c r="A160" t="inlineStr">
        <is>
          <t>A 41312-2024</t>
        </is>
      </c>
      <c r="B160" s="1" t="n">
        <v>45559.63584490741</v>
      </c>
      <c r="C160" s="1" t="n">
        <v>46188</v>
      </c>
      <c r="D160" t="inlineStr">
        <is>
          <t>JÄMTLANDS LÄN</t>
        </is>
      </c>
      <c r="E160" t="inlineStr">
        <is>
          <t>ÖSTERSUND</t>
        </is>
      </c>
      <c r="F160" t="inlineStr">
        <is>
          <t>SCA</t>
        </is>
      </c>
      <c r="G160" t="n">
        <v>2.6</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41312-2024 artfynd.xlsx", "A 41312-2024")</f>
        <v/>
      </c>
      <c r="T160">
        <f>HYPERLINK("https://klasma.github.io/Logging_2380/kartor/A 41312-2024 karta.png", "A 41312-2024")</f>
        <v/>
      </c>
      <c r="V160">
        <f>HYPERLINK("https://klasma.github.io/Logging_2380/klagomål/A 41312-2024 FSC-klagomål.docx", "A 41312-2024")</f>
        <v/>
      </c>
      <c r="W160">
        <f>HYPERLINK("https://klasma.github.io/Logging_2380/klagomålsmail/A 41312-2024 FSC-klagomål mail.docx", "A 41312-2024")</f>
        <v/>
      </c>
      <c r="X160">
        <f>HYPERLINK("https://klasma.github.io/Logging_2380/tillsyn/A 41312-2024 tillsynsbegäran.docx", "A 41312-2024")</f>
        <v/>
      </c>
      <c r="Y160">
        <f>HYPERLINK("https://klasma.github.io/Logging_2380/tillsynsmail/A 41312-2024 tillsynsbegäran mail.docx", "A 41312-2024")</f>
        <v/>
      </c>
    </row>
    <row r="161" ht="15" customHeight="1">
      <c r="A161" t="inlineStr">
        <is>
          <t>A 33267-2022</t>
        </is>
      </c>
      <c r="B161" s="1" t="n">
        <v>44785</v>
      </c>
      <c r="C161" s="1" t="n">
        <v>46188</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57065-2024</t>
        </is>
      </c>
      <c r="B162" s="1" t="n">
        <v>45629.35344907407</v>
      </c>
      <c r="C162" s="1" t="n">
        <v>46188</v>
      </c>
      <c r="D162" t="inlineStr">
        <is>
          <t>JÄMTLANDS LÄN</t>
        </is>
      </c>
      <c r="E162" t="inlineStr">
        <is>
          <t>ÖSTERSUND</t>
        </is>
      </c>
      <c r="F162" t="inlineStr">
        <is>
          <t>SCA</t>
        </is>
      </c>
      <c r="G162" t="n">
        <v>6.3</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57065-2024 artfynd.xlsx", "A 57065-2024")</f>
        <v/>
      </c>
      <c r="T162">
        <f>HYPERLINK("https://klasma.github.io/Logging_2380/kartor/A 57065-2024 karta.png", "A 57065-2024")</f>
        <v/>
      </c>
      <c r="V162">
        <f>HYPERLINK("https://klasma.github.io/Logging_2380/klagomål/A 57065-2024 FSC-klagomål.docx", "A 57065-2024")</f>
        <v/>
      </c>
      <c r="W162">
        <f>HYPERLINK("https://klasma.github.io/Logging_2380/klagomålsmail/A 57065-2024 FSC-klagomål mail.docx", "A 57065-2024")</f>
        <v/>
      </c>
      <c r="X162">
        <f>HYPERLINK("https://klasma.github.io/Logging_2380/tillsyn/A 57065-2024 tillsynsbegäran.docx", "A 57065-2024")</f>
        <v/>
      </c>
      <c r="Y162">
        <f>HYPERLINK("https://klasma.github.io/Logging_2380/tillsynsmail/A 57065-2024 tillsynsbegäran mail.docx", "A 57065-2024")</f>
        <v/>
      </c>
      <c r="Z162">
        <f>HYPERLINK("https://klasma.github.io/Logging_2380/fåglar/A 57065-2024 prioriterade fågelarter.docx", "A 57065-2024")</f>
        <v/>
      </c>
    </row>
    <row r="163" ht="15" customHeight="1">
      <c r="A163" t="inlineStr">
        <is>
          <t>A 18162-2026</t>
        </is>
      </c>
      <c r="B163" s="1" t="n">
        <v>46125.65178240741</v>
      </c>
      <c r="C163" s="1" t="n">
        <v>46188</v>
      </c>
      <c r="D163" t="inlineStr">
        <is>
          <t>JÄMTLANDS LÄN</t>
        </is>
      </c>
      <c r="E163" t="inlineStr">
        <is>
          <t>ÖSTERSUND</t>
        </is>
      </c>
      <c r="G163" t="n">
        <v>17.6</v>
      </c>
      <c r="H163" t="n">
        <v>1</v>
      </c>
      <c r="I163" t="n">
        <v>1</v>
      </c>
      <c r="J163" t="n">
        <v>0</v>
      </c>
      <c r="K163" t="n">
        <v>0</v>
      </c>
      <c r="L163" t="n">
        <v>0</v>
      </c>
      <c r="M163" t="n">
        <v>0</v>
      </c>
      <c r="N163" t="n">
        <v>0</v>
      </c>
      <c r="O163" t="n">
        <v>0</v>
      </c>
      <c r="P163" t="n">
        <v>0</v>
      </c>
      <c r="Q163" t="n">
        <v>1</v>
      </c>
      <c r="R163" s="2" t="inlineStr">
        <is>
          <t>Tvåblad</t>
        </is>
      </c>
      <c r="S163">
        <f>HYPERLINK("https://klasma.github.io/Logging_2380/artfynd/A 18162-2026 artfynd.xlsx", "A 18162-2026")</f>
        <v/>
      </c>
      <c r="T163">
        <f>HYPERLINK("https://klasma.github.io/Logging_2380/kartor/A 18162-2026 karta.png", "A 18162-2026")</f>
        <v/>
      </c>
      <c r="V163">
        <f>HYPERLINK("https://klasma.github.io/Logging_2380/klagomål/A 18162-2026 FSC-klagomål.docx", "A 18162-2026")</f>
        <v/>
      </c>
      <c r="W163">
        <f>HYPERLINK("https://klasma.github.io/Logging_2380/klagomålsmail/A 18162-2026 FSC-klagomål mail.docx", "A 18162-2026")</f>
        <v/>
      </c>
      <c r="X163">
        <f>HYPERLINK("https://klasma.github.io/Logging_2380/tillsyn/A 18162-2026 tillsynsbegäran.docx", "A 18162-2026")</f>
        <v/>
      </c>
      <c r="Y163">
        <f>HYPERLINK("https://klasma.github.io/Logging_2380/tillsynsmail/A 18162-2026 tillsynsbegäran mail.docx", "A 18162-2026")</f>
        <v/>
      </c>
    </row>
    <row r="164" ht="15" customHeight="1">
      <c r="A164" t="inlineStr">
        <is>
          <t>A 56201-2024</t>
        </is>
      </c>
      <c r="B164" s="1" t="n">
        <v>45624.59462962963</v>
      </c>
      <c r="C164" s="1" t="n">
        <v>46188</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11513-2024</t>
        </is>
      </c>
      <c r="B165" s="1" t="n">
        <v>45372</v>
      </c>
      <c r="C165" s="1" t="n">
        <v>46188</v>
      </c>
      <c r="D165" t="inlineStr">
        <is>
          <t>JÄMTLANDS LÄN</t>
        </is>
      </c>
      <c r="E165" t="inlineStr">
        <is>
          <t>ÖSTERSUND</t>
        </is>
      </c>
      <c r="G165" t="n">
        <v>21.2</v>
      </c>
      <c r="H165" t="n">
        <v>0</v>
      </c>
      <c r="I165" t="n">
        <v>1</v>
      </c>
      <c r="J165" t="n">
        <v>0</v>
      </c>
      <c r="K165" t="n">
        <v>0</v>
      </c>
      <c r="L165" t="n">
        <v>0</v>
      </c>
      <c r="M165" t="n">
        <v>0</v>
      </c>
      <c r="N165" t="n">
        <v>0</v>
      </c>
      <c r="O165" t="n">
        <v>0</v>
      </c>
      <c r="P165" t="n">
        <v>0</v>
      </c>
      <c r="Q165" t="n">
        <v>1</v>
      </c>
      <c r="R165" s="2" t="inlineStr">
        <is>
          <t>Tibast</t>
        </is>
      </c>
      <c r="S165">
        <f>HYPERLINK("https://klasma.github.io/Logging_2380/artfynd/A 11513-2024 artfynd.xlsx", "A 11513-2024")</f>
        <v/>
      </c>
      <c r="T165">
        <f>HYPERLINK("https://klasma.github.io/Logging_2380/kartor/A 11513-2024 karta.png", "A 11513-2024")</f>
        <v/>
      </c>
      <c r="V165">
        <f>HYPERLINK("https://klasma.github.io/Logging_2380/klagomål/A 11513-2024 FSC-klagomål.docx", "A 11513-2024")</f>
        <v/>
      </c>
      <c r="W165">
        <f>HYPERLINK("https://klasma.github.io/Logging_2380/klagomålsmail/A 11513-2024 FSC-klagomål mail.docx", "A 11513-2024")</f>
        <v/>
      </c>
      <c r="X165">
        <f>HYPERLINK("https://klasma.github.io/Logging_2380/tillsyn/A 11513-2024 tillsynsbegäran.docx", "A 11513-2024")</f>
        <v/>
      </c>
      <c r="Y165">
        <f>HYPERLINK("https://klasma.github.io/Logging_2380/tillsynsmail/A 11513-2024 tillsynsbegäran mail.docx", "A 11513-2024")</f>
        <v/>
      </c>
    </row>
    <row r="166" ht="15" customHeight="1">
      <c r="A166" t="inlineStr">
        <is>
          <t>A 41279-2024</t>
        </is>
      </c>
      <c r="B166" s="1" t="n">
        <v>45559</v>
      </c>
      <c r="C166" s="1" t="n">
        <v>46188</v>
      </c>
      <c r="D166" t="inlineStr">
        <is>
          <t>JÄMTLANDS LÄN</t>
        </is>
      </c>
      <c r="E166" t="inlineStr">
        <is>
          <t>ÖSTERSUND</t>
        </is>
      </c>
      <c r="F166" t="inlineStr">
        <is>
          <t>SCA</t>
        </is>
      </c>
      <c r="G166" t="n">
        <v>1.6</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41279-2024 artfynd.xlsx", "A 41279-2024")</f>
        <v/>
      </c>
      <c r="T166">
        <f>HYPERLINK("https://klasma.github.io/Logging_2380/kartor/A 41279-2024 karta.png", "A 41279-2024")</f>
        <v/>
      </c>
      <c r="V166">
        <f>HYPERLINK("https://klasma.github.io/Logging_2380/klagomål/A 41279-2024 FSC-klagomål.docx", "A 41279-2024")</f>
        <v/>
      </c>
      <c r="W166">
        <f>HYPERLINK("https://klasma.github.io/Logging_2380/klagomålsmail/A 41279-2024 FSC-klagomål mail.docx", "A 41279-2024")</f>
        <v/>
      </c>
      <c r="X166">
        <f>HYPERLINK("https://klasma.github.io/Logging_2380/tillsyn/A 41279-2024 tillsynsbegäran.docx", "A 41279-2024")</f>
        <v/>
      </c>
      <c r="Y166">
        <f>HYPERLINK("https://klasma.github.io/Logging_2380/tillsynsmail/A 41279-2024 tillsynsbegäran mail.docx", "A 41279-2024")</f>
        <v/>
      </c>
    </row>
    <row r="167" ht="15" customHeight="1">
      <c r="A167" t="inlineStr">
        <is>
          <t>A 40692-2024</t>
        </is>
      </c>
      <c r="B167" s="1" t="n">
        <v>45558</v>
      </c>
      <c r="C167" s="1" t="n">
        <v>46188</v>
      </c>
      <c r="D167" t="inlineStr">
        <is>
          <t>JÄMTLANDS LÄN</t>
        </is>
      </c>
      <c r="E167" t="inlineStr">
        <is>
          <t>ÖSTERSUND</t>
        </is>
      </c>
      <c r="F167" t="inlineStr">
        <is>
          <t>SCA</t>
        </is>
      </c>
      <c r="G167" t="n">
        <v>0.9</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40692-2024 artfynd.xlsx", "A 40692-2024")</f>
        <v/>
      </c>
      <c r="T167">
        <f>HYPERLINK("https://klasma.github.io/Logging_2380/kartor/A 40692-2024 karta.png", "A 40692-2024")</f>
        <v/>
      </c>
      <c r="V167">
        <f>HYPERLINK("https://klasma.github.io/Logging_2380/klagomål/A 40692-2024 FSC-klagomål.docx", "A 40692-2024")</f>
        <v/>
      </c>
      <c r="W167">
        <f>HYPERLINK("https://klasma.github.io/Logging_2380/klagomålsmail/A 40692-2024 FSC-klagomål mail.docx", "A 40692-2024")</f>
        <v/>
      </c>
      <c r="X167">
        <f>HYPERLINK("https://klasma.github.io/Logging_2380/tillsyn/A 40692-2024 tillsynsbegäran.docx", "A 40692-2024")</f>
        <v/>
      </c>
      <c r="Y167">
        <f>HYPERLINK("https://klasma.github.io/Logging_2380/tillsynsmail/A 40692-2024 tillsynsbegäran mail.docx", "A 40692-2024")</f>
        <v/>
      </c>
    </row>
    <row r="168" ht="15" customHeight="1">
      <c r="A168" t="inlineStr">
        <is>
          <t>A 41770-2024</t>
        </is>
      </c>
      <c r="B168" s="1" t="n">
        <v>45561.34641203703</v>
      </c>
      <c r="C168" s="1" t="n">
        <v>46188</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64380-2023</t>
        </is>
      </c>
      <c r="B169" s="1" t="n">
        <v>45280.56451388889</v>
      </c>
      <c r="C169" s="1" t="n">
        <v>46188</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20860-2026</t>
        </is>
      </c>
      <c r="B170" s="1" t="n">
        <v>46142.36516203704</v>
      </c>
      <c r="C170" s="1" t="n">
        <v>46188</v>
      </c>
      <c r="D170" t="inlineStr">
        <is>
          <t>JÄMTLANDS LÄN</t>
        </is>
      </c>
      <c r="E170" t="inlineStr">
        <is>
          <t>ÖSTERSUND</t>
        </is>
      </c>
      <c r="F170" t="inlineStr">
        <is>
          <t>SCA</t>
        </is>
      </c>
      <c r="G170" t="n">
        <v>5.1</v>
      </c>
      <c r="H170" t="n">
        <v>0</v>
      </c>
      <c r="I170" t="n">
        <v>0</v>
      </c>
      <c r="J170" t="n">
        <v>1</v>
      </c>
      <c r="K170" t="n">
        <v>0</v>
      </c>
      <c r="L170" t="n">
        <v>0</v>
      </c>
      <c r="M170" t="n">
        <v>0</v>
      </c>
      <c r="N170" t="n">
        <v>0</v>
      </c>
      <c r="O170" t="n">
        <v>1</v>
      </c>
      <c r="P170" t="n">
        <v>0</v>
      </c>
      <c r="Q170" t="n">
        <v>1</v>
      </c>
      <c r="R170" s="2" t="inlineStr">
        <is>
          <t>Kolflarnlav</t>
        </is>
      </c>
      <c r="S170">
        <f>HYPERLINK("https://klasma.github.io/Logging_2380/artfynd/A 20860-2026 artfynd.xlsx", "A 20860-2026")</f>
        <v/>
      </c>
      <c r="T170">
        <f>HYPERLINK("https://klasma.github.io/Logging_2380/kartor/A 20860-2026 karta.png", "A 20860-2026")</f>
        <v/>
      </c>
      <c r="V170">
        <f>HYPERLINK("https://klasma.github.io/Logging_2380/klagomål/A 20860-2026 FSC-klagomål.docx", "A 20860-2026")</f>
        <v/>
      </c>
      <c r="W170">
        <f>HYPERLINK("https://klasma.github.io/Logging_2380/klagomålsmail/A 20860-2026 FSC-klagomål mail.docx", "A 20860-2026")</f>
        <v/>
      </c>
      <c r="X170">
        <f>HYPERLINK("https://klasma.github.io/Logging_2380/tillsyn/A 20860-2026 tillsynsbegäran.docx", "A 20860-2026")</f>
        <v/>
      </c>
      <c r="Y170">
        <f>HYPERLINK("https://klasma.github.io/Logging_2380/tillsynsmail/A 20860-2026 tillsynsbegäran mail.docx", "A 20860-2026")</f>
        <v/>
      </c>
    </row>
    <row r="171" ht="15" customHeight="1">
      <c r="A171" t="inlineStr">
        <is>
          <t>A 59433-2021</t>
        </is>
      </c>
      <c r="B171" s="1" t="n">
        <v>44491</v>
      </c>
      <c r="C171" s="1" t="n">
        <v>46188</v>
      </c>
      <c r="D171" t="inlineStr">
        <is>
          <t>JÄMTLANDS LÄN</t>
        </is>
      </c>
      <c r="E171" t="inlineStr">
        <is>
          <t>ÖSTERSUND</t>
        </is>
      </c>
      <c r="F171" t="inlineStr">
        <is>
          <t>Övriga statliga verk och myndigheter</t>
        </is>
      </c>
      <c r="G171" t="n">
        <v>1.6</v>
      </c>
      <c r="H171" t="n">
        <v>0</v>
      </c>
      <c r="I171" t="n">
        <v>0</v>
      </c>
      <c r="J171" t="n">
        <v>1</v>
      </c>
      <c r="K171" t="n">
        <v>0</v>
      </c>
      <c r="L171" t="n">
        <v>0</v>
      </c>
      <c r="M171" t="n">
        <v>0</v>
      </c>
      <c r="N171" t="n">
        <v>0</v>
      </c>
      <c r="O171" t="n">
        <v>1</v>
      </c>
      <c r="P171" t="n">
        <v>0</v>
      </c>
      <c r="Q171" t="n">
        <v>1</v>
      </c>
      <c r="R171" s="2" t="inlineStr">
        <is>
          <t>Brunpudrad nållav</t>
        </is>
      </c>
      <c r="S171">
        <f>HYPERLINK("https://klasma.github.io/Logging_2380/artfynd/A 59433-2021 artfynd.xlsx", "A 59433-2021")</f>
        <v/>
      </c>
      <c r="T171">
        <f>HYPERLINK("https://klasma.github.io/Logging_2380/kartor/A 59433-2021 karta.png", "A 59433-2021")</f>
        <v/>
      </c>
      <c r="V171">
        <f>HYPERLINK("https://klasma.github.io/Logging_2380/klagomål/A 59433-2021 FSC-klagomål.docx", "A 59433-2021")</f>
        <v/>
      </c>
      <c r="W171">
        <f>HYPERLINK("https://klasma.github.io/Logging_2380/klagomålsmail/A 59433-2021 FSC-klagomål mail.docx", "A 59433-2021")</f>
        <v/>
      </c>
      <c r="X171">
        <f>HYPERLINK("https://klasma.github.io/Logging_2380/tillsyn/A 59433-2021 tillsynsbegäran.docx", "A 59433-2021")</f>
        <v/>
      </c>
      <c r="Y171">
        <f>HYPERLINK("https://klasma.github.io/Logging_2380/tillsynsmail/A 59433-2021 tillsynsbegäran mail.docx", "A 59433-2021")</f>
        <v/>
      </c>
    </row>
    <row r="172" ht="15" customHeight="1">
      <c r="A172" t="inlineStr">
        <is>
          <t>A 55-2023</t>
        </is>
      </c>
      <c r="B172" s="1" t="n">
        <v>44928</v>
      </c>
      <c r="C172" s="1" t="n">
        <v>46188</v>
      </c>
      <c r="D172" t="inlineStr">
        <is>
          <t>JÄMTLANDS LÄN</t>
        </is>
      </c>
      <c r="E172" t="inlineStr">
        <is>
          <t>ÖSTERSUND</t>
        </is>
      </c>
      <c r="G172" t="n">
        <v>4</v>
      </c>
      <c r="H172" t="n">
        <v>1</v>
      </c>
      <c r="I172" t="n">
        <v>0</v>
      </c>
      <c r="J172" t="n">
        <v>0</v>
      </c>
      <c r="K172" t="n">
        <v>1</v>
      </c>
      <c r="L172" t="n">
        <v>0</v>
      </c>
      <c r="M172" t="n">
        <v>0</v>
      </c>
      <c r="N172" t="n">
        <v>0</v>
      </c>
      <c r="O172" t="n">
        <v>1</v>
      </c>
      <c r="P172" t="n">
        <v>1</v>
      </c>
      <c r="Q172" t="n">
        <v>1</v>
      </c>
      <c r="R172" s="2" t="inlineStr">
        <is>
          <t>Knärot</t>
        </is>
      </c>
      <c r="S172">
        <f>HYPERLINK("https://klasma.github.io/Logging_2380/artfynd/A 55-2023 artfynd.xlsx", "A 55-2023")</f>
        <v/>
      </c>
      <c r="T172">
        <f>HYPERLINK("https://klasma.github.io/Logging_2380/kartor/A 55-2023 karta.png", "A 55-2023")</f>
        <v/>
      </c>
      <c r="U172">
        <f>HYPERLINK("https://klasma.github.io/Logging_2380/knärot/A 55-2023 karta knärot.png", "A 55-2023")</f>
        <v/>
      </c>
      <c r="V172">
        <f>HYPERLINK("https://klasma.github.io/Logging_2380/klagomål/A 55-2023 FSC-klagomål.docx", "A 55-2023")</f>
        <v/>
      </c>
      <c r="W172">
        <f>HYPERLINK("https://klasma.github.io/Logging_2380/klagomålsmail/A 55-2023 FSC-klagomål mail.docx", "A 55-2023")</f>
        <v/>
      </c>
      <c r="X172">
        <f>HYPERLINK("https://klasma.github.io/Logging_2380/tillsyn/A 55-2023 tillsynsbegäran.docx", "A 55-2023")</f>
        <v/>
      </c>
      <c r="Y172">
        <f>HYPERLINK("https://klasma.github.io/Logging_2380/tillsynsmail/A 55-2023 tillsynsbegäran mail.docx", "A 55-2023")</f>
        <v/>
      </c>
    </row>
    <row r="173" ht="15" customHeight="1">
      <c r="A173" t="inlineStr">
        <is>
          <t>A 43310-2021</t>
        </is>
      </c>
      <c r="B173" s="1" t="n">
        <v>44432</v>
      </c>
      <c r="C173" s="1" t="n">
        <v>46188</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46188</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64092-2021</t>
        </is>
      </c>
      <c r="B175" s="1" t="n">
        <v>44510.44064814815</v>
      </c>
      <c r="C175" s="1" t="n">
        <v>46188</v>
      </c>
      <c r="D175" t="inlineStr">
        <is>
          <t>JÄMTLANDS LÄN</t>
        </is>
      </c>
      <c r="E175" t="inlineStr">
        <is>
          <t>ÖSTERSUND</t>
        </is>
      </c>
      <c r="G175" t="n">
        <v>5.6</v>
      </c>
      <c r="H175" t="n">
        <v>0</v>
      </c>
      <c r="I175" t="n">
        <v>0</v>
      </c>
      <c r="J175" t="n">
        <v>0</v>
      </c>
      <c r="K175" t="n">
        <v>0</v>
      </c>
      <c r="L175" t="n">
        <v>0</v>
      </c>
      <c r="M175" t="n">
        <v>0</v>
      </c>
      <c r="N175" t="n">
        <v>0</v>
      </c>
      <c r="O175" t="n">
        <v>0</v>
      </c>
      <c r="P175" t="n">
        <v>0</v>
      </c>
      <c r="Q175" t="n">
        <v>0</v>
      </c>
      <c r="R175" s="2" t="inlineStr"/>
    </row>
    <row r="176" ht="15" customHeight="1">
      <c r="A176" t="inlineStr">
        <is>
          <t>A 40038-2021</t>
        </is>
      </c>
      <c r="B176" s="1" t="n">
        <v>44418.45925925926</v>
      </c>
      <c r="C176" s="1" t="n">
        <v>46188</v>
      </c>
      <c r="D176" t="inlineStr">
        <is>
          <t>JÄMTLANDS LÄN</t>
        </is>
      </c>
      <c r="E176" t="inlineStr">
        <is>
          <t>ÖSTERSUND</t>
        </is>
      </c>
      <c r="G176" t="n">
        <v>7</v>
      </c>
      <c r="H176" t="n">
        <v>0</v>
      </c>
      <c r="I176" t="n">
        <v>0</v>
      </c>
      <c r="J176" t="n">
        <v>0</v>
      </c>
      <c r="K176" t="n">
        <v>0</v>
      </c>
      <c r="L176" t="n">
        <v>0</v>
      </c>
      <c r="M176" t="n">
        <v>0</v>
      </c>
      <c r="N176" t="n">
        <v>0</v>
      </c>
      <c r="O176" t="n">
        <v>0</v>
      </c>
      <c r="P176" t="n">
        <v>0</v>
      </c>
      <c r="Q176" t="n">
        <v>0</v>
      </c>
      <c r="R176" s="2" t="inlineStr"/>
    </row>
    <row r="177" ht="15" customHeight="1">
      <c r="A177" t="inlineStr">
        <is>
          <t>A 67695-2021</t>
        </is>
      </c>
      <c r="B177" s="1" t="n">
        <v>44524.94607638889</v>
      </c>
      <c r="C177" s="1" t="n">
        <v>46188</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32986-2021</t>
        </is>
      </c>
      <c r="B178" s="1" t="n">
        <v>44375</v>
      </c>
      <c r="C178" s="1" t="n">
        <v>46188</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29707-2021</t>
        </is>
      </c>
      <c r="B179" s="1" t="n">
        <v>44362</v>
      </c>
      <c r="C179" s="1" t="n">
        <v>46188</v>
      </c>
      <c r="D179" t="inlineStr">
        <is>
          <t>JÄMTLANDS LÄN</t>
        </is>
      </c>
      <c r="E179" t="inlineStr">
        <is>
          <t>ÖSTERSUND</t>
        </is>
      </c>
      <c r="G179" t="n">
        <v>4</v>
      </c>
      <c r="H179" t="n">
        <v>0</v>
      </c>
      <c r="I179" t="n">
        <v>0</v>
      </c>
      <c r="J179" t="n">
        <v>0</v>
      </c>
      <c r="K179" t="n">
        <v>0</v>
      </c>
      <c r="L179" t="n">
        <v>0</v>
      </c>
      <c r="M179" t="n">
        <v>0</v>
      </c>
      <c r="N179" t="n">
        <v>0</v>
      </c>
      <c r="O179" t="n">
        <v>0</v>
      </c>
      <c r="P179" t="n">
        <v>0</v>
      </c>
      <c r="Q179" t="n">
        <v>0</v>
      </c>
      <c r="R179" s="2" t="inlineStr"/>
    </row>
    <row r="180" ht="15" customHeight="1">
      <c r="A180" t="inlineStr">
        <is>
          <t>A 43951-2022</t>
        </is>
      </c>
      <c r="B180" s="1" t="n">
        <v>44838</v>
      </c>
      <c r="C180" s="1" t="n">
        <v>46188</v>
      </c>
      <c r="D180" t="inlineStr">
        <is>
          <t>JÄMTLANDS LÄN</t>
        </is>
      </c>
      <c r="E180" t="inlineStr">
        <is>
          <t>ÖSTERSUND</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72089-2021</t>
        </is>
      </c>
      <c r="B181" s="1" t="n">
        <v>44540</v>
      </c>
      <c r="C181" s="1" t="n">
        <v>46188</v>
      </c>
      <c r="D181" t="inlineStr">
        <is>
          <t>JÄMTLANDS LÄN</t>
        </is>
      </c>
      <c r="E181" t="inlineStr">
        <is>
          <t>ÖSTERSUND</t>
        </is>
      </c>
      <c r="G181" t="n">
        <v>0.9</v>
      </c>
      <c r="H181" t="n">
        <v>0</v>
      </c>
      <c r="I181" t="n">
        <v>0</v>
      </c>
      <c r="J181" t="n">
        <v>0</v>
      </c>
      <c r="K181" t="n">
        <v>0</v>
      </c>
      <c r="L181" t="n">
        <v>0</v>
      </c>
      <c r="M181" t="n">
        <v>0</v>
      </c>
      <c r="N181" t="n">
        <v>0</v>
      </c>
      <c r="O181" t="n">
        <v>0</v>
      </c>
      <c r="P181" t="n">
        <v>0</v>
      </c>
      <c r="Q181" t="n">
        <v>0</v>
      </c>
      <c r="R181" s="2" t="inlineStr"/>
    </row>
    <row r="182" ht="15" customHeight="1">
      <c r="A182" t="inlineStr">
        <is>
          <t>A 8647-2022</t>
        </is>
      </c>
      <c r="B182" s="1" t="n">
        <v>44613</v>
      </c>
      <c r="C182" s="1" t="n">
        <v>46188</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2880-2022</t>
        </is>
      </c>
      <c r="B183" s="1" t="n">
        <v>44581</v>
      </c>
      <c r="C183" s="1" t="n">
        <v>46188</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47295-2022</t>
        </is>
      </c>
      <c r="B184" s="1" t="n">
        <v>44852</v>
      </c>
      <c r="C184" s="1" t="n">
        <v>46188</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154-2022</t>
        </is>
      </c>
      <c r="B185" s="1" t="n">
        <v>44561</v>
      </c>
      <c r="C185" s="1" t="n">
        <v>46188</v>
      </c>
      <c r="D185" t="inlineStr">
        <is>
          <t>JÄMTLANDS LÄN</t>
        </is>
      </c>
      <c r="E185" t="inlineStr">
        <is>
          <t>ÖSTERSUND</t>
        </is>
      </c>
      <c r="G185" t="n">
        <v>4.2</v>
      </c>
      <c r="H185" t="n">
        <v>0</v>
      </c>
      <c r="I185" t="n">
        <v>0</v>
      </c>
      <c r="J185" t="n">
        <v>0</v>
      </c>
      <c r="K185" t="n">
        <v>0</v>
      </c>
      <c r="L185" t="n">
        <v>0</v>
      </c>
      <c r="M185" t="n">
        <v>0</v>
      </c>
      <c r="N185" t="n">
        <v>0</v>
      </c>
      <c r="O185" t="n">
        <v>0</v>
      </c>
      <c r="P185" t="n">
        <v>0</v>
      </c>
      <c r="Q185" t="n">
        <v>0</v>
      </c>
      <c r="R185" s="2" t="inlineStr"/>
    </row>
    <row r="186" ht="15" customHeight="1">
      <c r="A186" t="inlineStr">
        <is>
          <t>A 35032-2021</t>
        </is>
      </c>
      <c r="B186" s="1" t="n">
        <v>44383.85295138889</v>
      </c>
      <c r="C186" s="1" t="n">
        <v>46188</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46002-2021</t>
        </is>
      </c>
      <c r="B187" s="1" t="n">
        <v>44441.80453703704</v>
      </c>
      <c r="C187" s="1" t="n">
        <v>46188</v>
      </c>
      <c r="D187" t="inlineStr">
        <is>
          <t>JÄMTLANDS LÄN</t>
        </is>
      </c>
      <c r="E187" t="inlineStr">
        <is>
          <t>ÖSTERSUND</t>
        </is>
      </c>
      <c r="G187" t="n">
        <v>3.6</v>
      </c>
      <c r="H187" t="n">
        <v>0</v>
      </c>
      <c r="I187" t="n">
        <v>0</v>
      </c>
      <c r="J187" t="n">
        <v>0</v>
      </c>
      <c r="K187" t="n">
        <v>0</v>
      </c>
      <c r="L187" t="n">
        <v>0</v>
      </c>
      <c r="M187" t="n">
        <v>0</v>
      </c>
      <c r="N187" t="n">
        <v>0</v>
      </c>
      <c r="O187" t="n">
        <v>0</v>
      </c>
      <c r="P187" t="n">
        <v>0</v>
      </c>
      <c r="Q187" t="n">
        <v>0</v>
      </c>
      <c r="R187" s="2" t="inlineStr"/>
    </row>
    <row r="188" ht="15" customHeight="1">
      <c r="A188" t="inlineStr">
        <is>
          <t>A 695-2022</t>
        </is>
      </c>
      <c r="B188" s="1" t="n">
        <v>44566</v>
      </c>
      <c r="C188" s="1" t="n">
        <v>46188</v>
      </c>
      <c r="D188" t="inlineStr">
        <is>
          <t>JÄMTLANDS LÄN</t>
        </is>
      </c>
      <c r="E188" t="inlineStr">
        <is>
          <t>ÖSTERSUND</t>
        </is>
      </c>
      <c r="G188" t="n">
        <v>14.9</v>
      </c>
      <c r="H188" t="n">
        <v>0</v>
      </c>
      <c r="I188" t="n">
        <v>0</v>
      </c>
      <c r="J188" t="n">
        <v>0</v>
      </c>
      <c r="K188" t="n">
        <v>0</v>
      </c>
      <c r="L188" t="n">
        <v>0</v>
      </c>
      <c r="M188" t="n">
        <v>0</v>
      </c>
      <c r="N188" t="n">
        <v>0</v>
      </c>
      <c r="O188" t="n">
        <v>0</v>
      </c>
      <c r="P188" t="n">
        <v>0</v>
      </c>
      <c r="Q188" t="n">
        <v>0</v>
      </c>
      <c r="R188" s="2" t="inlineStr"/>
    </row>
    <row r="189" ht="15" customHeight="1">
      <c r="A189" t="inlineStr">
        <is>
          <t>A 29828-2022</t>
        </is>
      </c>
      <c r="B189" s="1" t="n">
        <v>44755</v>
      </c>
      <c r="C189" s="1" t="n">
        <v>46188</v>
      </c>
      <c r="D189" t="inlineStr">
        <is>
          <t>JÄMTLANDS LÄN</t>
        </is>
      </c>
      <c r="E189" t="inlineStr">
        <is>
          <t>ÖSTERSUND</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44267-2021</t>
        </is>
      </c>
      <c r="B190" s="1" t="n">
        <v>44434</v>
      </c>
      <c r="C190" s="1" t="n">
        <v>46188</v>
      </c>
      <c r="D190" t="inlineStr">
        <is>
          <t>JÄMTLANDS LÄN</t>
        </is>
      </c>
      <c r="E190" t="inlineStr">
        <is>
          <t>ÖSTERSUND</t>
        </is>
      </c>
      <c r="G190" t="n">
        <v>1.1</v>
      </c>
      <c r="H190" t="n">
        <v>0</v>
      </c>
      <c r="I190" t="n">
        <v>0</v>
      </c>
      <c r="J190" t="n">
        <v>0</v>
      </c>
      <c r="K190" t="n">
        <v>0</v>
      </c>
      <c r="L190" t="n">
        <v>0</v>
      </c>
      <c r="M190" t="n">
        <v>0</v>
      </c>
      <c r="N190" t="n">
        <v>0</v>
      </c>
      <c r="O190" t="n">
        <v>0</v>
      </c>
      <c r="P190" t="n">
        <v>0</v>
      </c>
      <c r="Q190" t="n">
        <v>0</v>
      </c>
      <c r="R190" s="2" t="inlineStr"/>
    </row>
    <row r="191" ht="15" customHeight="1">
      <c r="A191" t="inlineStr">
        <is>
          <t>A 47296-2022</t>
        </is>
      </c>
      <c r="B191" s="1" t="n">
        <v>44852.95248842592</v>
      </c>
      <c r="C191" s="1" t="n">
        <v>46188</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72041-2021</t>
        </is>
      </c>
      <c r="B192" s="1" t="n">
        <v>44540</v>
      </c>
      <c r="C192" s="1" t="n">
        <v>46188</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70816-2021</t>
        </is>
      </c>
      <c r="B193" s="1" t="n">
        <v>44537.935</v>
      </c>
      <c r="C193" s="1" t="n">
        <v>46188</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8227-2022</t>
        </is>
      </c>
      <c r="B194" s="1" t="n">
        <v>44609.93075231482</v>
      </c>
      <c r="C194" s="1" t="n">
        <v>46188</v>
      </c>
      <c r="D194" t="inlineStr">
        <is>
          <t>JÄMTLANDS LÄN</t>
        </is>
      </c>
      <c r="E194" t="inlineStr">
        <is>
          <t>ÖSTERSUND</t>
        </is>
      </c>
      <c r="G194" t="n">
        <v>6.6</v>
      </c>
      <c r="H194" t="n">
        <v>0</v>
      </c>
      <c r="I194" t="n">
        <v>0</v>
      </c>
      <c r="J194" t="n">
        <v>0</v>
      </c>
      <c r="K194" t="n">
        <v>0</v>
      </c>
      <c r="L194" t="n">
        <v>0</v>
      </c>
      <c r="M194" t="n">
        <v>0</v>
      </c>
      <c r="N194" t="n">
        <v>0</v>
      </c>
      <c r="O194" t="n">
        <v>0</v>
      </c>
      <c r="P194" t="n">
        <v>0</v>
      </c>
      <c r="Q194" t="n">
        <v>0</v>
      </c>
      <c r="R194" s="2" t="inlineStr"/>
    </row>
    <row r="195" ht="15" customHeight="1">
      <c r="A195" t="inlineStr">
        <is>
          <t>A 56148-2022</t>
        </is>
      </c>
      <c r="B195" s="1" t="n">
        <v>44889.89929398148</v>
      </c>
      <c r="C195" s="1" t="n">
        <v>46188</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65866-2021</t>
        </is>
      </c>
      <c r="B196" s="1" t="n">
        <v>44516</v>
      </c>
      <c r="C196" s="1" t="n">
        <v>46188</v>
      </c>
      <c r="D196" t="inlineStr">
        <is>
          <t>JÄMTLANDS LÄN</t>
        </is>
      </c>
      <c r="E196" t="inlineStr">
        <is>
          <t>ÖSTERSUND</t>
        </is>
      </c>
      <c r="G196" t="n">
        <v>2.6</v>
      </c>
      <c r="H196" t="n">
        <v>0</v>
      </c>
      <c r="I196" t="n">
        <v>0</v>
      </c>
      <c r="J196" t="n">
        <v>0</v>
      </c>
      <c r="K196" t="n">
        <v>0</v>
      </c>
      <c r="L196" t="n">
        <v>0</v>
      </c>
      <c r="M196" t="n">
        <v>0</v>
      </c>
      <c r="N196" t="n">
        <v>0</v>
      </c>
      <c r="O196" t="n">
        <v>0</v>
      </c>
      <c r="P196" t="n">
        <v>0</v>
      </c>
      <c r="Q196" t="n">
        <v>0</v>
      </c>
      <c r="R196" s="2" t="inlineStr"/>
    </row>
    <row r="197" ht="15" customHeight="1">
      <c r="A197" t="inlineStr">
        <is>
          <t>A 46913-2022</t>
        </is>
      </c>
      <c r="B197" s="1" t="n">
        <v>44851</v>
      </c>
      <c r="C197" s="1" t="n">
        <v>46188</v>
      </c>
      <c r="D197" t="inlineStr">
        <is>
          <t>JÄMTLANDS LÄN</t>
        </is>
      </c>
      <c r="E197" t="inlineStr">
        <is>
          <t>ÖSTERSUND</t>
        </is>
      </c>
      <c r="G197" t="n">
        <v>2.5</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46188</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52898-2022</t>
        </is>
      </c>
      <c r="B199" s="1" t="n">
        <v>44875</v>
      </c>
      <c r="C199" s="1" t="n">
        <v>46188</v>
      </c>
      <c r="D199" t="inlineStr">
        <is>
          <t>JÄMTLANDS LÄN</t>
        </is>
      </c>
      <c r="E199" t="inlineStr">
        <is>
          <t>ÖSTERSUND</t>
        </is>
      </c>
      <c r="F199" t="inlineStr">
        <is>
          <t>Övriga Aktiebolag</t>
        </is>
      </c>
      <c r="G199" t="n">
        <v>12.1</v>
      </c>
      <c r="H199" t="n">
        <v>0</v>
      </c>
      <c r="I199" t="n">
        <v>0</v>
      </c>
      <c r="J199" t="n">
        <v>0</v>
      </c>
      <c r="K199" t="n">
        <v>0</v>
      </c>
      <c r="L199" t="n">
        <v>0</v>
      </c>
      <c r="M199" t="n">
        <v>0</v>
      </c>
      <c r="N199" t="n">
        <v>0</v>
      </c>
      <c r="O199" t="n">
        <v>0</v>
      </c>
      <c r="P199" t="n">
        <v>0</v>
      </c>
      <c r="Q199" t="n">
        <v>0</v>
      </c>
      <c r="R199" s="2" t="inlineStr"/>
    </row>
    <row r="200" ht="15" customHeight="1">
      <c r="A200" t="inlineStr">
        <is>
          <t>A 55105-2022</t>
        </is>
      </c>
      <c r="B200" s="1" t="n">
        <v>44886.63148148148</v>
      </c>
      <c r="C200" s="1" t="n">
        <v>46188</v>
      </c>
      <c r="D200" t="inlineStr">
        <is>
          <t>JÄMTLANDS LÄN</t>
        </is>
      </c>
      <c r="E200" t="inlineStr">
        <is>
          <t>ÖSTERSUND</t>
        </is>
      </c>
      <c r="F200" t="inlineStr">
        <is>
          <t>Övriga Aktiebolag</t>
        </is>
      </c>
      <c r="G200" t="n">
        <v>2.4</v>
      </c>
      <c r="H200" t="n">
        <v>0</v>
      </c>
      <c r="I200" t="n">
        <v>0</v>
      </c>
      <c r="J200" t="n">
        <v>0</v>
      </c>
      <c r="K200" t="n">
        <v>0</v>
      </c>
      <c r="L200" t="n">
        <v>0</v>
      </c>
      <c r="M200" t="n">
        <v>0</v>
      </c>
      <c r="N200" t="n">
        <v>0</v>
      </c>
      <c r="O200" t="n">
        <v>0</v>
      </c>
      <c r="P200" t="n">
        <v>0</v>
      </c>
      <c r="Q200" t="n">
        <v>0</v>
      </c>
      <c r="R200" s="2" t="inlineStr"/>
      <c r="U200">
        <f>HYPERLINK("https://klasma.github.io/Logging_2380/knärot/A 55105-2022 karta knärot.png", "A 55105-2022")</f>
        <v/>
      </c>
      <c r="V200">
        <f>HYPERLINK("https://klasma.github.io/Logging_2380/klagomål/A 55105-2022 FSC-klagomål.docx", "A 55105-2022")</f>
        <v/>
      </c>
      <c r="W200">
        <f>HYPERLINK("https://klasma.github.io/Logging_2380/klagomålsmail/A 55105-2022 FSC-klagomål mail.docx", "A 55105-2022")</f>
        <v/>
      </c>
      <c r="X200">
        <f>HYPERLINK("https://klasma.github.io/Logging_2380/tillsyn/A 55105-2022 tillsynsbegäran.docx", "A 55105-2022")</f>
        <v/>
      </c>
      <c r="Y200">
        <f>HYPERLINK("https://klasma.github.io/Logging_2380/tillsynsmail/A 55105-2022 tillsynsbegäran mail.docx", "A 55105-2022")</f>
        <v/>
      </c>
    </row>
    <row r="201" ht="15" customHeight="1">
      <c r="A201" t="inlineStr">
        <is>
          <t>A 65428-2021</t>
        </is>
      </c>
      <c r="B201" s="1" t="n">
        <v>44515</v>
      </c>
      <c r="C201" s="1" t="n">
        <v>46188</v>
      </c>
      <c r="D201" t="inlineStr">
        <is>
          <t>JÄMTLANDS LÄN</t>
        </is>
      </c>
      <c r="E201" t="inlineStr">
        <is>
          <t>ÖSTERSUND</t>
        </is>
      </c>
      <c r="F201" t="inlineStr">
        <is>
          <t>SCA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29094-2022</t>
        </is>
      </c>
      <c r="B202" s="1" t="n">
        <v>44750</v>
      </c>
      <c r="C202" s="1" t="n">
        <v>46188</v>
      </c>
      <c r="D202" t="inlineStr">
        <is>
          <t>JÄMTLANDS LÄN</t>
        </is>
      </c>
      <c r="E202" t="inlineStr">
        <is>
          <t>ÖSTERSUND</t>
        </is>
      </c>
      <c r="G202" t="n">
        <v>0.7</v>
      </c>
      <c r="H202" t="n">
        <v>0</v>
      </c>
      <c r="I202" t="n">
        <v>0</v>
      </c>
      <c r="J202" t="n">
        <v>0</v>
      </c>
      <c r="K202" t="n">
        <v>0</v>
      </c>
      <c r="L202" t="n">
        <v>0</v>
      </c>
      <c r="M202" t="n">
        <v>0</v>
      </c>
      <c r="N202" t="n">
        <v>0</v>
      </c>
      <c r="O202" t="n">
        <v>0</v>
      </c>
      <c r="P202" t="n">
        <v>0</v>
      </c>
      <c r="Q202" t="n">
        <v>0</v>
      </c>
      <c r="R202" s="2" t="inlineStr"/>
    </row>
    <row r="203" ht="15" customHeight="1">
      <c r="A203" t="inlineStr">
        <is>
          <t>A 71956-2021</t>
        </is>
      </c>
      <c r="B203" s="1" t="n">
        <v>44544</v>
      </c>
      <c r="C203" s="1" t="n">
        <v>46188</v>
      </c>
      <c r="D203" t="inlineStr">
        <is>
          <t>JÄMTLANDS LÄN</t>
        </is>
      </c>
      <c r="E203" t="inlineStr">
        <is>
          <t>ÖSTERSUND</t>
        </is>
      </c>
      <c r="G203" t="n">
        <v>0.8</v>
      </c>
      <c r="H203" t="n">
        <v>0</v>
      </c>
      <c r="I203" t="n">
        <v>0</v>
      </c>
      <c r="J203" t="n">
        <v>0</v>
      </c>
      <c r="K203" t="n">
        <v>0</v>
      </c>
      <c r="L203" t="n">
        <v>0</v>
      </c>
      <c r="M203" t="n">
        <v>0</v>
      </c>
      <c r="N203" t="n">
        <v>0</v>
      </c>
      <c r="O203" t="n">
        <v>0</v>
      </c>
      <c r="P203" t="n">
        <v>0</v>
      </c>
      <c r="Q203" t="n">
        <v>0</v>
      </c>
      <c r="R203" s="2" t="inlineStr"/>
    </row>
    <row r="204" ht="15" customHeight="1">
      <c r="A204" t="inlineStr">
        <is>
          <t>A 27575-2022</t>
        </is>
      </c>
      <c r="B204" s="1" t="n">
        <v>44742</v>
      </c>
      <c r="C204" s="1" t="n">
        <v>46188</v>
      </c>
      <c r="D204" t="inlineStr">
        <is>
          <t>JÄMTLANDS LÄN</t>
        </is>
      </c>
      <c r="E204" t="inlineStr">
        <is>
          <t>ÖSTERSUND</t>
        </is>
      </c>
      <c r="F204" t="inlineStr">
        <is>
          <t>SCA</t>
        </is>
      </c>
      <c r="G204" t="n">
        <v>2.4</v>
      </c>
      <c r="H204" t="n">
        <v>0</v>
      </c>
      <c r="I204" t="n">
        <v>0</v>
      </c>
      <c r="J204" t="n">
        <v>0</v>
      </c>
      <c r="K204" t="n">
        <v>0</v>
      </c>
      <c r="L204" t="n">
        <v>0</v>
      </c>
      <c r="M204" t="n">
        <v>0</v>
      </c>
      <c r="N204" t="n">
        <v>0</v>
      </c>
      <c r="O204" t="n">
        <v>0</v>
      </c>
      <c r="P204" t="n">
        <v>0</v>
      </c>
      <c r="Q204" t="n">
        <v>0</v>
      </c>
      <c r="R204" s="2" t="inlineStr"/>
      <c r="U204">
        <f>HYPERLINK("https://klasma.github.io/Logging_2380/knärot/A 27575-2022 karta knärot.png", "A 27575-2022")</f>
        <v/>
      </c>
      <c r="V204">
        <f>HYPERLINK("https://klasma.github.io/Logging_2380/klagomål/A 27575-2022 FSC-klagomål.docx", "A 27575-2022")</f>
        <v/>
      </c>
      <c r="W204">
        <f>HYPERLINK("https://klasma.github.io/Logging_2380/klagomålsmail/A 27575-2022 FSC-klagomål mail.docx", "A 27575-2022")</f>
        <v/>
      </c>
      <c r="X204">
        <f>HYPERLINK("https://klasma.github.io/Logging_2380/tillsyn/A 27575-2022 tillsynsbegäran.docx", "A 27575-2022")</f>
        <v/>
      </c>
      <c r="Y204">
        <f>HYPERLINK("https://klasma.github.io/Logging_2380/tillsynsmail/A 27575-2022 tillsynsbegäran mail.docx", "A 27575-2022")</f>
        <v/>
      </c>
    </row>
    <row r="205" ht="15" customHeight="1">
      <c r="A205" t="inlineStr">
        <is>
          <t>A 65991-2021</t>
        </is>
      </c>
      <c r="B205" s="1" t="n">
        <v>44517.55134259259</v>
      </c>
      <c r="C205" s="1" t="n">
        <v>46188</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6458-2022</t>
        </is>
      </c>
      <c r="B206" s="1" t="n">
        <v>44601.36165509259</v>
      </c>
      <c r="C206" s="1" t="n">
        <v>46188</v>
      </c>
      <c r="D206" t="inlineStr">
        <is>
          <t>JÄMTLANDS LÄN</t>
        </is>
      </c>
      <c r="E206" t="inlineStr">
        <is>
          <t>ÖSTERSUND</t>
        </is>
      </c>
      <c r="G206" t="n">
        <v>3.1</v>
      </c>
      <c r="H206" t="n">
        <v>0</v>
      </c>
      <c r="I206" t="n">
        <v>0</v>
      </c>
      <c r="J206" t="n">
        <v>0</v>
      </c>
      <c r="K206" t="n">
        <v>0</v>
      </c>
      <c r="L206" t="n">
        <v>0</v>
      </c>
      <c r="M206" t="n">
        <v>0</v>
      </c>
      <c r="N206" t="n">
        <v>0</v>
      </c>
      <c r="O206" t="n">
        <v>0</v>
      </c>
      <c r="P206" t="n">
        <v>0</v>
      </c>
      <c r="Q206" t="n">
        <v>0</v>
      </c>
      <c r="R206" s="2" t="inlineStr"/>
    </row>
    <row r="207" ht="15" customHeight="1">
      <c r="A207" t="inlineStr">
        <is>
          <t>A 23992-2022</t>
        </is>
      </c>
      <c r="B207" s="1" t="n">
        <v>44722</v>
      </c>
      <c r="C207" s="1" t="n">
        <v>46188</v>
      </c>
      <c r="D207" t="inlineStr">
        <is>
          <t>JÄMTLANDS LÄN</t>
        </is>
      </c>
      <c r="E207" t="inlineStr">
        <is>
          <t>ÖSTERSUND</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23993-2022</t>
        </is>
      </c>
      <c r="B208" s="1" t="n">
        <v>44722.94023148148</v>
      </c>
      <c r="C208" s="1" t="n">
        <v>46188</v>
      </c>
      <c r="D208" t="inlineStr">
        <is>
          <t>JÄMTLANDS LÄN</t>
        </is>
      </c>
      <c r="E208" t="inlineStr">
        <is>
          <t>ÖSTERSUND</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23551-2022</t>
        </is>
      </c>
      <c r="B209" s="1" t="n">
        <v>44721</v>
      </c>
      <c r="C209" s="1" t="n">
        <v>46188</v>
      </c>
      <c r="D209" t="inlineStr">
        <is>
          <t>JÄMTLANDS LÄN</t>
        </is>
      </c>
      <c r="E209" t="inlineStr">
        <is>
          <t>ÖSTERSUND</t>
        </is>
      </c>
      <c r="G209" t="n">
        <v>0.3</v>
      </c>
      <c r="H209" t="n">
        <v>0</v>
      </c>
      <c r="I209" t="n">
        <v>0</v>
      </c>
      <c r="J209" t="n">
        <v>0</v>
      </c>
      <c r="K209" t="n">
        <v>0</v>
      </c>
      <c r="L209" t="n">
        <v>0</v>
      </c>
      <c r="M209" t="n">
        <v>0</v>
      </c>
      <c r="N209" t="n">
        <v>0</v>
      </c>
      <c r="O209" t="n">
        <v>0</v>
      </c>
      <c r="P209" t="n">
        <v>0</v>
      </c>
      <c r="Q209" t="n">
        <v>0</v>
      </c>
      <c r="R209" s="2" t="inlineStr"/>
    </row>
    <row r="210" ht="15" customHeight="1">
      <c r="A210" t="inlineStr">
        <is>
          <t>A 45654-2022</t>
        </is>
      </c>
      <c r="B210" s="1" t="n">
        <v>44845.67710648148</v>
      </c>
      <c r="C210" s="1" t="n">
        <v>46188</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42832-2021</t>
        </is>
      </c>
      <c r="B211" s="1" t="n">
        <v>44430</v>
      </c>
      <c r="C211" s="1" t="n">
        <v>46188</v>
      </c>
      <c r="D211" t="inlineStr">
        <is>
          <t>JÄMTLANDS LÄN</t>
        </is>
      </c>
      <c r="E211" t="inlineStr">
        <is>
          <t>ÖSTERSUND</t>
        </is>
      </c>
      <c r="G211" t="n">
        <v>9</v>
      </c>
      <c r="H211" t="n">
        <v>0</v>
      </c>
      <c r="I211" t="n">
        <v>0</v>
      </c>
      <c r="J211" t="n">
        <v>0</v>
      </c>
      <c r="K211" t="n">
        <v>0</v>
      </c>
      <c r="L211" t="n">
        <v>0</v>
      </c>
      <c r="M211" t="n">
        <v>0</v>
      </c>
      <c r="N211" t="n">
        <v>0</v>
      </c>
      <c r="O211" t="n">
        <v>0</v>
      </c>
      <c r="P211" t="n">
        <v>0</v>
      </c>
      <c r="Q211" t="n">
        <v>0</v>
      </c>
      <c r="R211" s="2" t="inlineStr"/>
    </row>
    <row r="212" ht="15" customHeight="1">
      <c r="A212" t="inlineStr">
        <is>
          <t>A 35755-2021</t>
        </is>
      </c>
      <c r="B212" s="1" t="n">
        <v>44385</v>
      </c>
      <c r="C212" s="1" t="n">
        <v>46188</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2627-2024</t>
        </is>
      </c>
      <c r="B213" s="1" t="n">
        <v>45313.9496875</v>
      </c>
      <c r="C213" s="1" t="n">
        <v>46188</v>
      </c>
      <c r="D213" t="inlineStr">
        <is>
          <t>JÄMTLANDS LÄN</t>
        </is>
      </c>
      <c r="E213" t="inlineStr">
        <is>
          <t>ÖSTERSUND</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32990-2021</t>
        </is>
      </c>
      <c r="B214" s="1" t="n">
        <v>44375</v>
      </c>
      <c r="C214" s="1" t="n">
        <v>46188</v>
      </c>
      <c r="D214" t="inlineStr">
        <is>
          <t>JÄMTLANDS LÄN</t>
        </is>
      </c>
      <c r="E214" t="inlineStr">
        <is>
          <t>ÖSTERSUND</t>
        </is>
      </c>
      <c r="G214" t="n">
        <v>0.2</v>
      </c>
      <c r="H214" t="n">
        <v>0</v>
      </c>
      <c r="I214" t="n">
        <v>0</v>
      </c>
      <c r="J214" t="n">
        <v>0</v>
      </c>
      <c r="K214" t="n">
        <v>0</v>
      </c>
      <c r="L214" t="n">
        <v>0</v>
      </c>
      <c r="M214" t="n">
        <v>0</v>
      </c>
      <c r="N214" t="n">
        <v>0</v>
      </c>
      <c r="O214" t="n">
        <v>0</v>
      </c>
      <c r="P214" t="n">
        <v>0</v>
      </c>
      <c r="Q214" t="n">
        <v>0</v>
      </c>
      <c r="R214" s="2" t="inlineStr"/>
    </row>
    <row r="215" ht="15" customHeight="1">
      <c r="A215" t="inlineStr">
        <is>
          <t>A 72061-2021</t>
        </is>
      </c>
      <c r="B215" s="1" t="n">
        <v>44540</v>
      </c>
      <c r="C215" s="1" t="n">
        <v>46188</v>
      </c>
      <c r="D215" t="inlineStr">
        <is>
          <t>JÄMTLANDS LÄN</t>
        </is>
      </c>
      <c r="E215" t="inlineStr">
        <is>
          <t>ÖSTERSUND</t>
        </is>
      </c>
      <c r="G215" t="n">
        <v>5.3</v>
      </c>
      <c r="H215" t="n">
        <v>0</v>
      </c>
      <c r="I215" t="n">
        <v>0</v>
      </c>
      <c r="J215" t="n">
        <v>0</v>
      </c>
      <c r="K215" t="n">
        <v>0</v>
      </c>
      <c r="L215" t="n">
        <v>0</v>
      </c>
      <c r="M215" t="n">
        <v>0</v>
      </c>
      <c r="N215" t="n">
        <v>0</v>
      </c>
      <c r="O215" t="n">
        <v>0</v>
      </c>
      <c r="P215" t="n">
        <v>0</v>
      </c>
      <c r="Q215" t="n">
        <v>0</v>
      </c>
      <c r="R215" s="2" t="inlineStr"/>
    </row>
    <row r="216" ht="15" customHeight="1">
      <c r="A216" t="inlineStr">
        <is>
          <t>A 14657-2022</t>
        </is>
      </c>
      <c r="B216" s="1" t="n">
        <v>44655</v>
      </c>
      <c r="C216" s="1" t="n">
        <v>46188</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5145-2022</t>
        </is>
      </c>
      <c r="B217" s="1" t="n">
        <v>44594</v>
      </c>
      <c r="C217" s="1" t="n">
        <v>46188</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21211-2022</t>
        </is>
      </c>
      <c r="B218" s="1" t="n">
        <v>44704.94370370371</v>
      </c>
      <c r="C218" s="1" t="n">
        <v>46188</v>
      </c>
      <c r="D218" t="inlineStr">
        <is>
          <t>JÄMTLANDS LÄN</t>
        </is>
      </c>
      <c r="E218" t="inlineStr">
        <is>
          <t>ÖSTERSUND</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63099-2023</t>
        </is>
      </c>
      <c r="B219" s="1" t="n">
        <v>45273</v>
      </c>
      <c r="C219" s="1" t="n">
        <v>46188</v>
      </c>
      <c r="D219" t="inlineStr">
        <is>
          <t>JÄMTLANDS LÄN</t>
        </is>
      </c>
      <c r="E219" t="inlineStr">
        <is>
          <t>ÖSTERSUND</t>
        </is>
      </c>
      <c r="G219" t="n">
        <v>1.5</v>
      </c>
      <c r="H219" t="n">
        <v>0</v>
      </c>
      <c r="I219" t="n">
        <v>0</v>
      </c>
      <c r="J219" t="n">
        <v>0</v>
      </c>
      <c r="K219" t="n">
        <v>0</v>
      </c>
      <c r="L219" t="n">
        <v>0</v>
      </c>
      <c r="M219" t="n">
        <v>0</v>
      </c>
      <c r="N219" t="n">
        <v>0</v>
      </c>
      <c r="O219" t="n">
        <v>0</v>
      </c>
      <c r="P219" t="n">
        <v>0</v>
      </c>
      <c r="Q219" t="n">
        <v>0</v>
      </c>
      <c r="R219" s="2" t="inlineStr"/>
    </row>
    <row r="220" ht="15" customHeight="1">
      <c r="A220" t="inlineStr">
        <is>
          <t>A 58407-2024</t>
        </is>
      </c>
      <c r="B220" s="1" t="n">
        <v>45634.72633101852</v>
      </c>
      <c r="C220" s="1" t="n">
        <v>46188</v>
      </c>
      <c r="D220" t="inlineStr">
        <is>
          <t>JÄMTLANDS LÄN</t>
        </is>
      </c>
      <c r="E220" t="inlineStr">
        <is>
          <t>ÖSTERSUND</t>
        </is>
      </c>
      <c r="G220" t="n">
        <v>2.8</v>
      </c>
      <c r="H220" t="n">
        <v>0</v>
      </c>
      <c r="I220" t="n">
        <v>0</v>
      </c>
      <c r="J220" t="n">
        <v>0</v>
      </c>
      <c r="K220" t="n">
        <v>0</v>
      </c>
      <c r="L220" t="n">
        <v>0</v>
      </c>
      <c r="M220" t="n">
        <v>0</v>
      </c>
      <c r="N220" t="n">
        <v>0</v>
      </c>
      <c r="O220" t="n">
        <v>0</v>
      </c>
      <c r="P220" t="n">
        <v>0</v>
      </c>
      <c r="Q220" t="n">
        <v>0</v>
      </c>
      <c r="R220" s="2" t="inlineStr"/>
    </row>
    <row r="221" ht="15" customHeight="1">
      <c r="A221" t="inlineStr">
        <is>
          <t>A 35556-2022</t>
        </is>
      </c>
      <c r="B221" s="1" t="n">
        <v>44799</v>
      </c>
      <c r="C221" s="1" t="n">
        <v>46188</v>
      </c>
      <c r="D221" t="inlineStr">
        <is>
          <t>JÄMTLANDS LÄN</t>
        </is>
      </c>
      <c r="E221" t="inlineStr">
        <is>
          <t>ÖSTERSUND</t>
        </is>
      </c>
      <c r="G221" t="n">
        <v>3.6</v>
      </c>
      <c r="H221" t="n">
        <v>0</v>
      </c>
      <c r="I221" t="n">
        <v>0</v>
      </c>
      <c r="J221" t="n">
        <v>0</v>
      </c>
      <c r="K221" t="n">
        <v>0</v>
      </c>
      <c r="L221" t="n">
        <v>0</v>
      </c>
      <c r="M221" t="n">
        <v>0</v>
      </c>
      <c r="N221" t="n">
        <v>0</v>
      </c>
      <c r="O221" t="n">
        <v>0</v>
      </c>
      <c r="P221" t="n">
        <v>0</v>
      </c>
      <c r="Q221" t="n">
        <v>0</v>
      </c>
      <c r="R221" s="2" t="inlineStr"/>
    </row>
    <row r="222" ht="15" customHeight="1">
      <c r="A222" t="inlineStr">
        <is>
          <t>A 6013-2022</t>
        </is>
      </c>
      <c r="B222" s="1" t="n">
        <v>44599.45850694444</v>
      </c>
      <c r="C222" s="1" t="n">
        <v>46188</v>
      </c>
      <c r="D222" t="inlineStr">
        <is>
          <t>JÄMTLANDS LÄN</t>
        </is>
      </c>
      <c r="E222" t="inlineStr">
        <is>
          <t>ÖSTERSUND</t>
        </is>
      </c>
      <c r="G222" t="n">
        <v>2.5</v>
      </c>
      <c r="H222" t="n">
        <v>0</v>
      </c>
      <c r="I222" t="n">
        <v>0</v>
      </c>
      <c r="J222" t="n">
        <v>0</v>
      </c>
      <c r="K222" t="n">
        <v>0</v>
      </c>
      <c r="L222" t="n">
        <v>0</v>
      </c>
      <c r="M222" t="n">
        <v>0</v>
      </c>
      <c r="N222" t="n">
        <v>0</v>
      </c>
      <c r="O222" t="n">
        <v>0</v>
      </c>
      <c r="P222" t="n">
        <v>0</v>
      </c>
      <c r="Q222" t="n">
        <v>0</v>
      </c>
      <c r="R222" s="2" t="inlineStr"/>
    </row>
    <row r="223" ht="15" customHeight="1">
      <c r="A223" t="inlineStr">
        <is>
          <t>A 45980-2023</t>
        </is>
      </c>
      <c r="B223" s="1" t="n">
        <v>45189</v>
      </c>
      <c r="C223" s="1" t="n">
        <v>46188</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53802-2022</t>
        </is>
      </c>
      <c r="B224" s="1" t="n">
        <v>44875</v>
      </c>
      <c r="C224" s="1" t="n">
        <v>46188</v>
      </c>
      <c r="D224" t="inlineStr">
        <is>
          <t>JÄMTLANDS LÄN</t>
        </is>
      </c>
      <c r="E224" t="inlineStr">
        <is>
          <t>ÖSTERSUND</t>
        </is>
      </c>
      <c r="G224" t="n">
        <v>0.2</v>
      </c>
      <c r="H224" t="n">
        <v>0</v>
      </c>
      <c r="I224" t="n">
        <v>0</v>
      </c>
      <c r="J224" t="n">
        <v>0</v>
      </c>
      <c r="K224" t="n">
        <v>0</v>
      </c>
      <c r="L224" t="n">
        <v>0</v>
      </c>
      <c r="M224" t="n">
        <v>0</v>
      </c>
      <c r="N224" t="n">
        <v>0</v>
      </c>
      <c r="O224" t="n">
        <v>0</v>
      </c>
      <c r="P224" t="n">
        <v>0</v>
      </c>
      <c r="Q224" t="n">
        <v>0</v>
      </c>
      <c r="R224" s="2" t="inlineStr"/>
    </row>
    <row r="225" ht="15" customHeight="1">
      <c r="A225" t="inlineStr">
        <is>
          <t>A 31464-2024</t>
        </is>
      </c>
      <c r="B225" s="1" t="n">
        <v>45505.95078703704</v>
      </c>
      <c r="C225" s="1" t="n">
        <v>46188</v>
      </c>
      <c r="D225" t="inlineStr">
        <is>
          <t>JÄMTLANDS LÄN</t>
        </is>
      </c>
      <c r="E225" t="inlineStr">
        <is>
          <t>ÖSTERSUND</t>
        </is>
      </c>
      <c r="F225" t="inlineStr">
        <is>
          <t>SCA</t>
        </is>
      </c>
      <c r="G225" t="n">
        <v>8.1</v>
      </c>
      <c r="H225" t="n">
        <v>0</v>
      </c>
      <c r="I225" t="n">
        <v>0</v>
      </c>
      <c r="J225" t="n">
        <v>0</v>
      </c>
      <c r="K225" t="n">
        <v>0</v>
      </c>
      <c r="L225" t="n">
        <v>0</v>
      </c>
      <c r="M225" t="n">
        <v>0</v>
      </c>
      <c r="N225" t="n">
        <v>0</v>
      </c>
      <c r="O225" t="n">
        <v>0</v>
      </c>
      <c r="P225" t="n">
        <v>0</v>
      </c>
      <c r="Q225" t="n">
        <v>0</v>
      </c>
      <c r="R225" s="2" t="inlineStr"/>
    </row>
    <row r="226" ht="15" customHeight="1">
      <c r="A226" t="inlineStr">
        <is>
          <t>A 7573-2022</t>
        </is>
      </c>
      <c r="B226" s="1" t="n">
        <v>44607</v>
      </c>
      <c r="C226" s="1" t="n">
        <v>46188</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12946-2022</t>
        </is>
      </c>
      <c r="B227" s="1" t="n">
        <v>44642.93471064815</v>
      </c>
      <c r="C227" s="1" t="n">
        <v>46188</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4872-2023</t>
        </is>
      </c>
      <c r="B228" s="1" t="n">
        <v>44957</v>
      </c>
      <c r="C228" s="1" t="n">
        <v>46188</v>
      </c>
      <c r="D228" t="inlineStr">
        <is>
          <t>JÄMTLANDS LÄN</t>
        </is>
      </c>
      <c r="E228" t="inlineStr">
        <is>
          <t>ÖSTERSUND</t>
        </is>
      </c>
      <c r="G228" t="n">
        <v>10.7</v>
      </c>
      <c r="H228" t="n">
        <v>0</v>
      </c>
      <c r="I228" t="n">
        <v>0</v>
      </c>
      <c r="J228" t="n">
        <v>0</v>
      </c>
      <c r="K228" t="n">
        <v>0</v>
      </c>
      <c r="L228" t="n">
        <v>0</v>
      </c>
      <c r="M228" t="n">
        <v>0</v>
      </c>
      <c r="N228" t="n">
        <v>0</v>
      </c>
      <c r="O228" t="n">
        <v>0</v>
      </c>
      <c r="P228" t="n">
        <v>0</v>
      </c>
      <c r="Q228" t="n">
        <v>0</v>
      </c>
      <c r="R228" s="2" t="inlineStr"/>
    </row>
    <row r="229" ht="15" customHeight="1">
      <c r="A229" t="inlineStr">
        <is>
          <t>A 231-2022</t>
        </is>
      </c>
      <c r="B229" s="1" t="n">
        <v>44564.93909722222</v>
      </c>
      <c r="C229" s="1" t="n">
        <v>46188</v>
      </c>
      <c r="D229" t="inlineStr">
        <is>
          <t>JÄMTLANDS LÄN</t>
        </is>
      </c>
      <c r="E229" t="inlineStr">
        <is>
          <t>ÖSTERSUND</t>
        </is>
      </c>
      <c r="G229" t="n">
        <v>1.9</v>
      </c>
      <c r="H229" t="n">
        <v>0</v>
      </c>
      <c r="I229" t="n">
        <v>0</v>
      </c>
      <c r="J229" t="n">
        <v>0</v>
      </c>
      <c r="K229" t="n">
        <v>0</v>
      </c>
      <c r="L229" t="n">
        <v>0</v>
      </c>
      <c r="M229" t="n">
        <v>0</v>
      </c>
      <c r="N229" t="n">
        <v>0</v>
      </c>
      <c r="O229" t="n">
        <v>0</v>
      </c>
      <c r="P229" t="n">
        <v>0</v>
      </c>
      <c r="Q229" t="n">
        <v>0</v>
      </c>
      <c r="R229" s="2" t="inlineStr"/>
    </row>
    <row r="230" ht="15" customHeight="1">
      <c r="A230" t="inlineStr">
        <is>
          <t>A 58952-2024</t>
        </is>
      </c>
      <c r="B230" s="1" t="n">
        <v>45636.5674537037</v>
      </c>
      <c r="C230" s="1" t="n">
        <v>46188</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48893-2025</t>
        </is>
      </c>
      <c r="B231" s="1" t="n">
        <v>45937.47302083333</v>
      </c>
      <c r="C231" s="1" t="n">
        <v>46188</v>
      </c>
      <c r="D231" t="inlineStr">
        <is>
          <t>JÄMTLANDS LÄN</t>
        </is>
      </c>
      <c r="E231" t="inlineStr">
        <is>
          <t>ÖSTERSUND</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46748-2023</t>
        </is>
      </c>
      <c r="B232" s="1" t="n">
        <v>45198</v>
      </c>
      <c r="C232" s="1" t="n">
        <v>46188</v>
      </c>
      <c r="D232" t="inlineStr">
        <is>
          <t>JÄMTLANDS LÄN</t>
        </is>
      </c>
      <c r="E232" t="inlineStr">
        <is>
          <t>ÖSTERSUND</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46763-2023</t>
        </is>
      </c>
      <c r="B233" s="1" t="n">
        <v>45198</v>
      </c>
      <c r="C233" s="1" t="n">
        <v>46188</v>
      </c>
      <c r="D233" t="inlineStr">
        <is>
          <t>JÄMTLANDS LÄN</t>
        </is>
      </c>
      <c r="E233" t="inlineStr">
        <is>
          <t>ÖSTERSUND</t>
        </is>
      </c>
      <c r="F233" t="inlineStr">
        <is>
          <t>Sveaskog</t>
        </is>
      </c>
      <c r="G233" t="n">
        <v>13.3</v>
      </c>
      <c r="H233" t="n">
        <v>0</v>
      </c>
      <c r="I233" t="n">
        <v>0</v>
      </c>
      <c r="J233" t="n">
        <v>0</v>
      </c>
      <c r="K233" t="n">
        <v>0</v>
      </c>
      <c r="L233" t="n">
        <v>0</v>
      </c>
      <c r="M233" t="n">
        <v>0</v>
      </c>
      <c r="N233" t="n">
        <v>0</v>
      </c>
      <c r="O233" t="n">
        <v>0</v>
      </c>
      <c r="P233" t="n">
        <v>0</v>
      </c>
      <c r="Q233" t="n">
        <v>0</v>
      </c>
      <c r="R233" s="2" t="inlineStr"/>
    </row>
    <row r="234" ht="15" customHeight="1">
      <c r="A234" t="inlineStr">
        <is>
          <t>A 60681-2022</t>
        </is>
      </c>
      <c r="B234" s="1" t="n">
        <v>44911.93994212963</v>
      </c>
      <c r="C234" s="1" t="n">
        <v>46188</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5341-2025</t>
        </is>
      </c>
      <c r="B235" s="1" t="n">
        <v>45692.55256944444</v>
      </c>
      <c r="C235" s="1" t="n">
        <v>46188</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48106-2024</t>
        </is>
      </c>
      <c r="B236" s="1" t="n">
        <v>45589.62625</v>
      </c>
      <c r="C236" s="1" t="n">
        <v>46188</v>
      </c>
      <c r="D236" t="inlineStr">
        <is>
          <t>JÄMTLANDS LÄN</t>
        </is>
      </c>
      <c r="E236" t="inlineStr">
        <is>
          <t>ÖSTERSUND</t>
        </is>
      </c>
      <c r="G236" t="n">
        <v>3.5</v>
      </c>
      <c r="H236" t="n">
        <v>0</v>
      </c>
      <c r="I236" t="n">
        <v>0</v>
      </c>
      <c r="J236" t="n">
        <v>0</v>
      </c>
      <c r="K236" t="n">
        <v>0</v>
      </c>
      <c r="L236" t="n">
        <v>0</v>
      </c>
      <c r="M236" t="n">
        <v>0</v>
      </c>
      <c r="N236" t="n">
        <v>0</v>
      </c>
      <c r="O236" t="n">
        <v>0</v>
      </c>
      <c r="P236" t="n">
        <v>0</v>
      </c>
      <c r="Q236" t="n">
        <v>0</v>
      </c>
      <c r="R236" s="2" t="inlineStr"/>
    </row>
    <row r="237" ht="15" customHeight="1">
      <c r="A237" t="inlineStr">
        <is>
          <t>A 49576-2025</t>
        </is>
      </c>
      <c r="B237" s="1" t="n">
        <v>45939</v>
      </c>
      <c r="C237" s="1" t="n">
        <v>46188</v>
      </c>
      <c r="D237" t="inlineStr">
        <is>
          <t>JÄMTLANDS LÄN</t>
        </is>
      </c>
      <c r="E237" t="inlineStr">
        <is>
          <t>ÖSTERSUND</t>
        </is>
      </c>
      <c r="F237" t="inlineStr">
        <is>
          <t>SCA</t>
        </is>
      </c>
      <c r="G237" t="n">
        <v>17.1</v>
      </c>
      <c r="H237" t="n">
        <v>0</v>
      </c>
      <c r="I237" t="n">
        <v>0</v>
      </c>
      <c r="J237" t="n">
        <v>0</v>
      </c>
      <c r="K237" t="n">
        <v>0</v>
      </c>
      <c r="L237" t="n">
        <v>0</v>
      </c>
      <c r="M237" t="n">
        <v>0</v>
      </c>
      <c r="N237" t="n">
        <v>0</v>
      </c>
      <c r="O237" t="n">
        <v>0</v>
      </c>
      <c r="P237" t="n">
        <v>0</v>
      </c>
      <c r="Q237" t="n">
        <v>0</v>
      </c>
      <c r="R237" s="2" t="inlineStr"/>
    </row>
    <row r="238" ht="15" customHeight="1">
      <c r="A238" t="inlineStr">
        <is>
          <t>A 38871-2025</t>
        </is>
      </c>
      <c r="B238" s="1" t="n">
        <v>45887.57407407407</v>
      </c>
      <c r="C238" s="1" t="n">
        <v>46188</v>
      </c>
      <c r="D238" t="inlineStr">
        <is>
          <t>JÄMTLANDS LÄN</t>
        </is>
      </c>
      <c r="E238" t="inlineStr">
        <is>
          <t>ÖSTERSUND</t>
        </is>
      </c>
      <c r="G238" t="n">
        <v>3</v>
      </c>
      <c r="H238" t="n">
        <v>0</v>
      </c>
      <c r="I238" t="n">
        <v>0</v>
      </c>
      <c r="J238" t="n">
        <v>0</v>
      </c>
      <c r="K238" t="n">
        <v>0</v>
      </c>
      <c r="L238" t="n">
        <v>0</v>
      </c>
      <c r="M238" t="n">
        <v>0</v>
      </c>
      <c r="N238" t="n">
        <v>0</v>
      </c>
      <c r="O238" t="n">
        <v>0</v>
      </c>
      <c r="P238" t="n">
        <v>0</v>
      </c>
      <c r="Q238" t="n">
        <v>0</v>
      </c>
      <c r="R238" s="2" t="inlineStr"/>
    </row>
    <row r="239" ht="15" customHeight="1">
      <c r="A239" t="inlineStr">
        <is>
          <t>A 10493-2025</t>
        </is>
      </c>
      <c r="B239" s="1" t="n">
        <v>45721.36320601852</v>
      </c>
      <c r="C239" s="1" t="n">
        <v>46188</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1255-2025</t>
        </is>
      </c>
      <c r="B240" s="1" t="n">
        <v>45667.46922453704</v>
      </c>
      <c r="C240" s="1" t="n">
        <v>46188</v>
      </c>
      <c r="D240" t="inlineStr">
        <is>
          <t>JÄMTLANDS LÄN</t>
        </is>
      </c>
      <c r="E240" t="inlineStr">
        <is>
          <t>ÖSTERSUND</t>
        </is>
      </c>
      <c r="F240" t="inlineStr">
        <is>
          <t>SCA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46139-2021</t>
        </is>
      </c>
      <c r="B241" s="1" t="n">
        <v>44441</v>
      </c>
      <c r="C241" s="1" t="n">
        <v>46188</v>
      </c>
      <c r="D241" t="inlineStr">
        <is>
          <t>JÄMTLANDS LÄN</t>
        </is>
      </c>
      <c r="E241" t="inlineStr">
        <is>
          <t>ÖSTERSUND</t>
        </is>
      </c>
      <c r="G241" t="n">
        <v>12.8</v>
      </c>
      <c r="H241" t="n">
        <v>0</v>
      </c>
      <c r="I241" t="n">
        <v>0</v>
      </c>
      <c r="J241" t="n">
        <v>0</v>
      </c>
      <c r="K241" t="n">
        <v>0</v>
      </c>
      <c r="L241" t="n">
        <v>0</v>
      </c>
      <c r="M241" t="n">
        <v>0</v>
      </c>
      <c r="N241" t="n">
        <v>0</v>
      </c>
      <c r="O241" t="n">
        <v>0</v>
      </c>
      <c r="P241" t="n">
        <v>0</v>
      </c>
      <c r="Q241" t="n">
        <v>0</v>
      </c>
      <c r="R241" s="2" t="inlineStr"/>
    </row>
    <row r="242" ht="15" customHeight="1">
      <c r="A242" t="inlineStr">
        <is>
          <t>A 21237-2025</t>
        </is>
      </c>
      <c r="B242" s="1" t="n">
        <v>45779</v>
      </c>
      <c r="C242" s="1" t="n">
        <v>46188</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21495-2022</t>
        </is>
      </c>
      <c r="B243" s="1" t="n">
        <v>44706</v>
      </c>
      <c r="C243" s="1" t="n">
        <v>46188</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50428-2025</t>
        </is>
      </c>
      <c r="B244" s="1" t="n">
        <v>45944.67787037037</v>
      </c>
      <c r="C244" s="1" t="n">
        <v>46188</v>
      </c>
      <c r="D244" t="inlineStr">
        <is>
          <t>JÄMTLANDS LÄN</t>
        </is>
      </c>
      <c r="E244" t="inlineStr">
        <is>
          <t>ÖSTERSUND</t>
        </is>
      </c>
      <c r="F244" t="inlineStr">
        <is>
          <t>SCA</t>
        </is>
      </c>
      <c r="G244" t="n">
        <v>4.9</v>
      </c>
      <c r="H244" t="n">
        <v>0</v>
      </c>
      <c r="I244" t="n">
        <v>0</v>
      </c>
      <c r="J244" t="n">
        <v>0</v>
      </c>
      <c r="K244" t="n">
        <v>0</v>
      </c>
      <c r="L244" t="n">
        <v>0</v>
      </c>
      <c r="M244" t="n">
        <v>0</v>
      </c>
      <c r="N244" t="n">
        <v>0</v>
      </c>
      <c r="O244" t="n">
        <v>0</v>
      </c>
      <c r="P244" t="n">
        <v>0</v>
      </c>
      <c r="Q244" t="n">
        <v>0</v>
      </c>
      <c r="R244" s="2" t="inlineStr"/>
    </row>
    <row r="245" ht="15" customHeight="1">
      <c r="A245" t="inlineStr">
        <is>
          <t>A 43557-2024</t>
        </is>
      </c>
      <c r="B245" s="1" t="n">
        <v>45569.39229166666</v>
      </c>
      <c r="C245" s="1" t="n">
        <v>46188</v>
      </c>
      <c r="D245" t="inlineStr">
        <is>
          <t>JÄMTLANDS LÄN</t>
        </is>
      </c>
      <c r="E245" t="inlineStr">
        <is>
          <t>ÖSTERSUND</t>
        </is>
      </c>
      <c r="G245" t="n">
        <v>3.6</v>
      </c>
      <c r="H245" t="n">
        <v>0</v>
      </c>
      <c r="I245" t="n">
        <v>0</v>
      </c>
      <c r="J245" t="n">
        <v>0</v>
      </c>
      <c r="K245" t="n">
        <v>0</v>
      </c>
      <c r="L245" t="n">
        <v>0</v>
      </c>
      <c r="M245" t="n">
        <v>0</v>
      </c>
      <c r="N245" t="n">
        <v>0</v>
      </c>
      <c r="O245" t="n">
        <v>0</v>
      </c>
      <c r="P245" t="n">
        <v>0</v>
      </c>
      <c r="Q245" t="n">
        <v>0</v>
      </c>
      <c r="R245" s="2" t="inlineStr"/>
    </row>
    <row r="246" ht="15" customHeight="1">
      <c r="A246" t="inlineStr">
        <is>
          <t>A 4521-2025</t>
        </is>
      </c>
      <c r="B246" s="1" t="n">
        <v>45686</v>
      </c>
      <c r="C246" s="1" t="n">
        <v>46188</v>
      </c>
      <c r="D246" t="inlineStr">
        <is>
          <t>JÄMTLANDS LÄN</t>
        </is>
      </c>
      <c r="E246" t="inlineStr">
        <is>
          <t>ÖSTERSUND</t>
        </is>
      </c>
      <c r="G246" t="n">
        <v>28.4</v>
      </c>
      <c r="H246" t="n">
        <v>0</v>
      </c>
      <c r="I246" t="n">
        <v>0</v>
      </c>
      <c r="J246" t="n">
        <v>0</v>
      </c>
      <c r="K246" t="n">
        <v>0</v>
      </c>
      <c r="L246" t="n">
        <v>0</v>
      </c>
      <c r="M246" t="n">
        <v>0</v>
      </c>
      <c r="N246" t="n">
        <v>0</v>
      </c>
      <c r="O246" t="n">
        <v>0</v>
      </c>
      <c r="P246" t="n">
        <v>0</v>
      </c>
      <c r="Q246" t="n">
        <v>0</v>
      </c>
      <c r="R246" s="2" t="inlineStr"/>
    </row>
    <row r="247" ht="15" customHeight="1">
      <c r="A247" t="inlineStr">
        <is>
          <t>A 7941-2025</t>
        </is>
      </c>
      <c r="B247" s="1" t="n">
        <v>45707</v>
      </c>
      <c r="C247" s="1" t="n">
        <v>46188</v>
      </c>
      <c r="D247" t="inlineStr">
        <is>
          <t>JÄMTLANDS LÄN</t>
        </is>
      </c>
      <c r="E247" t="inlineStr">
        <is>
          <t>ÖSTERSUND</t>
        </is>
      </c>
      <c r="G247" t="n">
        <v>2</v>
      </c>
      <c r="H247" t="n">
        <v>0</v>
      </c>
      <c r="I247" t="n">
        <v>0</v>
      </c>
      <c r="J247" t="n">
        <v>0</v>
      </c>
      <c r="K247" t="n">
        <v>0</v>
      </c>
      <c r="L247" t="n">
        <v>0</v>
      </c>
      <c r="M247" t="n">
        <v>0</v>
      </c>
      <c r="N247" t="n">
        <v>0</v>
      </c>
      <c r="O247" t="n">
        <v>0</v>
      </c>
      <c r="P247" t="n">
        <v>0</v>
      </c>
      <c r="Q247" t="n">
        <v>0</v>
      </c>
      <c r="R247" s="2" t="inlineStr"/>
    </row>
    <row r="248" ht="15" customHeight="1">
      <c r="A248" t="inlineStr">
        <is>
          <t>A 47627-2024</t>
        </is>
      </c>
      <c r="B248" s="1" t="n">
        <v>45588.3440625</v>
      </c>
      <c r="C248" s="1" t="n">
        <v>46188</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56646-2024</t>
        </is>
      </c>
      <c r="B249" s="1" t="n">
        <v>45625</v>
      </c>
      <c r="C249" s="1" t="n">
        <v>46188</v>
      </c>
      <c r="D249" t="inlineStr">
        <is>
          <t>JÄMTLANDS LÄN</t>
        </is>
      </c>
      <c r="E249" t="inlineStr">
        <is>
          <t>ÖSTERSUND</t>
        </is>
      </c>
      <c r="G249" t="n">
        <v>18.9</v>
      </c>
      <c r="H249" t="n">
        <v>0</v>
      </c>
      <c r="I249" t="n">
        <v>0</v>
      </c>
      <c r="J249" t="n">
        <v>0</v>
      </c>
      <c r="K249" t="n">
        <v>0</v>
      </c>
      <c r="L249" t="n">
        <v>0</v>
      </c>
      <c r="M249" t="n">
        <v>0</v>
      </c>
      <c r="N249" t="n">
        <v>0</v>
      </c>
      <c r="O249" t="n">
        <v>0</v>
      </c>
      <c r="P249" t="n">
        <v>0</v>
      </c>
      <c r="Q249" t="n">
        <v>0</v>
      </c>
      <c r="R249" s="2" t="inlineStr"/>
    </row>
    <row r="250" ht="15" customHeight="1">
      <c r="A250" t="inlineStr">
        <is>
          <t>A 24246-2024</t>
        </is>
      </c>
      <c r="B250" s="1" t="n">
        <v>45457.37893518519</v>
      </c>
      <c r="C250" s="1" t="n">
        <v>46188</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39103-2025</t>
        </is>
      </c>
      <c r="B251" s="1" t="n">
        <v>45888.52440972222</v>
      </c>
      <c r="C251" s="1" t="n">
        <v>46188</v>
      </c>
      <c r="D251" t="inlineStr">
        <is>
          <t>JÄMTLANDS LÄN</t>
        </is>
      </c>
      <c r="E251" t="inlineStr">
        <is>
          <t>ÖSTERSUND</t>
        </is>
      </c>
      <c r="G251" t="n">
        <v>23.9</v>
      </c>
      <c r="H251" t="n">
        <v>0</v>
      </c>
      <c r="I251" t="n">
        <v>0</v>
      </c>
      <c r="J251" t="n">
        <v>0</v>
      </c>
      <c r="K251" t="n">
        <v>0</v>
      </c>
      <c r="L251" t="n">
        <v>0</v>
      </c>
      <c r="M251" t="n">
        <v>0</v>
      </c>
      <c r="N251" t="n">
        <v>0</v>
      </c>
      <c r="O251" t="n">
        <v>0</v>
      </c>
      <c r="P251" t="n">
        <v>0</v>
      </c>
      <c r="Q251" t="n">
        <v>0</v>
      </c>
      <c r="R251" s="2" t="inlineStr"/>
    </row>
    <row r="252" ht="15" customHeight="1">
      <c r="A252" t="inlineStr">
        <is>
          <t>A 52620-2025</t>
        </is>
      </c>
      <c r="B252" s="1" t="n">
        <v>45954.68207175926</v>
      </c>
      <c r="C252" s="1" t="n">
        <v>46188</v>
      </c>
      <c r="D252" t="inlineStr">
        <is>
          <t>JÄMTLANDS LÄN</t>
        </is>
      </c>
      <c r="E252" t="inlineStr">
        <is>
          <t>ÖSTERSUND</t>
        </is>
      </c>
      <c r="G252" t="n">
        <v>4.6</v>
      </c>
      <c r="H252" t="n">
        <v>0</v>
      </c>
      <c r="I252" t="n">
        <v>0</v>
      </c>
      <c r="J252" t="n">
        <v>0</v>
      </c>
      <c r="K252" t="n">
        <v>0</v>
      </c>
      <c r="L252" t="n">
        <v>0</v>
      </c>
      <c r="M252" t="n">
        <v>0</v>
      </c>
      <c r="N252" t="n">
        <v>0</v>
      </c>
      <c r="O252" t="n">
        <v>0</v>
      </c>
      <c r="P252" t="n">
        <v>0</v>
      </c>
      <c r="Q252" t="n">
        <v>0</v>
      </c>
      <c r="R252" s="2" t="inlineStr"/>
    </row>
    <row r="253" ht="15" customHeight="1">
      <c r="A253" t="inlineStr">
        <is>
          <t>A 52975-2025</t>
        </is>
      </c>
      <c r="B253" s="1" t="n">
        <v>45957.67876157408</v>
      </c>
      <c r="C253" s="1" t="n">
        <v>46188</v>
      </c>
      <c r="D253" t="inlineStr">
        <is>
          <t>JÄMTLANDS LÄN</t>
        </is>
      </c>
      <c r="E253" t="inlineStr">
        <is>
          <t>ÖSTERSUND</t>
        </is>
      </c>
      <c r="F253" t="inlineStr">
        <is>
          <t>SCA</t>
        </is>
      </c>
      <c r="G253" t="n">
        <v>7.5</v>
      </c>
      <c r="H253" t="n">
        <v>0</v>
      </c>
      <c r="I253" t="n">
        <v>0</v>
      </c>
      <c r="J253" t="n">
        <v>0</v>
      </c>
      <c r="K253" t="n">
        <v>0</v>
      </c>
      <c r="L253" t="n">
        <v>0</v>
      </c>
      <c r="M253" t="n">
        <v>0</v>
      </c>
      <c r="N253" t="n">
        <v>0</v>
      </c>
      <c r="O253" t="n">
        <v>0</v>
      </c>
      <c r="P253" t="n">
        <v>0</v>
      </c>
      <c r="Q253" t="n">
        <v>0</v>
      </c>
      <c r="R253" s="2" t="inlineStr"/>
    </row>
    <row r="254" ht="15" customHeight="1">
      <c r="A254" t="inlineStr">
        <is>
          <t>A 25221-2025</t>
        </is>
      </c>
      <c r="B254" s="1" t="n">
        <v>45800.47802083333</v>
      </c>
      <c r="C254" s="1" t="n">
        <v>46188</v>
      </c>
      <c r="D254" t="inlineStr">
        <is>
          <t>JÄMTLANDS LÄN</t>
        </is>
      </c>
      <c r="E254" t="inlineStr">
        <is>
          <t>ÖSTERSUND</t>
        </is>
      </c>
      <c r="G254" t="n">
        <v>1.1</v>
      </c>
      <c r="H254" t="n">
        <v>0</v>
      </c>
      <c r="I254" t="n">
        <v>0</v>
      </c>
      <c r="J254" t="n">
        <v>0</v>
      </c>
      <c r="K254" t="n">
        <v>0</v>
      </c>
      <c r="L254" t="n">
        <v>0</v>
      </c>
      <c r="M254" t="n">
        <v>0</v>
      </c>
      <c r="N254" t="n">
        <v>0</v>
      </c>
      <c r="O254" t="n">
        <v>0</v>
      </c>
      <c r="P254" t="n">
        <v>0</v>
      </c>
      <c r="Q254" t="n">
        <v>0</v>
      </c>
      <c r="R254" s="2" t="inlineStr"/>
    </row>
    <row r="255" ht="15" customHeight="1">
      <c r="A255" t="inlineStr">
        <is>
          <t>A 40325-2025</t>
        </is>
      </c>
      <c r="B255" s="1" t="n">
        <v>45895.4484837963</v>
      </c>
      <c r="C255" s="1" t="n">
        <v>46188</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53054-2025</t>
        </is>
      </c>
      <c r="B256" s="1" t="n">
        <v>45958.36498842593</v>
      </c>
      <c r="C256" s="1" t="n">
        <v>46188</v>
      </c>
      <c r="D256" t="inlineStr">
        <is>
          <t>JÄMTLANDS LÄN</t>
        </is>
      </c>
      <c r="E256" t="inlineStr">
        <is>
          <t>ÖSTERSUND</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53057-2025</t>
        </is>
      </c>
      <c r="B257" s="1" t="n">
        <v>45958.36537037037</v>
      </c>
      <c r="C257" s="1" t="n">
        <v>46188</v>
      </c>
      <c r="D257" t="inlineStr">
        <is>
          <t>JÄMTLANDS LÄN</t>
        </is>
      </c>
      <c r="E257" t="inlineStr">
        <is>
          <t>ÖSTERSUND</t>
        </is>
      </c>
      <c r="F257" t="inlineStr">
        <is>
          <t>SCA</t>
        </is>
      </c>
      <c r="G257" t="n">
        <v>47.8</v>
      </c>
      <c r="H257" t="n">
        <v>0</v>
      </c>
      <c r="I257" t="n">
        <v>0</v>
      </c>
      <c r="J257" t="n">
        <v>0</v>
      </c>
      <c r="K257" t="n">
        <v>0</v>
      </c>
      <c r="L257" t="n">
        <v>0</v>
      </c>
      <c r="M257" t="n">
        <v>0</v>
      </c>
      <c r="N257" t="n">
        <v>0</v>
      </c>
      <c r="O257" t="n">
        <v>0</v>
      </c>
      <c r="P257" t="n">
        <v>0</v>
      </c>
      <c r="Q257" t="n">
        <v>0</v>
      </c>
      <c r="R257" s="2" t="inlineStr"/>
    </row>
    <row r="258" ht="15" customHeight="1">
      <c r="A258" t="inlineStr">
        <is>
          <t>A 40326-2025</t>
        </is>
      </c>
      <c r="B258" s="1" t="n">
        <v>45895.44856481482</v>
      </c>
      <c r="C258" s="1" t="n">
        <v>46188</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54133-2025</t>
        </is>
      </c>
      <c r="B259" s="1" t="n">
        <v>45964.46944444445</v>
      </c>
      <c r="C259" s="1" t="n">
        <v>46188</v>
      </c>
      <c r="D259" t="inlineStr">
        <is>
          <t>JÄMTLANDS LÄN</t>
        </is>
      </c>
      <c r="E259" t="inlineStr">
        <is>
          <t>ÖSTERSUND</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2984-2024</t>
        </is>
      </c>
      <c r="B260" s="1" t="n">
        <v>45315</v>
      </c>
      <c r="C260" s="1" t="n">
        <v>46188</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4480-2025</t>
        </is>
      </c>
      <c r="B261" s="1" t="n">
        <v>45686.64175925926</v>
      </c>
      <c r="C261" s="1" t="n">
        <v>46188</v>
      </c>
      <c r="D261" t="inlineStr">
        <is>
          <t>JÄMTLANDS LÄN</t>
        </is>
      </c>
      <c r="E261" t="inlineStr">
        <is>
          <t>ÖSTERSUND</t>
        </is>
      </c>
      <c r="G261" t="n">
        <v>27.7</v>
      </c>
      <c r="H261" t="n">
        <v>0</v>
      </c>
      <c r="I261" t="n">
        <v>0</v>
      </c>
      <c r="J261" t="n">
        <v>0</v>
      </c>
      <c r="K261" t="n">
        <v>0</v>
      </c>
      <c r="L261" t="n">
        <v>0</v>
      </c>
      <c r="M261" t="n">
        <v>0</v>
      </c>
      <c r="N261" t="n">
        <v>0</v>
      </c>
      <c r="O261" t="n">
        <v>0</v>
      </c>
      <c r="P261" t="n">
        <v>0</v>
      </c>
      <c r="Q261" t="n">
        <v>0</v>
      </c>
      <c r="R261" s="2" t="inlineStr"/>
    </row>
    <row r="262" ht="15" customHeight="1">
      <c r="A262" t="inlineStr">
        <is>
          <t>A 55002-2024</t>
        </is>
      </c>
      <c r="B262" s="1" t="n">
        <v>45621</v>
      </c>
      <c r="C262" s="1" t="n">
        <v>46188</v>
      </c>
      <c r="D262" t="inlineStr">
        <is>
          <t>JÄMTLANDS LÄN</t>
        </is>
      </c>
      <c r="E262" t="inlineStr">
        <is>
          <t>ÖSTERSUND</t>
        </is>
      </c>
      <c r="F262" t="inlineStr">
        <is>
          <t>Övriga Aktiebolag</t>
        </is>
      </c>
      <c r="G262" t="n">
        <v>0.3</v>
      </c>
      <c r="H262" t="n">
        <v>0</v>
      </c>
      <c r="I262" t="n">
        <v>0</v>
      </c>
      <c r="J262" t="n">
        <v>0</v>
      </c>
      <c r="K262" t="n">
        <v>0</v>
      </c>
      <c r="L262" t="n">
        <v>0</v>
      </c>
      <c r="M262" t="n">
        <v>0</v>
      </c>
      <c r="N262" t="n">
        <v>0</v>
      </c>
      <c r="O262" t="n">
        <v>0</v>
      </c>
      <c r="P262" t="n">
        <v>0</v>
      </c>
      <c r="Q262" t="n">
        <v>0</v>
      </c>
      <c r="R262" s="2" t="inlineStr"/>
    </row>
    <row r="263" ht="15" customHeight="1">
      <c r="A263" t="inlineStr">
        <is>
          <t>A 55666-2023</t>
        </is>
      </c>
      <c r="B263" s="1" t="n">
        <v>45238.96770833333</v>
      </c>
      <c r="C263" s="1" t="n">
        <v>46188</v>
      </c>
      <c r="D263" t="inlineStr">
        <is>
          <t>JÄMTLANDS LÄN</t>
        </is>
      </c>
      <c r="E263" t="inlineStr">
        <is>
          <t>ÖSTERSUND</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50088-2024</t>
        </is>
      </c>
      <c r="B264" s="1" t="n">
        <v>45600.38585648148</v>
      </c>
      <c r="C264" s="1" t="n">
        <v>46188</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41582-2025</t>
        </is>
      </c>
      <c r="B265" s="1" t="n">
        <v>45901</v>
      </c>
      <c r="C265" s="1" t="n">
        <v>46188</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11740-2022</t>
        </is>
      </c>
      <c r="B266" s="1" t="n">
        <v>44634.52982638889</v>
      </c>
      <c r="C266" s="1" t="n">
        <v>46188</v>
      </c>
      <c r="D266" t="inlineStr">
        <is>
          <t>JÄMTLANDS LÄN</t>
        </is>
      </c>
      <c r="E266" t="inlineStr">
        <is>
          <t>ÖSTERSUND</t>
        </is>
      </c>
      <c r="G266" t="n">
        <v>1.1</v>
      </c>
      <c r="H266" t="n">
        <v>0</v>
      </c>
      <c r="I266" t="n">
        <v>0</v>
      </c>
      <c r="J266" t="n">
        <v>0</v>
      </c>
      <c r="K266" t="n">
        <v>0</v>
      </c>
      <c r="L266" t="n">
        <v>0</v>
      </c>
      <c r="M266" t="n">
        <v>0</v>
      </c>
      <c r="N266" t="n">
        <v>0</v>
      </c>
      <c r="O266" t="n">
        <v>0</v>
      </c>
      <c r="P266" t="n">
        <v>0</v>
      </c>
      <c r="Q266" t="n">
        <v>0</v>
      </c>
      <c r="R266" s="2" t="inlineStr"/>
    </row>
    <row r="267" ht="15" customHeight="1">
      <c r="A267" t="inlineStr">
        <is>
          <t>A 41675-2025</t>
        </is>
      </c>
      <c r="B267" s="1" t="n">
        <v>45902.36641203704</v>
      </c>
      <c r="C267" s="1" t="n">
        <v>46188</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41708-2025</t>
        </is>
      </c>
      <c r="B268" s="1" t="n">
        <v>45902.42280092592</v>
      </c>
      <c r="C268" s="1" t="n">
        <v>46188</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4520-2025</t>
        </is>
      </c>
      <c r="B269" s="1" t="n">
        <v>45686.92384259259</v>
      </c>
      <c r="C269" s="1" t="n">
        <v>46188</v>
      </c>
      <c r="D269" t="inlineStr">
        <is>
          <t>JÄMTLANDS LÄN</t>
        </is>
      </c>
      <c r="E269" t="inlineStr">
        <is>
          <t>ÖSTERSUND</t>
        </is>
      </c>
      <c r="G269" t="n">
        <v>15.2</v>
      </c>
      <c r="H269" t="n">
        <v>0</v>
      </c>
      <c r="I269" t="n">
        <v>0</v>
      </c>
      <c r="J269" t="n">
        <v>0</v>
      </c>
      <c r="K269" t="n">
        <v>0</v>
      </c>
      <c r="L269" t="n">
        <v>0</v>
      </c>
      <c r="M269" t="n">
        <v>0</v>
      </c>
      <c r="N269" t="n">
        <v>0</v>
      </c>
      <c r="O269" t="n">
        <v>0</v>
      </c>
      <c r="P269" t="n">
        <v>0</v>
      </c>
      <c r="Q269" t="n">
        <v>0</v>
      </c>
      <c r="R269" s="2" t="inlineStr"/>
    </row>
    <row r="270" ht="15" customHeight="1">
      <c r="A270" t="inlineStr">
        <is>
          <t>A 4523-2025</t>
        </is>
      </c>
      <c r="B270" s="1" t="n">
        <v>45686.92864583333</v>
      </c>
      <c r="C270" s="1" t="n">
        <v>46188</v>
      </c>
      <c r="D270" t="inlineStr">
        <is>
          <t>JÄMTLANDS LÄN</t>
        </is>
      </c>
      <c r="E270" t="inlineStr">
        <is>
          <t>ÖSTERSUND</t>
        </is>
      </c>
      <c r="G270" t="n">
        <v>15.2</v>
      </c>
      <c r="H270" t="n">
        <v>0</v>
      </c>
      <c r="I270" t="n">
        <v>0</v>
      </c>
      <c r="J270" t="n">
        <v>0</v>
      </c>
      <c r="K270" t="n">
        <v>0</v>
      </c>
      <c r="L270" t="n">
        <v>0</v>
      </c>
      <c r="M270" t="n">
        <v>0</v>
      </c>
      <c r="N270" t="n">
        <v>0</v>
      </c>
      <c r="O270" t="n">
        <v>0</v>
      </c>
      <c r="P270" t="n">
        <v>0</v>
      </c>
      <c r="Q270" t="n">
        <v>0</v>
      </c>
      <c r="R270" s="2" t="inlineStr"/>
    </row>
    <row r="271" ht="15" customHeight="1">
      <c r="A271" t="inlineStr">
        <is>
          <t>A 22713-2025</t>
        </is>
      </c>
      <c r="B271" s="1" t="n">
        <v>45789.56414351852</v>
      </c>
      <c r="C271" s="1" t="n">
        <v>46188</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5549-2025</t>
        </is>
      </c>
      <c r="B272" s="1" t="n">
        <v>45693</v>
      </c>
      <c r="C272" s="1" t="n">
        <v>46188</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42129-2025</t>
        </is>
      </c>
      <c r="B273" s="1" t="n">
        <v>45904.3452662037</v>
      </c>
      <c r="C273" s="1" t="n">
        <v>46188</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5553-2025</t>
        </is>
      </c>
      <c r="B274" s="1" t="n">
        <v>45693</v>
      </c>
      <c r="C274" s="1" t="n">
        <v>46188</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60560-2022</t>
        </is>
      </c>
      <c r="B275" s="1" t="n">
        <v>44911.54984953703</v>
      </c>
      <c r="C275" s="1" t="n">
        <v>46188</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55179-2025</t>
        </is>
      </c>
      <c r="B276" s="1" t="n">
        <v>45968.53167824074</v>
      </c>
      <c r="C276" s="1" t="n">
        <v>46188</v>
      </c>
      <c r="D276" t="inlineStr">
        <is>
          <t>JÄMTLANDS LÄN</t>
        </is>
      </c>
      <c r="E276" t="inlineStr">
        <is>
          <t>ÖSTERSUND</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5140-2025</t>
        </is>
      </c>
      <c r="B277" s="1" t="n">
        <v>45691</v>
      </c>
      <c r="C277" s="1" t="n">
        <v>46188</v>
      </c>
      <c r="D277" t="inlineStr">
        <is>
          <t>JÄMTLANDS LÄN</t>
        </is>
      </c>
      <c r="E277" t="inlineStr">
        <is>
          <t>ÖSTERSUND</t>
        </is>
      </c>
      <c r="F277" t="inlineStr">
        <is>
          <t>Övriga Aktiebolag</t>
        </is>
      </c>
      <c r="G277" t="n">
        <v>0.9</v>
      </c>
      <c r="H277" t="n">
        <v>0</v>
      </c>
      <c r="I277" t="n">
        <v>0</v>
      </c>
      <c r="J277" t="n">
        <v>0</v>
      </c>
      <c r="K277" t="n">
        <v>0</v>
      </c>
      <c r="L277" t="n">
        <v>0</v>
      </c>
      <c r="M277" t="n">
        <v>0</v>
      </c>
      <c r="N277" t="n">
        <v>0</v>
      </c>
      <c r="O277" t="n">
        <v>0</v>
      </c>
      <c r="P277" t="n">
        <v>0</v>
      </c>
      <c r="Q277" t="n">
        <v>0</v>
      </c>
      <c r="R277" s="2" t="inlineStr"/>
    </row>
    <row r="278" ht="15" customHeight="1">
      <c r="A278" t="inlineStr">
        <is>
          <t>A 22822-2025</t>
        </is>
      </c>
      <c r="B278" s="1" t="n">
        <v>45789</v>
      </c>
      <c r="C278" s="1" t="n">
        <v>46188</v>
      </c>
      <c r="D278" t="inlineStr">
        <is>
          <t>JÄMTLANDS LÄN</t>
        </is>
      </c>
      <c r="E278" t="inlineStr">
        <is>
          <t>ÖSTERSUND</t>
        </is>
      </c>
      <c r="G278" t="n">
        <v>2.2</v>
      </c>
      <c r="H278" t="n">
        <v>0</v>
      </c>
      <c r="I278" t="n">
        <v>0</v>
      </c>
      <c r="J278" t="n">
        <v>0</v>
      </c>
      <c r="K278" t="n">
        <v>0</v>
      </c>
      <c r="L278" t="n">
        <v>0</v>
      </c>
      <c r="M278" t="n">
        <v>0</v>
      </c>
      <c r="N278" t="n">
        <v>0</v>
      </c>
      <c r="O278" t="n">
        <v>0</v>
      </c>
      <c r="P278" t="n">
        <v>0</v>
      </c>
      <c r="Q278" t="n">
        <v>0</v>
      </c>
      <c r="R278" s="2" t="inlineStr"/>
    </row>
    <row r="279" ht="15" customHeight="1">
      <c r="A279" t="inlineStr">
        <is>
          <t>A 22384-2025</t>
        </is>
      </c>
      <c r="B279" s="1" t="n">
        <v>45786</v>
      </c>
      <c r="C279" s="1" t="n">
        <v>46188</v>
      </c>
      <c r="D279" t="inlineStr">
        <is>
          <t>JÄMTLANDS LÄN</t>
        </is>
      </c>
      <c r="E279" t="inlineStr">
        <is>
          <t>ÖSTERSUND</t>
        </is>
      </c>
      <c r="G279" t="n">
        <v>1.4</v>
      </c>
      <c r="H279" t="n">
        <v>0</v>
      </c>
      <c r="I279" t="n">
        <v>0</v>
      </c>
      <c r="J279" t="n">
        <v>0</v>
      </c>
      <c r="K279" t="n">
        <v>0</v>
      </c>
      <c r="L279" t="n">
        <v>0</v>
      </c>
      <c r="M279" t="n">
        <v>0</v>
      </c>
      <c r="N279" t="n">
        <v>0</v>
      </c>
      <c r="O279" t="n">
        <v>0</v>
      </c>
      <c r="P279" t="n">
        <v>0</v>
      </c>
      <c r="Q279" t="n">
        <v>0</v>
      </c>
      <c r="R279" s="2" t="inlineStr"/>
    </row>
    <row r="280" ht="15" customHeight="1">
      <c r="A280" t="inlineStr">
        <is>
          <t>A 43511-2022</t>
        </is>
      </c>
      <c r="B280" s="1" t="n">
        <v>44837.36724537037</v>
      </c>
      <c r="C280" s="1" t="n">
        <v>46188</v>
      </c>
      <c r="D280" t="inlineStr">
        <is>
          <t>JÄMTLANDS LÄN</t>
        </is>
      </c>
      <c r="E280" t="inlineStr">
        <is>
          <t>ÖSTERSUND</t>
        </is>
      </c>
      <c r="G280" t="n">
        <v>3.7</v>
      </c>
      <c r="H280" t="n">
        <v>0</v>
      </c>
      <c r="I280" t="n">
        <v>0</v>
      </c>
      <c r="J280" t="n">
        <v>0</v>
      </c>
      <c r="K280" t="n">
        <v>0</v>
      </c>
      <c r="L280" t="n">
        <v>0</v>
      </c>
      <c r="M280" t="n">
        <v>0</v>
      </c>
      <c r="N280" t="n">
        <v>0</v>
      </c>
      <c r="O280" t="n">
        <v>0</v>
      </c>
      <c r="P280" t="n">
        <v>0</v>
      </c>
      <c r="Q280" t="n">
        <v>0</v>
      </c>
      <c r="R280" s="2" t="inlineStr"/>
    </row>
    <row r="281" ht="15" customHeight="1">
      <c r="A281" t="inlineStr">
        <is>
          <t>A 60174-2022</t>
        </is>
      </c>
      <c r="B281" s="1" t="n">
        <v>44909.9640162037</v>
      </c>
      <c r="C281" s="1" t="n">
        <v>46188</v>
      </c>
      <c r="D281" t="inlineStr">
        <is>
          <t>JÄMTLANDS LÄN</t>
        </is>
      </c>
      <c r="E281" t="inlineStr">
        <is>
          <t>ÖSTERSUND</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43016-2024</t>
        </is>
      </c>
      <c r="B282" s="1" t="n">
        <v>45567.39192129629</v>
      </c>
      <c r="C282" s="1" t="n">
        <v>46188</v>
      </c>
      <c r="D282" t="inlineStr">
        <is>
          <t>JÄMTLANDS LÄN</t>
        </is>
      </c>
      <c r="E282" t="inlineStr">
        <is>
          <t>ÖSTERSUND</t>
        </is>
      </c>
      <c r="G282" t="n">
        <v>5.3</v>
      </c>
      <c r="H282" t="n">
        <v>0</v>
      </c>
      <c r="I282" t="n">
        <v>0</v>
      </c>
      <c r="J282" t="n">
        <v>0</v>
      </c>
      <c r="K282" t="n">
        <v>0</v>
      </c>
      <c r="L282" t="n">
        <v>0</v>
      </c>
      <c r="M282" t="n">
        <v>0</v>
      </c>
      <c r="N282" t="n">
        <v>0</v>
      </c>
      <c r="O282" t="n">
        <v>0</v>
      </c>
      <c r="P282" t="n">
        <v>0</v>
      </c>
      <c r="Q282" t="n">
        <v>0</v>
      </c>
      <c r="R282" s="2" t="inlineStr"/>
    </row>
    <row r="283" ht="15" customHeight="1">
      <c r="A283" t="inlineStr">
        <is>
          <t>A 42989-2025</t>
        </is>
      </c>
      <c r="B283" s="1" t="n">
        <v>45909.44971064815</v>
      </c>
      <c r="C283" s="1" t="n">
        <v>46188</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51481-2023</t>
        </is>
      </c>
      <c r="B284" s="1" t="n">
        <v>45221.92440972223</v>
      </c>
      <c r="C284" s="1" t="n">
        <v>46188</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43411-2025</t>
        </is>
      </c>
      <c r="B285" s="1" t="n">
        <v>45911.40074074074</v>
      </c>
      <c r="C285" s="1" t="n">
        <v>46188</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44977.98629629629</v>
      </c>
      <c r="C286" s="1" t="n">
        <v>46188</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6048-2024</t>
        </is>
      </c>
      <c r="B287" s="1" t="n">
        <v>45336</v>
      </c>
      <c r="C287" s="1" t="n">
        <v>46188</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57513-2025</t>
        </is>
      </c>
      <c r="B288" s="1" t="n">
        <v>45980.61142361111</v>
      </c>
      <c r="C288" s="1" t="n">
        <v>46188</v>
      </c>
      <c r="D288" t="inlineStr">
        <is>
          <t>JÄMTLANDS LÄN</t>
        </is>
      </c>
      <c r="E288" t="inlineStr">
        <is>
          <t>ÖSTERSUND</t>
        </is>
      </c>
      <c r="G288" t="n">
        <v>3.8</v>
      </c>
      <c r="H288" t="n">
        <v>0</v>
      </c>
      <c r="I288" t="n">
        <v>0</v>
      </c>
      <c r="J288" t="n">
        <v>0</v>
      </c>
      <c r="K288" t="n">
        <v>0</v>
      </c>
      <c r="L288" t="n">
        <v>0</v>
      </c>
      <c r="M288" t="n">
        <v>0</v>
      </c>
      <c r="N288" t="n">
        <v>0</v>
      </c>
      <c r="O288" t="n">
        <v>0</v>
      </c>
      <c r="P288" t="n">
        <v>0</v>
      </c>
      <c r="Q288" t="n">
        <v>0</v>
      </c>
      <c r="R288" s="2" t="inlineStr"/>
    </row>
    <row r="289" ht="15" customHeight="1">
      <c r="A289" t="inlineStr">
        <is>
          <t>A 44446-2025</t>
        </is>
      </c>
      <c r="B289" s="1" t="n">
        <v>45916.59773148148</v>
      </c>
      <c r="C289" s="1" t="n">
        <v>46188</v>
      </c>
      <c r="D289" t="inlineStr">
        <is>
          <t>JÄMTLANDS LÄN</t>
        </is>
      </c>
      <c r="E289" t="inlineStr">
        <is>
          <t>ÖSTERSUND</t>
        </is>
      </c>
      <c r="G289" t="n">
        <v>1.9</v>
      </c>
      <c r="H289" t="n">
        <v>0</v>
      </c>
      <c r="I289" t="n">
        <v>0</v>
      </c>
      <c r="J289" t="n">
        <v>0</v>
      </c>
      <c r="K289" t="n">
        <v>0</v>
      </c>
      <c r="L289" t="n">
        <v>0</v>
      </c>
      <c r="M289" t="n">
        <v>0</v>
      </c>
      <c r="N289" t="n">
        <v>0</v>
      </c>
      <c r="O289" t="n">
        <v>0</v>
      </c>
      <c r="P289" t="n">
        <v>0</v>
      </c>
      <c r="Q289" t="n">
        <v>0</v>
      </c>
      <c r="R289" s="2" t="inlineStr"/>
    </row>
    <row r="290" ht="15" customHeight="1">
      <c r="A290" t="inlineStr">
        <is>
          <t>A 22920-2025</t>
        </is>
      </c>
      <c r="B290" s="1" t="n">
        <v>45790.43905092592</v>
      </c>
      <c r="C290" s="1" t="n">
        <v>46188</v>
      </c>
      <c r="D290" t="inlineStr">
        <is>
          <t>JÄMTLANDS LÄN</t>
        </is>
      </c>
      <c r="E290" t="inlineStr">
        <is>
          <t>ÖSTERSUND</t>
        </is>
      </c>
      <c r="G290" t="n">
        <v>0.4</v>
      </c>
      <c r="H290" t="n">
        <v>0</v>
      </c>
      <c r="I290" t="n">
        <v>0</v>
      </c>
      <c r="J290" t="n">
        <v>0</v>
      </c>
      <c r="K290" t="n">
        <v>0</v>
      </c>
      <c r="L290" t="n">
        <v>0</v>
      </c>
      <c r="M290" t="n">
        <v>0</v>
      </c>
      <c r="N290" t="n">
        <v>0</v>
      </c>
      <c r="O290" t="n">
        <v>0</v>
      </c>
      <c r="P290" t="n">
        <v>0</v>
      </c>
      <c r="Q290" t="n">
        <v>0</v>
      </c>
      <c r="R290" s="2" t="inlineStr"/>
    </row>
    <row r="291" ht="15" customHeight="1">
      <c r="A291" t="inlineStr">
        <is>
          <t>A 58440-2025</t>
        </is>
      </c>
      <c r="B291" s="1" t="n">
        <v>45985.61524305555</v>
      </c>
      <c r="C291" s="1" t="n">
        <v>46188</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45389-2025</t>
        </is>
      </c>
      <c r="B292" s="1" t="n">
        <v>45922.4075</v>
      </c>
      <c r="C292" s="1" t="n">
        <v>46188</v>
      </c>
      <c r="D292" t="inlineStr">
        <is>
          <t>JÄMTLANDS LÄN</t>
        </is>
      </c>
      <c r="E292" t="inlineStr">
        <is>
          <t>ÖSTERSUND</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45391-2025</t>
        </is>
      </c>
      <c r="B293" s="1" t="n">
        <v>45922.4077662037</v>
      </c>
      <c r="C293" s="1" t="n">
        <v>46188</v>
      </c>
      <c r="D293" t="inlineStr">
        <is>
          <t>JÄMTLANDS LÄN</t>
        </is>
      </c>
      <c r="E293" t="inlineStr">
        <is>
          <t>ÖSTERSUND</t>
        </is>
      </c>
      <c r="F293" t="inlineStr">
        <is>
          <t>SCA</t>
        </is>
      </c>
      <c r="G293" t="n">
        <v>5</v>
      </c>
      <c r="H293" t="n">
        <v>0</v>
      </c>
      <c r="I293" t="n">
        <v>0</v>
      </c>
      <c r="J293" t="n">
        <v>0</v>
      </c>
      <c r="K293" t="n">
        <v>0</v>
      </c>
      <c r="L293" t="n">
        <v>0</v>
      </c>
      <c r="M293" t="n">
        <v>0</v>
      </c>
      <c r="N293" t="n">
        <v>0</v>
      </c>
      <c r="O293" t="n">
        <v>0</v>
      </c>
      <c r="P293" t="n">
        <v>0</v>
      </c>
      <c r="Q293" t="n">
        <v>0</v>
      </c>
      <c r="R293" s="2" t="inlineStr"/>
    </row>
    <row r="294" ht="15" customHeight="1">
      <c r="A294" t="inlineStr">
        <is>
          <t>A 45385-2025</t>
        </is>
      </c>
      <c r="B294" s="1" t="n">
        <v>45922.40680555555</v>
      </c>
      <c r="C294" s="1" t="n">
        <v>46188</v>
      </c>
      <c r="D294" t="inlineStr">
        <is>
          <t>JÄMTLANDS LÄN</t>
        </is>
      </c>
      <c r="E294" t="inlineStr">
        <is>
          <t>ÖSTERSUND</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58373-2025</t>
        </is>
      </c>
      <c r="B295" s="1" t="n">
        <v>45985.53162037037</v>
      </c>
      <c r="C295" s="1" t="n">
        <v>46188</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45386-2025</t>
        </is>
      </c>
      <c r="B296" s="1" t="n">
        <v>45922.40697916667</v>
      </c>
      <c r="C296" s="1" t="n">
        <v>46188</v>
      </c>
      <c r="D296" t="inlineStr">
        <is>
          <t>JÄMTLANDS LÄN</t>
        </is>
      </c>
      <c r="E296" t="inlineStr">
        <is>
          <t>ÖSTERSUND</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45388-2025</t>
        </is>
      </c>
      <c r="B297" s="1" t="n">
        <v>45922.4074537037</v>
      </c>
      <c r="C297" s="1" t="n">
        <v>46188</v>
      </c>
      <c r="D297" t="inlineStr">
        <is>
          <t>JÄMTLANDS LÄN</t>
        </is>
      </c>
      <c r="E297" t="inlineStr">
        <is>
          <t>ÖSTERSUND</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22082-2022</t>
        </is>
      </c>
      <c r="B298" s="1" t="n">
        <v>44711.9403587963</v>
      </c>
      <c r="C298" s="1" t="n">
        <v>46188</v>
      </c>
      <c r="D298" t="inlineStr">
        <is>
          <t>JÄMTLANDS LÄN</t>
        </is>
      </c>
      <c r="E298" t="inlineStr">
        <is>
          <t>ÖSTERSUND</t>
        </is>
      </c>
      <c r="G298" t="n">
        <v>2.6</v>
      </c>
      <c r="H298" t="n">
        <v>0</v>
      </c>
      <c r="I298" t="n">
        <v>0</v>
      </c>
      <c r="J298" t="n">
        <v>0</v>
      </c>
      <c r="K298" t="n">
        <v>0</v>
      </c>
      <c r="L298" t="n">
        <v>0</v>
      </c>
      <c r="M298" t="n">
        <v>0</v>
      </c>
      <c r="N298" t="n">
        <v>0</v>
      </c>
      <c r="O298" t="n">
        <v>0</v>
      </c>
      <c r="P298" t="n">
        <v>0</v>
      </c>
      <c r="Q298" t="n">
        <v>0</v>
      </c>
      <c r="R298" s="2" t="inlineStr"/>
    </row>
    <row r="299" ht="15" customHeight="1">
      <c r="A299" t="inlineStr">
        <is>
          <t>A 58583-2025</t>
        </is>
      </c>
      <c r="B299" s="1" t="n">
        <v>45986.39024305555</v>
      </c>
      <c r="C299" s="1" t="n">
        <v>46188</v>
      </c>
      <c r="D299" t="inlineStr">
        <is>
          <t>JÄMTLANDS LÄN</t>
        </is>
      </c>
      <c r="E299" t="inlineStr">
        <is>
          <t>ÖSTERSUND</t>
        </is>
      </c>
      <c r="G299" t="n">
        <v>43.1</v>
      </c>
      <c r="H299" t="n">
        <v>0</v>
      </c>
      <c r="I299" t="n">
        <v>0</v>
      </c>
      <c r="J299" t="n">
        <v>0</v>
      </c>
      <c r="K299" t="n">
        <v>0</v>
      </c>
      <c r="L299" t="n">
        <v>0</v>
      </c>
      <c r="M299" t="n">
        <v>0</v>
      </c>
      <c r="N299" t="n">
        <v>0</v>
      </c>
      <c r="O299" t="n">
        <v>0</v>
      </c>
      <c r="P299" t="n">
        <v>0</v>
      </c>
      <c r="Q299" t="n">
        <v>0</v>
      </c>
      <c r="R299" s="2" t="inlineStr"/>
    </row>
    <row r="300" ht="15" customHeight="1">
      <c r="A300" t="inlineStr">
        <is>
          <t>A 38142-2021</t>
        </is>
      </c>
      <c r="B300" s="1" t="n">
        <v>44405</v>
      </c>
      <c r="C300" s="1" t="n">
        <v>46188</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45481-2025</t>
        </is>
      </c>
      <c r="B301" s="1" t="n">
        <v>45922.53217592592</v>
      </c>
      <c r="C301" s="1" t="n">
        <v>46188</v>
      </c>
      <c r="D301" t="inlineStr">
        <is>
          <t>JÄMTLANDS LÄN</t>
        </is>
      </c>
      <c r="E301" t="inlineStr">
        <is>
          <t>ÖSTERSUND</t>
        </is>
      </c>
      <c r="G301" t="n">
        <v>3</v>
      </c>
      <c r="H301" t="n">
        <v>0</v>
      </c>
      <c r="I301" t="n">
        <v>0</v>
      </c>
      <c r="J301" t="n">
        <v>0</v>
      </c>
      <c r="K301" t="n">
        <v>0</v>
      </c>
      <c r="L301" t="n">
        <v>0</v>
      </c>
      <c r="M301" t="n">
        <v>0</v>
      </c>
      <c r="N301" t="n">
        <v>0</v>
      </c>
      <c r="O301" t="n">
        <v>0</v>
      </c>
      <c r="P301" t="n">
        <v>0</v>
      </c>
      <c r="Q301" t="n">
        <v>0</v>
      </c>
      <c r="R301" s="2" t="inlineStr"/>
    </row>
    <row r="302" ht="15" customHeight="1">
      <c r="A302" t="inlineStr">
        <is>
          <t>A 46132-2025</t>
        </is>
      </c>
      <c r="B302" s="1" t="n">
        <v>45924.59484953704</v>
      </c>
      <c r="C302" s="1" t="n">
        <v>46188</v>
      </c>
      <c r="D302" t="inlineStr">
        <is>
          <t>JÄMTLANDS LÄN</t>
        </is>
      </c>
      <c r="E302" t="inlineStr">
        <is>
          <t>ÖSTERSUND</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46152-2025</t>
        </is>
      </c>
      <c r="B303" s="1" t="n">
        <v>45924.61512731481</v>
      </c>
      <c r="C303" s="1" t="n">
        <v>46188</v>
      </c>
      <c r="D303" t="inlineStr">
        <is>
          <t>JÄMTLANDS LÄN</t>
        </is>
      </c>
      <c r="E303" t="inlineStr">
        <is>
          <t>ÖSTERSUND</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59015-2025</t>
        </is>
      </c>
      <c r="B304" s="1" t="n">
        <v>45987.83457175926</v>
      </c>
      <c r="C304" s="1" t="n">
        <v>46188</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59007-2025</t>
        </is>
      </c>
      <c r="B305" s="1" t="n">
        <v>45987.69552083333</v>
      </c>
      <c r="C305" s="1" t="n">
        <v>46188</v>
      </c>
      <c r="D305" t="inlineStr">
        <is>
          <t>JÄMTLANDS LÄN</t>
        </is>
      </c>
      <c r="E305" t="inlineStr">
        <is>
          <t>ÖSTERSUND</t>
        </is>
      </c>
      <c r="G305" t="n">
        <v>4</v>
      </c>
      <c r="H305" t="n">
        <v>0</v>
      </c>
      <c r="I305" t="n">
        <v>0</v>
      </c>
      <c r="J305" t="n">
        <v>0</v>
      </c>
      <c r="K305" t="n">
        <v>0</v>
      </c>
      <c r="L305" t="n">
        <v>0</v>
      </c>
      <c r="M305" t="n">
        <v>0</v>
      </c>
      <c r="N305" t="n">
        <v>0</v>
      </c>
      <c r="O305" t="n">
        <v>0</v>
      </c>
      <c r="P305" t="n">
        <v>0</v>
      </c>
      <c r="Q305" t="n">
        <v>0</v>
      </c>
      <c r="R305" s="2" t="inlineStr"/>
    </row>
    <row r="306" ht="15" customHeight="1">
      <c r="A306" t="inlineStr">
        <is>
          <t>A 59619-2025</t>
        </is>
      </c>
      <c r="B306" s="1" t="n">
        <v>45992.38109953704</v>
      </c>
      <c r="C306" s="1" t="n">
        <v>46188</v>
      </c>
      <c r="D306" t="inlineStr">
        <is>
          <t>JÄMTLANDS LÄN</t>
        </is>
      </c>
      <c r="E306" t="inlineStr">
        <is>
          <t>ÖSTERSUND</t>
        </is>
      </c>
      <c r="G306" t="n">
        <v>3.6</v>
      </c>
      <c r="H306" t="n">
        <v>0</v>
      </c>
      <c r="I306" t="n">
        <v>0</v>
      </c>
      <c r="J306" t="n">
        <v>0</v>
      </c>
      <c r="K306" t="n">
        <v>0</v>
      </c>
      <c r="L306" t="n">
        <v>0</v>
      </c>
      <c r="M306" t="n">
        <v>0</v>
      </c>
      <c r="N306" t="n">
        <v>0</v>
      </c>
      <c r="O306" t="n">
        <v>0</v>
      </c>
      <c r="P306" t="n">
        <v>0</v>
      </c>
      <c r="Q306" t="n">
        <v>0</v>
      </c>
      <c r="R306" s="2" t="inlineStr"/>
    </row>
    <row r="307" ht="15" customHeight="1">
      <c r="A307" t="inlineStr">
        <is>
          <t>A 59612-2025</t>
        </is>
      </c>
      <c r="B307" s="1" t="n">
        <v>45992.3706712963</v>
      </c>
      <c r="C307" s="1" t="n">
        <v>46188</v>
      </c>
      <c r="D307" t="inlineStr">
        <is>
          <t>JÄMTLANDS LÄN</t>
        </is>
      </c>
      <c r="E307" t="inlineStr">
        <is>
          <t>ÖSTERSUND</t>
        </is>
      </c>
      <c r="G307" t="n">
        <v>2.3</v>
      </c>
      <c r="H307" t="n">
        <v>0</v>
      </c>
      <c r="I307" t="n">
        <v>0</v>
      </c>
      <c r="J307" t="n">
        <v>0</v>
      </c>
      <c r="K307" t="n">
        <v>0</v>
      </c>
      <c r="L307" t="n">
        <v>0</v>
      </c>
      <c r="M307" t="n">
        <v>0</v>
      </c>
      <c r="N307" t="n">
        <v>0</v>
      </c>
      <c r="O307" t="n">
        <v>0</v>
      </c>
      <c r="P307" t="n">
        <v>0</v>
      </c>
      <c r="Q307" t="n">
        <v>0</v>
      </c>
      <c r="R307" s="2" t="inlineStr"/>
    </row>
    <row r="308" ht="15" customHeight="1">
      <c r="A308" t="inlineStr">
        <is>
          <t>A 59687-2025</t>
        </is>
      </c>
      <c r="B308" s="1" t="n">
        <v>45992.47729166667</v>
      </c>
      <c r="C308" s="1" t="n">
        <v>46188</v>
      </c>
      <c r="D308" t="inlineStr">
        <is>
          <t>JÄMTLANDS LÄN</t>
        </is>
      </c>
      <c r="E308" t="inlineStr">
        <is>
          <t>ÖSTERSUND</t>
        </is>
      </c>
      <c r="G308" t="n">
        <v>5</v>
      </c>
      <c r="H308" t="n">
        <v>0</v>
      </c>
      <c r="I308" t="n">
        <v>0</v>
      </c>
      <c r="J308" t="n">
        <v>0</v>
      </c>
      <c r="K308" t="n">
        <v>0</v>
      </c>
      <c r="L308" t="n">
        <v>0</v>
      </c>
      <c r="M308" t="n">
        <v>0</v>
      </c>
      <c r="N308" t="n">
        <v>0</v>
      </c>
      <c r="O308" t="n">
        <v>0</v>
      </c>
      <c r="P308" t="n">
        <v>0</v>
      </c>
      <c r="Q308" t="n">
        <v>0</v>
      </c>
      <c r="R308" s="2" t="inlineStr"/>
    </row>
    <row r="309" ht="15" customHeight="1">
      <c r="A309" t="inlineStr">
        <is>
          <t>A 55302-2021</t>
        </is>
      </c>
      <c r="B309" s="1" t="n">
        <v>44475</v>
      </c>
      <c r="C309" s="1" t="n">
        <v>46188</v>
      </c>
      <c r="D309" t="inlineStr">
        <is>
          <t>JÄMTLANDS LÄN</t>
        </is>
      </c>
      <c r="E309" t="inlineStr">
        <is>
          <t>ÖSTERSUND</t>
        </is>
      </c>
      <c r="G309" t="n">
        <v>0.3</v>
      </c>
      <c r="H309" t="n">
        <v>0</v>
      </c>
      <c r="I309" t="n">
        <v>0</v>
      </c>
      <c r="J309" t="n">
        <v>0</v>
      </c>
      <c r="K309" t="n">
        <v>0</v>
      </c>
      <c r="L309" t="n">
        <v>0</v>
      </c>
      <c r="M309" t="n">
        <v>0</v>
      </c>
      <c r="N309" t="n">
        <v>0</v>
      </c>
      <c r="O309" t="n">
        <v>0</v>
      </c>
      <c r="P309" t="n">
        <v>0</v>
      </c>
      <c r="Q309" t="n">
        <v>0</v>
      </c>
      <c r="R309" s="2" t="inlineStr"/>
    </row>
    <row r="310" ht="15" customHeight="1">
      <c r="A310" t="inlineStr">
        <is>
          <t>A 60048-2025</t>
        </is>
      </c>
      <c r="B310" s="1" t="n">
        <v>45993</v>
      </c>
      <c r="C310" s="1" t="n">
        <v>46188</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47805-2024</t>
        </is>
      </c>
      <c r="B311" s="1" t="n">
        <v>45588.61512731481</v>
      </c>
      <c r="C311" s="1" t="n">
        <v>46188</v>
      </c>
      <c r="D311" t="inlineStr">
        <is>
          <t>JÄMTLANDS LÄN</t>
        </is>
      </c>
      <c r="E311" t="inlineStr">
        <is>
          <t>ÖSTERSUND</t>
        </is>
      </c>
      <c r="G311" t="n">
        <v>7.4</v>
      </c>
      <c r="H311" t="n">
        <v>0</v>
      </c>
      <c r="I311" t="n">
        <v>0</v>
      </c>
      <c r="J311" t="n">
        <v>0</v>
      </c>
      <c r="K311" t="n">
        <v>0</v>
      </c>
      <c r="L311" t="n">
        <v>0</v>
      </c>
      <c r="M311" t="n">
        <v>0</v>
      </c>
      <c r="N311" t="n">
        <v>0</v>
      </c>
      <c r="O311" t="n">
        <v>0</v>
      </c>
      <c r="P311" t="n">
        <v>0</v>
      </c>
      <c r="Q311" t="n">
        <v>0</v>
      </c>
      <c r="R311" s="2" t="inlineStr"/>
    </row>
    <row r="312" ht="15" customHeight="1">
      <c r="A312" t="inlineStr">
        <is>
          <t>A 45338-2024</t>
        </is>
      </c>
      <c r="B312" s="1" t="n">
        <v>45576.46905092592</v>
      </c>
      <c r="C312" s="1" t="n">
        <v>46188</v>
      </c>
      <c r="D312" t="inlineStr">
        <is>
          <t>JÄMTLANDS LÄN</t>
        </is>
      </c>
      <c r="E312" t="inlineStr">
        <is>
          <t>ÖSTERSUND</t>
        </is>
      </c>
      <c r="G312" t="n">
        <v>1.4</v>
      </c>
      <c r="H312" t="n">
        <v>0</v>
      </c>
      <c r="I312" t="n">
        <v>0</v>
      </c>
      <c r="J312" t="n">
        <v>0</v>
      </c>
      <c r="K312" t="n">
        <v>0</v>
      </c>
      <c r="L312" t="n">
        <v>0</v>
      </c>
      <c r="M312" t="n">
        <v>0</v>
      </c>
      <c r="N312" t="n">
        <v>0</v>
      </c>
      <c r="O312" t="n">
        <v>0</v>
      </c>
      <c r="P312" t="n">
        <v>0</v>
      </c>
      <c r="Q312" t="n">
        <v>0</v>
      </c>
      <c r="R312" s="2" t="inlineStr"/>
    </row>
    <row r="313" ht="15" customHeight="1">
      <c r="A313" t="inlineStr">
        <is>
          <t>A 61235-2025</t>
        </is>
      </c>
      <c r="B313" s="1" t="n">
        <v>46000.63969907408</v>
      </c>
      <c r="C313" s="1" t="n">
        <v>46188</v>
      </c>
      <c r="D313" t="inlineStr">
        <is>
          <t>JÄMTLANDS LÄN</t>
        </is>
      </c>
      <c r="E313" t="inlineStr">
        <is>
          <t>ÖSTERSUND</t>
        </is>
      </c>
      <c r="G313" t="n">
        <v>0.8</v>
      </c>
      <c r="H313" t="n">
        <v>0</v>
      </c>
      <c r="I313" t="n">
        <v>0</v>
      </c>
      <c r="J313" t="n">
        <v>0</v>
      </c>
      <c r="K313" t="n">
        <v>0</v>
      </c>
      <c r="L313" t="n">
        <v>0</v>
      </c>
      <c r="M313" t="n">
        <v>0</v>
      </c>
      <c r="N313" t="n">
        <v>0</v>
      </c>
      <c r="O313" t="n">
        <v>0</v>
      </c>
      <c r="P313" t="n">
        <v>0</v>
      </c>
      <c r="Q313" t="n">
        <v>0</v>
      </c>
      <c r="R313" s="2" t="inlineStr"/>
    </row>
    <row r="314" ht="15" customHeight="1">
      <c r="A314" t="inlineStr">
        <is>
          <t>A 45895-2024</t>
        </is>
      </c>
      <c r="B314" s="1" t="n">
        <v>45580.42736111111</v>
      </c>
      <c r="C314" s="1" t="n">
        <v>46188</v>
      </c>
      <c r="D314" t="inlineStr">
        <is>
          <t>JÄMTLANDS LÄN</t>
        </is>
      </c>
      <c r="E314" t="inlineStr">
        <is>
          <t>ÖSTERSUND</t>
        </is>
      </c>
      <c r="G314" t="n">
        <v>1.2</v>
      </c>
      <c r="H314" t="n">
        <v>0</v>
      </c>
      <c r="I314" t="n">
        <v>0</v>
      </c>
      <c r="J314" t="n">
        <v>0</v>
      </c>
      <c r="K314" t="n">
        <v>0</v>
      </c>
      <c r="L314" t="n">
        <v>0</v>
      </c>
      <c r="M314" t="n">
        <v>0</v>
      </c>
      <c r="N314" t="n">
        <v>0</v>
      </c>
      <c r="O314" t="n">
        <v>0</v>
      </c>
      <c r="P314" t="n">
        <v>0</v>
      </c>
      <c r="Q314" t="n">
        <v>0</v>
      </c>
      <c r="R314" s="2" t="inlineStr"/>
    </row>
    <row r="315" ht="15" customHeight="1">
      <c r="A315" t="inlineStr">
        <is>
          <t>A 61427-2025</t>
        </is>
      </c>
      <c r="B315" s="1" t="n">
        <v>46000</v>
      </c>
      <c r="C315" s="1" t="n">
        <v>46188</v>
      </c>
      <c r="D315" t="inlineStr">
        <is>
          <t>JÄMTLANDS LÄN</t>
        </is>
      </c>
      <c r="E315" t="inlineStr">
        <is>
          <t>ÖSTERSUND</t>
        </is>
      </c>
      <c r="G315" t="n">
        <v>0.3</v>
      </c>
      <c r="H315" t="n">
        <v>0</v>
      </c>
      <c r="I315" t="n">
        <v>0</v>
      </c>
      <c r="J315" t="n">
        <v>0</v>
      </c>
      <c r="K315" t="n">
        <v>0</v>
      </c>
      <c r="L315" t="n">
        <v>0</v>
      </c>
      <c r="M315" t="n">
        <v>0</v>
      </c>
      <c r="N315" t="n">
        <v>0</v>
      </c>
      <c r="O315" t="n">
        <v>0</v>
      </c>
      <c r="P315" t="n">
        <v>0</v>
      </c>
      <c r="Q315" t="n">
        <v>0</v>
      </c>
      <c r="R315" s="2" t="inlineStr"/>
    </row>
    <row r="316" ht="15" customHeight="1">
      <c r="A316" t="inlineStr">
        <is>
          <t>A 46732-2024</t>
        </is>
      </c>
      <c r="B316" s="1" t="n">
        <v>45583.46936342592</v>
      </c>
      <c r="C316" s="1" t="n">
        <v>46188</v>
      </c>
      <c r="D316" t="inlineStr">
        <is>
          <t>JÄMTLANDS LÄN</t>
        </is>
      </c>
      <c r="E316" t="inlineStr">
        <is>
          <t>ÖSTERSUND</t>
        </is>
      </c>
      <c r="G316" t="n">
        <v>3.3</v>
      </c>
      <c r="H316" t="n">
        <v>0</v>
      </c>
      <c r="I316" t="n">
        <v>0</v>
      </c>
      <c r="J316" t="n">
        <v>0</v>
      </c>
      <c r="K316" t="n">
        <v>0</v>
      </c>
      <c r="L316" t="n">
        <v>0</v>
      </c>
      <c r="M316" t="n">
        <v>0</v>
      </c>
      <c r="N316" t="n">
        <v>0</v>
      </c>
      <c r="O316" t="n">
        <v>0</v>
      </c>
      <c r="P316" t="n">
        <v>0</v>
      </c>
      <c r="Q316" t="n">
        <v>0</v>
      </c>
      <c r="R316" s="2" t="inlineStr"/>
    </row>
    <row r="317" ht="15" customHeight="1">
      <c r="A317" t="inlineStr">
        <is>
          <t>A 69190-2021</t>
        </is>
      </c>
      <c r="B317" s="1" t="n">
        <v>44529</v>
      </c>
      <c r="C317" s="1" t="n">
        <v>46188</v>
      </c>
      <c r="D317" t="inlineStr">
        <is>
          <t>JÄMTLANDS LÄN</t>
        </is>
      </c>
      <c r="E317" t="inlineStr">
        <is>
          <t>ÖSTERSUND</t>
        </is>
      </c>
      <c r="G317" t="n">
        <v>4.2</v>
      </c>
      <c r="H317" t="n">
        <v>0</v>
      </c>
      <c r="I317" t="n">
        <v>0</v>
      </c>
      <c r="J317" t="n">
        <v>0</v>
      </c>
      <c r="K317" t="n">
        <v>0</v>
      </c>
      <c r="L317" t="n">
        <v>0</v>
      </c>
      <c r="M317" t="n">
        <v>0</v>
      </c>
      <c r="N317" t="n">
        <v>0</v>
      </c>
      <c r="O317" t="n">
        <v>0</v>
      </c>
      <c r="P317" t="n">
        <v>0</v>
      </c>
      <c r="Q317" t="n">
        <v>0</v>
      </c>
      <c r="R317" s="2" t="inlineStr"/>
    </row>
    <row r="318" ht="15" customHeight="1">
      <c r="A318" t="inlineStr">
        <is>
          <t>A 61985-2025</t>
        </is>
      </c>
      <c r="B318" s="1" t="n">
        <v>46003.62509259259</v>
      </c>
      <c r="C318" s="1" t="n">
        <v>46188</v>
      </c>
      <c r="D318" t="inlineStr">
        <is>
          <t>JÄMTLANDS LÄN</t>
        </is>
      </c>
      <c r="E318" t="inlineStr">
        <is>
          <t>ÖSTERSUND</t>
        </is>
      </c>
      <c r="G318" t="n">
        <v>4.2</v>
      </c>
      <c r="H318" t="n">
        <v>0</v>
      </c>
      <c r="I318" t="n">
        <v>0</v>
      </c>
      <c r="J318" t="n">
        <v>0</v>
      </c>
      <c r="K318" t="n">
        <v>0</v>
      </c>
      <c r="L318" t="n">
        <v>0</v>
      </c>
      <c r="M318" t="n">
        <v>0</v>
      </c>
      <c r="N318" t="n">
        <v>0</v>
      </c>
      <c r="O318" t="n">
        <v>0</v>
      </c>
      <c r="P318" t="n">
        <v>0</v>
      </c>
      <c r="Q318" t="n">
        <v>0</v>
      </c>
      <c r="R318" s="2" t="inlineStr"/>
    </row>
    <row r="319" ht="15" customHeight="1">
      <c r="A319" t="inlineStr">
        <is>
          <t>A 61944-2025</t>
        </is>
      </c>
      <c r="B319" s="1" t="n">
        <v>46003.56467592593</v>
      </c>
      <c r="C319" s="1" t="n">
        <v>46188</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61964-2025</t>
        </is>
      </c>
      <c r="B320" s="1" t="n">
        <v>46003</v>
      </c>
      <c r="C320" s="1" t="n">
        <v>46188</v>
      </c>
      <c r="D320" t="inlineStr">
        <is>
          <t>JÄMTLANDS LÄN</t>
        </is>
      </c>
      <c r="E320" t="inlineStr">
        <is>
          <t>ÖSTERSUND</t>
        </is>
      </c>
      <c r="G320" t="n">
        <v>16.5</v>
      </c>
      <c r="H320" t="n">
        <v>0</v>
      </c>
      <c r="I320" t="n">
        <v>0</v>
      </c>
      <c r="J320" t="n">
        <v>0</v>
      </c>
      <c r="K320" t="n">
        <v>0</v>
      </c>
      <c r="L320" t="n">
        <v>0</v>
      </c>
      <c r="M320" t="n">
        <v>0</v>
      </c>
      <c r="N320" t="n">
        <v>0</v>
      </c>
      <c r="O320" t="n">
        <v>0</v>
      </c>
      <c r="P320" t="n">
        <v>0</v>
      </c>
      <c r="Q320" t="n">
        <v>0</v>
      </c>
      <c r="R320" s="2" t="inlineStr"/>
    </row>
    <row r="321" ht="15" customHeight="1">
      <c r="A321" t="inlineStr">
        <is>
          <t>A 61982-2025</t>
        </is>
      </c>
      <c r="B321" s="1" t="n">
        <v>46003.6159375</v>
      </c>
      <c r="C321" s="1" t="n">
        <v>46188</v>
      </c>
      <c r="D321" t="inlineStr">
        <is>
          <t>JÄMTLANDS LÄN</t>
        </is>
      </c>
      <c r="E321" t="inlineStr">
        <is>
          <t>ÖSTERSUND</t>
        </is>
      </c>
      <c r="G321" t="n">
        <v>4.7</v>
      </c>
      <c r="H321" t="n">
        <v>0</v>
      </c>
      <c r="I321" t="n">
        <v>0</v>
      </c>
      <c r="J321" t="n">
        <v>0</v>
      </c>
      <c r="K321" t="n">
        <v>0</v>
      </c>
      <c r="L321" t="n">
        <v>0</v>
      </c>
      <c r="M321" t="n">
        <v>0</v>
      </c>
      <c r="N321" t="n">
        <v>0</v>
      </c>
      <c r="O321" t="n">
        <v>0</v>
      </c>
      <c r="P321" t="n">
        <v>0</v>
      </c>
      <c r="Q321" t="n">
        <v>0</v>
      </c>
      <c r="R321" s="2" t="inlineStr"/>
    </row>
    <row r="322" ht="15" customHeight="1">
      <c r="A322" t="inlineStr">
        <is>
          <t>A 61849-2025</t>
        </is>
      </c>
      <c r="B322" s="1" t="n">
        <v>46003.38026620371</v>
      </c>
      <c r="C322" s="1" t="n">
        <v>46188</v>
      </c>
      <c r="D322" t="inlineStr">
        <is>
          <t>JÄMTLANDS LÄN</t>
        </is>
      </c>
      <c r="E322" t="inlineStr">
        <is>
          <t>ÖSTERSUND</t>
        </is>
      </c>
      <c r="G322" t="n">
        <v>5.5</v>
      </c>
      <c r="H322" t="n">
        <v>0</v>
      </c>
      <c r="I322" t="n">
        <v>0</v>
      </c>
      <c r="J322" t="n">
        <v>0</v>
      </c>
      <c r="K322" t="n">
        <v>0</v>
      </c>
      <c r="L322" t="n">
        <v>0</v>
      </c>
      <c r="M322" t="n">
        <v>0</v>
      </c>
      <c r="N322" t="n">
        <v>0</v>
      </c>
      <c r="O322" t="n">
        <v>0</v>
      </c>
      <c r="P322" t="n">
        <v>0</v>
      </c>
      <c r="Q322" t="n">
        <v>0</v>
      </c>
      <c r="R322" s="2" t="inlineStr"/>
    </row>
    <row r="323" ht="15" customHeight="1">
      <c r="A323" t="inlineStr">
        <is>
          <t>A 62176-2025</t>
        </is>
      </c>
      <c r="B323" s="1" t="n">
        <v>46006.51157407407</v>
      </c>
      <c r="C323" s="1" t="n">
        <v>46188</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62437-2025</t>
        </is>
      </c>
      <c r="B324" s="1" t="n">
        <v>46007.46907407408</v>
      </c>
      <c r="C324" s="1" t="n">
        <v>46188</v>
      </c>
      <c r="D324" t="inlineStr">
        <is>
          <t>JÄMTLANDS LÄN</t>
        </is>
      </c>
      <c r="E324" t="inlineStr">
        <is>
          <t>ÖSTERSUND</t>
        </is>
      </c>
      <c r="G324" t="n">
        <v>6.3</v>
      </c>
      <c r="H324" t="n">
        <v>0</v>
      </c>
      <c r="I324" t="n">
        <v>0</v>
      </c>
      <c r="J324" t="n">
        <v>0</v>
      </c>
      <c r="K324" t="n">
        <v>0</v>
      </c>
      <c r="L324" t="n">
        <v>0</v>
      </c>
      <c r="M324" t="n">
        <v>0</v>
      </c>
      <c r="N324" t="n">
        <v>0</v>
      </c>
      <c r="O324" t="n">
        <v>0</v>
      </c>
      <c r="P324" t="n">
        <v>0</v>
      </c>
      <c r="Q324" t="n">
        <v>0</v>
      </c>
      <c r="R324" s="2" t="inlineStr"/>
    </row>
    <row r="325" ht="15" customHeight="1">
      <c r="A325" t="inlineStr">
        <is>
          <t>A 4936-2026</t>
        </is>
      </c>
      <c r="B325" s="1" t="n">
        <v>46048.89435185185</v>
      </c>
      <c r="C325" s="1" t="n">
        <v>46188</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62369-2025</t>
        </is>
      </c>
      <c r="B326" s="1" t="n">
        <v>46007.33719907407</v>
      </c>
      <c r="C326" s="1" t="n">
        <v>46188</v>
      </c>
      <c r="D326" t="inlineStr">
        <is>
          <t>JÄMTLANDS LÄN</t>
        </is>
      </c>
      <c r="E326" t="inlineStr">
        <is>
          <t>ÖSTERSUND</t>
        </is>
      </c>
      <c r="F326" t="inlineStr">
        <is>
          <t>Sveaskog</t>
        </is>
      </c>
      <c r="G326" t="n">
        <v>20.3</v>
      </c>
      <c r="H326" t="n">
        <v>0</v>
      </c>
      <c r="I326" t="n">
        <v>0</v>
      </c>
      <c r="J326" t="n">
        <v>0</v>
      </c>
      <c r="K326" t="n">
        <v>0</v>
      </c>
      <c r="L326" t="n">
        <v>0</v>
      </c>
      <c r="M326" t="n">
        <v>0</v>
      </c>
      <c r="N326" t="n">
        <v>0</v>
      </c>
      <c r="O326" t="n">
        <v>0</v>
      </c>
      <c r="P326" t="n">
        <v>0</v>
      </c>
      <c r="Q326" t="n">
        <v>0</v>
      </c>
      <c r="R326" s="2" t="inlineStr"/>
    </row>
    <row r="327" ht="15" customHeight="1">
      <c r="A327" t="inlineStr">
        <is>
          <t>A 23877-2025</t>
        </is>
      </c>
      <c r="B327" s="1" t="n">
        <v>45793.68469907407</v>
      </c>
      <c r="C327" s="1" t="n">
        <v>46188</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63195-2025</t>
        </is>
      </c>
      <c r="B328" s="1" t="n">
        <v>46010.45680555556</v>
      </c>
      <c r="C328" s="1" t="n">
        <v>46188</v>
      </c>
      <c r="D328" t="inlineStr">
        <is>
          <t>JÄMTLANDS LÄN</t>
        </is>
      </c>
      <c r="E328" t="inlineStr">
        <is>
          <t>ÖSTERSUND</t>
        </is>
      </c>
      <c r="G328" t="n">
        <v>1.7</v>
      </c>
      <c r="H328" t="n">
        <v>0</v>
      </c>
      <c r="I328" t="n">
        <v>0</v>
      </c>
      <c r="J328" t="n">
        <v>0</v>
      </c>
      <c r="K328" t="n">
        <v>0</v>
      </c>
      <c r="L328" t="n">
        <v>0</v>
      </c>
      <c r="M328" t="n">
        <v>0</v>
      </c>
      <c r="N328" t="n">
        <v>0</v>
      </c>
      <c r="O328" t="n">
        <v>0</v>
      </c>
      <c r="P328" t="n">
        <v>0</v>
      </c>
      <c r="Q328" t="n">
        <v>0</v>
      </c>
      <c r="R328" s="2" t="inlineStr"/>
    </row>
    <row r="329" ht="15" customHeight="1">
      <c r="A329" t="inlineStr">
        <is>
          <t>A 63245-2025</t>
        </is>
      </c>
      <c r="B329" s="1" t="n">
        <v>46010.53825231481</v>
      </c>
      <c r="C329" s="1" t="n">
        <v>46188</v>
      </c>
      <c r="D329" t="inlineStr">
        <is>
          <t>JÄMTLANDS LÄN</t>
        </is>
      </c>
      <c r="E329" t="inlineStr">
        <is>
          <t>ÖSTERSUND</t>
        </is>
      </c>
      <c r="G329" t="n">
        <v>1.8</v>
      </c>
      <c r="H329" t="n">
        <v>0</v>
      </c>
      <c r="I329" t="n">
        <v>0</v>
      </c>
      <c r="J329" t="n">
        <v>0</v>
      </c>
      <c r="K329" t="n">
        <v>0</v>
      </c>
      <c r="L329" t="n">
        <v>0</v>
      </c>
      <c r="M329" t="n">
        <v>0</v>
      </c>
      <c r="N329" t="n">
        <v>0</v>
      </c>
      <c r="O329" t="n">
        <v>0</v>
      </c>
      <c r="P329" t="n">
        <v>0</v>
      </c>
      <c r="Q329" t="n">
        <v>0</v>
      </c>
      <c r="R329" s="2" t="inlineStr"/>
    </row>
    <row r="330" ht="15" customHeight="1">
      <c r="A330" t="inlineStr">
        <is>
          <t>A 63516-2025</t>
        </is>
      </c>
      <c r="B330" s="1" t="n">
        <v>46013.50993055556</v>
      </c>
      <c r="C330" s="1" t="n">
        <v>46188</v>
      </c>
      <c r="D330" t="inlineStr">
        <is>
          <t>JÄMTLANDS LÄN</t>
        </is>
      </c>
      <c r="E330" t="inlineStr">
        <is>
          <t>ÖSTERSUND</t>
        </is>
      </c>
      <c r="G330" t="n">
        <v>4.8</v>
      </c>
      <c r="H330" t="n">
        <v>0</v>
      </c>
      <c r="I330" t="n">
        <v>0</v>
      </c>
      <c r="J330" t="n">
        <v>0</v>
      </c>
      <c r="K330" t="n">
        <v>0</v>
      </c>
      <c r="L330" t="n">
        <v>0</v>
      </c>
      <c r="M330" t="n">
        <v>0</v>
      </c>
      <c r="N330" t="n">
        <v>0</v>
      </c>
      <c r="O330" t="n">
        <v>0</v>
      </c>
      <c r="P330" t="n">
        <v>0</v>
      </c>
      <c r="Q330" t="n">
        <v>0</v>
      </c>
      <c r="R330" s="2" t="inlineStr"/>
    </row>
    <row r="331" ht="15" customHeight="1">
      <c r="A331" t="inlineStr">
        <is>
          <t>A 63475-2025</t>
        </is>
      </c>
      <c r="B331" s="1" t="n">
        <v>46013.4459375</v>
      </c>
      <c r="C331" s="1" t="n">
        <v>46188</v>
      </c>
      <c r="D331" t="inlineStr">
        <is>
          <t>JÄMTLANDS LÄN</t>
        </is>
      </c>
      <c r="E331" t="inlineStr">
        <is>
          <t>ÖSTERSUND</t>
        </is>
      </c>
      <c r="G331" t="n">
        <v>4.4</v>
      </c>
      <c r="H331" t="n">
        <v>0</v>
      </c>
      <c r="I331" t="n">
        <v>0</v>
      </c>
      <c r="J331" t="n">
        <v>0</v>
      </c>
      <c r="K331" t="n">
        <v>0</v>
      </c>
      <c r="L331" t="n">
        <v>0</v>
      </c>
      <c r="M331" t="n">
        <v>0</v>
      </c>
      <c r="N331" t="n">
        <v>0</v>
      </c>
      <c r="O331" t="n">
        <v>0</v>
      </c>
      <c r="P331" t="n">
        <v>0</v>
      </c>
      <c r="Q331" t="n">
        <v>0</v>
      </c>
      <c r="R331" s="2" t="inlineStr"/>
    </row>
    <row r="332" ht="15" customHeight="1">
      <c r="A332" t="inlineStr">
        <is>
          <t>A 63693-2025</t>
        </is>
      </c>
      <c r="B332" s="1" t="n">
        <v>46014.5496875</v>
      </c>
      <c r="C332" s="1" t="n">
        <v>46188</v>
      </c>
      <c r="D332" t="inlineStr">
        <is>
          <t>JÄMTLANDS LÄN</t>
        </is>
      </c>
      <c r="E332" t="inlineStr">
        <is>
          <t>ÖSTERSUND</t>
        </is>
      </c>
      <c r="G332" t="n">
        <v>1.5</v>
      </c>
      <c r="H332" t="n">
        <v>0</v>
      </c>
      <c r="I332" t="n">
        <v>0</v>
      </c>
      <c r="J332" t="n">
        <v>0</v>
      </c>
      <c r="K332" t="n">
        <v>0</v>
      </c>
      <c r="L332" t="n">
        <v>0</v>
      </c>
      <c r="M332" t="n">
        <v>0</v>
      </c>
      <c r="N332" t="n">
        <v>0</v>
      </c>
      <c r="O332" t="n">
        <v>0</v>
      </c>
      <c r="P332" t="n">
        <v>0</v>
      </c>
      <c r="Q332" t="n">
        <v>0</v>
      </c>
      <c r="R332" s="2" t="inlineStr"/>
    </row>
    <row r="333" ht="15" customHeight="1">
      <c r="A333" t="inlineStr">
        <is>
          <t>A 63807-2025</t>
        </is>
      </c>
      <c r="B333" s="1" t="n">
        <v>46019</v>
      </c>
      <c r="C333" s="1" t="n">
        <v>46188</v>
      </c>
      <c r="D333" t="inlineStr">
        <is>
          <t>JÄMTLANDS LÄN</t>
        </is>
      </c>
      <c r="E333" t="inlineStr">
        <is>
          <t>ÖSTERSUND</t>
        </is>
      </c>
      <c r="G333" t="n">
        <v>2.4</v>
      </c>
      <c r="H333" t="n">
        <v>0</v>
      </c>
      <c r="I333" t="n">
        <v>0</v>
      </c>
      <c r="J333" t="n">
        <v>0</v>
      </c>
      <c r="K333" t="n">
        <v>0</v>
      </c>
      <c r="L333" t="n">
        <v>0</v>
      </c>
      <c r="M333" t="n">
        <v>0</v>
      </c>
      <c r="N333" t="n">
        <v>0</v>
      </c>
      <c r="O333" t="n">
        <v>0</v>
      </c>
      <c r="P333" t="n">
        <v>0</v>
      </c>
      <c r="Q333" t="n">
        <v>0</v>
      </c>
      <c r="R333" s="2" t="inlineStr"/>
    </row>
    <row r="334" ht="15" customHeight="1">
      <c r="A334" t="inlineStr">
        <is>
          <t>A 27343-2022</t>
        </is>
      </c>
      <c r="B334" s="1" t="n">
        <v>44742</v>
      </c>
      <c r="C334" s="1" t="n">
        <v>46188</v>
      </c>
      <c r="D334" t="inlineStr">
        <is>
          <t>JÄMTLANDS LÄN</t>
        </is>
      </c>
      <c r="E334" t="inlineStr">
        <is>
          <t>ÖSTERSUND</t>
        </is>
      </c>
      <c r="G334" t="n">
        <v>1.5</v>
      </c>
      <c r="H334" t="n">
        <v>0</v>
      </c>
      <c r="I334" t="n">
        <v>0</v>
      </c>
      <c r="J334" t="n">
        <v>0</v>
      </c>
      <c r="K334" t="n">
        <v>0</v>
      </c>
      <c r="L334" t="n">
        <v>0</v>
      </c>
      <c r="M334" t="n">
        <v>0</v>
      </c>
      <c r="N334" t="n">
        <v>0</v>
      </c>
      <c r="O334" t="n">
        <v>0</v>
      </c>
      <c r="P334" t="n">
        <v>0</v>
      </c>
      <c r="Q334" t="n">
        <v>0</v>
      </c>
      <c r="R334" s="2" t="inlineStr"/>
    </row>
    <row r="335" ht="15" customHeight="1">
      <c r="A335" t="inlineStr">
        <is>
          <t>A 63982-2025</t>
        </is>
      </c>
      <c r="B335" s="1" t="n">
        <v>46021.34454861111</v>
      </c>
      <c r="C335" s="1" t="n">
        <v>46188</v>
      </c>
      <c r="D335" t="inlineStr">
        <is>
          <t>JÄMTLANDS LÄN</t>
        </is>
      </c>
      <c r="E335" t="inlineStr">
        <is>
          <t>ÖSTERSUND</t>
        </is>
      </c>
      <c r="G335" t="n">
        <v>6.5</v>
      </c>
      <c r="H335" t="n">
        <v>0</v>
      </c>
      <c r="I335" t="n">
        <v>0</v>
      </c>
      <c r="J335" t="n">
        <v>0</v>
      </c>
      <c r="K335" t="n">
        <v>0</v>
      </c>
      <c r="L335" t="n">
        <v>0</v>
      </c>
      <c r="M335" t="n">
        <v>0</v>
      </c>
      <c r="N335" t="n">
        <v>0</v>
      </c>
      <c r="O335" t="n">
        <v>0</v>
      </c>
      <c r="P335" t="n">
        <v>0</v>
      </c>
      <c r="Q335" t="n">
        <v>0</v>
      </c>
      <c r="R335" s="2" t="inlineStr"/>
    </row>
    <row r="336" ht="15" customHeight="1">
      <c r="A336" t="inlineStr">
        <is>
          <t>A 623-2026</t>
        </is>
      </c>
      <c r="B336" s="1" t="n">
        <v>46024</v>
      </c>
      <c r="C336" s="1" t="n">
        <v>46188</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330-2026</t>
        </is>
      </c>
      <c r="B337" s="1" t="n">
        <v>46027.59451388889</v>
      </c>
      <c r="C337" s="1" t="n">
        <v>46188</v>
      </c>
      <c r="D337" t="inlineStr">
        <is>
          <t>JÄMTLANDS LÄN</t>
        </is>
      </c>
      <c r="E337" t="inlineStr">
        <is>
          <t>ÖSTERSUND</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485-2026</t>
        </is>
      </c>
      <c r="B338" s="1" t="n">
        <v>46029.41560185186</v>
      </c>
      <c r="C338" s="1" t="n">
        <v>46188</v>
      </c>
      <c r="D338" t="inlineStr">
        <is>
          <t>JÄMTLANDS LÄN</t>
        </is>
      </c>
      <c r="E338" t="inlineStr">
        <is>
          <t>ÖSTERSUND</t>
        </is>
      </c>
      <c r="G338" t="n">
        <v>1.6</v>
      </c>
      <c r="H338" t="n">
        <v>0</v>
      </c>
      <c r="I338" t="n">
        <v>0</v>
      </c>
      <c r="J338" t="n">
        <v>0</v>
      </c>
      <c r="K338" t="n">
        <v>0</v>
      </c>
      <c r="L338" t="n">
        <v>0</v>
      </c>
      <c r="M338" t="n">
        <v>0</v>
      </c>
      <c r="N338" t="n">
        <v>0</v>
      </c>
      <c r="O338" t="n">
        <v>0</v>
      </c>
      <c r="P338" t="n">
        <v>0</v>
      </c>
      <c r="Q338" t="n">
        <v>0</v>
      </c>
      <c r="R338" s="2" t="inlineStr"/>
    </row>
    <row r="339" ht="15" customHeight="1">
      <c r="A339" t="inlineStr">
        <is>
          <t>A 14653-2022</t>
        </is>
      </c>
      <c r="B339" s="1" t="n">
        <v>44655.69303240741</v>
      </c>
      <c r="C339" s="1" t="n">
        <v>46188</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24403-2025</t>
        </is>
      </c>
      <c r="B340" s="1" t="n">
        <v>45797.65025462963</v>
      </c>
      <c r="C340" s="1" t="n">
        <v>46188</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41780-2024</t>
        </is>
      </c>
      <c r="B341" s="1" t="n">
        <v>45561.34908564815</v>
      </c>
      <c r="C341" s="1" t="n">
        <v>46188</v>
      </c>
      <c r="D341" t="inlineStr">
        <is>
          <t>JÄMTLANDS LÄN</t>
        </is>
      </c>
      <c r="E341" t="inlineStr">
        <is>
          <t>ÖSTERSUND</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24523-2025</t>
        </is>
      </c>
      <c r="B342" s="1" t="n">
        <v>45798.42108796296</v>
      </c>
      <c r="C342" s="1" t="n">
        <v>46188</v>
      </c>
      <c r="D342" t="inlineStr">
        <is>
          <t>JÄMTLANDS LÄN</t>
        </is>
      </c>
      <c r="E342" t="inlineStr">
        <is>
          <t>ÖSTERSUND</t>
        </is>
      </c>
      <c r="G342" t="n">
        <v>13.7</v>
      </c>
      <c r="H342" t="n">
        <v>0</v>
      </c>
      <c r="I342" t="n">
        <v>0</v>
      </c>
      <c r="J342" t="n">
        <v>0</v>
      </c>
      <c r="K342" t="n">
        <v>0</v>
      </c>
      <c r="L342" t="n">
        <v>0</v>
      </c>
      <c r="M342" t="n">
        <v>0</v>
      </c>
      <c r="N342" t="n">
        <v>0</v>
      </c>
      <c r="O342" t="n">
        <v>0</v>
      </c>
      <c r="P342" t="n">
        <v>0</v>
      </c>
      <c r="Q342" t="n">
        <v>0</v>
      </c>
      <c r="R342" s="2" t="inlineStr"/>
    </row>
    <row r="343" ht="15" customHeight="1">
      <c r="A343" t="inlineStr">
        <is>
          <t>A 3844-2024</t>
        </is>
      </c>
      <c r="B343" s="1" t="n">
        <v>45321</v>
      </c>
      <c r="C343" s="1" t="n">
        <v>46188</v>
      </c>
      <c r="D343" t="inlineStr">
        <is>
          <t>JÄMTLANDS LÄN</t>
        </is>
      </c>
      <c r="E343" t="inlineStr">
        <is>
          <t>ÖSTERSUND</t>
        </is>
      </c>
      <c r="G343" t="n">
        <v>2.2</v>
      </c>
      <c r="H343" t="n">
        <v>0</v>
      </c>
      <c r="I343" t="n">
        <v>0</v>
      </c>
      <c r="J343" t="n">
        <v>0</v>
      </c>
      <c r="K343" t="n">
        <v>0</v>
      </c>
      <c r="L343" t="n">
        <v>0</v>
      </c>
      <c r="M343" t="n">
        <v>0</v>
      </c>
      <c r="N343" t="n">
        <v>0</v>
      </c>
      <c r="O343" t="n">
        <v>0</v>
      </c>
      <c r="P343" t="n">
        <v>0</v>
      </c>
      <c r="Q343" t="n">
        <v>0</v>
      </c>
      <c r="R343" s="2" t="inlineStr"/>
    </row>
    <row r="344" ht="15" customHeight="1">
      <c r="A344" t="inlineStr">
        <is>
          <t>A 53176-2024</t>
        </is>
      </c>
      <c r="B344" s="1" t="n">
        <v>45611.66655092593</v>
      </c>
      <c r="C344" s="1" t="n">
        <v>46188</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7327-2023</t>
        </is>
      </c>
      <c r="B345" s="1" t="n">
        <v>44970.97871527778</v>
      </c>
      <c r="C345" s="1" t="n">
        <v>46188</v>
      </c>
      <c r="D345" t="inlineStr">
        <is>
          <t>JÄMTLANDS LÄN</t>
        </is>
      </c>
      <c r="E345" t="inlineStr">
        <is>
          <t>ÖSTERSUND</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24946-2025</t>
        </is>
      </c>
      <c r="B346" s="1" t="n">
        <v>45799.56515046296</v>
      </c>
      <c r="C346" s="1" t="n">
        <v>46188</v>
      </c>
      <c r="D346" t="inlineStr">
        <is>
          <t>JÄMTLANDS LÄN</t>
        </is>
      </c>
      <c r="E346" t="inlineStr">
        <is>
          <t>ÖSTERSUND</t>
        </is>
      </c>
      <c r="G346" t="n">
        <v>4.8</v>
      </c>
      <c r="H346" t="n">
        <v>0</v>
      </c>
      <c r="I346" t="n">
        <v>0</v>
      </c>
      <c r="J346" t="n">
        <v>0</v>
      </c>
      <c r="K346" t="n">
        <v>0</v>
      </c>
      <c r="L346" t="n">
        <v>0</v>
      </c>
      <c r="M346" t="n">
        <v>0</v>
      </c>
      <c r="N346" t="n">
        <v>0</v>
      </c>
      <c r="O346" t="n">
        <v>0</v>
      </c>
      <c r="P346" t="n">
        <v>0</v>
      </c>
      <c r="Q346" t="n">
        <v>0</v>
      </c>
      <c r="R346" s="2" t="inlineStr"/>
    </row>
    <row r="347" ht="15" customHeight="1">
      <c r="A347" t="inlineStr">
        <is>
          <t>A 1552-2026</t>
        </is>
      </c>
      <c r="B347" s="1" t="n">
        <v>46034.38729166667</v>
      </c>
      <c r="C347" s="1" t="n">
        <v>46188</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25572-2025</t>
        </is>
      </c>
      <c r="B348" s="1" t="n">
        <v>45803</v>
      </c>
      <c r="C348" s="1" t="n">
        <v>46188</v>
      </c>
      <c r="D348" t="inlineStr">
        <is>
          <t>JÄMTLANDS LÄN</t>
        </is>
      </c>
      <c r="E348" t="inlineStr">
        <is>
          <t>ÖSTERSUND</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79-2025</t>
        </is>
      </c>
      <c r="B349" s="1" t="n">
        <v>45659.44413194444</v>
      </c>
      <c r="C349" s="1" t="n">
        <v>46188</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44327-2023</t>
        </is>
      </c>
      <c r="B350" s="1" t="n">
        <v>45188</v>
      </c>
      <c r="C350" s="1" t="n">
        <v>46188</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2700-2026</t>
        </is>
      </c>
      <c r="B351" s="1" t="n">
        <v>46037.6787962963</v>
      </c>
      <c r="C351" s="1" t="n">
        <v>46188</v>
      </c>
      <c r="D351" t="inlineStr">
        <is>
          <t>JÄMTLANDS LÄN</t>
        </is>
      </c>
      <c r="E351" t="inlineStr">
        <is>
          <t>ÖSTERSUND</t>
        </is>
      </c>
      <c r="G351" t="n">
        <v>8.6</v>
      </c>
      <c r="H351" t="n">
        <v>0</v>
      </c>
      <c r="I351" t="n">
        <v>0</v>
      </c>
      <c r="J351" t="n">
        <v>0</v>
      </c>
      <c r="K351" t="n">
        <v>0</v>
      </c>
      <c r="L351" t="n">
        <v>0</v>
      </c>
      <c r="M351" t="n">
        <v>0</v>
      </c>
      <c r="N351" t="n">
        <v>0</v>
      </c>
      <c r="O351" t="n">
        <v>0</v>
      </c>
      <c r="P351" t="n">
        <v>0</v>
      </c>
      <c r="Q351" t="n">
        <v>0</v>
      </c>
      <c r="R351" s="2" t="inlineStr"/>
    </row>
    <row r="352" ht="15" customHeight="1">
      <c r="A352" t="inlineStr">
        <is>
          <t>A 1901-2026</t>
        </is>
      </c>
      <c r="B352" s="1" t="n">
        <v>46032</v>
      </c>
      <c r="C352" s="1" t="n">
        <v>46188</v>
      </c>
      <c r="D352" t="inlineStr">
        <is>
          <t>JÄMTLANDS LÄN</t>
        </is>
      </c>
      <c r="E352" t="inlineStr">
        <is>
          <t>ÖSTERSUND</t>
        </is>
      </c>
      <c r="G352" t="n">
        <v>6.4</v>
      </c>
      <c r="H352" t="n">
        <v>0</v>
      </c>
      <c r="I352" t="n">
        <v>0</v>
      </c>
      <c r="J352" t="n">
        <v>0</v>
      </c>
      <c r="K352" t="n">
        <v>0</v>
      </c>
      <c r="L352" t="n">
        <v>0</v>
      </c>
      <c r="M352" t="n">
        <v>0</v>
      </c>
      <c r="N352" t="n">
        <v>0</v>
      </c>
      <c r="O352" t="n">
        <v>0</v>
      </c>
      <c r="P352" t="n">
        <v>0</v>
      </c>
      <c r="Q352" t="n">
        <v>0</v>
      </c>
      <c r="R352" s="2" t="inlineStr"/>
    </row>
    <row r="353" ht="15" customHeight="1">
      <c r="A353" t="inlineStr">
        <is>
          <t>A 7938-2025</t>
        </is>
      </c>
      <c r="B353" s="1" t="n">
        <v>45707</v>
      </c>
      <c r="C353" s="1" t="n">
        <v>46188</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2694-2026</t>
        </is>
      </c>
      <c r="B354" s="1" t="n">
        <v>46037.6703125</v>
      </c>
      <c r="C354" s="1" t="n">
        <v>46188</v>
      </c>
      <c r="D354" t="inlineStr">
        <is>
          <t>JÄMTLANDS LÄN</t>
        </is>
      </c>
      <c r="E354" t="inlineStr">
        <is>
          <t>ÖSTERSUND</t>
        </is>
      </c>
      <c r="G354" t="n">
        <v>3</v>
      </c>
      <c r="H354" t="n">
        <v>0</v>
      </c>
      <c r="I354" t="n">
        <v>0</v>
      </c>
      <c r="J354" t="n">
        <v>0</v>
      </c>
      <c r="K354" t="n">
        <v>0</v>
      </c>
      <c r="L354" t="n">
        <v>0</v>
      </c>
      <c r="M354" t="n">
        <v>0</v>
      </c>
      <c r="N354" t="n">
        <v>0</v>
      </c>
      <c r="O354" t="n">
        <v>0</v>
      </c>
      <c r="P354" t="n">
        <v>0</v>
      </c>
      <c r="Q354" t="n">
        <v>0</v>
      </c>
      <c r="R354" s="2" t="inlineStr"/>
    </row>
    <row r="355" ht="15" customHeight="1">
      <c r="A355" t="inlineStr">
        <is>
          <t>A 15686-2025</t>
        </is>
      </c>
      <c r="B355" s="1" t="n">
        <v>45748</v>
      </c>
      <c r="C355" s="1" t="n">
        <v>46188</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26144-2025</t>
        </is>
      </c>
      <c r="B356" s="1" t="n">
        <v>45805.42827546296</v>
      </c>
      <c r="C356" s="1" t="n">
        <v>46188</v>
      </c>
      <c r="D356" t="inlineStr">
        <is>
          <t>JÄMTLANDS LÄN</t>
        </is>
      </c>
      <c r="E356" t="inlineStr">
        <is>
          <t>ÖSTERSUND</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47357-2024</t>
        </is>
      </c>
      <c r="B357" s="1" t="n">
        <v>45587.42835648148</v>
      </c>
      <c r="C357" s="1" t="n">
        <v>46188</v>
      </c>
      <c r="D357" t="inlineStr">
        <is>
          <t>JÄMTLANDS LÄN</t>
        </is>
      </c>
      <c r="E357" t="inlineStr">
        <is>
          <t>ÖSTERSUND</t>
        </is>
      </c>
      <c r="G357" t="n">
        <v>2.4</v>
      </c>
      <c r="H357" t="n">
        <v>0</v>
      </c>
      <c r="I357" t="n">
        <v>0</v>
      </c>
      <c r="J357" t="n">
        <v>0</v>
      </c>
      <c r="K357" t="n">
        <v>0</v>
      </c>
      <c r="L357" t="n">
        <v>0</v>
      </c>
      <c r="M357" t="n">
        <v>0</v>
      </c>
      <c r="N357" t="n">
        <v>0</v>
      </c>
      <c r="O357" t="n">
        <v>0</v>
      </c>
      <c r="P357" t="n">
        <v>0</v>
      </c>
      <c r="Q357" t="n">
        <v>0</v>
      </c>
      <c r="R357" s="2" t="inlineStr"/>
    </row>
    <row r="358" ht="15" customHeight="1">
      <c r="A358" t="inlineStr">
        <is>
          <t>A 2971-2026</t>
        </is>
      </c>
      <c r="B358" s="1" t="n">
        <v>46038.62047453703</v>
      </c>
      <c r="C358" s="1" t="n">
        <v>46188</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5135-2025</t>
        </is>
      </c>
      <c r="B359" s="1" t="n">
        <v>45691</v>
      </c>
      <c r="C359" s="1" t="n">
        <v>46188</v>
      </c>
      <c r="D359" t="inlineStr">
        <is>
          <t>JÄMTLANDS LÄN</t>
        </is>
      </c>
      <c r="E359" t="inlineStr">
        <is>
          <t>ÖSTERSUND</t>
        </is>
      </c>
      <c r="F359" t="inlineStr">
        <is>
          <t>Övriga Aktiebolag</t>
        </is>
      </c>
      <c r="G359" t="n">
        <v>126.9</v>
      </c>
      <c r="H359" t="n">
        <v>0</v>
      </c>
      <c r="I359" t="n">
        <v>0</v>
      </c>
      <c r="J359" t="n">
        <v>0</v>
      </c>
      <c r="K359" t="n">
        <v>0</v>
      </c>
      <c r="L359" t="n">
        <v>0</v>
      </c>
      <c r="M359" t="n">
        <v>0</v>
      </c>
      <c r="N359" t="n">
        <v>0</v>
      </c>
      <c r="O359" t="n">
        <v>0</v>
      </c>
      <c r="P359" t="n">
        <v>0</v>
      </c>
      <c r="Q359" t="n">
        <v>0</v>
      </c>
      <c r="R359" s="2" t="inlineStr"/>
    </row>
    <row r="360" ht="15" customHeight="1">
      <c r="A360" t="inlineStr">
        <is>
          <t>A 3197-2026</t>
        </is>
      </c>
      <c r="B360" s="1" t="n">
        <v>46041.47474537037</v>
      </c>
      <c r="C360" s="1" t="n">
        <v>46188</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3610-2024</t>
        </is>
      </c>
      <c r="B361" s="1" t="n">
        <v>45320.92060185185</v>
      </c>
      <c r="C361" s="1" t="n">
        <v>46188</v>
      </c>
      <c r="D361" t="inlineStr">
        <is>
          <t>JÄMTLANDS LÄN</t>
        </is>
      </c>
      <c r="E361" t="inlineStr">
        <is>
          <t>ÖSTERSUND</t>
        </is>
      </c>
      <c r="G361" t="n">
        <v>6.2</v>
      </c>
      <c r="H361" t="n">
        <v>0</v>
      </c>
      <c r="I361" t="n">
        <v>0</v>
      </c>
      <c r="J361" t="n">
        <v>0</v>
      </c>
      <c r="K361" t="n">
        <v>0</v>
      </c>
      <c r="L361" t="n">
        <v>0</v>
      </c>
      <c r="M361" t="n">
        <v>0</v>
      </c>
      <c r="N361" t="n">
        <v>0</v>
      </c>
      <c r="O361" t="n">
        <v>0</v>
      </c>
      <c r="P361" t="n">
        <v>0</v>
      </c>
      <c r="Q361" t="n">
        <v>0</v>
      </c>
      <c r="R361" s="2" t="inlineStr"/>
    </row>
    <row r="362" ht="15" customHeight="1">
      <c r="A362" t="inlineStr">
        <is>
          <t>A 4406-2026</t>
        </is>
      </c>
      <c r="B362" s="1" t="n">
        <v>46045.59430555555</v>
      </c>
      <c r="C362" s="1" t="n">
        <v>46188</v>
      </c>
      <c r="D362" t="inlineStr">
        <is>
          <t>JÄMTLANDS LÄN</t>
        </is>
      </c>
      <c r="E362" t="inlineStr">
        <is>
          <t>ÖSTERSUND</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13282-2023</t>
        </is>
      </c>
      <c r="B363" s="1" t="n">
        <v>45004</v>
      </c>
      <c r="C363" s="1" t="n">
        <v>46188</v>
      </c>
      <c r="D363" t="inlineStr">
        <is>
          <t>JÄMTLANDS LÄN</t>
        </is>
      </c>
      <c r="E363" t="inlineStr">
        <is>
          <t>ÖSTERSUND</t>
        </is>
      </c>
      <c r="G363" t="n">
        <v>28.5</v>
      </c>
      <c r="H363" t="n">
        <v>0</v>
      </c>
      <c r="I363" t="n">
        <v>0</v>
      </c>
      <c r="J363" t="n">
        <v>0</v>
      </c>
      <c r="K363" t="n">
        <v>0</v>
      </c>
      <c r="L363" t="n">
        <v>0</v>
      </c>
      <c r="M363" t="n">
        <v>0</v>
      </c>
      <c r="N363" t="n">
        <v>0</v>
      </c>
      <c r="O363" t="n">
        <v>0</v>
      </c>
      <c r="P363" t="n">
        <v>0</v>
      </c>
      <c r="Q363" t="n">
        <v>0</v>
      </c>
      <c r="R363" s="2" t="inlineStr"/>
    </row>
    <row r="364" ht="15" customHeight="1">
      <c r="A364" t="inlineStr">
        <is>
          <t>A 4423-2026</t>
        </is>
      </c>
      <c r="B364" s="1" t="n">
        <v>46045.61509259259</v>
      </c>
      <c r="C364" s="1" t="n">
        <v>46188</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26587-2025</t>
        </is>
      </c>
      <c r="B365" s="1" t="n">
        <v>45807.75076388889</v>
      </c>
      <c r="C365" s="1" t="n">
        <v>46188</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27780-2022</t>
        </is>
      </c>
      <c r="B366" s="1" t="n">
        <v>44743</v>
      </c>
      <c r="C366" s="1" t="n">
        <v>46188</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61653-2022</t>
        </is>
      </c>
      <c r="B367" s="1" t="n">
        <v>44916</v>
      </c>
      <c r="C367" s="1" t="n">
        <v>46188</v>
      </c>
      <c r="D367" t="inlineStr">
        <is>
          <t>JÄMTLANDS LÄN</t>
        </is>
      </c>
      <c r="E367" t="inlineStr">
        <is>
          <t>ÖSTERSUND</t>
        </is>
      </c>
      <c r="G367" t="n">
        <v>7.6</v>
      </c>
      <c r="H367" t="n">
        <v>0</v>
      </c>
      <c r="I367" t="n">
        <v>0</v>
      </c>
      <c r="J367" t="n">
        <v>0</v>
      </c>
      <c r="K367" t="n">
        <v>0</v>
      </c>
      <c r="L367" t="n">
        <v>0</v>
      </c>
      <c r="M367" t="n">
        <v>0</v>
      </c>
      <c r="N367" t="n">
        <v>0</v>
      </c>
      <c r="O367" t="n">
        <v>0</v>
      </c>
      <c r="P367" t="n">
        <v>0</v>
      </c>
      <c r="Q367" t="n">
        <v>0</v>
      </c>
      <c r="R367" s="2" t="inlineStr"/>
    </row>
    <row r="368" ht="15" customHeight="1">
      <c r="A368" t="inlineStr">
        <is>
          <t>A 5360-2026</t>
        </is>
      </c>
      <c r="B368" s="1" t="n">
        <v>46050</v>
      </c>
      <c r="C368" s="1" t="n">
        <v>46188</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2228-2024</t>
        </is>
      </c>
      <c r="B369" s="1" t="n">
        <v>45309</v>
      </c>
      <c r="C369" s="1" t="n">
        <v>46188</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5684-2026</t>
        </is>
      </c>
      <c r="B370" s="1" t="n">
        <v>46051</v>
      </c>
      <c r="C370" s="1" t="n">
        <v>46188</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29703-2023</t>
        </is>
      </c>
      <c r="B371" s="1" t="n">
        <v>45107</v>
      </c>
      <c r="C371" s="1" t="n">
        <v>46188</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39510-2024</t>
        </is>
      </c>
      <c r="B372" s="1" t="n">
        <v>45551.67761574074</v>
      </c>
      <c r="C372" s="1" t="n">
        <v>46188</v>
      </c>
      <c r="D372" t="inlineStr">
        <is>
          <t>JÄMTLANDS LÄN</t>
        </is>
      </c>
      <c r="E372" t="inlineStr">
        <is>
          <t>ÖSTERSUND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61530-2023</t>
        </is>
      </c>
      <c r="B373" s="1" t="n">
        <v>45261</v>
      </c>
      <c r="C373" s="1" t="n">
        <v>46188</v>
      </c>
      <c r="D373" t="inlineStr">
        <is>
          <t>JÄMTLANDS LÄN</t>
        </is>
      </c>
      <c r="E373" t="inlineStr">
        <is>
          <t>ÖSTERSUND</t>
        </is>
      </c>
      <c r="F373" t="inlineStr">
        <is>
          <t>Övriga statliga verk och myndigheter</t>
        </is>
      </c>
      <c r="G373" t="n">
        <v>1</v>
      </c>
      <c r="H373" t="n">
        <v>0</v>
      </c>
      <c r="I373" t="n">
        <v>0</v>
      </c>
      <c r="J373" t="n">
        <v>0</v>
      </c>
      <c r="K373" t="n">
        <v>0</v>
      </c>
      <c r="L373" t="n">
        <v>0</v>
      </c>
      <c r="M373" t="n">
        <v>0</v>
      </c>
      <c r="N373" t="n">
        <v>0</v>
      </c>
      <c r="O373" t="n">
        <v>0</v>
      </c>
      <c r="P373" t="n">
        <v>0</v>
      </c>
      <c r="Q373" t="n">
        <v>0</v>
      </c>
      <c r="R373" s="2" t="inlineStr"/>
    </row>
    <row r="374" ht="15" customHeight="1">
      <c r="A374" t="inlineStr">
        <is>
          <t>A 27517-2025</t>
        </is>
      </c>
      <c r="B374" s="1" t="n">
        <v>45813.43966435185</v>
      </c>
      <c r="C374" s="1" t="n">
        <v>46188</v>
      </c>
      <c r="D374" t="inlineStr">
        <is>
          <t>JÄMTLANDS LÄN</t>
        </is>
      </c>
      <c r="E374" t="inlineStr">
        <is>
          <t>ÖSTERSUND</t>
        </is>
      </c>
      <c r="G374" t="n">
        <v>2.2</v>
      </c>
      <c r="H374" t="n">
        <v>0</v>
      </c>
      <c r="I374" t="n">
        <v>0</v>
      </c>
      <c r="J374" t="n">
        <v>0</v>
      </c>
      <c r="K374" t="n">
        <v>0</v>
      </c>
      <c r="L374" t="n">
        <v>0</v>
      </c>
      <c r="M374" t="n">
        <v>0</v>
      </c>
      <c r="N374" t="n">
        <v>0</v>
      </c>
      <c r="O374" t="n">
        <v>0</v>
      </c>
      <c r="P374" t="n">
        <v>0</v>
      </c>
      <c r="Q374" t="n">
        <v>0</v>
      </c>
      <c r="R374" s="2" t="inlineStr"/>
    </row>
    <row r="375" ht="15" customHeight="1">
      <c r="A375" t="inlineStr">
        <is>
          <t>A 6831-2026</t>
        </is>
      </c>
      <c r="B375" s="1" t="n">
        <v>46057.40715277778</v>
      </c>
      <c r="C375" s="1" t="n">
        <v>46188</v>
      </c>
      <c r="D375" t="inlineStr">
        <is>
          <t>JÄMTLANDS LÄN</t>
        </is>
      </c>
      <c r="E375" t="inlineStr">
        <is>
          <t>ÖSTERSUND</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25535-2023</t>
        </is>
      </c>
      <c r="B376" s="1" t="n">
        <v>45089.54944444444</v>
      </c>
      <c r="C376" s="1" t="n">
        <v>46188</v>
      </c>
      <c r="D376" t="inlineStr">
        <is>
          <t>JÄMTLANDS LÄN</t>
        </is>
      </c>
      <c r="E376" t="inlineStr">
        <is>
          <t>ÖSTERSUND</t>
        </is>
      </c>
      <c r="G376" t="n">
        <v>1</v>
      </c>
      <c r="H376" t="n">
        <v>0</v>
      </c>
      <c r="I376" t="n">
        <v>0</v>
      </c>
      <c r="J376" t="n">
        <v>0</v>
      </c>
      <c r="K376" t="n">
        <v>0</v>
      </c>
      <c r="L376" t="n">
        <v>0</v>
      </c>
      <c r="M376" t="n">
        <v>0</v>
      </c>
      <c r="N376" t="n">
        <v>0</v>
      </c>
      <c r="O376" t="n">
        <v>0</v>
      </c>
      <c r="P376" t="n">
        <v>0</v>
      </c>
      <c r="Q376" t="n">
        <v>0</v>
      </c>
      <c r="R376" s="2" t="inlineStr"/>
    </row>
    <row r="377" ht="15" customHeight="1">
      <c r="A377" t="inlineStr">
        <is>
          <t>A 7956-2025</t>
        </is>
      </c>
      <c r="B377" s="1" t="n">
        <v>45707.42825231481</v>
      </c>
      <c r="C377" s="1" t="n">
        <v>46188</v>
      </c>
      <c r="D377" t="inlineStr">
        <is>
          <t>JÄMTLANDS LÄN</t>
        </is>
      </c>
      <c r="E377" t="inlineStr">
        <is>
          <t>ÖSTERSUND</t>
        </is>
      </c>
      <c r="F377" t="inlineStr">
        <is>
          <t>Övriga Aktiebolag</t>
        </is>
      </c>
      <c r="G377" t="n">
        <v>111.2</v>
      </c>
      <c r="H377" t="n">
        <v>0</v>
      </c>
      <c r="I377" t="n">
        <v>0</v>
      </c>
      <c r="J377" t="n">
        <v>0</v>
      </c>
      <c r="K377" t="n">
        <v>0</v>
      </c>
      <c r="L377" t="n">
        <v>0</v>
      </c>
      <c r="M377" t="n">
        <v>0</v>
      </c>
      <c r="N377" t="n">
        <v>0</v>
      </c>
      <c r="O377" t="n">
        <v>0</v>
      </c>
      <c r="P377" t="n">
        <v>0</v>
      </c>
      <c r="Q377" t="n">
        <v>0</v>
      </c>
      <c r="R377" s="2" t="inlineStr"/>
    </row>
    <row r="378" ht="15" customHeight="1">
      <c r="A378" t="inlineStr">
        <is>
          <t>A 4311-2025</t>
        </is>
      </c>
      <c r="B378" s="1" t="n">
        <v>45685.69267361111</v>
      </c>
      <c r="C378" s="1" t="n">
        <v>46188</v>
      </c>
      <c r="D378" t="inlineStr">
        <is>
          <t>JÄMTLANDS LÄN</t>
        </is>
      </c>
      <c r="E378" t="inlineStr">
        <is>
          <t>ÖSTERSUND</t>
        </is>
      </c>
      <c r="G378" t="n">
        <v>0.7</v>
      </c>
      <c r="H378" t="n">
        <v>0</v>
      </c>
      <c r="I378" t="n">
        <v>0</v>
      </c>
      <c r="J378" t="n">
        <v>0</v>
      </c>
      <c r="K378" t="n">
        <v>0</v>
      </c>
      <c r="L378" t="n">
        <v>0</v>
      </c>
      <c r="M378" t="n">
        <v>0</v>
      </c>
      <c r="N378" t="n">
        <v>0</v>
      </c>
      <c r="O378" t="n">
        <v>0</v>
      </c>
      <c r="P378" t="n">
        <v>0</v>
      </c>
      <c r="Q378" t="n">
        <v>0</v>
      </c>
      <c r="R378" s="2" t="inlineStr"/>
    </row>
    <row r="379" ht="15" customHeight="1">
      <c r="A379" t="inlineStr">
        <is>
          <t>A 6761-2026</t>
        </is>
      </c>
      <c r="B379" s="1" t="n">
        <v>46056.8547337963</v>
      </c>
      <c r="C379" s="1" t="n">
        <v>46188</v>
      </c>
      <c r="D379" t="inlineStr">
        <is>
          <t>JÄMTLANDS LÄN</t>
        </is>
      </c>
      <c r="E379" t="inlineStr">
        <is>
          <t>ÖSTERSUND</t>
        </is>
      </c>
      <c r="G379" t="n">
        <v>2.8</v>
      </c>
      <c r="H379" t="n">
        <v>0</v>
      </c>
      <c r="I379" t="n">
        <v>0</v>
      </c>
      <c r="J379" t="n">
        <v>0</v>
      </c>
      <c r="K379" t="n">
        <v>0</v>
      </c>
      <c r="L379" t="n">
        <v>0</v>
      </c>
      <c r="M379" t="n">
        <v>0</v>
      </c>
      <c r="N379" t="n">
        <v>0</v>
      </c>
      <c r="O379" t="n">
        <v>0</v>
      </c>
      <c r="P379" t="n">
        <v>0</v>
      </c>
      <c r="Q379" t="n">
        <v>0</v>
      </c>
      <c r="R379" s="2" t="inlineStr"/>
    </row>
    <row r="380" ht="15" customHeight="1">
      <c r="A380" t="inlineStr">
        <is>
          <t>A 28595-2025</t>
        </is>
      </c>
      <c r="B380" s="1" t="n">
        <v>45819.59429398148</v>
      </c>
      <c r="C380" s="1" t="n">
        <v>46188</v>
      </c>
      <c r="D380" t="inlineStr">
        <is>
          <t>JÄMTLANDS LÄN</t>
        </is>
      </c>
      <c r="E380" t="inlineStr">
        <is>
          <t>ÖSTERSUND</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28185-2025</t>
        </is>
      </c>
      <c r="B381" s="1" t="n">
        <v>45818.40337962963</v>
      </c>
      <c r="C381" s="1" t="n">
        <v>46188</v>
      </c>
      <c r="D381" t="inlineStr">
        <is>
          <t>JÄMTLANDS LÄN</t>
        </is>
      </c>
      <c r="E381" t="inlineStr">
        <is>
          <t>ÖSTERSUND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7437-2026</t>
        </is>
      </c>
      <c r="B382" s="1" t="n">
        <v>46059.44135416667</v>
      </c>
      <c r="C382" s="1" t="n">
        <v>46188</v>
      </c>
      <c r="D382" t="inlineStr">
        <is>
          <t>JÄMTLANDS LÄN</t>
        </is>
      </c>
      <c r="E382" t="inlineStr">
        <is>
          <t>ÖSTERSUND</t>
        </is>
      </c>
      <c r="G382" t="n">
        <v>2.3</v>
      </c>
      <c r="H382" t="n">
        <v>0</v>
      </c>
      <c r="I382" t="n">
        <v>0</v>
      </c>
      <c r="J382" t="n">
        <v>0</v>
      </c>
      <c r="K382" t="n">
        <v>0</v>
      </c>
      <c r="L382" t="n">
        <v>0</v>
      </c>
      <c r="M382" t="n">
        <v>0</v>
      </c>
      <c r="N382" t="n">
        <v>0</v>
      </c>
      <c r="O382" t="n">
        <v>0</v>
      </c>
      <c r="P382" t="n">
        <v>0</v>
      </c>
      <c r="Q382" t="n">
        <v>0</v>
      </c>
      <c r="R382" s="2" t="inlineStr"/>
    </row>
    <row r="383" ht="15" customHeight="1">
      <c r="A383" t="inlineStr">
        <is>
          <t>A 57398-2023</t>
        </is>
      </c>
      <c r="B383" s="1" t="n">
        <v>45245</v>
      </c>
      <c r="C383" s="1" t="n">
        <v>46188</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44051-2021</t>
        </is>
      </c>
      <c r="B384" s="1" t="n">
        <v>44434</v>
      </c>
      <c r="C384" s="1" t="n">
        <v>46188</v>
      </c>
      <c r="D384" t="inlineStr">
        <is>
          <t>JÄMTLANDS LÄN</t>
        </is>
      </c>
      <c r="E384" t="inlineStr">
        <is>
          <t>ÖSTERSUND</t>
        </is>
      </c>
      <c r="G384" t="n">
        <v>2.9</v>
      </c>
      <c r="H384" t="n">
        <v>0</v>
      </c>
      <c r="I384" t="n">
        <v>0</v>
      </c>
      <c r="J384" t="n">
        <v>0</v>
      </c>
      <c r="K384" t="n">
        <v>0</v>
      </c>
      <c r="L384" t="n">
        <v>0</v>
      </c>
      <c r="M384" t="n">
        <v>0</v>
      </c>
      <c r="N384" t="n">
        <v>0</v>
      </c>
      <c r="O384" t="n">
        <v>0</v>
      </c>
      <c r="P384" t="n">
        <v>0</v>
      </c>
      <c r="Q384" t="n">
        <v>0</v>
      </c>
      <c r="R384" s="2" t="inlineStr"/>
    </row>
    <row r="385" ht="15" customHeight="1">
      <c r="A385" t="inlineStr">
        <is>
          <t>A 8109-2026</t>
        </is>
      </c>
      <c r="B385" s="1" t="n">
        <v>46062</v>
      </c>
      <c r="C385" s="1" t="n">
        <v>46188</v>
      </c>
      <c r="D385" t="inlineStr">
        <is>
          <t>JÄMTLANDS LÄN</t>
        </is>
      </c>
      <c r="E385" t="inlineStr">
        <is>
          <t>ÖSTERSUND</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55235-2023</t>
        </is>
      </c>
      <c r="B386" s="1" t="n">
        <v>45231</v>
      </c>
      <c r="C386" s="1" t="n">
        <v>46188</v>
      </c>
      <c r="D386" t="inlineStr">
        <is>
          <t>JÄMTLANDS LÄN</t>
        </is>
      </c>
      <c r="E386" t="inlineStr">
        <is>
          <t>ÖSTERSUND</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7712-2026</t>
        </is>
      </c>
      <c r="B387" s="1" t="n">
        <v>46062.48398148148</v>
      </c>
      <c r="C387" s="1" t="n">
        <v>46188</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44410.35376157407</v>
      </c>
      <c r="C388" s="1" t="n">
        <v>46188</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8168-2026</t>
        </is>
      </c>
      <c r="B389" s="1" t="n">
        <v>46064.39027777778</v>
      </c>
      <c r="C389" s="1" t="n">
        <v>46188</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8733-2026</t>
        </is>
      </c>
      <c r="B390" s="1" t="n">
        <v>46066</v>
      </c>
      <c r="C390" s="1" t="n">
        <v>46188</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8832-2026</t>
        </is>
      </c>
      <c r="B391" s="1" t="n">
        <v>46066.6364699074</v>
      </c>
      <c r="C391" s="1" t="n">
        <v>46188</v>
      </c>
      <c r="D391" t="inlineStr">
        <is>
          <t>JÄMTLANDS LÄN</t>
        </is>
      </c>
      <c r="E391" t="inlineStr">
        <is>
          <t>ÖSTERSUND</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8833-2026</t>
        </is>
      </c>
      <c r="B392" s="1" t="n">
        <v>46066.6365625</v>
      </c>
      <c r="C392" s="1" t="n">
        <v>46188</v>
      </c>
      <c r="D392" t="inlineStr">
        <is>
          <t>JÄMTLANDS LÄN</t>
        </is>
      </c>
      <c r="E392" t="inlineStr">
        <is>
          <t>ÖSTERSUND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7936-2025</t>
        </is>
      </c>
      <c r="B393" s="1" t="n">
        <v>45707</v>
      </c>
      <c r="C393" s="1" t="n">
        <v>46188</v>
      </c>
      <c r="D393" t="inlineStr">
        <is>
          <t>JÄMTLANDS LÄN</t>
        </is>
      </c>
      <c r="E393" t="inlineStr">
        <is>
          <t>ÖSTERSUND</t>
        </is>
      </c>
      <c r="G393" t="n">
        <v>0.2</v>
      </c>
      <c r="H393" t="n">
        <v>0</v>
      </c>
      <c r="I393" t="n">
        <v>0</v>
      </c>
      <c r="J393" t="n">
        <v>0</v>
      </c>
      <c r="K393" t="n">
        <v>0</v>
      </c>
      <c r="L393" t="n">
        <v>0</v>
      </c>
      <c r="M393" t="n">
        <v>0</v>
      </c>
      <c r="N393" t="n">
        <v>0</v>
      </c>
      <c r="O393" t="n">
        <v>0</v>
      </c>
      <c r="P393" t="n">
        <v>0</v>
      </c>
      <c r="Q393" t="n">
        <v>0</v>
      </c>
      <c r="R393" s="2" t="inlineStr"/>
    </row>
    <row r="394" ht="15" customHeight="1">
      <c r="A394" t="inlineStr">
        <is>
          <t>A 7940-2025</t>
        </is>
      </c>
      <c r="B394" s="1" t="n">
        <v>45707.40493055555</v>
      </c>
      <c r="C394" s="1" t="n">
        <v>46188</v>
      </c>
      <c r="D394" t="inlineStr">
        <is>
          <t>JÄMTLANDS LÄN</t>
        </is>
      </c>
      <c r="E394" t="inlineStr">
        <is>
          <t>ÖSTERSUND</t>
        </is>
      </c>
      <c r="F394" t="inlineStr">
        <is>
          <t>Övriga Aktiebolag</t>
        </is>
      </c>
      <c r="G394" t="n">
        <v>48.1</v>
      </c>
      <c r="H394" t="n">
        <v>0</v>
      </c>
      <c r="I394" t="n">
        <v>0</v>
      </c>
      <c r="J394" t="n">
        <v>0</v>
      </c>
      <c r="K394" t="n">
        <v>0</v>
      </c>
      <c r="L394" t="n">
        <v>0</v>
      </c>
      <c r="M394" t="n">
        <v>0</v>
      </c>
      <c r="N394" t="n">
        <v>0</v>
      </c>
      <c r="O394" t="n">
        <v>0</v>
      </c>
      <c r="P394" t="n">
        <v>0</v>
      </c>
      <c r="Q394" t="n">
        <v>0</v>
      </c>
      <c r="R394" s="2" t="inlineStr"/>
    </row>
    <row r="395" ht="15" customHeight="1">
      <c r="A395" t="inlineStr">
        <is>
          <t>A 5024-2025</t>
        </is>
      </c>
      <c r="B395" s="1" t="n">
        <v>45691.40832175926</v>
      </c>
      <c r="C395" s="1" t="n">
        <v>46188</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5025-2025</t>
        </is>
      </c>
      <c r="B396" s="1" t="n">
        <v>45691.40836805556</v>
      </c>
      <c r="C396" s="1" t="n">
        <v>46188</v>
      </c>
      <c r="D396" t="inlineStr">
        <is>
          <t>JÄMTLANDS LÄN</t>
        </is>
      </c>
      <c r="E396" t="inlineStr">
        <is>
          <t>ÖSTERSUND</t>
        </is>
      </c>
      <c r="G396" t="n">
        <v>0.1</v>
      </c>
      <c r="H396" t="n">
        <v>0</v>
      </c>
      <c r="I396" t="n">
        <v>0</v>
      </c>
      <c r="J396" t="n">
        <v>0</v>
      </c>
      <c r="K396" t="n">
        <v>0</v>
      </c>
      <c r="L396" t="n">
        <v>0</v>
      </c>
      <c r="M396" t="n">
        <v>0</v>
      </c>
      <c r="N396" t="n">
        <v>0</v>
      </c>
      <c r="O396" t="n">
        <v>0</v>
      </c>
      <c r="P396" t="n">
        <v>0</v>
      </c>
      <c r="Q396" t="n">
        <v>0</v>
      </c>
      <c r="R396" s="2" t="inlineStr"/>
    </row>
    <row r="397" ht="15" customHeight="1">
      <c r="A397" t="inlineStr">
        <is>
          <t>A 9191-2026</t>
        </is>
      </c>
      <c r="B397" s="1" t="n">
        <v>46070.38542824074</v>
      </c>
      <c r="C397" s="1" t="n">
        <v>46188</v>
      </c>
      <c r="D397" t="inlineStr">
        <is>
          <t>JÄMTLANDS LÄN</t>
        </is>
      </c>
      <c r="E397" t="inlineStr">
        <is>
          <t>ÖSTERSUND</t>
        </is>
      </c>
      <c r="F397" t="inlineStr">
        <is>
          <t>Övriga Aktiebolag</t>
        </is>
      </c>
      <c r="G397" t="n">
        <v>1.8</v>
      </c>
      <c r="H397" t="n">
        <v>0</v>
      </c>
      <c r="I397" t="n">
        <v>0</v>
      </c>
      <c r="J397" t="n">
        <v>0</v>
      </c>
      <c r="K397" t="n">
        <v>0</v>
      </c>
      <c r="L397" t="n">
        <v>0</v>
      </c>
      <c r="M397" t="n">
        <v>0</v>
      </c>
      <c r="N397" t="n">
        <v>0</v>
      </c>
      <c r="O397" t="n">
        <v>0</v>
      </c>
      <c r="P397" t="n">
        <v>0</v>
      </c>
      <c r="Q397" t="n">
        <v>0</v>
      </c>
      <c r="R397" s="2" t="inlineStr"/>
    </row>
    <row r="398" ht="15" customHeight="1">
      <c r="A398" t="inlineStr">
        <is>
          <t>A 9949-2026</t>
        </is>
      </c>
      <c r="B398" s="1" t="n">
        <v>46073.47060185186</v>
      </c>
      <c r="C398" s="1" t="n">
        <v>46188</v>
      </c>
      <c r="D398" t="inlineStr">
        <is>
          <t>JÄMTLANDS LÄN</t>
        </is>
      </c>
      <c r="E398" t="inlineStr">
        <is>
          <t>ÖSTERSUND</t>
        </is>
      </c>
      <c r="G398" t="n">
        <v>2.8</v>
      </c>
      <c r="H398" t="n">
        <v>0</v>
      </c>
      <c r="I398" t="n">
        <v>0</v>
      </c>
      <c r="J398" t="n">
        <v>0</v>
      </c>
      <c r="K398" t="n">
        <v>0</v>
      </c>
      <c r="L398" t="n">
        <v>0</v>
      </c>
      <c r="M398" t="n">
        <v>0</v>
      </c>
      <c r="N398" t="n">
        <v>0</v>
      </c>
      <c r="O398" t="n">
        <v>0</v>
      </c>
      <c r="P398" t="n">
        <v>0</v>
      </c>
      <c r="Q398" t="n">
        <v>0</v>
      </c>
      <c r="R398" s="2" t="inlineStr"/>
    </row>
    <row r="399" ht="15" customHeight="1">
      <c r="A399" t="inlineStr">
        <is>
          <t>A 9958-2026</t>
        </is>
      </c>
      <c r="B399" s="1" t="n">
        <v>46073.48990740741</v>
      </c>
      <c r="C399" s="1" t="n">
        <v>46188</v>
      </c>
      <c r="D399" t="inlineStr">
        <is>
          <t>JÄMTLANDS LÄN</t>
        </is>
      </c>
      <c r="E399" t="inlineStr">
        <is>
          <t>ÖSTERSUND</t>
        </is>
      </c>
      <c r="G399" t="n">
        <v>3.2</v>
      </c>
      <c r="H399" t="n">
        <v>0</v>
      </c>
      <c r="I399" t="n">
        <v>0</v>
      </c>
      <c r="J399" t="n">
        <v>0</v>
      </c>
      <c r="K399" t="n">
        <v>0</v>
      </c>
      <c r="L399" t="n">
        <v>0</v>
      </c>
      <c r="M399" t="n">
        <v>0</v>
      </c>
      <c r="N399" t="n">
        <v>0</v>
      </c>
      <c r="O399" t="n">
        <v>0</v>
      </c>
      <c r="P399" t="n">
        <v>0</v>
      </c>
      <c r="Q399" t="n">
        <v>0</v>
      </c>
      <c r="R399" s="2" t="inlineStr"/>
    </row>
    <row r="400" ht="15" customHeight="1">
      <c r="A400" t="inlineStr">
        <is>
          <t>A 3615-2025</t>
        </is>
      </c>
      <c r="B400" s="1" t="n">
        <v>45681.36493055556</v>
      </c>
      <c r="C400" s="1" t="n">
        <v>46188</v>
      </c>
      <c r="D400" t="inlineStr">
        <is>
          <t>JÄMTLANDS LÄN</t>
        </is>
      </c>
      <c r="E400" t="inlineStr">
        <is>
          <t>ÖSTERSUND</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3651-2025</t>
        </is>
      </c>
      <c r="B401" s="1" t="n">
        <v>45681.40689814815</v>
      </c>
      <c r="C401" s="1" t="n">
        <v>46188</v>
      </c>
      <c r="D401" t="inlineStr">
        <is>
          <t>JÄMTLANDS LÄN</t>
        </is>
      </c>
      <c r="E401" t="inlineStr">
        <is>
          <t>ÖSTERSUND</t>
        </is>
      </c>
      <c r="F401" t="inlineStr">
        <is>
          <t>SCA</t>
        </is>
      </c>
      <c r="G401" t="n">
        <v>9.6</v>
      </c>
      <c r="H401" t="n">
        <v>0</v>
      </c>
      <c r="I401" t="n">
        <v>0</v>
      </c>
      <c r="J401" t="n">
        <v>0</v>
      </c>
      <c r="K401" t="n">
        <v>0</v>
      </c>
      <c r="L401" t="n">
        <v>0</v>
      </c>
      <c r="M401" t="n">
        <v>0</v>
      </c>
      <c r="N401" t="n">
        <v>0</v>
      </c>
      <c r="O401" t="n">
        <v>0</v>
      </c>
      <c r="P401" t="n">
        <v>0</v>
      </c>
      <c r="Q401" t="n">
        <v>0</v>
      </c>
      <c r="R401" s="2" t="inlineStr"/>
    </row>
    <row r="402" ht="15" customHeight="1">
      <c r="A402" t="inlineStr">
        <is>
          <t>A 10779-2026</t>
        </is>
      </c>
      <c r="B402" s="1" t="n">
        <v>46078.57627314814</v>
      </c>
      <c r="C402" s="1" t="n">
        <v>46188</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10714-2026</t>
        </is>
      </c>
      <c r="B403" s="1" t="n">
        <v>46078.45979166667</v>
      </c>
      <c r="C403" s="1" t="n">
        <v>46188</v>
      </c>
      <c r="D403" t="inlineStr">
        <is>
          <t>JÄMTLANDS LÄN</t>
        </is>
      </c>
      <c r="E403" t="inlineStr">
        <is>
          <t>ÖSTERSUND</t>
        </is>
      </c>
      <c r="G403" t="n">
        <v>4.3</v>
      </c>
      <c r="H403" t="n">
        <v>0</v>
      </c>
      <c r="I403" t="n">
        <v>0</v>
      </c>
      <c r="J403" t="n">
        <v>0</v>
      </c>
      <c r="K403" t="n">
        <v>0</v>
      </c>
      <c r="L403" t="n">
        <v>0</v>
      </c>
      <c r="M403" t="n">
        <v>0</v>
      </c>
      <c r="N403" t="n">
        <v>0</v>
      </c>
      <c r="O403" t="n">
        <v>0</v>
      </c>
      <c r="P403" t="n">
        <v>0</v>
      </c>
      <c r="Q403" t="n">
        <v>0</v>
      </c>
      <c r="R403" s="2" t="inlineStr"/>
    </row>
    <row r="404" ht="15" customHeight="1">
      <c r="A404" t="inlineStr">
        <is>
          <t>A 44798-2023</t>
        </is>
      </c>
      <c r="B404" s="1" t="n">
        <v>45190</v>
      </c>
      <c r="C404" s="1" t="n">
        <v>46188</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4936-2025</t>
        </is>
      </c>
      <c r="B405" s="1" t="n">
        <v>45688.69356481481</v>
      </c>
      <c r="C405" s="1" t="n">
        <v>46188</v>
      </c>
      <c r="D405" t="inlineStr">
        <is>
          <t>JÄMTLANDS LÄN</t>
        </is>
      </c>
      <c r="E405" t="inlineStr">
        <is>
          <t>ÖSTERSUND</t>
        </is>
      </c>
      <c r="G405" t="n">
        <v>8.1</v>
      </c>
      <c r="H405" t="n">
        <v>0</v>
      </c>
      <c r="I405" t="n">
        <v>0</v>
      </c>
      <c r="J405" t="n">
        <v>0</v>
      </c>
      <c r="K405" t="n">
        <v>0</v>
      </c>
      <c r="L405" t="n">
        <v>0</v>
      </c>
      <c r="M405" t="n">
        <v>0</v>
      </c>
      <c r="N405" t="n">
        <v>0</v>
      </c>
      <c r="O405" t="n">
        <v>0</v>
      </c>
      <c r="P405" t="n">
        <v>0</v>
      </c>
      <c r="Q405" t="n">
        <v>0</v>
      </c>
      <c r="R405" s="2" t="inlineStr"/>
    </row>
    <row r="406" ht="15" customHeight="1">
      <c r="A406" t="inlineStr">
        <is>
          <t>A 10319-2026</t>
        </is>
      </c>
      <c r="B406" s="1" t="n">
        <v>46076.65672453704</v>
      </c>
      <c r="C406" s="1" t="n">
        <v>46188</v>
      </c>
      <c r="D406" t="inlineStr">
        <is>
          <t>JÄMTLANDS LÄN</t>
        </is>
      </c>
      <c r="E406" t="inlineStr">
        <is>
          <t>ÖSTERSUND</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10846-2026</t>
        </is>
      </c>
      <c r="B407" s="1" t="n">
        <v>46078.64712962963</v>
      </c>
      <c r="C407" s="1" t="n">
        <v>46188</v>
      </c>
      <c r="D407" t="inlineStr">
        <is>
          <t>JÄMTLANDS LÄN</t>
        </is>
      </c>
      <c r="E407" t="inlineStr">
        <is>
          <t>ÖSTERSUND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11188-2026</t>
        </is>
      </c>
      <c r="B408" s="1" t="n">
        <v>46080.40689814815</v>
      </c>
      <c r="C408" s="1" t="n">
        <v>46188</v>
      </c>
      <c r="D408" t="inlineStr">
        <is>
          <t>JÄMTLANDS LÄN</t>
        </is>
      </c>
      <c r="E408" t="inlineStr">
        <is>
          <t>ÖSTERSUND</t>
        </is>
      </c>
      <c r="F408" t="inlineStr">
        <is>
          <t>SCA</t>
        </is>
      </c>
      <c r="G408" t="n">
        <v>65.5</v>
      </c>
      <c r="H408" t="n">
        <v>0</v>
      </c>
      <c r="I408" t="n">
        <v>0</v>
      </c>
      <c r="J408" t="n">
        <v>0</v>
      </c>
      <c r="K408" t="n">
        <v>0</v>
      </c>
      <c r="L408" t="n">
        <v>0</v>
      </c>
      <c r="M408" t="n">
        <v>0</v>
      </c>
      <c r="N408" t="n">
        <v>0</v>
      </c>
      <c r="O408" t="n">
        <v>0</v>
      </c>
      <c r="P408" t="n">
        <v>0</v>
      </c>
      <c r="Q408" t="n">
        <v>0</v>
      </c>
      <c r="R408" s="2" t="inlineStr"/>
    </row>
    <row r="409" ht="15" customHeight="1">
      <c r="A409" t="inlineStr">
        <is>
          <t>A 6877-2024</t>
        </is>
      </c>
      <c r="B409" s="1" t="n">
        <v>45342</v>
      </c>
      <c r="C409" s="1" t="n">
        <v>46188</v>
      </c>
      <c r="D409" t="inlineStr">
        <is>
          <t>JÄMTLANDS LÄN</t>
        </is>
      </c>
      <c r="E409" t="inlineStr">
        <is>
          <t>ÖSTERSUND</t>
        </is>
      </c>
      <c r="F409" t="inlineStr">
        <is>
          <t>Kyrkan</t>
        </is>
      </c>
      <c r="G409" t="n">
        <v>0.9</v>
      </c>
      <c r="H409" t="n">
        <v>0</v>
      </c>
      <c r="I409" t="n">
        <v>0</v>
      </c>
      <c r="J409" t="n">
        <v>0</v>
      </c>
      <c r="K409" t="n">
        <v>0</v>
      </c>
      <c r="L409" t="n">
        <v>0</v>
      </c>
      <c r="M409" t="n">
        <v>0</v>
      </c>
      <c r="N409" t="n">
        <v>0</v>
      </c>
      <c r="O409" t="n">
        <v>0</v>
      </c>
      <c r="P409" t="n">
        <v>0</v>
      </c>
      <c r="Q409" t="n">
        <v>0</v>
      </c>
      <c r="R409" s="2" t="inlineStr"/>
    </row>
    <row r="410" ht="15" customHeight="1">
      <c r="A410" t="inlineStr">
        <is>
          <t>A 10266-2025</t>
        </is>
      </c>
      <c r="B410" s="1" t="n">
        <v>45720.38576388889</v>
      </c>
      <c r="C410" s="1" t="n">
        <v>46188</v>
      </c>
      <c r="D410" t="inlineStr">
        <is>
          <t>JÄMTLANDS LÄN</t>
        </is>
      </c>
      <c r="E410" t="inlineStr">
        <is>
          <t>ÖSTERSUND</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14947-2025</t>
        </is>
      </c>
      <c r="B411" s="1" t="n">
        <v>45743</v>
      </c>
      <c r="C411" s="1" t="n">
        <v>46188</v>
      </c>
      <c r="D411" t="inlineStr">
        <is>
          <t>JÄMTLANDS LÄN</t>
        </is>
      </c>
      <c r="E411" t="inlineStr">
        <is>
          <t>ÖSTERSUND</t>
        </is>
      </c>
      <c r="G411" t="n">
        <v>0.5</v>
      </c>
      <c r="H411" t="n">
        <v>0</v>
      </c>
      <c r="I411" t="n">
        <v>0</v>
      </c>
      <c r="J411" t="n">
        <v>0</v>
      </c>
      <c r="K411" t="n">
        <v>0</v>
      </c>
      <c r="L411" t="n">
        <v>0</v>
      </c>
      <c r="M411" t="n">
        <v>0</v>
      </c>
      <c r="N411" t="n">
        <v>0</v>
      </c>
      <c r="O411" t="n">
        <v>0</v>
      </c>
      <c r="P411" t="n">
        <v>0</v>
      </c>
      <c r="Q411" t="n">
        <v>0</v>
      </c>
      <c r="R411" s="2" t="inlineStr"/>
    </row>
    <row r="412" ht="15" customHeight="1">
      <c r="A412" t="inlineStr">
        <is>
          <t>A 10756-2025</t>
        </is>
      </c>
      <c r="B412" s="1" t="n">
        <v>45722.44892361111</v>
      </c>
      <c r="C412" s="1" t="n">
        <v>46188</v>
      </c>
      <c r="D412" t="inlineStr">
        <is>
          <t>JÄMTLANDS LÄN</t>
        </is>
      </c>
      <c r="E412" t="inlineStr">
        <is>
          <t>ÖSTERSUND</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56811-2025</t>
        </is>
      </c>
      <c r="B413" s="1" t="n">
        <v>45978.45540509259</v>
      </c>
      <c r="C413" s="1" t="n">
        <v>46188</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22612-2025</t>
        </is>
      </c>
      <c r="B414" s="1" t="n">
        <v>45789.42538194444</v>
      </c>
      <c r="C414" s="1" t="n">
        <v>46188</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13651-2025</t>
        </is>
      </c>
      <c r="B415" s="1" t="n">
        <v>45736.71818287037</v>
      </c>
      <c r="C415" s="1" t="n">
        <v>46188</v>
      </c>
      <c r="D415" t="inlineStr">
        <is>
          <t>JÄMTLANDS LÄN</t>
        </is>
      </c>
      <c r="E415" t="inlineStr">
        <is>
          <t>ÖSTERSUND</t>
        </is>
      </c>
      <c r="G415" t="n">
        <v>3.7</v>
      </c>
      <c r="H415" t="n">
        <v>0</v>
      </c>
      <c r="I415" t="n">
        <v>0</v>
      </c>
      <c r="J415" t="n">
        <v>0</v>
      </c>
      <c r="K415" t="n">
        <v>0</v>
      </c>
      <c r="L415" t="n">
        <v>0</v>
      </c>
      <c r="M415" t="n">
        <v>0</v>
      </c>
      <c r="N415" t="n">
        <v>0</v>
      </c>
      <c r="O415" t="n">
        <v>0</v>
      </c>
      <c r="P415" t="n">
        <v>0</v>
      </c>
      <c r="Q415" t="n">
        <v>0</v>
      </c>
      <c r="R415" s="2" t="inlineStr"/>
    </row>
    <row r="416" ht="15" customHeight="1">
      <c r="A416" t="inlineStr">
        <is>
          <t>A 13655-2025</t>
        </is>
      </c>
      <c r="B416" s="1" t="n">
        <v>45736.71956018519</v>
      </c>
      <c r="C416" s="1" t="n">
        <v>46188</v>
      </c>
      <c r="D416" t="inlineStr">
        <is>
          <t>JÄMTLANDS LÄN</t>
        </is>
      </c>
      <c r="E416" t="inlineStr">
        <is>
          <t>ÖSTERSUND</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14831-2025</t>
        </is>
      </c>
      <c r="B417" s="1" t="n">
        <v>45743.37109953703</v>
      </c>
      <c r="C417" s="1" t="n">
        <v>46188</v>
      </c>
      <c r="D417" t="inlineStr">
        <is>
          <t>JÄMTLANDS LÄN</t>
        </is>
      </c>
      <c r="E417" t="inlineStr">
        <is>
          <t>ÖSTERSUND</t>
        </is>
      </c>
      <c r="G417" t="n">
        <v>1.2</v>
      </c>
      <c r="H417" t="n">
        <v>0</v>
      </c>
      <c r="I417" t="n">
        <v>0</v>
      </c>
      <c r="J417" t="n">
        <v>0</v>
      </c>
      <c r="K417" t="n">
        <v>0</v>
      </c>
      <c r="L417" t="n">
        <v>0</v>
      </c>
      <c r="M417" t="n">
        <v>0</v>
      </c>
      <c r="N417" t="n">
        <v>0</v>
      </c>
      <c r="O417" t="n">
        <v>0</v>
      </c>
      <c r="P417" t="n">
        <v>0</v>
      </c>
      <c r="Q417" t="n">
        <v>0</v>
      </c>
      <c r="R417" s="2" t="inlineStr"/>
    </row>
    <row r="418" ht="15" customHeight="1">
      <c r="A418" t="inlineStr">
        <is>
          <t>A 14182-2025</t>
        </is>
      </c>
      <c r="B418" s="1" t="n">
        <v>45740.54168981482</v>
      </c>
      <c r="C418" s="1" t="n">
        <v>46188</v>
      </c>
      <c r="D418" t="inlineStr">
        <is>
          <t>JÄMTLANDS LÄN</t>
        </is>
      </c>
      <c r="E418" t="inlineStr">
        <is>
          <t>ÖSTERSUND</t>
        </is>
      </c>
      <c r="F418" t="inlineStr">
        <is>
          <t>Övriga Aktiebolag</t>
        </is>
      </c>
      <c r="G418" t="n">
        <v>20.1</v>
      </c>
      <c r="H418" t="n">
        <v>0</v>
      </c>
      <c r="I418" t="n">
        <v>0</v>
      </c>
      <c r="J418" t="n">
        <v>0</v>
      </c>
      <c r="K418" t="n">
        <v>0</v>
      </c>
      <c r="L418" t="n">
        <v>0</v>
      </c>
      <c r="M418" t="n">
        <v>0</v>
      </c>
      <c r="N418" t="n">
        <v>0</v>
      </c>
      <c r="O418" t="n">
        <v>0</v>
      </c>
      <c r="P418" t="n">
        <v>0</v>
      </c>
      <c r="Q418" t="n">
        <v>0</v>
      </c>
      <c r="R418" s="2" t="inlineStr"/>
    </row>
    <row r="419" ht="15" customHeight="1">
      <c r="A419" t="inlineStr">
        <is>
          <t>A 10267-2025</t>
        </is>
      </c>
      <c r="B419" s="1" t="n">
        <v>45720.3859375</v>
      </c>
      <c r="C419" s="1" t="n">
        <v>46188</v>
      </c>
      <c r="D419" t="inlineStr">
        <is>
          <t>JÄMTLANDS LÄN</t>
        </is>
      </c>
      <c r="E419" t="inlineStr">
        <is>
          <t>ÖSTERSUND</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9971-2025</t>
        </is>
      </c>
      <c r="B420" s="1" t="n">
        <v>45719.38630787037</v>
      </c>
      <c r="C420" s="1" t="n">
        <v>46188</v>
      </c>
      <c r="D420" t="inlineStr">
        <is>
          <t>JÄMTLANDS LÄN</t>
        </is>
      </c>
      <c r="E420" t="inlineStr">
        <is>
          <t>ÖSTERSUND</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33358-2025</t>
        </is>
      </c>
      <c r="B421" s="1" t="n">
        <v>45841.38054398148</v>
      </c>
      <c r="C421" s="1" t="n">
        <v>46188</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18577-2025</t>
        </is>
      </c>
      <c r="B422" s="1" t="n">
        <v>45763</v>
      </c>
      <c r="C422" s="1" t="n">
        <v>46188</v>
      </c>
      <c r="D422" t="inlineStr">
        <is>
          <t>JÄMTLANDS LÄN</t>
        </is>
      </c>
      <c r="E422" t="inlineStr">
        <is>
          <t>ÖSTERSUND</t>
        </is>
      </c>
      <c r="G422" t="n">
        <v>3.5</v>
      </c>
      <c r="H422" t="n">
        <v>0</v>
      </c>
      <c r="I422" t="n">
        <v>0</v>
      </c>
      <c r="J422" t="n">
        <v>0</v>
      </c>
      <c r="K422" t="n">
        <v>0</v>
      </c>
      <c r="L422" t="n">
        <v>0</v>
      </c>
      <c r="M422" t="n">
        <v>0</v>
      </c>
      <c r="N422" t="n">
        <v>0</v>
      </c>
      <c r="O422" t="n">
        <v>0</v>
      </c>
      <c r="P422" t="n">
        <v>0</v>
      </c>
      <c r="Q422" t="n">
        <v>0</v>
      </c>
      <c r="R422" s="2" t="inlineStr"/>
    </row>
    <row r="423" ht="15" customHeight="1">
      <c r="A423" t="inlineStr">
        <is>
          <t>A 18578-2025</t>
        </is>
      </c>
      <c r="B423" s="1" t="n">
        <v>45763</v>
      </c>
      <c r="C423" s="1" t="n">
        <v>46188</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6351-2024</t>
        </is>
      </c>
      <c r="B424" s="1" t="n">
        <v>45338</v>
      </c>
      <c r="C424" s="1" t="n">
        <v>46188</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34490-2025</t>
        </is>
      </c>
      <c r="B425" s="1" t="n">
        <v>45847.40722222222</v>
      </c>
      <c r="C425" s="1" t="n">
        <v>46188</v>
      </c>
      <c r="D425" t="inlineStr">
        <is>
          <t>JÄMTLANDS LÄN</t>
        </is>
      </c>
      <c r="E425" t="inlineStr">
        <is>
          <t>ÖSTERSUND</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3749-2023</t>
        </is>
      </c>
      <c r="B426" s="1" t="n">
        <v>44949</v>
      </c>
      <c r="C426" s="1" t="n">
        <v>46188</v>
      </c>
      <c r="D426" t="inlineStr">
        <is>
          <t>JÄMTLANDS LÄN</t>
        </is>
      </c>
      <c r="E426" t="inlineStr">
        <is>
          <t>ÖSTERSUND</t>
        </is>
      </c>
      <c r="G426" t="n">
        <v>0.2</v>
      </c>
      <c r="H426" t="n">
        <v>0</v>
      </c>
      <c r="I426" t="n">
        <v>0</v>
      </c>
      <c r="J426" t="n">
        <v>0</v>
      </c>
      <c r="K426" t="n">
        <v>0</v>
      </c>
      <c r="L426" t="n">
        <v>0</v>
      </c>
      <c r="M426" t="n">
        <v>0</v>
      </c>
      <c r="N426" t="n">
        <v>0</v>
      </c>
      <c r="O426" t="n">
        <v>0</v>
      </c>
      <c r="P426" t="n">
        <v>0</v>
      </c>
      <c r="Q426" t="n">
        <v>0</v>
      </c>
      <c r="R426" s="2" t="inlineStr"/>
    </row>
    <row r="427" ht="15" customHeight="1">
      <c r="A427" t="inlineStr">
        <is>
          <t>A 3255-2025</t>
        </is>
      </c>
      <c r="B427" s="1" t="n">
        <v>45679.55256944444</v>
      </c>
      <c r="C427" s="1" t="n">
        <v>46188</v>
      </c>
      <c r="D427" t="inlineStr">
        <is>
          <t>JÄMTLANDS LÄN</t>
        </is>
      </c>
      <c r="E427" t="inlineStr">
        <is>
          <t>ÖSTERSUND</t>
        </is>
      </c>
      <c r="F427" t="inlineStr">
        <is>
          <t>SCA</t>
        </is>
      </c>
      <c r="G427" t="n">
        <v>16.7</v>
      </c>
      <c r="H427" t="n">
        <v>0</v>
      </c>
      <c r="I427" t="n">
        <v>0</v>
      </c>
      <c r="J427" t="n">
        <v>0</v>
      </c>
      <c r="K427" t="n">
        <v>0</v>
      </c>
      <c r="L427" t="n">
        <v>0</v>
      </c>
      <c r="M427" t="n">
        <v>0</v>
      </c>
      <c r="N427" t="n">
        <v>0</v>
      </c>
      <c r="O427" t="n">
        <v>0</v>
      </c>
      <c r="P427" t="n">
        <v>0</v>
      </c>
      <c r="Q427" t="n">
        <v>0</v>
      </c>
      <c r="R427" s="2" t="inlineStr"/>
    </row>
    <row r="428" ht="15" customHeight="1">
      <c r="A428" t="inlineStr">
        <is>
          <t>A 34589-2025</t>
        </is>
      </c>
      <c r="B428" s="1" t="n">
        <v>45847.61561342593</v>
      </c>
      <c r="C428" s="1" t="n">
        <v>46188</v>
      </c>
      <c r="D428" t="inlineStr">
        <is>
          <t>JÄMTLANDS LÄN</t>
        </is>
      </c>
      <c r="E428" t="inlineStr">
        <is>
          <t>ÖSTERSUND</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34587-2025</t>
        </is>
      </c>
      <c r="B429" s="1" t="n">
        <v>45847.61533564814</v>
      </c>
      <c r="C429" s="1" t="n">
        <v>46188</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58364-2024</t>
        </is>
      </c>
      <c r="B430" s="1" t="n">
        <v>45632.68814814815</v>
      </c>
      <c r="C430" s="1" t="n">
        <v>46188</v>
      </c>
      <c r="D430" t="inlineStr">
        <is>
          <t>JÄMTLANDS LÄN</t>
        </is>
      </c>
      <c r="E430" t="inlineStr">
        <is>
          <t>ÖSTERSUND</t>
        </is>
      </c>
      <c r="G430" t="n">
        <v>5.5</v>
      </c>
      <c r="H430" t="n">
        <v>0</v>
      </c>
      <c r="I430" t="n">
        <v>0</v>
      </c>
      <c r="J430" t="n">
        <v>0</v>
      </c>
      <c r="K430" t="n">
        <v>0</v>
      </c>
      <c r="L430" t="n">
        <v>0</v>
      </c>
      <c r="M430" t="n">
        <v>0</v>
      </c>
      <c r="N430" t="n">
        <v>0</v>
      </c>
      <c r="O430" t="n">
        <v>0</v>
      </c>
      <c r="P430" t="n">
        <v>0</v>
      </c>
      <c r="Q430" t="n">
        <v>0</v>
      </c>
      <c r="R430" s="2" t="inlineStr"/>
    </row>
    <row r="431" ht="15" customHeight="1">
      <c r="A431" t="inlineStr">
        <is>
          <t>A 33801-2022</t>
        </is>
      </c>
      <c r="B431" s="1" t="n">
        <v>44790</v>
      </c>
      <c r="C431" s="1" t="n">
        <v>46188</v>
      </c>
      <c r="D431" t="inlineStr">
        <is>
          <t>JÄMTLANDS LÄN</t>
        </is>
      </c>
      <c r="E431" t="inlineStr">
        <is>
          <t>ÖSTERSUND</t>
        </is>
      </c>
      <c r="G431" t="n">
        <v>7.6</v>
      </c>
      <c r="H431" t="n">
        <v>0</v>
      </c>
      <c r="I431" t="n">
        <v>0</v>
      </c>
      <c r="J431" t="n">
        <v>0</v>
      </c>
      <c r="K431" t="n">
        <v>0</v>
      </c>
      <c r="L431" t="n">
        <v>0</v>
      </c>
      <c r="M431" t="n">
        <v>0</v>
      </c>
      <c r="N431" t="n">
        <v>0</v>
      </c>
      <c r="O431" t="n">
        <v>0</v>
      </c>
      <c r="P431" t="n">
        <v>0</v>
      </c>
      <c r="Q431" t="n">
        <v>0</v>
      </c>
      <c r="R431" s="2" t="inlineStr"/>
    </row>
    <row r="432" ht="15" customHeight="1">
      <c r="A432" t="inlineStr">
        <is>
          <t>A 12726-2026</t>
        </is>
      </c>
      <c r="B432" s="1" t="n">
        <v>46091.61972222223</v>
      </c>
      <c r="C432" s="1" t="n">
        <v>46188</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64645-2021</t>
        </is>
      </c>
      <c r="B433" s="1" t="n">
        <v>44511.94629629629</v>
      </c>
      <c r="C433" s="1" t="n">
        <v>46188</v>
      </c>
      <c r="D433" t="inlineStr">
        <is>
          <t>JÄMTLANDS LÄN</t>
        </is>
      </c>
      <c r="E433" t="inlineStr">
        <is>
          <t>ÖSTERSUND</t>
        </is>
      </c>
      <c r="G433" t="n">
        <v>3.2</v>
      </c>
      <c r="H433" t="n">
        <v>0</v>
      </c>
      <c r="I433" t="n">
        <v>0</v>
      </c>
      <c r="J433" t="n">
        <v>0</v>
      </c>
      <c r="K433" t="n">
        <v>0</v>
      </c>
      <c r="L433" t="n">
        <v>0</v>
      </c>
      <c r="M433" t="n">
        <v>0</v>
      </c>
      <c r="N433" t="n">
        <v>0</v>
      </c>
      <c r="O433" t="n">
        <v>0</v>
      </c>
      <c r="P433" t="n">
        <v>0</v>
      </c>
      <c r="Q433" t="n">
        <v>0</v>
      </c>
      <c r="R433" s="2" t="inlineStr"/>
    </row>
    <row r="434" ht="15" customHeight="1">
      <c r="A434" t="inlineStr">
        <is>
          <t>A 846-2024</t>
        </is>
      </c>
      <c r="B434" s="1" t="n">
        <v>45300</v>
      </c>
      <c r="C434" s="1" t="n">
        <v>46188</v>
      </c>
      <c r="D434" t="inlineStr">
        <is>
          <t>JÄMTLANDS LÄN</t>
        </is>
      </c>
      <c r="E434" t="inlineStr">
        <is>
          <t>ÖSTERSUND</t>
        </is>
      </c>
      <c r="G434" t="n">
        <v>2.8</v>
      </c>
      <c r="H434" t="n">
        <v>0</v>
      </c>
      <c r="I434" t="n">
        <v>0</v>
      </c>
      <c r="J434" t="n">
        <v>0</v>
      </c>
      <c r="K434" t="n">
        <v>0</v>
      </c>
      <c r="L434" t="n">
        <v>0</v>
      </c>
      <c r="M434" t="n">
        <v>0</v>
      </c>
      <c r="N434" t="n">
        <v>0</v>
      </c>
      <c r="O434" t="n">
        <v>0</v>
      </c>
      <c r="P434" t="n">
        <v>0</v>
      </c>
      <c r="Q434" t="n">
        <v>0</v>
      </c>
      <c r="R434" s="2" t="inlineStr"/>
    </row>
    <row r="435" ht="15" customHeight="1">
      <c r="A435" t="inlineStr">
        <is>
          <t>A 13898-2026</t>
        </is>
      </c>
      <c r="B435" s="1" t="n">
        <v>46098.46667824074</v>
      </c>
      <c r="C435" s="1" t="n">
        <v>46188</v>
      </c>
      <c r="D435" t="inlineStr">
        <is>
          <t>JÄMTLANDS LÄN</t>
        </is>
      </c>
      <c r="E435" t="inlineStr">
        <is>
          <t>ÖSTERSUND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13994-2026</t>
        </is>
      </c>
      <c r="B436" s="1" t="n">
        <v>46098.62236111111</v>
      </c>
      <c r="C436" s="1" t="n">
        <v>46188</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13911-2026</t>
        </is>
      </c>
      <c r="B437" s="1" t="n">
        <v>46098.48245370371</v>
      </c>
      <c r="C437" s="1" t="n">
        <v>46188</v>
      </c>
      <c r="D437" t="inlineStr">
        <is>
          <t>JÄMTLANDS LÄN</t>
        </is>
      </c>
      <c r="E437" t="inlineStr">
        <is>
          <t>ÖSTERSUND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7233-2024</t>
        </is>
      </c>
      <c r="B438" s="1" t="n">
        <v>45344</v>
      </c>
      <c r="C438" s="1" t="n">
        <v>46188</v>
      </c>
      <c r="D438" t="inlineStr">
        <is>
          <t>JÄMTLANDS LÄN</t>
        </is>
      </c>
      <c r="E438" t="inlineStr">
        <is>
          <t>ÖSTERSUND</t>
        </is>
      </c>
      <c r="G438" t="n">
        <v>1.2</v>
      </c>
      <c r="H438" t="n">
        <v>0</v>
      </c>
      <c r="I438" t="n">
        <v>0</v>
      </c>
      <c r="J438" t="n">
        <v>0</v>
      </c>
      <c r="K438" t="n">
        <v>0</v>
      </c>
      <c r="L438" t="n">
        <v>0</v>
      </c>
      <c r="M438" t="n">
        <v>0</v>
      </c>
      <c r="N438" t="n">
        <v>0</v>
      </c>
      <c r="O438" t="n">
        <v>0</v>
      </c>
      <c r="P438" t="n">
        <v>0</v>
      </c>
      <c r="Q438" t="n">
        <v>0</v>
      </c>
      <c r="R438" s="2" t="inlineStr"/>
    </row>
    <row r="439" ht="15" customHeight="1">
      <c r="A439" t="inlineStr">
        <is>
          <t>A 61791-2023</t>
        </is>
      </c>
      <c r="B439" s="1" t="n">
        <v>45265.95795138889</v>
      </c>
      <c r="C439" s="1" t="n">
        <v>46188</v>
      </c>
      <c r="D439" t="inlineStr">
        <is>
          <t>JÄMTLANDS LÄN</t>
        </is>
      </c>
      <c r="E439" t="inlineStr">
        <is>
          <t>ÖSTERSUND</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47022-2024</t>
        </is>
      </c>
      <c r="B440" s="1" t="n">
        <v>45586.40660879629</v>
      </c>
      <c r="C440" s="1" t="n">
        <v>46188</v>
      </c>
      <c r="D440" t="inlineStr">
        <is>
          <t>JÄMTLANDS LÄN</t>
        </is>
      </c>
      <c r="E440" t="inlineStr">
        <is>
          <t>ÖSTERSUND</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27124-2023</t>
        </is>
      </c>
      <c r="B441" s="1" t="n">
        <v>45096</v>
      </c>
      <c r="C441" s="1" t="n">
        <v>46188</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16336-2025</t>
        </is>
      </c>
      <c r="B442" s="1" t="n">
        <v>45751.36519675926</v>
      </c>
      <c r="C442" s="1" t="n">
        <v>46188</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17066-2024</t>
        </is>
      </c>
      <c r="B443" s="1" t="n">
        <v>45412.46636574074</v>
      </c>
      <c r="C443" s="1" t="n">
        <v>46188</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61449-2024</t>
        </is>
      </c>
      <c r="B444" s="1" t="n">
        <v>45646.48988425926</v>
      </c>
      <c r="C444" s="1" t="n">
        <v>46188</v>
      </c>
      <c r="D444" t="inlineStr">
        <is>
          <t>JÄMTLANDS LÄN</t>
        </is>
      </c>
      <c r="E444" t="inlineStr">
        <is>
          <t>ÖSTERSUND</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61450-2024</t>
        </is>
      </c>
      <c r="B445" s="1" t="n">
        <v>45646.49012731481</v>
      </c>
      <c r="C445" s="1" t="n">
        <v>46188</v>
      </c>
      <c r="D445" t="inlineStr">
        <is>
          <t>JÄMTLANDS LÄN</t>
        </is>
      </c>
      <c r="E445" t="inlineStr">
        <is>
          <t>ÖSTERSUND</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8261-2025</t>
        </is>
      </c>
      <c r="B446" s="1" t="n">
        <v>45708.50256944444</v>
      </c>
      <c r="C446" s="1" t="n">
        <v>46188</v>
      </c>
      <c r="D446" t="inlineStr">
        <is>
          <t>JÄMTLANDS LÄN</t>
        </is>
      </c>
      <c r="E446" t="inlineStr">
        <is>
          <t>ÖSTERSUND</t>
        </is>
      </c>
      <c r="G446" t="n">
        <v>5.4</v>
      </c>
      <c r="H446" t="n">
        <v>0</v>
      </c>
      <c r="I446" t="n">
        <v>0</v>
      </c>
      <c r="J446" t="n">
        <v>0</v>
      </c>
      <c r="K446" t="n">
        <v>0</v>
      </c>
      <c r="L446" t="n">
        <v>0</v>
      </c>
      <c r="M446" t="n">
        <v>0</v>
      </c>
      <c r="N446" t="n">
        <v>0</v>
      </c>
      <c r="O446" t="n">
        <v>0</v>
      </c>
      <c r="P446" t="n">
        <v>0</v>
      </c>
      <c r="Q446" t="n">
        <v>0</v>
      </c>
      <c r="R446" s="2" t="inlineStr"/>
    </row>
    <row r="447" ht="15" customHeight="1">
      <c r="A447" t="inlineStr">
        <is>
          <t>A 39975-2024</t>
        </is>
      </c>
      <c r="B447" s="1" t="n">
        <v>45553.60474537037</v>
      </c>
      <c r="C447" s="1" t="n">
        <v>46188</v>
      </c>
      <c r="D447" t="inlineStr">
        <is>
          <t>JÄMTLANDS LÄN</t>
        </is>
      </c>
      <c r="E447" t="inlineStr">
        <is>
          <t>ÖSTERSUND</t>
        </is>
      </c>
      <c r="G447" t="n">
        <v>3.8</v>
      </c>
      <c r="H447" t="n">
        <v>0</v>
      </c>
      <c r="I447" t="n">
        <v>0</v>
      </c>
      <c r="J447" t="n">
        <v>0</v>
      </c>
      <c r="K447" t="n">
        <v>0</v>
      </c>
      <c r="L447" t="n">
        <v>0</v>
      </c>
      <c r="M447" t="n">
        <v>0</v>
      </c>
      <c r="N447" t="n">
        <v>0</v>
      </c>
      <c r="O447" t="n">
        <v>0</v>
      </c>
      <c r="P447" t="n">
        <v>0</v>
      </c>
      <c r="Q447" t="n">
        <v>0</v>
      </c>
      <c r="R447" s="2" t="inlineStr"/>
    </row>
    <row r="448" ht="15" customHeight="1">
      <c r="A448" t="inlineStr">
        <is>
          <t>A 61506-2023</t>
        </is>
      </c>
      <c r="B448" s="1" t="n">
        <v>45264</v>
      </c>
      <c r="C448" s="1" t="n">
        <v>46188</v>
      </c>
      <c r="D448" t="inlineStr">
        <is>
          <t>JÄMTLANDS LÄN</t>
        </is>
      </c>
      <c r="E448" t="inlineStr">
        <is>
          <t>ÖSTERSUND</t>
        </is>
      </c>
      <c r="G448" t="n">
        <v>3</v>
      </c>
      <c r="H448" t="n">
        <v>0</v>
      </c>
      <c r="I448" t="n">
        <v>0</v>
      </c>
      <c r="J448" t="n">
        <v>0</v>
      </c>
      <c r="K448" t="n">
        <v>0</v>
      </c>
      <c r="L448" t="n">
        <v>0</v>
      </c>
      <c r="M448" t="n">
        <v>0</v>
      </c>
      <c r="N448" t="n">
        <v>0</v>
      </c>
      <c r="O448" t="n">
        <v>0</v>
      </c>
      <c r="P448" t="n">
        <v>0</v>
      </c>
      <c r="Q448" t="n">
        <v>0</v>
      </c>
      <c r="R448" s="2" t="inlineStr"/>
    </row>
    <row r="449" ht="15" customHeight="1">
      <c r="A449" t="inlineStr">
        <is>
          <t>A 25228-2025</t>
        </is>
      </c>
      <c r="B449" s="1" t="n">
        <v>45800.48368055555</v>
      </c>
      <c r="C449" s="1" t="n">
        <v>46188</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21861-2026</t>
        </is>
      </c>
      <c r="B450" s="1" t="n">
        <v>46150.55311342593</v>
      </c>
      <c r="C450" s="1" t="n">
        <v>46188</v>
      </c>
      <c r="D450" t="inlineStr">
        <is>
          <t>JÄMTLANDS LÄN</t>
        </is>
      </c>
      <c r="E450" t="inlineStr">
        <is>
          <t>ÖSTERSUND</t>
        </is>
      </c>
      <c r="G450" t="n">
        <v>9.4</v>
      </c>
      <c r="H450" t="n">
        <v>0</v>
      </c>
      <c r="I450" t="n">
        <v>0</v>
      </c>
      <c r="J450" t="n">
        <v>0</v>
      </c>
      <c r="K450" t="n">
        <v>0</v>
      </c>
      <c r="L450" t="n">
        <v>0</v>
      </c>
      <c r="M450" t="n">
        <v>0</v>
      </c>
      <c r="N450" t="n">
        <v>0</v>
      </c>
      <c r="O450" t="n">
        <v>0</v>
      </c>
      <c r="P450" t="n">
        <v>0</v>
      </c>
      <c r="Q450" t="n">
        <v>0</v>
      </c>
      <c r="R450" s="2" t="inlineStr"/>
    </row>
    <row r="451" ht="15" customHeight="1">
      <c r="A451" t="inlineStr">
        <is>
          <t>A 56067-2022</t>
        </is>
      </c>
      <c r="B451" s="1" t="n">
        <v>44889.59378472222</v>
      </c>
      <c r="C451" s="1" t="n">
        <v>46188</v>
      </c>
      <c r="D451" t="inlineStr">
        <is>
          <t>JÄMTLANDS LÄN</t>
        </is>
      </c>
      <c r="E451" t="inlineStr">
        <is>
          <t>ÖSTERSUND</t>
        </is>
      </c>
      <c r="F451" t="inlineStr">
        <is>
          <t>Övriga Aktiebolag</t>
        </is>
      </c>
      <c r="G451" t="n">
        <v>1.5</v>
      </c>
      <c r="H451" t="n">
        <v>0</v>
      </c>
      <c r="I451" t="n">
        <v>0</v>
      </c>
      <c r="J451" t="n">
        <v>0</v>
      </c>
      <c r="K451" t="n">
        <v>0</v>
      </c>
      <c r="L451" t="n">
        <v>0</v>
      </c>
      <c r="M451" t="n">
        <v>0</v>
      </c>
      <c r="N451" t="n">
        <v>0</v>
      </c>
      <c r="O451" t="n">
        <v>0</v>
      </c>
      <c r="P451" t="n">
        <v>0</v>
      </c>
      <c r="Q451" t="n">
        <v>0</v>
      </c>
      <c r="R451" s="2" t="inlineStr"/>
    </row>
    <row r="452" ht="15" customHeight="1">
      <c r="A452" t="inlineStr">
        <is>
          <t>A 21854-2026</t>
        </is>
      </c>
      <c r="B452" s="1" t="n">
        <v>46150.53258101852</v>
      </c>
      <c r="C452" s="1" t="n">
        <v>46188</v>
      </c>
      <c r="D452" t="inlineStr">
        <is>
          <t>JÄMTLANDS LÄN</t>
        </is>
      </c>
      <c r="E452" t="inlineStr">
        <is>
          <t>ÖSTERSUND</t>
        </is>
      </c>
      <c r="G452" t="n">
        <v>6.4</v>
      </c>
      <c r="H452" t="n">
        <v>0</v>
      </c>
      <c r="I452" t="n">
        <v>0</v>
      </c>
      <c r="J452" t="n">
        <v>0</v>
      </c>
      <c r="K452" t="n">
        <v>0</v>
      </c>
      <c r="L452" t="n">
        <v>0</v>
      </c>
      <c r="M452" t="n">
        <v>0</v>
      </c>
      <c r="N452" t="n">
        <v>0</v>
      </c>
      <c r="O452" t="n">
        <v>0</v>
      </c>
      <c r="P452" t="n">
        <v>0</v>
      </c>
      <c r="Q452" t="n">
        <v>0</v>
      </c>
      <c r="R452" s="2" t="inlineStr"/>
    </row>
    <row r="453" ht="15" customHeight="1">
      <c r="A453" t="inlineStr">
        <is>
          <t>A 21866-2026</t>
        </is>
      </c>
      <c r="B453" s="1" t="n">
        <v>46150.57203703704</v>
      </c>
      <c r="C453" s="1" t="n">
        <v>46188</v>
      </c>
      <c r="D453" t="inlineStr">
        <is>
          <t>JÄMTLANDS LÄN</t>
        </is>
      </c>
      <c r="E453" t="inlineStr">
        <is>
          <t>ÖSTERSUND</t>
        </is>
      </c>
      <c r="G453" t="n">
        <v>3.1</v>
      </c>
      <c r="H453" t="n">
        <v>0</v>
      </c>
      <c r="I453" t="n">
        <v>0</v>
      </c>
      <c r="J453" t="n">
        <v>0</v>
      </c>
      <c r="K453" t="n">
        <v>0</v>
      </c>
      <c r="L453" t="n">
        <v>0</v>
      </c>
      <c r="M453" t="n">
        <v>0</v>
      </c>
      <c r="N453" t="n">
        <v>0</v>
      </c>
      <c r="O453" t="n">
        <v>0</v>
      </c>
      <c r="P453" t="n">
        <v>0</v>
      </c>
      <c r="Q453" t="n">
        <v>0</v>
      </c>
      <c r="R453" s="2" t="inlineStr"/>
    </row>
    <row r="454" ht="15" customHeight="1">
      <c r="A454" t="inlineStr">
        <is>
          <t>A 14518-2023</t>
        </is>
      </c>
      <c r="B454" s="1" t="n">
        <v>45012</v>
      </c>
      <c r="C454" s="1" t="n">
        <v>46188</v>
      </c>
      <c r="D454" t="inlineStr">
        <is>
          <t>JÄMTLANDS LÄN</t>
        </is>
      </c>
      <c r="E454" t="inlineStr">
        <is>
          <t>ÖSTERSUND</t>
        </is>
      </c>
      <c r="G454" t="n">
        <v>14.4</v>
      </c>
      <c r="H454" t="n">
        <v>0</v>
      </c>
      <c r="I454" t="n">
        <v>0</v>
      </c>
      <c r="J454" t="n">
        <v>0</v>
      </c>
      <c r="K454" t="n">
        <v>0</v>
      </c>
      <c r="L454" t="n">
        <v>0</v>
      </c>
      <c r="M454" t="n">
        <v>0</v>
      </c>
      <c r="N454" t="n">
        <v>0</v>
      </c>
      <c r="O454" t="n">
        <v>0</v>
      </c>
      <c r="P454" t="n">
        <v>0</v>
      </c>
      <c r="Q454" t="n">
        <v>0</v>
      </c>
      <c r="R454" s="2" t="inlineStr"/>
    </row>
    <row r="455" ht="15" customHeight="1">
      <c r="A455" t="inlineStr">
        <is>
          <t>A 22108-2026</t>
        </is>
      </c>
      <c r="B455" s="1" t="n">
        <v>46153.55950231481</v>
      </c>
      <c r="C455" s="1" t="n">
        <v>46188</v>
      </c>
      <c r="D455" t="inlineStr">
        <is>
          <t>JÄMTLANDS LÄN</t>
        </is>
      </c>
      <c r="E455" t="inlineStr">
        <is>
          <t>ÖSTERSUND</t>
        </is>
      </c>
      <c r="G455" t="n">
        <v>1.8</v>
      </c>
      <c r="H455" t="n">
        <v>0</v>
      </c>
      <c r="I455" t="n">
        <v>0</v>
      </c>
      <c r="J455" t="n">
        <v>0</v>
      </c>
      <c r="K455" t="n">
        <v>0</v>
      </c>
      <c r="L455" t="n">
        <v>0</v>
      </c>
      <c r="M455" t="n">
        <v>0</v>
      </c>
      <c r="N455" t="n">
        <v>0</v>
      </c>
      <c r="O455" t="n">
        <v>0</v>
      </c>
      <c r="P455" t="n">
        <v>0</v>
      </c>
      <c r="Q455" t="n">
        <v>0</v>
      </c>
      <c r="R455" s="2" t="inlineStr"/>
    </row>
    <row r="456" ht="15" customHeight="1">
      <c r="A456" t="inlineStr">
        <is>
          <t>A 30602-2023</t>
        </is>
      </c>
      <c r="B456" s="1" t="n">
        <v>45112</v>
      </c>
      <c r="C456" s="1" t="n">
        <v>46188</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1211-2025</t>
        </is>
      </c>
      <c r="B457" s="1" t="n">
        <v>45667.40662037037</v>
      </c>
      <c r="C457" s="1" t="n">
        <v>46188</v>
      </c>
      <c r="D457" t="inlineStr">
        <is>
          <t>JÄMTLANDS LÄN</t>
        </is>
      </c>
      <c r="E457" t="inlineStr">
        <is>
          <t>ÖSTERSUND</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45004-2022</t>
        </is>
      </c>
      <c r="B458" s="1" t="n">
        <v>44840</v>
      </c>
      <c r="C458" s="1" t="n">
        <v>46188</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13674-2026</t>
        </is>
      </c>
      <c r="B459" s="1" t="n">
        <v>46097.49592592593</v>
      </c>
      <c r="C459" s="1" t="n">
        <v>46188</v>
      </c>
      <c r="D459" t="inlineStr">
        <is>
          <t>JÄMTLANDS LÄN</t>
        </is>
      </c>
      <c r="E459" t="inlineStr">
        <is>
          <t>ÖSTERSUND</t>
        </is>
      </c>
      <c r="F459" t="inlineStr">
        <is>
          <t>Övriga Aktiebolag</t>
        </is>
      </c>
      <c r="G459" t="n">
        <v>4.8</v>
      </c>
      <c r="H459" t="n">
        <v>0</v>
      </c>
      <c r="I459" t="n">
        <v>0</v>
      </c>
      <c r="J459" t="n">
        <v>0</v>
      </c>
      <c r="K459" t="n">
        <v>0</v>
      </c>
      <c r="L459" t="n">
        <v>0</v>
      </c>
      <c r="M459" t="n">
        <v>0</v>
      </c>
      <c r="N459" t="n">
        <v>0</v>
      </c>
      <c r="O459" t="n">
        <v>0</v>
      </c>
      <c r="P459" t="n">
        <v>0</v>
      </c>
      <c r="Q459" t="n">
        <v>0</v>
      </c>
      <c r="R459" s="2" t="inlineStr"/>
    </row>
    <row r="460" ht="15" customHeight="1">
      <c r="A460" t="inlineStr">
        <is>
          <t>A 27906-2024</t>
        </is>
      </c>
      <c r="B460" s="1" t="n">
        <v>45475.94585648148</v>
      </c>
      <c r="C460" s="1" t="n">
        <v>46188</v>
      </c>
      <c r="D460" t="inlineStr">
        <is>
          <t>JÄMTLANDS LÄN</t>
        </is>
      </c>
      <c r="E460" t="inlineStr">
        <is>
          <t>ÖSTERSUND</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48696-2024</t>
        </is>
      </c>
      <c r="B461" s="1" t="n">
        <v>45593.51123842593</v>
      </c>
      <c r="C461" s="1" t="n">
        <v>46188</v>
      </c>
      <c r="D461" t="inlineStr">
        <is>
          <t>JÄMTLANDS LÄN</t>
        </is>
      </c>
      <c r="E461" t="inlineStr">
        <is>
          <t>ÖSTERSUND</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48737-2024</t>
        </is>
      </c>
      <c r="B462" s="1" t="n">
        <v>45593.57327546296</v>
      </c>
      <c r="C462" s="1" t="n">
        <v>46188</v>
      </c>
      <c r="D462" t="inlineStr">
        <is>
          <t>JÄMTLANDS LÄN</t>
        </is>
      </c>
      <c r="E462" t="inlineStr">
        <is>
          <t>ÖSTERSUND</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22385-2026</t>
        </is>
      </c>
      <c r="B463" s="1" t="n">
        <v>46154.63601851852</v>
      </c>
      <c r="C463" s="1" t="n">
        <v>46188</v>
      </c>
      <c r="D463" t="inlineStr">
        <is>
          <t>JÄMTLANDS LÄN</t>
        </is>
      </c>
      <c r="E463" t="inlineStr">
        <is>
          <t>ÖSTERSUND</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26586-2025</t>
        </is>
      </c>
      <c r="B464" s="1" t="n">
        <v>45807.74140046296</v>
      </c>
      <c r="C464" s="1" t="n">
        <v>46188</v>
      </c>
      <c r="D464" t="inlineStr">
        <is>
          <t>JÄMTLANDS LÄN</t>
        </is>
      </c>
      <c r="E464" t="inlineStr">
        <is>
          <t>ÖSTERSUND</t>
        </is>
      </c>
      <c r="G464" t="n">
        <v>2.1</v>
      </c>
      <c r="H464" t="n">
        <v>0</v>
      </c>
      <c r="I464" t="n">
        <v>0</v>
      </c>
      <c r="J464" t="n">
        <v>0</v>
      </c>
      <c r="K464" t="n">
        <v>0</v>
      </c>
      <c r="L464" t="n">
        <v>0</v>
      </c>
      <c r="M464" t="n">
        <v>0</v>
      </c>
      <c r="N464" t="n">
        <v>0</v>
      </c>
      <c r="O464" t="n">
        <v>0</v>
      </c>
      <c r="P464" t="n">
        <v>0</v>
      </c>
      <c r="Q464" t="n">
        <v>0</v>
      </c>
      <c r="R464" s="2" t="inlineStr"/>
    </row>
    <row r="465" ht="15" customHeight="1">
      <c r="A465" t="inlineStr">
        <is>
          <t>A 17136-2026</t>
        </is>
      </c>
      <c r="B465" s="1" t="n">
        <v>46114.69834490741</v>
      </c>
      <c r="C465" s="1" t="n">
        <v>46188</v>
      </c>
      <c r="D465" t="inlineStr">
        <is>
          <t>JÄMTLANDS LÄN</t>
        </is>
      </c>
      <c r="E465" t="inlineStr">
        <is>
          <t>ÖSTERSUND</t>
        </is>
      </c>
      <c r="F465" t="inlineStr">
        <is>
          <t>SCA</t>
        </is>
      </c>
      <c r="G465" t="n">
        <v>7.7</v>
      </c>
      <c r="H465" t="n">
        <v>0</v>
      </c>
      <c r="I465" t="n">
        <v>0</v>
      </c>
      <c r="J465" t="n">
        <v>0</v>
      </c>
      <c r="K465" t="n">
        <v>0</v>
      </c>
      <c r="L465" t="n">
        <v>0</v>
      </c>
      <c r="M465" t="n">
        <v>0</v>
      </c>
      <c r="N465" t="n">
        <v>0</v>
      </c>
      <c r="O465" t="n">
        <v>0</v>
      </c>
      <c r="P465" t="n">
        <v>0</v>
      </c>
      <c r="Q465" t="n">
        <v>0</v>
      </c>
      <c r="R465" s="2" t="inlineStr"/>
    </row>
    <row r="466" ht="15" customHeight="1">
      <c r="A466" t="inlineStr">
        <is>
          <t>A 36211-2025</t>
        </is>
      </c>
      <c r="B466" s="1" t="n">
        <v>45867.46946759259</v>
      </c>
      <c r="C466" s="1" t="n">
        <v>46188</v>
      </c>
      <c r="D466" t="inlineStr">
        <is>
          <t>JÄMTLANDS LÄN</t>
        </is>
      </c>
      <c r="E466" t="inlineStr">
        <is>
          <t>ÖSTERSUND</t>
        </is>
      </c>
      <c r="F466" t="inlineStr">
        <is>
          <t>SCA</t>
        </is>
      </c>
      <c r="G466" t="n">
        <v>3.8</v>
      </c>
      <c r="H466" t="n">
        <v>0</v>
      </c>
      <c r="I466" t="n">
        <v>0</v>
      </c>
      <c r="J466" t="n">
        <v>0</v>
      </c>
      <c r="K466" t="n">
        <v>0</v>
      </c>
      <c r="L466" t="n">
        <v>0</v>
      </c>
      <c r="M466" t="n">
        <v>0</v>
      </c>
      <c r="N466" t="n">
        <v>0</v>
      </c>
      <c r="O466" t="n">
        <v>0</v>
      </c>
      <c r="P466" t="n">
        <v>0</v>
      </c>
      <c r="Q466" t="n">
        <v>0</v>
      </c>
      <c r="R466" s="2" t="inlineStr"/>
    </row>
    <row r="467" ht="15" customHeight="1">
      <c r="A467" t="inlineStr">
        <is>
          <t>A 33501-2023</t>
        </is>
      </c>
      <c r="B467" s="1" t="n">
        <v>45118</v>
      </c>
      <c r="C467" s="1" t="n">
        <v>46188</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22677-2026</t>
        </is>
      </c>
      <c r="B468" s="1" t="n">
        <v>46156.36506944444</v>
      </c>
      <c r="C468" s="1" t="n">
        <v>46188</v>
      </c>
      <c r="D468" t="inlineStr">
        <is>
          <t>JÄMTLANDS LÄN</t>
        </is>
      </c>
      <c r="E468" t="inlineStr">
        <is>
          <t>ÖSTERSUND</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36098-2025</t>
        </is>
      </c>
      <c r="B469" s="1" t="n">
        <v>45866.50549768518</v>
      </c>
      <c r="C469" s="1" t="n">
        <v>46188</v>
      </c>
      <c r="D469" t="inlineStr">
        <is>
          <t>JÄMTLANDS LÄN</t>
        </is>
      </c>
      <c r="E469" t="inlineStr">
        <is>
          <t>ÖSTERSUND</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49788-2024</t>
        </is>
      </c>
      <c r="B470" s="1" t="n">
        <v>45597.36623842592</v>
      </c>
      <c r="C470" s="1" t="n">
        <v>46188</v>
      </c>
      <c r="D470" t="inlineStr">
        <is>
          <t>JÄMTLANDS LÄN</t>
        </is>
      </c>
      <c r="E470" t="inlineStr">
        <is>
          <t>ÖSTERSUND</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4901-2025</t>
        </is>
      </c>
      <c r="B471" s="1" t="n">
        <v>45688.67965277778</v>
      </c>
      <c r="C471" s="1" t="n">
        <v>46188</v>
      </c>
      <c r="D471" t="inlineStr">
        <is>
          <t>JÄMTLANDS LÄN</t>
        </is>
      </c>
      <c r="E471" t="inlineStr">
        <is>
          <t>ÖSTERSUND</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22965-2026</t>
        </is>
      </c>
      <c r="B472" s="1" t="n">
        <v>46160.60550925926</v>
      </c>
      <c r="C472" s="1" t="n">
        <v>46188</v>
      </c>
      <c r="D472" t="inlineStr">
        <is>
          <t>JÄMTLANDS LÄN</t>
        </is>
      </c>
      <c r="E472" t="inlineStr">
        <is>
          <t>ÖSTERSUND</t>
        </is>
      </c>
      <c r="G472" t="n">
        <v>2.4</v>
      </c>
      <c r="H472" t="n">
        <v>0</v>
      </c>
      <c r="I472" t="n">
        <v>0</v>
      </c>
      <c r="J472" t="n">
        <v>0</v>
      </c>
      <c r="K472" t="n">
        <v>0</v>
      </c>
      <c r="L472" t="n">
        <v>0</v>
      </c>
      <c r="M472" t="n">
        <v>0</v>
      </c>
      <c r="N472" t="n">
        <v>0</v>
      </c>
      <c r="O472" t="n">
        <v>0</v>
      </c>
      <c r="P472" t="n">
        <v>0</v>
      </c>
      <c r="Q472" t="n">
        <v>0</v>
      </c>
      <c r="R472" s="2" t="inlineStr"/>
    </row>
    <row r="473" ht="15" customHeight="1">
      <c r="A473" t="inlineStr">
        <is>
          <t>A 17455-2026</t>
        </is>
      </c>
      <c r="B473" s="1" t="n">
        <v>46120.47421296296</v>
      </c>
      <c r="C473" s="1" t="n">
        <v>46188</v>
      </c>
      <c r="D473" t="inlineStr">
        <is>
          <t>JÄMTLANDS LÄN</t>
        </is>
      </c>
      <c r="E473" t="inlineStr">
        <is>
          <t>ÖSTERSUND</t>
        </is>
      </c>
      <c r="G473" t="n">
        <v>4.5</v>
      </c>
      <c r="H473" t="n">
        <v>0</v>
      </c>
      <c r="I473" t="n">
        <v>0</v>
      </c>
      <c r="J473" t="n">
        <v>0</v>
      </c>
      <c r="K473" t="n">
        <v>0</v>
      </c>
      <c r="L473" t="n">
        <v>0</v>
      </c>
      <c r="M473" t="n">
        <v>0</v>
      </c>
      <c r="N473" t="n">
        <v>0</v>
      </c>
      <c r="O473" t="n">
        <v>0</v>
      </c>
      <c r="P473" t="n">
        <v>0</v>
      </c>
      <c r="Q473" t="n">
        <v>0</v>
      </c>
      <c r="R473" s="2" t="inlineStr"/>
    </row>
    <row r="474" ht="15" customHeight="1">
      <c r="A474" t="inlineStr">
        <is>
          <t>A 17709-2024</t>
        </is>
      </c>
      <c r="B474" s="1" t="n">
        <v>45418.4843287037</v>
      </c>
      <c r="C474" s="1" t="n">
        <v>46188</v>
      </c>
      <c r="D474" t="inlineStr">
        <is>
          <t>JÄMTLANDS LÄN</t>
        </is>
      </c>
      <c r="E474" t="inlineStr">
        <is>
          <t>ÖSTERSUND</t>
        </is>
      </c>
      <c r="G474" t="n">
        <v>2.9</v>
      </c>
      <c r="H474" t="n">
        <v>0</v>
      </c>
      <c r="I474" t="n">
        <v>0</v>
      </c>
      <c r="J474" t="n">
        <v>0</v>
      </c>
      <c r="K474" t="n">
        <v>0</v>
      </c>
      <c r="L474" t="n">
        <v>0</v>
      </c>
      <c r="M474" t="n">
        <v>0</v>
      </c>
      <c r="N474" t="n">
        <v>0</v>
      </c>
      <c r="O474" t="n">
        <v>0</v>
      </c>
      <c r="P474" t="n">
        <v>0</v>
      </c>
      <c r="Q474" t="n">
        <v>0</v>
      </c>
      <c r="R474" s="2" t="inlineStr"/>
    </row>
    <row r="475" ht="15" customHeight="1">
      <c r="A475" t="inlineStr">
        <is>
          <t>A 17456-2026</t>
        </is>
      </c>
      <c r="B475" s="1" t="n">
        <v>46119</v>
      </c>
      <c r="C475" s="1" t="n">
        <v>46188</v>
      </c>
      <c r="D475" t="inlineStr">
        <is>
          <t>JÄMTLANDS LÄN</t>
        </is>
      </c>
      <c r="E475" t="inlineStr">
        <is>
          <t>ÖSTERSUND</t>
        </is>
      </c>
      <c r="F475" t="inlineStr">
        <is>
          <t>Kommuner</t>
        </is>
      </c>
      <c r="G475" t="n">
        <v>0.4</v>
      </c>
      <c r="H475" t="n">
        <v>0</v>
      </c>
      <c r="I475" t="n">
        <v>0</v>
      </c>
      <c r="J475" t="n">
        <v>0</v>
      </c>
      <c r="K475" t="n">
        <v>0</v>
      </c>
      <c r="L475" t="n">
        <v>0</v>
      </c>
      <c r="M475" t="n">
        <v>0</v>
      </c>
      <c r="N475" t="n">
        <v>0</v>
      </c>
      <c r="O475" t="n">
        <v>0</v>
      </c>
      <c r="P475" t="n">
        <v>0</v>
      </c>
      <c r="Q475" t="n">
        <v>0</v>
      </c>
      <c r="R475" s="2" t="inlineStr"/>
    </row>
    <row r="476" ht="15" customHeight="1">
      <c r="A476" t="inlineStr">
        <is>
          <t>A 58406-2024</t>
        </is>
      </c>
      <c r="B476" s="1" t="n">
        <v>45634.70898148148</v>
      </c>
      <c r="C476" s="1" t="n">
        <v>46188</v>
      </c>
      <c r="D476" t="inlineStr">
        <is>
          <t>JÄMTLANDS LÄN</t>
        </is>
      </c>
      <c r="E476" t="inlineStr">
        <is>
          <t>ÖSTERSUND</t>
        </is>
      </c>
      <c r="G476" t="n">
        <v>3.8</v>
      </c>
      <c r="H476" t="n">
        <v>0</v>
      </c>
      <c r="I476" t="n">
        <v>0</v>
      </c>
      <c r="J476" t="n">
        <v>0</v>
      </c>
      <c r="K476" t="n">
        <v>0</v>
      </c>
      <c r="L476" t="n">
        <v>0</v>
      </c>
      <c r="M476" t="n">
        <v>0</v>
      </c>
      <c r="N476" t="n">
        <v>0</v>
      </c>
      <c r="O476" t="n">
        <v>0</v>
      </c>
      <c r="P476" t="n">
        <v>0</v>
      </c>
      <c r="Q476" t="n">
        <v>0</v>
      </c>
      <c r="R476" s="2" t="inlineStr"/>
    </row>
    <row r="477" ht="15" customHeight="1">
      <c r="A477" t="inlineStr">
        <is>
          <t>A 13166-2023</t>
        </is>
      </c>
      <c r="B477" s="1" t="n">
        <v>45002</v>
      </c>
      <c r="C477" s="1" t="n">
        <v>46188</v>
      </c>
      <c r="D477" t="inlineStr">
        <is>
          <t>JÄMTLANDS LÄN</t>
        </is>
      </c>
      <c r="E477" t="inlineStr">
        <is>
          <t>ÖSTERSUND</t>
        </is>
      </c>
      <c r="F477" t="inlineStr">
        <is>
          <t>Övriga statliga verk och myndigheter</t>
        </is>
      </c>
      <c r="G477" t="n">
        <v>1</v>
      </c>
      <c r="H477" t="n">
        <v>0</v>
      </c>
      <c r="I477" t="n">
        <v>0</v>
      </c>
      <c r="J477" t="n">
        <v>0</v>
      </c>
      <c r="K477" t="n">
        <v>0</v>
      </c>
      <c r="L477" t="n">
        <v>0</v>
      </c>
      <c r="M477" t="n">
        <v>0</v>
      </c>
      <c r="N477" t="n">
        <v>0</v>
      </c>
      <c r="O477" t="n">
        <v>0</v>
      </c>
      <c r="P477" t="n">
        <v>0</v>
      </c>
      <c r="Q477" t="n">
        <v>0</v>
      </c>
      <c r="R477" s="2" t="inlineStr"/>
    </row>
    <row r="478" ht="15" customHeight="1">
      <c r="A478" t="inlineStr">
        <is>
          <t>A 23145-2026</t>
        </is>
      </c>
      <c r="B478" s="1" t="n">
        <v>46161.62545138889</v>
      </c>
      <c r="C478" s="1" t="n">
        <v>46188</v>
      </c>
      <c r="D478" t="inlineStr">
        <is>
          <t>JÄMTLANDS LÄN</t>
        </is>
      </c>
      <c r="E478" t="inlineStr">
        <is>
          <t>ÖSTERSUND</t>
        </is>
      </c>
      <c r="G478" t="n">
        <v>25.5</v>
      </c>
      <c r="H478" t="n">
        <v>0</v>
      </c>
      <c r="I478" t="n">
        <v>0</v>
      </c>
      <c r="J478" t="n">
        <v>0</v>
      </c>
      <c r="K478" t="n">
        <v>0</v>
      </c>
      <c r="L478" t="n">
        <v>0</v>
      </c>
      <c r="M478" t="n">
        <v>0</v>
      </c>
      <c r="N478" t="n">
        <v>0</v>
      </c>
      <c r="O478" t="n">
        <v>0</v>
      </c>
      <c r="P478" t="n">
        <v>0</v>
      </c>
      <c r="Q478" t="n">
        <v>0</v>
      </c>
      <c r="R478" s="2" t="inlineStr"/>
    </row>
    <row r="479" ht="15" customHeight="1">
      <c r="A479" t="inlineStr">
        <is>
          <t>A 23772-2026</t>
        </is>
      </c>
      <c r="B479" s="1" t="n">
        <v>46164.57388888889</v>
      </c>
      <c r="C479" s="1" t="n">
        <v>46188</v>
      </c>
      <c r="D479" t="inlineStr">
        <is>
          <t>JÄMTLANDS LÄN</t>
        </is>
      </c>
      <c r="E479" t="inlineStr">
        <is>
          <t>ÖSTERSUND</t>
        </is>
      </c>
      <c r="F479" t="inlineStr">
        <is>
          <t>SCA</t>
        </is>
      </c>
      <c r="G479" t="n">
        <v>24.4</v>
      </c>
      <c r="H479" t="n">
        <v>0</v>
      </c>
      <c r="I479" t="n">
        <v>0</v>
      </c>
      <c r="J479" t="n">
        <v>0</v>
      </c>
      <c r="K479" t="n">
        <v>0</v>
      </c>
      <c r="L479" t="n">
        <v>0</v>
      </c>
      <c r="M479" t="n">
        <v>0</v>
      </c>
      <c r="N479" t="n">
        <v>0</v>
      </c>
      <c r="O479" t="n">
        <v>0</v>
      </c>
      <c r="P479" t="n">
        <v>0</v>
      </c>
      <c r="Q479" t="n">
        <v>0</v>
      </c>
      <c r="R479" s="2" t="inlineStr"/>
    </row>
    <row r="480" ht="15" customHeight="1">
      <c r="A480" t="inlineStr">
        <is>
          <t>A 23750-2026</t>
        </is>
      </c>
      <c r="B480" s="1" t="n">
        <v>46164.53189814815</v>
      </c>
      <c r="C480" s="1" t="n">
        <v>46188</v>
      </c>
      <c r="D480" t="inlineStr">
        <is>
          <t>JÄMTLANDS LÄN</t>
        </is>
      </c>
      <c r="E480" t="inlineStr">
        <is>
          <t>ÖSTERSUND</t>
        </is>
      </c>
      <c r="F480" t="inlineStr">
        <is>
          <t>SCA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23760-2026</t>
        </is>
      </c>
      <c r="B481" s="1" t="n">
        <v>46164.55305555555</v>
      </c>
      <c r="C481" s="1" t="n">
        <v>46188</v>
      </c>
      <c r="D481" t="inlineStr">
        <is>
          <t>JÄMTLANDS LÄN</t>
        </is>
      </c>
      <c r="E481" t="inlineStr">
        <is>
          <t>ÖSTERSUND</t>
        </is>
      </c>
      <c r="F481" t="inlineStr">
        <is>
          <t>SCA</t>
        </is>
      </c>
      <c r="G481" t="n">
        <v>14.2</v>
      </c>
      <c r="H481" t="n">
        <v>0</v>
      </c>
      <c r="I481" t="n">
        <v>0</v>
      </c>
      <c r="J481" t="n">
        <v>0</v>
      </c>
      <c r="K481" t="n">
        <v>0</v>
      </c>
      <c r="L481" t="n">
        <v>0</v>
      </c>
      <c r="M481" t="n">
        <v>0</v>
      </c>
      <c r="N481" t="n">
        <v>0</v>
      </c>
      <c r="O481" t="n">
        <v>0</v>
      </c>
      <c r="P481" t="n">
        <v>0</v>
      </c>
      <c r="Q481" t="n">
        <v>0</v>
      </c>
      <c r="R481" s="2" t="inlineStr"/>
    </row>
    <row r="482" ht="15" customHeight="1">
      <c r="A482" t="inlineStr">
        <is>
          <t>A 16970-2026</t>
        </is>
      </c>
      <c r="B482" s="1" t="n">
        <v>46114</v>
      </c>
      <c r="C482" s="1" t="n">
        <v>46188</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37085-2025</t>
        </is>
      </c>
      <c r="B483" s="1" t="n">
        <v>45875.44840277778</v>
      </c>
      <c r="C483" s="1" t="n">
        <v>46188</v>
      </c>
      <c r="D483" t="inlineStr">
        <is>
          <t>JÄMTLANDS LÄN</t>
        </is>
      </c>
      <c r="E483" t="inlineStr">
        <is>
          <t>ÖSTERSUND</t>
        </is>
      </c>
      <c r="G483" t="n">
        <v>5.5</v>
      </c>
      <c r="H483" t="n">
        <v>0</v>
      </c>
      <c r="I483" t="n">
        <v>0</v>
      </c>
      <c r="J483" t="n">
        <v>0</v>
      </c>
      <c r="K483" t="n">
        <v>0</v>
      </c>
      <c r="L483" t="n">
        <v>0</v>
      </c>
      <c r="M483" t="n">
        <v>0</v>
      </c>
      <c r="N483" t="n">
        <v>0</v>
      </c>
      <c r="O483" t="n">
        <v>0</v>
      </c>
      <c r="P483" t="n">
        <v>0</v>
      </c>
      <c r="Q483" t="n">
        <v>0</v>
      </c>
      <c r="R483" s="2" t="inlineStr"/>
    </row>
    <row r="484" ht="15" customHeight="1">
      <c r="A484" t="inlineStr">
        <is>
          <t>A 4500-2025</t>
        </is>
      </c>
      <c r="B484" s="1" t="n">
        <v>45686.6859375</v>
      </c>
      <c r="C484" s="1" t="n">
        <v>46188</v>
      </c>
      <c r="D484" t="inlineStr">
        <is>
          <t>JÄMTLANDS LÄN</t>
        </is>
      </c>
      <c r="E484" t="inlineStr">
        <is>
          <t>ÖSTERSUND</t>
        </is>
      </c>
      <c r="G484" t="n">
        <v>28.4</v>
      </c>
      <c r="H484" t="n">
        <v>0</v>
      </c>
      <c r="I484" t="n">
        <v>0</v>
      </c>
      <c r="J484" t="n">
        <v>0</v>
      </c>
      <c r="K484" t="n">
        <v>0</v>
      </c>
      <c r="L484" t="n">
        <v>0</v>
      </c>
      <c r="M484" t="n">
        <v>0</v>
      </c>
      <c r="N484" t="n">
        <v>0</v>
      </c>
      <c r="O484" t="n">
        <v>0</v>
      </c>
      <c r="P484" t="n">
        <v>0</v>
      </c>
      <c r="Q484" t="n">
        <v>0</v>
      </c>
      <c r="R484" s="2" t="inlineStr"/>
    </row>
    <row r="485" ht="15" customHeight="1">
      <c r="A485" t="inlineStr">
        <is>
          <t>A 23685-2026</t>
        </is>
      </c>
      <c r="B485" s="1" t="n">
        <v>46164.40667824074</v>
      </c>
      <c r="C485" s="1" t="n">
        <v>46188</v>
      </c>
      <c r="D485" t="inlineStr">
        <is>
          <t>JÄMTLANDS LÄN</t>
        </is>
      </c>
      <c r="E485" t="inlineStr">
        <is>
          <t>ÖSTERSUND</t>
        </is>
      </c>
      <c r="G485" t="n">
        <v>7.4</v>
      </c>
      <c r="H485" t="n">
        <v>0</v>
      </c>
      <c r="I485" t="n">
        <v>0</v>
      </c>
      <c r="J485" t="n">
        <v>0</v>
      </c>
      <c r="K485" t="n">
        <v>0</v>
      </c>
      <c r="L485" t="n">
        <v>0</v>
      </c>
      <c r="M485" t="n">
        <v>0</v>
      </c>
      <c r="N485" t="n">
        <v>0</v>
      </c>
      <c r="O485" t="n">
        <v>0</v>
      </c>
      <c r="P485" t="n">
        <v>0</v>
      </c>
      <c r="Q485" t="n">
        <v>0</v>
      </c>
      <c r="R485" s="2" t="inlineStr"/>
    </row>
    <row r="486" ht="15" customHeight="1">
      <c r="A486" t="inlineStr">
        <is>
          <t>A 23761-2026</t>
        </is>
      </c>
      <c r="B486" s="1" t="n">
        <v>46164.55322916667</v>
      </c>
      <c r="C486" s="1" t="n">
        <v>46188</v>
      </c>
      <c r="D486" t="inlineStr">
        <is>
          <t>JÄMTLANDS LÄN</t>
        </is>
      </c>
      <c r="E486" t="inlineStr">
        <is>
          <t>ÖSTERSUND</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23762-2026</t>
        </is>
      </c>
      <c r="B487" s="1" t="n">
        <v>46164.55339120371</v>
      </c>
      <c r="C487" s="1" t="n">
        <v>46188</v>
      </c>
      <c r="D487" t="inlineStr">
        <is>
          <t>JÄMTLANDS LÄN</t>
        </is>
      </c>
      <c r="E487" t="inlineStr">
        <is>
          <t>ÖSTERSUND</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4135-2023</t>
        </is>
      </c>
      <c r="B488" s="1" t="n">
        <v>44952</v>
      </c>
      <c r="C488" s="1" t="n">
        <v>46188</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23638-2026</t>
        </is>
      </c>
      <c r="B489" s="1" t="n">
        <v>46164.00969907407</v>
      </c>
      <c r="C489" s="1" t="n">
        <v>46188</v>
      </c>
      <c r="D489" t="inlineStr">
        <is>
          <t>JÄMTLANDS LÄN</t>
        </is>
      </c>
      <c r="E489" t="inlineStr">
        <is>
          <t>ÖSTERSUND</t>
        </is>
      </c>
      <c r="G489" t="n">
        <v>4.4</v>
      </c>
      <c r="H489" t="n">
        <v>0</v>
      </c>
      <c r="I489" t="n">
        <v>0</v>
      </c>
      <c r="J489" t="n">
        <v>0</v>
      </c>
      <c r="K489" t="n">
        <v>0</v>
      </c>
      <c r="L489" t="n">
        <v>0</v>
      </c>
      <c r="M489" t="n">
        <v>0</v>
      </c>
      <c r="N489" t="n">
        <v>0</v>
      </c>
      <c r="O489" t="n">
        <v>0</v>
      </c>
      <c r="P489" t="n">
        <v>0</v>
      </c>
      <c r="Q489" t="n">
        <v>0</v>
      </c>
      <c r="R489" s="2" t="inlineStr"/>
    </row>
    <row r="490" ht="15" customHeight="1">
      <c r="A490" t="inlineStr">
        <is>
          <t>A 23798-2026</t>
        </is>
      </c>
      <c r="B490" s="1" t="n">
        <v>46164.61526620371</v>
      </c>
      <c r="C490" s="1" t="n">
        <v>46188</v>
      </c>
      <c r="D490" t="inlineStr">
        <is>
          <t>JÄMTLANDS LÄN</t>
        </is>
      </c>
      <c r="E490" t="inlineStr">
        <is>
          <t>ÖSTERSUND</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23758-2026</t>
        </is>
      </c>
      <c r="B491" s="1" t="n">
        <v>46164.55263888889</v>
      </c>
      <c r="C491" s="1" t="n">
        <v>46188</v>
      </c>
      <c r="D491" t="inlineStr">
        <is>
          <t>JÄMTLANDS LÄN</t>
        </is>
      </c>
      <c r="E491" t="inlineStr">
        <is>
          <t>ÖSTERSUND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23759-2026</t>
        </is>
      </c>
      <c r="B492" s="1" t="n">
        <v>46164.55282407408</v>
      </c>
      <c r="C492" s="1" t="n">
        <v>46188</v>
      </c>
      <c r="D492" t="inlineStr">
        <is>
          <t>JÄMTLANDS LÄN</t>
        </is>
      </c>
      <c r="E492" t="inlineStr">
        <is>
          <t>ÖSTERSUND</t>
        </is>
      </c>
      <c r="F492" t="inlineStr">
        <is>
          <t>SCA</t>
        </is>
      </c>
      <c r="G492" t="n">
        <v>19.1</v>
      </c>
      <c r="H492" t="n">
        <v>0</v>
      </c>
      <c r="I492" t="n">
        <v>0</v>
      </c>
      <c r="J492" t="n">
        <v>0</v>
      </c>
      <c r="K492" t="n">
        <v>0</v>
      </c>
      <c r="L492" t="n">
        <v>0</v>
      </c>
      <c r="M492" t="n">
        <v>0</v>
      </c>
      <c r="N492" t="n">
        <v>0</v>
      </c>
      <c r="O492" t="n">
        <v>0</v>
      </c>
      <c r="P492" t="n">
        <v>0</v>
      </c>
      <c r="Q492" t="n">
        <v>0</v>
      </c>
      <c r="R492" s="2" t="inlineStr"/>
    </row>
    <row r="493" ht="15" customHeight="1">
      <c r="A493" t="inlineStr">
        <is>
          <t>A 17560-2026</t>
        </is>
      </c>
      <c r="B493" s="1" t="n">
        <v>46120.9177662037</v>
      </c>
      <c r="C493" s="1" t="n">
        <v>46188</v>
      </c>
      <c r="D493" t="inlineStr">
        <is>
          <t>JÄMTLANDS LÄN</t>
        </is>
      </c>
      <c r="E493" t="inlineStr">
        <is>
          <t>ÖSTERSUND</t>
        </is>
      </c>
      <c r="G493" t="n">
        <v>3.9</v>
      </c>
      <c r="H493" t="n">
        <v>0</v>
      </c>
      <c r="I493" t="n">
        <v>0</v>
      </c>
      <c r="J493" t="n">
        <v>0</v>
      </c>
      <c r="K493" t="n">
        <v>0</v>
      </c>
      <c r="L493" t="n">
        <v>0</v>
      </c>
      <c r="M493" t="n">
        <v>0</v>
      </c>
      <c r="N493" t="n">
        <v>0</v>
      </c>
      <c r="O493" t="n">
        <v>0</v>
      </c>
      <c r="P493" t="n">
        <v>0</v>
      </c>
      <c r="Q493" t="n">
        <v>0</v>
      </c>
      <c r="R493" s="2" t="inlineStr"/>
    </row>
    <row r="494" ht="15" customHeight="1">
      <c r="A494" t="inlineStr">
        <is>
          <t>A 23460-2026</t>
        </is>
      </c>
      <c r="B494" s="1" t="n">
        <v>46163.40333333334</v>
      </c>
      <c r="C494" s="1" t="n">
        <v>46188</v>
      </c>
      <c r="D494" t="inlineStr">
        <is>
          <t>JÄMTLANDS LÄN</t>
        </is>
      </c>
      <c r="E494" t="inlineStr">
        <is>
          <t>ÖSTERSUND</t>
        </is>
      </c>
      <c r="G494" t="n">
        <v>4.7</v>
      </c>
      <c r="H494" t="n">
        <v>0</v>
      </c>
      <c r="I494" t="n">
        <v>0</v>
      </c>
      <c r="J494" t="n">
        <v>0</v>
      </c>
      <c r="K494" t="n">
        <v>0</v>
      </c>
      <c r="L494" t="n">
        <v>0</v>
      </c>
      <c r="M494" t="n">
        <v>0</v>
      </c>
      <c r="N494" t="n">
        <v>0</v>
      </c>
      <c r="O494" t="n">
        <v>0</v>
      </c>
      <c r="P494" t="n">
        <v>0</v>
      </c>
      <c r="Q494" t="n">
        <v>0</v>
      </c>
      <c r="R494" s="2" t="inlineStr"/>
    </row>
    <row r="495" ht="15" customHeight="1">
      <c r="A495" t="inlineStr">
        <is>
          <t>A 23484-2026</t>
        </is>
      </c>
      <c r="B495" s="1" t="n">
        <v>46163.42837962963</v>
      </c>
      <c r="C495" s="1" t="n">
        <v>46188</v>
      </c>
      <c r="D495" t="inlineStr">
        <is>
          <t>JÄMTLANDS LÄN</t>
        </is>
      </c>
      <c r="E495" t="inlineStr">
        <is>
          <t>ÖSTERSUND</t>
        </is>
      </c>
      <c r="G495" t="n">
        <v>6.8</v>
      </c>
      <c r="H495" t="n">
        <v>0</v>
      </c>
      <c r="I495" t="n">
        <v>0</v>
      </c>
      <c r="J495" t="n">
        <v>0</v>
      </c>
      <c r="K495" t="n">
        <v>0</v>
      </c>
      <c r="L495" t="n">
        <v>0</v>
      </c>
      <c r="M495" t="n">
        <v>0</v>
      </c>
      <c r="N495" t="n">
        <v>0</v>
      </c>
      <c r="O495" t="n">
        <v>0</v>
      </c>
      <c r="P495" t="n">
        <v>0</v>
      </c>
      <c r="Q495" t="n">
        <v>0</v>
      </c>
      <c r="R495" s="2" t="inlineStr"/>
    </row>
    <row r="496" ht="15" customHeight="1">
      <c r="A496" t="inlineStr">
        <is>
          <t>A 23610-2026</t>
        </is>
      </c>
      <c r="B496" s="1" t="n">
        <v>46163.66012731481</v>
      </c>
      <c r="C496" s="1" t="n">
        <v>46188</v>
      </c>
      <c r="D496" t="inlineStr">
        <is>
          <t>JÄMTLANDS LÄN</t>
        </is>
      </c>
      <c r="E496" t="inlineStr">
        <is>
          <t>ÖSTERSUND</t>
        </is>
      </c>
      <c r="G496" t="n">
        <v>7.8</v>
      </c>
      <c r="H496" t="n">
        <v>0</v>
      </c>
      <c r="I496" t="n">
        <v>0</v>
      </c>
      <c r="J496" t="n">
        <v>0</v>
      </c>
      <c r="K496" t="n">
        <v>0</v>
      </c>
      <c r="L496" t="n">
        <v>0</v>
      </c>
      <c r="M496" t="n">
        <v>0</v>
      </c>
      <c r="N496" t="n">
        <v>0</v>
      </c>
      <c r="O496" t="n">
        <v>0</v>
      </c>
      <c r="P496" t="n">
        <v>0</v>
      </c>
      <c r="Q496" t="n">
        <v>0</v>
      </c>
      <c r="R496" s="2" t="inlineStr"/>
    </row>
    <row r="497" ht="15" customHeight="1">
      <c r="A497" t="inlineStr">
        <is>
          <t>A 42151-2023</t>
        </is>
      </c>
      <c r="B497" s="1" t="n">
        <v>45177.93612268518</v>
      </c>
      <c r="C497" s="1" t="n">
        <v>46188</v>
      </c>
      <c r="D497" t="inlineStr">
        <is>
          <t>JÄMTLANDS LÄN</t>
        </is>
      </c>
      <c r="E497" t="inlineStr">
        <is>
          <t>ÖSTERSUND</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18065-2026</t>
        </is>
      </c>
      <c r="B498" s="1" t="n">
        <v>46125.47256944444</v>
      </c>
      <c r="C498" s="1" t="n">
        <v>46188</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59648-2022</t>
        </is>
      </c>
      <c r="B499" s="1" t="n">
        <v>44907</v>
      </c>
      <c r="C499" s="1" t="n">
        <v>46188</v>
      </c>
      <c r="D499" t="inlineStr">
        <is>
          <t>JÄMTLANDS LÄN</t>
        </is>
      </c>
      <c r="E499" t="inlineStr">
        <is>
          <t>ÖSTERSUND</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46188</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18410-2026</t>
        </is>
      </c>
      <c r="B501" s="1" t="n">
        <v>46126.69918981481</v>
      </c>
      <c r="C501" s="1" t="n">
        <v>46188</v>
      </c>
      <c r="D501" t="inlineStr">
        <is>
          <t>JÄMTLANDS LÄN</t>
        </is>
      </c>
      <c r="E501" t="inlineStr">
        <is>
          <t>ÖSTERSUND</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17972-2026</t>
        </is>
      </c>
      <c r="B502" s="1" t="n">
        <v>46123.52755787037</v>
      </c>
      <c r="C502" s="1" t="n">
        <v>46188</v>
      </c>
      <c r="D502" t="inlineStr">
        <is>
          <t>JÄMTLANDS LÄN</t>
        </is>
      </c>
      <c r="E502" t="inlineStr">
        <is>
          <t>ÖSTERSUND</t>
        </is>
      </c>
      <c r="G502" t="n">
        <v>6.3</v>
      </c>
      <c r="H502" t="n">
        <v>0</v>
      </c>
      <c r="I502" t="n">
        <v>0</v>
      </c>
      <c r="J502" t="n">
        <v>0</v>
      </c>
      <c r="K502" t="n">
        <v>0</v>
      </c>
      <c r="L502" t="n">
        <v>0</v>
      </c>
      <c r="M502" t="n">
        <v>0</v>
      </c>
      <c r="N502" t="n">
        <v>0</v>
      </c>
      <c r="O502" t="n">
        <v>0</v>
      </c>
      <c r="P502" t="n">
        <v>0</v>
      </c>
      <c r="Q502" t="n">
        <v>0</v>
      </c>
      <c r="R502" s="2" t="inlineStr"/>
    </row>
    <row r="503" ht="15" customHeight="1">
      <c r="A503" t="inlineStr">
        <is>
          <t>A 17973-2026</t>
        </is>
      </c>
      <c r="B503" s="1" t="n">
        <v>46123.52899305556</v>
      </c>
      <c r="C503" s="1" t="n">
        <v>46188</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18411-2026</t>
        </is>
      </c>
      <c r="B504" s="1" t="n">
        <v>46126.69944444444</v>
      </c>
      <c r="C504" s="1" t="n">
        <v>46188</v>
      </c>
      <c r="D504" t="inlineStr">
        <is>
          <t>JÄMTLANDS LÄN</t>
        </is>
      </c>
      <c r="E504" t="inlineStr">
        <is>
          <t>ÖSTERSUND</t>
        </is>
      </c>
      <c r="F504" t="inlineStr">
        <is>
          <t>SCA</t>
        </is>
      </c>
      <c r="G504" t="n">
        <v>9.4</v>
      </c>
      <c r="H504" t="n">
        <v>0</v>
      </c>
      <c r="I504" t="n">
        <v>0</v>
      </c>
      <c r="J504" t="n">
        <v>0</v>
      </c>
      <c r="K504" t="n">
        <v>0</v>
      </c>
      <c r="L504" t="n">
        <v>0</v>
      </c>
      <c r="M504" t="n">
        <v>0</v>
      </c>
      <c r="N504" t="n">
        <v>0</v>
      </c>
      <c r="O504" t="n">
        <v>0</v>
      </c>
      <c r="P504" t="n">
        <v>0</v>
      </c>
      <c r="Q504" t="n">
        <v>0</v>
      </c>
      <c r="R504" s="2" t="inlineStr"/>
    </row>
    <row r="505" ht="15" customHeight="1">
      <c r="A505" t="inlineStr">
        <is>
          <t>A 44489-2024</t>
        </is>
      </c>
      <c r="B505" s="1" t="n">
        <v>45574.38943287037</v>
      </c>
      <c r="C505" s="1" t="n">
        <v>46188</v>
      </c>
      <c r="D505" t="inlineStr">
        <is>
          <t>JÄMTLANDS LÄN</t>
        </is>
      </c>
      <c r="E505" t="inlineStr">
        <is>
          <t>ÖSTERSUND</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7549-2025</t>
        </is>
      </c>
      <c r="B506" s="1" t="n">
        <v>45705.57454861111</v>
      </c>
      <c r="C506" s="1" t="n">
        <v>46188</v>
      </c>
      <c r="D506" t="inlineStr">
        <is>
          <t>JÄMTLANDS LÄN</t>
        </is>
      </c>
      <c r="E506" t="inlineStr">
        <is>
          <t>ÖSTERSUND</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18802-2026</t>
        </is>
      </c>
      <c r="B507" s="1" t="n">
        <v>46128.62255787037</v>
      </c>
      <c r="C507" s="1" t="n">
        <v>46188</v>
      </c>
      <c r="D507" t="inlineStr">
        <is>
          <t>JÄMTLANDS LÄN</t>
        </is>
      </c>
      <c r="E507" t="inlineStr">
        <is>
          <t>ÖSTERSUND</t>
        </is>
      </c>
      <c r="G507" t="n">
        <v>3.4</v>
      </c>
      <c r="H507" t="n">
        <v>0</v>
      </c>
      <c r="I507" t="n">
        <v>0</v>
      </c>
      <c r="J507" t="n">
        <v>0</v>
      </c>
      <c r="K507" t="n">
        <v>0</v>
      </c>
      <c r="L507" t="n">
        <v>0</v>
      </c>
      <c r="M507" t="n">
        <v>0</v>
      </c>
      <c r="N507" t="n">
        <v>0</v>
      </c>
      <c r="O507" t="n">
        <v>0</v>
      </c>
      <c r="P507" t="n">
        <v>0</v>
      </c>
      <c r="Q507" t="n">
        <v>0</v>
      </c>
      <c r="R507" s="2" t="inlineStr"/>
    </row>
    <row r="508" ht="15" customHeight="1">
      <c r="A508" t="inlineStr">
        <is>
          <t>A 14523-2023</t>
        </is>
      </c>
      <c r="B508" s="1" t="n">
        <v>45012</v>
      </c>
      <c r="C508" s="1" t="n">
        <v>46188</v>
      </c>
      <c r="D508" t="inlineStr">
        <is>
          <t>JÄMTLANDS LÄN</t>
        </is>
      </c>
      <c r="E508" t="inlineStr">
        <is>
          <t>ÖSTERSUND</t>
        </is>
      </c>
      <c r="G508" t="n">
        <v>4.5</v>
      </c>
      <c r="H508" t="n">
        <v>0</v>
      </c>
      <c r="I508" t="n">
        <v>0</v>
      </c>
      <c r="J508" t="n">
        <v>0</v>
      </c>
      <c r="K508" t="n">
        <v>0</v>
      </c>
      <c r="L508" t="n">
        <v>0</v>
      </c>
      <c r="M508" t="n">
        <v>0</v>
      </c>
      <c r="N508" t="n">
        <v>0</v>
      </c>
      <c r="O508" t="n">
        <v>0</v>
      </c>
      <c r="P508" t="n">
        <v>0</v>
      </c>
      <c r="Q508" t="n">
        <v>0</v>
      </c>
      <c r="R508" s="2" t="inlineStr"/>
    </row>
    <row r="509" ht="15" customHeight="1">
      <c r="A509" t="inlineStr">
        <is>
          <t>A 1159-2024</t>
        </is>
      </c>
      <c r="B509" s="1" t="n">
        <v>45302.52006944444</v>
      </c>
      <c r="C509" s="1" t="n">
        <v>46188</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18700-2026</t>
        </is>
      </c>
      <c r="B510" s="1" t="n">
        <v>46128.42762731481</v>
      </c>
      <c r="C510" s="1" t="n">
        <v>46188</v>
      </c>
      <c r="D510" t="inlineStr">
        <is>
          <t>JÄMTLANDS LÄN</t>
        </is>
      </c>
      <c r="E510" t="inlineStr">
        <is>
          <t>ÖSTERSUND</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15669-2025</t>
        </is>
      </c>
      <c r="B511" s="1" t="n">
        <v>45748.4396412037</v>
      </c>
      <c r="C511" s="1" t="n">
        <v>46188</v>
      </c>
      <c r="D511" t="inlineStr">
        <is>
          <t>JÄMTLANDS LÄN</t>
        </is>
      </c>
      <c r="E511" t="inlineStr">
        <is>
          <t>ÖSTERSUND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3122-2025</t>
        </is>
      </c>
      <c r="B512" s="1" t="n">
        <v>45678</v>
      </c>
      <c r="C512" s="1" t="n">
        <v>46188</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60575-2022</t>
        </is>
      </c>
      <c r="B513" s="1" t="n">
        <v>44911.5662037037</v>
      </c>
      <c r="C513" s="1" t="n">
        <v>46188</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19468-2026</t>
        </is>
      </c>
      <c r="B514" s="1" t="n">
        <v>46133.69840277778</v>
      </c>
      <c r="C514" s="1" t="n">
        <v>46188</v>
      </c>
      <c r="D514" t="inlineStr">
        <is>
          <t>JÄMTLANDS LÄN</t>
        </is>
      </c>
      <c r="E514" t="inlineStr">
        <is>
          <t>ÖSTERSUND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23555-2022</t>
        </is>
      </c>
      <c r="B515" s="1" t="n">
        <v>44721</v>
      </c>
      <c r="C515" s="1" t="n">
        <v>46188</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54237-2024</t>
        </is>
      </c>
      <c r="B516" s="1" t="n">
        <v>45616.67833333334</v>
      </c>
      <c r="C516" s="1" t="n">
        <v>46188</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296-2023</t>
        </is>
      </c>
      <c r="B517" s="1" t="n">
        <v>44922</v>
      </c>
      <c r="C517" s="1" t="n">
        <v>46188</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17732-2022</t>
        </is>
      </c>
      <c r="B518" s="1" t="n">
        <v>44680.92873842592</v>
      </c>
      <c r="C518" s="1" t="n">
        <v>46188</v>
      </c>
      <c r="D518" t="inlineStr">
        <is>
          <t>JÄMTLANDS LÄN</t>
        </is>
      </c>
      <c r="E518" t="inlineStr">
        <is>
          <t>ÖSTERSUND</t>
        </is>
      </c>
      <c r="G518" t="n">
        <v>5.4</v>
      </c>
      <c r="H518" t="n">
        <v>0</v>
      </c>
      <c r="I518" t="n">
        <v>0</v>
      </c>
      <c r="J518" t="n">
        <v>0</v>
      </c>
      <c r="K518" t="n">
        <v>0</v>
      </c>
      <c r="L518" t="n">
        <v>0</v>
      </c>
      <c r="M518" t="n">
        <v>0</v>
      </c>
      <c r="N518" t="n">
        <v>0</v>
      </c>
      <c r="O518" t="n">
        <v>0</v>
      </c>
      <c r="P518" t="n">
        <v>0</v>
      </c>
      <c r="Q518" t="n">
        <v>0</v>
      </c>
      <c r="R518" s="2" t="inlineStr"/>
    </row>
    <row r="519" ht="15" customHeight="1">
      <c r="A519" t="inlineStr">
        <is>
          <t>A 19149-2026</t>
        </is>
      </c>
      <c r="B519" s="1" t="n">
        <v>46132.53385416666</v>
      </c>
      <c r="C519" s="1" t="n">
        <v>46188</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19162-2026</t>
        </is>
      </c>
      <c r="B520" s="1" t="n">
        <v>46132.56658564815</v>
      </c>
      <c r="C520" s="1" t="n">
        <v>46188</v>
      </c>
      <c r="D520" t="inlineStr">
        <is>
          <t>JÄMTLANDS LÄN</t>
        </is>
      </c>
      <c r="E520" t="inlineStr">
        <is>
          <t>ÖSTERSUND</t>
        </is>
      </c>
      <c r="G520" t="n">
        <v>3.3</v>
      </c>
      <c r="H520" t="n">
        <v>0</v>
      </c>
      <c r="I520" t="n">
        <v>0</v>
      </c>
      <c r="J520" t="n">
        <v>0</v>
      </c>
      <c r="K520" t="n">
        <v>0</v>
      </c>
      <c r="L520" t="n">
        <v>0</v>
      </c>
      <c r="M520" t="n">
        <v>0</v>
      </c>
      <c r="N520" t="n">
        <v>0</v>
      </c>
      <c r="O520" t="n">
        <v>0</v>
      </c>
      <c r="P520" t="n">
        <v>0</v>
      </c>
      <c r="Q520" t="n">
        <v>0</v>
      </c>
      <c r="R520" s="2" t="inlineStr"/>
    </row>
    <row r="521" ht="15" customHeight="1">
      <c r="A521" t="inlineStr">
        <is>
          <t>A 25242-2026</t>
        </is>
      </c>
      <c r="B521" s="1" t="n">
        <v>46175.67773148148</v>
      </c>
      <c r="C521" s="1" t="n">
        <v>46188</v>
      </c>
      <c r="D521" t="inlineStr">
        <is>
          <t>JÄMTLANDS LÄN</t>
        </is>
      </c>
      <c r="E521" t="inlineStr">
        <is>
          <t>ÖSTERSUND</t>
        </is>
      </c>
      <c r="F521" t="inlineStr">
        <is>
          <t>SCA</t>
        </is>
      </c>
      <c r="G521" t="n">
        <v>7.6</v>
      </c>
      <c r="H521" t="n">
        <v>0</v>
      </c>
      <c r="I521" t="n">
        <v>0</v>
      </c>
      <c r="J521" t="n">
        <v>0</v>
      </c>
      <c r="K521" t="n">
        <v>0</v>
      </c>
      <c r="L521" t="n">
        <v>0</v>
      </c>
      <c r="M521" t="n">
        <v>0</v>
      </c>
      <c r="N521" t="n">
        <v>0</v>
      </c>
      <c r="O521" t="n">
        <v>0</v>
      </c>
      <c r="P521" t="n">
        <v>0</v>
      </c>
      <c r="Q521" t="n">
        <v>0</v>
      </c>
      <c r="R521" s="2" t="inlineStr"/>
    </row>
    <row r="522" ht="15" customHeight="1">
      <c r="A522" t="inlineStr">
        <is>
          <t>A 31040-2021</t>
        </is>
      </c>
      <c r="B522" s="1" t="n">
        <v>44368</v>
      </c>
      <c r="C522" s="1" t="n">
        <v>46188</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55678-2023</t>
        </is>
      </c>
      <c r="B523" s="1" t="n">
        <v>45239.33032407407</v>
      </c>
      <c r="C523" s="1" t="n">
        <v>46188</v>
      </c>
      <c r="D523" t="inlineStr">
        <is>
          <t>JÄMTLANDS LÄN</t>
        </is>
      </c>
      <c r="E523" t="inlineStr">
        <is>
          <t>ÖSTERSUND</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25604-2026</t>
        </is>
      </c>
      <c r="B524" s="1" t="n">
        <v>46177.65371527777</v>
      </c>
      <c r="C524" s="1" t="n">
        <v>46188</v>
      </c>
      <c r="D524" t="inlineStr">
        <is>
          <t>JÄMTLANDS LÄN</t>
        </is>
      </c>
      <c r="E524" t="inlineStr">
        <is>
          <t>ÖSTERSUND</t>
        </is>
      </c>
      <c r="G524" t="n">
        <v>2.2</v>
      </c>
      <c r="H524" t="n">
        <v>0</v>
      </c>
      <c r="I524" t="n">
        <v>0</v>
      </c>
      <c r="J524" t="n">
        <v>0</v>
      </c>
      <c r="K524" t="n">
        <v>0</v>
      </c>
      <c r="L524" t="n">
        <v>0</v>
      </c>
      <c r="M524" t="n">
        <v>0</v>
      </c>
      <c r="N524" t="n">
        <v>0</v>
      </c>
      <c r="O524" t="n">
        <v>0</v>
      </c>
      <c r="P524" t="n">
        <v>0</v>
      </c>
      <c r="Q524" t="n">
        <v>0</v>
      </c>
      <c r="R524" s="2" t="inlineStr"/>
    </row>
    <row r="525" ht="15" customHeight="1">
      <c r="A525" t="inlineStr">
        <is>
          <t>A 19789-2026</t>
        </is>
      </c>
      <c r="B525" s="1" t="n">
        <v>46135.48503472222</v>
      </c>
      <c r="C525" s="1" t="n">
        <v>46188</v>
      </c>
      <c r="D525" t="inlineStr">
        <is>
          <t>JÄMTLANDS LÄN</t>
        </is>
      </c>
      <c r="E525" t="inlineStr">
        <is>
          <t>ÖSTERSUND</t>
        </is>
      </c>
      <c r="G525" t="n">
        <v>2.7</v>
      </c>
      <c r="H525" t="n">
        <v>0</v>
      </c>
      <c r="I525" t="n">
        <v>0</v>
      </c>
      <c r="J525" t="n">
        <v>0</v>
      </c>
      <c r="K525" t="n">
        <v>0</v>
      </c>
      <c r="L525" t="n">
        <v>0</v>
      </c>
      <c r="M525" t="n">
        <v>0</v>
      </c>
      <c r="N525" t="n">
        <v>0</v>
      </c>
      <c r="O525" t="n">
        <v>0</v>
      </c>
      <c r="P525" t="n">
        <v>0</v>
      </c>
      <c r="Q525" t="n">
        <v>0</v>
      </c>
      <c r="R525" s="2" t="inlineStr"/>
    </row>
    <row r="526" ht="15" customHeight="1">
      <c r="A526" t="inlineStr">
        <is>
          <t>A 19872-2026</t>
        </is>
      </c>
      <c r="B526" s="1" t="n">
        <v>46135.65623842592</v>
      </c>
      <c r="C526" s="1" t="n">
        <v>46188</v>
      </c>
      <c r="D526" t="inlineStr">
        <is>
          <t>JÄMTLANDS LÄN</t>
        </is>
      </c>
      <c r="E526" t="inlineStr">
        <is>
          <t>ÖSTERSUND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19881-2026</t>
        </is>
      </c>
      <c r="B527" s="1" t="n">
        <v>46135.66619212963</v>
      </c>
      <c r="C527" s="1" t="n">
        <v>46188</v>
      </c>
      <c r="D527" t="inlineStr">
        <is>
          <t>JÄMTLANDS LÄN</t>
        </is>
      </c>
      <c r="E527" t="inlineStr">
        <is>
          <t>ÖSTERSUND</t>
        </is>
      </c>
      <c r="G527" t="n">
        <v>3.4</v>
      </c>
      <c r="H527" t="n">
        <v>0</v>
      </c>
      <c r="I527" t="n">
        <v>0</v>
      </c>
      <c r="J527" t="n">
        <v>0</v>
      </c>
      <c r="K527" t="n">
        <v>0</v>
      </c>
      <c r="L527" t="n">
        <v>0</v>
      </c>
      <c r="M527" t="n">
        <v>0</v>
      </c>
      <c r="N527" t="n">
        <v>0</v>
      </c>
      <c r="O527" t="n">
        <v>0</v>
      </c>
      <c r="P527" t="n">
        <v>0</v>
      </c>
      <c r="Q527" t="n">
        <v>0</v>
      </c>
      <c r="R527" s="2" t="inlineStr"/>
    </row>
    <row r="528" ht="15" customHeight="1">
      <c r="A528" t="inlineStr">
        <is>
          <t>A 41280-2024</t>
        </is>
      </c>
      <c r="B528" s="1" t="n">
        <v>45559.59476851852</v>
      </c>
      <c r="C528" s="1" t="n">
        <v>46188</v>
      </c>
      <c r="D528" t="inlineStr">
        <is>
          <t>JÄMTLANDS LÄN</t>
        </is>
      </c>
      <c r="E528" t="inlineStr">
        <is>
          <t>ÖSTERSUND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56847-2024</t>
        </is>
      </c>
      <c r="B529" s="1" t="n">
        <v>45628.53381944444</v>
      </c>
      <c r="C529" s="1" t="n">
        <v>46188</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19323-2024</t>
        </is>
      </c>
      <c r="B530" s="1" t="n">
        <v>45428.92486111111</v>
      </c>
      <c r="C530" s="1" t="n">
        <v>46188</v>
      </c>
      <c r="D530" t="inlineStr">
        <is>
          <t>JÄMTLANDS LÄN</t>
        </is>
      </c>
      <c r="E530" t="inlineStr">
        <is>
          <t>ÖSTERSUND</t>
        </is>
      </c>
      <c r="F530" t="inlineStr">
        <is>
          <t>Kommuner</t>
        </is>
      </c>
      <c r="G530" t="n">
        <v>0.2</v>
      </c>
      <c r="H530" t="n">
        <v>0</v>
      </c>
      <c r="I530" t="n">
        <v>0</v>
      </c>
      <c r="J530" t="n">
        <v>0</v>
      </c>
      <c r="K530" t="n">
        <v>0</v>
      </c>
      <c r="L530" t="n">
        <v>0</v>
      </c>
      <c r="M530" t="n">
        <v>0</v>
      </c>
      <c r="N530" t="n">
        <v>0</v>
      </c>
      <c r="O530" t="n">
        <v>0</v>
      </c>
      <c r="P530" t="n">
        <v>0</v>
      </c>
      <c r="Q530" t="n">
        <v>0</v>
      </c>
      <c r="R530" s="2" t="inlineStr"/>
    </row>
    <row r="531" ht="15" customHeight="1">
      <c r="A531" t="inlineStr">
        <is>
          <t>A 7005-2025</t>
        </is>
      </c>
      <c r="B531" s="1" t="n">
        <v>45701.60046296296</v>
      </c>
      <c r="C531" s="1" t="n">
        <v>46188</v>
      </c>
      <c r="D531" t="inlineStr">
        <is>
          <t>JÄMTLANDS LÄN</t>
        </is>
      </c>
      <c r="E531" t="inlineStr">
        <is>
          <t>ÖSTERSUND</t>
        </is>
      </c>
      <c r="G531" t="n">
        <v>3.3</v>
      </c>
      <c r="H531" t="n">
        <v>0</v>
      </c>
      <c r="I531" t="n">
        <v>0</v>
      </c>
      <c r="J531" t="n">
        <v>0</v>
      </c>
      <c r="K531" t="n">
        <v>0</v>
      </c>
      <c r="L531" t="n">
        <v>0</v>
      </c>
      <c r="M531" t="n">
        <v>0</v>
      </c>
      <c r="N531" t="n">
        <v>0</v>
      </c>
      <c r="O531" t="n">
        <v>0</v>
      </c>
      <c r="P531" t="n">
        <v>0</v>
      </c>
      <c r="Q531" t="n">
        <v>0</v>
      </c>
      <c r="R531" s="2" t="inlineStr"/>
    </row>
    <row r="532" ht="15" customHeight="1">
      <c r="A532" t="inlineStr">
        <is>
          <t>A 27294-2023</t>
        </is>
      </c>
      <c r="B532" s="1" t="n">
        <v>45092</v>
      </c>
      <c r="C532" s="1" t="n">
        <v>46188</v>
      </c>
      <c r="D532" t="inlineStr">
        <is>
          <t>JÄMTLANDS LÄN</t>
        </is>
      </c>
      <c r="E532" t="inlineStr">
        <is>
          <t>ÖSTERSUND</t>
        </is>
      </c>
      <c r="G532" t="n">
        <v>2.8</v>
      </c>
      <c r="H532" t="n">
        <v>0</v>
      </c>
      <c r="I532" t="n">
        <v>0</v>
      </c>
      <c r="J532" t="n">
        <v>0</v>
      </c>
      <c r="K532" t="n">
        <v>0</v>
      </c>
      <c r="L532" t="n">
        <v>0</v>
      </c>
      <c r="M532" t="n">
        <v>0</v>
      </c>
      <c r="N532" t="n">
        <v>0</v>
      </c>
      <c r="O532" t="n">
        <v>0</v>
      </c>
      <c r="P532" t="n">
        <v>0</v>
      </c>
      <c r="Q532" t="n">
        <v>0</v>
      </c>
      <c r="R532" s="2" t="inlineStr"/>
    </row>
    <row r="533" ht="15" customHeight="1">
      <c r="A533" t="inlineStr">
        <is>
          <t>A 8389-2025</t>
        </is>
      </c>
      <c r="B533" s="1" t="n">
        <v>45709.36497685185</v>
      </c>
      <c r="C533" s="1" t="n">
        <v>46188</v>
      </c>
      <c r="D533" t="inlineStr">
        <is>
          <t>JÄMTLANDS LÄN</t>
        </is>
      </c>
      <c r="E533" t="inlineStr">
        <is>
          <t>ÖSTERSUND</t>
        </is>
      </c>
      <c r="F533" t="inlineStr">
        <is>
          <t>SCA</t>
        </is>
      </c>
      <c r="G533" t="n">
        <v>6.3</v>
      </c>
      <c r="H533" t="n">
        <v>0</v>
      </c>
      <c r="I533" t="n">
        <v>0</v>
      </c>
      <c r="J533" t="n">
        <v>0</v>
      </c>
      <c r="K533" t="n">
        <v>0</v>
      </c>
      <c r="L533" t="n">
        <v>0</v>
      </c>
      <c r="M533" t="n">
        <v>0</v>
      </c>
      <c r="N533" t="n">
        <v>0</v>
      </c>
      <c r="O533" t="n">
        <v>0</v>
      </c>
      <c r="P533" t="n">
        <v>0</v>
      </c>
      <c r="Q533" t="n">
        <v>0</v>
      </c>
      <c r="R533" s="2" t="inlineStr"/>
    </row>
    <row r="534" ht="15" customHeight="1">
      <c r="A534" t="inlineStr">
        <is>
          <t>A 61267-2025</t>
        </is>
      </c>
      <c r="B534" s="1" t="n">
        <v>46000.67793981481</v>
      </c>
      <c r="C534" s="1" t="n">
        <v>46188</v>
      </c>
      <c r="D534" t="inlineStr">
        <is>
          <t>JÄMTLANDS LÄN</t>
        </is>
      </c>
      <c r="E534" t="inlineStr">
        <is>
          <t>ÖSTERSUND</t>
        </is>
      </c>
      <c r="G534" t="n">
        <v>3.6</v>
      </c>
      <c r="H534" t="n">
        <v>0</v>
      </c>
      <c r="I534" t="n">
        <v>0</v>
      </c>
      <c r="J534" t="n">
        <v>0</v>
      </c>
      <c r="K534" t="n">
        <v>0</v>
      </c>
      <c r="L534" t="n">
        <v>0</v>
      </c>
      <c r="M534" t="n">
        <v>0</v>
      </c>
      <c r="N534" t="n">
        <v>0</v>
      </c>
      <c r="O534" t="n">
        <v>0</v>
      </c>
      <c r="P534" t="n">
        <v>0</v>
      </c>
      <c r="Q534" t="n">
        <v>0</v>
      </c>
      <c r="R534" s="2" t="inlineStr"/>
    </row>
    <row r="535" ht="15" customHeight="1">
      <c r="A535" t="inlineStr">
        <is>
          <t>A 53378-2023</t>
        </is>
      </c>
      <c r="B535" s="1" t="n">
        <v>45223</v>
      </c>
      <c r="C535" s="1" t="n">
        <v>46188</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721-2026</t>
        </is>
      </c>
      <c r="B536" s="1" t="n">
        <v>46029</v>
      </c>
      <c r="C536" s="1" t="n">
        <v>46188</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19914-2026</t>
        </is>
      </c>
      <c r="B537" s="1" t="n">
        <v>46136.34454861111</v>
      </c>
      <c r="C537" s="1" t="n">
        <v>46188</v>
      </c>
      <c r="D537" t="inlineStr">
        <is>
          <t>JÄMTLANDS LÄN</t>
        </is>
      </c>
      <c r="E537" t="inlineStr">
        <is>
          <t>ÖSTERSUND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19581-2025</t>
        </is>
      </c>
      <c r="B538" s="1" t="n">
        <v>45770.56363425926</v>
      </c>
      <c r="C538" s="1" t="n">
        <v>46188</v>
      </c>
      <c r="D538" t="inlineStr">
        <is>
          <t>JÄMTLANDS LÄN</t>
        </is>
      </c>
      <c r="E538" t="inlineStr">
        <is>
          <t>ÖSTERSUND</t>
        </is>
      </c>
      <c r="G538" t="n">
        <v>17.2</v>
      </c>
      <c r="H538" t="n">
        <v>0</v>
      </c>
      <c r="I538" t="n">
        <v>0</v>
      </c>
      <c r="J538" t="n">
        <v>0</v>
      </c>
      <c r="K538" t="n">
        <v>0</v>
      </c>
      <c r="L538" t="n">
        <v>0</v>
      </c>
      <c r="M538" t="n">
        <v>0</v>
      </c>
      <c r="N538" t="n">
        <v>0</v>
      </c>
      <c r="O538" t="n">
        <v>0</v>
      </c>
      <c r="P538" t="n">
        <v>0</v>
      </c>
      <c r="Q538" t="n">
        <v>0</v>
      </c>
      <c r="R538" s="2" t="inlineStr"/>
    </row>
    <row r="539" ht="15" customHeight="1">
      <c r="A539" t="inlineStr">
        <is>
          <t>A 38926-2024</t>
        </is>
      </c>
      <c r="B539" s="1" t="n">
        <v>45547.90777777778</v>
      </c>
      <c r="C539" s="1" t="n">
        <v>46188</v>
      </c>
      <c r="D539" t="inlineStr">
        <is>
          <t>JÄMTLANDS LÄN</t>
        </is>
      </c>
      <c r="E539" t="inlineStr">
        <is>
          <t>ÖSTERSUND</t>
        </is>
      </c>
      <c r="G539" t="n">
        <v>0.4</v>
      </c>
      <c r="H539" t="n">
        <v>0</v>
      </c>
      <c r="I539" t="n">
        <v>0</v>
      </c>
      <c r="J539" t="n">
        <v>0</v>
      </c>
      <c r="K539" t="n">
        <v>0</v>
      </c>
      <c r="L539" t="n">
        <v>0</v>
      </c>
      <c r="M539" t="n">
        <v>0</v>
      </c>
      <c r="N539" t="n">
        <v>0</v>
      </c>
      <c r="O539" t="n">
        <v>0</v>
      </c>
      <c r="P539" t="n">
        <v>0</v>
      </c>
      <c r="Q539" t="n">
        <v>0</v>
      </c>
      <c r="R539" s="2" t="inlineStr"/>
    </row>
    <row r="540" ht="15" customHeight="1">
      <c r="A540" t="inlineStr">
        <is>
          <t>A 2986-2026</t>
        </is>
      </c>
      <c r="B540" s="1" t="n">
        <v>46038.6322337963</v>
      </c>
      <c r="C540" s="1" t="n">
        <v>46188</v>
      </c>
      <c r="D540" t="inlineStr">
        <is>
          <t>JÄMTLANDS LÄN</t>
        </is>
      </c>
      <c r="E540" t="inlineStr">
        <is>
          <t>ÖSTERSUND</t>
        </is>
      </c>
      <c r="G540" t="n">
        <v>8.6</v>
      </c>
      <c r="H540" t="n">
        <v>0</v>
      </c>
      <c r="I540" t="n">
        <v>0</v>
      </c>
      <c r="J540" t="n">
        <v>0</v>
      </c>
      <c r="K540" t="n">
        <v>0</v>
      </c>
      <c r="L540" t="n">
        <v>0</v>
      </c>
      <c r="M540" t="n">
        <v>0</v>
      </c>
      <c r="N540" t="n">
        <v>0</v>
      </c>
      <c r="O540" t="n">
        <v>0</v>
      </c>
      <c r="P540" t="n">
        <v>0</v>
      </c>
      <c r="Q540" t="n">
        <v>0</v>
      </c>
      <c r="R540" s="2" t="inlineStr"/>
    </row>
    <row r="541" ht="15" customHeight="1">
      <c r="A541" t="inlineStr">
        <is>
          <t>A 33779-2024</t>
        </is>
      </c>
      <c r="B541" s="1" t="n">
        <v>45520</v>
      </c>
      <c r="C541" s="1" t="n">
        <v>46188</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41802-2021</t>
        </is>
      </c>
      <c r="B542" s="1" t="n">
        <v>44425</v>
      </c>
      <c r="C542" s="1" t="n">
        <v>46188</v>
      </c>
      <c r="D542" t="inlineStr">
        <is>
          <t>JÄMTLANDS LÄN</t>
        </is>
      </c>
      <c r="E542" t="inlineStr">
        <is>
          <t>ÖSTERSUND</t>
        </is>
      </c>
      <c r="G542" t="n">
        <v>1.7</v>
      </c>
      <c r="H542" t="n">
        <v>0</v>
      </c>
      <c r="I542" t="n">
        <v>0</v>
      </c>
      <c r="J542" t="n">
        <v>0</v>
      </c>
      <c r="K542" t="n">
        <v>0</v>
      </c>
      <c r="L542" t="n">
        <v>0</v>
      </c>
      <c r="M542" t="n">
        <v>0</v>
      </c>
      <c r="N542" t="n">
        <v>0</v>
      </c>
      <c r="O542" t="n">
        <v>0</v>
      </c>
      <c r="P542" t="n">
        <v>0</v>
      </c>
      <c r="Q542" t="n">
        <v>0</v>
      </c>
      <c r="R542" s="2" t="inlineStr"/>
    </row>
    <row r="543" ht="15" customHeight="1">
      <c r="A543" t="inlineStr">
        <is>
          <t>A 7224-2024</t>
        </is>
      </c>
      <c r="B543" s="1" t="n">
        <v>45344</v>
      </c>
      <c r="C543" s="1" t="n">
        <v>46188</v>
      </c>
      <c r="D543" t="inlineStr">
        <is>
          <t>JÄMTLANDS LÄN</t>
        </is>
      </c>
      <c r="E543" t="inlineStr">
        <is>
          <t>ÖSTERSUND</t>
        </is>
      </c>
      <c r="G543" t="n">
        <v>2.9</v>
      </c>
      <c r="H543" t="n">
        <v>0</v>
      </c>
      <c r="I543" t="n">
        <v>0</v>
      </c>
      <c r="J543" t="n">
        <v>0</v>
      </c>
      <c r="K543" t="n">
        <v>0</v>
      </c>
      <c r="L543" t="n">
        <v>0</v>
      </c>
      <c r="M543" t="n">
        <v>0</v>
      </c>
      <c r="N543" t="n">
        <v>0</v>
      </c>
      <c r="O543" t="n">
        <v>0</v>
      </c>
      <c r="P543" t="n">
        <v>0</v>
      </c>
      <c r="Q543" t="n">
        <v>0</v>
      </c>
      <c r="R543" s="2" t="inlineStr"/>
    </row>
    <row r="544" ht="15" customHeight="1">
      <c r="A544" t="inlineStr">
        <is>
          <t>A 20375-2026</t>
        </is>
      </c>
      <c r="B544" s="1" t="n">
        <v>46139.67946759259</v>
      </c>
      <c r="C544" s="1" t="n">
        <v>46188</v>
      </c>
      <c r="D544" t="inlineStr">
        <is>
          <t>JÄMTLANDS LÄN</t>
        </is>
      </c>
      <c r="E544" t="inlineStr">
        <is>
          <t>ÖSTERSUND</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52913-2021</t>
        </is>
      </c>
      <c r="B545" s="1" t="n">
        <v>44466</v>
      </c>
      <c r="C545" s="1" t="n">
        <v>46188</v>
      </c>
      <c r="D545" t="inlineStr">
        <is>
          <t>JÄMTLANDS LÄN</t>
        </is>
      </c>
      <c r="E545" t="inlineStr">
        <is>
          <t>ÖSTERSUND</t>
        </is>
      </c>
      <c r="G545" t="n">
        <v>4.2</v>
      </c>
      <c r="H545" t="n">
        <v>0</v>
      </c>
      <c r="I545" t="n">
        <v>0</v>
      </c>
      <c r="J545" t="n">
        <v>0</v>
      </c>
      <c r="K545" t="n">
        <v>0</v>
      </c>
      <c r="L545" t="n">
        <v>0</v>
      </c>
      <c r="M545" t="n">
        <v>0</v>
      </c>
      <c r="N545" t="n">
        <v>0</v>
      </c>
      <c r="O545" t="n">
        <v>0</v>
      </c>
      <c r="P545" t="n">
        <v>0</v>
      </c>
      <c r="Q545" t="n">
        <v>0</v>
      </c>
      <c r="R545" s="2" t="inlineStr"/>
    </row>
    <row r="546" ht="15" customHeight="1">
      <c r="A546" t="inlineStr">
        <is>
          <t>A 62623-2025</t>
        </is>
      </c>
      <c r="B546" s="1" t="n">
        <v>46008.34443287037</v>
      </c>
      <c r="C546" s="1" t="n">
        <v>46188</v>
      </c>
      <c r="D546" t="inlineStr">
        <is>
          <t>JÄMTLANDS LÄN</t>
        </is>
      </c>
      <c r="E546" t="inlineStr">
        <is>
          <t>ÖSTERSUND</t>
        </is>
      </c>
      <c r="G546" t="n">
        <v>7.9</v>
      </c>
      <c r="H546" t="n">
        <v>0</v>
      </c>
      <c r="I546" t="n">
        <v>0</v>
      </c>
      <c r="J546" t="n">
        <v>0</v>
      </c>
      <c r="K546" t="n">
        <v>0</v>
      </c>
      <c r="L546" t="n">
        <v>0</v>
      </c>
      <c r="M546" t="n">
        <v>0</v>
      </c>
      <c r="N546" t="n">
        <v>0</v>
      </c>
      <c r="O546" t="n">
        <v>0</v>
      </c>
      <c r="P546" t="n">
        <v>0</v>
      </c>
      <c r="Q546" t="n">
        <v>0</v>
      </c>
      <c r="R546" s="2" t="inlineStr"/>
    </row>
    <row r="547" ht="15" customHeight="1">
      <c r="A547" t="inlineStr">
        <is>
          <t>A 47804-2024</t>
        </is>
      </c>
      <c r="B547" s="1" t="n">
        <v>45588.61498842593</v>
      </c>
      <c r="C547" s="1" t="n">
        <v>46188</v>
      </c>
      <c r="D547" t="inlineStr">
        <is>
          <t>JÄMTLANDS LÄN</t>
        </is>
      </c>
      <c r="E547" t="inlineStr">
        <is>
          <t>ÖSTERSUND</t>
        </is>
      </c>
      <c r="F547" t="inlineStr">
        <is>
          <t>SCA</t>
        </is>
      </c>
      <c r="G547" t="n">
        <v>7.3</v>
      </c>
      <c r="H547" t="n">
        <v>0</v>
      </c>
      <c r="I547" t="n">
        <v>0</v>
      </c>
      <c r="J547" t="n">
        <v>0</v>
      </c>
      <c r="K547" t="n">
        <v>0</v>
      </c>
      <c r="L547" t="n">
        <v>0</v>
      </c>
      <c r="M547" t="n">
        <v>0</v>
      </c>
      <c r="N547" t="n">
        <v>0</v>
      </c>
      <c r="O547" t="n">
        <v>0</v>
      </c>
      <c r="P547" t="n">
        <v>0</v>
      </c>
      <c r="Q547" t="n">
        <v>0</v>
      </c>
      <c r="R547" s="2" t="inlineStr"/>
    </row>
    <row r="548" ht="15" customHeight="1">
      <c r="A548" t="inlineStr">
        <is>
          <t>A 50218-2024</t>
        </is>
      </c>
      <c r="B548" s="1" t="n">
        <v>45600.53160879629</v>
      </c>
      <c r="C548" s="1" t="n">
        <v>46188</v>
      </c>
      <c r="D548" t="inlineStr">
        <is>
          <t>JÄMTLANDS LÄN</t>
        </is>
      </c>
      <c r="E548" t="inlineStr">
        <is>
          <t>ÖSTERSUND</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60780-2023</t>
        </is>
      </c>
      <c r="B549" s="1" t="n">
        <v>45260</v>
      </c>
      <c r="C549" s="1" t="n">
        <v>46188</v>
      </c>
      <c r="D549" t="inlineStr">
        <is>
          <t>JÄMTLANDS LÄN</t>
        </is>
      </c>
      <c r="E549" t="inlineStr">
        <is>
          <t>ÖSTERSUND</t>
        </is>
      </c>
      <c r="G549" t="n">
        <v>3.7</v>
      </c>
      <c r="H549" t="n">
        <v>0</v>
      </c>
      <c r="I549" t="n">
        <v>0</v>
      </c>
      <c r="J549" t="n">
        <v>0</v>
      </c>
      <c r="K549" t="n">
        <v>0</v>
      </c>
      <c r="L549" t="n">
        <v>0</v>
      </c>
      <c r="M549" t="n">
        <v>0</v>
      </c>
      <c r="N549" t="n">
        <v>0</v>
      </c>
      <c r="O549" t="n">
        <v>0</v>
      </c>
      <c r="P549" t="n">
        <v>0</v>
      </c>
      <c r="Q549" t="n">
        <v>0</v>
      </c>
      <c r="R549" s="2" t="inlineStr"/>
    </row>
    <row r="550" ht="15" customHeight="1">
      <c r="A550" t="inlineStr">
        <is>
          <t>A 60794-2023</t>
        </is>
      </c>
      <c r="B550" s="1" t="n">
        <v>45260</v>
      </c>
      <c r="C550" s="1" t="n">
        <v>46188</v>
      </c>
      <c r="D550" t="inlineStr">
        <is>
          <t>JÄMTLANDS LÄN</t>
        </is>
      </c>
      <c r="E550" t="inlineStr">
        <is>
          <t>ÖSTERSUND</t>
        </is>
      </c>
      <c r="G550" t="n">
        <v>3.6</v>
      </c>
      <c r="H550" t="n">
        <v>0</v>
      </c>
      <c r="I550" t="n">
        <v>0</v>
      </c>
      <c r="J550" t="n">
        <v>0</v>
      </c>
      <c r="K550" t="n">
        <v>0</v>
      </c>
      <c r="L550" t="n">
        <v>0</v>
      </c>
      <c r="M550" t="n">
        <v>0</v>
      </c>
      <c r="N550" t="n">
        <v>0</v>
      </c>
      <c r="O550" t="n">
        <v>0</v>
      </c>
      <c r="P550" t="n">
        <v>0</v>
      </c>
      <c r="Q550" t="n">
        <v>0</v>
      </c>
      <c r="R550" s="2" t="inlineStr"/>
    </row>
    <row r="551" ht="15" customHeight="1">
      <c r="A551" t="inlineStr">
        <is>
          <t>A 20369-2026</t>
        </is>
      </c>
      <c r="B551" s="1" t="n">
        <v>46139.67851851852</v>
      </c>
      <c r="C551" s="1" t="n">
        <v>46188</v>
      </c>
      <c r="D551" t="inlineStr">
        <is>
          <t>JÄMTLANDS LÄN</t>
        </is>
      </c>
      <c r="E551" t="inlineStr">
        <is>
          <t>ÖSTERSUND</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20174-2026</t>
        </is>
      </c>
      <c r="B552" s="1" t="n">
        <v>46139.3446875</v>
      </c>
      <c r="C552" s="1" t="n">
        <v>46188</v>
      </c>
      <c r="D552" t="inlineStr">
        <is>
          <t>JÄMTLANDS LÄN</t>
        </is>
      </c>
      <c r="E552" t="inlineStr">
        <is>
          <t>ÖSTERSUND</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6067-2025</t>
        </is>
      </c>
      <c r="B553" s="1" t="n">
        <v>45696.34405092592</v>
      </c>
      <c r="C553" s="1" t="n">
        <v>46188</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11877-2024</t>
        </is>
      </c>
      <c r="B554" s="1" t="n">
        <v>45376</v>
      </c>
      <c r="C554" s="1" t="n">
        <v>46188</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53714-2022</t>
        </is>
      </c>
      <c r="B555" s="1" t="n">
        <v>44880</v>
      </c>
      <c r="C555" s="1" t="n">
        <v>46188</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32225-2024</t>
        </is>
      </c>
      <c r="B556" s="1" t="n">
        <v>45511.92825231481</v>
      </c>
      <c r="C556" s="1" t="n">
        <v>46188</v>
      </c>
      <c r="D556" t="inlineStr">
        <is>
          <t>JÄMTLANDS LÄN</t>
        </is>
      </c>
      <c r="E556" t="inlineStr">
        <is>
          <t>ÖSTERSUND</t>
        </is>
      </c>
      <c r="G556" t="n">
        <v>2</v>
      </c>
      <c r="H556" t="n">
        <v>0</v>
      </c>
      <c r="I556" t="n">
        <v>0</v>
      </c>
      <c r="J556" t="n">
        <v>0</v>
      </c>
      <c r="K556" t="n">
        <v>0</v>
      </c>
      <c r="L556" t="n">
        <v>0</v>
      </c>
      <c r="M556" t="n">
        <v>0</v>
      </c>
      <c r="N556" t="n">
        <v>0</v>
      </c>
      <c r="O556" t="n">
        <v>0</v>
      </c>
      <c r="P556" t="n">
        <v>0</v>
      </c>
      <c r="Q556" t="n">
        <v>0</v>
      </c>
      <c r="R556" s="2" t="inlineStr"/>
    </row>
    <row r="557" ht="15" customHeight="1">
      <c r="A557" t="inlineStr">
        <is>
          <t>A 52128-2023</t>
        </is>
      </c>
      <c r="B557" s="1" t="n">
        <v>45223</v>
      </c>
      <c r="C557" s="1" t="n">
        <v>46188</v>
      </c>
      <c r="D557" t="inlineStr">
        <is>
          <t>JÄMTLANDS LÄN</t>
        </is>
      </c>
      <c r="E557" t="inlineStr">
        <is>
          <t>ÖSTERSUND</t>
        </is>
      </c>
      <c r="F557" t="inlineStr">
        <is>
          <t>SCA</t>
        </is>
      </c>
      <c r="G557" t="n">
        <v>11.9</v>
      </c>
      <c r="H557" t="n">
        <v>0</v>
      </c>
      <c r="I557" t="n">
        <v>0</v>
      </c>
      <c r="J557" t="n">
        <v>0</v>
      </c>
      <c r="K557" t="n">
        <v>0</v>
      </c>
      <c r="L557" t="n">
        <v>0</v>
      </c>
      <c r="M557" t="n">
        <v>0</v>
      </c>
      <c r="N557" t="n">
        <v>0</v>
      </c>
      <c r="O557" t="n">
        <v>0</v>
      </c>
      <c r="P557" t="n">
        <v>0</v>
      </c>
      <c r="Q557" t="n">
        <v>0</v>
      </c>
      <c r="R557" s="2" t="inlineStr"/>
    </row>
    <row r="558" ht="15" customHeight="1">
      <c r="A558" t="inlineStr">
        <is>
          <t>A 44013-2021</t>
        </is>
      </c>
      <c r="B558" s="1" t="n">
        <v>44434</v>
      </c>
      <c r="C558" s="1" t="n">
        <v>46188</v>
      </c>
      <c r="D558" t="inlineStr">
        <is>
          <t>JÄMTLANDS LÄN</t>
        </is>
      </c>
      <c r="E558" t="inlineStr">
        <is>
          <t>ÖSTERSUND</t>
        </is>
      </c>
      <c r="G558" t="n">
        <v>1.9</v>
      </c>
      <c r="H558" t="n">
        <v>0</v>
      </c>
      <c r="I558" t="n">
        <v>0</v>
      </c>
      <c r="J558" t="n">
        <v>0</v>
      </c>
      <c r="K558" t="n">
        <v>0</v>
      </c>
      <c r="L558" t="n">
        <v>0</v>
      </c>
      <c r="M558" t="n">
        <v>0</v>
      </c>
      <c r="N558" t="n">
        <v>0</v>
      </c>
      <c r="O558" t="n">
        <v>0</v>
      </c>
      <c r="P558" t="n">
        <v>0</v>
      </c>
      <c r="Q558" t="n">
        <v>0</v>
      </c>
      <c r="R558" s="2" t="inlineStr"/>
    </row>
    <row r="559" ht="15" customHeight="1">
      <c r="A559" t="inlineStr">
        <is>
          <t>A 8003-2025</t>
        </is>
      </c>
      <c r="B559" s="1" t="n">
        <v>45707</v>
      </c>
      <c r="C559" s="1" t="n">
        <v>46188</v>
      </c>
      <c r="D559" t="inlineStr">
        <is>
          <t>JÄMTLANDS LÄN</t>
        </is>
      </c>
      <c r="E559" t="inlineStr">
        <is>
          <t>ÖSTERSUND</t>
        </is>
      </c>
      <c r="F559" t="inlineStr">
        <is>
          <t>Övriga Aktiebolag</t>
        </is>
      </c>
      <c r="G559" t="n">
        <v>35.1</v>
      </c>
      <c r="H559" t="n">
        <v>0</v>
      </c>
      <c r="I559" t="n">
        <v>0</v>
      </c>
      <c r="J559" t="n">
        <v>0</v>
      </c>
      <c r="K559" t="n">
        <v>0</v>
      </c>
      <c r="L559" t="n">
        <v>0</v>
      </c>
      <c r="M559" t="n">
        <v>0</v>
      </c>
      <c r="N559" t="n">
        <v>0</v>
      </c>
      <c r="O559" t="n">
        <v>0</v>
      </c>
      <c r="P559" t="n">
        <v>0</v>
      </c>
      <c r="Q559" t="n">
        <v>0</v>
      </c>
      <c r="R559" s="2" t="inlineStr"/>
    </row>
    <row r="560" ht="15" customHeight="1">
      <c r="A560" t="inlineStr">
        <is>
          <t>A 32368-2025</t>
        </is>
      </c>
      <c r="B560" s="1" t="n">
        <v>45837.66230324074</v>
      </c>
      <c r="C560" s="1" t="n">
        <v>46188</v>
      </c>
      <c r="D560" t="inlineStr">
        <is>
          <t>JÄMTLANDS LÄN</t>
        </is>
      </c>
      <c r="E560" t="inlineStr">
        <is>
          <t>ÖSTERSUND</t>
        </is>
      </c>
      <c r="F560" t="inlineStr">
        <is>
          <t>Övriga Aktiebolag</t>
        </is>
      </c>
      <c r="G560" t="n">
        <v>19.5</v>
      </c>
      <c r="H560" t="n">
        <v>0</v>
      </c>
      <c r="I560" t="n">
        <v>0</v>
      </c>
      <c r="J560" t="n">
        <v>0</v>
      </c>
      <c r="K560" t="n">
        <v>0</v>
      </c>
      <c r="L560" t="n">
        <v>0</v>
      </c>
      <c r="M560" t="n">
        <v>0</v>
      </c>
      <c r="N560" t="n">
        <v>0</v>
      </c>
      <c r="O560" t="n">
        <v>0</v>
      </c>
      <c r="P560" t="n">
        <v>0</v>
      </c>
      <c r="Q560" t="n">
        <v>0</v>
      </c>
      <c r="R560" s="2" t="inlineStr"/>
    </row>
    <row r="561" ht="15" customHeight="1">
      <c r="A561" t="inlineStr">
        <is>
          <t>A 12285-2022</t>
        </is>
      </c>
      <c r="B561" s="1" t="n">
        <v>44637</v>
      </c>
      <c r="C561" s="1" t="n">
        <v>46188</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25385-2024</t>
        </is>
      </c>
      <c r="B562" s="1" t="n">
        <v>45462.96347222223</v>
      </c>
      <c r="C562" s="1" t="n">
        <v>46188</v>
      </c>
      <c r="D562" t="inlineStr">
        <is>
          <t>JÄMTLANDS LÄN</t>
        </is>
      </c>
      <c r="E562" t="inlineStr">
        <is>
          <t>ÖSTERSUND</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8027-2022</t>
        </is>
      </c>
      <c r="B563" s="1" t="n">
        <v>44609</v>
      </c>
      <c r="C563" s="1" t="n">
        <v>46188</v>
      </c>
      <c r="D563" t="inlineStr">
        <is>
          <t>JÄMTLANDS LÄN</t>
        </is>
      </c>
      <c r="E563" t="inlineStr">
        <is>
          <t>ÖSTERSUND</t>
        </is>
      </c>
      <c r="G563" t="n">
        <v>1.6</v>
      </c>
      <c r="H563" t="n">
        <v>0</v>
      </c>
      <c r="I563" t="n">
        <v>0</v>
      </c>
      <c r="J563" t="n">
        <v>0</v>
      </c>
      <c r="K563" t="n">
        <v>0</v>
      </c>
      <c r="L563" t="n">
        <v>0</v>
      </c>
      <c r="M563" t="n">
        <v>0</v>
      </c>
      <c r="N563" t="n">
        <v>0</v>
      </c>
      <c r="O563" t="n">
        <v>0</v>
      </c>
      <c r="P563" t="n">
        <v>0</v>
      </c>
      <c r="Q563" t="n">
        <v>0</v>
      </c>
      <c r="R563" s="2" t="inlineStr"/>
    </row>
    <row r="564" ht="15" customHeight="1">
      <c r="A564" t="inlineStr">
        <is>
          <t>A 52003-2025</t>
        </is>
      </c>
      <c r="B564" s="1" t="n">
        <v>45952.5909375</v>
      </c>
      <c r="C564" s="1" t="n">
        <v>46188</v>
      </c>
      <c r="D564" t="inlineStr">
        <is>
          <t>JÄMTLANDS LÄN</t>
        </is>
      </c>
      <c r="E564" t="inlineStr">
        <is>
          <t>ÖSTERSUND</t>
        </is>
      </c>
      <c r="G564" t="n">
        <v>5.7</v>
      </c>
      <c r="H564" t="n">
        <v>0</v>
      </c>
      <c r="I564" t="n">
        <v>0</v>
      </c>
      <c r="J564" t="n">
        <v>0</v>
      </c>
      <c r="K564" t="n">
        <v>0</v>
      </c>
      <c r="L564" t="n">
        <v>0</v>
      </c>
      <c r="M564" t="n">
        <v>0</v>
      </c>
      <c r="N564" t="n">
        <v>0</v>
      </c>
      <c r="O564" t="n">
        <v>0</v>
      </c>
      <c r="P564" t="n">
        <v>0</v>
      </c>
      <c r="Q564" t="n">
        <v>0</v>
      </c>
      <c r="R564" s="2" t="inlineStr"/>
    </row>
    <row r="565" ht="15" customHeight="1">
      <c r="A565" t="inlineStr">
        <is>
          <t>A 11933-2022</t>
        </is>
      </c>
      <c r="B565" s="1" t="n">
        <v>44635</v>
      </c>
      <c r="C565" s="1" t="n">
        <v>46188</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20504-2026</t>
        </is>
      </c>
      <c r="B566" s="1" t="n">
        <v>46140.53193287037</v>
      </c>
      <c r="C566" s="1" t="n">
        <v>46188</v>
      </c>
      <c r="D566" t="inlineStr">
        <is>
          <t>JÄMTLANDS LÄN</t>
        </is>
      </c>
      <c r="E566" t="inlineStr">
        <is>
          <t>ÖSTERSUND</t>
        </is>
      </c>
      <c r="F566" t="inlineStr">
        <is>
          <t>SCA</t>
        </is>
      </c>
      <c r="G566" t="n">
        <v>21.3</v>
      </c>
      <c r="H566" t="n">
        <v>0</v>
      </c>
      <c r="I566" t="n">
        <v>0</v>
      </c>
      <c r="J566" t="n">
        <v>0</v>
      </c>
      <c r="K566" t="n">
        <v>0</v>
      </c>
      <c r="L566" t="n">
        <v>0</v>
      </c>
      <c r="M566" t="n">
        <v>0</v>
      </c>
      <c r="N566" t="n">
        <v>0</v>
      </c>
      <c r="O566" t="n">
        <v>0</v>
      </c>
      <c r="P566" t="n">
        <v>0</v>
      </c>
      <c r="Q566" t="n">
        <v>0</v>
      </c>
      <c r="R566" s="2" t="inlineStr"/>
    </row>
    <row r="567" ht="15" customHeight="1">
      <c r="A567" t="inlineStr">
        <is>
          <t>A 33808-2022</t>
        </is>
      </c>
      <c r="B567" s="1" t="n">
        <v>44790</v>
      </c>
      <c r="C567" s="1" t="n">
        <v>46188</v>
      </c>
      <c r="D567" t="inlineStr">
        <is>
          <t>JÄMTLANDS LÄN</t>
        </is>
      </c>
      <c r="E567" t="inlineStr">
        <is>
          <t>ÖSTERSUND</t>
        </is>
      </c>
      <c r="G567" t="n">
        <v>4.1</v>
      </c>
      <c r="H567" t="n">
        <v>0</v>
      </c>
      <c r="I567" t="n">
        <v>0</v>
      </c>
      <c r="J567" t="n">
        <v>0</v>
      </c>
      <c r="K567" t="n">
        <v>0</v>
      </c>
      <c r="L567" t="n">
        <v>0</v>
      </c>
      <c r="M567" t="n">
        <v>0</v>
      </c>
      <c r="N567" t="n">
        <v>0</v>
      </c>
      <c r="O567" t="n">
        <v>0</v>
      </c>
      <c r="P567" t="n">
        <v>0</v>
      </c>
      <c r="Q567" t="n">
        <v>0</v>
      </c>
      <c r="R567" s="2" t="inlineStr"/>
    </row>
    <row r="568" ht="15" customHeight="1">
      <c r="A568" t="inlineStr">
        <is>
          <t>A 2753-2025</t>
        </is>
      </c>
      <c r="B568" s="1" t="n">
        <v>45677.47302083333</v>
      </c>
      <c r="C568" s="1" t="n">
        <v>46188</v>
      </c>
      <c r="D568" t="inlineStr">
        <is>
          <t>JÄMTLANDS LÄN</t>
        </is>
      </c>
      <c r="E568" t="inlineStr">
        <is>
          <t>ÖSTERSUND</t>
        </is>
      </c>
      <c r="G568" t="n">
        <v>6.4</v>
      </c>
      <c r="H568" t="n">
        <v>0</v>
      </c>
      <c r="I568" t="n">
        <v>0</v>
      </c>
      <c r="J568" t="n">
        <v>0</v>
      </c>
      <c r="K568" t="n">
        <v>0</v>
      </c>
      <c r="L568" t="n">
        <v>0</v>
      </c>
      <c r="M568" t="n">
        <v>0</v>
      </c>
      <c r="N568" t="n">
        <v>0</v>
      </c>
      <c r="O568" t="n">
        <v>0</v>
      </c>
      <c r="P568" t="n">
        <v>0</v>
      </c>
      <c r="Q568" t="n">
        <v>0</v>
      </c>
      <c r="R568" s="2" t="inlineStr"/>
    </row>
    <row r="569" ht="15" customHeight="1">
      <c r="A569" t="inlineStr">
        <is>
          <t>A 26570-2026</t>
        </is>
      </c>
      <c r="B569" s="1" t="n">
        <v>46183.66108796297</v>
      </c>
      <c r="C569" s="1" t="n">
        <v>46188</v>
      </c>
      <c r="D569" t="inlineStr">
        <is>
          <t>JÄMTLANDS LÄN</t>
        </is>
      </c>
      <c r="E569" t="inlineStr">
        <is>
          <t>ÖSTERSUND</t>
        </is>
      </c>
      <c r="G569" t="n">
        <v>23.7</v>
      </c>
      <c r="H569" t="n">
        <v>0</v>
      </c>
      <c r="I569" t="n">
        <v>0</v>
      </c>
      <c r="J569" t="n">
        <v>0</v>
      </c>
      <c r="K569" t="n">
        <v>0</v>
      </c>
      <c r="L569" t="n">
        <v>0</v>
      </c>
      <c r="M569" t="n">
        <v>0</v>
      </c>
      <c r="N569" t="n">
        <v>0</v>
      </c>
      <c r="O569" t="n">
        <v>0</v>
      </c>
      <c r="P569" t="n">
        <v>0</v>
      </c>
      <c r="Q569" t="n">
        <v>0</v>
      </c>
      <c r="R569" s="2" t="inlineStr"/>
    </row>
    <row r="570" ht="15" customHeight="1">
      <c r="A570" t="inlineStr">
        <is>
          <t>A 26568-2026</t>
        </is>
      </c>
      <c r="B570" s="1" t="n">
        <v>46183.65695601852</v>
      </c>
      <c r="C570" s="1" t="n">
        <v>46188</v>
      </c>
      <c r="D570" t="inlineStr">
        <is>
          <t>JÄMTLANDS LÄN</t>
        </is>
      </c>
      <c r="E570" t="inlineStr">
        <is>
          <t>ÖSTERSUND</t>
        </is>
      </c>
      <c r="G570" t="n">
        <v>3.5</v>
      </c>
      <c r="H570" t="n">
        <v>0</v>
      </c>
      <c r="I570" t="n">
        <v>0</v>
      </c>
      <c r="J570" t="n">
        <v>0</v>
      </c>
      <c r="K570" t="n">
        <v>0</v>
      </c>
      <c r="L570" t="n">
        <v>0</v>
      </c>
      <c r="M570" t="n">
        <v>0</v>
      </c>
      <c r="N570" t="n">
        <v>0</v>
      </c>
      <c r="O570" t="n">
        <v>0</v>
      </c>
      <c r="P570" t="n">
        <v>0</v>
      </c>
      <c r="Q570" t="n">
        <v>0</v>
      </c>
      <c r="R570" s="2" t="inlineStr"/>
    </row>
    <row r="571" ht="15" customHeight="1">
      <c r="A571" t="inlineStr">
        <is>
          <t>A 36406-2023</t>
        </is>
      </c>
      <c r="B571" s="1" t="n">
        <v>45149</v>
      </c>
      <c r="C571" s="1" t="n">
        <v>46188</v>
      </c>
      <c r="D571" t="inlineStr">
        <is>
          <t>JÄMTLANDS LÄN</t>
        </is>
      </c>
      <c r="E571" t="inlineStr">
        <is>
          <t>ÖSTERSUND</t>
        </is>
      </c>
      <c r="G571" t="n">
        <v>2.4</v>
      </c>
      <c r="H571" t="n">
        <v>0</v>
      </c>
      <c r="I571" t="n">
        <v>0</v>
      </c>
      <c r="J571" t="n">
        <v>0</v>
      </c>
      <c r="K571" t="n">
        <v>0</v>
      </c>
      <c r="L571" t="n">
        <v>0</v>
      </c>
      <c r="M571" t="n">
        <v>0</v>
      </c>
      <c r="N571" t="n">
        <v>0</v>
      </c>
      <c r="O571" t="n">
        <v>0</v>
      </c>
      <c r="P571" t="n">
        <v>0</v>
      </c>
      <c r="Q571" t="n">
        <v>0</v>
      </c>
      <c r="R571" s="2" t="inlineStr"/>
    </row>
    <row r="572" ht="15" customHeight="1">
      <c r="A572" t="inlineStr">
        <is>
          <t>A 20400-2024</t>
        </is>
      </c>
      <c r="B572" s="1" t="n">
        <v>45435.55372685185</v>
      </c>
      <c r="C572" s="1" t="n">
        <v>46188</v>
      </c>
      <c r="D572" t="inlineStr">
        <is>
          <t>JÄMTLANDS LÄN</t>
        </is>
      </c>
      <c r="E572" t="inlineStr">
        <is>
          <t>ÖSTERSUND</t>
        </is>
      </c>
      <c r="G572" t="n">
        <v>0.9</v>
      </c>
      <c r="H572" t="n">
        <v>0</v>
      </c>
      <c r="I572" t="n">
        <v>0</v>
      </c>
      <c r="J572" t="n">
        <v>0</v>
      </c>
      <c r="K572" t="n">
        <v>0</v>
      </c>
      <c r="L572" t="n">
        <v>0</v>
      </c>
      <c r="M572" t="n">
        <v>0</v>
      </c>
      <c r="N572" t="n">
        <v>0</v>
      </c>
      <c r="O572" t="n">
        <v>0</v>
      </c>
      <c r="P572" t="n">
        <v>0</v>
      </c>
      <c r="Q572" t="n">
        <v>0</v>
      </c>
      <c r="R572" s="2" t="inlineStr"/>
    </row>
    <row r="573" ht="15" customHeight="1">
      <c r="A573" t="inlineStr">
        <is>
          <t>A 20588-2023</t>
        </is>
      </c>
      <c r="B573" s="1" t="n">
        <v>45057</v>
      </c>
      <c r="C573" s="1" t="n">
        <v>46188</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27689-2024</t>
        </is>
      </c>
      <c r="B574" s="1" t="n">
        <v>45475.3378125</v>
      </c>
      <c r="C574" s="1" t="n">
        <v>46188</v>
      </c>
      <c r="D574" t="inlineStr">
        <is>
          <t>JÄMTLANDS LÄN</t>
        </is>
      </c>
      <c r="E574" t="inlineStr">
        <is>
          <t>ÖSTERSUND</t>
        </is>
      </c>
      <c r="G574" t="n">
        <v>0.6</v>
      </c>
      <c r="H574" t="n">
        <v>0</v>
      </c>
      <c r="I574" t="n">
        <v>0</v>
      </c>
      <c r="J574" t="n">
        <v>0</v>
      </c>
      <c r="K574" t="n">
        <v>0</v>
      </c>
      <c r="L574" t="n">
        <v>0</v>
      </c>
      <c r="M574" t="n">
        <v>0</v>
      </c>
      <c r="N574" t="n">
        <v>0</v>
      </c>
      <c r="O574" t="n">
        <v>0</v>
      </c>
      <c r="P574" t="n">
        <v>0</v>
      </c>
      <c r="Q574" t="n">
        <v>0</v>
      </c>
      <c r="R574" s="2" t="inlineStr"/>
    </row>
    <row r="575" ht="15" customHeight="1">
      <c r="A575" t="inlineStr">
        <is>
          <t>A 20913-2026</t>
        </is>
      </c>
      <c r="B575" s="1" t="n">
        <v>46142.46935185185</v>
      </c>
      <c r="C575" s="1" t="n">
        <v>46188</v>
      </c>
      <c r="D575" t="inlineStr">
        <is>
          <t>JÄMTLANDS LÄN</t>
        </is>
      </c>
      <c r="E575" t="inlineStr">
        <is>
          <t>ÖSTERSUND</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51479-2023</t>
        </is>
      </c>
      <c r="B576" s="1" t="n">
        <v>45221.92429398148</v>
      </c>
      <c r="C576" s="1" t="n">
        <v>46188</v>
      </c>
      <c r="D576" t="inlineStr">
        <is>
          <t>JÄMTLANDS LÄN</t>
        </is>
      </c>
      <c r="E576" t="inlineStr">
        <is>
          <t>ÖSTERSUND</t>
        </is>
      </c>
      <c r="G576" t="n">
        <v>1.9</v>
      </c>
      <c r="H576" t="n">
        <v>0</v>
      </c>
      <c r="I576" t="n">
        <v>0</v>
      </c>
      <c r="J576" t="n">
        <v>0</v>
      </c>
      <c r="K576" t="n">
        <v>0</v>
      </c>
      <c r="L576" t="n">
        <v>0</v>
      </c>
      <c r="M576" t="n">
        <v>0</v>
      </c>
      <c r="N576" t="n">
        <v>0</v>
      </c>
      <c r="O576" t="n">
        <v>0</v>
      </c>
      <c r="P576" t="n">
        <v>0</v>
      </c>
      <c r="Q576" t="n">
        <v>0</v>
      </c>
      <c r="R576" s="2" t="inlineStr"/>
    </row>
    <row r="577" ht="15" customHeight="1">
      <c r="A577" t="inlineStr">
        <is>
          <t>A 2978-2024</t>
        </is>
      </c>
      <c r="B577" s="1" t="n">
        <v>45315</v>
      </c>
      <c r="C577" s="1" t="n">
        <v>46188</v>
      </c>
      <c r="D577" t="inlineStr">
        <is>
          <t>JÄMTLANDS LÄN</t>
        </is>
      </c>
      <c r="E577" t="inlineStr">
        <is>
          <t>ÖSTERSUND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28181-2024</t>
        </is>
      </c>
      <c r="B578" s="1" t="n">
        <v>45477.28482638889</v>
      </c>
      <c r="C578" s="1" t="n">
        <v>46188</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26782-2026</t>
        </is>
      </c>
      <c r="B579" s="1" t="n">
        <v>46184.69947916667</v>
      </c>
      <c r="C579" s="1" t="n">
        <v>46188</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39493-2023</t>
        </is>
      </c>
      <c r="B580" s="1" t="n">
        <v>45166.9569675926</v>
      </c>
      <c r="C580" s="1" t="n">
        <v>46188</v>
      </c>
      <c r="D580" t="inlineStr">
        <is>
          <t>JÄMTLANDS LÄN</t>
        </is>
      </c>
      <c r="E580" t="inlineStr">
        <is>
          <t>ÖSTERSUND</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54883-2023</t>
        </is>
      </c>
      <c r="B581" s="1" t="n">
        <v>45236.62300925926</v>
      </c>
      <c r="C581" s="1" t="n">
        <v>46188</v>
      </c>
      <c r="D581" t="inlineStr">
        <is>
          <t>JÄMTLANDS LÄN</t>
        </is>
      </c>
      <c r="E581" t="inlineStr">
        <is>
          <t>ÖSTERSUND</t>
        </is>
      </c>
      <c r="F581" t="inlineStr">
        <is>
          <t>Övriga Aktiebolag</t>
        </is>
      </c>
      <c r="G581" t="n">
        <v>3.2</v>
      </c>
      <c r="H581" t="n">
        <v>0</v>
      </c>
      <c r="I581" t="n">
        <v>0</v>
      </c>
      <c r="J581" t="n">
        <v>0</v>
      </c>
      <c r="K581" t="n">
        <v>0</v>
      </c>
      <c r="L581" t="n">
        <v>0</v>
      </c>
      <c r="M581" t="n">
        <v>0</v>
      </c>
      <c r="N581" t="n">
        <v>0</v>
      </c>
      <c r="O581" t="n">
        <v>0</v>
      </c>
      <c r="P581" t="n">
        <v>0</v>
      </c>
      <c r="Q581" t="n">
        <v>0</v>
      </c>
      <c r="R581" s="2" t="inlineStr"/>
    </row>
    <row r="582" ht="15" customHeight="1">
      <c r="A582" t="inlineStr">
        <is>
          <t>A 2730-2025</t>
        </is>
      </c>
      <c r="B582" s="1" t="n">
        <v>45677.44393518518</v>
      </c>
      <c r="C582" s="1" t="n">
        <v>46188</v>
      </c>
      <c r="D582" t="inlineStr">
        <is>
          <t>JÄMTLANDS LÄN</t>
        </is>
      </c>
      <c r="E582" t="inlineStr">
        <is>
          <t>ÖSTERSUND</t>
        </is>
      </c>
      <c r="G582" t="n">
        <v>2.5</v>
      </c>
      <c r="H582" t="n">
        <v>0</v>
      </c>
      <c r="I582" t="n">
        <v>0</v>
      </c>
      <c r="J582" t="n">
        <v>0</v>
      </c>
      <c r="K582" t="n">
        <v>0</v>
      </c>
      <c r="L582" t="n">
        <v>0</v>
      </c>
      <c r="M582" t="n">
        <v>0</v>
      </c>
      <c r="N582" t="n">
        <v>0</v>
      </c>
      <c r="O582" t="n">
        <v>0</v>
      </c>
      <c r="P582" t="n">
        <v>0</v>
      </c>
      <c r="Q582" t="n">
        <v>0</v>
      </c>
      <c r="R582" s="2" t="inlineStr"/>
    </row>
    <row r="583" ht="15" customHeight="1">
      <c r="A583" t="inlineStr">
        <is>
          <t>A 62225-2022</t>
        </is>
      </c>
      <c r="B583" s="1" t="n">
        <v>44922</v>
      </c>
      <c r="C583" s="1" t="n">
        <v>46188</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20634-2023</t>
        </is>
      </c>
      <c r="B584" s="1" t="n">
        <v>45057.9441087963</v>
      </c>
      <c r="C584" s="1" t="n">
        <v>46188</v>
      </c>
      <c r="D584" t="inlineStr">
        <is>
          <t>JÄMTLANDS LÄN</t>
        </is>
      </c>
      <c r="E584" t="inlineStr">
        <is>
          <t>ÖSTERSUND</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10306-2023</t>
        </is>
      </c>
      <c r="B585" s="1" t="n">
        <v>44986.94196759259</v>
      </c>
      <c r="C585" s="1" t="n">
        <v>46188</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26321-2022</t>
        </is>
      </c>
      <c r="B586" s="1" t="n">
        <v>44735</v>
      </c>
      <c r="C586" s="1" t="n">
        <v>46188</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43252-2023</t>
        </is>
      </c>
      <c r="B587" s="1" t="n">
        <v>45183</v>
      </c>
      <c r="C587" s="1" t="n">
        <v>46188</v>
      </c>
      <c r="D587" t="inlineStr">
        <is>
          <t>JÄMTLANDS LÄN</t>
        </is>
      </c>
      <c r="E587" t="inlineStr">
        <is>
          <t>ÖSTERSUND</t>
        </is>
      </c>
      <c r="G587" t="n">
        <v>2.9</v>
      </c>
      <c r="H587" t="n">
        <v>0</v>
      </c>
      <c r="I587" t="n">
        <v>0</v>
      </c>
      <c r="J587" t="n">
        <v>0</v>
      </c>
      <c r="K587" t="n">
        <v>0</v>
      </c>
      <c r="L587" t="n">
        <v>0</v>
      </c>
      <c r="M587" t="n">
        <v>0</v>
      </c>
      <c r="N587" t="n">
        <v>0</v>
      </c>
      <c r="O587" t="n">
        <v>0</v>
      </c>
      <c r="P587" t="n">
        <v>0</v>
      </c>
      <c r="Q587" t="n">
        <v>0</v>
      </c>
      <c r="R587" s="2" t="inlineStr"/>
    </row>
    <row r="588" ht="15" customHeight="1">
      <c r="A588" t="inlineStr">
        <is>
          <t>A 30217-2022</t>
        </is>
      </c>
      <c r="B588" s="1" t="n">
        <v>44757.92671296297</v>
      </c>
      <c r="C588" s="1" t="n">
        <v>46188</v>
      </c>
      <c r="D588" t="inlineStr">
        <is>
          <t>JÄMTLANDS LÄN</t>
        </is>
      </c>
      <c r="E588" t="inlineStr">
        <is>
          <t>ÖSTERSUND</t>
        </is>
      </c>
      <c r="G588" t="n">
        <v>2.9</v>
      </c>
      <c r="H588" t="n">
        <v>0</v>
      </c>
      <c r="I588" t="n">
        <v>0</v>
      </c>
      <c r="J588" t="n">
        <v>0</v>
      </c>
      <c r="K588" t="n">
        <v>0</v>
      </c>
      <c r="L588" t="n">
        <v>0</v>
      </c>
      <c r="M588" t="n">
        <v>0</v>
      </c>
      <c r="N588" t="n">
        <v>0</v>
      </c>
      <c r="O588" t="n">
        <v>0</v>
      </c>
      <c r="P588" t="n">
        <v>0</v>
      </c>
      <c r="Q588" t="n">
        <v>0</v>
      </c>
      <c r="R588" s="2" t="inlineStr"/>
    </row>
    <row r="589" ht="15" customHeight="1">
      <c r="A589" t="inlineStr">
        <is>
          <t>A 55140-2023</t>
        </is>
      </c>
      <c r="B589" s="1" t="n">
        <v>45237.50966435186</v>
      </c>
      <c r="C589" s="1" t="n">
        <v>46188</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54663-2022</t>
        </is>
      </c>
      <c r="B590" s="1" t="n">
        <v>44883.44737268519</v>
      </c>
      <c r="C590" s="1" t="n">
        <v>46188</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11052-2024</t>
        </is>
      </c>
      <c r="B591" s="1" t="n">
        <v>45370</v>
      </c>
      <c r="C591" s="1" t="n">
        <v>46188</v>
      </c>
      <c r="D591" t="inlineStr">
        <is>
          <t>JÄMTLANDS LÄN</t>
        </is>
      </c>
      <c r="E591" t="inlineStr">
        <is>
          <t>ÖSTERSUND</t>
        </is>
      </c>
      <c r="G591" t="n">
        <v>2.3</v>
      </c>
      <c r="H591" t="n">
        <v>0</v>
      </c>
      <c r="I591" t="n">
        <v>0</v>
      </c>
      <c r="J591" t="n">
        <v>0</v>
      </c>
      <c r="K591" t="n">
        <v>0</v>
      </c>
      <c r="L591" t="n">
        <v>0</v>
      </c>
      <c r="M591" t="n">
        <v>0</v>
      </c>
      <c r="N591" t="n">
        <v>0</v>
      </c>
      <c r="O591" t="n">
        <v>0</v>
      </c>
      <c r="P591" t="n">
        <v>0</v>
      </c>
      <c r="Q591" t="n">
        <v>0</v>
      </c>
      <c r="R591" s="2" t="inlineStr"/>
    </row>
    <row r="592" ht="15" customHeight="1">
      <c r="A592" t="inlineStr">
        <is>
          <t>A 37597-2023</t>
        </is>
      </c>
      <c r="B592" s="1" t="n">
        <v>45159.42180555555</v>
      </c>
      <c r="C592" s="1" t="n">
        <v>46188</v>
      </c>
      <c r="D592" t="inlineStr">
        <is>
          <t>JÄMTLANDS LÄN</t>
        </is>
      </c>
      <c r="E592" t="inlineStr">
        <is>
          <t>ÖSTERSUND</t>
        </is>
      </c>
      <c r="G592" t="n">
        <v>4.7</v>
      </c>
      <c r="H592" t="n">
        <v>0</v>
      </c>
      <c r="I592" t="n">
        <v>0</v>
      </c>
      <c r="J592" t="n">
        <v>0</v>
      </c>
      <c r="K592" t="n">
        <v>0</v>
      </c>
      <c r="L592" t="n">
        <v>0</v>
      </c>
      <c r="M592" t="n">
        <v>0</v>
      </c>
      <c r="N592" t="n">
        <v>0</v>
      </c>
      <c r="O592" t="n">
        <v>0</v>
      </c>
      <c r="P592" t="n">
        <v>0</v>
      </c>
      <c r="Q592" t="n">
        <v>0</v>
      </c>
      <c r="R592" s="2" t="inlineStr"/>
    </row>
    <row r="593" ht="15" customHeight="1">
      <c r="A593" t="inlineStr">
        <is>
          <t>A 55365-2024</t>
        </is>
      </c>
      <c r="B593" s="1" t="n">
        <v>45621.86827546296</v>
      </c>
      <c r="C593" s="1" t="n">
        <v>46188</v>
      </c>
      <c r="D593" t="inlineStr">
        <is>
          <t>JÄMTLANDS LÄN</t>
        </is>
      </c>
      <c r="E593" t="inlineStr">
        <is>
          <t>ÖSTERSUND</t>
        </is>
      </c>
      <c r="G593" t="n">
        <v>1.6</v>
      </c>
      <c r="H593" t="n">
        <v>0</v>
      </c>
      <c r="I593" t="n">
        <v>0</v>
      </c>
      <c r="J593" t="n">
        <v>0</v>
      </c>
      <c r="K593" t="n">
        <v>0</v>
      </c>
      <c r="L593" t="n">
        <v>0</v>
      </c>
      <c r="M593" t="n">
        <v>0</v>
      </c>
      <c r="N593" t="n">
        <v>0</v>
      </c>
      <c r="O593" t="n">
        <v>0</v>
      </c>
      <c r="P593" t="n">
        <v>0</v>
      </c>
      <c r="Q593" t="n">
        <v>0</v>
      </c>
      <c r="R593" s="2" t="inlineStr"/>
    </row>
    <row r="594" ht="15" customHeight="1">
      <c r="A594" t="inlineStr">
        <is>
          <t>A 44048-2024</t>
        </is>
      </c>
      <c r="B594" s="1" t="n">
        <v>45572.59430555555</v>
      </c>
      <c r="C594" s="1" t="n">
        <v>46188</v>
      </c>
      <c r="D594" t="inlineStr">
        <is>
          <t>JÄMTLANDS LÄN</t>
        </is>
      </c>
      <c r="E594" t="inlineStr">
        <is>
          <t>ÖSTERSUND</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18429-2025</t>
        </is>
      </c>
      <c r="B595" s="1" t="n">
        <v>45762.63375</v>
      </c>
      <c r="C595" s="1" t="n">
        <v>46188</v>
      </c>
      <c r="D595" t="inlineStr">
        <is>
          <t>JÄMTLANDS LÄN</t>
        </is>
      </c>
      <c r="E595" t="inlineStr">
        <is>
          <t>ÖSTERSUND</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17574-2022</t>
        </is>
      </c>
      <c r="B596" s="1" t="n">
        <v>44679.92574074074</v>
      </c>
      <c r="C596" s="1" t="n">
        <v>46188</v>
      </c>
      <c r="D596" t="inlineStr">
        <is>
          <t>JÄMTLANDS LÄN</t>
        </is>
      </c>
      <c r="E596" t="inlineStr">
        <is>
          <t>ÖSTERSUND</t>
        </is>
      </c>
      <c r="G596" t="n">
        <v>0.8</v>
      </c>
      <c r="H596" t="n">
        <v>0</v>
      </c>
      <c r="I596" t="n">
        <v>0</v>
      </c>
      <c r="J596" t="n">
        <v>0</v>
      </c>
      <c r="K596" t="n">
        <v>0</v>
      </c>
      <c r="L596" t="n">
        <v>0</v>
      </c>
      <c r="M596" t="n">
        <v>0</v>
      </c>
      <c r="N596" t="n">
        <v>0</v>
      </c>
      <c r="O596" t="n">
        <v>0</v>
      </c>
      <c r="P596" t="n">
        <v>0</v>
      </c>
      <c r="Q596" t="n">
        <v>0</v>
      </c>
      <c r="R596" s="2" t="inlineStr"/>
    </row>
    <row r="597" ht="15" customHeight="1">
      <c r="A597" t="inlineStr">
        <is>
          <t>A 32998-2021</t>
        </is>
      </c>
      <c r="B597" s="1" t="n">
        <v>44375</v>
      </c>
      <c r="C597" s="1" t="n">
        <v>46188</v>
      </c>
      <c r="D597" t="inlineStr">
        <is>
          <t>JÄMTLANDS LÄN</t>
        </is>
      </c>
      <c r="E597" t="inlineStr">
        <is>
          <t>ÖSTERSUND</t>
        </is>
      </c>
      <c r="G597" t="n">
        <v>0.1</v>
      </c>
      <c r="H597" t="n">
        <v>0</v>
      </c>
      <c r="I597" t="n">
        <v>0</v>
      </c>
      <c r="J597" t="n">
        <v>0</v>
      </c>
      <c r="K597" t="n">
        <v>0</v>
      </c>
      <c r="L597" t="n">
        <v>0</v>
      </c>
      <c r="M597" t="n">
        <v>0</v>
      </c>
      <c r="N597" t="n">
        <v>0</v>
      </c>
      <c r="O597" t="n">
        <v>0</v>
      </c>
      <c r="P597" t="n">
        <v>0</v>
      </c>
      <c r="Q597" t="n">
        <v>0</v>
      </c>
      <c r="R597" s="2" t="inlineStr"/>
    </row>
    <row r="598" ht="15" customHeight="1">
      <c r="A598" t="inlineStr">
        <is>
          <t>A 51941-2023</t>
        </is>
      </c>
      <c r="B598" s="1" t="n">
        <v>45223</v>
      </c>
      <c r="C598" s="1" t="n">
        <v>46188</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33831-2021</t>
        </is>
      </c>
      <c r="B599" s="1" t="n">
        <v>44378</v>
      </c>
      <c r="C599" s="1" t="n">
        <v>46188</v>
      </c>
      <c r="D599" t="inlineStr">
        <is>
          <t>JÄMTLANDS LÄN</t>
        </is>
      </c>
      <c r="E599" t="inlineStr">
        <is>
          <t>ÖSTERSUND</t>
        </is>
      </c>
      <c r="G599" t="n">
        <v>2.5</v>
      </c>
      <c r="H599" t="n">
        <v>0</v>
      </c>
      <c r="I599" t="n">
        <v>0</v>
      </c>
      <c r="J599" t="n">
        <v>0</v>
      </c>
      <c r="K599" t="n">
        <v>0</v>
      </c>
      <c r="L599" t="n">
        <v>0</v>
      </c>
      <c r="M599" t="n">
        <v>0</v>
      </c>
      <c r="N599" t="n">
        <v>0</v>
      </c>
      <c r="O599" t="n">
        <v>0</v>
      </c>
      <c r="P599" t="n">
        <v>0</v>
      </c>
      <c r="Q599" t="n">
        <v>0</v>
      </c>
      <c r="R599" s="2" t="inlineStr"/>
    </row>
    <row r="600" ht="15" customHeight="1">
      <c r="A600" t="inlineStr">
        <is>
          <t>A 51936-2023</t>
        </is>
      </c>
      <c r="B600" s="1" t="n">
        <v>45223.5036574074</v>
      </c>
      <c r="C600" s="1" t="n">
        <v>46188</v>
      </c>
      <c r="D600" t="inlineStr">
        <is>
          <t>JÄMTLANDS LÄN</t>
        </is>
      </c>
      <c r="E600" t="inlineStr">
        <is>
          <t>ÖSTERSUND</t>
        </is>
      </c>
      <c r="G600" t="n">
        <v>8.4</v>
      </c>
      <c r="H600" t="n">
        <v>0</v>
      </c>
      <c r="I600" t="n">
        <v>0</v>
      </c>
      <c r="J600" t="n">
        <v>0</v>
      </c>
      <c r="K600" t="n">
        <v>0</v>
      </c>
      <c r="L600" t="n">
        <v>0</v>
      </c>
      <c r="M600" t="n">
        <v>0</v>
      </c>
      <c r="N600" t="n">
        <v>0</v>
      </c>
      <c r="O600" t="n">
        <v>0</v>
      </c>
      <c r="P600" t="n">
        <v>0</v>
      </c>
      <c r="Q600" t="n">
        <v>0</v>
      </c>
      <c r="R600" s="2" t="inlineStr"/>
    </row>
    <row r="601" ht="15" customHeight="1">
      <c r="A601" t="inlineStr">
        <is>
          <t>A 54973-2023</t>
        </is>
      </c>
      <c r="B601" s="1" t="n">
        <v>45236.92776620371</v>
      </c>
      <c r="C601" s="1" t="n">
        <v>46188</v>
      </c>
      <c r="D601" t="inlineStr">
        <is>
          <t>JÄMTLANDS LÄN</t>
        </is>
      </c>
      <c r="E601" t="inlineStr">
        <is>
          <t>ÖSTERSUND</t>
        </is>
      </c>
      <c r="G601" t="n">
        <v>15.4</v>
      </c>
      <c r="H601" t="n">
        <v>0</v>
      </c>
      <c r="I601" t="n">
        <v>0</v>
      </c>
      <c r="J601" t="n">
        <v>0</v>
      </c>
      <c r="K601" t="n">
        <v>0</v>
      </c>
      <c r="L601" t="n">
        <v>0</v>
      </c>
      <c r="M601" t="n">
        <v>0</v>
      </c>
      <c r="N601" t="n">
        <v>0</v>
      </c>
      <c r="O601" t="n">
        <v>0</v>
      </c>
      <c r="P601" t="n">
        <v>0</v>
      </c>
      <c r="Q601" t="n">
        <v>0</v>
      </c>
      <c r="R601" s="2" t="inlineStr"/>
    </row>
    <row r="602" ht="15" customHeight="1">
      <c r="A602" t="inlineStr">
        <is>
          <t>A 28179-2024</t>
        </is>
      </c>
      <c r="B602" s="1" t="n">
        <v>45477.26746527778</v>
      </c>
      <c r="C602" s="1" t="n">
        <v>46188</v>
      </c>
      <c r="D602" t="inlineStr">
        <is>
          <t>JÄMTLANDS LÄN</t>
        </is>
      </c>
      <c r="E602" t="inlineStr">
        <is>
          <t>ÖSTERSUND</t>
        </is>
      </c>
      <c r="G602" t="n">
        <v>2.2</v>
      </c>
      <c r="H602" t="n">
        <v>0</v>
      </c>
      <c r="I602" t="n">
        <v>0</v>
      </c>
      <c r="J602" t="n">
        <v>0</v>
      </c>
      <c r="K602" t="n">
        <v>0</v>
      </c>
      <c r="L602" t="n">
        <v>0</v>
      </c>
      <c r="M602" t="n">
        <v>0</v>
      </c>
      <c r="N602" t="n">
        <v>0</v>
      </c>
      <c r="O602" t="n">
        <v>0</v>
      </c>
      <c r="P602" t="n">
        <v>0</v>
      </c>
      <c r="Q602" t="n">
        <v>0</v>
      </c>
      <c r="R602" s="2" t="inlineStr"/>
    </row>
    <row r="603" ht="15" customHeight="1">
      <c r="A603" t="inlineStr">
        <is>
          <t>A 13921-2023</t>
        </is>
      </c>
      <c r="B603" s="1" t="n">
        <v>45008</v>
      </c>
      <c r="C603" s="1" t="n">
        <v>46188</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207-2025</t>
        </is>
      </c>
      <c r="B604" s="1" t="n">
        <v>45660.32672453704</v>
      </c>
      <c r="C604" s="1" t="n">
        <v>46188</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59691-2024</t>
        </is>
      </c>
      <c r="B605" s="1" t="n">
        <v>45639.40684027778</v>
      </c>
      <c r="C605" s="1" t="n">
        <v>46188</v>
      </c>
      <c r="D605" t="inlineStr">
        <is>
          <t>JÄMTLANDS LÄN</t>
        </is>
      </c>
      <c r="E605" t="inlineStr">
        <is>
          <t>ÖSTERSUND</t>
        </is>
      </c>
      <c r="F605" t="inlineStr">
        <is>
          <t>SCA</t>
        </is>
      </c>
      <c r="G605" t="n">
        <v>15.9</v>
      </c>
      <c r="H605" t="n">
        <v>0</v>
      </c>
      <c r="I605" t="n">
        <v>0</v>
      </c>
      <c r="J605" t="n">
        <v>0</v>
      </c>
      <c r="K605" t="n">
        <v>0</v>
      </c>
      <c r="L605" t="n">
        <v>0</v>
      </c>
      <c r="M605" t="n">
        <v>0</v>
      </c>
      <c r="N605" t="n">
        <v>0</v>
      </c>
      <c r="O605" t="n">
        <v>0</v>
      </c>
      <c r="P605" t="n">
        <v>0</v>
      </c>
      <c r="Q605" t="n">
        <v>0</v>
      </c>
      <c r="R605" s="2" t="inlineStr"/>
    </row>
    <row r="606" ht="15" customHeight="1">
      <c r="A606" t="inlineStr">
        <is>
          <t>A 23563-2022</t>
        </is>
      </c>
      <c r="B606" s="1" t="n">
        <v>44721.47241898148</v>
      </c>
      <c r="C606" s="1" t="n">
        <v>46188</v>
      </c>
      <c r="D606" t="inlineStr">
        <is>
          <t>JÄMTLANDS LÄN</t>
        </is>
      </c>
      <c r="E606" t="inlineStr">
        <is>
          <t>ÖSTERSUND</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27118-2023</t>
        </is>
      </c>
      <c r="B607" s="1" t="n">
        <v>45096</v>
      </c>
      <c r="C607" s="1" t="n">
        <v>46188</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8972-2022</t>
        </is>
      </c>
      <c r="B608" s="1" t="n">
        <v>44614.91989583334</v>
      </c>
      <c r="C608" s="1" t="n">
        <v>46188</v>
      </c>
      <c r="D608" t="inlineStr">
        <is>
          <t>JÄMTLANDS LÄN</t>
        </is>
      </c>
      <c r="E608" t="inlineStr">
        <is>
          <t>ÖSTERSUND</t>
        </is>
      </c>
      <c r="G608" t="n">
        <v>0.8</v>
      </c>
      <c r="H608" t="n">
        <v>0</v>
      </c>
      <c r="I608" t="n">
        <v>0</v>
      </c>
      <c r="J608" t="n">
        <v>0</v>
      </c>
      <c r="K608" t="n">
        <v>0</v>
      </c>
      <c r="L608" t="n">
        <v>0</v>
      </c>
      <c r="M608" t="n">
        <v>0</v>
      </c>
      <c r="N608" t="n">
        <v>0</v>
      </c>
      <c r="O608" t="n">
        <v>0</v>
      </c>
      <c r="P608" t="n">
        <v>0</v>
      </c>
      <c r="Q608" t="n">
        <v>0</v>
      </c>
      <c r="R608" s="2" t="inlineStr"/>
    </row>
    <row r="609" ht="15" customHeight="1">
      <c r="A609" t="inlineStr">
        <is>
          <t>A 10305-2023</t>
        </is>
      </c>
      <c r="B609" s="1" t="n">
        <v>44986</v>
      </c>
      <c r="C609" s="1" t="n">
        <v>46188</v>
      </c>
      <c r="D609" t="inlineStr">
        <is>
          <t>JÄMTLANDS LÄN</t>
        </is>
      </c>
      <c r="E609" t="inlineStr">
        <is>
          <t>ÖSTERSUND</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51865-2024</t>
        </is>
      </c>
      <c r="B610" s="1" t="n">
        <v>45607.55260416667</v>
      </c>
      <c r="C610" s="1" t="n">
        <v>46188</v>
      </c>
      <c r="D610" t="inlineStr">
        <is>
          <t>JÄMTLANDS LÄN</t>
        </is>
      </c>
      <c r="E610" t="inlineStr">
        <is>
          <t>ÖSTERSUND</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55235-2023</t>
        </is>
      </c>
      <c r="B611" s="1" t="n">
        <v>45231</v>
      </c>
      <c r="C611" s="1" t="n">
        <v>46188</v>
      </c>
      <c r="D611" t="inlineStr">
        <is>
          <t>JÄMTLANDS LÄN</t>
        </is>
      </c>
      <c r="E611" t="inlineStr">
        <is>
          <t>ÖSTERSUND</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7953-2025</t>
        </is>
      </c>
      <c r="B612" s="1" t="n">
        <v>45707.42392361111</v>
      </c>
      <c r="C612" s="1" t="n">
        <v>46188</v>
      </c>
      <c r="D612" t="inlineStr">
        <is>
          <t>JÄMTLANDS LÄN</t>
        </is>
      </c>
      <c r="E612" t="inlineStr">
        <is>
          <t>ÖSTERSUND</t>
        </is>
      </c>
      <c r="G612" t="n">
        <v>1.8</v>
      </c>
      <c r="H612" t="n">
        <v>0</v>
      </c>
      <c r="I612" t="n">
        <v>0</v>
      </c>
      <c r="J612" t="n">
        <v>0</v>
      </c>
      <c r="K612" t="n">
        <v>0</v>
      </c>
      <c r="L612" t="n">
        <v>0</v>
      </c>
      <c r="M612" t="n">
        <v>0</v>
      </c>
      <c r="N612" t="n">
        <v>0</v>
      </c>
      <c r="O612" t="n">
        <v>0</v>
      </c>
      <c r="P612" t="n">
        <v>0</v>
      </c>
      <c r="Q612" t="n">
        <v>0</v>
      </c>
      <c r="R612" s="2" t="inlineStr"/>
    </row>
    <row r="613" ht="15" customHeight="1">
      <c r="A613" t="inlineStr">
        <is>
          <t>A 4350-2024</t>
        </is>
      </c>
      <c r="B613" s="1" t="n">
        <v>45324.93804398148</v>
      </c>
      <c r="C613" s="1" t="n">
        <v>46188</v>
      </c>
      <c r="D613" t="inlineStr">
        <is>
          <t>JÄMTLANDS LÄN</t>
        </is>
      </c>
      <c r="E613" t="inlineStr">
        <is>
          <t>ÖSTERSUND</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2756-2024</t>
        </is>
      </c>
      <c r="B614" s="1" t="n">
        <v>45314.58785879629</v>
      </c>
      <c r="C614" s="1" t="n">
        <v>46188</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70256-2021</t>
        </is>
      </c>
      <c r="B615" s="1" t="n">
        <v>44533</v>
      </c>
      <c r="C615" s="1" t="n">
        <v>46188</v>
      </c>
      <c r="D615" t="inlineStr">
        <is>
          <t>JÄMTLANDS LÄN</t>
        </is>
      </c>
      <c r="E615" t="inlineStr">
        <is>
          <t>ÖSTERSUND</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4136-2023</t>
        </is>
      </c>
      <c r="B616" s="1" t="n">
        <v>44952</v>
      </c>
      <c r="C616" s="1" t="n">
        <v>46188</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1893-2023</t>
        </is>
      </c>
      <c r="B617" s="1" t="n">
        <v>44937</v>
      </c>
      <c r="C617" s="1" t="n">
        <v>46188</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19566-2024</t>
        </is>
      </c>
      <c r="B618" s="1" t="n">
        <v>45429.92313657407</v>
      </c>
      <c r="C618" s="1" t="n">
        <v>46188</v>
      </c>
      <c r="D618" t="inlineStr">
        <is>
          <t>JÄMTLANDS LÄN</t>
        </is>
      </c>
      <c r="E618" t="inlineStr">
        <is>
          <t>ÖSTERSUND</t>
        </is>
      </c>
      <c r="G618" t="n">
        <v>0</v>
      </c>
      <c r="H618" t="n">
        <v>0</v>
      </c>
      <c r="I618" t="n">
        <v>0</v>
      </c>
      <c r="J618" t="n">
        <v>0</v>
      </c>
      <c r="K618" t="n">
        <v>0</v>
      </c>
      <c r="L618" t="n">
        <v>0</v>
      </c>
      <c r="M618" t="n">
        <v>0</v>
      </c>
      <c r="N618" t="n">
        <v>0</v>
      </c>
      <c r="O618" t="n">
        <v>0</v>
      </c>
      <c r="P618" t="n">
        <v>0</v>
      </c>
      <c r="Q618" t="n">
        <v>0</v>
      </c>
      <c r="R618" s="2" t="inlineStr"/>
    </row>
    <row r="619" ht="15" customHeight="1">
      <c r="A619" t="inlineStr">
        <is>
          <t>A 9552-2025</t>
        </is>
      </c>
      <c r="B619" s="1" t="n">
        <v>45715.59545138889</v>
      </c>
      <c r="C619" s="1" t="n">
        <v>46188</v>
      </c>
      <c r="D619" t="inlineStr">
        <is>
          <t>JÄMTLANDS LÄN</t>
        </is>
      </c>
      <c r="E619" t="inlineStr">
        <is>
          <t>ÖSTERSUND</t>
        </is>
      </c>
      <c r="G619" t="n">
        <v>1.6</v>
      </c>
      <c r="H619" t="n">
        <v>0</v>
      </c>
      <c r="I619" t="n">
        <v>0</v>
      </c>
      <c r="J619" t="n">
        <v>0</v>
      </c>
      <c r="K619" t="n">
        <v>0</v>
      </c>
      <c r="L619" t="n">
        <v>0</v>
      </c>
      <c r="M619" t="n">
        <v>0</v>
      </c>
      <c r="N619" t="n">
        <v>0</v>
      </c>
      <c r="O619" t="n">
        <v>0</v>
      </c>
      <c r="P619" t="n">
        <v>0</v>
      </c>
      <c r="Q619" t="n">
        <v>0</v>
      </c>
      <c r="R619" s="2" t="inlineStr"/>
    </row>
    <row r="620" ht="15" customHeight="1">
      <c r="A620" t="inlineStr">
        <is>
          <t>A 13024-2022</t>
        </is>
      </c>
      <c r="B620" s="1" t="n">
        <v>44643</v>
      </c>
      <c r="C620" s="1" t="n">
        <v>46188</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7233-2025</t>
        </is>
      </c>
      <c r="B621" s="1" t="n">
        <v>45702.51765046296</v>
      </c>
      <c r="C621" s="1" t="n">
        <v>46188</v>
      </c>
      <c r="D621" t="inlineStr">
        <is>
          <t>JÄMTLANDS LÄN</t>
        </is>
      </c>
      <c r="E621" t="inlineStr">
        <is>
          <t>ÖSTERSUND</t>
        </is>
      </c>
      <c r="G621" t="n">
        <v>1.7</v>
      </c>
      <c r="H621" t="n">
        <v>0</v>
      </c>
      <c r="I621" t="n">
        <v>0</v>
      </c>
      <c r="J621" t="n">
        <v>0</v>
      </c>
      <c r="K621" t="n">
        <v>0</v>
      </c>
      <c r="L621" t="n">
        <v>0</v>
      </c>
      <c r="M621" t="n">
        <v>0</v>
      </c>
      <c r="N621" t="n">
        <v>0</v>
      </c>
      <c r="O621" t="n">
        <v>0</v>
      </c>
      <c r="P621" t="n">
        <v>0</v>
      </c>
      <c r="Q621" t="n">
        <v>0</v>
      </c>
      <c r="R621" s="2" t="inlineStr"/>
    </row>
    <row r="622" ht="15" customHeight="1">
      <c r="A622" t="inlineStr">
        <is>
          <t>A 4966-2025</t>
        </is>
      </c>
      <c r="B622" s="1" t="n">
        <v>45690.63628472222</v>
      </c>
      <c r="C622" s="1" t="n">
        <v>46188</v>
      </c>
      <c r="D622" t="inlineStr">
        <is>
          <t>JÄMTLANDS LÄN</t>
        </is>
      </c>
      <c r="E622" t="inlineStr">
        <is>
          <t>ÖSTERSUND</t>
        </is>
      </c>
      <c r="G622" t="n">
        <v>3.4</v>
      </c>
      <c r="H622" t="n">
        <v>0</v>
      </c>
      <c r="I622" t="n">
        <v>0</v>
      </c>
      <c r="J622" t="n">
        <v>0</v>
      </c>
      <c r="K622" t="n">
        <v>0</v>
      </c>
      <c r="L622" t="n">
        <v>0</v>
      </c>
      <c r="M622" t="n">
        <v>0</v>
      </c>
      <c r="N622" t="n">
        <v>0</v>
      </c>
      <c r="O622" t="n">
        <v>0</v>
      </c>
      <c r="P622" t="n">
        <v>0</v>
      </c>
      <c r="Q622" t="n">
        <v>0</v>
      </c>
      <c r="R622" s="2" t="inlineStr"/>
    </row>
    <row r="623" ht="15" customHeight="1">
      <c r="A623" t="inlineStr">
        <is>
          <t>A 2615-2024</t>
        </is>
      </c>
      <c r="B623" s="1" t="n">
        <v>45313</v>
      </c>
      <c r="C623" s="1" t="n">
        <v>46188</v>
      </c>
      <c r="D623" t="inlineStr">
        <is>
          <t>JÄMTLANDS LÄN</t>
        </is>
      </c>
      <c r="E623" t="inlineStr">
        <is>
          <t>ÖSTERSUND</t>
        </is>
      </c>
      <c r="G623" t="n">
        <v>1.5</v>
      </c>
      <c r="H623" t="n">
        <v>0</v>
      </c>
      <c r="I623" t="n">
        <v>0</v>
      </c>
      <c r="J623" t="n">
        <v>0</v>
      </c>
      <c r="K623" t="n">
        <v>0</v>
      </c>
      <c r="L623" t="n">
        <v>0</v>
      </c>
      <c r="M623" t="n">
        <v>0</v>
      </c>
      <c r="N623" t="n">
        <v>0</v>
      </c>
      <c r="O623" t="n">
        <v>0</v>
      </c>
      <c r="P623" t="n">
        <v>0</v>
      </c>
      <c r="Q623" t="n">
        <v>0</v>
      </c>
      <c r="R623" s="2" t="inlineStr"/>
    </row>
    <row r="624" ht="15" customHeight="1">
      <c r="A624" t="inlineStr">
        <is>
          <t>A 33002-2021</t>
        </is>
      </c>
      <c r="B624" s="1" t="n">
        <v>44375</v>
      </c>
      <c r="C624" s="1" t="n">
        <v>46188</v>
      </c>
      <c r="D624" t="inlineStr">
        <is>
          <t>JÄMTLANDS LÄN</t>
        </is>
      </c>
      <c r="E624" t="inlineStr">
        <is>
          <t>ÖSTERSUND</t>
        </is>
      </c>
      <c r="G624" t="n">
        <v>0.2</v>
      </c>
      <c r="H624" t="n">
        <v>0</v>
      </c>
      <c r="I624" t="n">
        <v>0</v>
      </c>
      <c r="J624" t="n">
        <v>0</v>
      </c>
      <c r="K624" t="n">
        <v>0</v>
      </c>
      <c r="L624" t="n">
        <v>0</v>
      </c>
      <c r="M624" t="n">
        <v>0</v>
      </c>
      <c r="N624" t="n">
        <v>0</v>
      </c>
      <c r="O624" t="n">
        <v>0</v>
      </c>
      <c r="P624" t="n">
        <v>0</v>
      </c>
      <c r="Q624" t="n">
        <v>0</v>
      </c>
      <c r="R624" s="2" t="inlineStr"/>
    </row>
    <row r="625" ht="15" customHeight="1">
      <c r="A625" t="inlineStr">
        <is>
          <t>A 24786-2024</t>
        </is>
      </c>
      <c r="B625" s="1" t="n">
        <v>45460.81277777778</v>
      </c>
      <c r="C625" s="1" t="n">
        <v>46188</v>
      </c>
      <c r="D625" t="inlineStr">
        <is>
          <t>JÄMTLANDS LÄN</t>
        </is>
      </c>
      <c r="E625" t="inlineStr">
        <is>
          <t>ÖSTERSUND</t>
        </is>
      </c>
      <c r="G625" t="n">
        <v>0.1</v>
      </c>
      <c r="H625" t="n">
        <v>0</v>
      </c>
      <c r="I625" t="n">
        <v>0</v>
      </c>
      <c r="J625" t="n">
        <v>0</v>
      </c>
      <c r="K625" t="n">
        <v>0</v>
      </c>
      <c r="L625" t="n">
        <v>0</v>
      </c>
      <c r="M625" t="n">
        <v>0</v>
      </c>
      <c r="N625" t="n">
        <v>0</v>
      </c>
      <c r="O625" t="n">
        <v>0</v>
      </c>
      <c r="P625" t="n">
        <v>0</v>
      </c>
      <c r="Q625" t="n">
        <v>0</v>
      </c>
      <c r="R625" s="2" t="inlineStr"/>
    </row>
    <row r="626" ht="15" customHeight="1">
      <c r="A626" t="inlineStr">
        <is>
          <t>A 53660-2024</t>
        </is>
      </c>
      <c r="B626" s="1" t="n">
        <v>45615.31297453704</v>
      </c>
      <c r="C626" s="1" t="n">
        <v>46188</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16682-2023</t>
        </is>
      </c>
      <c r="B627" s="1" t="n">
        <v>45028</v>
      </c>
      <c r="C627" s="1" t="n">
        <v>46188</v>
      </c>
      <c r="D627" t="inlineStr">
        <is>
          <t>JÄMTLANDS LÄN</t>
        </is>
      </c>
      <c r="E627" t="inlineStr">
        <is>
          <t>ÖSTERSUND</t>
        </is>
      </c>
      <c r="G627" t="n">
        <v>7.9</v>
      </c>
      <c r="H627" t="n">
        <v>0</v>
      </c>
      <c r="I627" t="n">
        <v>0</v>
      </c>
      <c r="J627" t="n">
        <v>0</v>
      </c>
      <c r="K627" t="n">
        <v>0</v>
      </c>
      <c r="L627" t="n">
        <v>0</v>
      </c>
      <c r="M627" t="n">
        <v>0</v>
      </c>
      <c r="N627" t="n">
        <v>0</v>
      </c>
      <c r="O627" t="n">
        <v>0</v>
      </c>
      <c r="P627" t="n">
        <v>0</v>
      </c>
      <c r="Q627" t="n">
        <v>0</v>
      </c>
      <c r="R627" s="2" t="inlineStr"/>
    </row>
    <row r="628" ht="15" customHeight="1">
      <c r="A628" t="inlineStr">
        <is>
          <t>A 1670-2024</t>
        </is>
      </c>
      <c r="B628" s="1" t="n">
        <v>45306</v>
      </c>
      <c r="C628" s="1" t="n">
        <v>46188</v>
      </c>
      <c r="D628" t="inlineStr">
        <is>
          <t>JÄMTLANDS LÄN</t>
        </is>
      </c>
      <c r="E628" t="inlineStr">
        <is>
          <t>ÖSTERSUND</t>
        </is>
      </c>
      <c r="G628" t="n">
        <v>1.2</v>
      </c>
      <c r="H628" t="n">
        <v>0</v>
      </c>
      <c r="I628" t="n">
        <v>0</v>
      </c>
      <c r="J628" t="n">
        <v>0</v>
      </c>
      <c r="K628" t="n">
        <v>0</v>
      </c>
      <c r="L628" t="n">
        <v>0</v>
      </c>
      <c r="M628" t="n">
        <v>0</v>
      </c>
      <c r="N628" t="n">
        <v>0</v>
      </c>
      <c r="O628" t="n">
        <v>0</v>
      </c>
      <c r="P628" t="n">
        <v>0</v>
      </c>
      <c r="Q628" t="n">
        <v>0</v>
      </c>
      <c r="R628" s="2" t="inlineStr"/>
    </row>
    <row r="629" ht="15" customHeight="1">
      <c r="A629" t="inlineStr">
        <is>
          <t>A 56111-2022</t>
        </is>
      </c>
      <c r="B629" s="1" t="n">
        <v>44889</v>
      </c>
      <c r="C629" s="1" t="n">
        <v>46188</v>
      </c>
      <c r="D629" t="inlineStr">
        <is>
          <t>JÄMTLANDS LÄN</t>
        </is>
      </c>
      <c r="E629" t="inlineStr">
        <is>
          <t>ÖSTERSUND</t>
        </is>
      </c>
      <c r="G629" t="n">
        <v>2.5</v>
      </c>
      <c r="H629" t="n">
        <v>0</v>
      </c>
      <c r="I629" t="n">
        <v>0</v>
      </c>
      <c r="J629" t="n">
        <v>0</v>
      </c>
      <c r="K629" t="n">
        <v>0</v>
      </c>
      <c r="L629" t="n">
        <v>0</v>
      </c>
      <c r="M629" t="n">
        <v>0</v>
      </c>
      <c r="N629" t="n">
        <v>0</v>
      </c>
      <c r="O629" t="n">
        <v>0</v>
      </c>
      <c r="P629" t="n">
        <v>0</v>
      </c>
      <c r="Q629" t="n">
        <v>0</v>
      </c>
      <c r="R629" s="2" t="inlineStr"/>
    </row>
    <row r="630">
      <c r="A630" t="inlineStr">
        <is>
          <t>A 4707-2024</t>
        </is>
      </c>
      <c r="B630" s="1" t="n">
        <v>45328</v>
      </c>
      <c r="C630" s="1" t="n">
        <v>46188</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2026-06-15T09:25:31Z</dcterms:created>
  <dcterms:modified xmlns:dcterms="http://purl.org/dc/terms/" xmlns:xsi="http://www.w3.org/2001/XMLSchema-instance" xsi:type="dcterms:W3CDTF">2026-06-15T09:25:32Z</dcterms:modified>
</cp:coreProperties>
</file>