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45589</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45589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45589</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45589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45589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45589</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45589</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45589</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45589</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45589</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45589</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45589</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45589</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45589</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45589</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45589</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45589</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45589</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45589</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45589</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45589</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45589</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45589</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45589</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45589</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45589</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45589</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45589</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45589</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45589</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45589</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45589</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45589</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45589</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45589</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45589</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45589</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45589</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45589</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45589</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45589</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45589</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45589</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45589</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45589</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45589</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45589</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45589</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45589</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7717-2024</t>
        </is>
      </c>
      <c r="B51" s="1" t="n">
        <v>45349</v>
      </c>
      <c r="C51" s="1" t="n">
        <v>45589</v>
      </c>
      <c r="D51" t="inlineStr">
        <is>
          <t>JÄMTLANDS LÄN</t>
        </is>
      </c>
      <c r="E51" t="inlineStr">
        <is>
          <t>ÖSTERSUND</t>
        </is>
      </c>
      <c r="F51" t="inlineStr">
        <is>
          <t>Övriga Aktiebolag</t>
        </is>
      </c>
      <c r="G51" t="n">
        <v>2.5</v>
      </c>
      <c r="H51" t="n">
        <v>1</v>
      </c>
      <c r="I51" t="n">
        <v>1</v>
      </c>
      <c r="J51" t="n">
        <v>4</v>
      </c>
      <c r="K51" t="n">
        <v>0</v>
      </c>
      <c r="L51" t="n">
        <v>0</v>
      </c>
      <c r="M51" t="n">
        <v>0</v>
      </c>
      <c r="N51" t="n">
        <v>0</v>
      </c>
      <c r="O51" t="n">
        <v>4</v>
      </c>
      <c r="P51" t="n">
        <v>0</v>
      </c>
      <c r="Q51" t="n">
        <v>5</v>
      </c>
      <c r="R51" s="2" t="inlineStr">
        <is>
          <t>Garnlav
Lunglav
Skrovellav
Talltita
Stuplav</t>
        </is>
      </c>
      <c r="S51">
        <f>HYPERLINK("https://klasma.github.io/Logging_2380/artfynd/A 7717-2024 artfynd.xlsx", "A 7717-2024")</f>
        <v/>
      </c>
      <c r="T51">
        <f>HYPERLINK("https://klasma.github.io/Logging_2380/kartor/A 7717-2024 karta.png", "A 7717-2024")</f>
        <v/>
      </c>
      <c r="V51">
        <f>HYPERLINK("https://klasma.github.io/Logging_2380/klagomål/A 7717-2024 FSC-klagomål.docx", "A 7717-2024")</f>
        <v/>
      </c>
      <c r="W51">
        <f>HYPERLINK("https://klasma.github.io/Logging_2380/klagomålsmail/A 7717-2024 FSC-klagomål mail.docx", "A 7717-2024")</f>
        <v/>
      </c>
      <c r="X51">
        <f>HYPERLINK("https://klasma.github.io/Logging_2380/tillsyn/A 7717-2024 tillsynsbegäran.docx", "A 7717-2024")</f>
        <v/>
      </c>
      <c r="Y51">
        <f>HYPERLINK("https://klasma.github.io/Logging_2380/tillsynsmail/A 7717-2024 tillsynsbegäran mail.docx", "A 7717-2024")</f>
        <v/>
      </c>
      <c r="Z51">
        <f>HYPERLINK("https://klasma.github.io/Logging_2380/fåglar/A 7717-2024 prioriterade fågelarter.docx", "A 7717-2024")</f>
        <v/>
      </c>
    </row>
    <row r="52" ht="15" customHeight="1">
      <c r="A52" t="inlineStr">
        <is>
          <t>A 10747-2024</t>
        </is>
      </c>
      <c r="B52" s="1" t="n">
        <v>45369</v>
      </c>
      <c r="C52" s="1" t="n">
        <v>45589</v>
      </c>
      <c r="D52" t="inlineStr">
        <is>
          <t>JÄMTLANDS LÄN</t>
        </is>
      </c>
      <c r="E52" t="inlineStr">
        <is>
          <t>ÖSTERSUND</t>
        </is>
      </c>
      <c r="G52" t="n">
        <v>4.3</v>
      </c>
      <c r="H52" t="n">
        <v>1</v>
      </c>
      <c r="I52" t="n">
        <v>1</v>
      </c>
      <c r="J52" t="n">
        <v>3</v>
      </c>
      <c r="K52" t="n">
        <v>1</v>
      </c>
      <c r="L52" t="n">
        <v>0</v>
      </c>
      <c r="M52" t="n">
        <v>0</v>
      </c>
      <c r="N52" t="n">
        <v>0</v>
      </c>
      <c r="O52" t="n">
        <v>4</v>
      </c>
      <c r="P52" t="n">
        <v>1</v>
      </c>
      <c r="Q52" t="n">
        <v>5</v>
      </c>
      <c r="R52" s="2" t="inlineStr">
        <is>
          <t>Fjällfotad musseron
Barrviolspindling
Gultoppig fingersvamp
Tretåig hackspett
Fjällig taggsvamp s.str.</t>
        </is>
      </c>
      <c r="S52">
        <f>HYPERLINK("https://klasma.github.io/Logging_2380/artfynd/A 10747-2024 artfynd.xlsx", "A 10747-2024")</f>
        <v/>
      </c>
      <c r="T52">
        <f>HYPERLINK("https://klasma.github.io/Logging_2380/kartor/A 10747-2024 karta.png", "A 10747-2024")</f>
        <v/>
      </c>
      <c r="V52">
        <f>HYPERLINK("https://klasma.github.io/Logging_2380/klagomål/A 10747-2024 FSC-klagomål.docx", "A 10747-2024")</f>
        <v/>
      </c>
      <c r="W52">
        <f>HYPERLINK("https://klasma.github.io/Logging_2380/klagomålsmail/A 10747-2024 FSC-klagomål mail.docx", "A 10747-2024")</f>
        <v/>
      </c>
      <c r="X52">
        <f>HYPERLINK("https://klasma.github.io/Logging_2380/tillsyn/A 10747-2024 tillsynsbegäran.docx", "A 10747-2024")</f>
        <v/>
      </c>
      <c r="Y52">
        <f>HYPERLINK("https://klasma.github.io/Logging_2380/tillsynsmail/A 10747-2024 tillsynsbegäran mail.docx", "A 10747-2024")</f>
        <v/>
      </c>
      <c r="Z52">
        <f>HYPERLINK("https://klasma.github.io/Logging_2380/fåglar/A 10747-2024 prioriterade fågelarter.docx", "A 10747-2024")</f>
        <v/>
      </c>
    </row>
    <row r="53" ht="15" customHeight="1">
      <c r="A53" t="inlineStr">
        <is>
          <t>A 17716-2024</t>
        </is>
      </c>
      <c r="B53" s="1" t="n">
        <v>45415</v>
      </c>
      <c r="C53" s="1" t="n">
        <v>45589</v>
      </c>
      <c r="D53" t="inlineStr">
        <is>
          <t>JÄMTLANDS LÄN</t>
        </is>
      </c>
      <c r="E53" t="inlineStr">
        <is>
          <t>ÖSTERSUND</t>
        </is>
      </c>
      <c r="G53" t="n">
        <v>1.4</v>
      </c>
      <c r="H53" t="n">
        <v>5</v>
      </c>
      <c r="I53" t="n">
        <v>2</v>
      </c>
      <c r="J53" t="n">
        <v>0</v>
      </c>
      <c r="K53" t="n">
        <v>1</v>
      </c>
      <c r="L53" t="n">
        <v>0</v>
      </c>
      <c r="M53" t="n">
        <v>0</v>
      </c>
      <c r="N53" t="n">
        <v>0</v>
      </c>
      <c r="O53" t="n">
        <v>1</v>
      </c>
      <c r="P53" t="n">
        <v>1</v>
      </c>
      <c r="Q53" t="n">
        <v>5</v>
      </c>
      <c r="R53" s="2" t="inlineStr">
        <is>
          <t>Knärot
Spindelblomster
Tvåblad
Fläcknycklar
Blåsippa</t>
        </is>
      </c>
      <c r="S53">
        <f>HYPERLINK("https://klasma.github.io/Logging_2380/artfynd/A 17716-2024 artfynd.xlsx", "A 17716-2024")</f>
        <v/>
      </c>
      <c r="T53">
        <f>HYPERLINK("https://klasma.github.io/Logging_2380/kartor/A 17716-2024 karta.png", "A 17716-2024")</f>
        <v/>
      </c>
      <c r="U53">
        <f>HYPERLINK("https://klasma.github.io/Logging_2380/knärot/A 17716-2024 karta knärot.png", "A 17716-2024")</f>
        <v/>
      </c>
      <c r="V53">
        <f>HYPERLINK("https://klasma.github.io/Logging_2380/klagomål/A 17716-2024 FSC-klagomål.docx", "A 17716-2024")</f>
        <v/>
      </c>
      <c r="W53">
        <f>HYPERLINK("https://klasma.github.io/Logging_2380/klagomålsmail/A 17716-2024 FSC-klagomål mail.docx", "A 17716-2024")</f>
        <v/>
      </c>
      <c r="X53">
        <f>HYPERLINK("https://klasma.github.io/Logging_2380/tillsyn/A 17716-2024 tillsynsbegäran.docx", "A 17716-2024")</f>
        <v/>
      </c>
      <c r="Y53">
        <f>HYPERLINK("https://klasma.github.io/Logging_2380/tillsynsmail/A 17716-2024 tillsynsbegäran mail.docx", "A 17716-2024")</f>
        <v/>
      </c>
    </row>
    <row r="54" ht="15" customHeight="1">
      <c r="A54" t="inlineStr">
        <is>
          <t>A 39941-2024</t>
        </is>
      </c>
      <c r="B54" s="1" t="n">
        <v>45553</v>
      </c>
      <c r="C54" s="1" t="n">
        <v>45589</v>
      </c>
      <c r="D54" t="inlineStr">
        <is>
          <t>JÄMTLANDS LÄN</t>
        </is>
      </c>
      <c r="E54" t="inlineStr">
        <is>
          <t>ÖSTERSUND</t>
        </is>
      </c>
      <c r="G54" t="n">
        <v>6</v>
      </c>
      <c r="H54" t="n">
        <v>0</v>
      </c>
      <c r="I54" t="n">
        <v>2</v>
      </c>
      <c r="J54" t="n">
        <v>3</v>
      </c>
      <c r="K54" t="n">
        <v>0</v>
      </c>
      <c r="L54" t="n">
        <v>0</v>
      </c>
      <c r="M54" t="n">
        <v>0</v>
      </c>
      <c r="N54" t="n">
        <v>0</v>
      </c>
      <c r="O54" t="n">
        <v>3</v>
      </c>
      <c r="P54" t="n">
        <v>0</v>
      </c>
      <c r="Q54" t="n">
        <v>5</v>
      </c>
      <c r="R54" s="2" t="inlineStr">
        <is>
          <t>Garnlav
Lunglav
Skrovellav
Bårdlav
Luddlav</t>
        </is>
      </c>
      <c r="S54">
        <f>HYPERLINK("https://klasma.github.io/Logging_2380/artfynd/A 39941-2024 artfynd.xlsx", "A 39941-2024")</f>
        <v/>
      </c>
      <c r="T54">
        <f>HYPERLINK("https://klasma.github.io/Logging_2380/kartor/A 39941-2024 karta.png", "A 39941-2024")</f>
        <v/>
      </c>
      <c r="V54">
        <f>HYPERLINK("https://klasma.github.io/Logging_2380/klagomål/A 39941-2024 FSC-klagomål.docx", "A 39941-2024")</f>
        <v/>
      </c>
      <c r="W54">
        <f>HYPERLINK("https://klasma.github.io/Logging_2380/klagomålsmail/A 39941-2024 FSC-klagomål mail.docx", "A 39941-2024")</f>
        <v/>
      </c>
      <c r="X54">
        <f>HYPERLINK("https://klasma.github.io/Logging_2380/tillsyn/A 39941-2024 tillsynsbegäran.docx", "A 39941-2024")</f>
        <v/>
      </c>
      <c r="Y54">
        <f>HYPERLINK("https://klasma.github.io/Logging_2380/tillsynsmail/A 39941-2024 tillsynsbegäran mail.docx", "A 39941-2024")</f>
        <v/>
      </c>
    </row>
    <row r="55" ht="15" customHeight="1">
      <c r="A55" t="inlineStr">
        <is>
          <t>A 29135-2022</t>
        </is>
      </c>
      <c r="B55" s="1" t="n">
        <v>44750</v>
      </c>
      <c r="C55" s="1" t="n">
        <v>45589</v>
      </c>
      <c r="D55" t="inlineStr">
        <is>
          <t>JÄMTLANDS LÄN</t>
        </is>
      </c>
      <c r="E55" t="inlineStr">
        <is>
          <t>ÖSTERSUND</t>
        </is>
      </c>
      <c r="G55" t="n">
        <v>2.3</v>
      </c>
      <c r="H55" t="n">
        <v>3</v>
      </c>
      <c r="I55" t="n">
        <v>2</v>
      </c>
      <c r="J55" t="n">
        <v>0</v>
      </c>
      <c r="K55" t="n">
        <v>0</v>
      </c>
      <c r="L55" t="n">
        <v>0</v>
      </c>
      <c r="M55" t="n">
        <v>0</v>
      </c>
      <c r="N55" t="n">
        <v>0</v>
      </c>
      <c r="O55" t="n">
        <v>0</v>
      </c>
      <c r="P55" t="n">
        <v>0</v>
      </c>
      <c r="Q55" t="n">
        <v>4</v>
      </c>
      <c r="R55" s="2" t="inlineStr">
        <is>
          <t>Finbräken
Grönkulla
Fläcknycklar
Blåsippa</t>
        </is>
      </c>
      <c r="S55">
        <f>HYPERLINK("https://klasma.github.io/Logging_2380/artfynd/A 29135-2022 artfynd.xlsx", "A 29135-2022")</f>
        <v/>
      </c>
      <c r="T55">
        <f>HYPERLINK("https://klasma.github.io/Logging_2380/kartor/A 29135-2022 karta.png", "A 29135-2022")</f>
        <v/>
      </c>
      <c r="V55">
        <f>HYPERLINK("https://klasma.github.io/Logging_2380/klagomål/A 29135-2022 FSC-klagomål.docx", "A 29135-2022")</f>
        <v/>
      </c>
      <c r="W55">
        <f>HYPERLINK("https://klasma.github.io/Logging_2380/klagomålsmail/A 29135-2022 FSC-klagomål mail.docx", "A 29135-2022")</f>
        <v/>
      </c>
      <c r="X55">
        <f>HYPERLINK("https://klasma.github.io/Logging_2380/tillsyn/A 29135-2022 tillsynsbegäran.docx", "A 29135-2022")</f>
        <v/>
      </c>
      <c r="Y55">
        <f>HYPERLINK("https://klasma.github.io/Logging_2380/tillsynsmail/A 29135-2022 tillsynsbegäran mail.docx", "A 29135-2022")</f>
        <v/>
      </c>
    </row>
    <row r="56" ht="15" customHeight="1">
      <c r="A56" t="inlineStr">
        <is>
          <t>A 59291-2022</t>
        </is>
      </c>
      <c r="B56" s="1" t="n">
        <v>44904</v>
      </c>
      <c r="C56" s="1" t="n">
        <v>45589</v>
      </c>
      <c r="D56" t="inlineStr">
        <is>
          <t>JÄMTLANDS LÄN</t>
        </is>
      </c>
      <c r="E56" t="inlineStr">
        <is>
          <t>ÖSTERSUND</t>
        </is>
      </c>
      <c r="G56" t="n">
        <v>9.199999999999999</v>
      </c>
      <c r="H56" t="n">
        <v>1</v>
      </c>
      <c r="I56" t="n">
        <v>0</v>
      </c>
      <c r="J56" t="n">
        <v>3</v>
      </c>
      <c r="K56" t="n">
        <v>0</v>
      </c>
      <c r="L56" t="n">
        <v>0</v>
      </c>
      <c r="M56" t="n">
        <v>0</v>
      </c>
      <c r="N56" t="n">
        <v>0</v>
      </c>
      <c r="O56" t="n">
        <v>3</v>
      </c>
      <c r="P56" t="n">
        <v>0</v>
      </c>
      <c r="Q56" t="n">
        <v>4</v>
      </c>
      <c r="R56" s="2" t="inlineStr">
        <is>
          <t>Garnlav
Lunglav
Skrovellav
Revlummer</t>
        </is>
      </c>
      <c r="S56">
        <f>HYPERLINK("https://klasma.github.io/Logging_2380/artfynd/A 59291-2022 artfynd.xlsx", "A 59291-2022")</f>
        <v/>
      </c>
      <c r="T56">
        <f>HYPERLINK("https://klasma.github.io/Logging_2380/kartor/A 59291-2022 karta.png", "A 59291-2022")</f>
        <v/>
      </c>
      <c r="V56">
        <f>HYPERLINK("https://klasma.github.io/Logging_2380/klagomål/A 59291-2022 FSC-klagomål.docx", "A 59291-2022")</f>
        <v/>
      </c>
      <c r="W56">
        <f>HYPERLINK("https://klasma.github.io/Logging_2380/klagomålsmail/A 59291-2022 FSC-klagomål mail.docx", "A 59291-2022")</f>
        <v/>
      </c>
      <c r="X56">
        <f>HYPERLINK("https://klasma.github.io/Logging_2380/tillsyn/A 59291-2022 tillsynsbegäran.docx", "A 59291-2022")</f>
        <v/>
      </c>
      <c r="Y56">
        <f>HYPERLINK("https://klasma.github.io/Logging_2380/tillsynsmail/A 59291-2022 tillsynsbegäran mail.docx", "A 59291-2022")</f>
        <v/>
      </c>
    </row>
    <row r="57" ht="15" customHeight="1">
      <c r="A57" t="inlineStr">
        <is>
          <t>A 2962-2023</t>
        </is>
      </c>
      <c r="B57" s="1" t="n">
        <v>44945</v>
      </c>
      <c r="C57" s="1" t="n">
        <v>45589</v>
      </c>
      <c r="D57" t="inlineStr">
        <is>
          <t>JÄMTLANDS LÄN</t>
        </is>
      </c>
      <c r="E57" t="inlineStr">
        <is>
          <t>ÖSTERSUND</t>
        </is>
      </c>
      <c r="F57" t="inlineStr">
        <is>
          <t>Övriga Aktiebolag</t>
        </is>
      </c>
      <c r="G57" t="n">
        <v>14.4</v>
      </c>
      <c r="H57" t="n">
        <v>2</v>
      </c>
      <c r="I57" t="n">
        <v>0</v>
      </c>
      <c r="J57" t="n">
        <v>3</v>
      </c>
      <c r="K57" t="n">
        <v>0</v>
      </c>
      <c r="L57" t="n">
        <v>0</v>
      </c>
      <c r="M57" t="n">
        <v>0</v>
      </c>
      <c r="N57" t="n">
        <v>0</v>
      </c>
      <c r="O57" t="n">
        <v>3</v>
      </c>
      <c r="P57" t="n">
        <v>0</v>
      </c>
      <c r="Q57" t="n">
        <v>4</v>
      </c>
      <c r="R57" s="2" t="inlineStr">
        <is>
          <t>Garnlav
Lunglav
Tretåig hackspett
Revlummer</t>
        </is>
      </c>
      <c r="S57">
        <f>HYPERLINK("https://klasma.github.io/Logging_2380/artfynd/A 2962-2023 artfynd.xlsx", "A 2962-2023")</f>
        <v/>
      </c>
      <c r="T57">
        <f>HYPERLINK("https://klasma.github.io/Logging_2380/kartor/A 2962-2023 karta.png", "A 2962-2023")</f>
        <v/>
      </c>
      <c r="V57">
        <f>HYPERLINK("https://klasma.github.io/Logging_2380/klagomål/A 2962-2023 FSC-klagomål.docx", "A 2962-2023")</f>
        <v/>
      </c>
      <c r="W57">
        <f>HYPERLINK("https://klasma.github.io/Logging_2380/klagomålsmail/A 2962-2023 FSC-klagomål mail.docx", "A 2962-2023")</f>
        <v/>
      </c>
      <c r="X57">
        <f>HYPERLINK("https://klasma.github.io/Logging_2380/tillsyn/A 2962-2023 tillsynsbegäran.docx", "A 2962-2023")</f>
        <v/>
      </c>
      <c r="Y57">
        <f>HYPERLINK("https://klasma.github.io/Logging_2380/tillsynsmail/A 2962-2023 tillsynsbegäran mail.docx", "A 2962-2023")</f>
        <v/>
      </c>
      <c r="Z57">
        <f>HYPERLINK("https://klasma.github.io/Logging_2380/fåglar/A 2962-2023 prioriterade fågelarter.docx", "A 2962-2023")</f>
        <v/>
      </c>
    </row>
    <row r="58" ht="15" customHeight="1">
      <c r="A58" t="inlineStr">
        <is>
          <t>A 55344-2023</t>
        </is>
      </c>
      <c r="B58" s="1" t="n">
        <v>45237</v>
      </c>
      <c r="C58" s="1" t="n">
        <v>45589</v>
      </c>
      <c r="D58" t="inlineStr">
        <is>
          <t>JÄMTLANDS LÄN</t>
        </is>
      </c>
      <c r="E58" t="inlineStr">
        <is>
          <t>ÖSTERSUND</t>
        </is>
      </c>
      <c r="F58" t="inlineStr">
        <is>
          <t>SCA</t>
        </is>
      </c>
      <c r="G58" t="n">
        <v>1.5</v>
      </c>
      <c r="H58" t="n">
        <v>1</v>
      </c>
      <c r="I58" t="n">
        <v>1</v>
      </c>
      <c r="J58" t="n">
        <v>2</v>
      </c>
      <c r="K58" t="n">
        <v>1</v>
      </c>
      <c r="L58" t="n">
        <v>0</v>
      </c>
      <c r="M58" t="n">
        <v>0</v>
      </c>
      <c r="N58" t="n">
        <v>0</v>
      </c>
      <c r="O58" t="n">
        <v>3</v>
      </c>
      <c r="P58" t="n">
        <v>1</v>
      </c>
      <c r="Q58" t="n">
        <v>4</v>
      </c>
      <c r="R58" s="2" t="inlineStr">
        <is>
          <t>Lappuggla
Garnlav
Lunglav
Stuplav</t>
        </is>
      </c>
      <c r="S58">
        <f>HYPERLINK("https://klasma.github.io/Logging_2380/artfynd/A 55344-2023 artfynd.xlsx", "A 55344-2023")</f>
        <v/>
      </c>
      <c r="T58">
        <f>HYPERLINK("https://klasma.github.io/Logging_2380/kartor/A 55344-2023 karta.png", "A 55344-2023")</f>
        <v/>
      </c>
      <c r="V58">
        <f>HYPERLINK("https://klasma.github.io/Logging_2380/klagomål/A 55344-2023 FSC-klagomål.docx", "A 55344-2023")</f>
        <v/>
      </c>
      <c r="W58">
        <f>HYPERLINK("https://klasma.github.io/Logging_2380/klagomålsmail/A 55344-2023 FSC-klagomål mail.docx", "A 55344-2023")</f>
        <v/>
      </c>
      <c r="X58">
        <f>HYPERLINK("https://klasma.github.io/Logging_2380/tillsyn/A 55344-2023 tillsynsbegäran.docx", "A 55344-2023")</f>
        <v/>
      </c>
      <c r="Y58">
        <f>HYPERLINK("https://klasma.github.io/Logging_2380/tillsynsmail/A 55344-2023 tillsynsbegäran mail.docx", "A 55344-2023")</f>
        <v/>
      </c>
      <c r="Z58">
        <f>HYPERLINK("https://klasma.github.io/Logging_2380/fåglar/A 55344-2023 prioriterade fågelarter.docx", "A 55344-2023")</f>
        <v/>
      </c>
    </row>
    <row r="59" ht="15" customHeight="1">
      <c r="A59" t="inlineStr">
        <is>
          <t>A 25369-2024</t>
        </is>
      </c>
      <c r="B59" s="1" t="n">
        <v>45463</v>
      </c>
      <c r="C59" s="1" t="n">
        <v>45589</v>
      </c>
      <c r="D59" t="inlineStr">
        <is>
          <t>JÄMTLANDS LÄN</t>
        </is>
      </c>
      <c r="E59" t="inlineStr">
        <is>
          <t>ÖSTERSUND</t>
        </is>
      </c>
      <c r="G59" t="n">
        <v>14.7</v>
      </c>
      <c r="H59" t="n">
        <v>1</v>
      </c>
      <c r="I59" t="n">
        <v>2</v>
      </c>
      <c r="J59" t="n">
        <v>1</v>
      </c>
      <c r="K59" t="n">
        <v>0</v>
      </c>
      <c r="L59" t="n">
        <v>0</v>
      </c>
      <c r="M59" t="n">
        <v>0</v>
      </c>
      <c r="N59" t="n">
        <v>0</v>
      </c>
      <c r="O59" t="n">
        <v>1</v>
      </c>
      <c r="P59" t="n">
        <v>0</v>
      </c>
      <c r="Q59" t="n">
        <v>4</v>
      </c>
      <c r="R59" s="2" t="inlineStr">
        <is>
          <t>Ullticka
Kransrams
Underviol
Blåsippa</t>
        </is>
      </c>
      <c r="S59">
        <f>HYPERLINK("https://klasma.github.io/Logging_2380/artfynd/A 25369-2024 artfynd.xlsx", "A 25369-2024")</f>
        <v/>
      </c>
      <c r="T59">
        <f>HYPERLINK("https://klasma.github.io/Logging_2380/kartor/A 25369-2024 karta.png", "A 25369-2024")</f>
        <v/>
      </c>
      <c r="V59">
        <f>HYPERLINK("https://klasma.github.io/Logging_2380/klagomål/A 25369-2024 FSC-klagomål.docx", "A 25369-2024")</f>
        <v/>
      </c>
      <c r="W59">
        <f>HYPERLINK("https://klasma.github.io/Logging_2380/klagomålsmail/A 25369-2024 FSC-klagomål mail.docx", "A 25369-2024")</f>
        <v/>
      </c>
      <c r="X59">
        <f>HYPERLINK("https://klasma.github.io/Logging_2380/tillsyn/A 25369-2024 tillsynsbegäran.docx", "A 25369-2024")</f>
        <v/>
      </c>
      <c r="Y59">
        <f>HYPERLINK("https://klasma.github.io/Logging_2380/tillsynsmail/A 25369-2024 tillsynsbegäran mail.docx", "A 25369-2024")</f>
        <v/>
      </c>
    </row>
    <row r="60" ht="15" customHeight="1">
      <c r="A60" t="inlineStr">
        <is>
          <t>A 41277-2024</t>
        </is>
      </c>
      <c r="B60" s="1" t="n">
        <v>45559</v>
      </c>
      <c r="C60" s="1" t="n">
        <v>45589</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45589</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45589</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45589</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45589</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45589</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45589</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45589</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45589</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45589</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45589</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45589</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45589</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45589</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45589</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45589</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45589</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45589</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45589</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45589</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45589</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45589</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45589</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45589</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45589</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45589</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45589</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45589</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45589</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45589</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45589</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45589</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45589</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45589</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45589</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45589</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45589</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45589</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45589</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45589</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45589</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45589</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45589</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45589</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45589</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45589</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45589</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45589</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45884-2024</t>
        </is>
      </c>
      <c r="B108" s="1" t="n">
        <v>45580</v>
      </c>
      <c r="C108" s="1" t="n">
        <v>45589</v>
      </c>
      <c r="D108" t="inlineStr">
        <is>
          <t>JÄMTLANDS LÄN</t>
        </is>
      </c>
      <c r="E108" t="inlineStr">
        <is>
          <t>ÖSTERSUND</t>
        </is>
      </c>
      <c r="F108" t="inlineStr">
        <is>
          <t>SCA</t>
        </is>
      </c>
      <c r="G108" t="n">
        <v>6</v>
      </c>
      <c r="H108" t="n">
        <v>0</v>
      </c>
      <c r="I108" t="n">
        <v>1</v>
      </c>
      <c r="J108" t="n">
        <v>1</v>
      </c>
      <c r="K108" t="n">
        <v>0</v>
      </c>
      <c r="L108" t="n">
        <v>0</v>
      </c>
      <c r="M108" t="n">
        <v>0</v>
      </c>
      <c r="N108" t="n">
        <v>0</v>
      </c>
      <c r="O108" t="n">
        <v>1</v>
      </c>
      <c r="P108" t="n">
        <v>0</v>
      </c>
      <c r="Q108" t="n">
        <v>2</v>
      </c>
      <c r="R108" s="2" t="inlineStr">
        <is>
          <t>Dvärgbägarlav
Skinnlav</t>
        </is>
      </c>
      <c r="S108">
        <f>HYPERLINK("https://klasma.github.io/Logging_2380/artfynd/A 45884-2024 artfynd.xlsx", "A 45884-2024")</f>
        <v/>
      </c>
      <c r="T108">
        <f>HYPERLINK("https://klasma.github.io/Logging_2380/kartor/A 45884-2024 karta.png", "A 45884-2024")</f>
        <v/>
      </c>
      <c r="V108">
        <f>HYPERLINK("https://klasma.github.io/Logging_2380/klagomål/A 45884-2024 FSC-klagomål.docx", "A 45884-2024")</f>
        <v/>
      </c>
      <c r="W108">
        <f>HYPERLINK("https://klasma.github.io/Logging_2380/klagomålsmail/A 45884-2024 FSC-klagomål mail.docx", "A 45884-2024")</f>
        <v/>
      </c>
      <c r="X108">
        <f>HYPERLINK("https://klasma.github.io/Logging_2380/tillsyn/A 45884-2024 tillsynsbegäran.docx", "A 45884-2024")</f>
        <v/>
      </c>
      <c r="Y108">
        <f>HYPERLINK("https://klasma.github.io/Logging_2380/tillsynsmail/A 45884-2024 tillsynsbegäran mail.docx", "A 45884-2024")</f>
        <v/>
      </c>
    </row>
    <row r="109" ht="15" customHeight="1">
      <c r="A109" t="inlineStr">
        <is>
          <t>A 30941-2019</t>
        </is>
      </c>
      <c r="B109" s="1" t="n">
        <v>43636</v>
      </c>
      <c r="C109" s="1" t="n">
        <v>45589</v>
      </c>
      <c r="D109" t="inlineStr">
        <is>
          <t>JÄMTLANDS LÄN</t>
        </is>
      </c>
      <c r="E109" t="inlineStr">
        <is>
          <t>ÖSTERSUND</t>
        </is>
      </c>
      <c r="F109" t="inlineStr">
        <is>
          <t>SCA</t>
        </is>
      </c>
      <c r="G109" t="n">
        <v>1.9</v>
      </c>
      <c r="H109" t="n">
        <v>1</v>
      </c>
      <c r="I109" t="n">
        <v>1</v>
      </c>
      <c r="J109" t="n">
        <v>0</v>
      </c>
      <c r="K109" t="n">
        <v>0</v>
      </c>
      <c r="L109" t="n">
        <v>0</v>
      </c>
      <c r="M109" t="n">
        <v>0</v>
      </c>
      <c r="N109" t="n">
        <v>0</v>
      </c>
      <c r="O109" t="n">
        <v>0</v>
      </c>
      <c r="P109" t="n">
        <v>0</v>
      </c>
      <c r="Q109" t="n">
        <v>1</v>
      </c>
      <c r="R109" s="2" t="inlineStr">
        <is>
          <t>Tvåblad</t>
        </is>
      </c>
      <c r="S109">
        <f>HYPERLINK("https://klasma.github.io/Logging_2380/artfynd/A 30941-2019 artfynd.xlsx", "A 30941-2019")</f>
        <v/>
      </c>
      <c r="T109">
        <f>HYPERLINK("https://klasma.github.io/Logging_2380/kartor/A 30941-2019 karta.png", "A 30941-2019")</f>
        <v/>
      </c>
      <c r="V109">
        <f>HYPERLINK("https://klasma.github.io/Logging_2380/klagomål/A 30941-2019 FSC-klagomål.docx", "A 30941-2019")</f>
        <v/>
      </c>
      <c r="W109">
        <f>HYPERLINK("https://klasma.github.io/Logging_2380/klagomålsmail/A 30941-2019 FSC-klagomål mail.docx", "A 30941-2019")</f>
        <v/>
      </c>
      <c r="X109">
        <f>HYPERLINK("https://klasma.github.io/Logging_2380/tillsyn/A 30941-2019 tillsynsbegäran.docx", "A 30941-2019")</f>
        <v/>
      </c>
      <c r="Y109">
        <f>HYPERLINK("https://klasma.github.io/Logging_2380/tillsynsmail/A 30941-2019 tillsynsbegäran mail.docx", "A 30941-2019")</f>
        <v/>
      </c>
    </row>
    <row r="110" ht="15" customHeight="1">
      <c r="A110" t="inlineStr">
        <is>
          <t>A 57757-2019</t>
        </is>
      </c>
      <c r="B110" s="1" t="n">
        <v>43768</v>
      </c>
      <c r="C110" s="1" t="n">
        <v>45589</v>
      </c>
      <c r="D110" t="inlineStr">
        <is>
          <t>JÄMTLANDS LÄN</t>
        </is>
      </c>
      <c r="E110" t="inlineStr">
        <is>
          <t>ÖSTERSUND</t>
        </is>
      </c>
      <c r="G110" t="n">
        <v>1.3</v>
      </c>
      <c r="H110" t="n">
        <v>1</v>
      </c>
      <c r="I110" t="n">
        <v>0</v>
      </c>
      <c r="J110" t="n">
        <v>0</v>
      </c>
      <c r="K110" t="n">
        <v>0</v>
      </c>
      <c r="L110" t="n">
        <v>0</v>
      </c>
      <c r="M110" t="n">
        <v>0</v>
      </c>
      <c r="N110" t="n">
        <v>0</v>
      </c>
      <c r="O110" t="n">
        <v>0</v>
      </c>
      <c r="P110" t="n">
        <v>0</v>
      </c>
      <c r="Q110" t="n">
        <v>1</v>
      </c>
      <c r="R110" s="2" t="inlineStr">
        <is>
          <t>Revlummer</t>
        </is>
      </c>
      <c r="S110">
        <f>HYPERLINK("https://klasma.github.io/Logging_2380/artfynd/A 57757-2019 artfynd.xlsx", "A 57757-2019")</f>
        <v/>
      </c>
      <c r="T110">
        <f>HYPERLINK("https://klasma.github.io/Logging_2380/kartor/A 57757-2019 karta.png", "A 57757-2019")</f>
        <v/>
      </c>
      <c r="V110">
        <f>HYPERLINK("https://klasma.github.io/Logging_2380/klagomål/A 57757-2019 FSC-klagomål.docx", "A 57757-2019")</f>
        <v/>
      </c>
      <c r="W110">
        <f>HYPERLINK("https://klasma.github.io/Logging_2380/klagomålsmail/A 57757-2019 FSC-klagomål mail.docx", "A 57757-2019")</f>
        <v/>
      </c>
      <c r="X110">
        <f>HYPERLINK("https://klasma.github.io/Logging_2380/tillsyn/A 57757-2019 tillsynsbegäran.docx", "A 57757-2019")</f>
        <v/>
      </c>
      <c r="Y110">
        <f>HYPERLINK("https://klasma.github.io/Logging_2380/tillsynsmail/A 57757-2019 tillsynsbegäran mail.docx", "A 57757-2019")</f>
        <v/>
      </c>
    </row>
    <row r="111" ht="15" customHeight="1">
      <c r="A111" t="inlineStr">
        <is>
          <t>A 61628-2019</t>
        </is>
      </c>
      <c r="B111" s="1" t="n">
        <v>43784</v>
      </c>
      <c r="C111" s="1" t="n">
        <v>45589</v>
      </c>
      <c r="D111" t="inlineStr">
        <is>
          <t>JÄMTLANDS LÄN</t>
        </is>
      </c>
      <c r="E111" t="inlineStr">
        <is>
          <t>ÖSTERSUND</t>
        </is>
      </c>
      <c r="G111" t="n">
        <v>5.6</v>
      </c>
      <c r="H111" t="n">
        <v>0</v>
      </c>
      <c r="I111" t="n">
        <v>1</v>
      </c>
      <c r="J111" t="n">
        <v>0</v>
      </c>
      <c r="K111" t="n">
        <v>0</v>
      </c>
      <c r="L111" t="n">
        <v>0</v>
      </c>
      <c r="M111" t="n">
        <v>0</v>
      </c>
      <c r="N111" t="n">
        <v>0</v>
      </c>
      <c r="O111" t="n">
        <v>0</v>
      </c>
      <c r="P111" t="n">
        <v>0</v>
      </c>
      <c r="Q111" t="n">
        <v>1</v>
      </c>
      <c r="R111" s="2" t="inlineStr">
        <is>
          <t>Tibast</t>
        </is>
      </c>
      <c r="S111">
        <f>HYPERLINK("https://klasma.github.io/Logging_2380/artfynd/A 61628-2019 artfynd.xlsx", "A 61628-2019")</f>
        <v/>
      </c>
      <c r="T111">
        <f>HYPERLINK("https://klasma.github.io/Logging_2380/kartor/A 61628-2019 karta.png", "A 61628-2019")</f>
        <v/>
      </c>
      <c r="V111">
        <f>HYPERLINK("https://klasma.github.io/Logging_2380/klagomål/A 61628-2019 FSC-klagomål.docx", "A 61628-2019")</f>
        <v/>
      </c>
      <c r="W111">
        <f>HYPERLINK("https://klasma.github.io/Logging_2380/klagomålsmail/A 61628-2019 FSC-klagomål mail.docx", "A 61628-2019")</f>
        <v/>
      </c>
      <c r="X111">
        <f>HYPERLINK("https://klasma.github.io/Logging_2380/tillsyn/A 61628-2019 tillsynsbegäran.docx", "A 61628-2019")</f>
        <v/>
      </c>
      <c r="Y111">
        <f>HYPERLINK("https://klasma.github.io/Logging_2380/tillsynsmail/A 61628-2019 tillsynsbegäran mail.docx", "A 61628-2019")</f>
        <v/>
      </c>
    </row>
    <row r="112" ht="15" customHeight="1">
      <c r="A112" t="inlineStr">
        <is>
          <t>A 11561-2020</t>
        </is>
      </c>
      <c r="B112" s="1" t="n">
        <v>43893</v>
      </c>
      <c r="C112" s="1" t="n">
        <v>45589</v>
      </c>
      <c r="D112" t="inlineStr">
        <is>
          <t>JÄMTLANDS LÄN</t>
        </is>
      </c>
      <c r="E112" t="inlineStr">
        <is>
          <t>ÖSTERSUND</t>
        </is>
      </c>
      <c r="G112" t="n">
        <v>6.2</v>
      </c>
      <c r="H112" t="n">
        <v>1</v>
      </c>
      <c r="I112" t="n">
        <v>0</v>
      </c>
      <c r="J112" t="n">
        <v>0</v>
      </c>
      <c r="K112" t="n">
        <v>0</v>
      </c>
      <c r="L112" t="n">
        <v>0</v>
      </c>
      <c r="M112" t="n">
        <v>0</v>
      </c>
      <c r="N112" t="n">
        <v>0</v>
      </c>
      <c r="O112" t="n">
        <v>0</v>
      </c>
      <c r="P112" t="n">
        <v>0</v>
      </c>
      <c r="Q112" t="n">
        <v>1</v>
      </c>
      <c r="R112" s="2" t="inlineStr">
        <is>
          <t>Revlummer</t>
        </is>
      </c>
      <c r="S112">
        <f>HYPERLINK("https://klasma.github.io/Logging_2380/artfynd/A 11561-2020 artfynd.xlsx", "A 11561-2020")</f>
        <v/>
      </c>
      <c r="T112">
        <f>HYPERLINK("https://klasma.github.io/Logging_2380/kartor/A 11561-2020 karta.png", "A 11561-2020")</f>
        <v/>
      </c>
      <c r="V112">
        <f>HYPERLINK("https://klasma.github.io/Logging_2380/klagomål/A 11561-2020 FSC-klagomål.docx", "A 11561-2020")</f>
        <v/>
      </c>
      <c r="W112">
        <f>HYPERLINK("https://klasma.github.io/Logging_2380/klagomålsmail/A 11561-2020 FSC-klagomål mail.docx", "A 11561-2020")</f>
        <v/>
      </c>
      <c r="X112">
        <f>HYPERLINK("https://klasma.github.io/Logging_2380/tillsyn/A 11561-2020 tillsynsbegäran.docx", "A 11561-2020")</f>
        <v/>
      </c>
      <c r="Y112">
        <f>HYPERLINK("https://klasma.github.io/Logging_2380/tillsynsmail/A 11561-2020 tillsynsbegäran mail.docx", "A 11561-2020")</f>
        <v/>
      </c>
    </row>
    <row r="113" ht="15" customHeight="1">
      <c r="A113" t="inlineStr">
        <is>
          <t>A 35980-2020</t>
        </is>
      </c>
      <c r="B113" s="1" t="n">
        <v>44047</v>
      </c>
      <c r="C113" s="1" t="n">
        <v>45589</v>
      </c>
      <c r="D113" t="inlineStr">
        <is>
          <t>JÄMTLANDS LÄN</t>
        </is>
      </c>
      <c r="E113" t="inlineStr">
        <is>
          <t>ÖSTERSUND</t>
        </is>
      </c>
      <c r="G113" t="n">
        <v>0.7</v>
      </c>
      <c r="H113" t="n">
        <v>0</v>
      </c>
      <c r="I113" t="n">
        <v>0</v>
      </c>
      <c r="J113" t="n">
        <v>1</v>
      </c>
      <c r="K113" t="n">
        <v>0</v>
      </c>
      <c r="L113" t="n">
        <v>0</v>
      </c>
      <c r="M113" t="n">
        <v>0</v>
      </c>
      <c r="N113" t="n">
        <v>0</v>
      </c>
      <c r="O113" t="n">
        <v>1</v>
      </c>
      <c r="P113" t="n">
        <v>0</v>
      </c>
      <c r="Q113" t="n">
        <v>1</v>
      </c>
      <c r="R113" s="2" t="inlineStr">
        <is>
          <t>Slåtterfibbla</t>
        </is>
      </c>
      <c r="S113">
        <f>HYPERLINK("https://klasma.github.io/Logging_2380/artfynd/A 35980-2020 artfynd.xlsx", "A 35980-2020")</f>
        <v/>
      </c>
      <c r="T113">
        <f>HYPERLINK("https://klasma.github.io/Logging_2380/kartor/A 35980-2020 karta.png", "A 35980-2020")</f>
        <v/>
      </c>
      <c r="U113">
        <f>HYPERLINK("https://klasma.github.io/Logging_2380/knärot/A 35980-2020 karta knärot.png", "A 35980-2020")</f>
        <v/>
      </c>
      <c r="V113">
        <f>HYPERLINK("https://klasma.github.io/Logging_2380/klagomål/A 35980-2020 FSC-klagomål.docx", "A 35980-2020")</f>
        <v/>
      </c>
      <c r="W113">
        <f>HYPERLINK("https://klasma.github.io/Logging_2380/klagomålsmail/A 35980-2020 FSC-klagomål mail.docx", "A 35980-2020")</f>
        <v/>
      </c>
      <c r="X113">
        <f>HYPERLINK("https://klasma.github.io/Logging_2380/tillsyn/A 35980-2020 tillsynsbegäran.docx", "A 35980-2020")</f>
        <v/>
      </c>
      <c r="Y113">
        <f>HYPERLINK("https://klasma.github.io/Logging_2380/tillsynsmail/A 35980-2020 tillsynsbegäran mail.docx", "A 35980-2020")</f>
        <v/>
      </c>
    </row>
    <row r="114" ht="15" customHeight="1">
      <c r="A114" t="inlineStr">
        <is>
          <t>A 63775-2020</t>
        </is>
      </c>
      <c r="B114" s="1" t="n">
        <v>44165</v>
      </c>
      <c r="C114" s="1" t="n">
        <v>45589</v>
      </c>
      <c r="D114" t="inlineStr">
        <is>
          <t>JÄMTLANDS LÄN</t>
        </is>
      </c>
      <c r="E114" t="inlineStr">
        <is>
          <t>ÖSTERSUND</t>
        </is>
      </c>
      <c r="G114" t="n">
        <v>6.2</v>
      </c>
      <c r="H114" t="n">
        <v>1</v>
      </c>
      <c r="I114" t="n">
        <v>0</v>
      </c>
      <c r="J114" t="n">
        <v>0</v>
      </c>
      <c r="K114" t="n">
        <v>0</v>
      </c>
      <c r="L114" t="n">
        <v>0</v>
      </c>
      <c r="M114" t="n">
        <v>0</v>
      </c>
      <c r="N114" t="n">
        <v>0</v>
      </c>
      <c r="O114" t="n">
        <v>0</v>
      </c>
      <c r="P114" t="n">
        <v>0</v>
      </c>
      <c r="Q114" t="n">
        <v>1</v>
      </c>
      <c r="R114" s="2" t="inlineStr">
        <is>
          <t>Fläcknycklar</t>
        </is>
      </c>
      <c r="S114">
        <f>HYPERLINK("https://klasma.github.io/Logging_2380/artfynd/A 63775-2020 artfynd.xlsx", "A 63775-2020")</f>
        <v/>
      </c>
      <c r="T114">
        <f>HYPERLINK("https://klasma.github.io/Logging_2380/kartor/A 63775-2020 karta.png", "A 63775-2020")</f>
        <v/>
      </c>
      <c r="V114">
        <f>HYPERLINK("https://klasma.github.io/Logging_2380/klagomål/A 63775-2020 FSC-klagomål.docx", "A 63775-2020")</f>
        <v/>
      </c>
      <c r="W114">
        <f>HYPERLINK("https://klasma.github.io/Logging_2380/klagomålsmail/A 63775-2020 FSC-klagomål mail.docx", "A 63775-2020")</f>
        <v/>
      </c>
      <c r="X114">
        <f>HYPERLINK("https://klasma.github.io/Logging_2380/tillsyn/A 63775-2020 tillsynsbegäran.docx", "A 63775-2020")</f>
        <v/>
      </c>
      <c r="Y114">
        <f>HYPERLINK("https://klasma.github.io/Logging_2380/tillsynsmail/A 63775-2020 tillsynsbegäran mail.docx", "A 63775-2020")</f>
        <v/>
      </c>
    </row>
    <row r="115" ht="15" customHeight="1">
      <c r="A115" t="inlineStr">
        <is>
          <t>A 13362-2021</t>
        </is>
      </c>
      <c r="B115" s="1" t="n">
        <v>44272</v>
      </c>
      <c r="C115" s="1" t="n">
        <v>45589</v>
      </c>
      <c r="D115" t="inlineStr">
        <is>
          <t>JÄMTLANDS LÄN</t>
        </is>
      </c>
      <c r="E115" t="inlineStr">
        <is>
          <t>ÖSTERSUND</t>
        </is>
      </c>
      <c r="G115" t="n">
        <v>0.8</v>
      </c>
      <c r="H115" t="n">
        <v>1</v>
      </c>
      <c r="I115" t="n">
        <v>0</v>
      </c>
      <c r="J115" t="n">
        <v>0</v>
      </c>
      <c r="K115" t="n">
        <v>0</v>
      </c>
      <c r="L115" t="n">
        <v>0</v>
      </c>
      <c r="M115" t="n">
        <v>0</v>
      </c>
      <c r="N115" t="n">
        <v>0</v>
      </c>
      <c r="O115" t="n">
        <v>0</v>
      </c>
      <c r="P115" t="n">
        <v>0</v>
      </c>
      <c r="Q115" t="n">
        <v>1</v>
      </c>
      <c r="R115" s="2" t="inlineStr">
        <is>
          <t>Blåsippa</t>
        </is>
      </c>
      <c r="S115">
        <f>HYPERLINK("https://klasma.github.io/Logging_2380/artfynd/A 13362-2021 artfynd.xlsx", "A 13362-2021")</f>
        <v/>
      </c>
      <c r="T115">
        <f>HYPERLINK("https://klasma.github.io/Logging_2380/kartor/A 13362-2021 karta.png", "A 13362-2021")</f>
        <v/>
      </c>
      <c r="V115">
        <f>HYPERLINK("https://klasma.github.io/Logging_2380/klagomål/A 13362-2021 FSC-klagomål.docx", "A 13362-2021")</f>
        <v/>
      </c>
      <c r="W115">
        <f>HYPERLINK("https://klasma.github.io/Logging_2380/klagomålsmail/A 13362-2021 FSC-klagomål mail.docx", "A 13362-2021")</f>
        <v/>
      </c>
      <c r="X115">
        <f>HYPERLINK("https://klasma.github.io/Logging_2380/tillsyn/A 13362-2021 tillsynsbegäran.docx", "A 13362-2021")</f>
        <v/>
      </c>
      <c r="Y115">
        <f>HYPERLINK("https://klasma.github.io/Logging_2380/tillsynsmail/A 13362-2021 tillsynsbegäran mail.docx", "A 13362-2021")</f>
        <v/>
      </c>
    </row>
    <row r="116" ht="15" customHeight="1">
      <c r="A116" t="inlineStr">
        <is>
          <t>A 17217-2021</t>
        </is>
      </c>
      <c r="B116" s="1" t="n">
        <v>44298</v>
      </c>
      <c r="C116" s="1" t="n">
        <v>45589</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25839-2021</t>
        </is>
      </c>
      <c r="B117" s="1" t="n">
        <v>44343</v>
      </c>
      <c r="C117" s="1" t="n">
        <v>45589</v>
      </c>
      <c r="D117" t="inlineStr">
        <is>
          <t>JÄMTLANDS LÄN</t>
        </is>
      </c>
      <c r="E117" t="inlineStr">
        <is>
          <t>ÖSTERSUND</t>
        </is>
      </c>
      <c r="G117" t="n">
        <v>13</v>
      </c>
      <c r="H117" t="n">
        <v>1</v>
      </c>
      <c r="I117" t="n">
        <v>0</v>
      </c>
      <c r="J117" t="n">
        <v>0</v>
      </c>
      <c r="K117" t="n">
        <v>0</v>
      </c>
      <c r="L117" t="n">
        <v>1</v>
      </c>
      <c r="M117" t="n">
        <v>0</v>
      </c>
      <c r="N117" t="n">
        <v>0</v>
      </c>
      <c r="O117" t="n">
        <v>1</v>
      </c>
      <c r="P117" t="n">
        <v>1</v>
      </c>
      <c r="Q117" t="n">
        <v>1</v>
      </c>
      <c r="R117" s="2" t="inlineStr">
        <is>
          <t>Violett guldvinge</t>
        </is>
      </c>
      <c r="S117">
        <f>HYPERLINK("https://klasma.github.io/Logging_2380/artfynd/A 25839-2021 artfynd.xlsx", "A 25839-2021")</f>
        <v/>
      </c>
      <c r="T117">
        <f>HYPERLINK("https://klasma.github.io/Logging_2380/kartor/A 25839-2021 karta.png", "A 25839-2021")</f>
        <v/>
      </c>
      <c r="V117">
        <f>HYPERLINK("https://klasma.github.io/Logging_2380/klagomål/A 25839-2021 FSC-klagomål.docx", "A 25839-2021")</f>
        <v/>
      </c>
      <c r="W117">
        <f>HYPERLINK("https://klasma.github.io/Logging_2380/klagomålsmail/A 25839-2021 FSC-klagomål mail.docx", "A 25839-2021")</f>
        <v/>
      </c>
      <c r="X117">
        <f>HYPERLINK("https://klasma.github.io/Logging_2380/tillsyn/A 25839-2021 tillsynsbegäran.docx", "A 25839-2021")</f>
        <v/>
      </c>
      <c r="Y117">
        <f>HYPERLINK("https://klasma.github.io/Logging_2380/tillsynsmail/A 25839-2021 tillsynsbegäran mail.docx", "A 25839-2021")</f>
        <v/>
      </c>
    </row>
    <row r="118" ht="15" customHeight="1">
      <c r="A118" t="inlineStr">
        <is>
          <t>A 31328-2021</t>
        </is>
      </c>
      <c r="B118" s="1" t="n">
        <v>44368</v>
      </c>
      <c r="C118" s="1" t="n">
        <v>45589</v>
      </c>
      <c r="D118" t="inlineStr">
        <is>
          <t>JÄMTLANDS LÄN</t>
        </is>
      </c>
      <c r="E118" t="inlineStr">
        <is>
          <t>ÖSTERSUND</t>
        </is>
      </c>
      <c r="G118" t="n">
        <v>6.3</v>
      </c>
      <c r="H118" t="n">
        <v>1</v>
      </c>
      <c r="I118" t="n">
        <v>0</v>
      </c>
      <c r="J118" t="n">
        <v>0</v>
      </c>
      <c r="K118" t="n">
        <v>0</v>
      </c>
      <c r="L118" t="n">
        <v>0</v>
      </c>
      <c r="M118" t="n">
        <v>0</v>
      </c>
      <c r="N118" t="n">
        <v>0</v>
      </c>
      <c r="O118" t="n">
        <v>0</v>
      </c>
      <c r="P118" t="n">
        <v>0</v>
      </c>
      <c r="Q118" t="n">
        <v>1</v>
      </c>
      <c r="R118" s="2" t="inlineStr">
        <is>
          <t>Fläcknycklar</t>
        </is>
      </c>
      <c r="S118">
        <f>HYPERLINK("https://klasma.github.io/Logging_2380/artfynd/A 31328-2021 artfynd.xlsx", "A 31328-2021")</f>
        <v/>
      </c>
      <c r="T118">
        <f>HYPERLINK("https://klasma.github.io/Logging_2380/kartor/A 31328-2021 karta.png", "A 31328-2021")</f>
        <v/>
      </c>
      <c r="V118">
        <f>HYPERLINK("https://klasma.github.io/Logging_2380/klagomål/A 31328-2021 FSC-klagomål.docx", "A 31328-2021")</f>
        <v/>
      </c>
      <c r="W118">
        <f>HYPERLINK("https://klasma.github.io/Logging_2380/klagomålsmail/A 31328-2021 FSC-klagomål mail.docx", "A 31328-2021")</f>
        <v/>
      </c>
      <c r="X118">
        <f>HYPERLINK("https://klasma.github.io/Logging_2380/tillsyn/A 31328-2021 tillsynsbegäran.docx", "A 31328-2021")</f>
        <v/>
      </c>
      <c r="Y118">
        <f>HYPERLINK("https://klasma.github.io/Logging_2380/tillsynsmail/A 31328-2021 tillsynsbegäran mail.docx", "A 31328-2021")</f>
        <v/>
      </c>
    </row>
    <row r="119" ht="15" customHeight="1">
      <c r="A119" t="inlineStr">
        <is>
          <t>A 33137-2021</t>
        </is>
      </c>
      <c r="B119" s="1" t="n">
        <v>44376</v>
      </c>
      <c r="C119" s="1" t="n">
        <v>45589</v>
      </c>
      <c r="D119" t="inlineStr">
        <is>
          <t>JÄMTLANDS LÄN</t>
        </is>
      </c>
      <c r="E119" t="inlineStr">
        <is>
          <t>ÖSTERSUND</t>
        </is>
      </c>
      <c r="F119" t="inlineStr">
        <is>
          <t>Kommuner</t>
        </is>
      </c>
      <c r="G119" t="n">
        <v>3.7</v>
      </c>
      <c r="H119" t="n">
        <v>1</v>
      </c>
      <c r="I119" t="n">
        <v>1</v>
      </c>
      <c r="J119" t="n">
        <v>0</v>
      </c>
      <c r="K119" t="n">
        <v>0</v>
      </c>
      <c r="L119" t="n">
        <v>0</v>
      </c>
      <c r="M119" t="n">
        <v>0</v>
      </c>
      <c r="N119" t="n">
        <v>0</v>
      </c>
      <c r="O119" t="n">
        <v>0</v>
      </c>
      <c r="P119" t="n">
        <v>0</v>
      </c>
      <c r="Q119" t="n">
        <v>1</v>
      </c>
      <c r="R119" s="2" t="inlineStr">
        <is>
          <t>Guckusko</t>
        </is>
      </c>
      <c r="S119">
        <f>HYPERLINK("https://klasma.github.io/Logging_2380/artfynd/A 33137-2021 artfynd.xlsx", "A 33137-2021")</f>
        <v/>
      </c>
      <c r="T119">
        <f>HYPERLINK("https://klasma.github.io/Logging_2380/kartor/A 33137-2021 karta.png", "A 33137-2021")</f>
        <v/>
      </c>
      <c r="V119">
        <f>HYPERLINK("https://klasma.github.io/Logging_2380/klagomål/A 33137-2021 FSC-klagomål.docx", "A 33137-2021")</f>
        <v/>
      </c>
      <c r="W119">
        <f>HYPERLINK("https://klasma.github.io/Logging_2380/klagomålsmail/A 33137-2021 FSC-klagomål mail.docx", "A 33137-2021")</f>
        <v/>
      </c>
      <c r="X119">
        <f>HYPERLINK("https://klasma.github.io/Logging_2380/tillsyn/A 33137-2021 tillsynsbegäran.docx", "A 33137-2021")</f>
        <v/>
      </c>
      <c r="Y119">
        <f>HYPERLINK("https://klasma.github.io/Logging_2380/tillsynsmail/A 33137-2021 tillsynsbegäran mail.docx", "A 33137-2021")</f>
        <v/>
      </c>
    </row>
    <row r="120" ht="15" customHeight="1">
      <c r="A120" t="inlineStr">
        <is>
          <t>A 46163-2021</t>
        </is>
      </c>
      <c r="B120" s="1" t="n">
        <v>44441</v>
      </c>
      <c r="C120" s="1" t="n">
        <v>45589</v>
      </c>
      <c r="D120" t="inlineStr">
        <is>
          <t>JÄMTLANDS LÄN</t>
        </is>
      </c>
      <c r="E120" t="inlineStr">
        <is>
          <t>ÖSTERSUND</t>
        </is>
      </c>
      <c r="G120" t="n">
        <v>7.7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46163-2021 artfynd.xlsx", "A 46163-2021")</f>
        <v/>
      </c>
      <c r="T120">
        <f>HYPERLINK("https://klasma.github.io/Logging_2380/kartor/A 46163-2021 karta.png", "A 46163-2021")</f>
        <v/>
      </c>
      <c r="V120">
        <f>HYPERLINK("https://klasma.github.io/Logging_2380/klagomål/A 46163-2021 FSC-klagomål.docx", "A 46163-2021")</f>
        <v/>
      </c>
      <c r="W120">
        <f>HYPERLINK("https://klasma.github.io/Logging_2380/klagomålsmail/A 46163-2021 FSC-klagomål mail.docx", "A 46163-2021")</f>
        <v/>
      </c>
      <c r="X120">
        <f>HYPERLINK("https://klasma.github.io/Logging_2380/tillsyn/A 46163-2021 tillsynsbegäran.docx", "A 46163-2021")</f>
        <v/>
      </c>
      <c r="Y120">
        <f>HYPERLINK("https://klasma.github.io/Logging_2380/tillsynsmail/A 46163-2021 tillsynsbegäran mail.docx", "A 46163-2021")</f>
        <v/>
      </c>
      <c r="Z120">
        <f>HYPERLINK("https://klasma.github.io/Logging_2380/fåglar/A 46163-2021 prioriterade fågelarter.docx", "A 46163-2021")</f>
        <v/>
      </c>
    </row>
    <row r="121" ht="15" customHeight="1">
      <c r="A121" t="inlineStr">
        <is>
          <t>A 55821-2021</t>
        </is>
      </c>
      <c r="B121" s="1" t="n">
        <v>44476</v>
      </c>
      <c r="C121" s="1" t="n">
        <v>45589</v>
      </c>
      <c r="D121" t="inlineStr">
        <is>
          <t>JÄMTLANDS LÄN</t>
        </is>
      </c>
      <c r="E121" t="inlineStr">
        <is>
          <t>ÖSTERSUND</t>
        </is>
      </c>
      <c r="G121" t="n">
        <v>7.2</v>
      </c>
      <c r="H121" t="n">
        <v>0</v>
      </c>
      <c r="I121" t="n">
        <v>0</v>
      </c>
      <c r="J121" t="n">
        <v>1</v>
      </c>
      <c r="K121" t="n">
        <v>0</v>
      </c>
      <c r="L121" t="n">
        <v>0</v>
      </c>
      <c r="M121" t="n">
        <v>0</v>
      </c>
      <c r="N121" t="n">
        <v>0</v>
      </c>
      <c r="O121" t="n">
        <v>1</v>
      </c>
      <c r="P121" t="n">
        <v>0</v>
      </c>
      <c r="Q121" t="n">
        <v>1</v>
      </c>
      <c r="R121" s="2" t="inlineStr">
        <is>
          <t>Harticka</t>
        </is>
      </c>
      <c r="S121">
        <f>HYPERLINK("https://klasma.github.io/Logging_2380/artfynd/A 55821-2021 artfynd.xlsx", "A 55821-2021")</f>
        <v/>
      </c>
      <c r="T121">
        <f>HYPERLINK("https://klasma.github.io/Logging_2380/kartor/A 55821-2021 karta.png", "A 55821-2021")</f>
        <v/>
      </c>
      <c r="V121">
        <f>HYPERLINK("https://klasma.github.io/Logging_2380/klagomål/A 55821-2021 FSC-klagomål.docx", "A 55821-2021")</f>
        <v/>
      </c>
      <c r="W121">
        <f>HYPERLINK("https://klasma.github.io/Logging_2380/klagomålsmail/A 55821-2021 FSC-klagomål mail.docx", "A 55821-2021")</f>
        <v/>
      </c>
      <c r="X121">
        <f>HYPERLINK("https://klasma.github.io/Logging_2380/tillsyn/A 55821-2021 tillsynsbegäran.docx", "A 55821-2021")</f>
        <v/>
      </c>
      <c r="Y121">
        <f>HYPERLINK("https://klasma.github.io/Logging_2380/tillsynsmail/A 55821-2021 tillsynsbegäran mail.docx", "A 55821-2021")</f>
        <v/>
      </c>
    </row>
    <row r="122" ht="15" customHeight="1">
      <c r="A122" t="inlineStr">
        <is>
          <t>A 59433-2021</t>
        </is>
      </c>
      <c r="B122" s="1" t="n">
        <v>44491</v>
      </c>
      <c r="C122" s="1" t="n">
        <v>45589</v>
      </c>
      <c r="D122" t="inlineStr">
        <is>
          <t>JÄMTLANDS LÄN</t>
        </is>
      </c>
      <c r="E122" t="inlineStr">
        <is>
          <t>ÖSTERSUND</t>
        </is>
      </c>
      <c r="F122" t="inlineStr">
        <is>
          <t>Övriga statliga verk och myndigheter</t>
        </is>
      </c>
      <c r="G122" t="n">
        <v>1.6</v>
      </c>
      <c r="H122" t="n">
        <v>0</v>
      </c>
      <c r="I122" t="n">
        <v>0</v>
      </c>
      <c r="J122" t="n">
        <v>1</v>
      </c>
      <c r="K122" t="n">
        <v>0</v>
      </c>
      <c r="L122" t="n">
        <v>0</v>
      </c>
      <c r="M122" t="n">
        <v>0</v>
      </c>
      <c r="N122" t="n">
        <v>0</v>
      </c>
      <c r="O122" t="n">
        <v>1</v>
      </c>
      <c r="P122" t="n">
        <v>0</v>
      </c>
      <c r="Q122" t="n">
        <v>1</v>
      </c>
      <c r="R122" s="2" t="inlineStr">
        <is>
          <t>Brunpudrad nållav</t>
        </is>
      </c>
      <c r="S122">
        <f>HYPERLINK("https://klasma.github.io/Logging_2380/artfynd/A 59433-2021 artfynd.xlsx", "A 59433-2021")</f>
        <v/>
      </c>
      <c r="T122">
        <f>HYPERLINK("https://klasma.github.io/Logging_2380/kartor/A 59433-2021 karta.png", "A 59433-2021")</f>
        <v/>
      </c>
      <c r="V122">
        <f>HYPERLINK("https://klasma.github.io/Logging_2380/klagomål/A 59433-2021 FSC-klagomål.docx", "A 59433-2021")</f>
        <v/>
      </c>
      <c r="W122">
        <f>HYPERLINK("https://klasma.github.io/Logging_2380/klagomålsmail/A 59433-2021 FSC-klagomål mail.docx", "A 59433-2021")</f>
        <v/>
      </c>
      <c r="X122">
        <f>HYPERLINK("https://klasma.github.io/Logging_2380/tillsyn/A 59433-2021 tillsynsbegäran.docx", "A 59433-2021")</f>
        <v/>
      </c>
      <c r="Y122">
        <f>HYPERLINK("https://klasma.github.io/Logging_2380/tillsynsmail/A 59433-2021 tillsynsbegäran mail.docx", "A 59433-2021")</f>
        <v/>
      </c>
    </row>
    <row r="123" ht="15" customHeight="1">
      <c r="A123" t="inlineStr">
        <is>
          <t>A 9739-2022</t>
        </is>
      </c>
      <c r="B123" s="1" t="n">
        <v>44617</v>
      </c>
      <c r="C123" s="1" t="n">
        <v>45589</v>
      </c>
      <c r="D123" t="inlineStr">
        <is>
          <t>JÄMTLANDS LÄN</t>
        </is>
      </c>
      <c r="E123" t="inlineStr">
        <is>
          <t>ÖSTERSUND</t>
        </is>
      </c>
      <c r="F123" t="inlineStr">
        <is>
          <t>SCA</t>
        </is>
      </c>
      <c r="G123" t="n">
        <v>13.5</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9739-2022 artfynd.xlsx", "A 9739-2022")</f>
        <v/>
      </c>
      <c r="T123">
        <f>HYPERLINK("https://klasma.github.io/Logging_2380/kartor/A 9739-2022 karta.png", "A 9739-2022")</f>
        <v/>
      </c>
      <c r="V123">
        <f>HYPERLINK("https://klasma.github.io/Logging_2380/klagomål/A 9739-2022 FSC-klagomål.docx", "A 9739-2022")</f>
        <v/>
      </c>
      <c r="W123">
        <f>HYPERLINK("https://klasma.github.io/Logging_2380/klagomålsmail/A 9739-2022 FSC-klagomål mail.docx", "A 9739-2022")</f>
        <v/>
      </c>
      <c r="X123">
        <f>HYPERLINK("https://klasma.github.io/Logging_2380/tillsyn/A 9739-2022 tillsynsbegäran.docx", "A 9739-2022")</f>
        <v/>
      </c>
      <c r="Y123">
        <f>HYPERLINK("https://klasma.github.io/Logging_2380/tillsynsmail/A 9739-2022 tillsynsbegäran mail.docx", "A 9739-2022")</f>
        <v/>
      </c>
    </row>
    <row r="124" ht="15" customHeight="1">
      <c r="A124" t="inlineStr">
        <is>
          <t>A 10336-2022</t>
        </is>
      </c>
      <c r="B124" s="1" t="n">
        <v>44623</v>
      </c>
      <c r="C124" s="1" t="n">
        <v>45589</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19798-2022</t>
        </is>
      </c>
      <c r="B125" s="1" t="n">
        <v>44694</v>
      </c>
      <c r="C125" s="1" t="n">
        <v>45589</v>
      </c>
      <c r="D125" t="inlineStr">
        <is>
          <t>JÄMTLANDS LÄN</t>
        </is>
      </c>
      <c r="E125" t="inlineStr">
        <is>
          <t>ÖSTERSUND</t>
        </is>
      </c>
      <c r="F125" t="inlineStr">
        <is>
          <t>SCA</t>
        </is>
      </c>
      <c r="G125" t="n">
        <v>1</v>
      </c>
      <c r="H125" t="n">
        <v>1</v>
      </c>
      <c r="I125" t="n">
        <v>1</v>
      </c>
      <c r="J125" t="n">
        <v>0</v>
      </c>
      <c r="K125" t="n">
        <v>0</v>
      </c>
      <c r="L125" t="n">
        <v>0</v>
      </c>
      <c r="M125" t="n">
        <v>0</v>
      </c>
      <c r="N125" t="n">
        <v>0</v>
      </c>
      <c r="O125" t="n">
        <v>0</v>
      </c>
      <c r="P125" t="n">
        <v>0</v>
      </c>
      <c r="Q125" t="n">
        <v>1</v>
      </c>
      <c r="R125" s="2" t="inlineStr">
        <is>
          <t>Guckusko</t>
        </is>
      </c>
      <c r="S125">
        <f>HYPERLINK("https://klasma.github.io/Logging_2380/artfynd/A 19798-2022 artfynd.xlsx", "A 19798-2022")</f>
        <v/>
      </c>
      <c r="T125">
        <f>HYPERLINK("https://klasma.github.io/Logging_2380/kartor/A 19798-2022 karta.png", "A 19798-2022")</f>
        <v/>
      </c>
      <c r="V125">
        <f>HYPERLINK("https://klasma.github.io/Logging_2380/klagomål/A 19798-2022 FSC-klagomål.docx", "A 19798-2022")</f>
        <v/>
      </c>
      <c r="W125">
        <f>HYPERLINK("https://klasma.github.io/Logging_2380/klagomålsmail/A 19798-2022 FSC-klagomål mail.docx", "A 19798-2022")</f>
        <v/>
      </c>
      <c r="X125">
        <f>HYPERLINK("https://klasma.github.io/Logging_2380/tillsyn/A 19798-2022 tillsynsbegäran.docx", "A 19798-2022")</f>
        <v/>
      </c>
      <c r="Y125">
        <f>HYPERLINK("https://klasma.github.io/Logging_2380/tillsynsmail/A 19798-2022 tillsynsbegäran mail.docx", "A 19798-2022")</f>
        <v/>
      </c>
    </row>
    <row r="126" ht="15" customHeight="1">
      <c r="A126" t="inlineStr">
        <is>
          <t>A 27578-2022</t>
        </is>
      </c>
      <c r="B126" s="1" t="n">
        <v>44742</v>
      </c>
      <c r="C126" s="1" t="n">
        <v>45589</v>
      </c>
      <c r="D126" t="inlineStr">
        <is>
          <t>JÄMTLANDS LÄN</t>
        </is>
      </c>
      <c r="E126" t="inlineStr">
        <is>
          <t>ÖSTERSUND</t>
        </is>
      </c>
      <c r="F126" t="inlineStr">
        <is>
          <t>SCA</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HYPERLINK("https://klasma.github.io/Logging_2380/artfynd/A 27578-2022 artfynd.xlsx", "A 27578-2022")</f>
        <v/>
      </c>
      <c r="T126">
        <f>HYPERLINK("https://klasma.github.io/Logging_2380/kartor/A 27578-2022 karta.png", "A 27578-2022")</f>
        <v/>
      </c>
      <c r="V126">
        <f>HYPERLINK("https://klasma.github.io/Logging_2380/klagomål/A 27578-2022 FSC-klagomål.docx", "A 27578-2022")</f>
        <v/>
      </c>
      <c r="W126">
        <f>HYPERLINK("https://klasma.github.io/Logging_2380/klagomålsmail/A 27578-2022 FSC-klagomål mail.docx", "A 27578-2022")</f>
        <v/>
      </c>
      <c r="X126">
        <f>HYPERLINK("https://klasma.github.io/Logging_2380/tillsyn/A 27578-2022 tillsynsbegäran.docx", "A 27578-2022")</f>
        <v/>
      </c>
      <c r="Y126">
        <f>HYPERLINK("https://klasma.github.io/Logging_2380/tillsynsmail/A 27578-2022 tillsynsbegäran mail.docx", "A 27578-2022")</f>
        <v/>
      </c>
    </row>
    <row r="127" ht="15" customHeight="1">
      <c r="A127" t="inlineStr">
        <is>
          <t>A 27576-2022</t>
        </is>
      </c>
      <c r="B127" s="1" t="n">
        <v>44742</v>
      </c>
      <c r="C127" s="1" t="n">
        <v>45589</v>
      </c>
      <c r="D127" t="inlineStr">
        <is>
          <t>JÄMTLANDS LÄN</t>
        </is>
      </c>
      <c r="E127" t="inlineStr">
        <is>
          <t>ÖSTERSUND</t>
        </is>
      </c>
      <c r="F127" t="inlineStr">
        <is>
          <t>SCA</t>
        </is>
      </c>
      <c r="G127" t="n">
        <v>0.6</v>
      </c>
      <c r="H127" t="n">
        <v>0</v>
      </c>
      <c r="I127" t="n">
        <v>0</v>
      </c>
      <c r="J127" t="n">
        <v>1</v>
      </c>
      <c r="K127" t="n">
        <v>0</v>
      </c>
      <c r="L127" t="n">
        <v>0</v>
      </c>
      <c r="M127" t="n">
        <v>0</v>
      </c>
      <c r="N127" t="n">
        <v>0</v>
      </c>
      <c r="O127" t="n">
        <v>1</v>
      </c>
      <c r="P127" t="n">
        <v>0</v>
      </c>
      <c r="Q127" t="n">
        <v>1</v>
      </c>
      <c r="R127" s="2" t="inlineStr">
        <is>
          <t>Ullticka</t>
        </is>
      </c>
      <c r="S127">
        <f>HYPERLINK("https://klasma.github.io/Logging_2380/artfynd/A 27576-2022 artfynd.xlsx", "A 27576-2022")</f>
        <v/>
      </c>
      <c r="T127">
        <f>HYPERLINK("https://klasma.github.io/Logging_2380/kartor/A 27576-2022 karta.png", "A 27576-2022")</f>
        <v/>
      </c>
      <c r="U127">
        <f>HYPERLINK("https://klasma.github.io/Logging_2380/knärot/A 27576-2022 karta knärot.png", "A 27576-2022")</f>
        <v/>
      </c>
      <c r="V127">
        <f>HYPERLINK("https://klasma.github.io/Logging_2380/klagomål/A 27576-2022 FSC-klagomål.docx", "A 27576-2022")</f>
        <v/>
      </c>
      <c r="W127">
        <f>HYPERLINK("https://klasma.github.io/Logging_2380/klagomålsmail/A 27576-2022 FSC-klagomål mail.docx", "A 27576-2022")</f>
        <v/>
      </c>
      <c r="X127">
        <f>HYPERLINK("https://klasma.github.io/Logging_2380/tillsyn/A 27576-2022 tillsynsbegäran.docx", "A 27576-2022")</f>
        <v/>
      </c>
      <c r="Y127">
        <f>HYPERLINK("https://klasma.github.io/Logging_2380/tillsynsmail/A 27576-2022 tillsynsbegäran mail.docx", "A 27576-2022")</f>
        <v/>
      </c>
    </row>
    <row r="128" ht="15" customHeight="1">
      <c r="A128" t="inlineStr">
        <is>
          <t>A 33267-2022</t>
        </is>
      </c>
      <c r="B128" s="1" t="n">
        <v>44785</v>
      </c>
      <c r="C128" s="1" t="n">
        <v>45589</v>
      </c>
      <c r="D128" t="inlineStr">
        <is>
          <t>JÄMTLANDS LÄN</t>
        </is>
      </c>
      <c r="E128" t="inlineStr">
        <is>
          <t>ÖSTERSUND</t>
        </is>
      </c>
      <c r="G128" t="n">
        <v>0.9</v>
      </c>
      <c r="H128" t="n">
        <v>1</v>
      </c>
      <c r="I128" t="n">
        <v>0</v>
      </c>
      <c r="J128" t="n">
        <v>1</v>
      </c>
      <c r="K128" t="n">
        <v>0</v>
      </c>
      <c r="L128" t="n">
        <v>0</v>
      </c>
      <c r="M128" t="n">
        <v>0</v>
      </c>
      <c r="N128" t="n">
        <v>0</v>
      </c>
      <c r="O128" t="n">
        <v>1</v>
      </c>
      <c r="P128" t="n">
        <v>0</v>
      </c>
      <c r="Q128" t="n">
        <v>1</v>
      </c>
      <c r="R128" s="2" t="inlineStr">
        <is>
          <t>Talltita</t>
        </is>
      </c>
      <c r="S128">
        <f>HYPERLINK("https://klasma.github.io/Logging_2380/artfynd/A 33267-2022 artfynd.xlsx", "A 33267-2022")</f>
        <v/>
      </c>
      <c r="T128">
        <f>HYPERLINK("https://klasma.github.io/Logging_2380/kartor/A 33267-2022 karta.png", "A 33267-2022")</f>
        <v/>
      </c>
      <c r="V128">
        <f>HYPERLINK("https://klasma.github.io/Logging_2380/klagomål/A 33267-2022 FSC-klagomål.docx", "A 33267-2022")</f>
        <v/>
      </c>
      <c r="W128">
        <f>HYPERLINK("https://klasma.github.io/Logging_2380/klagomålsmail/A 33267-2022 FSC-klagomål mail.docx", "A 33267-2022")</f>
        <v/>
      </c>
      <c r="X128">
        <f>HYPERLINK("https://klasma.github.io/Logging_2380/tillsyn/A 33267-2022 tillsynsbegäran.docx", "A 33267-2022")</f>
        <v/>
      </c>
      <c r="Y128">
        <f>HYPERLINK("https://klasma.github.io/Logging_2380/tillsynsmail/A 33267-2022 tillsynsbegäran mail.docx", "A 33267-2022")</f>
        <v/>
      </c>
      <c r="Z128">
        <f>HYPERLINK("https://klasma.github.io/Logging_2380/fåglar/A 33267-2022 prioriterade fågelarter.docx", "A 33267-2022")</f>
        <v/>
      </c>
    </row>
    <row r="129" ht="15" customHeight="1">
      <c r="A129" t="inlineStr">
        <is>
          <t>A 43947-2022</t>
        </is>
      </c>
      <c r="B129" s="1" t="n">
        <v>44838</v>
      </c>
      <c r="C129" s="1" t="n">
        <v>45589</v>
      </c>
      <c r="D129" t="inlineStr">
        <is>
          <t>JÄMTLANDS LÄN</t>
        </is>
      </c>
      <c r="E129" t="inlineStr">
        <is>
          <t>ÖSTERSUND</t>
        </is>
      </c>
      <c r="F129" t="inlineStr">
        <is>
          <t>Övriga Aktiebolag</t>
        </is>
      </c>
      <c r="G129" t="n">
        <v>15.7</v>
      </c>
      <c r="H129" t="n">
        <v>0</v>
      </c>
      <c r="I129" t="n">
        <v>0</v>
      </c>
      <c r="J129" t="n">
        <v>0</v>
      </c>
      <c r="K129" t="n">
        <v>1</v>
      </c>
      <c r="L129" t="n">
        <v>0</v>
      </c>
      <c r="M129" t="n">
        <v>0</v>
      </c>
      <c r="N129" t="n">
        <v>0</v>
      </c>
      <c r="O129" t="n">
        <v>1</v>
      </c>
      <c r="P129" t="n">
        <v>1</v>
      </c>
      <c r="Q129" t="n">
        <v>1</v>
      </c>
      <c r="R129" s="2" t="inlineStr">
        <is>
          <t>Sprickporing</t>
        </is>
      </c>
      <c r="S129">
        <f>HYPERLINK("https://klasma.github.io/Logging_2380/artfynd/A 43947-2022 artfynd.xlsx", "A 43947-2022")</f>
        <v/>
      </c>
      <c r="T129">
        <f>HYPERLINK("https://klasma.github.io/Logging_2380/kartor/A 43947-2022 karta.png", "A 43947-2022")</f>
        <v/>
      </c>
      <c r="V129">
        <f>HYPERLINK("https://klasma.github.io/Logging_2380/klagomål/A 43947-2022 FSC-klagomål.docx", "A 43947-2022")</f>
        <v/>
      </c>
      <c r="W129">
        <f>HYPERLINK("https://klasma.github.io/Logging_2380/klagomålsmail/A 43947-2022 FSC-klagomål mail.docx", "A 43947-2022")</f>
        <v/>
      </c>
      <c r="X129">
        <f>HYPERLINK("https://klasma.github.io/Logging_2380/tillsyn/A 43947-2022 tillsynsbegäran.docx", "A 43947-2022")</f>
        <v/>
      </c>
      <c r="Y129">
        <f>HYPERLINK("https://klasma.github.io/Logging_2380/tillsynsmail/A 43947-2022 tillsynsbegäran mail.docx", "A 43947-2022")</f>
        <v/>
      </c>
    </row>
    <row r="130" ht="15" customHeight="1">
      <c r="A130" t="inlineStr">
        <is>
          <t>A 45441-2022</t>
        </is>
      </c>
      <c r="B130" s="1" t="n">
        <v>44844</v>
      </c>
      <c r="C130" s="1" t="n">
        <v>45589</v>
      </c>
      <c r="D130" t="inlineStr">
        <is>
          <t>JÄMTLANDS LÄN</t>
        </is>
      </c>
      <c r="E130" t="inlineStr">
        <is>
          <t>ÖSTERSUND</t>
        </is>
      </c>
      <c r="F130" t="inlineStr">
        <is>
          <t>SCA</t>
        </is>
      </c>
      <c r="G130" t="n">
        <v>1.8</v>
      </c>
      <c r="H130" t="n">
        <v>0</v>
      </c>
      <c r="I130" t="n">
        <v>1</v>
      </c>
      <c r="J130" t="n">
        <v>0</v>
      </c>
      <c r="K130" t="n">
        <v>0</v>
      </c>
      <c r="L130" t="n">
        <v>0</v>
      </c>
      <c r="M130" t="n">
        <v>0</v>
      </c>
      <c r="N130" t="n">
        <v>0</v>
      </c>
      <c r="O130" t="n">
        <v>0</v>
      </c>
      <c r="P130" t="n">
        <v>0</v>
      </c>
      <c r="Q130" t="n">
        <v>1</v>
      </c>
      <c r="R130" s="2" t="inlineStr">
        <is>
          <t>Korallblylav</t>
        </is>
      </c>
      <c r="S130">
        <f>HYPERLINK("https://klasma.github.io/Logging_2380/artfynd/A 45441-2022 artfynd.xlsx", "A 45441-2022")</f>
        <v/>
      </c>
      <c r="T130">
        <f>HYPERLINK("https://klasma.github.io/Logging_2380/kartor/A 45441-2022 karta.png", "A 45441-2022")</f>
        <v/>
      </c>
      <c r="V130">
        <f>HYPERLINK("https://klasma.github.io/Logging_2380/klagomål/A 45441-2022 FSC-klagomål.docx", "A 45441-2022")</f>
        <v/>
      </c>
      <c r="W130">
        <f>HYPERLINK("https://klasma.github.io/Logging_2380/klagomålsmail/A 45441-2022 FSC-klagomål mail.docx", "A 45441-2022")</f>
        <v/>
      </c>
      <c r="X130">
        <f>HYPERLINK("https://klasma.github.io/Logging_2380/tillsyn/A 45441-2022 tillsynsbegäran.docx", "A 45441-2022")</f>
        <v/>
      </c>
      <c r="Y130">
        <f>HYPERLINK("https://klasma.github.io/Logging_2380/tillsynsmail/A 45441-2022 tillsynsbegäran mail.docx", "A 45441-2022")</f>
        <v/>
      </c>
    </row>
    <row r="131" ht="15" customHeight="1">
      <c r="A131" t="inlineStr">
        <is>
          <t>A 56245-2022</t>
        </is>
      </c>
      <c r="B131" s="1" t="n">
        <v>44890</v>
      </c>
      <c r="C131" s="1" t="n">
        <v>45589</v>
      </c>
      <c r="D131" t="inlineStr">
        <is>
          <t>JÄMTLANDS LÄN</t>
        </is>
      </c>
      <c r="E131" t="inlineStr">
        <is>
          <t>ÖSTERSUND</t>
        </is>
      </c>
      <c r="F131" t="inlineStr">
        <is>
          <t>Övriga Aktiebolag</t>
        </is>
      </c>
      <c r="G131" t="n">
        <v>10.6</v>
      </c>
      <c r="H131" t="n">
        <v>0</v>
      </c>
      <c r="I131" t="n">
        <v>0</v>
      </c>
      <c r="J131" t="n">
        <v>1</v>
      </c>
      <c r="K131" t="n">
        <v>0</v>
      </c>
      <c r="L131" t="n">
        <v>0</v>
      </c>
      <c r="M131" t="n">
        <v>0</v>
      </c>
      <c r="N131" t="n">
        <v>0</v>
      </c>
      <c r="O131" t="n">
        <v>1</v>
      </c>
      <c r="P131" t="n">
        <v>0</v>
      </c>
      <c r="Q131" t="n">
        <v>1</v>
      </c>
      <c r="R131" s="2" t="inlineStr">
        <is>
          <t>Garnlav</t>
        </is>
      </c>
      <c r="S131">
        <f>HYPERLINK("https://klasma.github.io/Logging_2380/artfynd/A 56245-2022 artfynd.xlsx", "A 56245-2022")</f>
        <v/>
      </c>
      <c r="T131">
        <f>HYPERLINK("https://klasma.github.io/Logging_2380/kartor/A 56245-2022 karta.png", "A 56245-2022")</f>
        <v/>
      </c>
      <c r="V131">
        <f>HYPERLINK("https://klasma.github.io/Logging_2380/klagomål/A 56245-2022 FSC-klagomål.docx", "A 56245-2022")</f>
        <v/>
      </c>
      <c r="W131">
        <f>HYPERLINK("https://klasma.github.io/Logging_2380/klagomålsmail/A 56245-2022 FSC-klagomål mail.docx", "A 56245-2022")</f>
        <v/>
      </c>
      <c r="X131">
        <f>HYPERLINK("https://klasma.github.io/Logging_2380/tillsyn/A 56245-2022 tillsynsbegäran.docx", "A 56245-2022")</f>
        <v/>
      </c>
      <c r="Y131">
        <f>HYPERLINK("https://klasma.github.io/Logging_2380/tillsynsmail/A 56245-2022 tillsynsbegäran mail.docx", "A 56245-2022")</f>
        <v/>
      </c>
    </row>
    <row r="132" ht="15" customHeight="1">
      <c r="A132" t="inlineStr">
        <is>
          <t>A 58181-2022</t>
        </is>
      </c>
      <c r="B132" s="1" t="n">
        <v>44900</v>
      </c>
      <c r="C132" s="1" t="n">
        <v>45589</v>
      </c>
      <c r="D132" t="inlineStr">
        <is>
          <t>JÄMTLANDS LÄN</t>
        </is>
      </c>
      <c r="E132" t="inlineStr">
        <is>
          <t>ÖSTERSUND</t>
        </is>
      </c>
      <c r="G132" t="n">
        <v>14.8</v>
      </c>
      <c r="H132" t="n">
        <v>0</v>
      </c>
      <c r="I132" t="n">
        <v>1</v>
      </c>
      <c r="J132" t="n">
        <v>0</v>
      </c>
      <c r="K132" t="n">
        <v>0</v>
      </c>
      <c r="L132" t="n">
        <v>0</v>
      </c>
      <c r="M132" t="n">
        <v>0</v>
      </c>
      <c r="N132" t="n">
        <v>0</v>
      </c>
      <c r="O132" t="n">
        <v>0</v>
      </c>
      <c r="P132" t="n">
        <v>0</v>
      </c>
      <c r="Q132" t="n">
        <v>1</v>
      </c>
      <c r="R132" s="2" t="inlineStr">
        <is>
          <t>Finbräken</t>
        </is>
      </c>
      <c r="S132">
        <f>HYPERLINK("https://klasma.github.io/Logging_2380/artfynd/A 58181-2022 artfynd.xlsx", "A 58181-2022")</f>
        <v/>
      </c>
      <c r="T132">
        <f>HYPERLINK("https://klasma.github.io/Logging_2380/kartor/A 58181-2022 karta.png", "A 58181-2022")</f>
        <v/>
      </c>
      <c r="V132">
        <f>HYPERLINK("https://klasma.github.io/Logging_2380/klagomål/A 58181-2022 FSC-klagomål.docx", "A 58181-2022")</f>
        <v/>
      </c>
      <c r="W132">
        <f>HYPERLINK("https://klasma.github.io/Logging_2380/klagomålsmail/A 58181-2022 FSC-klagomål mail.docx", "A 58181-2022")</f>
        <v/>
      </c>
      <c r="X132">
        <f>HYPERLINK("https://klasma.github.io/Logging_2380/tillsyn/A 58181-2022 tillsynsbegäran.docx", "A 58181-2022")</f>
        <v/>
      </c>
      <c r="Y132">
        <f>HYPERLINK("https://klasma.github.io/Logging_2380/tillsynsmail/A 58181-2022 tillsynsbegäran mail.docx", "A 58181-2022")</f>
        <v/>
      </c>
    </row>
    <row r="133" ht="15" customHeight="1">
      <c r="A133" t="inlineStr">
        <is>
          <t>A 59739-2022</t>
        </is>
      </c>
      <c r="B133" s="1" t="n">
        <v>44908</v>
      </c>
      <c r="C133" s="1" t="n">
        <v>45589</v>
      </c>
      <c r="D133" t="inlineStr">
        <is>
          <t>JÄMTLANDS LÄN</t>
        </is>
      </c>
      <c r="E133" t="inlineStr">
        <is>
          <t>ÖSTERSUND</t>
        </is>
      </c>
      <c r="F133" t="inlineStr">
        <is>
          <t>Kommuner</t>
        </is>
      </c>
      <c r="G133" t="n">
        <v>1.9</v>
      </c>
      <c r="H133" t="n">
        <v>0</v>
      </c>
      <c r="I133" t="n">
        <v>1</v>
      </c>
      <c r="J133" t="n">
        <v>0</v>
      </c>
      <c r="K133" t="n">
        <v>0</v>
      </c>
      <c r="L133" t="n">
        <v>0</v>
      </c>
      <c r="M133" t="n">
        <v>0</v>
      </c>
      <c r="N133" t="n">
        <v>0</v>
      </c>
      <c r="O133" t="n">
        <v>0</v>
      </c>
      <c r="P133" t="n">
        <v>0</v>
      </c>
      <c r="Q133" t="n">
        <v>1</v>
      </c>
      <c r="R133" s="2" t="inlineStr">
        <is>
          <t>Vedticka</t>
        </is>
      </c>
      <c r="S133">
        <f>HYPERLINK("https://klasma.github.io/Logging_2380/artfynd/A 59739-2022 artfynd.xlsx", "A 59739-2022")</f>
        <v/>
      </c>
      <c r="T133">
        <f>HYPERLINK("https://klasma.github.io/Logging_2380/kartor/A 59739-2022 karta.png", "A 59739-2022")</f>
        <v/>
      </c>
      <c r="V133">
        <f>HYPERLINK("https://klasma.github.io/Logging_2380/klagomål/A 59739-2022 FSC-klagomål.docx", "A 59739-2022")</f>
        <v/>
      </c>
      <c r="W133">
        <f>HYPERLINK("https://klasma.github.io/Logging_2380/klagomålsmail/A 59739-2022 FSC-klagomål mail.docx", "A 59739-2022")</f>
        <v/>
      </c>
      <c r="X133">
        <f>HYPERLINK("https://klasma.github.io/Logging_2380/tillsyn/A 59739-2022 tillsynsbegäran.docx", "A 59739-2022")</f>
        <v/>
      </c>
      <c r="Y133">
        <f>HYPERLINK("https://klasma.github.io/Logging_2380/tillsynsmail/A 59739-2022 tillsynsbegäran mail.docx", "A 59739-2022")</f>
        <v/>
      </c>
    </row>
    <row r="134" ht="15" customHeight="1">
      <c r="A134" t="inlineStr">
        <is>
          <t>A 28980-2023</t>
        </is>
      </c>
      <c r="B134" s="1" t="n">
        <v>45096</v>
      </c>
      <c r="C134" s="1" t="n">
        <v>45589</v>
      </c>
      <c r="D134" t="inlineStr">
        <is>
          <t>JÄMTLANDS LÄN</t>
        </is>
      </c>
      <c r="E134" t="inlineStr">
        <is>
          <t>ÖSTERSUND</t>
        </is>
      </c>
      <c r="G134" t="n">
        <v>2.7</v>
      </c>
      <c r="H134" t="n">
        <v>0</v>
      </c>
      <c r="I134" t="n">
        <v>1</v>
      </c>
      <c r="J134" t="n">
        <v>0</v>
      </c>
      <c r="K134" t="n">
        <v>0</v>
      </c>
      <c r="L134" t="n">
        <v>0</v>
      </c>
      <c r="M134" t="n">
        <v>0</v>
      </c>
      <c r="N134" t="n">
        <v>0</v>
      </c>
      <c r="O134" t="n">
        <v>0</v>
      </c>
      <c r="P134" t="n">
        <v>0</v>
      </c>
      <c r="Q134" t="n">
        <v>1</v>
      </c>
      <c r="R134" s="2" t="inlineStr">
        <is>
          <t>Finbräken</t>
        </is>
      </c>
      <c r="S134">
        <f>HYPERLINK("https://klasma.github.io/Logging_2380/artfynd/A 28980-2023 artfynd.xlsx", "A 28980-2023")</f>
        <v/>
      </c>
      <c r="T134">
        <f>HYPERLINK("https://klasma.github.io/Logging_2380/kartor/A 28980-2023 karta.png", "A 28980-2023")</f>
        <v/>
      </c>
      <c r="V134">
        <f>HYPERLINK("https://klasma.github.io/Logging_2380/klagomål/A 28980-2023 FSC-klagomål.docx", "A 28980-2023")</f>
        <v/>
      </c>
      <c r="W134">
        <f>HYPERLINK("https://klasma.github.io/Logging_2380/klagomålsmail/A 28980-2023 FSC-klagomål mail.docx", "A 28980-2023")</f>
        <v/>
      </c>
      <c r="X134">
        <f>HYPERLINK("https://klasma.github.io/Logging_2380/tillsyn/A 28980-2023 tillsynsbegäran.docx", "A 28980-2023")</f>
        <v/>
      </c>
      <c r="Y134">
        <f>HYPERLINK("https://klasma.github.io/Logging_2380/tillsynsmail/A 28980-2023 tillsynsbegäran mail.docx", "A 28980-2023")</f>
        <v/>
      </c>
    </row>
    <row r="135" ht="15" customHeight="1">
      <c r="A135" t="inlineStr">
        <is>
          <t>A 32411-2023</t>
        </is>
      </c>
      <c r="B135" s="1" t="n">
        <v>45120</v>
      </c>
      <c r="C135" s="1" t="n">
        <v>45589</v>
      </c>
      <c r="D135" t="inlineStr">
        <is>
          <t>JÄMTLANDS LÄN</t>
        </is>
      </c>
      <c r="E135" t="inlineStr">
        <is>
          <t>ÖSTERSUND</t>
        </is>
      </c>
      <c r="G135" t="n">
        <v>8.5</v>
      </c>
      <c r="H135" t="n">
        <v>1</v>
      </c>
      <c r="I135" t="n">
        <v>1</v>
      </c>
      <c r="J135" t="n">
        <v>0</v>
      </c>
      <c r="K135" t="n">
        <v>0</v>
      </c>
      <c r="L135" t="n">
        <v>0</v>
      </c>
      <c r="M135" t="n">
        <v>0</v>
      </c>
      <c r="N135" t="n">
        <v>0</v>
      </c>
      <c r="O135" t="n">
        <v>0</v>
      </c>
      <c r="P135" t="n">
        <v>0</v>
      </c>
      <c r="Q135" t="n">
        <v>1</v>
      </c>
      <c r="R135" s="2" t="inlineStr">
        <is>
          <t>Spindelblomster</t>
        </is>
      </c>
      <c r="S135">
        <f>HYPERLINK("https://klasma.github.io/Logging_2380/artfynd/A 32411-2023 artfynd.xlsx", "A 32411-2023")</f>
        <v/>
      </c>
      <c r="T135">
        <f>HYPERLINK("https://klasma.github.io/Logging_2380/kartor/A 32411-2023 karta.png", "A 32411-2023")</f>
        <v/>
      </c>
      <c r="V135">
        <f>HYPERLINK("https://klasma.github.io/Logging_2380/klagomål/A 32411-2023 FSC-klagomål.docx", "A 32411-2023")</f>
        <v/>
      </c>
      <c r="W135">
        <f>HYPERLINK("https://klasma.github.io/Logging_2380/klagomålsmail/A 32411-2023 FSC-klagomål mail.docx", "A 32411-2023")</f>
        <v/>
      </c>
      <c r="X135">
        <f>HYPERLINK("https://klasma.github.io/Logging_2380/tillsyn/A 32411-2023 tillsynsbegäran.docx", "A 32411-2023")</f>
        <v/>
      </c>
      <c r="Y135">
        <f>HYPERLINK("https://klasma.github.io/Logging_2380/tillsynsmail/A 32411-2023 tillsynsbegäran mail.docx", "A 32411-2023")</f>
        <v/>
      </c>
    </row>
    <row r="136" ht="15" customHeight="1">
      <c r="A136" t="inlineStr">
        <is>
          <t>A 50825-2023</t>
        </is>
      </c>
      <c r="B136" s="1" t="n">
        <v>45217</v>
      </c>
      <c r="C136" s="1" t="n">
        <v>45589</v>
      </c>
      <c r="D136" t="inlineStr">
        <is>
          <t>JÄMTLANDS LÄN</t>
        </is>
      </c>
      <c r="E136" t="inlineStr">
        <is>
          <t>ÖSTERSUND</t>
        </is>
      </c>
      <c r="G136" t="n">
        <v>24.3</v>
      </c>
      <c r="H136" t="n">
        <v>0</v>
      </c>
      <c r="I136" t="n">
        <v>0</v>
      </c>
      <c r="J136" t="n">
        <v>1</v>
      </c>
      <c r="K136" t="n">
        <v>0</v>
      </c>
      <c r="L136" t="n">
        <v>0</v>
      </c>
      <c r="M136" t="n">
        <v>0</v>
      </c>
      <c r="N136" t="n">
        <v>0</v>
      </c>
      <c r="O136" t="n">
        <v>1</v>
      </c>
      <c r="P136" t="n">
        <v>0</v>
      </c>
      <c r="Q136" t="n">
        <v>1</v>
      </c>
      <c r="R136" s="2" t="inlineStr">
        <is>
          <t>Granticka</t>
        </is>
      </c>
      <c r="S136">
        <f>HYPERLINK("https://klasma.github.io/Logging_2380/artfynd/A 50825-2023 artfynd.xlsx", "A 50825-2023")</f>
        <v/>
      </c>
      <c r="T136">
        <f>HYPERLINK("https://klasma.github.io/Logging_2380/kartor/A 50825-2023 karta.png", "A 50825-2023")</f>
        <v/>
      </c>
      <c r="V136">
        <f>HYPERLINK("https://klasma.github.io/Logging_2380/klagomål/A 50825-2023 FSC-klagomål.docx", "A 50825-2023")</f>
        <v/>
      </c>
      <c r="W136">
        <f>HYPERLINK("https://klasma.github.io/Logging_2380/klagomålsmail/A 50825-2023 FSC-klagomål mail.docx", "A 50825-2023")</f>
        <v/>
      </c>
      <c r="X136">
        <f>HYPERLINK("https://klasma.github.io/Logging_2380/tillsyn/A 50825-2023 tillsynsbegäran.docx", "A 50825-2023")</f>
        <v/>
      </c>
      <c r="Y136">
        <f>HYPERLINK("https://klasma.github.io/Logging_2380/tillsynsmail/A 50825-2023 tillsynsbegäran mail.docx", "A 50825-2023")</f>
        <v/>
      </c>
    </row>
    <row r="137" ht="15" customHeight="1">
      <c r="A137" t="inlineStr">
        <is>
          <t>A 56025-2023</t>
        </is>
      </c>
      <c r="B137" s="1" t="n">
        <v>45233</v>
      </c>
      <c r="C137" s="1" t="n">
        <v>45589</v>
      </c>
      <c r="D137" t="inlineStr">
        <is>
          <t>JÄMTLANDS LÄN</t>
        </is>
      </c>
      <c r="E137" t="inlineStr">
        <is>
          <t>ÖSTERSUND</t>
        </is>
      </c>
      <c r="G137" t="n">
        <v>3.9</v>
      </c>
      <c r="H137" t="n">
        <v>1</v>
      </c>
      <c r="I137" t="n">
        <v>0</v>
      </c>
      <c r="J137" t="n">
        <v>1</v>
      </c>
      <c r="K137" t="n">
        <v>0</v>
      </c>
      <c r="L137" t="n">
        <v>0</v>
      </c>
      <c r="M137" t="n">
        <v>0</v>
      </c>
      <c r="N137" t="n">
        <v>0</v>
      </c>
      <c r="O137" t="n">
        <v>1</v>
      </c>
      <c r="P137" t="n">
        <v>0</v>
      </c>
      <c r="Q137" t="n">
        <v>1</v>
      </c>
      <c r="R137" s="2" t="inlineStr">
        <is>
          <t>Jämtlandsmaskros</t>
        </is>
      </c>
      <c r="S137">
        <f>HYPERLINK("https://klasma.github.io/Logging_2380/artfynd/A 56025-2023 artfynd.xlsx", "A 56025-2023")</f>
        <v/>
      </c>
      <c r="T137">
        <f>HYPERLINK("https://klasma.github.io/Logging_2380/kartor/A 56025-2023 karta.png", "A 56025-2023")</f>
        <v/>
      </c>
      <c r="V137">
        <f>HYPERLINK("https://klasma.github.io/Logging_2380/klagomål/A 56025-2023 FSC-klagomål.docx", "A 56025-2023")</f>
        <v/>
      </c>
      <c r="W137">
        <f>HYPERLINK("https://klasma.github.io/Logging_2380/klagomålsmail/A 56025-2023 FSC-klagomål mail.docx", "A 56025-2023")</f>
        <v/>
      </c>
      <c r="X137">
        <f>HYPERLINK("https://klasma.github.io/Logging_2380/tillsyn/A 56025-2023 tillsynsbegäran.docx", "A 56025-2023")</f>
        <v/>
      </c>
      <c r="Y137">
        <f>HYPERLINK("https://klasma.github.io/Logging_2380/tillsynsmail/A 56025-2023 tillsynsbegäran mail.docx", "A 56025-2023")</f>
        <v/>
      </c>
    </row>
    <row r="138" ht="15" customHeight="1">
      <c r="A138" t="inlineStr">
        <is>
          <t>A 57864-2023</t>
        </is>
      </c>
      <c r="B138" s="1" t="n">
        <v>45244</v>
      </c>
      <c r="C138" s="1" t="n">
        <v>45589</v>
      </c>
      <c r="D138" t="inlineStr">
        <is>
          <t>JÄMTLANDS LÄN</t>
        </is>
      </c>
      <c r="E138" t="inlineStr">
        <is>
          <t>ÖSTERSUND</t>
        </is>
      </c>
      <c r="G138" t="n">
        <v>3.1</v>
      </c>
      <c r="H138" t="n">
        <v>1</v>
      </c>
      <c r="I138" t="n">
        <v>0</v>
      </c>
      <c r="J138" t="n">
        <v>0</v>
      </c>
      <c r="K138" t="n">
        <v>0</v>
      </c>
      <c r="L138" t="n">
        <v>0</v>
      </c>
      <c r="M138" t="n">
        <v>0</v>
      </c>
      <c r="N138" t="n">
        <v>0</v>
      </c>
      <c r="O138" t="n">
        <v>0</v>
      </c>
      <c r="P138" t="n">
        <v>0</v>
      </c>
      <c r="Q138" t="n">
        <v>1</v>
      </c>
      <c r="R138" s="2" t="inlineStr">
        <is>
          <t>Mattlummer</t>
        </is>
      </c>
      <c r="S138">
        <f>HYPERLINK("https://klasma.github.io/Logging_2380/artfynd/A 57864-2023 artfynd.xlsx", "A 57864-2023")</f>
        <v/>
      </c>
      <c r="T138">
        <f>HYPERLINK("https://klasma.github.io/Logging_2380/kartor/A 57864-2023 karta.png", "A 57864-2023")</f>
        <v/>
      </c>
      <c r="V138">
        <f>HYPERLINK("https://klasma.github.io/Logging_2380/klagomål/A 57864-2023 FSC-klagomål.docx", "A 57864-2023")</f>
        <v/>
      </c>
      <c r="W138">
        <f>HYPERLINK("https://klasma.github.io/Logging_2380/klagomålsmail/A 57864-2023 FSC-klagomål mail.docx", "A 57864-2023")</f>
        <v/>
      </c>
      <c r="X138">
        <f>HYPERLINK("https://klasma.github.io/Logging_2380/tillsyn/A 57864-2023 tillsynsbegäran.docx", "A 57864-2023")</f>
        <v/>
      </c>
      <c r="Y138">
        <f>HYPERLINK("https://klasma.github.io/Logging_2380/tillsynsmail/A 57864-2023 tillsynsbegäran mail.docx", "A 57864-2023")</f>
        <v/>
      </c>
    </row>
    <row r="139" ht="15" customHeight="1">
      <c r="A139" t="inlineStr">
        <is>
          <t>A 64380-2023</t>
        </is>
      </c>
      <c r="B139" s="1" t="n">
        <v>45280</v>
      </c>
      <c r="C139" s="1" t="n">
        <v>45589</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3272-2024</t>
        </is>
      </c>
      <c r="B140" s="1" t="n">
        <v>45316</v>
      </c>
      <c r="C140" s="1" t="n">
        <v>45589</v>
      </c>
      <c r="D140" t="inlineStr">
        <is>
          <t>JÄMTLANDS LÄN</t>
        </is>
      </c>
      <c r="E140" t="inlineStr">
        <is>
          <t>ÖSTERSUND</t>
        </is>
      </c>
      <c r="G140" t="n">
        <v>5.6</v>
      </c>
      <c r="H140" t="n">
        <v>1</v>
      </c>
      <c r="I140" t="n">
        <v>1</v>
      </c>
      <c r="J140" t="n">
        <v>0</v>
      </c>
      <c r="K140" t="n">
        <v>0</v>
      </c>
      <c r="L140" t="n">
        <v>0</v>
      </c>
      <c r="M140" t="n">
        <v>0</v>
      </c>
      <c r="N140" t="n">
        <v>0</v>
      </c>
      <c r="O140" t="n">
        <v>0</v>
      </c>
      <c r="P140" t="n">
        <v>0</v>
      </c>
      <c r="Q140" t="n">
        <v>1</v>
      </c>
      <c r="R140" s="2" t="inlineStr">
        <is>
          <t>Korallrot</t>
        </is>
      </c>
      <c r="S140">
        <f>HYPERLINK("https://klasma.github.io/Logging_2380/artfynd/A 3272-2024 artfynd.xlsx", "A 3272-2024")</f>
        <v/>
      </c>
      <c r="T140">
        <f>HYPERLINK("https://klasma.github.io/Logging_2380/kartor/A 3272-2024 karta.png", "A 3272-2024")</f>
        <v/>
      </c>
      <c r="V140">
        <f>HYPERLINK("https://klasma.github.io/Logging_2380/klagomål/A 3272-2024 FSC-klagomål.docx", "A 3272-2024")</f>
        <v/>
      </c>
      <c r="W140">
        <f>HYPERLINK("https://klasma.github.io/Logging_2380/klagomålsmail/A 3272-2024 FSC-klagomål mail.docx", "A 3272-2024")</f>
        <v/>
      </c>
      <c r="X140">
        <f>HYPERLINK("https://klasma.github.io/Logging_2380/tillsyn/A 3272-2024 tillsynsbegäran.docx", "A 3272-2024")</f>
        <v/>
      </c>
      <c r="Y140">
        <f>HYPERLINK("https://klasma.github.io/Logging_2380/tillsynsmail/A 3272-2024 tillsynsbegäran mail.docx", "A 3272-2024")</f>
        <v/>
      </c>
    </row>
    <row r="141" ht="15" customHeight="1">
      <c r="A141" t="inlineStr">
        <is>
          <t>A 5781-2024</t>
        </is>
      </c>
      <c r="B141" s="1" t="n">
        <v>45335</v>
      </c>
      <c r="C141" s="1" t="n">
        <v>45589</v>
      </c>
      <c r="D141" t="inlineStr">
        <is>
          <t>JÄMTLANDS LÄN</t>
        </is>
      </c>
      <c r="E141" t="inlineStr">
        <is>
          <t>ÖSTERSUND</t>
        </is>
      </c>
      <c r="G141" t="n">
        <v>8.800000000000001</v>
      </c>
      <c r="H141" t="n">
        <v>1</v>
      </c>
      <c r="I141" t="n">
        <v>1</v>
      </c>
      <c r="J141" t="n">
        <v>0</v>
      </c>
      <c r="K141" t="n">
        <v>0</v>
      </c>
      <c r="L141" t="n">
        <v>0</v>
      </c>
      <c r="M141" t="n">
        <v>0</v>
      </c>
      <c r="N141" t="n">
        <v>0</v>
      </c>
      <c r="O141" t="n">
        <v>0</v>
      </c>
      <c r="P141" t="n">
        <v>0</v>
      </c>
      <c r="Q141" t="n">
        <v>1</v>
      </c>
      <c r="R141" s="2" t="inlineStr">
        <is>
          <t>Guckusko</t>
        </is>
      </c>
      <c r="S141">
        <f>HYPERLINK("https://klasma.github.io/Logging_2380/artfynd/A 5781-2024 artfynd.xlsx", "A 5781-2024")</f>
        <v/>
      </c>
      <c r="T141">
        <f>HYPERLINK("https://klasma.github.io/Logging_2380/kartor/A 5781-2024 karta.png", "A 5781-2024")</f>
        <v/>
      </c>
      <c r="V141">
        <f>HYPERLINK("https://klasma.github.io/Logging_2380/klagomål/A 5781-2024 FSC-klagomål.docx", "A 5781-2024")</f>
        <v/>
      </c>
      <c r="W141">
        <f>HYPERLINK("https://klasma.github.io/Logging_2380/klagomålsmail/A 5781-2024 FSC-klagomål mail.docx", "A 5781-2024")</f>
        <v/>
      </c>
      <c r="X141">
        <f>HYPERLINK("https://klasma.github.io/Logging_2380/tillsyn/A 5781-2024 tillsynsbegäran.docx", "A 5781-2024")</f>
        <v/>
      </c>
      <c r="Y141">
        <f>HYPERLINK("https://klasma.github.io/Logging_2380/tillsynsmail/A 5781-2024 tillsynsbegäran mail.docx", "A 5781-2024")</f>
        <v/>
      </c>
    </row>
    <row r="142" ht="15" customHeight="1">
      <c r="A142" t="inlineStr">
        <is>
          <t>A 5779-2024</t>
        </is>
      </c>
      <c r="B142" s="1" t="n">
        <v>45335</v>
      </c>
      <c r="C142" s="1" t="n">
        <v>45589</v>
      </c>
      <c r="D142" t="inlineStr">
        <is>
          <t>JÄMTLANDS LÄN</t>
        </is>
      </c>
      <c r="E142" t="inlineStr">
        <is>
          <t>ÖSTERSUND</t>
        </is>
      </c>
      <c r="G142" t="n">
        <v>9.9</v>
      </c>
      <c r="H142" t="n">
        <v>0</v>
      </c>
      <c r="I142" t="n">
        <v>1</v>
      </c>
      <c r="J142" t="n">
        <v>0</v>
      </c>
      <c r="K142" t="n">
        <v>0</v>
      </c>
      <c r="L142" t="n">
        <v>0</v>
      </c>
      <c r="M142" t="n">
        <v>0</v>
      </c>
      <c r="N142" t="n">
        <v>0</v>
      </c>
      <c r="O142" t="n">
        <v>0</v>
      </c>
      <c r="P142" t="n">
        <v>0</v>
      </c>
      <c r="Q142" t="n">
        <v>1</v>
      </c>
      <c r="R142" s="2" t="inlineStr">
        <is>
          <t>Kransrams</t>
        </is>
      </c>
      <c r="S142">
        <f>HYPERLINK("https://klasma.github.io/Logging_2380/artfynd/A 5779-2024 artfynd.xlsx", "A 5779-2024")</f>
        <v/>
      </c>
      <c r="T142">
        <f>HYPERLINK("https://klasma.github.io/Logging_2380/kartor/A 5779-2024 karta.png", "A 5779-2024")</f>
        <v/>
      </c>
      <c r="V142">
        <f>HYPERLINK("https://klasma.github.io/Logging_2380/klagomål/A 5779-2024 FSC-klagomål.docx", "A 5779-2024")</f>
        <v/>
      </c>
      <c r="W142">
        <f>HYPERLINK("https://klasma.github.io/Logging_2380/klagomålsmail/A 5779-2024 FSC-klagomål mail.docx", "A 5779-2024")</f>
        <v/>
      </c>
      <c r="X142">
        <f>HYPERLINK("https://klasma.github.io/Logging_2380/tillsyn/A 5779-2024 tillsynsbegäran.docx", "A 5779-2024")</f>
        <v/>
      </c>
      <c r="Y142">
        <f>HYPERLINK("https://klasma.github.io/Logging_2380/tillsynsmail/A 5779-2024 tillsynsbegäran mail.docx", "A 5779-2024")</f>
        <v/>
      </c>
    </row>
    <row r="143" ht="15" customHeight="1">
      <c r="A143" t="inlineStr">
        <is>
          <t>A 11513-2024</t>
        </is>
      </c>
      <c r="B143" s="1" t="n">
        <v>45372</v>
      </c>
      <c r="C143" s="1" t="n">
        <v>45589</v>
      </c>
      <c r="D143" t="inlineStr">
        <is>
          <t>JÄMTLANDS LÄN</t>
        </is>
      </c>
      <c r="E143" t="inlineStr">
        <is>
          <t>ÖSTERSUND</t>
        </is>
      </c>
      <c r="G143" t="n">
        <v>21.2</v>
      </c>
      <c r="H143" t="n">
        <v>0</v>
      </c>
      <c r="I143" t="n">
        <v>1</v>
      </c>
      <c r="J143" t="n">
        <v>0</v>
      </c>
      <c r="K143" t="n">
        <v>0</v>
      </c>
      <c r="L143" t="n">
        <v>0</v>
      </c>
      <c r="M143" t="n">
        <v>0</v>
      </c>
      <c r="N143" t="n">
        <v>0</v>
      </c>
      <c r="O143" t="n">
        <v>0</v>
      </c>
      <c r="P143" t="n">
        <v>0</v>
      </c>
      <c r="Q143" t="n">
        <v>1</v>
      </c>
      <c r="R143" s="2" t="inlineStr">
        <is>
          <t>Tibast</t>
        </is>
      </c>
      <c r="S143">
        <f>HYPERLINK("https://klasma.github.io/Logging_2380/artfynd/A 11513-2024 artfynd.xlsx", "A 11513-2024")</f>
        <v/>
      </c>
      <c r="T143">
        <f>HYPERLINK("https://klasma.github.io/Logging_2380/kartor/A 11513-2024 karta.png", "A 11513-2024")</f>
        <v/>
      </c>
      <c r="V143">
        <f>HYPERLINK("https://klasma.github.io/Logging_2380/klagomål/A 11513-2024 FSC-klagomål.docx", "A 11513-2024")</f>
        <v/>
      </c>
      <c r="W143">
        <f>HYPERLINK("https://klasma.github.io/Logging_2380/klagomålsmail/A 11513-2024 FSC-klagomål mail.docx", "A 11513-2024")</f>
        <v/>
      </c>
      <c r="X143">
        <f>HYPERLINK("https://klasma.github.io/Logging_2380/tillsyn/A 11513-2024 tillsynsbegäran.docx", "A 11513-2024")</f>
        <v/>
      </c>
      <c r="Y143">
        <f>HYPERLINK("https://klasma.github.io/Logging_2380/tillsynsmail/A 11513-2024 tillsynsbegäran mail.docx", "A 11513-2024")</f>
        <v/>
      </c>
    </row>
    <row r="144" ht="15" customHeight="1">
      <c r="A144" t="inlineStr">
        <is>
          <t>A 15090-2024</t>
        </is>
      </c>
      <c r="B144" s="1" t="n">
        <v>45399</v>
      </c>
      <c r="C144" s="1" t="n">
        <v>45589</v>
      </c>
      <c r="D144" t="inlineStr">
        <is>
          <t>JÄMTLANDS LÄN</t>
        </is>
      </c>
      <c r="E144" t="inlineStr">
        <is>
          <t>ÖSTERSUND</t>
        </is>
      </c>
      <c r="G144" t="n">
        <v>18</v>
      </c>
      <c r="H144" t="n">
        <v>0</v>
      </c>
      <c r="I144" t="n">
        <v>1</v>
      </c>
      <c r="J144" t="n">
        <v>0</v>
      </c>
      <c r="K144" t="n">
        <v>0</v>
      </c>
      <c r="L144" t="n">
        <v>0</v>
      </c>
      <c r="M144" t="n">
        <v>0</v>
      </c>
      <c r="N144" t="n">
        <v>0</v>
      </c>
      <c r="O144" t="n">
        <v>0</v>
      </c>
      <c r="P144" t="n">
        <v>0</v>
      </c>
      <c r="Q144" t="n">
        <v>1</v>
      </c>
      <c r="R144" s="2" t="inlineStr">
        <is>
          <t>Svavelriska</t>
        </is>
      </c>
      <c r="S144">
        <f>HYPERLINK("https://klasma.github.io/Logging_2380/artfynd/A 15090-2024 artfynd.xlsx", "A 15090-2024")</f>
        <v/>
      </c>
      <c r="T144">
        <f>HYPERLINK("https://klasma.github.io/Logging_2380/kartor/A 15090-2024 karta.png", "A 15090-2024")</f>
        <v/>
      </c>
      <c r="V144">
        <f>HYPERLINK("https://klasma.github.io/Logging_2380/klagomål/A 15090-2024 FSC-klagomål.docx", "A 15090-2024")</f>
        <v/>
      </c>
      <c r="W144">
        <f>HYPERLINK("https://klasma.github.io/Logging_2380/klagomålsmail/A 15090-2024 FSC-klagomål mail.docx", "A 15090-2024")</f>
        <v/>
      </c>
      <c r="X144">
        <f>HYPERLINK("https://klasma.github.io/Logging_2380/tillsyn/A 15090-2024 tillsynsbegäran.docx", "A 15090-2024")</f>
        <v/>
      </c>
      <c r="Y144">
        <f>HYPERLINK("https://klasma.github.io/Logging_2380/tillsynsmail/A 15090-2024 tillsynsbegäran mail.docx", "A 15090-2024")</f>
        <v/>
      </c>
    </row>
    <row r="145" ht="15" customHeight="1">
      <c r="A145" t="inlineStr">
        <is>
          <t>A 18951-2024</t>
        </is>
      </c>
      <c r="B145" s="1" t="n">
        <v>45427</v>
      </c>
      <c r="C145" s="1" t="n">
        <v>45589</v>
      </c>
      <c r="D145" t="inlineStr">
        <is>
          <t>JÄMTLANDS LÄN</t>
        </is>
      </c>
      <c r="E145" t="inlineStr">
        <is>
          <t>ÖSTERSUND</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HYPERLINK("https://klasma.github.io/Logging_2380/artfynd/A 18951-2024 artfynd.xlsx", "A 18951-2024")</f>
        <v/>
      </c>
      <c r="T145">
        <f>HYPERLINK("https://klasma.github.io/Logging_2380/kartor/A 18951-2024 karta.png", "A 18951-2024")</f>
        <v/>
      </c>
      <c r="V145">
        <f>HYPERLINK("https://klasma.github.io/Logging_2380/klagomål/A 18951-2024 FSC-klagomål.docx", "A 18951-2024")</f>
        <v/>
      </c>
      <c r="W145">
        <f>HYPERLINK("https://klasma.github.io/Logging_2380/klagomålsmail/A 18951-2024 FSC-klagomål mail.docx", "A 18951-2024")</f>
        <v/>
      </c>
      <c r="X145">
        <f>HYPERLINK("https://klasma.github.io/Logging_2380/tillsyn/A 18951-2024 tillsynsbegäran.docx", "A 18951-2024")</f>
        <v/>
      </c>
      <c r="Y145">
        <f>HYPERLINK("https://klasma.github.io/Logging_2380/tillsynsmail/A 18951-2024 tillsynsbegäran mail.docx", "A 18951-2024")</f>
        <v/>
      </c>
    </row>
    <row r="146" ht="15" customHeight="1">
      <c r="A146" t="inlineStr">
        <is>
          <t>A 21614-2024</t>
        </is>
      </c>
      <c r="B146" s="1" t="n">
        <v>45442</v>
      </c>
      <c r="C146" s="1" t="n">
        <v>45589</v>
      </c>
      <c r="D146" t="inlineStr">
        <is>
          <t>JÄMTLANDS LÄN</t>
        </is>
      </c>
      <c r="E146" t="inlineStr">
        <is>
          <t>ÖSTERSUND</t>
        </is>
      </c>
      <c r="F146" t="inlineStr">
        <is>
          <t>SCA</t>
        </is>
      </c>
      <c r="G146" t="n">
        <v>3.5</v>
      </c>
      <c r="H146" t="n">
        <v>0</v>
      </c>
      <c r="I146" t="n">
        <v>0</v>
      </c>
      <c r="J146" t="n">
        <v>1</v>
      </c>
      <c r="K146" t="n">
        <v>0</v>
      </c>
      <c r="L146" t="n">
        <v>0</v>
      </c>
      <c r="M146" t="n">
        <v>0</v>
      </c>
      <c r="N146" t="n">
        <v>0</v>
      </c>
      <c r="O146" t="n">
        <v>1</v>
      </c>
      <c r="P146" t="n">
        <v>0</v>
      </c>
      <c r="Q146" t="n">
        <v>1</v>
      </c>
      <c r="R146" s="2" t="inlineStr">
        <is>
          <t>Lunglav</t>
        </is>
      </c>
      <c r="S146">
        <f>HYPERLINK("https://klasma.github.io/Logging_2380/artfynd/A 21614-2024 artfynd.xlsx", "A 21614-2024")</f>
        <v/>
      </c>
      <c r="T146">
        <f>HYPERLINK("https://klasma.github.io/Logging_2380/kartor/A 21614-2024 karta.png", "A 21614-2024")</f>
        <v/>
      </c>
      <c r="U146">
        <f>HYPERLINK("https://klasma.github.io/Logging_2380/knärot/A 21614-2024 karta knärot.png", "A 21614-2024")</f>
        <v/>
      </c>
      <c r="V146">
        <f>HYPERLINK("https://klasma.github.io/Logging_2380/klagomål/A 21614-2024 FSC-klagomål.docx", "A 21614-2024")</f>
        <v/>
      </c>
      <c r="W146">
        <f>HYPERLINK("https://klasma.github.io/Logging_2380/klagomålsmail/A 21614-2024 FSC-klagomål mail.docx", "A 21614-2024")</f>
        <v/>
      </c>
      <c r="X146">
        <f>HYPERLINK("https://klasma.github.io/Logging_2380/tillsyn/A 21614-2024 tillsynsbegäran.docx", "A 21614-2024")</f>
        <v/>
      </c>
      <c r="Y146">
        <f>HYPERLINK("https://klasma.github.io/Logging_2380/tillsynsmail/A 21614-2024 tillsynsbegäran mail.docx", "A 21614-2024")</f>
        <v/>
      </c>
    </row>
    <row r="147" ht="15" customHeight="1">
      <c r="A147" t="inlineStr">
        <is>
          <t>A 31883-2024</t>
        </is>
      </c>
      <c r="B147" s="1" t="n">
        <v>45510</v>
      </c>
      <c r="C147" s="1" t="n">
        <v>45589</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35422-2024</t>
        </is>
      </c>
      <c r="B148" s="1" t="n">
        <v>45531</v>
      </c>
      <c r="C148" s="1" t="n">
        <v>45589</v>
      </c>
      <c r="D148" t="inlineStr">
        <is>
          <t>JÄMTLANDS LÄN</t>
        </is>
      </c>
      <c r="E148" t="inlineStr">
        <is>
          <t>ÖSTERSUND</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HYPERLINK("https://klasma.github.io/Logging_2380/artfynd/A 35422-2024 artfynd.xlsx", "A 35422-2024")</f>
        <v/>
      </c>
      <c r="T148">
        <f>HYPERLINK("https://klasma.github.io/Logging_2380/kartor/A 35422-2024 karta.png", "A 35422-2024")</f>
        <v/>
      </c>
      <c r="V148">
        <f>HYPERLINK("https://klasma.github.io/Logging_2380/klagomål/A 35422-2024 FSC-klagomål.docx", "A 35422-2024")</f>
        <v/>
      </c>
      <c r="W148">
        <f>HYPERLINK("https://klasma.github.io/Logging_2380/klagomålsmail/A 35422-2024 FSC-klagomål mail.docx", "A 35422-2024")</f>
        <v/>
      </c>
      <c r="X148">
        <f>HYPERLINK("https://klasma.github.io/Logging_2380/tillsyn/A 35422-2024 tillsynsbegäran.docx", "A 35422-2024")</f>
        <v/>
      </c>
      <c r="Y148">
        <f>HYPERLINK("https://klasma.github.io/Logging_2380/tillsynsmail/A 35422-2024 tillsynsbegäran mail.docx", "A 35422-2024")</f>
        <v/>
      </c>
    </row>
    <row r="149" ht="15" customHeight="1">
      <c r="A149" t="inlineStr">
        <is>
          <t>A 35421-2024</t>
        </is>
      </c>
      <c r="B149" s="1" t="n">
        <v>45531</v>
      </c>
      <c r="C149" s="1" t="n">
        <v>45589</v>
      </c>
      <c r="D149" t="inlineStr">
        <is>
          <t>JÄMTLANDS LÄN</t>
        </is>
      </c>
      <c r="E149" t="inlineStr">
        <is>
          <t>ÖSTERSUND</t>
        </is>
      </c>
      <c r="F149" t="inlineStr">
        <is>
          <t>SCA</t>
        </is>
      </c>
      <c r="G149" t="n">
        <v>1.6</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35421-2024 artfynd.xlsx", "A 35421-2024")</f>
        <v/>
      </c>
      <c r="T149">
        <f>HYPERLINK("https://klasma.github.io/Logging_2380/kartor/A 35421-2024 karta.png", "A 35421-2024")</f>
        <v/>
      </c>
      <c r="V149">
        <f>HYPERLINK("https://klasma.github.io/Logging_2380/klagomål/A 35421-2024 FSC-klagomål.docx", "A 35421-2024")</f>
        <v/>
      </c>
      <c r="W149">
        <f>HYPERLINK("https://klasma.github.io/Logging_2380/klagomålsmail/A 35421-2024 FSC-klagomål mail.docx", "A 35421-2024")</f>
        <v/>
      </c>
      <c r="X149">
        <f>HYPERLINK("https://klasma.github.io/Logging_2380/tillsyn/A 35421-2024 tillsynsbegäran.docx", "A 35421-2024")</f>
        <v/>
      </c>
      <c r="Y149">
        <f>HYPERLINK("https://klasma.github.io/Logging_2380/tillsynsmail/A 35421-2024 tillsynsbegäran mail.docx", "A 35421-2024")</f>
        <v/>
      </c>
    </row>
    <row r="150" ht="15" customHeight="1">
      <c r="A150" t="inlineStr">
        <is>
          <t>A 36472-2024</t>
        </is>
      </c>
      <c r="B150" s="1" t="n">
        <v>45537</v>
      </c>
      <c r="C150" s="1" t="n">
        <v>45589</v>
      </c>
      <c r="D150" t="inlineStr">
        <is>
          <t>JÄMTLANDS LÄN</t>
        </is>
      </c>
      <c r="E150" t="inlineStr">
        <is>
          <t>ÖSTERSUND</t>
        </is>
      </c>
      <c r="F150" t="inlineStr">
        <is>
          <t>SCA</t>
        </is>
      </c>
      <c r="G150" t="n">
        <v>2.1</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36472-2024 artfynd.xlsx", "A 36472-2024")</f>
        <v/>
      </c>
      <c r="T150">
        <f>HYPERLINK("https://klasma.github.io/Logging_2380/kartor/A 36472-2024 karta.png", "A 36472-2024")</f>
        <v/>
      </c>
      <c r="V150">
        <f>HYPERLINK("https://klasma.github.io/Logging_2380/klagomål/A 36472-2024 FSC-klagomål.docx", "A 36472-2024")</f>
        <v/>
      </c>
      <c r="W150">
        <f>HYPERLINK("https://klasma.github.io/Logging_2380/klagomålsmail/A 36472-2024 FSC-klagomål mail.docx", "A 36472-2024")</f>
        <v/>
      </c>
      <c r="X150">
        <f>HYPERLINK("https://klasma.github.io/Logging_2380/tillsyn/A 36472-2024 tillsynsbegäran.docx", "A 36472-2024")</f>
        <v/>
      </c>
      <c r="Y150">
        <f>HYPERLINK("https://klasma.github.io/Logging_2380/tillsynsmail/A 36472-2024 tillsynsbegäran mail.docx", "A 36472-2024")</f>
        <v/>
      </c>
    </row>
    <row r="151" ht="15" customHeight="1">
      <c r="A151" t="inlineStr">
        <is>
          <t>A 40694-2024</t>
        </is>
      </c>
      <c r="B151" s="1" t="n">
        <v>45558</v>
      </c>
      <c r="C151" s="1" t="n">
        <v>45589</v>
      </c>
      <c r="D151" t="inlineStr">
        <is>
          <t>JÄMTLANDS LÄN</t>
        </is>
      </c>
      <c r="E151" t="inlineStr">
        <is>
          <t>ÖSTERSUND</t>
        </is>
      </c>
      <c r="F151" t="inlineStr">
        <is>
          <t>SCA</t>
        </is>
      </c>
      <c r="G151" t="n">
        <v>6.2</v>
      </c>
      <c r="H151" t="n">
        <v>0</v>
      </c>
      <c r="I151" t="n">
        <v>0</v>
      </c>
      <c r="J151" t="n">
        <v>1</v>
      </c>
      <c r="K151" t="n">
        <v>0</v>
      </c>
      <c r="L151" t="n">
        <v>0</v>
      </c>
      <c r="M151" t="n">
        <v>0</v>
      </c>
      <c r="N151" t="n">
        <v>0</v>
      </c>
      <c r="O151" t="n">
        <v>1</v>
      </c>
      <c r="P151" t="n">
        <v>0</v>
      </c>
      <c r="Q151" t="n">
        <v>1</v>
      </c>
      <c r="R151" s="2" t="inlineStr">
        <is>
          <t>Reliktbock</t>
        </is>
      </c>
      <c r="S151">
        <f>HYPERLINK("https://klasma.github.io/Logging_2380/artfynd/A 40694-2024 artfynd.xlsx", "A 40694-2024")</f>
        <v/>
      </c>
      <c r="T151">
        <f>HYPERLINK("https://klasma.github.io/Logging_2380/kartor/A 40694-2024 karta.png", "A 40694-2024")</f>
        <v/>
      </c>
      <c r="V151">
        <f>HYPERLINK("https://klasma.github.io/Logging_2380/klagomål/A 40694-2024 FSC-klagomål.docx", "A 40694-2024")</f>
        <v/>
      </c>
      <c r="W151">
        <f>HYPERLINK("https://klasma.github.io/Logging_2380/klagomålsmail/A 40694-2024 FSC-klagomål mail.docx", "A 40694-2024")</f>
        <v/>
      </c>
      <c r="X151">
        <f>HYPERLINK("https://klasma.github.io/Logging_2380/tillsyn/A 40694-2024 tillsynsbegäran.docx", "A 40694-2024")</f>
        <v/>
      </c>
      <c r="Y151">
        <f>HYPERLINK("https://klasma.github.io/Logging_2380/tillsynsmail/A 40694-2024 tillsynsbegäran mail.docx", "A 40694-2024")</f>
        <v/>
      </c>
    </row>
    <row r="152" ht="15" customHeight="1">
      <c r="A152" t="inlineStr">
        <is>
          <t>A 40692-2024</t>
        </is>
      </c>
      <c r="B152" s="1" t="n">
        <v>45558</v>
      </c>
      <c r="C152" s="1" t="n">
        <v>45589</v>
      </c>
      <c r="D152" t="inlineStr">
        <is>
          <t>JÄMTLANDS LÄN</t>
        </is>
      </c>
      <c r="E152" t="inlineStr">
        <is>
          <t>ÖSTERSUND</t>
        </is>
      </c>
      <c r="F152" t="inlineStr">
        <is>
          <t>SCA</t>
        </is>
      </c>
      <c r="G152" t="n">
        <v>0.9</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40692-2024 artfynd.xlsx", "A 40692-2024")</f>
        <v/>
      </c>
      <c r="T152">
        <f>HYPERLINK("https://klasma.github.io/Logging_2380/kartor/A 40692-2024 karta.png", "A 40692-2024")</f>
        <v/>
      </c>
      <c r="V152">
        <f>HYPERLINK("https://klasma.github.io/Logging_2380/klagomål/A 40692-2024 FSC-klagomål.docx", "A 40692-2024")</f>
        <v/>
      </c>
      <c r="W152">
        <f>HYPERLINK("https://klasma.github.io/Logging_2380/klagomålsmail/A 40692-2024 FSC-klagomål mail.docx", "A 40692-2024")</f>
        <v/>
      </c>
      <c r="X152">
        <f>HYPERLINK("https://klasma.github.io/Logging_2380/tillsyn/A 40692-2024 tillsynsbegäran.docx", "A 40692-2024")</f>
        <v/>
      </c>
      <c r="Y152">
        <f>HYPERLINK("https://klasma.github.io/Logging_2380/tillsynsmail/A 40692-2024 tillsynsbegäran mail.docx", "A 40692-2024")</f>
        <v/>
      </c>
    </row>
    <row r="153" ht="15" customHeight="1">
      <c r="A153" t="inlineStr">
        <is>
          <t>A 40696-2024</t>
        </is>
      </c>
      <c r="B153" s="1" t="n">
        <v>45558</v>
      </c>
      <c r="C153" s="1" t="n">
        <v>45589</v>
      </c>
      <c r="D153" t="inlineStr">
        <is>
          <t>JÄMTLANDS LÄN</t>
        </is>
      </c>
      <c r="E153" t="inlineStr">
        <is>
          <t>ÖSTERSUND</t>
        </is>
      </c>
      <c r="F153" t="inlineStr">
        <is>
          <t>SCA</t>
        </is>
      </c>
      <c r="G153" t="n">
        <v>2.7</v>
      </c>
      <c r="H153" t="n">
        <v>0</v>
      </c>
      <c r="I153" t="n">
        <v>0</v>
      </c>
      <c r="J153" t="n">
        <v>1</v>
      </c>
      <c r="K153" t="n">
        <v>0</v>
      </c>
      <c r="L153" t="n">
        <v>0</v>
      </c>
      <c r="M153" t="n">
        <v>0</v>
      </c>
      <c r="N153" t="n">
        <v>0</v>
      </c>
      <c r="O153" t="n">
        <v>1</v>
      </c>
      <c r="P153" t="n">
        <v>0</v>
      </c>
      <c r="Q153" t="n">
        <v>1</v>
      </c>
      <c r="R153" s="2" t="inlineStr">
        <is>
          <t>Lunglav</t>
        </is>
      </c>
      <c r="S153">
        <f>HYPERLINK("https://klasma.github.io/Logging_2380/artfynd/A 40696-2024 artfynd.xlsx", "A 40696-2024")</f>
        <v/>
      </c>
      <c r="T153">
        <f>HYPERLINK("https://klasma.github.io/Logging_2380/kartor/A 40696-2024 karta.png", "A 40696-2024")</f>
        <v/>
      </c>
      <c r="V153">
        <f>HYPERLINK("https://klasma.github.io/Logging_2380/klagomål/A 40696-2024 FSC-klagomål.docx", "A 40696-2024")</f>
        <v/>
      </c>
      <c r="W153">
        <f>HYPERLINK("https://klasma.github.io/Logging_2380/klagomålsmail/A 40696-2024 FSC-klagomål mail.docx", "A 40696-2024")</f>
        <v/>
      </c>
      <c r="X153">
        <f>HYPERLINK("https://klasma.github.io/Logging_2380/tillsyn/A 40696-2024 tillsynsbegäran.docx", "A 40696-2024")</f>
        <v/>
      </c>
      <c r="Y153">
        <f>HYPERLINK("https://klasma.github.io/Logging_2380/tillsynsmail/A 40696-2024 tillsynsbegäran mail.docx", "A 40696-2024")</f>
        <v/>
      </c>
    </row>
    <row r="154" ht="15" customHeight="1">
      <c r="A154" t="inlineStr">
        <is>
          <t>A 41312-2024</t>
        </is>
      </c>
      <c r="B154" s="1" t="n">
        <v>45559</v>
      </c>
      <c r="C154" s="1" t="n">
        <v>45589</v>
      </c>
      <c r="D154" t="inlineStr">
        <is>
          <t>JÄMTLANDS LÄN</t>
        </is>
      </c>
      <c r="E154" t="inlineStr">
        <is>
          <t>ÖSTERSUND</t>
        </is>
      </c>
      <c r="F154" t="inlineStr">
        <is>
          <t>SCA</t>
        </is>
      </c>
      <c r="G154" t="n">
        <v>2.6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41312-2024 artfynd.xlsx", "A 41312-2024")</f>
        <v/>
      </c>
      <c r="T154">
        <f>HYPERLINK("https://klasma.github.io/Logging_2380/kartor/A 41312-2024 karta.png", "A 41312-2024")</f>
        <v/>
      </c>
      <c r="V154">
        <f>HYPERLINK("https://klasma.github.io/Logging_2380/klagomål/A 41312-2024 FSC-klagomål.docx", "A 41312-2024")</f>
        <v/>
      </c>
      <c r="W154">
        <f>HYPERLINK("https://klasma.github.io/Logging_2380/klagomålsmail/A 41312-2024 FSC-klagomål mail.docx", "A 41312-2024")</f>
        <v/>
      </c>
      <c r="X154">
        <f>HYPERLINK("https://klasma.github.io/Logging_2380/tillsyn/A 41312-2024 tillsynsbegäran.docx", "A 41312-2024")</f>
        <v/>
      </c>
      <c r="Y154">
        <f>HYPERLINK("https://klasma.github.io/Logging_2380/tillsynsmail/A 41312-2024 tillsynsbegäran mail.docx", "A 41312-2024")</f>
        <v/>
      </c>
    </row>
    <row r="155" ht="15" customHeight="1">
      <c r="A155" t="inlineStr">
        <is>
          <t>A 41275-2024</t>
        </is>
      </c>
      <c r="B155" s="1" t="n">
        <v>45559</v>
      </c>
      <c r="C155" s="1" t="n">
        <v>45589</v>
      </c>
      <c r="D155" t="inlineStr">
        <is>
          <t>JÄMTLANDS LÄN</t>
        </is>
      </c>
      <c r="E155" t="inlineStr">
        <is>
          <t>ÖSTERSUND</t>
        </is>
      </c>
      <c r="F155" t="inlineStr">
        <is>
          <t>SCA</t>
        </is>
      </c>
      <c r="G155" t="n">
        <v>3.3</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41275-2024 artfynd.xlsx", "A 41275-2024")</f>
        <v/>
      </c>
      <c r="T155">
        <f>HYPERLINK("https://klasma.github.io/Logging_2380/kartor/A 41275-2024 karta.png", "A 41275-2024")</f>
        <v/>
      </c>
      <c r="V155">
        <f>HYPERLINK("https://klasma.github.io/Logging_2380/klagomål/A 41275-2024 FSC-klagomål.docx", "A 41275-2024")</f>
        <v/>
      </c>
      <c r="W155">
        <f>HYPERLINK("https://klasma.github.io/Logging_2380/klagomålsmail/A 41275-2024 FSC-klagomål mail.docx", "A 41275-2024")</f>
        <v/>
      </c>
      <c r="X155">
        <f>HYPERLINK("https://klasma.github.io/Logging_2380/tillsyn/A 41275-2024 tillsynsbegäran.docx", "A 41275-2024")</f>
        <v/>
      </c>
      <c r="Y155">
        <f>HYPERLINK("https://klasma.github.io/Logging_2380/tillsynsmail/A 41275-2024 tillsynsbegäran mail.docx", "A 41275-2024")</f>
        <v/>
      </c>
    </row>
    <row r="156" ht="15" customHeight="1">
      <c r="A156" t="inlineStr">
        <is>
          <t>A 41279-2024</t>
        </is>
      </c>
      <c r="B156" s="1" t="n">
        <v>45559</v>
      </c>
      <c r="C156" s="1" t="n">
        <v>45589</v>
      </c>
      <c r="D156" t="inlineStr">
        <is>
          <t>JÄMTLANDS LÄN</t>
        </is>
      </c>
      <c r="E156" t="inlineStr">
        <is>
          <t>ÖSTERSUND</t>
        </is>
      </c>
      <c r="F156" t="inlineStr">
        <is>
          <t>SCA</t>
        </is>
      </c>
      <c r="G156" t="n">
        <v>1.6</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41279-2024 artfynd.xlsx", "A 41279-2024")</f>
        <v/>
      </c>
      <c r="T156">
        <f>HYPERLINK("https://klasma.github.io/Logging_2380/kartor/A 41279-2024 karta.png", "A 41279-2024")</f>
        <v/>
      </c>
      <c r="V156">
        <f>HYPERLINK("https://klasma.github.io/Logging_2380/klagomål/A 41279-2024 FSC-klagomål.docx", "A 41279-2024")</f>
        <v/>
      </c>
      <c r="W156">
        <f>HYPERLINK("https://klasma.github.io/Logging_2380/klagomålsmail/A 41279-2024 FSC-klagomål mail.docx", "A 41279-2024")</f>
        <v/>
      </c>
      <c r="X156">
        <f>HYPERLINK("https://klasma.github.io/Logging_2380/tillsyn/A 41279-2024 tillsynsbegäran.docx", "A 41279-2024")</f>
        <v/>
      </c>
      <c r="Y156">
        <f>HYPERLINK("https://klasma.github.io/Logging_2380/tillsynsmail/A 41279-2024 tillsynsbegäran mail.docx", "A 41279-2024")</f>
        <v/>
      </c>
    </row>
    <row r="157" ht="15" customHeight="1">
      <c r="A157" t="inlineStr">
        <is>
          <t>A 41286-2024</t>
        </is>
      </c>
      <c r="B157" s="1" t="n">
        <v>45559</v>
      </c>
      <c r="C157" s="1" t="n">
        <v>45589</v>
      </c>
      <c r="D157" t="inlineStr">
        <is>
          <t>JÄMTLANDS LÄN</t>
        </is>
      </c>
      <c r="E157" t="inlineStr">
        <is>
          <t>ÖSTERSUND</t>
        </is>
      </c>
      <c r="F157" t="inlineStr">
        <is>
          <t>SCA</t>
        </is>
      </c>
      <c r="G157" t="n">
        <v>4.4</v>
      </c>
      <c r="H157" t="n">
        <v>0</v>
      </c>
      <c r="I157" t="n">
        <v>0</v>
      </c>
      <c r="J157" t="n">
        <v>1</v>
      </c>
      <c r="K157" t="n">
        <v>0</v>
      </c>
      <c r="L157" t="n">
        <v>0</v>
      </c>
      <c r="M157" t="n">
        <v>0</v>
      </c>
      <c r="N157" t="n">
        <v>0</v>
      </c>
      <c r="O157" t="n">
        <v>1</v>
      </c>
      <c r="P157" t="n">
        <v>0</v>
      </c>
      <c r="Q157" t="n">
        <v>1</v>
      </c>
      <c r="R157" s="2" t="inlineStr">
        <is>
          <t>Lunglav</t>
        </is>
      </c>
      <c r="S157">
        <f>HYPERLINK("https://klasma.github.io/Logging_2380/artfynd/A 41286-2024 artfynd.xlsx", "A 41286-2024")</f>
        <v/>
      </c>
      <c r="T157">
        <f>HYPERLINK("https://klasma.github.io/Logging_2380/kartor/A 41286-2024 karta.png", "A 41286-2024")</f>
        <v/>
      </c>
      <c r="V157">
        <f>HYPERLINK("https://klasma.github.io/Logging_2380/klagomål/A 41286-2024 FSC-klagomål.docx", "A 41286-2024")</f>
        <v/>
      </c>
      <c r="W157">
        <f>HYPERLINK("https://klasma.github.io/Logging_2380/klagomålsmail/A 41286-2024 FSC-klagomål mail.docx", "A 41286-2024")</f>
        <v/>
      </c>
      <c r="X157">
        <f>HYPERLINK("https://klasma.github.io/Logging_2380/tillsyn/A 41286-2024 tillsynsbegäran.docx", "A 41286-2024")</f>
        <v/>
      </c>
      <c r="Y157">
        <f>HYPERLINK("https://klasma.github.io/Logging_2380/tillsynsmail/A 41286-2024 tillsynsbegäran mail.docx", "A 41286-2024")</f>
        <v/>
      </c>
    </row>
    <row r="158" ht="15" customHeight="1">
      <c r="A158" t="inlineStr">
        <is>
          <t>A 41755-2024</t>
        </is>
      </c>
      <c r="B158" s="1" t="n">
        <v>45561</v>
      </c>
      <c r="C158" s="1" t="n">
        <v>45589</v>
      </c>
      <c r="D158" t="inlineStr">
        <is>
          <t>JÄMTLANDS LÄN</t>
        </is>
      </c>
      <c r="E158" t="inlineStr">
        <is>
          <t>ÖSTERSUND</t>
        </is>
      </c>
      <c r="F158" t="inlineStr">
        <is>
          <t>SCA</t>
        </is>
      </c>
      <c r="G158" t="n">
        <v>4.4</v>
      </c>
      <c r="H158" t="n">
        <v>0</v>
      </c>
      <c r="I158" t="n">
        <v>0</v>
      </c>
      <c r="J158" t="n">
        <v>1</v>
      </c>
      <c r="K158" t="n">
        <v>0</v>
      </c>
      <c r="L158" t="n">
        <v>0</v>
      </c>
      <c r="M158" t="n">
        <v>0</v>
      </c>
      <c r="N158" t="n">
        <v>0</v>
      </c>
      <c r="O158" t="n">
        <v>1</v>
      </c>
      <c r="P158" t="n">
        <v>0</v>
      </c>
      <c r="Q158" t="n">
        <v>1</v>
      </c>
      <c r="R158" s="2" t="inlineStr">
        <is>
          <t>Lunglav</t>
        </is>
      </c>
      <c r="S158">
        <f>HYPERLINK("https://klasma.github.io/Logging_2380/artfynd/A 41755-2024 artfynd.xlsx", "A 41755-2024")</f>
        <v/>
      </c>
      <c r="T158">
        <f>HYPERLINK("https://klasma.github.io/Logging_2380/kartor/A 41755-2024 karta.png", "A 41755-2024")</f>
        <v/>
      </c>
      <c r="V158">
        <f>HYPERLINK("https://klasma.github.io/Logging_2380/klagomål/A 41755-2024 FSC-klagomål.docx", "A 41755-2024")</f>
        <v/>
      </c>
      <c r="W158">
        <f>HYPERLINK("https://klasma.github.io/Logging_2380/klagomålsmail/A 41755-2024 FSC-klagomål mail.docx", "A 41755-2024")</f>
        <v/>
      </c>
      <c r="X158">
        <f>HYPERLINK("https://klasma.github.io/Logging_2380/tillsyn/A 41755-2024 tillsynsbegäran.docx", "A 41755-2024")</f>
        <v/>
      </c>
      <c r="Y158">
        <f>HYPERLINK("https://klasma.github.io/Logging_2380/tillsynsmail/A 41755-2024 tillsynsbegäran mail.docx", "A 41755-2024")</f>
        <v/>
      </c>
    </row>
    <row r="159" ht="15" customHeight="1">
      <c r="A159" t="inlineStr">
        <is>
          <t>A 41762-2024</t>
        </is>
      </c>
      <c r="B159" s="1" t="n">
        <v>45561</v>
      </c>
      <c r="C159" s="1" t="n">
        <v>45589</v>
      </c>
      <c r="D159" t="inlineStr">
        <is>
          <t>JÄMTLANDS LÄN</t>
        </is>
      </c>
      <c r="E159" t="inlineStr">
        <is>
          <t>ÖSTERSUND</t>
        </is>
      </c>
      <c r="F159" t="inlineStr">
        <is>
          <t>SCA</t>
        </is>
      </c>
      <c r="G159" t="n">
        <v>5.9</v>
      </c>
      <c r="H159" t="n">
        <v>0</v>
      </c>
      <c r="I159" t="n">
        <v>1</v>
      </c>
      <c r="J159" t="n">
        <v>0</v>
      </c>
      <c r="K159" t="n">
        <v>0</v>
      </c>
      <c r="L159" t="n">
        <v>0</v>
      </c>
      <c r="M159" t="n">
        <v>0</v>
      </c>
      <c r="N159" t="n">
        <v>0</v>
      </c>
      <c r="O159" t="n">
        <v>0</v>
      </c>
      <c r="P159" t="n">
        <v>0</v>
      </c>
      <c r="Q159" t="n">
        <v>1</v>
      </c>
      <c r="R159" s="2" t="inlineStr">
        <is>
          <t>Dropptaggsvamp</t>
        </is>
      </c>
      <c r="S159">
        <f>HYPERLINK("https://klasma.github.io/Logging_2380/artfynd/A 41762-2024 artfynd.xlsx", "A 41762-2024")</f>
        <v/>
      </c>
      <c r="T159">
        <f>HYPERLINK("https://klasma.github.io/Logging_2380/kartor/A 41762-2024 karta.png", "A 41762-2024")</f>
        <v/>
      </c>
      <c r="V159">
        <f>HYPERLINK("https://klasma.github.io/Logging_2380/klagomål/A 41762-2024 FSC-klagomål.docx", "A 41762-2024")</f>
        <v/>
      </c>
      <c r="W159">
        <f>HYPERLINK("https://klasma.github.io/Logging_2380/klagomålsmail/A 41762-2024 FSC-klagomål mail.docx", "A 41762-2024")</f>
        <v/>
      </c>
      <c r="X159">
        <f>HYPERLINK("https://klasma.github.io/Logging_2380/tillsyn/A 41762-2024 tillsynsbegäran.docx", "A 41762-2024")</f>
        <v/>
      </c>
      <c r="Y159">
        <f>HYPERLINK("https://klasma.github.io/Logging_2380/tillsynsmail/A 41762-2024 tillsynsbegäran mail.docx", "A 41762-2024")</f>
        <v/>
      </c>
    </row>
    <row r="160" ht="15" customHeight="1">
      <c r="A160" t="inlineStr">
        <is>
          <t>A 41770-2024</t>
        </is>
      </c>
      <c r="B160" s="1" t="n">
        <v>45561</v>
      </c>
      <c r="C160" s="1" t="n">
        <v>45589</v>
      </c>
      <c r="D160" t="inlineStr">
        <is>
          <t>JÄMTLANDS LÄN</t>
        </is>
      </c>
      <c r="E160" t="inlineStr">
        <is>
          <t>ÖSTERSUND</t>
        </is>
      </c>
      <c r="F160" t="inlineStr">
        <is>
          <t>SCA</t>
        </is>
      </c>
      <c r="G160" t="n">
        <v>4.4</v>
      </c>
      <c r="H160" t="n">
        <v>0</v>
      </c>
      <c r="I160" t="n">
        <v>1</v>
      </c>
      <c r="J160" t="n">
        <v>0</v>
      </c>
      <c r="K160" t="n">
        <v>0</v>
      </c>
      <c r="L160" t="n">
        <v>0</v>
      </c>
      <c r="M160" t="n">
        <v>0</v>
      </c>
      <c r="N160" t="n">
        <v>0</v>
      </c>
      <c r="O160" t="n">
        <v>0</v>
      </c>
      <c r="P160" t="n">
        <v>0</v>
      </c>
      <c r="Q160" t="n">
        <v>1</v>
      </c>
      <c r="R160" s="2" t="inlineStr">
        <is>
          <t>Vedticka</t>
        </is>
      </c>
      <c r="S160">
        <f>HYPERLINK("https://klasma.github.io/Logging_2380/artfynd/A 41770-2024 artfynd.xlsx", "A 41770-2024")</f>
        <v/>
      </c>
      <c r="T160">
        <f>HYPERLINK("https://klasma.github.io/Logging_2380/kartor/A 41770-2024 karta.png", "A 41770-2024")</f>
        <v/>
      </c>
      <c r="V160">
        <f>HYPERLINK("https://klasma.github.io/Logging_2380/klagomål/A 41770-2024 FSC-klagomål.docx", "A 41770-2024")</f>
        <v/>
      </c>
      <c r="W160">
        <f>HYPERLINK("https://klasma.github.io/Logging_2380/klagomålsmail/A 41770-2024 FSC-klagomål mail.docx", "A 41770-2024")</f>
        <v/>
      </c>
      <c r="X160">
        <f>HYPERLINK("https://klasma.github.io/Logging_2380/tillsyn/A 41770-2024 tillsynsbegäran.docx", "A 41770-2024")</f>
        <v/>
      </c>
      <c r="Y160">
        <f>HYPERLINK("https://klasma.github.io/Logging_2380/tillsynsmail/A 41770-2024 tillsynsbegäran mail.docx", "A 41770-2024")</f>
        <v/>
      </c>
    </row>
    <row r="161" ht="15" customHeight="1">
      <c r="A161" t="inlineStr">
        <is>
          <t>A 44049-2024</t>
        </is>
      </c>
      <c r="B161" s="1" t="n">
        <v>45572</v>
      </c>
      <c r="C161" s="1" t="n">
        <v>45589</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44737-2024</t>
        </is>
      </c>
      <c r="B162" s="1" t="n">
        <v>45574</v>
      </c>
      <c r="C162" s="1" t="n">
        <v>45589</v>
      </c>
      <c r="D162" t="inlineStr">
        <is>
          <t>JÄMTLANDS LÄN</t>
        </is>
      </c>
      <c r="E162" t="inlineStr">
        <is>
          <t>ÖSTERSUND</t>
        </is>
      </c>
      <c r="F162" t="inlineStr">
        <is>
          <t>SCA</t>
        </is>
      </c>
      <c r="G162" t="n">
        <v>6.3</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44737-2024 artfynd.xlsx", "A 44737-2024")</f>
        <v/>
      </c>
      <c r="T162">
        <f>HYPERLINK("https://klasma.github.io/Logging_2380/kartor/A 44737-2024 karta.png", "A 44737-2024")</f>
        <v/>
      </c>
      <c r="V162">
        <f>HYPERLINK("https://klasma.github.io/Logging_2380/klagomål/A 44737-2024 FSC-klagomål.docx", "A 44737-2024")</f>
        <v/>
      </c>
      <c r="W162">
        <f>HYPERLINK("https://klasma.github.io/Logging_2380/klagomålsmail/A 44737-2024 FSC-klagomål mail.docx", "A 44737-2024")</f>
        <v/>
      </c>
      <c r="X162">
        <f>HYPERLINK("https://klasma.github.io/Logging_2380/tillsyn/A 44737-2024 tillsynsbegäran.docx", "A 44737-2024")</f>
        <v/>
      </c>
      <c r="Y162">
        <f>HYPERLINK("https://klasma.github.io/Logging_2380/tillsynsmail/A 44737-2024 tillsynsbegäran mail.docx", "A 44737-2024")</f>
        <v/>
      </c>
    </row>
    <row r="163" ht="15" customHeight="1">
      <c r="A163" t="inlineStr">
        <is>
          <t>A 47176-2024</t>
        </is>
      </c>
      <c r="B163" s="1" t="n">
        <v>45586</v>
      </c>
      <c r="C163" s="1" t="n">
        <v>45589</v>
      </c>
      <c r="D163" t="inlineStr">
        <is>
          <t>JÄMTLANDS LÄN</t>
        </is>
      </c>
      <c r="E163" t="inlineStr">
        <is>
          <t>ÖSTERSUND</t>
        </is>
      </c>
      <c r="F163" t="inlineStr">
        <is>
          <t>SCA</t>
        </is>
      </c>
      <c r="G163" t="n">
        <v>2.9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47176-2024 artfynd.xlsx", "A 47176-2024")</f>
        <v/>
      </c>
      <c r="T163">
        <f>HYPERLINK("https://klasma.github.io/Logging_2380/kartor/A 47176-2024 karta.png", "A 47176-2024")</f>
        <v/>
      </c>
      <c r="V163">
        <f>HYPERLINK("https://klasma.github.io/Logging_2380/klagomål/A 47176-2024 FSC-klagomål.docx", "A 47176-2024")</f>
        <v/>
      </c>
      <c r="W163">
        <f>HYPERLINK("https://klasma.github.io/Logging_2380/klagomålsmail/A 47176-2024 FSC-klagomål mail.docx", "A 47176-2024")</f>
        <v/>
      </c>
      <c r="X163">
        <f>HYPERLINK("https://klasma.github.io/Logging_2380/tillsyn/A 47176-2024 tillsynsbegäran.docx", "A 47176-2024")</f>
        <v/>
      </c>
      <c r="Y163">
        <f>HYPERLINK("https://klasma.github.io/Logging_2380/tillsynsmail/A 47176-2024 tillsynsbegäran mail.docx", "A 47176-2024")</f>
        <v/>
      </c>
    </row>
    <row r="164" ht="15" customHeight="1">
      <c r="A164" t="inlineStr">
        <is>
          <t>A 20319-2019</t>
        </is>
      </c>
      <c r="B164" s="1" t="n">
        <v>43571</v>
      </c>
      <c r="C164" s="1" t="n">
        <v>45589</v>
      </c>
      <c r="D164" t="inlineStr">
        <is>
          <t>JÄMTLANDS LÄN</t>
        </is>
      </c>
      <c r="E164" t="inlineStr">
        <is>
          <t>ÖSTERSUND</t>
        </is>
      </c>
      <c r="G164" t="n">
        <v>1.3</v>
      </c>
      <c r="H164" t="n">
        <v>0</v>
      </c>
      <c r="I164" t="n">
        <v>0</v>
      </c>
      <c r="J164" t="n">
        <v>0</v>
      </c>
      <c r="K164" t="n">
        <v>0</v>
      </c>
      <c r="L164" t="n">
        <v>0</v>
      </c>
      <c r="M164" t="n">
        <v>0</v>
      </c>
      <c r="N164" t="n">
        <v>0</v>
      </c>
      <c r="O164" t="n">
        <v>0</v>
      </c>
      <c r="P164" t="n">
        <v>0</v>
      </c>
      <c r="Q164" t="n">
        <v>0</v>
      </c>
      <c r="R164" s="2" t="inlineStr"/>
    </row>
    <row r="165" ht="15" customHeight="1">
      <c r="A165" t="inlineStr">
        <is>
          <t>A 21727-2019</t>
        </is>
      </c>
      <c r="B165" s="1" t="n">
        <v>43581</v>
      </c>
      <c r="C165" s="1" t="n">
        <v>45589</v>
      </c>
      <c r="D165" t="inlineStr">
        <is>
          <t>JÄMTLANDS LÄN</t>
        </is>
      </c>
      <c r="E165" t="inlineStr">
        <is>
          <t>ÖSTERSUND</t>
        </is>
      </c>
      <c r="G165" t="n">
        <v>0.8</v>
      </c>
      <c r="H165" t="n">
        <v>0</v>
      </c>
      <c r="I165" t="n">
        <v>0</v>
      </c>
      <c r="J165" t="n">
        <v>0</v>
      </c>
      <c r="K165" t="n">
        <v>0</v>
      </c>
      <c r="L165" t="n">
        <v>0</v>
      </c>
      <c r="M165" t="n">
        <v>0</v>
      </c>
      <c r="N165" t="n">
        <v>0</v>
      </c>
      <c r="O165" t="n">
        <v>0</v>
      </c>
      <c r="P165" t="n">
        <v>0</v>
      </c>
      <c r="Q165" t="n">
        <v>0</v>
      </c>
      <c r="R165" s="2" t="inlineStr"/>
    </row>
    <row r="166" ht="15" customHeight="1">
      <c r="A166" t="inlineStr">
        <is>
          <t>A 21793-2019</t>
        </is>
      </c>
      <c r="B166" s="1" t="n">
        <v>43581</v>
      </c>
      <c r="C166" s="1" t="n">
        <v>45589</v>
      </c>
      <c r="D166" t="inlineStr">
        <is>
          <t>JÄMTLANDS LÄN</t>
        </is>
      </c>
      <c r="E166" t="inlineStr">
        <is>
          <t>ÖSTERSUND</t>
        </is>
      </c>
      <c r="F166" t="inlineStr">
        <is>
          <t>SCA</t>
        </is>
      </c>
      <c r="G166" t="n">
        <v>3.6</v>
      </c>
      <c r="H166" t="n">
        <v>0</v>
      </c>
      <c r="I166" t="n">
        <v>0</v>
      </c>
      <c r="J166" t="n">
        <v>0</v>
      </c>
      <c r="K166" t="n">
        <v>0</v>
      </c>
      <c r="L166" t="n">
        <v>0</v>
      </c>
      <c r="M166" t="n">
        <v>0</v>
      </c>
      <c r="N166" t="n">
        <v>0</v>
      </c>
      <c r="O166" t="n">
        <v>0</v>
      </c>
      <c r="P166" t="n">
        <v>0</v>
      </c>
      <c r="Q166" t="n">
        <v>0</v>
      </c>
      <c r="R166" s="2" t="inlineStr"/>
    </row>
    <row r="167" ht="15" customHeight="1">
      <c r="A167" t="inlineStr">
        <is>
          <t>A 22119-2019</t>
        </is>
      </c>
      <c r="B167" s="1" t="n">
        <v>43584</v>
      </c>
      <c r="C167" s="1" t="n">
        <v>45589</v>
      </c>
      <c r="D167" t="inlineStr">
        <is>
          <t>JÄMTLANDS LÄN</t>
        </is>
      </c>
      <c r="E167" t="inlineStr">
        <is>
          <t>ÖSTERSUND</t>
        </is>
      </c>
      <c r="G167" t="n">
        <v>7</v>
      </c>
      <c r="H167" t="n">
        <v>0</v>
      </c>
      <c r="I167" t="n">
        <v>0</v>
      </c>
      <c r="J167" t="n">
        <v>0</v>
      </c>
      <c r="K167" t="n">
        <v>0</v>
      </c>
      <c r="L167" t="n">
        <v>0</v>
      </c>
      <c r="M167" t="n">
        <v>0</v>
      </c>
      <c r="N167" t="n">
        <v>0</v>
      </c>
      <c r="O167" t="n">
        <v>0</v>
      </c>
      <c r="P167" t="n">
        <v>0</v>
      </c>
      <c r="Q167" t="n">
        <v>0</v>
      </c>
      <c r="R167" s="2" t="inlineStr"/>
    </row>
    <row r="168" ht="15" customHeight="1">
      <c r="A168" t="inlineStr">
        <is>
          <t>A 22115-2019</t>
        </is>
      </c>
      <c r="B168" s="1" t="n">
        <v>43584</v>
      </c>
      <c r="C168" s="1" t="n">
        <v>45589</v>
      </c>
      <c r="D168" t="inlineStr">
        <is>
          <t>JÄMTLANDS LÄN</t>
        </is>
      </c>
      <c r="E168" t="inlineStr">
        <is>
          <t>ÖSTERSUND</t>
        </is>
      </c>
      <c r="G168" t="n">
        <v>15.1</v>
      </c>
      <c r="H168" t="n">
        <v>0</v>
      </c>
      <c r="I168" t="n">
        <v>0</v>
      </c>
      <c r="J168" t="n">
        <v>0</v>
      </c>
      <c r="K168" t="n">
        <v>0</v>
      </c>
      <c r="L168" t="n">
        <v>0</v>
      </c>
      <c r="M168" t="n">
        <v>0</v>
      </c>
      <c r="N168" t="n">
        <v>0</v>
      </c>
      <c r="O168" t="n">
        <v>0</v>
      </c>
      <c r="P168" t="n">
        <v>0</v>
      </c>
      <c r="Q168" t="n">
        <v>0</v>
      </c>
      <c r="R168" s="2" t="inlineStr"/>
      <c r="U168">
        <f>HYPERLINK("https://klasma.github.io/Logging_2380/knärot/A 22115-2019 karta knärot.png", "A 22115-2019")</f>
        <v/>
      </c>
      <c r="V168">
        <f>HYPERLINK("https://klasma.github.io/Logging_2380/klagomål/A 22115-2019 FSC-klagomål.docx", "A 22115-2019")</f>
        <v/>
      </c>
      <c r="W168">
        <f>HYPERLINK("https://klasma.github.io/Logging_2380/klagomålsmail/A 22115-2019 FSC-klagomål mail.docx", "A 22115-2019")</f>
        <v/>
      </c>
      <c r="X168">
        <f>HYPERLINK("https://klasma.github.io/Logging_2380/tillsyn/A 22115-2019 tillsynsbegäran.docx", "A 22115-2019")</f>
        <v/>
      </c>
      <c r="Y168">
        <f>HYPERLINK("https://klasma.github.io/Logging_2380/tillsynsmail/A 22115-2019 tillsynsbegäran mail.docx", "A 22115-2019")</f>
        <v/>
      </c>
    </row>
    <row r="169" ht="15" customHeight="1">
      <c r="A169" t="inlineStr">
        <is>
          <t>A 23609-2019</t>
        </is>
      </c>
      <c r="B169" s="1" t="n">
        <v>43594</v>
      </c>
      <c r="C169" s="1" t="n">
        <v>45589</v>
      </c>
      <c r="D169" t="inlineStr">
        <is>
          <t>JÄMTLANDS LÄN</t>
        </is>
      </c>
      <c r="E169" t="inlineStr">
        <is>
          <t>ÖSTERSUND</t>
        </is>
      </c>
      <c r="G169" t="n">
        <v>2.5</v>
      </c>
      <c r="H169" t="n">
        <v>0</v>
      </c>
      <c r="I169" t="n">
        <v>0</v>
      </c>
      <c r="J169" t="n">
        <v>0</v>
      </c>
      <c r="K169" t="n">
        <v>0</v>
      </c>
      <c r="L169" t="n">
        <v>0</v>
      </c>
      <c r="M169" t="n">
        <v>0</v>
      </c>
      <c r="N169" t="n">
        <v>0</v>
      </c>
      <c r="O169" t="n">
        <v>0</v>
      </c>
      <c r="P169" t="n">
        <v>0</v>
      </c>
      <c r="Q169" t="n">
        <v>0</v>
      </c>
      <c r="R169" s="2" t="inlineStr"/>
    </row>
    <row r="170" ht="15" customHeight="1">
      <c r="A170" t="inlineStr">
        <is>
          <t>A 23940-2019</t>
        </is>
      </c>
      <c r="B170" s="1" t="n">
        <v>43595</v>
      </c>
      <c r="C170" s="1" t="n">
        <v>45589</v>
      </c>
      <c r="D170" t="inlineStr">
        <is>
          <t>JÄMTLANDS LÄN</t>
        </is>
      </c>
      <c r="E170" t="inlineStr">
        <is>
          <t>ÖSTERSUND</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25205-2019</t>
        </is>
      </c>
      <c r="B171" s="1" t="n">
        <v>43600</v>
      </c>
      <c r="C171" s="1" t="n">
        <v>45589</v>
      </c>
      <c r="D171" t="inlineStr">
        <is>
          <t>JÄMTLANDS LÄN</t>
        </is>
      </c>
      <c r="E171" t="inlineStr">
        <is>
          <t>ÖSTERSUND</t>
        </is>
      </c>
      <c r="G171" t="n">
        <v>3.8</v>
      </c>
      <c r="H171" t="n">
        <v>0</v>
      </c>
      <c r="I171" t="n">
        <v>0</v>
      </c>
      <c r="J171" t="n">
        <v>0</v>
      </c>
      <c r="K171" t="n">
        <v>0</v>
      </c>
      <c r="L171" t="n">
        <v>0</v>
      </c>
      <c r="M171" t="n">
        <v>0</v>
      </c>
      <c r="N171" t="n">
        <v>0</v>
      </c>
      <c r="O171" t="n">
        <v>0</v>
      </c>
      <c r="P171" t="n">
        <v>0</v>
      </c>
      <c r="Q171" t="n">
        <v>0</v>
      </c>
      <c r="R171" s="2" t="inlineStr"/>
    </row>
    <row r="172" ht="15" customHeight="1">
      <c r="A172" t="inlineStr">
        <is>
          <t>A 28892-2019</t>
        </is>
      </c>
      <c r="B172" s="1" t="n">
        <v>43619</v>
      </c>
      <c r="C172" s="1" t="n">
        <v>45589</v>
      </c>
      <c r="D172" t="inlineStr">
        <is>
          <t>JÄMTLANDS LÄN</t>
        </is>
      </c>
      <c r="E172" t="inlineStr">
        <is>
          <t>ÖSTERSUND</t>
        </is>
      </c>
      <c r="G172" t="n">
        <v>0.7</v>
      </c>
      <c r="H172" t="n">
        <v>0</v>
      </c>
      <c r="I172" t="n">
        <v>0</v>
      </c>
      <c r="J172" t="n">
        <v>0</v>
      </c>
      <c r="K172" t="n">
        <v>0</v>
      </c>
      <c r="L172" t="n">
        <v>0</v>
      </c>
      <c r="M172" t="n">
        <v>0</v>
      </c>
      <c r="N172" t="n">
        <v>0</v>
      </c>
      <c r="O172" t="n">
        <v>0</v>
      </c>
      <c r="P172" t="n">
        <v>0</v>
      </c>
      <c r="Q172" t="n">
        <v>0</v>
      </c>
      <c r="R172" s="2" t="inlineStr"/>
    </row>
    <row r="173" ht="15" customHeight="1">
      <c r="A173" t="inlineStr">
        <is>
          <t>A 28899-2019</t>
        </is>
      </c>
      <c r="B173" s="1" t="n">
        <v>43619</v>
      </c>
      <c r="C173" s="1" t="n">
        <v>45589</v>
      </c>
      <c r="D173" t="inlineStr">
        <is>
          <t>JÄMTLANDS LÄN</t>
        </is>
      </c>
      <c r="E173" t="inlineStr">
        <is>
          <t>ÖSTERSUND</t>
        </is>
      </c>
      <c r="G173" t="n">
        <v>0.4</v>
      </c>
      <c r="H173" t="n">
        <v>0</v>
      </c>
      <c r="I173" t="n">
        <v>0</v>
      </c>
      <c r="J173" t="n">
        <v>0</v>
      </c>
      <c r="K173" t="n">
        <v>0</v>
      </c>
      <c r="L173" t="n">
        <v>0</v>
      </c>
      <c r="M173" t="n">
        <v>0</v>
      </c>
      <c r="N173" t="n">
        <v>0</v>
      </c>
      <c r="O173" t="n">
        <v>0</v>
      </c>
      <c r="P173" t="n">
        <v>0</v>
      </c>
      <c r="Q173" t="n">
        <v>0</v>
      </c>
      <c r="R173" s="2" t="inlineStr"/>
    </row>
    <row r="174" ht="15" customHeight="1">
      <c r="A174" t="inlineStr">
        <is>
          <t>A 28884-2019</t>
        </is>
      </c>
      <c r="B174" s="1" t="n">
        <v>43619</v>
      </c>
      <c r="C174" s="1" t="n">
        <v>45589</v>
      </c>
      <c r="D174" t="inlineStr">
        <is>
          <t>JÄMTLANDS LÄN</t>
        </is>
      </c>
      <c r="E174" t="inlineStr">
        <is>
          <t>ÖSTERSUND</t>
        </is>
      </c>
      <c r="G174" t="n">
        <v>0.3</v>
      </c>
      <c r="H174" t="n">
        <v>0</v>
      </c>
      <c r="I174" t="n">
        <v>0</v>
      </c>
      <c r="J174" t="n">
        <v>0</v>
      </c>
      <c r="K174" t="n">
        <v>0</v>
      </c>
      <c r="L174" t="n">
        <v>0</v>
      </c>
      <c r="M174" t="n">
        <v>0</v>
      </c>
      <c r="N174" t="n">
        <v>0</v>
      </c>
      <c r="O174" t="n">
        <v>0</v>
      </c>
      <c r="P174" t="n">
        <v>0</v>
      </c>
      <c r="Q174" t="n">
        <v>0</v>
      </c>
      <c r="R174" s="2" t="inlineStr"/>
    </row>
    <row r="175" ht="15" customHeight="1">
      <c r="A175" t="inlineStr">
        <is>
          <t>A 27977-2019</t>
        </is>
      </c>
      <c r="B175" s="1" t="n">
        <v>43620</v>
      </c>
      <c r="C175" s="1" t="n">
        <v>45589</v>
      </c>
      <c r="D175" t="inlineStr">
        <is>
          <t>JÄMTLANDS LÄN</t>
        </is>
      </c>
      <c r="E175" t="inlineStr">
        <is>
          <t>ÖSTERSUND</t>
        </is>
      </c>
      <c r="G175" t="n">
        <v>1</v>
      </c>
      <c r="H175" t="n">
        <v>0</v>
      </c>
      <c r="I175" t="n">
        <v>0</v>
      </c>
      <c r="J175" t="n">
        <v>0</v>
      </c>
      <c r="K175" t="n">
        <v>0</v>
      </c>
      <c r="L175" t="n">
        <v>0</v>
      </c>
      <c r="M175" t="n">
        <v>0</v>
      </c>
      <c r="N175" t="n">
        <v>0</v>
      </c>
      <c r="O175" t="n">
        <v>0</v>
      </c>
      <c r="P175" t="n">
        <v>0</v>
      </c>
      <c r="Q175" t="n">
        <v>0</v>
      </c>
      <c r="R175" s="2" t="inlineStr"/>
    </row>
    <row r="176" ht="15" customHeight="1">
      <c r="A176" t="inlineStr">
        <is>
          <t>A 29058-2019</t>
        </is>
      </c>
      <c r="B176" s="1" t="n">
        <v>43621</v>
      </c>
      <c r="C176" s="1" t="n">
        <v>45589</v>
      </c>
      <c r="D176" t="inlineStr">
        <is>
          <t>JÄMTLANDS LÄN</t>
        </is>
      </c>
      <c r="E176" t="inlineStr">
        <is>
          <t>ÖSTERSUND</t>
        </is>
      </c>
      <c r="G176" t="n">
        <v>1.4</v>
      </c>
      <c r="H176" t="n">
        <v>0</v>
      </c>
      <c r="I176" t="n">
        <v>0</v>
      </c>
      <c r="J176" t="n">
        <v>0</v>
      </c>
      <c r="K176" t="n">
        <v>0</v>
      </c>
      <c r="L176" t="n">
        <v>0</v>
      </c>
      <c r="M176" t="n">
        <v>0</v>
      </c>
      <c r="N176" t="n">
        <v>0</v>
      </c>
      <c r="O176" t="n">
        <v>0</v>
      </c>
      <c r="P176" t="n">
        <v>0</v>
      </c>
      <c r="Q176" t="n">
        <v>0</v>
      </c>
      <c r="R176" s="2" t="inlineStr"/>
    </row>
    <row r="177" ht="15" customHeight="1">
      <c r="A177" t="inlineStr">
        <is>
          <t>A 31189-2019</t>
        </is>
      </c>
      <c r="B177" s="1" t="n">
        <v>43635</v>
      </c>
      <c r="C177" s="1" t="n">
        <v>45589</v>
      </c>
      <c r="D177" t="inlineStr">
        <is>
          <t>JÄMTLANDS LÄN</t>
        </is>
      </c>
      <c r="E177" t="inlineStr">
        <is>
          <t>ÖSTERSUND</t>
        </is>
      </c>
      <c r="G177" t="n">
        <v>5.5</v>
      </c>
      <c r="H177" t="n">
        <v>0</v>
      </c>
      <c r="I177" t="n">
        <v>0</v>
      </c>
      <c r="J177" t="n">
        <v>0</v>
      </c>
      <c r="K177" t="n">
        <v>0</v>
      </c>
      <c r="L177" t="n">
        <v>0</v>
      </c>
      <c r="M177" t="n">
        <v>0</v>
      </c>
      <c r="N177" t="n">
        <v>0</v>
      </c>
      <c r="O177" t="n">
        <v>0</v>
      </c>
      <c r="P177" t="n">
        <v>0</v>
      </c>
      <c r="Q177" t="n">
        <v>0</v>
      </c>
      <c r="R177" s="2" t="inlineStr"/>
    </row>
    <row r="178" ht="15" customHeight="1">
      <c r="A178" t="inlineStr">
        <is>
          <t>A 30940-2019</t>
        </is>
      </c>
      <c r="B178" s="1" t="n">
        <v>43637</v>
      </c>
      <c r="C178" s="1" t="n">
        <v>45589</v>
      </c>
      <c r="D178" t="inlineStr">
        <is>
          <t>JÄMTLANDS LÄN</t>
        </is>
      </c>
      <c r="E178" t="inlineStr">
        <is>
          <t>ÖSTERSUND</t>
        </is>
      </c>
      <c r="F178" t="inlineStr">
        <is>
          <t>SCA</t>
        </is>
      </c>
      <c r="G178" t="n">
        <v>1.3</v>
      </c>
      <c r="H178" t="n">
        <v>0</v>
      </c>
      <c r="I178" t="n">
        <v>0</v>
      </c>
      <c r="J178" t="n">
        <v>0</v>
      </c>
      <c r="K178" t="n">
        <v>0</v>
      </c>
      <c r="L178" t="n">
        <v>0</v>
      </c>
      <c r="M178" t="n">
        <v>0</v>
      </c>
      <c r="N178" t="n">
        <v>0</v>
      </c>
      <c r="O178" t="n">
        <v>0</v>
      </c>
      <c r="P178" t="n">
        <v>0</v>
      </c>
      <c r="Q178" t="n">
        <v>0</v>
      </c>
      <c r="R178" s="2" t="inlineStr"/>
    </row>
    <row r="179" ht="15" customHeight="1">
      <c r="A179" t="inlineStr">
        <is>
          <t>A 30946-2019</t>
        </is>
      </c>
      <c r="B179" s="1" t="n">
        <v>43636</v>
      </c>
      <c r="C179" s="1" t="n">
        <v>45589</v>
      </c>
      <c r="D179" t="inlineStr">
        <is>
          <t>JÄMTLANDS LÄN</t>
        </is>
      </c>
      <c r="E179" t="inlineStr">
        <is>
          <t>ÖSTERSUND</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31617-2019</t>
        </is>
      </c>
      <c r="B180" s="1" t="n">
        <v>43640</v>
      </c>
      <c r="C180" s="1" t="n">
        <v>45589</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31621-2019</t>
        </is>
      </c>
      <c r="B181" s="1" t="n">
        <v>43640</v>
      </c>
      <c r="C181" s="1" t="n">
        <v>45589</v>
      </c>
      <c r="D181" t="inlineStr">
        <is>
          <t>JÄMTLANDS LÄN</t>
        </is>
      </c>
      <c r="E181" t="inlineStr">
        <is>
          <t>ÖSTERSUND</t>
        </is>
      </c>
      <c r="G181" t="n">
        <v>1.3</v>
      </c>
      <c r="H181" t="n">
        <v>0</v>
      </c>
      <c r="I181" t="n">
        <v>0</v>
      </c>
      <c r="J181" t="n">
        <v>0</v>
      </c>
      <c r="K181" t="n">
        <v>0</v>
      </c>
      <c r="L181" t="n">
        <v>0</v>
      </c>
      <c r="M181" t="n">
        <v>0</v>
      </c>
      <c r="N181" t="n">
        <v>0</v>
      </c>
      <c r="O181" t="n">
        <v>0</v>
      </c>
      <c r="P181" t="n">
        <v>0</v>
      </c>
      <c r="Q181" t="n">
        <v>0</v>
      </c>
      <c r="R181" s="2" t="inlineStr"/>
    </row>
    <row r="182" ht="15" customHeight="1">
      <c r="A182" t="inlineStr">
        <is>
          <t>A 34903-2019</t>
        </is>
      </c>
      <c r="B182" s="1" t="n">
        <v>43650</v>
      </c>
      <c r="C182" s="1" t="n">
        <v>45589</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35500-2019</t>
        </is>
      </c>
      <c r="B183" s="1" t="n">
        <v>43651</v>
      </c>
      <c r="C183" s="1" t="n">
        <v>45589</v>
      </c>
      <c r="D183" t="inlineStr">
        <is>
          <t>JÄMTLANDS LÄN</t>
        </is>
      </c>
      <c r="E183" t="inlineStr">
        <is>
          <t>ÖSTERSUND</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35535-2019</t>
        </is>
      </c>
      <c r="B184" s="1" t="n">
        <v>43654</v>
      </c>
      <c r="C184" s="1" t="n">
        <v>45589</v>
      </c>
      <c r="D184" t="inlineStr">
        <is>
          <t>JÄMTLANDS LÄN</t>
        </is>
      </c>
      <c r="E184" t="inlineStr">
        <is>
          <t>ÖSTERSUND</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34109-2019</t>
        </is>
      </c>
      <c r="B185" s="1" t="n">
        <v>43654</v>
      </c>
      <c r="C185" s="1" t="n">
        <v>45589</v>
      </c>
      <c r="D185" t="inlineStr">
        <is>
          <t>JÄMTLANDS LÄN</t>
        </is>
      </c>
      <c r="E185" t="inlineStr">
        <is>
          <t>ÖSTERSUND</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34246-2019</t>
        </is>
      </c>
      <c r="B186" s="1" t="n">
        <v>43655</v>
      </c>
      <c r="C186" s="1" t="n">
        <v>45589</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35678-2019</t>
        </is>
      </c>
      <c r="B187" s="1" t="n">
        <v>43656</v>
      </c>
      <c r="C187" s="1" t="n">
        <v>45589</v>
      </c>
      <c r="D187" t="inlineStr">
        <is>
          <t>JÄMTLANDS LÄN</t>
        </is>
      </c>
      <c r="E187" t="inlineStr">
        <is>
          <t>ÖSTERSUND</t>
        </is>
      </c>
      <c r="G187" t="n">
        <v>2.9</v>
      </c>
      <c r="H187" t="n">
        <v>0</v>
      </c>
      <c r="I187" t="n">
        <v>0</v>
      </c>
      <c r="J187" t="n">
        <v>0</v>
      </c>
      <c r="K187" t="n">
        <v>0</v>
      </c>
      <c r="L187" t="n">
        <v>0</v>
      </c>
      <c r="M187" t="n">
        <v>0</v>
      </c>
      <c r="N187" t="n">
        <v>0</v>
      </c>
      <c r="O187" t="n">
        <v>0</v>
      </c>
      <c r="P187" t="n">
        <v>0</v>
      </c>
      <c r="Q187" t="n">
        <v>0</v>
      </c>
      <c r="R187" s="2" t="inlineStr"/>
    </row>
    <row r="188" ht="15" customHeight="1">
      <c r="A188" t="inlineStr">
        <is>
          <t>A 35688-2019</t>
        </is>
      </c>
      <c r="B188" s="1" t="n">
        <v>43656</v>
      </c>
      <c r="C188" s="1" t="n">
        <v>45589</v>
      </c>
      <c r="D188" t="inlineStr">
        <is>
          <t>JÄMTLANDS LÄN</t>
        </is>
      </c>
      <c r="E188" t="inlineStr">
        <is>
          <t>ÖSTERSUND</t>
        </is>
      </c>
      <c r="G188" t="n">
        <v>12.6</v>
      </c>
      <c r="H188" t="n">
        <v>0</v>
      </c>
      <c r="I188" t="n">
        <v>0</v>
      </c>
      <c r="J188" t="n">
        <v>0</v>
      </c>
      <c r="K188" t="n">
        <v>0</v>
      </c>
      <c r="L188" t="n">
        <v>0</v>
      </c>
      <c r="M188" t="n">
        <v>0</v>
      </c>
      <c r="N188" t="n">
        <v>0</v>
      </c>
      <c r="O188" t="n">
        <v>0</v>
      </c>
      <c r="P188" t="n">
        <v>0</v>
      </c>
      <c r="Q188" t="n">
        <v>0</v>
      </c>
      <c r="R188" s="2" t="inlineStr"/>
    </row>
    <row r="189" ht="15" customHeight="1">
      <c r="A189" t="inlineStr">
        <is>
          <t>A 36003-2019</t>
        </is>
      </c>
      <c r="B189" s="1" t="n">
        <v>43657</v>
      </c>
      <c r="C189" s="1" t="n">
        <v>45589</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36652-2019</t>
        </is>
      </c>
      <c r="B190" s="1" t="n">
        <v>43670</v>
      </c>
      <c r="C190" s="1" t="n">
        <v>45589</v>
      </c>
      <c r="D190" t="inlineStr">
        <is>
          <t>JÄMTLANDS LÄN</t>
        </is>
      </c>
      <c r="E190" t="inlineStr">
        <is>
          <t>ÖSTERSUND</t>
        </is>
      </c>
      <c r="G190" t="n">
        <v>2.9</v>
      </c>
      <c r="H190" t="n">
        <v>0</v>
      </c>
      <c r="I190" t="n">
        <v>0</v>
      </c>
      <c r="J190" t="n">
        <v>0</v>
      </c>
      <c r="K190" t="n">
        <v>0</v>
      </c>
      <c r="L190" t="n">
        <v>0</v>
      </c>
      <c r="M190" t="n">
        <v>0</v>
      </c>
      <c r="N190" t="n">
        <v>0</v>
      </c>
      <c r="O190" t="n">
        <v>0</v>
      </c>
      <c r="P190" t="n">
        <v>0</v>
      </c>
      <c r="Q190" t="n">
        <v>0</v>
      </c>
      <c r="R190" s="2" t="inlineStr"/>
    </row>
    <row r="191" ht="15" customHeight="1">
      <c r="A191" t="inlineStr">
        <is>
          <t>A 37222-2019</t>
        </is>
      </c>
      <c r="B191" s="1" t="n">
        <v>43676</v>
      </c>
      <c r="C191" s="1" t="n">
        <v>45589</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38662-2019</t>
        </is>
      </c>
      <c r="B192" s="1" t="n">
        <v>43684</v>
      </c>
      <c r="C192" s="1" t="n">
        <v>45589</v>
      </c>
      <c r="D192" t="inlineStr">
        <is>
          <t>JÄMTLANDS LÄN</t>
        </is>
      </c>
      <c r="E192" t="inlineStr">
        <is>
          <t>ÖSTERSUND</t>
        </is>
      </c>
      <c r="G192" t="n">
        <v>2.2</v>
      </c>
      <c r="H192" t="n">
        <v>0</v>
      </c>
      <c r="I192" t="n">
        <v>0</v>
      </c>
      <c r="J192" t="n">
        <v>0</v>
      </c>
      <c r="K192" t="n">
        <v>0</v>
      </c>
      <c r="L192" t="n">
        <v>0</v>
      </c>
      <c r="M192" t="n">
        <v>0</v>
      </c>
      <c r="N192" t="n">
        <v>0</v>
      </c>
      <c r="O192" t="n">
        <v>0</v>
      </c>
      <c r="P192" t="n">
        <v>0</v>
      </c>
      <c r="Q192" t="n">
        <v>0</v>
      </c>
      <c r="R192" s="2" t="inlineStr"/>
    </row>
    <row r="193" ht="15" customHeight="1">
      <c r="A193" t="inlineStr">
        <is>
          <t>A 39459-2019</t>
        </is>
      </c>
      <c r="B193" s="1" t="n">
        <v>43686</v>
      </c>
      <c r="C193" s="1" t="n">
        <v>45589</v>
      </c>
      <c r="D193" t="inlineStr">
        <is>
          <t>JÄMTLANDS LÄN</t>
        </is>
      </c>
      <c r="E193" t="inlineStr">
        <is>
          <t>ÖSTERSUND</t>
        </is>
      </c>
      <c r="G193" t="n">
        <v>0.7</v>
      </c>
      <c r="H193" t="n">
        <v>0</v>
      </c>
      <c r="I193" t="n">
        <v>0</v>
      </c>
      <c r="J193" t="n">
        <v>0</v>
      </c>
      <c r="K193" t="n">
        <v>0</v>
      </c>
      <c r="L193" t="n">
        <v>0</v>
      </c>
      <c r="M193" t="n">
        <v>0</v>
      </c>
      <c r="N193" t="n">
        <v>0</v>
      </c>
      <c r="O193" t="n">
        <v>0</v>
      </c>
      <c r="P193" t="n">
        <v>0</v>
      </c>
      <c r="Q193" t="n">
        <v>0</v>
      </c>
      <c r="R193" s="2" t="inlineStr"/>
    </row>
    <row r="194" ht="15" customHeight="1">
      <c r="A194" t="inlineStr">
        <is>
          <t>A 40530-2019</t>
        </is>
      </c>
      <c r="B194" s="1" t="n">
        <v>43696</v>
      </c>
      <c r="C194" s="1" t="n">
        <v>45589</v>
      </c>
      <c r="D194" t="inlineStr">
        <is>
          <t>JÄMTLANDS LÄN</t>
        </is>
      </c>
      <c r="E194" t="inlineStr">
        <is>
          <t>ÖSTERSUND</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41364-2019</t>
        </is>
      </c>
      <c r="B195" s="1" t="n">
        <v>43696</v>
      </c>
      <c r="C195" s="1" t="n">
        <v>45589</v>
      </c>
      <c r="D195" t="inlineStr">
        <is>
          <t>JÄMTLANDS LÄN</t>
        </is>
      </c>
      <c r="E195" t="inlineStr">
        <is>
          <t>ÖSTERSUND</t>
        </is>
      </c>
      <c r="G195" t="n">
        <v>1.2</v>
      </c>
      <c r="H195" t="n">
        <v>0</v>
      </c>
      <c r="I195" t="n">
        <v>0</v>
      </c>
      <c r="J195" t="n">
        <v>0</v>
      </c>
      <c r="K195" t="n">
        <v>0</v>
      </c>
      <c r="L195" t="n">
        <v>0</v>
      </c>
      <c r="M195" t="n">
        <v>0</v>
      </c>
      <c r="N195" t="n">
        <v>0</v>
      </c>
      <c r="O195" t="n">
        <v>0</v>
      </c>
      <c r="P195" t="n">
        <v>0</v>
      </c>
      <c r="Q195" t="n">
        <v>0</v>
      </c>
      <c r="R195" s="2" t="inlineStr"/>
    </row>
    <row r="196" ht="15" customHeight="1">
      <c r="A196" t="inlineStr">
        <is>
          <t>A 40531-2019</t>
        </is>
      </c>
      <c r="B196" s="1" t="n">
        <v>43696</v>
      </c>
      <c r="C196" s="1" t="n">
        <v>45589</v>
      </c>
      <c r="D196" t="inlineStr">
        <is>
          <t>JÄMTLANDS LÄN</t>
        </is>
      </c>
      <c r="E196" t="inlineStr">
        <is>
          <t>ÖSTERSUND</t>
        </is>
      </c>
      <c r="F196" t="inlineStr">
        <is>
          <t>SCA</t>
        </is>
      </c>
      <c r="G196" t="n">
        <v>1.4</v>
      </c>
      <c r="H196" t="n">
        <v>0</v>
      </c>
      <c r="I196" t="n">
        <v>0</v>
      </c>
      <c r="J196" t="n">
        <v>0</v>
      </c>
      <c r="K196" t="n">
        <v>0</v>
      </c>
      <c r="L196" t="n">
        <v>0</v>
      </c>
      <c r="M196" t="n">
        <v>0</v>
      </c>
      <c r="N196" t="n">
        <v>0</v>
      </c>
      <c r="O196" t="n">
        <v>0</v>
      </c>
      <c r="P196" t="n">
        <v>0</v>
      </c>
      <c r="Q196" t="n">
        <v>0</v>
      </c>
      <c r="R196" s="2" t="inlineStr"/>
    </row>
    <row r="197" ht="15" customHeight="1">
      <c r="A197" t="inlineStr">
        <is>
          <t>A 41556-2019</t>
        </is>
      </c>
      <c r="B197" s="1" t="n">
        <v>43696</v>
      </c>
      <c r="C197" s="1" t="n">
        <v>45589</v>
      </c>
      <c r="D197" t="inlineStr">
        <is>
          <t>JÄMTLANDS LÄN</t>
        </is>
      </c>
      <c r="E197" t="inlineStr">
        <is>
          <t>ÖSTERSUND</t>
        </is>
      </c>
      <c r="F197" t="inlineStr">
        <is>
          <t>SCA</t>
        </is>
      </c>
      <c r="G197" t="n">
        <v>0.7</v>
      </c>
      <c r="H197" t="n">
        <v>0</v>
      </c>
      <c r="I197" t="n">
        <v>0</v>
      </c>
      <c r="J197" t="n">
        <v>0</v>
      </c>
      <c r="K197" t="n">
        <v>0</v>
      </c>
      <c r="L197" t="n">
        <v>0</v>
      </c>
      <c r="M197" t="n">
        <v>0</v>
      </c>
      <c r="N197" t="n">
        <v>0</v>
      </c>
      <c r="O197" t="n">
        <v>0</v>
      </c>
      <c r="P197" t="n">
        <v>0</v>
      </c>
      <c r="Q197" t="n">
        <v>0</v>
      </c>
      <c r="R197" s="2" t="inlineStr"/>
    </row>
    <row r="198" ht="15" customHeight="1">
      <c r="A198" t="inlineStr">
        <is>
          <t>A 41588-2019</t>
        </is>
      </c>
      <c r="B198" s="1" t="n">
        <v>43699</v>
      </c>
      <c r="C198" s="1" t="n">
        <v>45589</v>
      </c>
      <c r="D198" t="inlineStr">
        <is>
          <t>JÄMTLANDS LÄN</t>
        </is>
      </c>
      <c r="E198" t="inlineStr">
        <is>
          <t>ÖSTERSUND</t>
        </is>
      </c>
      <c r="G198" t="n">
        <v>26.7</v>
      </c>
      <c r="H198" t="n">
        <v>0</v>
      </c>
      <c r="I198" t="n">
        <v>0</v>
      </c>
      <c r="J198" t="n">
        <v>0</v>
      </c>
      <c r="K198" t="n">
        <v>0</v>
      </c>
      <c r="L198" t="n">
        <v>0</v>
      </c>
      <c r="M198" t="n">
        <v>0</v>
      </c>
      <c r="N198" t="n">
        <v>0</v>
      </c>
      <c r="O198" t="n">
        <v>0</v>
      </c>
      <c r="P198" t="n">
        <v>0</v>
      </c>
      <c r="Q198" t="n">
        <v>0</v>
      </c>
      <c r="R198" s="2" t="inlineStr"/>
    </row>
    <row r="199" ht="15" customHeight="1">
      <c r="A199" t="inlineStr">
        <is>
          <t>A 43249-2019</t>
        </is>
      </c>
      <c r="B199" s="1" t="n">
        <v>43703</v>
      </c>
      <c r="C199" s="1" t="n">
        <v>45589</v>
      </c>
      <c r="D199" t="inlineStr">
        <is>
          <t>JÄMTLANDS LÄN</t>
        </is>
      </c>
      <c r="E199" t="inlineStr">
        <is>
          <t>ÖSTERSUND</t>
        </is>
      </c>
      <c r="G199" t="n">
        <v>0.7</v>
      </c>
      <c r="H199" t="n">
        <v>0</v>
      </c>
      <c r="I199" t="n">
        <v>0</v>
      </c>
      <c r="J199" t="n">
        <v>0</v>
      </c>
      <c r="K199" t="n">
        <v>0</v>
      </c>
      <c r="L199" t="n">
        <v>0</v>
      </c>
      <c r="M199" t="n">
        <v>0</v>
      </c>
      <c r="N199" t="n">
        <v>0</v>
      </c>
      <c r="O199" t="n">
        <v>0</v>
      </c>
      <c r="P199" t="n">
        <v>0</v>
      </c>
      <c r="Q199" t="n">
        <v>0</v>
      </c>
      <c r="R199" s="2" t="inlineStr"/>
    </row>
    <row r="200" ht="15" customHeight="1">
      <c r="A200" t="inlineStr">
        <is>
          <t>A 43425-2019</t>
        </is>
      </c>
      <c r="B200" s="1" t="n">
        <v>43703</v>
      </c>
      <c r="C200" s="1" t="n">
        <v>45589</v>
      </c>
      <c r="D200" t="inlineStr">
        <is>
          <t>JÄMTLANDS LÄN</t>
        </is>
      </c>
      <c r="E200" t="inlineStr">
        <is>
          <t>ÖSTERSUND</t>
        </is>
      </c>
      <c r="G200" t="n">
        <v>2.4</v>
      </c>
      <c r="H200" t="n">
        <v>0</v>
      </c>
      <c r="I200" t="n">
        <v>0</v>
      </c>
      <c r="J200" t="n">
        <v>0</v>
      </c>
      <c r="K200" t="n">
        <v>0</v>
      </c>
      <c r="L200" t="n">
        <v>0</v>
      </c>
      <c r="M200" t="n">
        <v>0</v>
      </c>
      <c r="N200" t="n">
        <v>0</v>
      </c>
      <c r="O200" t="n">
        <v>0</v>
      </c>
      <c r="P200" t="n">
        <v>0</v>
      </c>
      <c r="Q200" t="n">
        <v>0</v>
      </c>
      <c r="R200" s="2" t="inlineStr"/>
    </row>
    <row r="201" ht="15" customHeight="1">
      <c r="A201" t="inlineStr">
        <is>
          <t>A 46346-2019</t>
        </is>
      </c>
      <c r="B201" s="1" t="n">
        <v>43718</v>
      </c>
      <c r="C201" s="1" t="n">
        <v>45589</v>
      </c>
      <c r="D201" t="inlineStr">
        <is>
          <t>JÄMTLANDS LÄN</t>
        </is>
      </c>
      <c r="E201" t="inlineStr">
        <is>
          <t>ÖSTERSUND</t>
        </is>
      </c>
      <c r="F201" t="inlineStr">
        <is>
          <t>SCA</t>
        </is>
      </c>
      <c r="G201" t="n">
        <v>6.5</v>
      </c>
      <c r="H201" t="n">
        <v>0</v>
      </c>
      <c r="I201" t="n">
        <v>0</v>
      </c>
      <c r="J201" t="n">
        <v>0</v>
      </c>
      <c r="K201" t="n">
        <v>0</v>
      </c>
      <c r="L201" t="n">
        <v>0</v>
      </c>
      <c r="M201" t="n">
        <v>0</v>
      </c>
      <c r="N201" t="n">
        <v>0</v>
      </c>
      <c r="O201" t="n">
        <v>0</v>
      </c>
      <c r="P201" t="n">
        <v>0</v>
      </c>
      <c r="Q201" t="n">
        <v>0</v>
      </c>
      <c r="R201" s="2" t="inlineStr"/>
    </row>
    <row r="202" ht="15" customHeight="1">
      <c r="A202" t="inlineStr">
        <is>
          <t>A 47810-2019</t>
        </is>
      </c>
      <c r="B202" s="1" t="n">
        <v>43724</v>
      </c>
      <c r="C202" s="1" t="n">
        <v>45589</v>
      </c>
      <c r="D202" t="inlineStr">
        <is>
          <t>JÄMTLANDS LÄN</t>
        </is>
      </c>
      <c r="E202" t="inlineStr">
        <is>
          <t>ÖSTERSUND</t>
        </is>
      </c>
      <c r="F202" t="inlineStr">
        <is>
          <t>SCA</t>
        </is>
      </c>
      <c r="G202" t="n">
        <v>0.5</v>
      </c>
      <c r="H202" t="n">
        <v>0</v>
      </c>
      <c r="I202" t="n">
        <v>0</v>
      </c>
      <c r="J202" t="n">
        <v>0</v>
      </c>
      <c r="K202" t="n">
        <v>0</v>
      </c>
      <c r="L202" t="n">
        <v>0</v>
      </c>
      <c r="M202" t="n">
        <v>0</v>
      </c>
      <c r="N202" t="n">
        <v>0</v>
      </c>
      <c r="O202" t="n">
        <v>0</v>
      </c>
      <c r="P202" t="n">
        <v>0</v>
      </c>
      <c r="Q202" t="n">
        <v>0</v>
      </c>
      <c r="R202" s="2" t="inlineStr"/>
    </row>
    <row r="203" ht="15" customHeight="1">
      <c r="A203" t="inlineStr">
        <is>
          <t>A 48115-2019</t>
        </is>
      </c>
      <c r="B203" s="1" t="n">
        <v>43725</v>
      </c>
      <c r="C203" s="1" t="n">
        <v>45589</v>
      </c>
      <c r="D203" t="inlineStr">
        <is>
          <t>JÄMTLANDS LÄN</t>
        </is>
      </c>
      <c r="E203" t="inlineStr">
        <is>
          <t>ÖSTERSUND</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48680-2019</t>
        </is>
      </c>
      <c r="B204" s="1" t="n">
        <v>43727</v>
      </c>
      <c r="C204" s="1" t="n">
        <v>45589</v>
      </c>
      <c r="D204" t="inlineStr">
        <is>
          <t>JÄMTLANDS LÄN</t>
        </is>
      </c>
      <c r="E204" t="inlineStr">
        <is>
          <t>ÖSTERSUND</t>
        </is>
      </c>
      <c r="G204" t="n">
        <v>3</v>
      </c>
      <c r="H204" t="n">
        <v>0</v>
      </c>
      <c r="I204" t="n">
        <v>0</v>
      </c>
      <c r="J204" t="n">
        <v>0</v>
      </c>
      <c r="K204" t="n">
        <v>0</v>
      </c>
      <c r="L204" t="n">
        <v>0</v>
      </c>
      <c r="M204" t="n">
        <v>0</v>
      </c>
      <c r="N204" t="n">
        <v>0</v>
      </c>
      <c r="O204" t="n">
        <v>0</v>
      </c>
      <c r="P204" t="n">
        <v>0</v>
      </c>
      <c r="Q204" t="n">
        <v>0</v>
      </c>
      <c r="R204" s="2" t="inlineStr"/>
    </row>
    <row r="205" ht="15" customHeight="1">
      <c r="A205" t="inlineStr">
        <is>
          <t>A 49629-2019</t>
        </is>
      </c>
      <c r="B205" s="1" t="n">
        <v>43732</v>
      </c>
      <c r="C205" s="1" t="n">
        <v>45589</v>
      </c>
      <c r="D205" t="inlineStr">
        <is>
          <t>JÄMTLANDS LÄN</t>
        </is>
      </c>
      <c r="E205" t="inlineStr">
        <is>
          <t>ÖSTERSUND</t>
        </is>
      </c>
      <c r="F205" t="inlineStr">
        <is>
          <t>Övriga Aktiebolag</t>
        </is>
      </c>
      <c r="G205" t="n">
        <v>2.1</v>
      </c>
      <c r="H205" t="n">
        <v>0</v>
      </c>
      <c r="I205" t="n">
        <v>0</v>
      </c>
      <c r="J205" t="n">
        <v>0</v>
      </c>
      <c r="K205" t="n">
        <v>0</v>
      </c>
      <c r="L205" t="n">
        <v>0</v>
      </c>
      <c r="M205" t="n">
        <v>0</v>
      </c>
      <c r="N205" t="n">
        <v>0</v>
      </c>
      <c r="O205" t="n">
        <v>0</v>
      </c>
      <c r="P205" t="n">
        <v>0</v>
      </c>
      <c r="Q205" t="n">
        <v>0</v>
      </c>
      <c r="R205" s="2" t="inlineStr"/>
    </row>
    <row r="206" ht="15" customHeight="1">
      <c r="A206" t="inlineStr">
        <is>
          <t>A 51347-2019</t>
        </is>
      </c>
      <c r="B206" s="1" t="n">
        <v>43732</v>
      </c>
      <c r="C206" s="1" t="n">
        <v>45589</v>
      </c>
      <c r="D206" t="inlineStr">
        <is>
          <t>JÄMTLANDS LÄN</t>
        </is>
      </c>
      <c r="E206" t="inlineStr">
        <is>
          <t>ÖSTERSUND</t>
        </is>
      </c>
      <c r="G206" t="n">
        <v>3.8</v>
      </c>
      <c r="H206" t="n">
        <v>0</v>
      </c>
      <c r="I206" t="n">
        <v>0</v>
      </c>
      <c r="J206" t="n">
        <v>0</v>
      </c>
      <c r="K206" t="n">
        <v>0</v>
      </c>
      <c r="L206" t="n">
        <v>0</v>
      </c>
      <c r="M206" t="n">
        <v>0</v>
      </c>
      <c r="N206" t="n">
        <v>0</v>
      </c>
      <c r="O206" t="n">
        <v>0</v>
      </c>
      <c r="P206" t="n">
        <v>0</v>
      </c>
      <c r="Q206" t="n">
        <v>0</v>
      </c>
      <c r="R206" s="2" t="inlineStr"/>
    </row>
    <row r="207" ht="15" customHeight="1">
      <c r="A207" t="inlineStr">
        <is>
          <t>A 49997-2019</t>
        </is>
      </c>
      <c r="B207" s="1" t="n">
        <v>43733</v>
      </c>
      <c r="C207" s="1" t="n">
        <v>45589</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50316-2019</t>
        </is>
      </c>
      <c r="B208" s="1" t="n">
        <v>43735</v>
      </c>
      <c r="C208" s="1" t="n">
        <v>45589</v>
      </c>
      <c r="D208" t="inlineStr">
        <is>
          <t>JÄMTLANDS LÄN</t>
        </is>
      </c>
      <c r="E208" t="inlineStr">
        <is>
          <t>ÖSTERSUND</t>
        </is>
      </c>
      <c r="G208" t="n">
        <v>9.5</v>
      </c>
      <c r="H208" t="n">
        <v>0</v>
      </c>
      <c r="I208" t="n">
        <v>0</v>
      </c>
      <c r="J208" t="n">
        <v>0</v>
      </c>
      <c r="K208" t="n">
        <v>0</v>
      </c>
      <c r="L208" t="n">
        <v>0</v>
      </c>
      <c r="M208" t="n">
        <v>0</v>
      </c>
      <c r="N208" t="n">
        <v>0</v>
      </c>
      <c r="O208" t="n">
        <v>0</v>
      </c>
      <c r="P208" t="n">
        <v>0</v>
      </c>
      <c r="Q208" t="n">
        <v>0</v>
      </c>
      <c r="R208" s="2" t="inlineStr"/>
    </row>
    <row r="209" ht="15" customHeight="1">
      <c r="A209" t="inlineStr">
        <is>
          <t>A 50779-2019</t>
        </is>
      </c>
      <c r="B209" s="1" t="n">
        <v>43738</v>
      </c>
      <c r="C209" s="1" t="n">
        <v>45589</v>
      </c>
      <c r="D209" t="inlineStr">
        <is>
          <t>JÄMTLANDS LÄN</t>
        </is>
      </c>
      <c r="E209" t="inlineStr">
        <is>
          <t>ÖSTERSUND</t>
        </is>
      </c>
      <c r="G209" t="n">
        <v>0.2</v>
      </c>
      <c r="H209" t="n">
        <v>0</v>
      </c>
      <c r="I209" t="n">
        <v>0</v>
      </c>
      <c r="J209" t="n">
        <v>0</v>
      </c>
      <c r="K209" t="n">
        <v>0</v>
      </c>
      <c r="L209" t="n">
        <v>0</v>
      </c>
      <c r="M209" t="n">
        <v>0</v>
      </c>
      <c r="N209" t="n">
        <v>0</v>
      </c>
      <c r="O209" t="n">
        <v>0</v>
      </c>
      <c r="P209" t="n">
        <v>0</v>
      </c>
      <c r="Q209" t="n">
        <v>0</v>
      </c>
      <c r="R209" s="2" t="inlineStr"/>
    </row>
    <row r="210" ht="15" customHeight="1">
      <c r="A210" t="inlineStr">
        <is>
          <t>A 50968-2019</t>
        </is>
      </c>
      <c r="B210" s="1" t="n">
        <v>43738</v>
      </c>
      <c r="C210" s="1" t="n">
        <v>45589</v>
      </c>
      <c r="D210" t="inlineStr">
        <is>
          <t>JÄMTLANDS LÄN</t>
        </is>
      </c>
      <c r="E210" t="inlineStr">
        <is>
          <t>ÖSTERSUND</t>
        </is>
      </c>
      <c r="F210" t="inlineStr">
        <is>
          <t>SCA</t>
        </is>
      </c>
      <c r="G210" t="n">
        <v>2.2</v>
      </c>
      <c r="H210" t="n">
        <v>0</v>
      </c>
      <c r="I210" t="n">
        <v>0</v>
      </c>
      <c r="J210" t="n">
        <v>0</v>
      </c>
      <c r="K210" t="n">
        <v>0</v>
      </c>
      <c r="L210" t="n">
        <v>0</v>
      </c>
      <c r="M210" t="n">
        <v>0</v>
      </c>
      <c r="N210" t="n">
        <v>0</v>
      </c>
      <c r="O210" t="n">
        <v>0</v>
      </c>
      <c r="P210" t="n">
        <v>0</v>
      </c>
      <c r="Q210" t="n">
        <v>0</v>
      </c>
      <c r="R210" s="2" t="inlineStr"/>
    </row>
    <row r="211" ht="15" customHeight="1">
      <c r="A211" t="inlineStr">
        <is>
          <t>A 54498-2019</t>
        </is>
      </c>
      <c r="B211" s="1" t="n">
        <v>43747</v>
      </c>
      <c r="C211" s="1" t="n">
        <v>45589</v>
      </c>
      <c r="D211" t="inlineStr">
        <is>
          <t>JÄMTLANDS LÄN</t>
        </is>
      </c>
      <c r="E211" t="inlineStr">
        <is>
          <t>ÖSTERSUND</t>
        </is>
      </c>
      <c r="G211" t="n">
        <v>1</v>
      </c>
      <c r="H211" t="n">
        <v>0</v>
      </c>
      <c r="I211" t="n">
        <v>0</v>
      </c>
      <c r="J211" t="n">
        <v>0</v>
      </c>
      <c r="K211" t="n">
        <v>0</v>
      </c>
      <c r="L211" t="n">
        <v>0</v>
      </c>
      <c r="M211" t="n">
        <v>0</v>
      </c>
      <c r="N211" t="n">
        <v>0</v>
      </c>
      <c r="O211" t="n">
        <v>0</v>
      </c>
      <c r="P211" t="n">
        <v>0</v>
      </c>
      <c r="Q211" t="n">
        <v>0</v>
      </c>
      <c r="R211" s="2" t="inlineStr"/>
    </row>
    <row r="212" ht="15" customHeight="1">
      <c r="A212" t="inlineStr">
        <is>
          <t>A 53297-2019</t>
        </is>
      </c>
      <c r="B212" s="1" t="n">
        <v>43748</v>
      </c>
      <c r="C212" s="1" t="n">
        <v>45589</v>
      </c>
      <c r="D212" t="inlineStr">
        <is>
          <t>JÄMTLANDS LÄN</t>
        </is>
      </c>
      <c r="E212" t="inlineStr">
        <is>
          <t>ÖSTERSUND</t>
        </is>
      </c>
      <c r="G212" t="n">
        <v>0.6</v>
      </c>
      <c r="H212" t="n">
        <v>0</v>
      </c>
      <c r="I212" t="n">
        <v>0</v>
      </c>
      <c r="J212" t="n">
        <v>0</v>
      </c>
      <c r="K212" t="n">
        <v>0</v>
      </c>
      <c r="L212" t="n">
        <v>0</v>
      </c>
      <c r="M212" t="n">
        <v>0</v>
      </c>
      <c r="N212" t="n">
        <v>0</v>
      </c>
      <c r="O212" t="n">
        <v>0</v>
      </c>
      <c r="P212" t="n">
        <v>0</v>
      </c>
      <c r="Q212" t="n">
        <v>0</v>
      </c>
      <c r="R212" s="2" t="inlineStr"/>
    </row>
    <row r="213" ht="15" customHeight="1">
      <c r="A213" t="inlineStr">
        <is>
          <t>A 53533-2019</t>
        </is>
      </c>
      <c r="B213" s="1" t="n">
        <v>43749</v>
      </c>
      <c r="C213" s="1" t="n">
        <v>45589</v>
      </c>
      <c r="D213" t="inlineStr">
        <is>
          <t>JÄMTLANDS LÄN</t>
        </is>
      </c>
      <c r="E213" t="inlineStr">
        <is>
          <t>ÖSTERSUND</t>
        </is>
      </c>
      <c r="G213" t="n">
        <v>0.2</v>
      </c>
      <c r="H213" t="n">
        <v>0</v>
      </c>
      <c r="I213" t="n">
        <v>0</v>
      </c>
      <c r="J213" t="n">
        <v>0</v>
      </c>
      <c r="K213" t="n">
        <v>0</v>
      </c>
      <c r="L213" t="n">
        <v>0</v>
      </c>
      <c r="M213" t="n">
        <v>0</v>
      </c>
      <c r="N213" t="n">
        <v>0</v>
      </c>
      <c r="O213" t="n">
        <v>0</v>
      </c>
      <c r="P213" t="n">
        <v>0</v>
      </c>
      <c r="Q213" t="n">
        <v>0</v>
      </c>
      <c r="R213" s="2" t="inlineStr"/>
    </row>
    <row r="214" ht="15" customHeight="1">
      <c r="A214" t="inlineStr">
        <is>
          <t>A 53859-2019</t>
        </is>
      </c>
      <c r="B214" s="1" t="n">
        <v>43752</v>
      </c>
      <c r="C214" s="1" t="n">
        <v>45589</v>
      </c>
      <c r="D214" t="inlineStr">
        <is>
          <t>JÄMTLANDS LÄN</t>
        </is>
      </c>
      <c r="E214" t="inlineStr">
        <is>
          <t>ÖSTERSUND</t>
        </is>
      </c>
      <c r="F214" t="inlineStr">
        <is>
          <t>Övriga Aktiebolag</t>
        </is>
      </c>
      <c r="G214" t="n">
        <v>4.3</v>
      </c>
      <c r="H214" t="n">
        <v>0</v>
      </c>
      <c r="I214" t="n">
        <v>0</v>
      </c>
      <c r="J214" t="n">
        <v>0</v>
      </c>
      <c r="K214" t="n">
        <v>0</v>
      </c>
      <c r="L214" t="n">
        <v>0</v>
      </c>
      <c r="M214" t="n">
        <v>0</v>
      </c>
      <c r="N214" t="n">
        <v>0</v>
      </c>
      <c r="O214" t="n">
        <v>0</v>
      </c>
      <c r="P214" t="n">
        <v>0</v>
      </c>
      <c r="Q214" t="n">
        <v>0</v>
      </c>
      <c r="R214" s="2" t="inlineStr"/>
    </row>
    <row r="215" ht="15" customHeight="1">
      <c r="A215" t="inlineStr">
        <is>
          <t>A 57466-2019</t>
        </is>
      </c>
      <c r="B215" s="1" t="n">
        <v>43761</v>
      </c>
      <c r="C215" s="1" t="n">
        <v>45589</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56512-2019</t>
        </is>
      </c>
      <c r="B216" s="1" t="n">
        <v>43762</v>
      </c>
      <c r="C216" s="1" t="n">
        <v>45589</v>
      </c>
      <c r="D216" t="inlineStr">
        <is>
          <t>JÄMTLANDS LÄN</t>
        </is>
      </c>
      <c r="E216" t="inlineStr">
        <is>
          <t>ÖSTERSUND</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57845-2019</t>
        </is>
      </c>
      <c r="B217" s="1" t="n">
        <v>43768</v>
      </c>
      <c r="C217" s="1" t="n">
        <v>45589</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58216-2019</t>
        </is>
      </c>
      <c r="B218" s="1" t="n">
        <v>43770</v>
      </c>
      <c r="C218" s="1" t="n">
        <v>45589</v>
      </c>
      <c r="D218" t="inlineStr">
        <is>
          <t>JÄMTLANDS LÄN</t>
        </is>
      </c>
      <c r="E218" t="inlineStr">
        <is>
          <t>ÖSTERSUND</t>
        </is>
      </c>
      <c r="G218" t="n">
        <v>2.4</v>
      </c>
      <c r="H218" t="n">
        <v>0</v>
      </c>
      <c r="I218" t="n">
        <v>0</v>
      </c>
      <c r="J218" t="n">
        <v>0</v>
      </c>
      <c r="K218" t="n">
        <v>0</v>
      </c>
      <c r="L218" t="n">
        <v>0</v>
      </c>
      <c r="M218" t="n">
        <v>0</v>
      </c>
      <c r="N218" t="n">
        <v>0</v>
      </c>
      <c r="O218" t="n">
        <v>0</v>
      </c>
      <c r="P218" t="n">
        <v>0</v>
      </c>
      <c r="Q218" t="n">
        <v>0</v>
      </c>
      <c r="R218" s="2" t="inlineStr"/>
    </row>
    <row r="219" ht="15" customHeight="1">
      <c r="A219" t="inlineStr">
        <is>
          <t>A 58210-2019</t>
        </is>
      </c>
      <c r="B219" s="1" t="n">
        <v>43770</v>
      </c>
      <c r="C219" s="1" t="n">
        <v>45589</v>
      </c>
      <c r="D219" t="inlineStr">
        <is>
          <t>JÄMTLANDS LÄN</t>
        </is>
      </c>
      <c r="E219" t="inlineStr">
        <is>
          <t>ÖSTERSUND</t>
        </is>
      </c>
      <c r="G219" t="n">
        <v>2.6</v>
      </c>
      <c r="H219" t="n">
        <v>0</v>
      </c>
      <c r="I219" t="n">
        <v>0</v>
      </c>
      <c r="J219" t="n">
        <v>0</v>
      </c>
      <c r="K219" t="n">
        <v>0</v>
      </c>
      <c r="L219" t="n">
        <v>0</v>
      </c>
      <c r="M219" t="n">
        <v>0</v>
      </c>
      <c r="N219" t="n">
        <v>0</v>
      </c>
      <c r="O219" t="n">
        <v>0</v>
      </c>
      <c r="P219" t="n">
        <v>0</v>
      </c>
      <c r="Q219" t="n">
        <v>0</v>
      </c>
      <c r="R219" s="2" t="inlineStr"/>
    </row>
    <row r="220" ht="15" customHeight="1">
      <c r="A220" t="inlineStr">
        <is>
          <t>A 59437-2019</t>
        </is>
      </c>
      <c r="B220" s="1" t="n">
        <v>43773</v>
      </c>
      <c r="C220" s="1" t="n">
        <v>45589</v>
      </c>
      <c r="D220" t="inlineStr">
        <is>
          <t>JÄMTLANDS LÄN</t>
        </is>
      </c>
      <c r="E220" t="inlineStr">
        <is>
          <t>ÖSTERSUND</t>
        </is>
      </c>
      <c r="G220" t="n">
        <v>6.2</v>
      </c>
      <c r="H220" t="n">
        <v>0</v>
      </c>
      <c r="I220" t="n">
        <v>0</v>
      </c>
      <c r="J220" t="n">
        <v>0</v>
      </c>
      <c r="K220" t="n">
        <v>0</v>
      </c>
      <c r="L220" t="n">
        <v>0</v>
      </c>
      <c r="M220" t="n">
        <v>0</v>
      </c>
      <c r="N220" t="n">
        <v>0</v>
      </c>
      <c r="O220" t="n">
        <v>0</v>
      </c>
      <c r="P220" t="n">
        <v>0</v>
      </c>
      <c r="Q220" t="n">
        <v>0</v>
      </c>
      <c r="R220" s="2" t="inlineStr"/>
    </row>
    <row r="221" ht="15" customHeight="1">
      <c r="A221" t="inlineStr">
        <is>
          <t>A 60240-2019</t>
        </is>
      </c>
      <c r="B221" s="1" t="n">
        <v>43776</v>
      </c>
      <c r="C221" s="1" t="n">
        <v>45589</v>
      </c>
      <c r="D221" t="inlineStr">
        <is>
          <t>JÄMTLANDS LÄN</t>
        </is>
      </c>
      <c r="E221" t="inlineStr">
        <is>
          <t>ÖSTERSUND</t>
        </is>
      </c>
      <c r="G221" t="n">
        <v>3.9</v>
      </c>
      <c r="H221" t="n">
        <v>0</v>
      </c>
      <c r="I221" t="n">
        <v>0</v>
      </c>
      <c r="J221" t="n">
        <v>0</v>
      </c>
      <c r="K221" t="n">
        <v>0</v>
      </c>
      <c r="L221" t="n">
        <v>0</v>
      </c>
      <c r="M221" t="n">
        <v>0</v>
      </c>
      <c r="N221" t="n">
        <v>0</v>
      </c>
      <c r="O221" t="n">
        <v>0</v>
      </c>
      <c r="P221" t="n">
        <v>0</v>
      </c>
      <c r="Q221" t="n">
        <v>0</v>
      </c>
      <c r="R221" s="2" t="inlineStr"/>
    </row>
    <row r="222" ht="15" customHeight="1">
      <c r="A222" t="inlineStr">
        <is>
          <t>A 60001-2019</t>
        </is>
      </c>
      <c r="B222" s="1" t="n">
        <v>43777</v>
      </c>
      <c r="C222" s="1" t="n">
        <v>45589</v>
      </c>
      <c r="D222" t="inlineStr">
        <is>
          <t>JÄMTLANDS LÄN</t>
        </is>
      </c>
      <c r="E222" t="inlineStr">
        <is>
          <t>ÖSTERSUND</t>
        </is>
      </c>
      <c r="G222" t="n">
        <v>3.2</v>
      </c>
      <c r="H222" t="n">
        <v>0</v>
      </c>
      <c r="I222" t="n">
        <v>0</v>
      </c>
      <c r="J222" t="n">
        <v>0</v>
      </c>
      <c r="K222" t="n">
        <v>0</v>
      </c>
      <c r="L222" t="n">
        <v>0</v>
      </c>
      <c r="M222" t="n">
        <v>0</v>
      </c>
      <c r="N222" t="n">
        <v>0</v>
      </c>
      <c r="O222" t="n">
        <v>0</v>
      </c>
      <c r="P222" t="n">
        <v>0</v>
      </c>
      <c r="Q222" t="n">
        <v>0</v>
      </c>
      <c r="R222" s="2" t="inlineStr"/>
    </row>
    <row r="223" ht="15" customHeight="1">
      <c r="A223" t="inlineStr">
        <is>
          <t>A 60669-2019</t>
        </is>
      </c>
      <c r="B223" s="1" t="n">
        <v>43781</v>
      </c>
      <c r="C223" s="1" t="n">
        <v>45589</v>
      </c>
      <c r="D223" t="inlineStr">
        <is>
          <t>JÄMTLANDS LÄN</t>
        </is>
      </c>
      <c r="E223" t="inlineStr">
        <is>
          <t>ÖSTERSUND</t>
        </is>
      </c>
      <c r="G223" t="n">
        <v>3.6</v>
      </c>
      <c r="H223" t="n">
        <v>0</v>
      </c>
      <c r="I223" t="n">
        <v>0</v>
      </c>
      <c r="J223" t="n">
        <v>0</v>
      </c>
      <c r="K223" t="n">
        <v>0</v>
      </c>
      <c r="L223" t="n">
        <v>0</v>
      </c>
      <c r="M223" t="n">
        <v>0</v>
      </c>
      <c r="N223" t="n">
        <v>0</v>
      </c>
      <c r="O223" t="n">
        <v>0</v>
      </c>
      <c r="P223" t="n">
        <v>0</v>
      </c>
      <c r="Q223" t="n">
        <v>0</v>
      </c>
      <c r="R223" s="2" t="inlineStr"/>
    </row>
    <row r="224" ht="15" customHeight="1">
      <c r="A224" t="inlineStr">
        <is>
          <t>A 60604-2019</t>
        </is>
      </c>
      <c r="B224" s="1" t="n">
        <v>43781</v>
      </c>
      <c r="C224" s="1" t="n">
        <v>45589</v>
      </c>
      <c r="D224" t="inlineStr">
        <is>
          <t>JÄMTLANDS LÄN</t>
        </is>
      </c>
      <c r="E224" t="inlineStr">
        <is>
          <t>ÖSTERSUND</t>
        </is>
      </c>
      <c r="G224" t="n">
        <v>8.9</v>
      </c>
      <c r="H224" t="n">
        <v>0</v>
      </c>
      <c r="I224" t="n">
        <v>0</v>
      </c>
      <c r="J224" t="n">
        <v>0</v>
      </c>
      <c r="K224" t="n">
        <v>0</v>
      </c>
      <c r="L224" t="n">
        <v>0</v>
      </c>
      <c r="M224" t="n">
        <v>0</v>
      </c>
      <c r="N224" t="n">
        <v>0</v>
      </c>
      <c r="O224" t="n">
        <v>0</v>
      </c>
      <c r="P224" t="n">
        <v>0</v>
      </c>
      <c r="Q224" t="n">
        <v>0</v>
      </c>
      <c r="R224" s="2" t="inlineStr"/>
    </row>
    <row r="225" ht="15" customHeight="1">
      <c r="A225" t="inlineStr">
        <is>
          <t>A 62234-2019</t>
        </is>
      </c>
      <c r="B225" s="1" t="n">
        <v>43784</v>
      </c>
      <c r="C225" s="1" t="n">
        <v>45589</v>
      </c>
      <c r="D225" t="inlineStr">
        <is>
          <t>JÄMTLANDS LÄN</t>
        </is>
      </c>
      <c r="E225" t="inlineStr">
        <is>
          <t>ÖSTERSUND</t>
        </is>
      </c>
      <c r="G225" t="n">
        <v>1.3</v>
      </c>
      <c r="H225" t="n">
        <v>0</v>
      </c>
      <c r="I225" t="n">
        <v>0</v>
      </c>
      <c r="J225" t="n">
        <v>0</v>
      </c>
      <c r="K225" t="n">
        <v>0</v>
      </c>
      <c r="L225" t="n">
        <v>0</v>
      </c>
      <c r="M225" t="n">
        <v>0</v>
      </c>
      <c r="N225" t="n">
        <v>0</v>
      </c>
      <c r="O225" t="n">
        <v>0</v>
      </c>
      <c r="P225" t="n">
        <v>0</v>
      </c>
      <c r="Q225" t="n">
        <v>0</v>
      </c>
      <c r="R225" s="2" t="inlineStr"/>
    </row>
    <row r="226" ht="15" customHeight="1">
      <c r="A226" t="inlineStr">
        <is>
          <t>A 62136-2019</t>
        </is>
      </c>
      <c r="B226" s="1" t="n">
        <v>43787</v>
      </c>
      <c r="C226" s="1" t="n">
        <v>45589</v>
      </c>
      <c r="D226" t="inlineStr">
        <is>
          <t>JÄMTLANDS LÄN</t>
        </is>
      </c>
      <c r="E226" t="inlineStr">
        <is>
          <t>ÖSTERSUND</t>
        </is>
      </c>
      <c r="F226" t="inlineStr">
        <is>
          <t>Övriga Aktiebolag</t>
        </is>
      </c>
      <c r="G226" t="n">
        <v>35.2</v>
      </c>
      <c r="H226" t="n">
        <v>0</v>
      </c>
      <c r="I226" t="n">
        <v>0</v>
      </c>
      <c r="J226" t="n">
        <v>0</v>
      </c>
      <c r="K226" t="n">
        <v>0</v>
      </c>
      <c r="L226" t="n">
        <v>0</v>
      </c>
      <c r="M226" t="n">
        <v>0</v>
      </c>
      <c r="N226" t="n">
        <v>0</v>
      </c>
      <c r="O226" t="n">
        <v>0</v>
      </c>
      <c r="P226" t="n">
        <v>0</v>
      </c>
      <c r="Q226" t="n">
        <v>0</v>
      </c>
      <c r="R226" s="2" t="inlineStr"/>
    </row>
    <row r="227" ht="15" customHeight="1">
      <c r="A227" t="inlineStr">
        <is>
          <t>A 64622-2019</t>
        </is>
      </c>
      <c r="B227" s="1" t="n">
        <v>43794</v>
      </c>
      <c r="C227" s="1" t="n">
        <v>45589</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65335-2019</t>
        </is>
      </c>
      <c r="B228" s="1" t="n">
        <v>43802</v>
      </c>
      <c r="C228" s="1" t="n">
        <v>45589</v>
      </c>
      <c r="D228" t="inlineStr">
        <is>
          <t>JÄMTLANDS LÄN</t>
        </is>
      </c>
      <c r="E228" t="inlineStr">
        <is>
          <t>ÖSTERSUND</t>
        </is>
      </c>
      <c r="G228" t="n">
        <v>2.8</v>
      </c>
      <c r="H228" t="n">
        <v>0</v>
      </c>
      <c r="I228" t="n">
        <v>0</v>
      </c>
      <c r="J228" t="n">
        <v>0</v>
      </c>
      <c r="K228" t="n">
        <v>0</v>
      </c>
      <c r="L228" t="n">
        <v>0</v>
      </c>
      <c r="M228" t="n">
        <v>0</v>
      </c>
      <c r="N228" t="n">
        <v>0</v>
      </c>
      <c r="O228" t="n">
        <v>0</v>
      </c>
      <c r="P228" t="n">
        <v>0</v>
      </c>
      <c r="Q228" t="n">
        <v>0</v>
      </c>
      <c r="R228" s="2" t="inlineStr"/>
    </row>
    <row r="229" ht="15" customHeight="1">
      <c r="A229" t="inlineStr">
        <is>
          <t>A 67010-2019</t>
        </is>
      </c>
      <c r="B229" s="1" t="n">
        <v>43805</v>
      </c>
      <c r="C229" s="1" t="n">
        <v>45589</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66592-2019</t>
        </is>
      </c>
      <c r="B230" s="1" t="n">
        <v>43809</v>
      </c>
      <c r="C230" s="1" t="n">
        <v>45589</v>
      </c>
      <c r="D230" t="inlineStr">
        <is>
          <t>JÄMTLANDS LÄN</t>
        </is>
      </c>
      <c r="E230" t="inlineStr">
        <is>
          <t>ÖSTERSUND</t>
        </is>
      </c>
      <c r="G230" t="n">
        <v>0.9</v>
      </c>
      <c r="H230" t="n">
        <v>0</v>
      </c>
      <c r="I230" t="n">
        <v>0</v>
      </c>
      <c r="J230" t="n">
        <v>0</v>
      </c>
      <c r="K230" t="n">
        <v>0</v>
      </c>
      <c r="L230" t="n">
        <v>0</v>
      </c>
      <c r="M230" t="n">
        <v>0</v>
      </c>
      <c r="N230" t="n">
        <v>0</v>
      </c>
      <c r="O230" t="n">
        <v>0</v>
      </c>
      <c r="P230" t="n">
        <v>0</v>
      </c>
      <c r="Q230" t="n">
        <v>0</v>
      </c>
      <c r="R230" s="2" t="inlineStr"/>
    </row>
    <row r="231" ht="15" customHeight="1">
      <c r="A231" t="inlineStr">
        <is>
          <t>A 67863-2019</t>
        </is>
      </c>
      <c r="B231" s="1" t="n">
        <v>43809</v>
      </c>
      <c r="C231" s="1" t="n">
        <v>45589</v>
      </c>
      <c r="D231" t="inlineStr">
        <is>
          <t>JÄMTLANDS LÄN</t>
        </is>
      </c>
      <c r="E231" t="inlineStr">
        <is>
          <t>ÖSTERSUND</t>
        </is>
      </c>
      <c r="G231" t="n">
        <v>2.3</v>
      </c>
      <c r="H231" t="n">
        <v>0</v>
      </c>
      <c r="I231" t="n">
        <v>0</v>
      </c>
      <c r="J231" t="n">
        <v>0</v>
      </c>
      <c r="K231" t="n">
        <v>0</v>
      </c>
      <c r="L231" t="n">
        <v>0</v>
      </c>
      <c r="M231" t="n">
        <v>0</v>
      </c>
      <c r="N231" t="n">
        <v>0</v>
      </c>
      <c r="O231" t="n">
        <v>0</v>
      </c>
      <c r="P231" t="n">
        <v>0</v>
      </c>
      <c r="Q231" t="n">
        <v>0</v>
      </c>
      <c r="R231" s="2" t="inlineStr"/>
    </row>
    <row r="232" ht="15" customHeight="1">
      <c r="A232" t="inlineStr">
        <is>
          <t>A 68238-2019</t>
        </is>
      </c>
      <c r="B232" s="1" t="n">
        <v>43817</v>
      </c>
      <c r="C232" s="1" t="n">
        <v>45589</v>
      </c>
      <c r="D232" t="inlineStr">
        <is>
          <t>JÄMTLANDS LÄN</t>
        </is>
      </c>
      <c r="E232" t="inlineStr">
        <is>
          <t>ÖSTERSUND</t>
        </is>
      </c>
      <c r="G232" t="n">
        <v>2.7</v>
      </c>
      <c r="H232" t="n">
        <v>0</v>
      </c>
      <c r="I232" t="n">
        <v>0</v>
      </c>
      <c r="J232" t="n">
        <v>0</v>
      </c>
      <c r="K232" t="n">
        <v>0</v>
      </c>
      <c r="L232" t="n">
        <v>0</v>
      </c>
      <c r="M232" t="n">
        <v>0</v>
      </c>
      <c r="N232" t="n">
        <v>0</v>
      </c>
      <c r="O232" t="n">
        <v>0</v>
      </c>
      <c r="P232" t="n">
        <v>0</v>
      </c>
      <c r="Q232" t="n">
        <v>0</v>
      </c>
      <c r="R232" s="2" t="inlineStr"/>
    </row>
    <row r="233" ht="15" customHeight="1">
      <c r="A233" t="inlineStr">
        <is>
          <t>A 745-2020</t>
        </is>
      </c>
      <c r="B233" s="1" t="n">
        <v>43838</v>
      </c>
      <c r="C233" s="1" t="n">
        <v>45589</v>
      </c>
      <c r="D233" t="inlineStr">
        <is>
          <t>JÄMTLANDS LÄN</t>
        </is>
      </c>
      <c r="E233" t="inlineStr">
        <is>
          <t>ÖSTERSUND</t>
        </is>
      </c>
      <c r="G233" t="n">
        <v>1.7</v>
      </c>
      <c r="H233" t="n">
        <v>0</v>
      </c>
      <c r="I233" t="n">
        <v>0</v>
      </c>
      <c r="J233" t="n">
        <v>0</v>
      </c>
      <c r="K233" t="n">
        <v>0</v>
      </c>
      <c r="L233" t="n">
        <v>0</v>
      </c>
      <c r="M233" t="n">
        <v>0</v>
      </c>
      <c r="N233" t="n">
        <v>0</v>
      </c>
      <c r="O233" t="n">
        <v>0</v>
      </c>
      <c r="P233" t="n">
        <v>0</v>
      </c>
      <c r="Q233" t="n">
        <v>0</v>
      </c>
      <c r="R233" s="2" t="inlineStr"/>
    </row>
    <row r="234" ht="15" customHeight="1">
      <c r="A234" t="inlineStr">
        <is>
          <t>A 1088-2020</t>
        </is>
      </c>
      <c r="B234" s="1" t="n">
        <v>43840</v>
      </c>
      <c r="C234" s="1" t="n">
        <v>45589</v>
      </c>
      <c r="D234" t="inlineStr">
        <is>
          <t>JÄMTLANDS LÄN</t>
        </is>
      </c>
      <c r="E234" t="inlineStr">
        <is>
          <t>ÖSTERSUND</t>
        </is>
      </c>
      <c r="G234" t="n">
        <v>4.4</v>
      </c>
      <c r="H234" t="n">
        <v>0</v>
      </c>
      <c r="I234" t="n">
        <v>0</v>
      </c>
      <c r="J234" t="n">
        <v>0</v>
      </c>
      <c r="K234" t="n">
        <v>0</v>
      </c>
      <c r="L234" t="n">
        <v>0</v>
      </c>
      <c r="M234" t="n">
        <v>0</v>
      </c>
      <c r="N234" t="n">
        <v>0</v>
      </c>
      <c r="O234" t="n">
        <v>0</v>
      </c>
      <c r="P234" t="n">
        <v>0</v>
      </c>
      <c r="Q234" t="n">
        <v>0</v>
      </c>
      <c r="R234" s="2" t="inlineStr"/>
    </row>
    <row r="235" ht="15" customHeight="1">
      <c r="A235" t="inlineStr">
        <is>
          <t>A 1268-2020</t>
        </is>
      </c>
      <c r="B235" s="1" t="n">
        <v>43840</v>
      </c>
      <c r="C235" s="1" t="n">
        <v>45589</v>
      </c>
      <c r="D235" t="inlineStr">
        <is>
          <t>JÄMTLANDS LÄN</t>
        </is>
      </c>
      <c r="E235" t="inlineStr">
        <is>
          <t>ÖSTERSUND</t>
        </is>
      </c>
      <c r="G235" t="n">
        <v>1.6</v>
      </c>
      <c r="H235" t="n">
        <v>0</v>
      </c>
      <c r="I235" t="n">
        <v>0</v>
      </c>
      <c r="J235" t="n">
        <v>0</v>
      </c>
      <c r="K235" t="n">
        <v>0</v>
      </c>
      <c r="L235" t="n">
        <v>0</v>
      </c>
      <c r="M235" t="n">
        <v>0</v>
      </c>
      <c r="N235" t="n">
        <v>0</v>
      </c>
      <c r="O235" t="n">
        <v>0</v>
      </c>
      <c r="P235" t="n">
        <v>0</v>
      </c>
      <c r="Q235" t="n">
        <v>0</v>
      </c>
      <c r="R235" s="2" t="inlineStr"/>
    </row>
    <row r="236" ht="15" customHeight="1">
      <c r="A236" t="inlineStr">
        <is>
          <t>A 1077-2020</t>
        </is>
      </c>
      <c r="B236" s="1" t="n">
        <v>43840</v>
      </c>
      <c r="C236" s="1" t="n">
        <v>45589</v>
      </c>
      <c r="D236" t="inlineStr">
        <is>
          <t>JÄMTLANDS LÄN</t>
        </is>
      </c>
      <c r="E236" t="inlineStr">
        <is>
          <t>ÖSTERSUND</t>
        </is>
      </c>
      <c r="G236" t="n">
        <v>1.6</v>
      </c>
      <c r="H236" t="n">
        <v>0</v>
      </c>
      <c r="I236" t="n">
        <v>0</v>
      </c>
      <c r="J236" t="n">
        <v>0</v>
      </c>
      <c r="K236" t="n">
        <v>0</v>
      </c>
      <c r="L236" t="n">
        <v>0</v>
      </c>
      <c r="M236" t="n">
        <v>0</v>
      </c>
      <c r="N236" t="n">
        <v>0</v>
      </c>
      <c r="O236" t="n">
        <v>0</v>
      </c>
      <c r="P236" t="n">
        <v>0</v>
      </c>
      <c r="Q236" t="n">
        <v>0</v>
      </c>
      <c r="R236" s="2" t="inlineStr"/>
    </row>
    <row r="237" ht="15" customHeight="1">
      <c r="A237" t="inlineStr">
        <is>
          <t>A 5905-2020</t>
        </is>
      </c>
      <c r="B237" s="1" t="n">
        <v>43861</v>
      </c>
      <c r="C237" s="1" t="n">
        <v>45589</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6028-2020</t>
        </is>
      </c>
      <c r="B238" s="1" t="n">
        <v>43864</v>
      </c>
      <c r="C238" s="1" t="n">
        <v>45589</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6522-2020</t>
        </is>
      </c>
      <c r="B239" s="1" t="n">
        <v>43864</v>
      </c>
      <c r="C239" s="1" t="n">
        <v>45589</v>
      </c>
      <c r="D239" t="inlineStr">
        <is>
          <t>JÄMTLANDS LÄN</t>
        </is>
      </c>
      <c r="E239" t="inlineStr">
        <is>
          <t>ÖSTERSUND</t>
        </is>
      </c>
      <c r="G239" t="n">
        <v>1.5</v>
      </c>
      <c r="H239" t="n">
        <v>0</v>
      </c>
      <c r="I239" t="n">
        <v>0</v>
      </c>
      <c r="J239" t="n">
        <v>0</v>
      </c>
      <c r="K239" t="n">
        <v>0</v>
      </c>
      <c r="L239" t="n">
        <v>0</v>
      </c>
      <c r="M239" t="n">
        <v>0</v>
      </c>
      <c r="N239" t="n">
        <v>0</v>
      </c>
      <c r="O239" t="n">
        <v>0</v>
      </c>
      <c r="P239" t="n">
        <v>0</v>
      </c>
      <c r="Q239" t="n">
        <v>0</v>
      </c>
      <c r="R239" s="2" t="inlineStr"/>
    </row>
    <row r="240" ht="15" customHeight="1">
      <c r="A240" t="inlineStr">
        <is>
          <t>A 6566-2020</t>
        </is>
      </c>
      <c r="B240" s="1" t="n">
        <v>43865</v>
      </c>
      <c r="C240" s="1" t="n">
        <v>45589</v>
      </c>
      <c r="D240" t="inlineStr">
        <is>
          <t>JÄMTLANDS LÄN</t>
        </is>
      </c>
      <c r="E240" t="inlineStr">
        <is>
          <t>ÖSTERSUND</t>
        </is>
      </c>
      <c r="G240" t="n">
        <v>2.8</v>
      </c>
      <c r="H240" t="n">
        <v>0</v>
      </c>
      <c r="I240" t="n">
        <v>0</v>
      </c>
      <c r="J240" t="n">
        <v>0</v>
      </c>
      <c r="K240" t="n">
        <v>0</v>
      </c>
      <c r="L240" t="n">
        <v>0</v>
      </c>
      <c r="M240" t="n">
        <v>0</v>
      </c>
      <c r="N240" t="n">
        <v>0</v>
      </c>
      <c r="O240" t="n">
        <v>0</v>
      </c>
      <c r="P240" t="n">
        <v>0</v>
      </c>
      <c r="Q240" t="n">
        <v>0</v>
      </c>
      <c r="R240" s="2" t="inlineStr"/>
    </row>
    <row r="241" ht="15" customHeight="1">
      <c r="A241" t="inlineStr">
        <is>
          <t>A 7255-2020</t>
        </is>
      </c>
      <c r="B241" s="1" t="n">
        <v>43871</v>
      </c>
      <c r="C241" s="1" t="n">
        <v>45589</v>
      </c>
      <c r="D241" t="inlineStr">
        <is>
          <t>JÄMTLANDS LÄN</t>
        </is>
      </c>
      <c r="E241" t="inlineStr">
        <is>
          <t>ÖSTERSUND</t>
        </is>
      </c>
      <c r="G241" t="n">
        <v>0.8</v>
      </c>
      <c r="H241" t="n">
        <v>0</v>
      </c>
      <c r="I241" t="n">
        <v>0</v>
      </c>
      <c r="J241" t="n">
        <v>0</v>
      </c>
      <c r="K241" t="n">
        <v>0</v>
      </c>
      <c r="L241" t="n">
        <v>0</v>
      </c>
      <c r="M241" t="n">
        <v>0</v>
      </c>
      <c r="N241" t="n">
        <v>0</v>
      </c>
      <c r="O241" t="n">
        <v>0</v>
      </c>
      <c r="P241" t="n">
        <v>0</v>
      </c>
      <c r="Q241" t="n">
        <v>0</v>
      </c>
      <c r="R241" s="2" t="inlineStr"/>
    </row>
    <row r="242" ht="15" customHeight="1">
      <c r="A242" t="inlineStr">
        <is>
          <t>A 7570-2020</t>
        </is>
      </c>
      <c r="B242" s="1" t="n">
        <v>43871</v>
      </c>
      <c r="C242" s="1" t="n">
        <v>45589</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8401-2020</t>
        </is>
      </c>
      <c r="B243" s="1" t="n">
        <v>43875</v>
      </c>
      <c r="C243" s="1" t="n">
        <v>45589</v>
      </c>
      <c r="D243" t="inlineStr">
        <is>
          <t>JÄMTLANDS LÄN</t>
        </is>
      </c>
      <c r="E243" t="inlineStr">
        <is>
          <t>ÖSTERSUND</t>
        </is>
      </c>
      <c r="G243" t="n">
        <v>1.3</v>
      </c>
      <c r="H243" t="n">
        <v>0</v>
      </c>
      <c r="I243" t="n">
        <v>0</v>
      </c>
      <c r="J243" t="n">
        <v>0</v>
      </c>
      <c r="K243" t="n">
        <v>0</v>
      </c>
      <c r="L243" t="n">
        <v>0</v>
      </c>
      <c r="M243" t="n">
        <v>0</v>
      </c>
      <c r="N243" t="n">
        <v>0</v>
      </c>
      <c r="O243" t="n">
        <v>0</v>
      </c>
      <c r="P243" t="n">
        <v>0</v>
      </c>
      <c r="Q243" t="n">
        <v>0</v>
      </c>
      <c r="R243" s="2" t="inlineStr"/>
    </row>
    <row r="244" ht="15" customHeight="1">
      <c r="A244" t="inlineStr">
        <is>
          <t>A 11566-2020</t>
        </is>
      </c>
      <c r="B244" s="1" t="n">
        <v>43893</v>
      </c>
      <c r="C244" s="1" t="n">
        <v>45589</v>
      </c>
      <c r="D244" t="inlineStr">
        <is>
          <t>JÄMTLANDS LÄN</t>
        </is>
      </c>
      <c r="E244" t="inlineStr">
        <is>
          <t>ÖSTERSUND</t>
        </is>
      </c>
      <c r="G244" t="n">
        <v>2</v>
      </c>
      <c r="H244" t="n">
        <v>0</v>
      </c>
      <c r="I244" t="n">
        <v>0</v>
      </c>
      <c r="J244" t="n">
        <v>0</v>
      </c>
      <c r="K244" t="n">
        <v>0</v>
      </c>
      <c r="L244" t="n">
        <v>0</v>
      </c>
      <c r="M244" t="n">
        <v>0</v>
      </c>
      <c r="N244" t="n">
        <v>0</v>
      </c>
      <c r="O244" t="n">
        <v>0</v>
      </c>
      <c r="P244" t="n">
        <v>0</v>
      </c>
      <c r="Q244" t="n">
        <v>0</v>
      </c>
      <c r="R244" s="2" t="inlineStr"/>
    </row>
    <row r="245" ht="15" customHeight="1">
      <c r="A245" t="inlineStr">
        <is>
          <t>A 12202-2020</t>
        </is>
      </c>
      <c r="B245" s="1" t="n">
        <v>43895</v>
      </c>
      <c r="C245" s="1" t="n">
        <v>45589</v>
      </c>
      <c r="D245" t="inlineStr">
        <is>
          <t>JÄMTLANDS LÄN</t>
        </is>
      </c>
      <c r="E245" t="inlineStr">
        <is>
          <t>ÖSTERSUND</t>
        </is>
      </c>
      <c r="G245" t="n">
        <v>1.2</v>
      </c>
      <c r="H245" t="n">
        <v>0</v>
      </c>
      <c r="I245" t="n">
        <v>0</v>
      </c>
      <c r="J245" t="n">
        <v>0</v>
      </c>
      <c r="K245" t="n">
        <v>0</v>
      </c>
      <c r="L245" t="n">
        <v>0</v>
      </c>
      <c r="M245" t="n">
        <v>0</v>
      </c>
      <c r="N245" t="n">
        <v>0</v>
      </c>
      <c r="O245" t="n">
        <v>0</v>
      </c>
      <c r="P245" t="n">
        <v>0</v>
      </c>
      <c r="Q245" t="n">
        <v>0</v>
      </c>
      <c r="R245" s="2" t="inlineStr"/>
    </row>
    <row r="246" ht="15" customHeight="1">
      <c r="A246" t="inlineStr">
        <is>
          <t>A 13264-2020</t>
        </is>
      </c>
      <c r="B246" s="1" t="n">
        <v>43901</v>
      </c>
      <c r="C246" s="1" t="n">
        <v>45589</v>
      </c>
      <c r="D246" t="inlineStr">
        <is>
          <t>JÄMTLANDS LÄN</t>
        </is>
      </c>
      <c r="E246" t="inlineStr">
        <is>
          <t>ÖSTERSUND</t>
        </is>
      </c>
      <c r="G246" t="n">
        <v>4.4</v>
      </c>
      <c r="H246" t="n">
        <v>0</v>
      </c>
      <c r="I246" t="n">
        <v>0</v>
      </c>
      <c r="J246" t="n">
        <v>0</v>
      </c>
      <c r="K246" t="n">
        <v>0</v>
      </c>
      <c r="L246" t="n">
        <v>0</v>
      </c>
      <c r="M246" t="n">
        <v>0</v>
      </c>
      <c r="N246" t="n">
        <v>0</v>
      </c>
      <c r="O246" t="n">
        <v>0</v>
      </c>
      <c r="P246" t="n">
        <v>0</v>
      </c>
      <c r="Q246" t="n">
        <v>0</v>
      </c>
      <c r="R246" s="2" t="inlineStr"/>
    </row>
    <row r="247" ht="15" customHeight="1">
      <c r="A247" t="inlineStr">
        <is>
          <t>A 14917-2020</t>
        </is>
      </c>
      <c r="B247" s="1" t="n">
        <v>43906</v>
      </c>
      <c r="C247" s="1" t="n">
        <v>45589</v>
      </c>
      <c r="D247" t="inlineStr">
        <is>
          <t>JÄMTLANDS LÄN</t>
        </is>
      </c>
      <c r="E247" t="inlineStr">
        <is>
          <t>ÖSTERSUND</t>
        </is>
      </c>
      <c r="G247" t="n">
        <v>12.9</v>
      </c>
      <c r="H247" t="n">
        <v>0</v>
      </c>
      <c r="I247" t="n">
        <v>0</v>
      </c>
      <c r="J247" t="n">
        <v>0</v>
      </c>
      <c r="K247" t="n">
        <v>0</v>
      </c>
      <c r="L247" t="n">
        <v>0</v>
      </c>
      <c r="M247" t="n">
        <v>0</v>
      </c>
      <c r="N247" t="n">
        <v>0</v>
      </c>
      <c r="O247" t="n">
        <v>0</v>
      </c>
      <c r="P247" t="n">
        <v>0</v>
      </c>
      <c r="Q247" t="n">
        <v>0</v>
      </c>
      <c r="R247" s="2" t="inlineStr"/>
    </row>
    <row r="248" ht="15" customHeight="1">
      <c r="A248" t="inlineStr">
        <is>
          <t>A 15797-2020</t>
        </is>
      </c>
      <c r="B248" s="1" t="n">
        <v>43909</v>
      </c>
      <c r="C248" s="1" t="n">
        <v>45589</v>
      </c>
      <c r="D248" t="inlineStr">
        <is>
          <t>JÄMTLANDS LÄN</t>
        </is>
      </c>
      <c r="E248" t="inlineStr">
        <is>
          <t>ÖSTERSUND</t>
        </is>
      </c>
      <c r="G248" t="n">
        <v>3.5</v>
      </c>
      <c r="H248" t="n">
        <v>0</v>
      </c>
      <c r="I248" t="n">
        <v>0</v>
      </c>
      <c r="J248" t="n">
        <v>0</v>
      </c>
      <c r="K248" t="n">
        <v>0</v>
      </c>
      <c r="L248" t="n">
        <v>0</v>
      </c>
      <c r="M248" t="n">
        <v>0</v>
      </c>
      <c r="N248" t="n">
        <v>0</v>
      </c>
      <c r="O248" t="n">
        <v>0</v>
      </c>
      <c r="P248" t="n">
        <v>0</v>
      </c>
      <c r="Q248" t="n">
        <v>0</v>
      </c>
      <c r="R248" s="2" t="inlineStr"/>
    </row>
    <row r="249" ht="15" customHeight="1">
      <c r="A249" t="inlineStr">
        <is>
          <t>A 14903-2020</t>
        </is>
      </c>
      <c r="B249" s="1" t="n">
        <v>43910</v>
      </c>
      <c r="C249" s="1" t="n">
        <v>45589</v>
      </c>
      <c r="D249" t="inlineStr">
        <is>
          <t>JÄMTLANDS LÄN</t>
        </is>
      </c>
      <c r="E249" t="inlineStr">
        <is>
          <t>ÖSTERSUND</t>
        </is>
      </c>
      <c r="F249" t="inlineStr">
        <is>
          <t>Kyrkan</t>
        </is>
      </c>
      <c r="G249" t="n">
        <v>2.3</v>
      </c>
      <c r="H249" t="n">
        <v>0</v>
      </c>
      <c r="I249" t="n">
        <v>0</v>
      </c>
      <c r="J249" t="n">
        <v>0</v>
      </c>
      <c r="K249" t="n">
        <v>0</v>
      </c>
      <c r="L249" t="n">
        <v>0</v>
      </c>
      <c r="M249" t="n">
        <v>0</v>
      </c>
      <c r="N249" t="n">
        <v>0</v>
      </c>
      <c r="O249" t="n">
        <v>0</v>
      </c>
      <c r="P249" t="n">
        <v>0</v>
      </c>
      <c r="Q249" t="n">
        <v>0</v>
      </c>
      <c r="R249" s="2" t="inlineStr"/>
    </row>
    <row r="250" ht="15" customHeight="1">
      <c r="A250" t="inlineStr">
        <is>
          <t>A 17464-2020</t>
        </is>
      </c>
      <c r="B250" s="1" t="n">
        <v>43917</v>
      </c>
      <c r="C250" s="1" t="n">
        <v>45589</v>
      </c>
      <c r="D250" t="inlineStr">
        <is>
          <t>JÄMTLANDS LÄN</t>
        </is>
      </c>
      <c r="E250" t="inlineStr">
        <is>
          <t>ÖSTERSUND</t>
        </is>
      </c>
      <c r="G250" t="n">
        <v>3.8</v>
      </c>
      <c r="H250" t="n">
        <v>0</v>
      </c>
      <c r="I250" t="n">
        <v>0</v>
      </c>
      <c r="J250" t="n">
        <v>0</v>
      </c>
      <c r="K250" t="n">
        <v>0</v>
      </c>
      <c r="L250" t="n">
        <v>0</v>
      </c>
      <c r="M250" t="n">
        <v>0</v>
      </c>
      <c r="N250" t="n">
        <v>0</v>
      </c>
      <c r="O250" t="n">
        <v>0</v>
      </c>
      <c r="P250" t="n">
        <v>0</v>
      </c>
      <c r="Q250" t="n">
        <v>0</v>
      </c>
      <c r="R250" s="2" t="inlineStr"/>
    </row>
    <row r="251" ht="15" customHeight="1">
      <c r="A251" t="inlineStr">
        <is>
          <t>A 18339-2020</t>
        </is>
      </c>
      <c r="B251" s="1" t="n">
        <v>43928</v>
      </c>
      <c r="C251" s="1" t="n">
        <v>45589</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18683-2020</t>
        </is>
      </c>
      <c r="B252" s="1" t="n">
        <v>43930</v>
      </c>
      <c r="C252" s="1" t="n">
        <v>45589</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19631-2020</t>
        </is>
      </c>
      <c r="B253" s="1" t="n">
        <v>43936</v>
      </c>
      <c r="C253" s="1" t="n">
        <v>45589</v>
      </c>
      <c r="D253" t="inlineStr">
        <is>
          <t>JÄMTLANDS LÄN</t>
        </is>
      </c>
      <c r="E253" t="inlineStr">
        <is>
          <t>ÖSTERSUND</t>
        </is>
      </c>
      <c r="G253" t="n">
        <v>5.5</v>
      </c>
      <c r="H253" t="n">
        <v>0</v>
      </c>
      <c r="I253" t="n">
        <v>0</v>
      </c>
      <c r="J253" t="n">
        <v>0</v>
      </c>
      <c r="K253" t="n">
        <v>0</v>
      </c>
      <c r="L253" t="n">
        <v>0</v>
      </c>
      <c r="M253" t="n">
        <v>0</v>
      </c>
      <c r="N253" t="n">
        <v>0</v>
      </c>
      <c r="O253" t="n">
        <v>0</v>
      </c>
      <c r="P253" t="n">
        <v>0</v>
      </c>
      <c r="Q253" t="n">
        <v>0</v>
      </c>
      <c r="R253" s="2" t="inlineStr"/>
    </row>
    <row r="254" ht="15" customHeight="1">
      <c r="A254" t="inlineStr">
        <is>
          <t>A 19923-2020</t>
        </is>
      </c>
      <c r="B254" s="1" t="n">
        <v>43943</v>
      </c>
      <c r="C254" s="1" t="n">
        <v>45589</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20198-2020</t>
        </is>
      </c>
      <c r="B255" s="1" t="n">
        <v>43944</v>
      </c>
      <c r="C255" s="1" t="n">
        <v>45589</v>
      </c>
      <c r="D255" t="inlineStr">
        <is>
          <t>JÄMTLANDS LÄN</t>
        </is>
      </c>
      <c r="E255" t="inlineStr">
        <is>
          <t>ÖSTERSUND</t>
        </is>
      </c>
      <c r="G255" t="n">
        <v>2</v>
      </c>
      <c r="H255" t="n">
        <v>0</v>
      </c>
      <c r="I255" t="n">
        <v>0</v>
      </c>
      <c r="J255" t="n">
        <v>0</v>
      </c>
      <c r="K255" t="n">
        <v>0</v>
      </c>
      <c r="L255" t="n">
        <v>0</v>
      </c>
      <c r="M255" t="n">
        <v>0</v>
      </c>
      <c r="N255" t="n">
        <v>0</v>
      </c>
      <c r="O255" t="n">
        <v>0</v>
      </c>
      <c r="P255" t="n">
        <v>0</v>
      </c>
      <c r="Q255" t="n">
        <v>0</v>
      </c>
      <c r="R255" s="2" t="inlineStr"/>
    </row>
    <row r="256" ht="15" customHeight="1">
      <c r="A256" t="inlineStr">
        <is>
          <t>A 23507-2020</t>
        </is>
      </c>
      <c r="B256" s="1" t="n">
        <v>43969</v>
      </c>
      <c r="C256" s="1" t="n">
        <v>45589</v>
      </c>
      <c r="D256" t="inlineStr">
        <is>
          <t>JÄMTLANDS LÄN</t>
        </is>
      </c>
      <c r="E256" t="inlineStr">
        <is>
          <t>ÖSTERSUND</t>
        </is>
      </c>
      <c r="G256" t="n">
        <v>5.8</v>
      </c>
      <c r="H256" t="n">
        <v>0</v>
      </c>
      <c r="I256" t="n">
        <v>0</v>
      </c>
      <c r="J256" t="n">
        <v>0</v>
      </c>
      <c r="K256" t="n">
        <v>0</v>
      </c>
      <c r="L256" t="n">
        <v>0</v>
      </c>
      <c r="M256" t="n">
        <v>0</v>
      </c>
      <c r="N256" t="n">
        <v>0</v>
      </c>
      <c r="O256" t="n">
        <v>0</v>
      </c>
      <c r="P256" t="n">
        <v>0</v>
      </c>
      <c r="Q256" t="n">
        <v>0</v>
      </c>
      <c r="R256" s="2" t="inlineStr"/>
    </row>
    <row r="257" ht="15" customHeight="1">
      <c r="A257" t="inlineStr">
        <is>
          <t>A 23445-2020</t>
        </is>
      </c>
      <c r="B257" s="1" t="n">
        <v>43969</v>
      </c>
      <c r="C257" s="1" t="n">
        <v>45589</v>
      </c>
      <c r="D257" t="inlineStr">
        <is>
          <t>JÄMTLANDS LÄN</t>
        </is>
      </c>
      <c r="E257" t="inlineStr">
        <is>
          <t>ÖSTERSUND</t>
        </is>
      </c>
      <c r="G257" t="n">
        <v>0.9</v>
      </c>
      <c r="H257" t="n">
        <v>0</v>
      </c>
      <c r="I257" t="n">
        <v>0</v>
      </c>
      <c r="J257" t="n">
        <v>0</v>
      </c>
      <c r="K257" t="n">
        <v>0</v>
      </c>
      <c r="L257" t="n">
        <v>0</v>
      </c>
      <c r="M257" t="n">
        <v>0</v>
      </c>
      <c r="N257" t="n">
        <v>0</v>
      </c>
      <c r="O257" t="n">
        <v>0</v>
      </c>
      <c r="P257" t="n">
        <v>0</v>
      </c>
      <c r="Q257" t="n">
        <v>0</v>
      </c>
      <c r="R257" s="2" t="inlineStr"/>
    </row>
    <row r="258" ht="15" customHeight="1">
      <c r="A258" t="inlineStr">
        <is>
          <t>A 24259-2020</t>
        </is>
      </c>
      <c r="B258" s="1" t="n">
        <v>43970</v>
      </c>
      <c r="C258" s="1" t="n">
        <v>45589</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24253-2020</t>
        </is>
      </c>
      <c r="B259" s="1" t="n">
        <v>43970</v>
      </c>
      <c r="C259" s="1" t="n">
        <v>45589</v>
      </c>
      <c r="D259" t="inlineStr">
        <is>
          <t>JÄMTLANDS LÄN</t>
        </is>
      </c>
      <c r="E259" t="inlineStr">
        <is>
          <t>ÖSTERSUND</t>
        </is>
      </c>
      <c r="G259" t="n">
        <v>1.2</v>
      </c>
      <c r="H259" t="n">
        <v>0</v>
      </c>
      <c r="I259" t="n">
        <v>0</v>
      </c>
      <c r="J259" t="n">
        <v>0</v>
      </c>
      <c r="K259" t="n">
        <v>0</v>
      </c>
      <c r="L259" t="n">
        <v>0</v>
      </c>
      <c r="M259" t="n">
        <v>0</v>
      </c>
      <c r="N259" t="n">
        <v>0</v>
      </c>
      <c r="O259" t="n">
        <v>0</v>
      </c>
      <c r="P259" t="n">
        <v>0</v>
      </c>
      <c r="Q259" t="n">
        <v>0</v>
      </c>
      <c r="R259" s="2" t="inlineStr"/>
    </row>
    <row r="260" ht="15" customHeight="1">
      <c r="A260" t="inlineStr">
        <is>
          <t>A 25148-2020</t>
        </is>
      </c>
      <c r="B260" s="1" t="n">
        <v>43978</v>
      </c>
      <c r="C260" s="1" t="n">
        <v>45589</v>
      </c>
      <c r="D260" t="inlineStr">
        <is>
          <t>JÄMTLANDS LÄN</t>
        </is>
      </c>
      <c r="E260" t="inlineStr">
        <is>
          <t>ÖSTERSUND</t>
        </is>
      </c>
      <c r="G260" t="n">
        <v>0.4</v>
      </c>
      <c r="H260" t="n">
        <v>0</v>
      </c>
      <c r="I260" t="n">
        <v>0</v>
      </c>
      <c r="J260" t="n">
        <v>0</v>
      </c>
      <c r="K260" t="n">
        <v>0</v>
      </c>
      <c r="L260" t="n">
        <v>0</v>
      </c>
      <c r="M260" t="n">
        <v>0</v>
      </c>
      <c r="N260" t="n">
        <v>0</v>
      </c>
      <c r="O260" t="n">
        <v>0</v>
      </c>
      <c r="P260" t="n">
        <v>0</v>
      </c>
      <c r="Q260" t="n">
        <v>0</v>
      </c>
      <c r="R260" s="2" t="inlineStr"/>
    </row>
    <row r="261" ht="15" customHeight="1">
      <c r="A261" t="inlineStr">
        <is>
          <t>A 26410-2020</t>
        </is>
      </c>
      <c r="B261" s="1" t="n">
        <v>43986</v>
      </c>
      <c r="C261" s="1" t="n">
        <v>45589</v>
      </c>
      <c r="D261" t="inlineStr">
        <is>
          <t>JÄMTLANDS LÄN</t>
        </is>
      </c>
      <c r="E261" t="inlineStr">
        <is>
          <t>ÖSTERSUND</t>
        </is>
      </c>
      <c r="G261" t="n">
        <v>2.1</v>
      </c>
      <c r="H261" t="n">
        <v>0</v>
      </c>
      <c r="I261" t="n">
        <v>0</v>
      </c>
      <c r="J261" t="n">
        <v>0</v>
      </c>
      <c r="K261" t="n">
        <v>0</v>
      </c>
      <c r="L261" t="n">
        <v>0</v>
      </c>
      <c r="M261" t="n">
        <v>0</v>
      </c>
      <c r="N261" t="n">
        <v>0</v>
      </c>
      <c r="O261" t="n">
        <v>0</v>
      </c>
      <c r="P261" t="n">
        <v>0</v>
      </c>
      <c r="Q261" t="n">
        <v>0</v>
      </c>
      <c r="R261" s="2" t="inlineStr"/>
    </row>
    <row r="262" ht="15" customHeight="1">
      <c r="A262" t="inlineStr">
        <is>
          <t>A 27576-2020</t>
        </is>
      </c>
      <c r="B262" s="1" t="n">
        <v>43992</v>
      </c>
      <c r="C262" s="1" t="n">
        <v>45589</v>
      </c>
      <c r="D262" t="inlineStr">
        <is>
          <t>JÄMTLANDS LÄN</t>
        </is>
      </c>
      <c r="E262" t="inlineStr">
        <is>
          <t>ÖSTERSUND</t>
        </is>
      </c>
      <c r="G262" t="n">
        <v>1.6</v>
      </c>
      <c r="H262" t="n">
        <v>0</v>
      </c>
      <c r="I262" t="n">
        <v>0</v>
      </c>
      <c r="J262" t="n">
        <v>0</v>
      </c>
      <c r="K262" t="n">
        <v>0</v>
      </c>
      <c r="L262" t="n">
        <v>0</v>
      </c>
      <c r="M262" t="n">
        <v>0</v>
      </c>
      <c r="N262" t="n">
        <v>0</v>
      </c>
      <c r="O262" t="n">
        <v>0</v>
      </c>
      <c r="P262" t="n">
        <v>0</v>
      </c>
      <c r="Q262" t="n">
        <v>0</v>
      </c>
      <c r="R262" s="2" t="inlineStr"/>
    </row>
    <row r="263" ht="15" customHeight="1">
      <c r="A263" t="inlineStr">
        <is>
          <t>A 29635-2020</t>
        </is>
      </c>
      <c r="B263" s="1" t="n">
        <v>44000</v>
      </c>
      <c r="C263" s="1" t="n">
        <v>45589</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29435-2020</t>
        </is>
      </c>
      <c r="B264" s="1" t="n">
        <v>44004</v>
      </c>
      <c r="C264" s="1" t="n">
        <v>45589</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29479-2020</t>
        </is>
      </c>
      <c r="B265" s="1" t="n">
        <v>44005</v>
      </c>
      <c r="C265" s="1" t="n">
        <v>45589</v>
      </c>
      <c r="D265" t="inlineStr">
        <is>
          <t>JÄMTLANDS LÄN</t>
        </is>
      </c>
      <c r="E265" t="inlineStr">
        <is>
          <t>ÖSTERSUND</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29581-2020</t>
        </is>
      </c>
      <c r="B266" s="1" t="n">
        <v>44004</v>
      </c>
      <c r="C266" s="1" t="n">
        <v>45589</v>
      </c>
      <c r="D266" t="inlineStr">
        <is>
          <t>JÄMTLANDS LÄN</t>
        </is>
      </c>
      <c r="E266" t="inlineStr">
        <is>
          <t>ÖSTERSUND</t>
        </is>
      </c>
      <c r="G266" t="n">
        <v>0.4</v>
      </c>
      <c r="H266" t="n">
        <v>0</v>
      </c>
      <c r="I266" t="n">
        <v>0</v>
      </c>
      <c r="J266" t="n">
        <v>0</v>
      </c>
      <c r="K266" t="n">
        <v>0</v>
      </c>
      <c r="L266" t="n">
        <v>0</v>
      </c>
      <c r="M266" t="n">
        <v>0</v>
      </c>
      <c r="N266" t="n">
        <v>0</v>
      </c>
      <c r="O266" t="n">
        <v>0</v>
      </c>
      <c r="P266" t="n">
        <v>0</v>
      </c>
      <c r="Q266" t="n">
        <v>0</v>
      </c>
      <c r="R266" s="2" t="inlineStr"/>
    </row>
    <row r="267" ht="15" customHeight="1">
      <c r="A267" t="inlineStr">
        <is>
          <t>A 30676-2020</t>
        </is>
      </c>
      <c r="B267" s="1" t="n">
        <v>44008</v>
      </c>
      <c r="C267" s="1" t="n">
        <v>45589</v>
      </c>
      <c r="D267" t="inlineStr">
        <is>
          <t>JÄMTLANDS LÄN</t>
        </is>
      </c>
      <c r="E267" t="inlineStr">
        <is>
          <t>ÖSTERSUND</t>
        </is>
      </c>
      <c r="G267" t="n">
        <v>2.4</v>
      </c>
      <c r="H267" t="n">
        <v>0</v>
      </c>
      <c r="I267" t="n">
        <v>0</v>
      </c>
      <c r="J267" t="n">
        <v>0</v>
      </c>
      <c r="K267" t="n">
        <v>0</v>
      </c>
      <c r="L267" t="n">
        <v>0</v>
      </c>
      <c r="M267" t="n">
        <v>0</v>
      </c>
      <c r="N267" t="n">
        <v>0</v>
      </c>
      <c r="O267" t="n">
        <v>0</v>
      </c>
      <c r="P267" t="n">
        <v>0</v>
      </c>
      <c r="Q267" t="n">
        <v>0</v>
      </c>
      <c r="R267" s="2" t="inlineStr"/>
    </row>
    <row r="268" ht="15" customHeight="1">
      <c r="A268" t="inlineStr">
        <is>
          <t>A 33945-2020</t>
        </is>
      </c>
      <c r="B268" s="1" t="n">
        <v>44027</v>
      </c>
      <c r="C268" s="1" t="n">
        <v>45589</v>
      </c>
      <c r="D268" t="inlineStr">
        <is>
          <t>JÄMTLANDS LÄN</t>
        </is>
      </c>
      <c r="E268" t="inlineStr">
        <is>
          <t>ÖSTERSUND</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34703-2020</t>
        </is>
      </c>
      <c r="B269" s="1" t="n">
        <v>44035</v>
      </c>
      <c r="C269" s="1" t="n">
        <v>45589</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37500-2020</t>
        </is>
      </c>
      <c r="B270" s="1" t="n">
        <v>44055</v>
      </c>
      <c r="C270" s="1" t="n">
        <v>45589</v>
      </c>
      <c r="D270" t="inlineStr">
        <is>
          <t>JÄMTLANDS LÄN</t>
        </is>
      </c>
      <c r="E270" t="inlineStr">
        <is>
          <t>ÖSTERSUND</t>
        </is>
      </c>
      <c r="G270" t="n">
        <v>4.8</v>
      </c>
      <c r="H270" t="n">
        <v>0</v>
      </c>
      <c r="I270" t="n">
        <v>0</v>
      </c>
      <c r="J270" t="n">
        <v>0</v>
      </c>
      <c r="K270" t="n">
        <v>0</v>
      </c>
      <c r="L270" t="n">
        <v>0</v>
      </c>
      <c r="M270" t="n">
        <v>0</v>
      </c>
      <c r="N270" t="n">
        <v>0</v>
      </c>
      <c r="O270" t="n">
        <v>0</v>
      </c>
      <c r="P270" t="n">
        <v>0</v>
      </c>
      <c r="Q270" t="n">
        <v>0</v>
      </c>
      <c r="R270" s="2" t="inlineStr"/>
    </row>
    <row r="271" ht="15" customHeight="1">
      <c r="A271" t="inlineStr">
        <is>
          <t>A 38099-2020</t>
        </is>
      </c>
      <c r="B271" s="1" t="n">
        <v>44057</v>
      </c>
      <c r="C271" s="1" t="n">
        <v>45589</v>
      </c>
      <c r="D271" t="inlineStr">
        <is>
          <t>JÄMTLANDS LÄN</t>
        </is>
      </c>
      <c r="E271" t="inlineStr">
        <is>
          <t>ÖSTERSUND</t>
        </is>
      </c>
      <c r="F271" t="inlineStr">
        <is>
          <t>SCA</t>
        </is>
      </c>
      <c r="G271" t="n">
        <v>5.5</v>
      </c>
      <c r="H271" t="n">
        <v>0</v>
      </c>
      <c r="I271" t="n">
        <v>0</v>
      </c>
      <c r="J271" t="n">
        <v>0</v>
      </c>
      <c r="K271" t="n">
        <v>0</v>
      </c>
      <c r="L271" t="n">
        <v>0</v>
      </c>
      <c r="M271" t="n">
        <v>0</v>
      </c>
      <c r="N271" t="n">
        <v>0</v>
      </c>
      <c r="O271" t="n">
        <v>0</v>
      </c>
      <c r="P271" t="n">
        <v>0</v>
      </c>
      <c r="Q271" t="n">
        <v>0</v>
      </c>
      <c r="R271" s="2" t="inlineStr"/>
    </row>
    <row r="272" ht="15" customHeight="1">
      <c r="A272" t="inlineStr">
        <is>
          <t>A 41354-2020</t>
        </is>
      </c>
      <c r="B272" s="1" t="n">
        <v>44072</v>
      </c>
      <c r="C272" s="1" t="n">
        <v>45589</v>
      </c>
      <c r="D272" t="inlineStr">
        <is>
          <t>JÄMTLANDS LÄN</t>
        </is>
      </c>
      <c r="E272" t="inlineStr">
        <is>
          <t>ÖSTERSUND</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42712-2020</t>
        </is>
      </c>
      <c r="B273" s="1" t="n">
        <v>44076</v>
      </c>
      <c r="C273" s="1" t="n">
        <v>45589</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42749-2020</t>
        </is>
      </c>
      <c r="B274" s="1" t="n">
        <v>44078</v>
      </c>
      <c r="C274" s="1" t="n">
        <v>45589</v>
      </c>
      <c r="D274" t="inlineStr">
        <is>
          <t>JÄMTLANDS LÄN</t>
        </is>
      </c>
      <c r="E274" t="inlineStr">
        <is>
          <t>ÖSTERSUND</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42765-2020</t>
        </is>
      </c>
      <c r="B275" s="1" t="n">
        <v>44077</v>
      </c>
      <c r="C275" s="1" t="n">
        <v>45589</v>
      </c>
      <c r="D275" t="inlineStr">
        <is>
          <t>JÄMTLANDS LÄN</t>
        </is>
      </c>
      <c r="E275" t="inlineStr">
        <is>
          <t>ÖSTERSUND</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42766-2020</t>
        </is>
      </c>
      <c r="B276" s="1" t="n">
        <v>44077</v>
      </c>
      <c r="C276" s="1" t="n">
        <v>45589</v>
      </c>
      <c r="D276" t="inlineStr">
        <is>
          <t>JÄMTLANDS LÄN</t>
        </is>
      </c>
      <c r="E276" t="inlineStr">
        <is>
          <t>ÖSTERSUND</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43796-2020</t>
        </is>
      </c>
      <c r="B277" s="1" t="n">
        <v>44082</v>
      </c>
      <c r="C277" s="1" t="n">
        <v>45589</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45820-2020</t>
        </is>
      </c>
      <c r="B278" s="1" t="n">
        <v>44090</v>
      </c>
      <c r="C278" s="1" t="n">
        <v>45589</v>
      </c>
      <c r="D278" t="inlineStr">
        <is>
          <t>JÄMTLANDS LÄN</t>
        </is>
      </c>
      <c r="E278" t="inlineStr">
        <is>
          <t>ÖSTERSUND</t>
        </is>
      </c>
      <c r="F278" t="inlineStr">
        <is>
          <t>SCA</t>
        </is>
      </c>
      <c r="G278" t="n">
        <v>2.3</v>
      </c>
      <c r="H278" t="n">
        <v>0</v>
      </c>
      <c r="I278" t="n">
        <v>0</v>
      </c>
      <c r="J278" t="n">
        <v>0</v>
      </c>
      <c r="K278" t="n">
        <v>0</v>
      </c>
      <c r="L278" t="n">
        <v>0</v>
      </c>
      <c r="M278" t="n">
        <v>0</v>
      </c>
      <c r="N278" t="n">
        <v>0</v>
      </c>
      <c r="O278" t="n">
        <v>0</v>
      </c>
      <c r="P278" t="n">
        <v>0</v>
      </c>
      <c r="Q278" t="n">
        <v>0</v>
      </c>
      <c r="R278" s="2" t="inlineStr"/>
    </row>
    <row r="279" ht="15" customHeight="1">
      <c r="A279" t="inlineStr">
        <is>
          <t>A 50121-2020</t>
        </is>
      </c>
      <c r="B279" s="1" t="n">
        <v>44106</v>
      </c>
      <c r="C279" s="1" t="n">
        <v>45589</v>
      </c>
      <c r="D279" t="inlineStr">
        <is>
          <t>JÄMTLANDS LÄN</t>
        </is>
      </c>
      <c r="E279" t="inlineStr">
        <is>
          <t>ÖSTERSUND</t>
        </is>
      </c>
      <c r="F279" t="inlineStr">
        <is>
          <t>Övriga statliga verk och myndigheter</t>
        </is>
      </c>
      <c r="G279" t="n">
        <v>5.2</v>
      </c>
      <c r="H279" t="n">
        <v>0</v>
      </c>
      <c r="I279" t="n">
        <v>0</v>
      </c>
      <c r="J279" t="n">
        <v>0</v>
      </c>
      <c r="K279" t="n">
        <v>0</v>
      </c>
      <c r="L279" t="n">
        <v>0</v>
      </c>
      <c r="M279" t="n">
        <v>0</v>
      </c>
      <c r="N279" t="n">
        <v>0</v>
      </c>
      <c r="O279" t="n">
        <v>0</v>
      </c>
      <c r="P279" t="n">
        <v>0</v>
      </c>
      <c r="Q279" t="n">
        <v>0</v>
      </c>
      <c r="R279" s="2" t="inlineStr"/>
    </row>
    <row r="280" ht="15" customHeight="1">
      <c r="A280" t="inlineStr">
        <is>
          <t>A 50153-2020</t>
        </is>
      </c>
      <c r="B280" s="1" t="n">
        <v>44106</v>
      </c>
      <c r="C280" s="1" t="n">
        <v>45589</v>
      </c>
      <c r="D280" t="inlineStr">
        <is>
          <t>JÄMTLANDS LÄN</t>
        </is>
      </c>
      <c r="E280" t="inlineStr">
        <is>
          <t>ÖSTERSUND</t>
        </is>
      </c>
      <c r="F280" t="inlineStr">
        <is>
          <t>Övriga statliga verk och myndigheter</t>
        </is>
      </c>
      <c r="G280" t="n">
        <v>4.6</v>
      </c>
      <c r="H280" t="n">
        <v>0</v>
      </c>
      <c r="I280" t="n">
        <v>0</v>
      </c>
      <c r="J280" t="n">
        <v>0</v>
      </c>
      <c r="K280" t="n">
        <v>0</v>
      </c>
      <c r="L280" t="n">
        <v>0</v>
      </c>
      <c r="M280" t="n">
        <v>0</v>
      </c>
      <c r="N280" t="n">
        <v>0</v>
      </c>
      <c r="O280" t="n">
        <v>0</v>
      </c>
      <c r="P280" t="n">
        <v>0</v>
      </c>
      <c r="Q280" t="n">
        <v>0</v>
      </c>
      <c r="R280" s="2" t="inlineStr"/>
    </row>
    <row r="281" ht="15" customHeight="1">
      <c r="A281" t="inlineStr">
        <is>
          <t>A 50144-2020</t>
        </is>
      </c>
      <c r="B281" s="1" t="n">
        <v>44106</v>
      </c>
      <c r="C281" s="1" t="n">
        <v>45589</v>
      </c>
      <c r="D281" t="inlineStr">
        <is>
          <t>JÄMTLANDS LÄN</t>
        </is>
      </c>
      <c r="E281" t="inlineStr">
        <is>
          <t>ÖSTERSUND</t>
        </is>
      </c>
      <c r="F281" t="inlineStr">
        <is>
          <t>Övriga statliga verk och myndigheter</t>
        </is>
      </c>
      <c r="G281" t="n">
        <v>2.2</v>
      </c>
      <c r="H281" t="n">
        <v>0</v>
      </c>
      <c r="I281" t="n">
        <v>0</v>
      </c>
      <c r="J281" t="n">
        <v>0</v>
      </c>
      <c r="K281" t="n">
        <v>0</v>
      </c>
      <c r="L281" t="n">
        <v>0</v>
      </c>
      <c r="M281" t="n">
        <v>0</v>
      </c>
      <c r="N281" t="n">
        <v>0</v>
      </c>
      <c r="O281" t="n">
        <v>0</v>
      </c>
      <c r="P281" t="n">
        <v>0</v>
      </c>
      <c r="Q281" t="n">
        <v>0</v>
      </c>
      <c r="R281" s="2" t="inlineStr"/>
    </row>
    <row r="282" ht="15" customHeight="1">
      <c r="A282" t="inlineStr">
        <is>
          <t>A 50632-2020</t>
        </is>
      </c>
      <c r="B282" s="1" t="n">
        <v>44110</v>
      </c>
      <c r="C282" s="1" t="n">
        <v>45589</v>
      </c>
      <c r="D282" t="inlineStr">
        <is>
          <t>JÄMTLANDS LÄN</t>
        </is>
      </c>
      <c r="E282" t="inlineStr">
        <is>
          <t>ÖSTERSUND</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52478-2020</t>
        </is>
      </c>
      <c r="B283" s="1" t="n">
        <v>44113</v>
      </c>
      <c r="C283" s="1" t="n">
        <v>45589</v>
      </c>
      <c r="D283" t="inlineStr">
        <is>
          <t>JÄMTLANDS LÄN</t>
        </is>
      </c>
      <c r="E283" t="inlineStr">
        <is>
          <t>ÖSTERSUND</t>
        </is>
      </c>
      <c r="G283" t="n">
        <v>1.7</v>
      </c>
      <c r="H283" t="n">
        <v>0</v>
      </c>
      <c r="I283" t="n">
        <v>0</v>
      </c>
      <c r="J283" t="n">
        <v>0</v>
      </c>
      <c r="K283" t="n">
        <v>0</v>
      </c>
      <c r="L283" t="n">
        <v>0</v>
      </c>
      <c r="M283" t="n">
        <v>0</v>
      </c>
      <c r="N283" t="n">
        <v>0</v>
      </c>
      <c r="O283" t="n">
        <v>0</v>
      </c>
      <c r="P283" t="n">
        <v>0</v>
      </c>
      <c r="Q283" t="n">
        <v>0</v>
      </c>
      <c r="R283" s="2" t="inlineStr"/>
    </row>
    <row r="284" ht="15" customHeight="1">
      <c r="A284" t="inlineStr">
        <is>
          <t>A 52535-2020</t>
        </is>
      </c>
      <c r="B284" s="1" t="n">
        <v>44118</v>
      </c>
      <c r="C284" s="1" t="n">
        <v>45589</v>
      </c>
      <c r="D284" t="inlineStr">
        <is>
          <t>JÄMTLANDS LÄN</t>
        </is>
      </c>
      <c r="E284" t="inlineStr">
        <is>
          <t>ÖSTERSUND</t>
        </is>
      </c>
      <c r="G284" t="n">
        <v>2</v>
      </c>
      <c r="H284" t="n">
        <v>0</v>
      </c>
      <c r="I284" t="n">
        <v>0</v>
      </c>
      <c r="J284" t="n">
        <v>0</v>
      </c>
      <c r="K284" t="n">
        <v>0</v>
      </c>
      <c r="L284" t="n">
        <v>0</v>
      </c>
      <c r="M284" t="n">
        <v>0</v>
      </c>
      <c r="N284" t="n">
        <v>0</v>
      </c>
      <c r="O284" t="n">
        <v>0</v>
      </c>
      <c r="P284" t="n">
        <v>0</v>
      </c>
      <c r="Q284" t="n">
        <v>0</v>
      </c>
      <c r="R284" s="2" t="inlineStr"/>
    </row>
    <row r="285" ht="15" customHeight="1">
      <c r="A285" t="inlineStr">
        <is>
          <t>A 52777-2020</t>
        </is>
      </c>
      <c r="B285" s="1" t="n">
        <v>44118</v>
      </c>
      <c r="C285" s="1" t="n">
        <v>45589</v>
      </c>
      <c r="D285" t="inlineStr">
        <is>
          <t>JÄMTLANDS LÄN</t>
        </is>
      </c>
      <c r="E285" t="inlineStr">
        <is>
          <t>ÖSTERSUND</t>
        </is>
      </c>
      <c r="G285" t="n">
        <v>0.6</v>
      </c>
      <c r="H285" t="n">
        <v>0</v>
      </c>
      <c r="I285" t="n">
        <v>0</v>
      </c>
      <c r="J285" t="n">
        <v>0</v>
      </c>
      <c r="K285" t="n">
        <v>0</v>
      </c>
      <c r="L285" t="n">
        <v>0</v>
      </c>
      <c r="M285" t="n">
        <v>0</v>
      </c>
      <c r="N285" t="n">
        <v>0</v>
      </c>
      <c r="O285" t="n">
        <v>0</v>
      </c>
      <c r="P285" t="n">
        <v>0</v>
      </c>
      <c r="Q285" t="n">
        <v>0</v>
      </c>
      <c r="R285" s="2" t="inlineStr"/>
    </row>
    <row r="286" ht="15" customHeight="1">
      <c r="A286" t="inlineStr">
        <is>
          <t>A 52791-2020</t>
        </is>
      </c>
      <c r="B286" s="1" t="n">
        <v>44118</v>
      </c>
      <c r="C286" s="1" t="n">
        <v>45589</v>
      </c>
      <c r="D286" t="inlineStr">
        <is>
          <t>JÄMTLANDS LÄN</t>
        </is>
      </c>
      <c r="E286" t="inlineStr">
        <is>
          <t>ÖSTERSUND</t>
        </is>
      </c>
      <c r="G286" t="n">
        <v>0.4</v>
      </c>
      <c r="H286" t="n">
        <v>0</v>
      </c>
      <c r="I286" t="n">
        <v>0</v>
      </c>
      <c r="J286" t="n">
        <v>0</v>
      </c>
      <c r="K286" t="n">
        <v>0</v>
      </c>
      <c r="L286" t="n">
        <v>0</v>
      </c>
      <c r="M286" t="n">
        <v>0</v>
      </c>
      <c r="N286" t="n">
        <v>0</v>
      </c>
      <c r="O286" t="n">
        <v>0</v>
      </c>
      <c r="P286" t="n">
        <v>0</v>
      </c>
      <c r="Q286" t="n">
        <v>0</v>
      </c>
      <c r="R286" s="2" t="inlineStr"/>
    </row>
    <row r="287" ht="15" customHeight="1">
      <c r="A287" t="inlineStr">
        <is>
          <t>A 53323-2020</t>
        </is>
      </c>
      <c r="B287" s="1" t="n">
        <v>44123</v>
      </c>
      <c r="C287" s="1" t="n">
        <v>45589</v>
      </c>
      <c r="D287" t="inlineStr">
        <is>
          <t>JÄMTLANDS LÄN</t>
        </is>
      </c>
      <c r="E287" t="inlineStr">
        <is>
          <t>ÖSTERSUND</t>
        </is>
      </c>
      <c r="F287" t="inlineStr">
        <is>
          <t>Övriga Aktiebolag</t>
        </is>
      </c>
      <c r="G287" t="n">
        <v>2.2</v>
      </c>
      <c r="H287" t="n">
        <v>0</v>
      </c>
      <c r="I287" t="n">
        <v>0</v>
      </c>
      <c r="J287" t="n">
        <v>0</v>
      </c>
      <c r="K287" t="n">
        <v>0</v>
      </c>
      <c r="L287" t="n">
        <v>0</v>
      </c>
      <c r="M287" t="n">
        <v>0</v>
      </c>
      <c r="N287" t="n">
        <v>0</v>
      </c>
      <c r="O287" t="n">
        <v>0</v>
      </c>
      <c r="P287" t="n">
        <v>0</v>
      </c>
      <c r="Q287" t="n">
        <v>0</v>
      </c>
      <c r="R287" s="2" t="inlineStr"/>
    </row>
    <row r="288" ht="15" customHeight="1">
      <c r="A288" t="inlineStr">
        <is>
          <t>A 53967-2020</t>
        </is>
      </c>
      <c r="B288" s="1" t="n">
        <v>44125</v>
      </c>
      <c r="C288" s="1" t="n">
        <v>45589</v>
      </c>
      <c r="D288" t="inlineStr">
        <is>
          <t>JÄMTLANDS LÄN</t>
        </is>
      </c>
      <c r="E288" t="inlineStr">
        <is>
          <t>ÖSTERSUND</t>
        </is>
      </c>
      <c r="G288" t="n">
        <v>25.8</v>
      </c>
      <c r="H288" t="n">
        <v>0</v>
      </c>
      <c r="I288" t="n">
        <v>0</v>
      </c>
      <c r="J288" t="n">
        <v>0</v>
      </c>
      <c r="K288" t="n">
        <v>0</v>
      </c>
      <c r="L288" t="n">
        <v>0</v>
      </c>
      <c r="M288" t="n">
        <v>0</v>
      </c>
      <c r="N288" t="n">
        <v>0</v>
      </c>
      <c r="O288" t="n">
        <v>0</v>
      </c>
      <c r="P288" t="n">
        <v>0</v>
      </c>
      <c r="Q288" t="n">
        <v>0</v>
      </c>
      <c r="R288" s="2" t="inlineStr"/>
    </row>
    <row r="289" ht="15" customHeight="1">
      <c r="A289" t="inlineStr">
        <is>
          <t>A 54539-2020</t>
        </is>
      </c>
      <c r="B289" s="1" t="n">
        <v>44126</v>
      </c>
      <c r="C289" s="1" t="n">
        <v>45589</v>
      </c>
      <c r="D289" t="inlineStr">
        <is>
          <t>JÄMTLANDS LÄN</t>
        </is>
      </c>
      <c r="E289" t="inlineStr">
        <is>
          <t>ÖSTERSUND</t>
        </is>
      </c>
      <c r="G289" t="n">
        <v>4.2</v>
      </c>
      <c r="H289" t="n">
        <v>0</v>
      </c>
      <c r="I289" t="n">
        <v>0</v>
      </c>
      <c r="J289" t="n">
        <v>0</v>
      </c>
      <c r="K289" t="n">
        <v>0</v>
      </c>
      <c r="L289" t="n">
        <v>0</v>
      </c>
      <c r="M289" t="n">
        <v>0</v>
      </c>
      <c r="N289" t="n">
        <v>0</v>
      </c>
      <c r="O289" t="n">
        <v>0</v>
      </c>
      <c r="P289" t="n">
        <v>0</v>
      </c>
      <c r="Q289" t="n">
        <v>0</v>
      </c>
      <c r="R289" s="2" t="inlineStr"/>
    </row>
    <row r="290" ht="15" customHeight="1">
      <c r="A290" t="inlineStr">
        <is>
          <t>A 54844-2020</t>
        </is>
      </c>
      <c r="B290" s="1" t="n">
        <v>44126</v>
      </c>
      <c r="C290" s="1" t="n">
        <v>45589</v>
      </c>
      <c r="D290" t="inlineStr">
        <is>
          <t>JÄMTLANDS LÄN</t>
        </is>
      </c>
      <c r="E290" t="inlineStr">
        <is>
          <t>ÖSTERSUND</t>
        </is>
      </c>
      <c r="G290" t="n">
        <v>6.9</v>
      </c>
      <c r="H290" t="n">
        <v>0</v>
      </c>
      <c r="I290" t="n">
        <v>0</v>
      </c>
      <c r="J290" t="n">
        <v>0</v>
      </c>
      <c r="K290" t="n">
        <v>0</v>
      </c>
      <c r="L290" t="n">
        <v>0</v>
      </c>
      <c r="M290" t="n">
        <v>0</v>
      </c>
      <c r="N290" t="n">
        <v>0</v>
      </c>
      <c r="O290" t="n">
        <v>0</v>
      </c>
      <c r="P290" t="n">
        <v>0</v>
      </c>
      <c r="Q290" t="n">
        <v>0</v>
      </c>
      <c r="R290" s="2" t="inlineStr"/>
    </row>
    <row r="291" ht="15" customHeight="1">
      <c r="A291" t="inlineStr">
        <is>
          <t>A 56220-2020</t>
        </is>
      </c>
      <c r="B291" s="1" t="n">
        <v>44133</v>
      </c>
      <c r="C291" s="1" t="n">
        <v>45589</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56486-2020</t>
        </is>
      </c>
      <c r="B292" s="1" t="n">
        <v>44137</v>
      </c>
      <c r="C292" s="1" t="n">
        <v>45589</v>
      </c>
      <c r="D292" t="inlineStr">
        <is>
          <t>JÄMTLANDS LÄN</t>
        </is>
      </c>
      <c r="E292" t="inlineStr">
        <is>
          <t>ÖSTERSUND</t>
        </is>
      </c>
      <c r="G292" t="n">
        <v>5.8</v>
      </c>
      <c r="H292" t="n">
        <v>0</v>
      </c>
      <c r="I292" t="n">
        <v>0</v>
      </c>
      <c r="J292" t="n">
        <v>0</v>
      </c>
      <c r="K292" t="n">
        <v>0</v>
      </c>
      <c r="L292" t="n">
        <v>0</v>
      </c>
      <c r="M292" t="n">
        <v>0</v>
      </c>
      <c r="N292" t="n">
        <v>0</v>
      </c>
      <c r="O292" t="n">
        <v>0</v>
      </c>
      <c r="P292" t="n">
        <v>0</v>
      </c>
      <c r="Q292" t="n">
        <v>0</v>
      </c>
      <c r="R292" s="2" t="inlineStr"/>
    </row>
    <row r="293" ht="15" customHeight="1">
      <c r="A293" t="inlineStr">
        <is>
          <t>A 56636-2020</t>
        </is>
      </c>
      <c r="B293" s="1" t="n">
        <v>44137</v>
      </c>
      <c r="C293" s="1" t="n">
        <v>45589</v>
      </c>
      <c r="D293" t="inlineStr">
        <is>
          <t>JÄMTLANDS LÄN</t>
        </is>
      </c>
      <c r="E293" t="inlineStr">
        <is>
          <t>ÖSTERSUND</t>
        </is>
      </c>
      <c r="F293" t="inlineStr">
        <is>
          <t>Övriga Aktiebolag</t>
        </is>
      </c>
      <c r="G293" t="n">
        <v>16.2</v>
      </c>
      <c r="H293" t="n">
        <v>0</v>
      </c>
      <c r="I293" t="n">
        <v>0</v>
      </c>
      <c r="J293" t="n">
        <v>0</v>
      </c>
      <c r="K293" t="n">
        <v>0</v>
      </c>
      <c r="L293" t="n">
        <v>0</v>
      </c>
      <c r="M293" t="n">
        <v>0</v>
      </c>
      <c r="N293" t="n">
        <v>0</v>
      </c>
      <c r="O293" t="n">
        <v>0</v>
      </c>
      <c r="P293" t="n">
        <v>0</v>
      </c>
      <c r="Q293" t="n">
        <v>0</v>
      </c>
      <c r="R293" s="2" t="inlineStr"/>
    </row>
    <row r="294" ht="15" customHeight="1">
      <c r="A294" t="inlineStr">
        <is>
          <t>A 56642-2020</t>
        </is>
      </c>
      <c r="B294" s="1" t="n">
        <v>44137</v>
      </c>
      <c r="C294" s="1" t="n">
        <v>45589</v>
      </c>
      <c r="D294" t="inlineStr">
        <is>
          <t>JÄMTLANDS LÄN</t>
        </is>
      </c>
      <c r="E294" t="inlineStr">
        <is>
          <t>ÖSTERSUND</t>
        </is>
      </c>
      <c r="F294" t="inlineStr">
        <is>
          <t>Övriga Aktiebolag</t>
        </is>
      </c>
      <c r="G294" t="n">
        <v>6</v>
      </c>
      <c r="H294" t="n">
        <v>0</v>
      </c>
      <c r="I294" t="n">
        <v>0</v>
      </c>
      <c r="J294" t="n">
        <v>0</v>
      </c>
      <c r="K294" t="n">
        <v>0</v>
      </c>
      <c r="L294" t="n">
        <v>0</v>
      </c>
      <c r="M294" t="n">
        <v>0</v>
      </c>
      <c r="N294" t="n">
        <v>0</v>
      </c>
      <c r="O294" t="n">
        <v>0</v>
      </c>
      <c r="P294" t="n">
        <v>0</v>
      </c>
      <c r="Q294" t="n">
        <v>0</v>
      </c>
      <c r="R294" s="2" t="inlineStr"/>
    </row>
    <row r="295" ht="15" customHeight="1">
      <c r="A295" t="inlineStr">
        <is>
          <t>A 57616-2020</t>
        </is>
      </c>
      <c r="B295" s="1" t="n">
        <v>44140</v>
      </c>
      <c r="C295" s="1" t="n">
        <v>45589</v>
      </c>
      <c r="D295" t="inlineStr">
        <is>
          <t>JÄMTLANDS LÄN</t>
        </is>
      </c>
      <c r="E295" t="inlineStr">
        <is>
          <t>ÖSTERSUND</t>
        </is>
      </c>
      <c r="F295" t="inlineStr">
        <is>
          <t>Övriga Aktiebolag</t>
        </is>
      </c>
      <c r="G295" t="n">
        <v>1.8</v>
      </c>
      <c r="H295" t="n">
        <v>0</v>
      </c>
      <c r="I295" t="n">
        <v>0</v>
      </c>
      <c r="J295" t="n">
        <v>0</v>
      </c>
      <c r="K295" t="n">
        <v>0</v>
      </c>
      <c r="L295" t="n">
        <v>0</v>
      </c>
      <c r="M295" t="n">
        <v>0</v>
      </c>
      <c r="N295" t="n">
        <v>0</v>
      </c>
      <c r="O295" t="n">
        <v>0</v>
      </c>
      <c r="P295" t="n">
        <v>0</v>
      </c>
      <c r="Q295" t="n">
        <v>0</v>
      </c>
      <c r="R295" s="2" t="inlineStr"/>
    </row>
    <row r="296" ht="15" customHeight="1">
      <c r="A296" t="inlineStr">
        <is>
          <t>A 57624-2020</t>
        </is>
      </c>
      <c r="B296" s="1" t="n">
        <v>44140</v>
      </c>
      <c r="C296" s="1" t="n">
        <v>45589</v>
      </c>
      <c r="D296" t="inlineStr">
        <is>
          <t>JÄMTLANDS LÄN</t>
        </is>
      </c>
      <c r="E296" t="inlineStr">
        <is>
          <t>ÖSTERSUND</t>
        </is>
      </c>
      <c r="F296" t="inlineStr">
        <is>
          <t>Övriga Aktiebolag</t>
        </is>
      </c>
      <c r="G296" t="n">
        <v>2.1</v>
      </c>
      <c r="H296" t="n">
        <v>0</v>
      </c>
      <c r="I296" t="n">
        <v>0</v>
      </c>
      <c r="J296" t="n">
        <v>0</v>
      </c>
      <c r="K296" t="n">
        <v>0</v>
      </c>
      <c r="L296" t="n">
        <v>0</v>
      </c>
      <c r="M296" t="n">
        <v>0</v>
      </c>
      <c r="N296" t="n">
        <v>0</v>
      </c>
      <c r="O296" t="n">
        <v>0</v>
      </c>
      <c r="P296" t="n">
        <v>0</v>
      </c>
      <c r="Q296" t="n">
        <v>0</v>
      </c>
      <c r="R296" s="2" t="inlineStr"/>
    </row>
    <row r="297" ht="15" customHeight="1">
      <c r="A297" t="inlineStr">
        <is>
          <t>A 57791-2020</t>
        </is>
      </c>
      <c r="B297" s="1" t="n">
        <v>44141</v>
      </c>
      <c r="C297" s="1" t="n">
        <v>45589</v>
      </c>
      <c r="D297" t="inlineStr">
        <is>
          <t>JÄMTLANDS LÄN</t>
        </is>
      </c>
      <c r="E297" t="inlineStr">
        <is>
          <t>ÖSTERSUND</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57771-2020</t>
        </is>
      </c>
      <c r="B298" s="1" t="n">
        <v>44141</v>
      </c>
      <c r="C298" s="1" t="n">
        <v>45589</v>
      </c>
      <c r="D298" t="inlineStr">
        <is>
          <t>JÄMTLANDS LÄN</t>
        </is>
      </c>
      <c r="E298" t="inlineStr">
        <is>
          <t>ÖSTERSUND</t>
        </is>
      </c>
      <c r="F298" t="inlineStr">
        <is>
          <t>Övriga Aktiebolag</t>
        </is>
      </c>
      <c r="G298" t="n">
        <v>0.8</v>
      </c>
      <c r="H298" t="n">
        <v>0</v>
      </c>
      <c r="I298" t="n">
        <v>0</v>
      </c>
      <c r="J298" t="n">
        <v>0</v>
      </c>
      <c r="K298" t="n">
        <v>0</v>
      </c>
      <c r="L298" t="n">
        <v>0</v>
      </c>
      <c r="M298" t="n">
        <v>0</v>
      </c>
      <c r="N298" t="n">
        <v>0</v>
      </c>
      <c r="O298" t="n">
        <v>0</v>
      </c>
      <c r="P298" t="n">
        <v>0</v>
      </c>
      <c r="Q298" t="n">
        <v>0</v>
      </c>
      <c r="R298" s="2" t="inlineStr"/>
    </row>
    <row r="299" ht="15" customHeight="1">
      <c r="A299" t="inlineStr">
        <is>
          <t>A 60050-2020</t>
        </is>
      </c>
      <c r="B299" s="1" t="n">
        <v>44151</v>
      </c>
      <c r="C299" s="1" t="n">
        <v>45589</v>
      </c>
      <c r="D299" t="inlineStr">
        <is>
          <t>JÄMTLANDS LÄN</t>
        </is>
      </c>
      <c r="E299" t="inlineStr">
        <is>
          <t>ÖSTERSUND</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60126-2020</t>
        </is>
      </c>
      <c r="B300" s="1" t="n">
        <v>44152</v>
      </c>
      <c r="C300" s="1" t="n">
        <v>45589</v>
      </c>
      <c r="D300" t="inlineStr">
        <is>
          <t>JÄMTLANDS LÄN</t>
        </is>
      </c>
      <c r="E300" t="inlineStr">
        <is>
          <t>ÖSTERSUND</t>
        </is>
      </c>
      <c r="G300" t="n">
        <v>1</v>
      </c>
      <c r="H300" t="n">
        <v>0</v>
      </c>
      <c r="I300" t="n">
        <v>0</v>
      </c>
      <c r="J300" t="n">
        <v>0</v>
      </c>
      <c r="K300" t="n">
        <v>0</v>
      </c>
      <c r="L300" t="n">
        <v>0</v>
      </c>
      <c r="M300" t="n">
        <v>0</v>
      </c>
      <c r="N300" t="n">
        <v>0</v>
      </c>
      <c r="O300" t="n">
        <v>0</v>
      </c>
      <c r="P300" t="n">
        <v>0</v>
      </c>
      <c r="Q300" t="n">
        <v>0</v>
      </c>
      <c r="R300" s="2" t="inlineStr"/>
    </row>
    <row r="301" ht="15" customHeight="1">
      <c r="A301" t="inlineStr">
        <is>
          <t>A 63171-2020</t>
        </is>
      </c>
      <c r="B301" s="1" t="n">
        <v>44162</v>
      </c>
      <c r="C301" s="1" t="n">
        <v>45589</v>
      </c>
      <c r="D301" t="inlineStr">
        <is>
          <t>JÄMTLANDS LÄN</t>
        </is>
      </c>
      <c r="E301" t="inlineStr">
        <is>
          <t>ÖSTERSUND</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65410-2020</t>
        </is>
      </c>
      <c r="B302" s="1" t="n">
        <v>44173</v>
      </c>
      <c r="C302" s="1" t="n">
        <v>45589</v>
      </c>
      <c r="D302" t="inlineStr">
        <is>
          <t>JÄMTLANDS LÄN</t>
        </is>
      </c>
      <c r="E302" t="inlineStr">
        <is>
          <t>ÖSTERSUND</t>
        </is>
      </c>
      <c r="F302" t="inlineStr">
        <is>
          <t>Kommuner</t>
        </is>
      </c>
      <c r="G302" t="n">
        <v>0.8</v>
      </c>
      <c r="H302" t="n">
        <v>0</v>
      </c>
      <c r="I302" t="n">
        <v>0</v>
      </c>
      <c r="J302" t="n">
        <v>0</v>
      </c>
      <c r="K302" t="n">
        <v>0</v>
      </c>
      <c r="L302" t="n">
        <v>0</v>
      </c>
      <c r="M302" t="n">
        <v>0</v>
      </c>
      <c r="N302" t="n">
        <v>0</v>
      </c>
      <c r="O302" t="n">
        <v>0</v>
      </c>
      <c r="P302" t="n">
        <v>0</v>
      </c>
      <c r="Q302" t="n">
        <v>0</v>
      </c>
      <c r="R302" s="2" t="inlineStr"/>
    </row>
    <row r="303" ht="15" customHeight="1">
      <c r="A303" t="inlineStr">
        <is>
          <t>A 66269-2020</t>
        </is>
      </c>
      <c r="B303" s="1" t="n">
        <v>44174</v>
      </c>
      <c r="C303" s="1" t="n">
        <v>45589</v>
      </c>
      <c r="D303" t="inlineStr">
        <is>
          <t>JÄMTLANDS LÄN</t>
        </is>
      </c>
      <c r="E303" t="inlineStr">
        <is>
          <t>ÖSTERSUND</t>
        </is>
      </c>
      <c r="F303" t="inlineStr">
        <is>
          <t>Övriga statliga verk och myndigheter</t>
        </is>
      </c>
      <c r="G303" t="n">
        <v>10</v>
      </c>
      <c r="H303" t="n">
        <v>0</v>
      </c>
      <c r="I303" t="n">
        <v>0</v>
      </c>
      <c r="J303" t="n">
        <v>0</v>
      </c>
      <c r="K303" t="n">
        <v>0</v>
      </c>
      <c r="L303" t="n">
        <v>0</v>
      </c>
      <c r="M303" t="n">
        <v>0</v>
      </c>
      <c r="N303" t="n">
        <v>0</v>
      </c>
      <c r="O303" t="n">
        <v>0</v>
      </c>
      <c r="P303" t="n">
        <v>0</v>
      </c>
      <c r="Q303" t="n">
        <v>0</v>
      </c>
      <c r="R303" s="2" t="inlineStr"/>
    </row>
    <row r="304" ht="15" customHeight="1">
      <c r="A304" t="inlineStr">
        <is>
          <t>A 66288-2020</t>
        </is>
      </c>
      <c r="B304" s="1" t="n">
        <v>44174</v>
      </c>
      <c r="C304" s="1" t="n">
        <v>45589</v>
      </c>
      <c r="D304" t="inlineStr">
        <is>
          <t>JÄMTLANDS LÄN</t>
        </is>
      </c>
      <c r="E304" t="inlineStr">
        <is>
          <t>ÖSTERSUND</t>
        </is>
      </c>
      <c r="F304" t="inlineStr">
        <is>
          <t>Övriga statliga verk och myndigheter</t>
        </is>
      </c>
      <c r="G304" t="n">
        <v>1.2</v>
      </c>
      <c r="H304" t="n">
        <v>0</v>
      </c>
      <c r="I304" t="n">
        <v>0</v>
      </c>
      <c r="J304" t="n">
        <v>0</v>
      </c>
      <c r="K304" t="n">
        <v>0</v>
      </c>
      <c r="L304" t="n">
        <v>0</v>
      </c>
      <c r="M304" t="n">
        <v>0</v>
      </c>
      <c r="N304" t="n">
        <v>0</v>
      </c>
      <c r="O304" t="n">
        <v>0</v>
      </c>
      <c r="P304" t="n">
        <v>0</v>
      </c>
      <c r="Q304" t="n">
        <v>0</v>
      </c>
      <c r="R304" s="2" t="inlineStr"/>
    </row>
    <row r="305" ht="15" customHeight="1">
      <c r="A305" t="inlineStr">
        <is>
          <t>A 66286-2020</t>
        </is>
      </c>
      <c r="B305" s="1" t="n">
        <v>44174</v>
      </c>
      <c r="C305" s="1" t="n">
        <v>45589</v>
      </c>
      <c r="D305" t="inlineStr">
        <is>
          <t>JÄMTLANDS LÄN</t>
        </is>
      </c>
      <c r="E305" t="inlineStr">
        <is>
          <t>ÖSTERSUND</t>
        </is>
      </c>
      <c r="F305" t="inlineStr">
        <is>
          <t>Övriga statliga verk och myndigheter</t>
        </is>
      </c>
      <c r="G305" t="n">
        <v>1.1</v>
      </c>
      <c r="H305" t="n">
        <v>0</v>
      </c>
      <c r="I305" t="n">
        <v>0</v>
      </c>
      <c r="J305" t="n">
        <v>0</v>
      </c>
      <c r="K305" t="n">
        <v>0</v>
      </c>
      <c r="L305" t="n">
        <v>0</v>
      </c>
      <c r="M305" t="n">
        <v>0</v>
      </c>
      <c r="N305" t="n">
        <v>0</v>
      </c>
      <c r="O305" t="n">
        <v>0</v>
      </c>
      <c r="P305" t="n">
        <v>0</v>
      </c>
      <c r="Q305" t="n">
        <v>0</v>
      </c>
      <c r="R305" s="2" t="inlineStr"/>
    </row>
    <row r="306" ht="15" customHeight="1">
      <c r="A306" t="inlineStr">
        <is>
          <t>A 67646-2020</t>
        </is>
      </c>
      <c r="B306" s="1" t="n">
        <v>44180</v>
      </c>
      <c r="C306" s="1" t="n">
        <v>45589</v>
      </c>
      <c r="D306" t="inlineStr">
        <is>
          <t>JÄMTLANDS LÄN</t>
        </is>
      </c>
      <c r="E306" t="inlineStr">
        <is>
          <t>ÖSTERSUND</t>
        </is>
      </c>
      <c r="G306" t="n">
        <v>1.9</v>
      </c>
      <c r="H306" t="n">
        <v>0</v>
      </c>
      <c r="I306" t="n">
        <v>0</v>
      </c>
      <c r="J306" t="n">
        <v>0</v>
      </c>
      <c r="K306" t="n">
        <v>0</v>
      </c>
      <c r="L306" t="n">
        <v>0</v>
      </c>
      <c r="M306" t="n">
        <v>0</v>
      </c>
      <c r="N306" t="n">
        <v>0</v>
      </c>
      <c r="O306" t="n">
        <v>0</v>
      </c>
      <c r="P306" t="n">
        <v>0</v>
      </c>
      <c r="Q306" t="n">
        <v>0</v>
      </c>
      <c r="R306" s="2" t="inlineStr"/>
    </row>
    <row r="307" ht="15" customHeight="1">
      <c r="A307" t="inlineStr">
        <is>
          <t>A 67643-2020</t>
        </is>
      </c>
      <c r="B307" s="1" t="n">
        <v>44180</v>
      </c>
      <c r="C307" s="1" t="n">
        <v>45589</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68408-2020</t>
        </is>
      </c>
      <c r="B308" s="1" t="n">
        <v>44186</v>
      </c>
      <c r="C308" s="1" t="n">
        <v>45589</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68937-2020</t>
        </is>
      </c>
      <c r="B309" s="1" t="n">
        <v>44187</v>
      </c>
      <c r="C309" s="1" t="n">
        <v>45589</v>
      </c>
      <c r="D309" t="inlineStr">
        <is>
          <t>JÄMTLANDS LÄN</t>
        </is>
      </c>
      <c r="E309" t="inlineStr">
        <is>
          <t>ÖSTERSUND</t>
        </is>
      </c>
      <c r="G309" t="n">
        <v>4.7</v>
      </c>
      <c r="H309" t="n">
        <v>0</v>
      </c>
      <c r="I309" t="n">
        <v>0</v>
      </c>
      <c r="J309" t="n">
        <v>0</v>
      </c>
      <c r="K309" t="n">
        <v>0</v>
      </c>
      <c r="L309" t="n">
        <v>0</v>
      </c>
      <c r="M309" t="n">
        <v>0</v>
      </c>
      <c r="N309" t="n">
        <v>0</v>
      </c>
      <c r="O309" t="n">
        <v>0</v>
      </c>
      <c r="P309" t="n">
        <v>0</v>
      </c>
      <c r="Q309" t="n">
        <v>0</v>
      </c>
      <c r="R309" s="2" t="inlineStr"/>
    </row>
    <row r="310" ht="15" customHeight="1">
      <c r="A310" t="inlineStr">
        <is>
          <t>A 126-2021</t>
        </is>
      </c>
      <c r="B310" s="1" t="n">
        <v>44200</v>
      </c>
      <c r="C310" s="1" t="n">
        <v>45589</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501-2021</t>
        </is>
      </c>
      <c r="B311" s="1" t="n">
        <v>44200</v>
      </c>
      <c r="C311" s="1" t="n">
        <v>45589</v>
      </c>
      <c r="D311" t="inlineStr">
        <is>
          <t>JÄMTLANDS LÄN</t>
        </is>
      </c>
      <c r="E311" t="inlineStr">
        <is>
          <t>ÖSTERSUND</t>
        </is>
      </c>
      <c r="G311" t="n">
        <v>0.5</v>
      </c>
      <c r="H311" t="n">
        <v>0</v>
      </c>
      <c r="I311" t="n">
        <v>0</v>
      </c>
      <c r="J311" t="n">
        <v>0</v>
      </c>
      <c r="K311" t="n">
        <v>0</v>
      </c>
      <c r="L311" t="n">
        <v>0</v>
      </c>
      <c r="M311" t="n">
        <v>0</v>
      </c>
      <c r="N311" t="n">
        <v>0</v>
      </c>
      <c r="O311" t="n">
        <v>0</v>
      </c>
      <c r="P311" t="n">
        <v>0</v>
      </c>
      <c r="Q311" t="n">
        <v>0</v>
      </c>
      <c r="R311" s="2" t="inlineStr"/>
    </row>
    <row r="312" ht="15" customHeight="1">
      <c r="A312" t="inlineStr">
        <is>
          <t>A 1322-2021</t>
        </is>
      </c>
      <c r="B312" s="1" t="n">
        <v>44208</v>
      </c>
      <c r="C312" s="1" t="n">
        <v>45589</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2686-2021</t>
        </is>
      </c>
      <c r="B313" s="1" t="n">
        <v>44214</v>
      </c>
      <c r="C313" s="1" t="n">
        <v>45589</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5460-2021</t>
        </is>
      </c>
      <c r="B314" s="1" t="n">
        <v>44229</v>
      </c>
      <c r="C314" s="1" t="n">
        <v>45589</v>
      </c>
      <c r="D314" t="inlineStr">
        <is>
          <t>JÄMTLANDS LÄN</t>
        </is>
      </c>
      <c r="E314" t="inlineStr">
        <is>
          <t>ÖSTERSUND</t>
        </is>
      </c>
      <c r="G314" t="n">
        <v>14.2</v>
      </c>
      <c r="H314" t="n">
        <v>0</v>
      </c>
      <c r="I314" t="n">
        <v>0</v>
      </c>
      <c r="J314" t="n">
        <v>0</v>
      </c>
      <c r="K314" t="n">
        <v>0</v>
      </c>
      <c r="L314" t="n">
        <v>0</v>
      </c>
      <c r="M314" t="n">
        <v>0</v>
      </c>
      <c r="N314" t="n">
        <v>0</v>
      </c>
      <c r="O314" t="n">
        <v>0</v>
      </c>
      <c r="P314" t="n">
        <v>0</v>
      </c>
      <c r="Q314" t="n">
        <v>0</v>
      </c>
      <c r="R314" s="2" t="inlineStr"/>
    </row>
    <row r="315" ht="15" customHeight="1">
      <c r="A315" t="inlineStr">
        <is>
          <t>A 6578-2021</t>
        </is>
      </c>
      <c r="B315" s="1" t="n">
        <v>44236</v>
      </c>
      <c r="C315" s="1" t="n">
        <v>45589</v>
      </c>
      <c r="D315" t="inlineStr">
        <is>
          <t>JÄMTLANDS LÄN</t>
        </is>
      </c>
      <c r="E315" t="inlineStr">
        <is>
          <t>ÖSTERSUND</t>
        </is>
      </c>
      <c r="G315" t="n">
        <v>1.4</v>
      </c>
      <c r="H315" t="n">
        <v>0</v>
      </c>
      <c r="I315" t="n">
        <v>0</v>
      </c>
      <c r="J315" t="n">
        <v>0</v>
      </c>
      <c r="K315" t="n">
        <v>0</v>
      </c>
      <c r="L315" t="n">
        <v>0</v>
      </c>
      <c r="M315" t="n">
        <v>0</v>
      </c>
      <c r="N315" t="n">
        <v>0</v>
      </c>
      <c r="O315" t="n">
        <v>0</v>
      </c>
      <c r="P315" t="n">
        <v>0</v>
      </c>
      <c r="Q315" t="n">
        <v>0</v>
      </c>
      <c r="R315" s="2" t="inlineStr"/>
    </row>
    <row r="316" ht="15" customHeight="1">
      <c r="A316" t="inlineStr">
        <is>
          <t>A 8396-2021</t>
        </is>
      </c>
      <c r="B316" s="1" t="n">
        <v>44238</v>
      </c>
      <c r="C316" s="1" t="n">
        <v>45589</v>
      </c>
      <c r="D316" t="inlineStr">
        <is>
          <t>JÄMTLANDS LÄN</t>
        </is>
      </c>
      <c r="E316" t="inlineStr">
        <is>
          <t>ÖSTERSUND</t>
        </is>
      </c>
      <c r="G316" t="n">
        <v>1.1</v>
      </c>
      <c r="H316" t="n">
        <v>0</v>
      </c>
      <c r="I316" t="n">
        <v>0</v>
      </c>
      <c r="J316" t="n">
        <v>0</v>
      </c>
      <c r="K316" t="n">
        <v>0</v>
      </c>
      <c r="L316" t="n">
        <v>0</v>
      </c>
      <c r="M316" t="n">
        <v>0</v>
      </c>
      <c r="N316" t="n">
        <v>0</v>
      </c>
      <c r="O316" t="n">
        <v>0</v>
      </c>
      <c r="P316" t="n">
        <v>0</v>
      </c>
      <c r="Q316" t="n">
        <v>0</v>
      </c>
      <c r="R316" s="2" t="inlineStr"/>
    </row>
    <row r="317" ht="15" customHeight="1">
      <c r="A317" t="inlineStr">
        <is>
          <t>A 10590-2021</t>
        </is>
      </c>
      <c r="B317" s="1" t="n">
        <v>44258</v>
      </c>
      <c r="C317" s="1" t="n">
        <v>45589</v>
      </c>
      <c r="D317" t="inlineStr">
        <is>
          <t>JÄMTLANDS LÄN</t>
        </is>
      </c>
      <c r="E317" t="inlineStr">
        <is>
          <t>ÖSTERSUND</t>
        </is>
      </c>
      <c r="G317" t="n">
        <v>0.5</v>
      </c>
      <c r="H317" t="n">
        <v>0</v>
      </c>
      <c r="I317" t="n">
        <v>0</v>
      </c>
      <c r="J317" t="n">
        <v>0</v>
      </c>
      <c r="K317" t="n">
        <v>0</v>
      </c>
      <c r="L317" t="n">
        <v>0</v>
      </c>
      <c r="M317" t="n">
        <v>0</v>
      </c>
      <c r="N317" t="n">
        <v>0</v>
      </c>
      <c r="O317" t="n">
        <v>0</v>
      </c>
      <c r="P317" t="n">
        <v>0</v>
      </c>
      <c r="Q317" t="n">
        <v>0</v>
      </c>
      <c r="R317" s="2" t="inlineStr"/>
    </row>
    <row r="318" ht="15" customHeight="1">
      <c r="A318" t="inlineStr">
        <is>
          <t>A 10911-2021</t>
        </is>
      </c>
      <c r="B318" s="1" t="n">
        <v>44259</v>
      </c>
      <c r="C318" s="1" t="n">
        <v>45589</v>
      </c>
      <c r="D318" t="inlineStr">
        <is>
          <t>JÄMTLANDS LÄN</t>
        </is>
      </c>
      <c r="E318" t="inlineStr">
        <is>
          <t>ÖSTERSUND</t>
        </is>
      </c>
      <c r="F318" t="inlineStr">
        <is>
          <t>Kyrkan</t>
        </is>
      </c>
      <c r="G318" t="n">
        <v>0.9</v>
      </c>
      <c r="H318" t="n">
        <v>0</v>
      </c>
      <c r="I318" t="n">
        <v>0</v>
      </c>
      <c r="J318" t="n">
        <v>0</v>
      </c>
      <c r="K318" t="n">
        <v>0</v>
      </c>
      <c r="L318" t="n">
        <v>0</v>
      </c>
      <c r="M318" t="n">
        <v>0</v>
      </c>
      <c r="N318" t="n">
        <v>0</v>
      </c>
      <c r="O318" t="n">
        <v>0</v>
      </c>
      <c r="P318" t="n">
        <v>0</v>
      </c>
      <c r="Q318" t="n">
        <v>0</v>
      </c>
      <c r="R318" s="2" t="inlineStr"/>
    </row>
    <row r="319" ht="15" customHeight="1">
      <c r="A319" t="inlineStr">
        <is>
          <t>A 10834-2021</t>
        </is>
      </c>
      <c r="B319" s="1" t="n">
        <v>44259</v>
      </c>
      <c r="C319" s="1" t="n">
        <v>45589</v>
      </c>
      <c r="D319" t="inlineStr">
        <is>
          <t>JÄMTLANDS LÄN</t>
        </is>
      </c>
      <c r="E319" t="inlineStr">
        <is>
          <t>ÖSTERSUND</t>
        </is>
      </c>
      <c r="G319" t="n">
        <v>12.2</v>
      </c>
      <c r="H319" t="n">
        <v>0</v>
      </c>
      <c r="I319" t="n">
        <v>0</v>
      </c>
      <c r="J319" t="n">
        <v>0</v>
      </c>
      <c r="K319" t="n">
        <v>0</v>
      </c>
      <c r="L319" t="n">
        <v>0</v>
      </c>
      <c r="M319" t="n">
        <v>0</v>
      </c>
      <c r="N319" t="n">
        <v>0</v>
      </c>
      <c r="O319" t="n">
        <v>0</v>
      </c>
      <c r="P319" t="n">
        <v>0</v>
      </c>
      <c r="Q319" t="n">
        <v>0</v>
      </c>
      <c r="R319" s="2" t="inlineStr"/>
    </row>
    <row r="320" ht="15" customHeight="1">
      <c r="A320" t="inlineStr">
        <is>
          <t>A 12710-2021</t>
        </is>
      </c>
      <c r="B320" s="1" t="n">
        <v>44270</v>
      </c>
      <c r="C320" s="1" t="n">
        <v>45589</v>
      </c>
      <c r="D320" t="inlineStr">
        <is>
          <t>JÄMTLANDS LÄN</t>
        </is>
      </c>
      <c r="E320" t="inlineStr">
        <is>
          <t>ÖSTERSUND</t>
        </is>
      </c>
      <c r="G320" t="n">
        <v>1.3</v>
      </c>
      <c r="H320" t="n">
        <v>0</v>
      </c>
      <c r="I320" t="n">
        <v>0</v>
      </c>
      <c r="J320" t="n">
        <v>0</v>
      </c>
      <c r="K320" t="n">
        <v>0</v>
      </c>
      <c r="L320" t="n">
        <v>0</v>
      </c>
      <c r="M320" t="n">
        <v>0</v>
      </c>
      <c r="N320" t="n">
        <v>0</v>
      </c>
      <c r="O320" t="n">
        <v>0</v>
      </c>
      <c r="P320" t="n">
        <v>0</v>
      </c>
      <c r="Q320" t="n">
        <v>0</v>
      </c>
      <c r="R320" s="2" t="inlineStr"/>
    </row>
    <row r="321" ht="15" customHeight="1">
      <c r="A321" t="inlineStr">
        <is>
          <t>A 12705-2021</t>
        </is>
      </c>
      <c r="B321" s="1" t="n">
        <v>44270</v>
      </c>
      <c r="C321" s="1" t="n">
        <v>45589</v>
      </c>
      <c r="D321" t="inlineStr">
        <is>
          <t>JÄMTLANDS LÄN</t>
        </is>
      </c>
      <c r="E321" t="inlineStr">
        <is>
          <t>ÖSTERSUND</t>
        </is>
      </c>
      <c r="G321" t="n">
        <v>3.5</v>
      </c>
      <c r="H321" t="n">
        <v>0</v>
      </c>
      <c r="I321" t="n">
        <v>0</v>
      </c>
      <c r="J321" t="n">
        <v>0</v>
      </c>
      <c r="K321" t="n">
        <v>0</v>
      </c>
      <c r="L321" t="n">
        <v>0</v>
      </c>
      <c r="M321" t="n">
        <v>0</v>
      </c>
      <c r="N321" t="n">
        <v>0</v>
      </c>
      <c r="O321" t="n">
        <v>0</v>
      </c>
      <c r="P321" t="n">
        <v>0</v>
      </c>
      <c r="Q321" t="n">
        <v>0</v>
      </c>
      <c r="R321" s="2" t="inlineStr"/>
    </row>
    <row r="322" ht="15" customHeight="1">
      <c r="A322" t="inlineStr">
        <is>
          <t>A 14155-2021</t>
        </is>
      </c>
      <c r="B322" s="1" t="n">
        <v>44278</v>
      </c>
      <c r="C322" s="1" t="n">
        <v>45589</v>
      </c>
      <c r="D322" t="inlineStr">
        <is>
          <t>JÄMTLANDS LÄN</t>
        </is>
      </c>
      <c r="E322" t="inlineStr">
        <is>
          <t>ÖSTERSUND</t>
        </is>
      </c>
      <c r="G322" t="n">
        <v>2.6</v>
      </c>
      <c r="H322" t="n">
        <v>0</v>
      </c>
      <c r="I322" t="n">
        <v>0</v>
      </c>
      <c r="J322" t="n">
        <v>0</v>
      </c>
      <c r="K322" t="n">
        <v>0</v>
      </c>
      <c r="L322" t="n">
        <v>0</v>
      </c>
      <c r="M322" t="n">
        <v>0</v>
      </c>
      <c r="N322" t="n">
        <v>0</v>
      </c>
      <c r="O322" t="n">
        <v>0</v>
      </c>
      <c r="P322" t="n">
        <v>0</v>
      </c>
      <c r="Q322" t="n">
        <v>0</v>
      </c>
      <c r="R322" s="2" t="inlineStr"/>
    </row>
    <row r="323" ht="15" customHeight="1">
      <c r="A323" t="inlineStr">
        <is>
          <t>A 15659-2021</t>
        </is>
      </c>
      <c r="B323" s="1" t="n">
        <v>44298</v>
      </c>
      <c r="C323" s="1" t="n">
        <v>45589</v>
      </c>
      <c r="D323" t="inlineStr">
        <is>
          <t>JÄMTLANDS LÄN</t>
        </is>
      </c>
      <c r="E323" t="inlineStr">
        <is>
          <t>ÖSTERSUND</t>
        </is>
      </c>
      <c r="G323" t="n">
        <v>13.3</v>
      </c>
      <c r="H323" t="n">
        <v>0</v>
      </c>
      <c r="I323" t="n">
        <v>0</v>
      </c>
      <c r="J323" t="n">
        <v>0</v>
      </c>
      <c r="K323" t="n">
        <v>0</v>
      </c>
      <c r="L323" t="n">
        <v>0</v>
      </c>
      <c r="M323" t="n">
        <v>0</v>
      </c>
      <c r="N323" t="n">
        <v>0</v>
      </c>
      <c r="O323" t="n">
        <v>0</v>
      </c>
      <c r="P323" t="n">
        <v>0</v>
      </c>
      <c r="Q323" t="n">
        <v>0</v>
      </c>
      <c r="R323" s="2" t="inlineStr"/>
    </row>
    <row r="324" ht="15" customHeight="1">
      <c r="A324" t="inlineStr">
        <is>
          <t>A 17362-2021</t>
        </is>
      </c>
      <c r="B324" s="1" t="n">
        <v>44298</v>
      </c>
      <c r="C324" s="1" t="n">
        <v>45589</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17596-2021</t>
        </is>
      </c>
      <c r="B325" s="1" t="n">
        <v>44299</v>
      </c>
      <c r="C325" s="1" t="n">
        <v>45589</v>
      </c>
      <c r="D325" t="inlineStr">
        <is>
          <t>JÄMTLANDS LÄN</t>
        </is>
      </c>
      <c r="E325" t="inlineStr">
        <is>
          <t>ÖSTERSUND</t>
        </is>
      </c>
      <c r="G325" t="n">
        <v>3.7</v>
      </c>
      <c r="H325" t="n">
        <v>0</v>
      </c>
      <c r="I325" t="n">
        <v>0</v>
      </c>
      <c r="J325" t="n">
        <v>0</v>
      </c>
      <c r="K325" t="n">
        <v>0</v>
      </c>
      <c r="L325" t="n">
        <v>0</v>
      </c>
      <c r="M325" t="n">
        <v>0</v>
      </c>
      <c r="N325" t="n">
        <v>0</v>
      </c>
      <c r="O325" t="n">
        <v>0</v>
      </c>
      <c r="P325" t="n">
        <v>0</v>
      </c>
      <c r="Q325" t="n">
        <v>0</v>
      </c>
      <c r="R325" s="2" t="inlineStr"/>
    </row>
    <row r="326" ht="15" customHeight="1">
      <c r="A326" t="inlineStr">
        <is>
          <t>A 19541-2021</t>
        </is>
      </c>
      <c r="B326" s="1" t="n">
        <v>44312</v>
      </c>
      <c r="C326" s="1" t="n">
        <v>45589</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20290-2021</t>
        </is>
      </c>
      <c r="B327" s="1" t="n">
        <v>44314</v>
      </c>
      <c r="C327" s="1" t="n">
        <v>45589</v>
      </c>
      <c r="D327" t="inlineStr">
        <is>
          <t>JÄMTLANDS LÄN</t>
        </is>
      </c>
      <c r="E327" t="inlineStr">
        <is>
          <t>ÖSTERSUND</t>
        </is>
      </c>
      <c r="F327" t="inlineStr">
        <is>
          <t>SCA</t>
        </is>
      </c>
      <c r="G327" t="n">
        <v>8.1</v>
      </c>
      <c r="H327" t="n">
        <v>0</v>
      </c>
      <c r="I327" t="n">
        <v>0</v>
      </c>
      <c r="J327" t="n">
        <v>0</v>
      </c>
      <c r="K327" t="n">
        <v>0</v>
      </c>
      <c r="L327" t="n">
        <v>0</v>
      </c>
      <c r="M327" t="n">
        <v>0</v>
      </c>
      <c r="N327" t="n">
        <v>0</v>
      </c>
      <c r="O327" t="n">
        <v>0</v>
      </c>
      <c r="P327" t="n">
        <v>0</v>
      </c>
      <c r="Q327" t="n">
        <v>0</v>
      </c>
      <c r="R327" s="2" t="inlineStr"/>
    </row>
    <row r="328" ht="15" customHeight="1">
      <c r="A328" t="inlineStr">
        <is>
          <t>A 20620-2021</t>
        </is>
      </c>
      <c r="B328" s="1" t="n">
        <v>44316</v>
      </c>
      <c r="C328" s="1" t="n">
        <v>45589</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21306-2021</t>
        </is>
      </c>
      <c r="B329" s="1" t="n">
        <v>44320</v>
      </c>
      <c r="C329" s="1" t="n">
        <v>45589</v>
      </c>
      <c r="D329" t="inlineStr">
        <is>
          <t>JÄMTLANDS LÄN</t>
        </is>
      </c>
      <c r="E329" t="inlineStr">
        <is>
          <t>ÖSTERSUND</t>
        </is>
      </c>
      <c r="G329" t="n">
        <v>4.5</v>
      </c>
      <c r="H329" t="n">
        <v>0</v>
      </c>
      <c r="I329" t="n">
        <v>0</v>
      </c>
      <c r="J329" t="n">
        <v>0</v>
      </c>
      <c r="K329" t="n">
        <v>0</v>
      </c>
      <c r="L329" t="n">
        <v>0</v>
      </c>
      <c r="M329" t="n">
        <v>0</v>
      </c>
      <c r="N329" t="n">
        <v>0</v>
      </c>
      <c r="O329" t="n">
        <v>0</v>
      </c>
      <c r="P329" t="n">
        <v>0</v>
      </c>
      <c r="Q329" t="n">
        <v>0</v>
      </c>
      <c r="R329" s="2" t="inlineStr"/>
    </row>
    <row r="330" ht="15" customHeight="1">
      <c r="A330" t="inlineStr">
        <is>
          <t>A 21849-2021</t>
        </is>
      </c>
      <c r="B330" s="1" t="n">
        <v>44322</v>
      </c>
      <c r="C330" s="1" t="n">
        <v>45589</v>
      </c>
      <c r="D330" t="inlineStr">
        <is>
          <t>JÄMTLANDS LÄN</t>
        </is>
      </c>
      <c r="E330" t="inlineStr">
        <is>
          <t>ÖSTERSUND</t>
        </is>
      </c>
      <c r="G330" t="n">
        <v>2.5</v>
      </c>
      <c r="H330" t="n">
        <v>0</v>
      </c>
      <c r="I330" t="n">
        <v>0</v>
      </c>
      <c r="J330" t="n">
        <v>0</v>
      </c>
      <c r="K330" t="n">
        <v>0</v>
      </c>
      <c r="L330" t="n">
        <v>0</v>
      </c>
      <c r="M330" t="n">
        <v>0</v>
      </c>
      <c r="N330" t="n">
        <v>0</v>
      </c>
      <c r="O330" t="n">
        <v>0</v>
      </c>
      <c r="P330" t="n">
        <v>0</v>
      </c>
      <c r="Q330" t="n">
        <v>0</v>
      </c>
      <c r="R330" s="2" t="inlineStr"/>
    </row>
    <row r="331" ht="15" customHeight="1">
      <c r="A331" t="inlineStr">
        <is>
          <t>A 22126-2021</t>
        </is>
      </c>
      <c r="B331" s="1" t="n">
        <v>44323</v>
      </c>
      <c r="C331" s="1" t="n">
        <v>45589</v>
      </c>
      <c r="D331" t="inlineStr">
        <is>
          <t>JÄMTLANDS LÄN</t>
        </is>
      </c>
      <c r="E331" t="inlineStr">
        <is>
          <t>ÖSTERSUND</t>
        </is>
      </c>
      <c r="G331" t="n">
        <v>1.4</v>
      </c>
      <c r="H331" t="n">
        <v>0</v>
      </c>
      <c r="I331" t="n">
        <v>0</v>
      </c>
      <c r="J331" t="n">
        <v>0</v>
      </c>
      <c r="K331" t="n">
        <v>0</v>
      </c>
      <c r="L331" t="n">
        <v>0</v>
      </c>
      <c r="M331" t="n">
        <v>0</v>
      </c>
      <c r="N331" t="n">
        <v>0</v>
      </c>
      <c r="O331" t="n">
        <v>0</v>
      </c>
      <c r="P331" t="n">
        <v>0</v>
      </c>
      <c r="Q331" t="n">
        <v>0</v>
      </c>
      <c r="R331" s="2" t="inlineStr"/>
    </row>
    <row r="332" ht="15" customHeight="1">
      <c r="A332" t="inlineStr">
        <is>
          <t>A 23187-2021</t>
        </is>
      </c>
      <c r="B332" s="1" t="n">
        <v>44328</v>
      </c>
      <c r="C332" s="1" t="n">
        <v>45589</v>
      </c>
      <c r="D332" t="inlineStr">
        <is>
          <t>JÄMTLANDS LÄN</t>
        </is>
      </c>
      <c r="E332" t="inlineStr">
        <is>
          <t>ÖSTERSUND</t>
        </is>
      </c>
      <c r="G332" t="n">
        <v>1.8</v>
      </c>
      <c r="H332" t="n">
        <v>0</v>
      </c>
      <c r="I332" t="n">
        <v>0</v>
      </c>
      <c r="J332" t="n">
        <v>0</v>
      </c>
      <c r="K332" t="n">
        <v>0</v>
      </c>
      <c r="L332" t="n">
        <v>0</v>
      </c>
      <c r="M332" t="n">
        <v>0</v>
      </c>
      <c r="N332" t="n">
        <v>0</v>
      </c>
      <c r="O332" t="n">
        <v>0</v>
      </c>
      <c r="P332" t="n">
        <v>0</v>
      </c>
      <c r="Q332" t="n">
        <v>0</v>
      </c>
      <c r="R332" s="2" t="inlineStr"/>
    </row>
    <row r="333" ht="15" customHeight="1">
      <c r="A333" t="inlineStr">
        <is>
          <t>A 23895-2021</t>
        </is>
      </c>
      <c r="B333" s="1" t="n">
        <v>44335</v>
      </c>
      <c r="C333" s="1" t="n">
        <v>45589</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24312-2021</t>
        </is>
      </c>
      <c r="B334" s="1" t="n">
        <v>44336</v>
      </c>
      <c r="C334" s="1" t="n">
        <v>45589</v>
      </c>
      <c r="D334" t="inlineStr">
        <is>
          <t>JÄMTLANDS LÄN</t>
        </is>
      </c>
      <c r="E334" t="inlineStr">
        <is>
          <t>ÖSTERSUND</t>
        </is>
      </c>
      <c r="G334" t="n">
        <v>10.6</v>
      </c>
      <c r="H334" t="n">
        <v>0</v>
      </c>
      <c r="I334" t="n">
        <v>0</v>
      </c>
      <c r="J334" t="n">
        <v>0</v>
      </c>
      <c r="K334" t="n">
        <v>0</v>
      </c>
      <c r="L334" t="n">
        <v>0</v>
      </c>
      <c r="M334" t="n">
        <v>0</v>
      </c>
      <c r="N334" t="n">
        <v>0</v>
      </c>
      <c r="O334" t="n">
        <v>0</v>
      </c>
      <c r="P334" t="n">
        <v>0</v>
      </c>
      <c r="Q334" t="n">
        <v>0</v>
      </c>
      <c r="R334" s="2" t="inlineStr"/>
    </row>
    <row r="335" ht="15" customHeight="1">
      <c r="A335" t="inlineStr">
        <is>
          <t>A 24706-2021</t>
        </is>
      </c>
      <c r="B335" s="1" t="n">
        <v>44340</v>
      </c>
      <c r="C335" s="1" t="n">
        <v>45589</v>
      </c>
      <c r="D335" t="inlineStr">
        <is>
          <t>JÄMTLANDS LÄN</t>
        </is>
      </c>
      <c r="E335" t="inlineStr">
        <is>
          <t>ÖSTERSUND</t>
        </is>
      </c>
      <c r="G335" t="n">
        <v>5.6</v>
      </c>
      <c r="H335" t="n">
        <v>0</v>
      </c>
      <c r="I335" t="n">
        <v>0</v>
      </c>
      <c r="J335" t="n">
        <v>0</v>
      </c>
      <c r="K335" t="n">
        <v>0</v>
      </c>
      <c r="L335" t="n">
        <v>0</v>
      </c>
      <c r="M335" t="n">
        <v>0</v>
      </c>
      <c r="N335" t="n">
        <v>0</v>
      </c>
      <c r="O335" t="n">
        <v>0</v>
      </c>
      <c r="P335" t="n">
        <v>0</v>
      </c>
      <c r="Q335" t="n">
        <v>0</v>
      </c>
      <c r="R335" s="2" t="inlineStr"/>
    </row>
    <row r="336" ht="15" customHeight="1">
      <c r="A336" t="inlineStr">
        <is>
          <t>A 24721-2021</t>
        </is>
      </c>
      <c r="B336" s="1" t="n">
        <v>44340</v>
      </c>
      <c r="C336" s="1" t="n">
        <v>45589</v>
      </c>
      <c r="D336" t="inlineStr">
        <is>
          <t>JÄMTLANDS LÄN</t>
        </is>
      </c>
      <c r="E336" t="inlineStr">
        <is>
          <t>ÖSTERSUND</t>
        </is>
      </c>
      <c r="G336" t="n">
        <v>2.7</v>
      </c>
      <c r="H336" t="n">
        <v>0</v>
      </c>
      <c r="I336" t="n">
        <v>0</v>
      </c>
      <c r="J336" t="n">
        <v>0</v>
      </c>
      <c r="K336" t="n">
        <v>0</v>
      </c>
      <c r="L336" t="n">
        <v>0</v>
      </c>
      <c r="M336" t="n">
        <v>0</v>
      </c>
      <c r="N336" t="n">
        <v>0</v>
      </c>
      <c r="O336" t="n">
        <v>0</v>
      </c>
      <c r="P336" t="n">
        <v>0</v>
      </c>
      <c r="Q336" t="n">
        <v>0</v>
      </c>
      <c r="R336" s="2" t="inlineStr"/>
    </row>
    <row r="337" ht="15" customHeight="1">
      <c r="A337" t="inlineStr">
        <is>
          <t>A 26254-2021</t>
        </is>
      </c>
      <c r="B337" s="1" t="n">
        <v>44347</v>
      </c>
      <c r="C337" s="1" t="n">
        <v>45589</v>
      </c>
      <c r="D337" t="inlineStr">
        <is>
          <t>JÄMTLANDS LÄN</t>
        </is>
      </c>
      <c r="E337" t="inlineStr">
        <is>
          <t>ÖSTERSUND</t>
        </is>
      </c>
      <c r="G337" t="n">
        <v>1.1</v>
      </c>
      <c r="H337" t="n">
        <v>0</v>
      </c>
      <c r="I337" t="n">
        <v>0</v>
      </c>
      <c r="J337" t="n">
        <v>0</v>
      </c>
      <c r="K337" t="n">
        <v>0</v>
      </c>
      <c r="L337" t="n">
        <v>0</v>
      </c>
      <c r="M337" t="n">
        <v>0</v>
      </c>
      <c r="N337" t="n">
        <v>0</v>
      </c>
      <c r="O337" t="n">
        <v>0</v>
      </c>
      <c r="P337" t="n">
        <v>0</v>
      </c>
      <c r="Q337" t="n">
        <v>0</v>
      </c>
      <c r="R337" s="2" t="inlineStr"/>
    </row>
    <row r="338" ht="15" customHeight="1">
      <c r="A338" t="inlineStr">
        <is>
          <t>A 26259-2021</t>
        </is>
      </c>
      <c r="B338" s="1" t="n">
        <v>44347</v>
      </c>
      <c r="C338" s="1" t="n">
        <v>45589</v>
      </c>
      <c r="D338" t="inlineStr">
        <is>
          <t>JÄMTLANDS LÄN</t>
        </is>
      </c>
      <c r="E338" t="inlineStr">
        <is>
          <t>ÖSTERSUND</t>
        </is>
      </c>
      <c r="G338" t="n">
        <v>4.3</v>
      </c>
      <c r="H338" t="n">
        <v>0</v>
      </c>
      <c r="I338" t="n">
        <v>0</v>
      </c>
      <c r="J338" t="n">
        <v>0</v>
      </c>
      <c r="K338" t="n">
        <v>0</v>
      </c>
      <c r="L338" t="n">
        <v>0</v>
      </c>
      <c r="M338" t="n">
        <v>0</v>
      </c>
      <c r="N338" t="n">
        <v>0</v>
      </c>
      <c r="O338" t="n">
        <v>0</v>
      </c>
      <c r="P338" t="n">
        <v>0</v>
      </c>
      <c r="Q338" t="n">
        <v>0</v>
      </c>
      <c r="R338" s="2" t="inlineStr"/>
    </row>
    <row r="339" ht="15" customHeight="1">
      <c r="A339" t="inlineStr">
        <is>
          <t>A 27061-2021</t>
        </is>
      </c>
      <c r="B339" s="1" t="n">
        <v>44349</v>
      </c>
      <c r="C339" s="1" t="n">
        <v>45589</v>
      </c>
      <c r="D339" t="inlineStr">
        <is>
          <t>JÄMTLANDS LÄN</t>
        </is>
      </c>
      <c r="E339" t="inlineStr">
        <is>
          <t>ÖSTERSUND</t>
        </is>
      </c>
      <c r="G339" t="n">
        <v>3.2</v>
      </c>
      <c r="H339" t="n">
        <v>0</v>
      </c>
      <c r="I339" t="n">
        <v>0</v>
      </c>
      <c r="J339" t="n">
        <v>0</v>
      </c>
      <c r="K339" t="n">
        <v>0</v>
      </c>
      <c r="L339" t="n">
        <v>0</v>
      </c>
      <c r="M339" t="n">
        <v>0</v>
      </c>
      <c r="N339" t="n">
        <v>0</v>
      </c>
      <c r="O339" t="n">
        <v>0</v>
      </c>
      <c r="P339" t="n">
        <v>0</v>
      </c>
      <c r="Q339" t="n">
        <v>0</v>
      </c>
      <c r="R339" s="2" t="inlineStr"/>
    </row>
    <row r="340" ht="15" customHeight="1">
      <c r="A340" t="inlineStr">
        <is>
          <t>A 27004-2021</t>
        </is>
      </c>
      <c r="B340" s="1" t="n">
        <v>44349</v>
      </c>
      <c r="C340" s="1" t="n">
        <v>45589</v>
      </c>
      <c r="D340" t="inlineStr">
        <is>
          <t>JÄMTLANDS LÄN</t>
        </is>
      </c>
      <c r="E340" t="inlineStr">
        <is>
          <t>ÖSTERSUND</t>
        </is>
      </c>
      <c r="G340" t="n">
        <v>1.3</v>
      </c>
      <c r="H340" t="n">
        <v>0</v>
      </c>
      <c r="I340" t="n">
        <v>0</v>
      </c>
      <c r="J340" t="n">
        <v>0</v>
      </c>
      <c r="K340" t="n">
        <v>0</v>
      </c>
      <c r="L340" t="n">
        <v>0</v>
      </c>
      <c r="M340" t="n">
        <v>0</v>
      </c>
      <c r="N340" t="n">
        <v>0</v>
      </c>
      <c r="O340" t="n">
        <v>0</v>
      </c>
      <c r="P340" t="n">
        <v>0</v>
      </c>
      <c r="Q340" t="n">
        <v>0</v>
      </c>
      <c r="R340" s="2" t="inlineStr"/>
    </row>
    <row r="341" ht="15" customHeight="1">
      <c r="A341" t="inlineStr">
        <is>
          <t>A 29582-2021</t>
        </is>
      </c>
      <c r="B341" s="1" t="n">
        <v>44362</v>
      </c>
      <c r="C341" s="1" t="n">
        <v>45589</v>
      </c>
      <c r="D341" t="inlineStr">
        <is>
          <t>JÄMTLANDS LÄN</t>
        </is>
      </c>
      <c r="E341" t="inlineStr">
        <is>
          <t>ÖSTERSUND</t>
        </is>
      </c>
      <c r="G341" t="n">
        <v>31.5</v>
      </c>
      <c r="H341" t="n">
        <v>0</v>
      </c>
      <c r="I341" t="n">
        <v>0</v>
      </c>
      <c r="J341" t="n">
        <v>0</v>
      </c>
      <c r="K341" t="n">
        <v>0</v>
      </c>
      <c r="L341" t="n">
        <v>0</v>
      </c>
      <c r="M341" t="n">
        <v>0</v>
      </c>
      <c r="N341" t="n">
        <v>0</v>
      </c>
      <c r="O341" t="n">
        <v>0</v>
      </c>
      <c r="P341" t="n">
        <v>0</v>
      </c>
      <c r="Q341" t="n">
        <v>0</v>
      </c>
      <c r="R341" s="2" t="inlineStr"/>
    </row>
    <row r="342" ht="15" customHeight="1">
      <c r="A342" t="inlineStr">
        <is>
          <t>A 29707-2021</t>
        </is>
      </c>
      <c r="B342" s="1" t="n">
        <v>44362</v>
      </c>
      <c r="C342" s="1" t="n">
        <v>45589</v>
      </c>
      <c r="D342" t="inlineStr">
        <is>
          <t>JÄMTLANDS LÄN</t>
        </is>
      </c>
      <c r="E342" t="inlineStr">
        <is>
          <t>ÖSTERSUND</t>
        </is>
      </c>
      <c r="G342" t="n">
        <v>4</v>
      </c>
      <c r="H342" t="n">
        <v>0</v>
      </c>
      <c r="I342" t="n">
        <v>0</v>
      </c>
      <c r="J342" t="n">
        <v>0</v>
      </c>
      <c r="K342" t="n">
        <v>0</v>
      </c>
      <c r="L342" t="n">
        <v>0</v>
      </c>
      <c r="M342" t="n">
        <v>0</v>
      </c>
      <c r="N342" t="n">
        <v>0</v>
      </c>
      <c r="O342" t="n">
        <v>0</v>
      </c>
      <c r="P342" t="n">
        <v>0</v>
      </c>
      <c r="Q342" t="n">
        <v>0</v>
      </c>
      <c r="R342" s="2" t="inlineStr"/>
    </row>
    <row r="343" ht="15" customHeight="1">
      <c r="A343" t="inlineStr">
        <is>
          <t>A 31040-2021</t>
        </is>
      </c>
      <c r="B343" s="1" t="n">
        <v>44368</v>
      </c>
      <c r="C343" s="1" t="n">
        <v>45589</v>
      </c>
      <c r="D343" t="inlineStr">
        <is>
          <t>JÄMTLANDS LÄN</t>
        </is>
      </c>
      <c r="E343" t="inlineStr">
        <is>
          <t>ÖSTERSUND</t>
        </is>
      </c>
      <c r="G343" t="n">
        <v>4.3</v>
      </c>
      <c r="H343" t="n">
        <v>0</v>
      </c>
      <c r="I343" t="n">
        <v>0</v>
      </c>
      <c r="J343" t="n">
        <v>0</v>
      </c>
      <c r="K343" t="n">
        <v>0</v>
      </c>
      <c r="L343" t="n">
        <v>0</v>
      </c>
      <c r="M343" t="n">
        <v>0</v>
      </c>
      <c r="N343" t="n">
        <v>0</v>
      </c>
      <c r="O343" t="n">
        <v>0</v>
      </c>
      <c r="P343" t="n">
        <v>0</v>
      </c>
      <c r="Q343" t="n">
        <v>0</v>
      </c>
      <c r="R343" s="2" t="inlineStr"/>
    </row>
    <row r="344" ht="15" customHeight="1">
      <c r="A344" t="inlineStr">
        <is>
          <t>A 32994-2021</t>
        </is>
      </c>
      <c r="B344" s="1" t="n">
        <v>44375</v>
      </c>
      <c r="C344" s="1" t="n">
        <v>45589</v>
      </c>
      <c r="D344" t="inlineStr">
        <is>
          <t>JÄMTLANDS LÄN</t>
        </is>
      </c>
      <c r="E344" t="inlineStr">
        <is>
          <t>ÖSTERSUND</t>
        </is>
      </c>
      <c r="G344" t="n">
        <v>0.1</v>
      </c>
      <c r="H344" t="n">
        <v>0</v>
      </c>
      <c r="I344" t="n">
        <v>0</v>
      </c>
      <c r="J344" t="n">
        <v>0</v>
      </c>
      <c r="K344" t="n">
        <v>0</v>
      </c>
      <c r="L344" t="n">
        <v>0</v>
      </c>
      <c r="M344" t="n">
        <v>0</v>
      </c>
      <c r="N344" t="n">
        <v>0</v>
      </c>
      <c r="O344" t="n">
        <v>0</v>
      </c>
      <c r="P344" t="n">
        <v>0</v>
      </c>
      <c r="Q344" t="n">
        <v>0</v>
      </c>
      <c r="R344" s="2" t="inlineStr"/>
    </row>
    <row r="345" ht="15" customHeight="1">
      <c r="A345" t="inlineStr">
        <is>
          <t>A 33004-2021</t>
        </is>
      </c>
      <c r="B345" s="1" t="n">
        <v>44375</v>
      </c>
      <c r="C345" s="1" t="n">
        <v>45589</v>
      </c>
      <c r="D345" t="inlineStr">
        <is>
          <t>JÄMTLANDS LÄN</t>
        </is>
      </c>
      <c r="E345" t="inlineStr">
        <is>
          <t>ÖSTERSUND</t>
        </is>
      </c>
      <c r="G345" t="n">
        <v>0.6</v>
      </c>
      <c r="H345" t="n">
        <v>0</v>
      </c>
      <c r="I345" t="n">
        <v>0</v>
      </c>
      <c r="J345" t="n">
        <v>0</v>
      </c>
      <c r="K345" t="n">
        <v>0</v>
      </c>
      <c r="L345" t="n">
        <v>0</v>
      </c>
      <c r="M345" t="n">
        <v>0</v>
      </c>
      <c r="N345" t="n">
        <v>0</v>
      </c>
      <c r="O345" t="n">
        <v>0</v>
      </c>
      <c r="P345" t="n">
        <v>0</v>
      </c>
      <c r="Q345" t="n">
        <v>0</v>
      </c>
      <c r="R345" s="2" t="inlineStr"/>
    </row>
    <row r="346" ht="15" customHeight="1">
      <c r="A346" t="inlineStr">
        <is>
          <t>A 32998-2021</t>
        </is>
      </c>
      <c r="B346" s="1" t="n">
        <v>44375</v>
      </c>
      <c r="C346" s="1" t="n">
        <v>45589</v>
      </c>
      <c r="D346" t="inlineStr">
        <is>
          <t>JÄMTLANDS LÄN</t>
        </is>
      </c>
      <c r="E346" t="inlineStr">
        <is>
          <t>ÖSTERSUND</t>
        </is>
      </c>
      <c r="G346" t="n">
        <v>0.1</v>
      </c>
      <c r="H346" t="n">
        <v>0</v>
      </c>
      <c r="I346" t="n">
        <v>0</v>
      </c>
      <c r="J346" t="n">
        <v>0</v>
      </c>
      <c r="K346" t="n">
        <v>0</v>
      </c>
      <c r="L346" t="n">
        <v>0</v>
      </c>
      <c r="M346" t="n">
        <v>0</v>
      </c>
      <c r="N346" t="n">
        <v>0</v>
      </c>
      <c r="O346" t="n">
        <v>0</v>
      </c>
      <c r="P346" t="n">
        <v>0</v>
      </c>
      <c r="Q346" t="n">
        <v>0</v>
      </c>
      <c r="R346" s="2" t="inlineStr"/>
    </row>
    <row r="347" ht="15" customHeight="1">
      <c r="A347" t="inlineStr">
        <is>
          <t>A 32986-2021</t>
        </is>
      </c>
      <c r="B347" s="1" t="n">
        <v>44375</v>
      </c>
      <c r="C347" s="1" t="n">
        <v>45589</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33002-2021</t>
        </is>
      </c>
      <c r="B348" s="1" t="n">
        <v>44375</v>
      </c>
      <c r="C348" s="1" t="n">
        <v>45589</v>
      </c>
      <c r="D348" t="inlineStr">
        <is>
          <t>JÄMTLANDS LÄN</t>
        </is>
      </c>
      <c r="E348" t="inlineStr">
        <is>
          <t>ÖSTERSUND</t>
        </is>
      </c>
      <c r="G348" t="n">
        <v>0.2</v>
      </c>
      <c r="H348" t="n">
        <v>0</v>
      </c>
      <c r="I348" t="n">
        <v>0</v>
      </c>
      <c r="J348" t="n">
        <v>0</v>
      </c>
      <c r="K348" t="n">
        <v>0</v>
      </c>
      <c r="L348" t="n">
        <v>0</v>
      </c>
      <c r="M348" t="n">
        <v>0</v>
      </c>
      <c r="N348" t="n">
        <v>0</v>
      </c>
      <c r="O348" t="n">
        <v>0</v>
      </c>
      <c r="P348" t="n">
        <v>0</v>
      </c>
      <c r="Q348" t="n">
        <v>0</v>
      </c>
      <c r="R348" s="2" t="inlineStr"/>
    </row>
    <row r="349" ht="15" customHeight="1">
      <c r="A349" t="inlineStr">
        <is>
          <t>A 32990-2021</t>
        </is>
      </c>
      <c r="B349" s="1" t="n">
        <v>44375</v>
      </c>
      <c r="C349" s="1" t="n">
        <v>45589</v>
      </c>
      <c r="D349" t="inlineStr">
        <is>
          <t>JÄMTLANDS LÄN</t>
        </is>
      </c>
      <c r="E349" t="inlineStr">
        <is>
          <t>ÖSTERSUND</t>
        </is>
      </c>
      <c r="G349" t="n">
        <v>0.2</v>
      </c>
      <c r="H349" t="n">
        <v>0</v>
      </c>
      <c r="I349" t="n">
        <v>0</v>
      </c>
      <c r="J349" t="n">
        <v>0</v>
      </c>
      <c r="K349" t="n">
        <v>0</v>
      </c>
      <c r="L349" t="n">
        <v>0</v>
      </c>
      <c r="M349" t="n">
        <v>0</v>
      </c>
      <c r="N349" t="n">
        <v>0</v>
      </c>
      <c r="O349" t="n">
        <v>0</v>
      </c>
      <c r="P349" t="n">
        <v>0</v>
      </c>
      <c r="Q349" t="n">
        <v>0</v>
      </c>
      <c r="R349" s="2" t="inlineStr"/>
    </row>
    <row r="350" ht="15" customHeight="1">
      <c r="A350" t="inlineStr">
        <is>
          <t>A 33831-2021</t>
        </is>
      </c>
      <c r="B350" s="1" t="n">
        <v>44378</v>
      </c>
      <c r="C350" s="1" t="n">
        <v>45589</v>
      </c>
      <c r="D350" t="inlineStr">
        <is>
          <t>JÄMTLANDS LÄN</t>
        </is>
      </c>
      <c r="E350" t="inlineStr">
        <is>
          <t>ÖSTERSUND</t>
        </is>
      </c>
      <c r="G350" t="n">
        <v>2.5</v>
      </c>
      <c r="H350" t="n">
        <v>0</v>
      </c>
      <c r="I350" t="n">
        <v>0</v>
      </c>
      <c r="J350" t="n">
        <v>0</v>
      </c>
      <c r="K350" t="n">
        <v>0</v>
      </c>
      <c r="L350" t="n">
        <v>0</v>
      </c>
      <c r="M350" t="n">
        <v>0</v>
      </c>
      <c r="N350" t="n">
        <v>0</v>
      </c>
      <c r="O350" t="n">
        <v>0</v>
      </c>
      <c r="P350" t="n">
        <v>0</v>
      </c>
      <c r="Q350" t="n">
        <v>0</v>
      </c>
      <c r="R350" s="2" t="inlineStr"/>
    </row>
    <row r="351" ht="15" customHeight="1">
      <c r="A351" t="inlineStr">
        <is>
          <t>A 35032-2021</t>
        </is>
      </c>
      <c r="B351" s="1" t="n">
        <v>44383</v>
      </c>
      <c r="C351" s="1" t="n">
        <v>45589</v>
      </c>
      <c r="D351" t="inlineStr">
        <is>
          <t>JÄMTLANDS LÄN</t>
        </is>
      </c>
      <c r="E351" t="inlineStr">
        <is>
          <t>ÖSTERSUND</t>
        </is>
      </c>
      <c r="G351" t="n">
        <v>0.9</v>
      </c>
      <c r="H351" t="n">
        <v>0</v>
      </c>
      <c r="I351" t="n">
        <v>0</v>
      </c>
      <c r="J351" t="n">
        <v>0</v>
      </c>
      <c r="K351" t="n">
        <v>0</v>
      </c>
      <c r="L351" t="n">
        <v>0</v>
      </c>
      <c r="M351" t="n">
        <v>0</v>
      </c>
      <c r="N351" t="n">
        <v>0</v>
      </c>
      <c r="O351" t="n">
        <v>0</v>
      </c>
      <c r="P351" t="n">
        <v>0</v>
      </c>
      <c r="Q351" t="n">
        <v>0</v>
      </c>
      <c r="R351" s="2" t="inlineStr"/>
    </row>
    <row r="352" ht="15" customHeight="1">
      <c r="A352" t="inlineStr">
        <is>
          <t>A 35755-2021</t>
        </is>
      </c>
      <c r="B352" s="1" t="n">
        <v>44385</v>
      </c>
      <c r="C352" s="1" t="n">
        <v>45589</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38142-2021</t>
        </is>
      </c>
      <c r="B353" s="1" t="n">
        <v>44405</v>
      </c>
      <c r="C353" s="1" t="n">
        <v>45589</v>
      </c>
      <c r="D353" t="inlineStr">
        <is>
          <t>JÄMTLANDS LÄN</t>
        </is>
      </c>
      <c r="E353" t="inlineStr">
        <is>
          <t>ÖSTERSUND</t>
        </is>
      </c>
      <c r="G353" t="n">
        <v>1.7</v>
      </c>
      <c r="H353" t="n">
        <v>0</v>
      </c>
      <c r="I353" t="n">
        <v>0</v>
      </c>
      <c r="J353" t="n">
        <v>0</v>
      </c>
      <c r="K353" t="n">
        <v>0</v>
      </c>
      <c r="L353" t="n">
        <v>0</v>
      </c>
      <c r="M353" t="n">
        <v>0</v>
      </c>
      <c r="N353" t="n">
        <v>0</v>
      </c>
      <c r="O353" t="n">
        <v>0</v>
      </c>
      <c r="P353" t="n">
        <v>0</v>
      </c>
      <c r="Q353" t="n">
        <v>0</v>
      </c>
      <c r="R353" s="2" t="inlineStr"/>
    </row>
    <row r="354" ht="15" customHeight="1">
      <c r="A354" t="inlineStr">
        <is>
          <t>A 38647-2021</t>
        </is>
      </c>
      <c r="B354" s="1" t="n">
        <v>44410</v>
      </c>
      <c r="C354" s="1" t="n">
        <v>45589</v>
      </c>
      <c r="D354" t="inlineStr">
        <is>
          <t>JÄMTLANDS LÄN</t>
        </is>
      </c>
      <c r="E354" t="inlineStr">
        <is>
          <t>ÖSTERSUND</t>
        </is>
      </c>
      <c r="G354" t="n">
        <v>1.7</v>
      </c>
      <c r="H354" t="n">
        <v>0</v>
      </c>
      <c r="I354" t="n">
        <v>0</v>
      </c>
      <c r="J354" t="n">
        <v>0</v>
      </c>
      <c r="K354" t="n">
        <v>0</v>
      </c>
      <c r="L354" t="n">
        <v>0</v>
      </c>
      <c r="M354" t="n">
        <v>0</v>
      </c>
      <c r="N354" t="n">
        <v>0</v>
      </c>
      <c r="O354" t="n">
        <v>0</v>
      </c>
      <c r="P354" t="n">
        <v>0</v>
      </c>
      <c r="Q354" t="n">
        <v>0</v>
      </c>
      <c r="R354" s="2" t="inlineStr"/>
    </row>
    <row r="355" ht="15" customHeight="1">
      <c r="A355" t="inlineStr">
        <is>
          <t>A 38644-2021</t>
        </is>
      </c>
      <c r="B355" s="1" t="n">
        <v>44410</v>
      </c>
      <c r="C355" s="1" t="n">
        <v>45589</v>
      </c>
      <c r="D355" t="inlineStr">
        <is>
          <t>JÄMTLANDS LÄN</t>
        </is>
      </c>
      <c r="E355" t="inlineStr">
        <is>
          <t>ÖSTERSUND</t>
        </is>
      </c>
      <c r="G355" t="n">
        <v>1</v>
      </c>
      <c r="H355" t="n">
        <v>0</v>
      </c>
      <c r="I355" t="n">
        <v>0</v>
      </c>
      <c r="J355" t="n">
        <v>0</v>
      </c>
      <c r="K355" t="n">
        <v>0</v>
      </c>
      <c r="L355" t="n">
        <v>0</v>
      </c>
      <c r="M355" t="n">
        <v>0</v>
      </c>
      <c r="N355" t="n">
        <v>0</v>
      </c>
      <c r="O355" t="n">
        <v>0</v>
      </c>
      <c r="P355" t="n">
        <v>0</v>
      </c>
      <c r="Q355" t="n">
        <v>0</v>
      </c>
      <c r="R355" s="2" t="inlineStr"/>
    </row>
    <row r="356" ht="15" customHeight="1">
      <c r="A356" t="inlineStr">
        <is>
          <t>A 39735-2021</t>
        </is>
      </c>
      <c r="B356" s="1" t="n">
        <v>44414</v>
      </c>
      <c r="C356" s="1" t="n">
        <v>45589</v>
      </c>
      <c r="D356" t="inlineStr">
        <is>
          <t>JÄMTLANDS LÄN</t>
        </is>
      </c>
      <c r="E356" t="inlineStr">
        <is>
          <t>ÖSTERSUND</t>
        </is>
      </c>
      <c r="G356" t="n">
        <v>4.5</v>
      </c>
      <c r="H356" t="n">
        <v>0</v>
      </c>
      <c r="I356" t="n">
        <v>0</v>
      </c>
      <c r="J356" t="n">
        <v>0</v>
      </c>
      <c r="K356" t="n">
        <v>0</v>
      </c>
      <c r="L356" t="n">
        <v>0</v>
      </c>
      <c r="M356" t="n">
        <v>0</v>
      </c>
      <c r="N356" t="n">
        <v>0</v>
      </c>
      <c r="O356" t="n">
        <v>0</v>
      </c>
      <c r="P356" t="n">
        <v>0</v>
      </c>
      <c r="Q356" t="n">
        <v>0</v>
      </c>
      <c r="R356" s="2" t="inlineStr"/>
    </row>
    <row r="357" ht="15" customHeight="1">
      <c r="A357" t="inlineStr">
        <is>
          <t>A 40038-2021</t>
        </is>
      </c>
      <c r="B357" s="1" t="n">
        <v>44418</v>
      </c>
      <c r="C357" s="1" t="n">
        <v>45589</v>
      </c>
      <c r="D357" t="inlineStr">
        <is>
          <t>JÄMTLANDS LÄN</t>
        </is>
      </c>
      <c r="E357" t="inlineStr">
        <is>
          <t>ÖSTERSUND</t>
        </is>
      </c>
      <c r="G357" t="n">
        <v>7</v>
      </c>
      <c r="H357" t="n">
        <v>0</v>
      </c>
      <c r="I357" t="n">
        <v>0</v>
      </c>
      <c r="J357" t="n">
        <v>0</v>
      </c>
      <c r="K357" t="n">
        <v>0</v>
      </c>
      <c r="L357" t="n">
        <v>0</v>
      </c>
      <c r="M357" t="n">
        <v>0</v>
      </c>
      <c r="N357" t="n">
        <v>0</v>
      </c>
      <c r="O357" t="n">
        <v>0</v>
      </c>
      <c r="P357" t="n">
        <v>0</v>
      </c>
      <c r="Q357" t="n">
        <v>0</v>
      </c>
      <c r="R357" s="2" t="inlineStr"/>
    </row>
    <row r="358" ht="15" customHeight="1">
      <c r="A358" t="inlineStr">
        <is>
          <t>A 41802-2021</t>
        </is>
      </c>
      <c r="B358" s="1" t="n">
        <v>44425</v>
      </c>
      <c r="C358" s="1" t="n">
        <v>45589</v>
      </c>
      <c r="D358" t="inlineStr">
        <is>
          <t>JÄMTLANDS LÄN</t>
        </is>
      </c>
      <c r="E358" t="inlineStr">
        <is>
          <t>ÖSTERSUND</t>
        </is>
      </c>
      <c r="G358" t="n">
        <v>1.7</v>
      </c>
      <c r="H358" t="n">
        <v>0</v>
      </c>
      <c r="I358" t="n">
        <v>0</v>
      </c>
      <c r="J358" t="n">
        <v>0</v>
      </c>
      <c r="K358" t="n">
        <v>0</v>
      </c>
      <c r="L358" t="n">
        <v>0</v>
      </c>
      <c r="M358" t="n">
        <v>0</v>
      </c>
      <c r="N358" t="n">
        <v>0</v>
      </c>
      <c r="O358" t="n">
        <v>0</v>
      </c>
      <c r="P358" t="n">
        <v>0</v>
      </c>
      <c r="Q358" t="n">
        <v>0</v>
      </c>
      <c r="R358" s="2" t="inlineStr"/>
    </row>
    <row r="359" ht="15" customHeight="1">
      <c r="A359" t="inlineStr">
        <is>
          <t>A 42469-2021</t>
        </is>
      </c>
      <c r="B359" s="1" t="n">
        <v>44427</v>
      </c>
      <c r="C359" s="1" t="n">
        <v>45589</v>
      </c>
      <c r="D359" t="inlineStr">
        <is>
          <t>JÄMTLANDS LÄN</t>
        </is>
      </c>
      <c r="E359" t="inlineStr">
        <is>
          <t>ÖSTERSUND</t>
        </is>
      </c>
      <c r="G359" t="n">
        <v>1.5</v>
      </c>
      <c r="H359" t="n">
        <v>0</v>
      </c>
      <c r="I359" t="n">
        <v>0</v>
      </c>
      <c r="J359" t="n">
        <v>0</v>
      </c>
      <c r="K359" t="n">
        <v>0</v>
      </c>
      <c r="L359" t="n">
        <v>0</v>
      </c>
      <c r="M359" t="n">
        <v>0</v>
      </c>
      <c r="N359" t="n">
        <v>0</v>
      </c>
      <c r="O359" t="n">
        <v>0</v>
      </c>
      <c r="P359" t="n">
        <v>0</v>
      </c>
      <c r="Q359" t="n">
        <v>0</v>
      </c>
      <c r="R359" s="2" t="inlineStr"/>
    </row>
    <row r="360" ht="15" customHeight="1">
      <c r="A360" t="inlineStr">
        <is>
          <t>A 42793-2021</t>
        </is>
      </c>
      <c r="B360" s="1" t="n">
        <v>44428</v>
      </c>
      <c r="C360" s="1" t="n">
        <v>45589</v>
      </c>
      <c r="D360" t="inlineStr">
        <is>
          <t>JÄMTLANDS LÄN</t>
        </is>
      </c>
      <c r="E360" t="inlineStr">
        <is>
          <t>ÖSTERSUND</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42832-2021</t>
        </is>
      </c>
      <c r="B361" s="1" t="n">
        <v>44430</v>
      </c>
      <c r="C361" s="1" t="n">
        <v>45589</v>
      </c>
      <c r="D361" t="inlineStr">
        <is>
          <t>JÄMTLANDS LÄN</t>
        </is>
      </c>
      <c r="E361" t="inlineStr">
        <is>
          <t>ÖSTERSUND</t>
        </is>
      </c>
      <c r="G361" t="n">
        <v>9</v>
      </c>
      <c r="H361" t="n">
        <v>0</v>
      </c>
      <c r="I361" t="n">
        <v>0</v>
      </c>
      <c r="J361" t="n">
        <v>0</v>
      </c>
      <c r="K361" t="n">
        <v>0</v>
      </c>
      <c r="L361" t="n">
        <v>0</v>
      </c>
      <c r="M361" t="n">
        <v>0</v>
      </c>
      <c r="N361" t="n">
        <v>0</v>
      </c>
      <c r="O361" t="n">
        <v>0</v>
      </c>
      <c r="P361" t="n">
        <v>0</v>
      </c>
      <c r="Q361" t="n">
        <v>0</v>
      </c>
      <c r="R361" s="2" t="inlineStr"/>
    </row>
    <row r="362" ht="15" customHeight="1">
      <c r="A362" t="inlineStr">
        <is>
          <t>A 43310-2021</t>
        </is>
      </c>
      <c r="B362" s="1" t="n">
        <v>44432</v>
      </c>
      <c r="C362" s="1" t="n">
        <v>45589</v>
      </c>
      <c r="D362" t="inlineStr">
        <is>
          <t>JÄMTLANDS LÄN</t>
        </is>
      </c>
      <c r="E362" t="inlineStr">
        <is>
          <t>ÖSTERSUND</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44013-2021</t>
        </is>
      </c>
      <c r="B363" s="1" t="n">
        <v>44434</v>
      </c>
      <c r="C363" s="1" t="n">
        <v>45589</v>
      </c>
      <c r="D363" t="inlineStr">
        <is>
          <t>JÄMTLANDS LÄN</t>
        </is>
      </c>
      <c r="E363" t="inlineStr">
        <is>
          <t>ÖSTERSUND</t>
        </is>
      </c>
      <c r="G363" t="n">
        <v>1.9</v>
      </c>
      <c r="H363" t="n">
        <v>0</v>
      </c>
      <c r="I363" t="n">
        <v>0</v>
      </c>
      <c r="J363" t="n">
        <v>0</v>
      </c>
      <c r="K363" t="n">
        <v>0</v>
      </c>
      <c r="L363" t="n">
        <v>0</v>
      </c>
      <c r="M363" t="n">
        <v>0</v>
      </c>
      <c r="N363" t="n">
        <v>0</v>
      </c>
      <c r="O363" t="n">
        <v>0</v>
      </c>
      <c r="P363" t="n">
        <v>0</v>
      </c>
      <c r="Q363" t="n">
        <v>0</v>
      </c>
      <c r="R363" s="2" t="inlineStr"/>
    </row>
    <row r="364" ht="15" customHeight="1">
      <c r="A364" t="inlineStr">
        <is>
          <t>A 44051-2021</t>
        </is>
      </c>
      <c r="B364" s="1" t="n">
        <v>44434</v>
      </c>
      <c r="C364" s="1" t="n">
        <v>45589</v>
      </c>
      <c r="D364" t="inlineStr">
        <is>
          <t>JÄMTLANDS LÄN</t>
        </is>
      </c>
      <c r="E364" t="inlineStr">
        <is>
          <t>ÖSTERSUND</t>
        </is>
      </c>
      <c r="G364" t="n">
        <v>2.9</v>
      </c>
      <c r="H364" t="n">
        <v>0</v>
      </c>
      <c r="I364" t="n">
        <v>0</v>
      </c>
      <c r="J364" t="n">
        <v>0</v>
      </c>
      <c r="K364" t="n">
        <v>0</v>
      </c>
      <c r="L364" t="n">
        <v>0</v>
      </c>
      <c r="M364" t="n">
        <v>0</v>
      </c>
      <c r="N364" t="n">
        <v>0</v>
      </c>
      <c r="O364" t="n">
        <v>0</v>
      </c>
      <c r="P364" t="n">
        <v>0</v>
      </c>
      <c r="Q364" t="n">
        <v>0</v>
      </c>
      <c r="R364" s="2" t="inlineStr"/>
    </row>
    <row r="365" ht="15" customHeight="1">
      <c r="A365" t="inlineStr">
        <is>
          <t>A 44267-2021</t>
        </is>
      </c>
      <c r="B365" s="1" t="n">
        <v>44434</v>
      </c>
      <c r="C365" s="1" t="n">
        <v>45589</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46002-2021</t>
        </is>
      </c>
      <c r="B366" s="1" t="n">
        <v>44441</v>
      </c>
      <c r="C366" s="1" t="n">
        <v>45589</v>
      </c>
      <c r="D366" t="inlineStr">
        <is>
          <t>JÄMTLANDS LÄN</t>
        </is>
      </c>
      <c r="E366" t="inlineStr">
        <is>
          <t>ÖSTERSUND</t>
        </is>
      </c>
      <c r="G366" t="n">
        <v>3.6</v>
      </c>
      <c r="H366" t="n">
        <v>0</v>
      </c>
      <c r="I366" t="n">
        <v>0</v>
      </c>
      <c r="J366" t="n">
        <v>0</v>
      </c>
      <c r="K366" t="n">
        <v>0</v>
      </c>
      <c r="L366" t="n">
        <v>0</v>
      </c>
      <c r="M366" t="n">
        <v>0</v>
      </c>
      <c r="N366" t="n">
        <v>0</v>
      </c>
      <c r="O366" t="n">
        <v>0</v>
      </c>
      <c r="P366" t="n">
        <v>0</v>
      </c>
      <c r="Q366" t="n">
        <v>0</v>
      </c>
      <c r="R366" s="2" t="inlineStr"/>
    </row>
    <row r="367" ht="15" customHeight="1">
      <c r="A367" t="inlineStr">
        <is>
          <t>A 46004-2021</t>
        </is>
      </c>
      <c r="B367" s="1" t="n">
        <v>44441</v>
      </c>
      <c r="C367" s="1" t="n">
        <v>45589</v>
      </c>
      <c r="D367" t="inlineStr">
        <is>
          <t>JÄMTLANDS LÄN</t>
        </is>
      </c>
      <c r="E367" t="inlineStr">
        <is>
          <t>ÖSTERSUND</t>
        </is>
      </c>
      <c r="G367" t="n">
        <v>2.1</v>
      </c>
      <c r="H367" t="n">
        <v>0</v>
      </c>
      <c r="I367" t="n">
        <v>0</v>
      </c>
      <c r="J367" t="n">
        <v>0</v>
      </c>
      <c r="K367" t="n">
        <v>0</v>
      </c>
      <c r="L367" t="n">
        <v>0</v>
      </c>
      <c r="M367" t="n">
        <v>0</v>
      </c>
      <c r="N367" t="n">
        <v>0</v>
      </c>
      <c r="O367" t="n">
        <v>0</v>
      </c>
      <c r="P367" t="n">
        <v>0</v>
      </c>
      <c r="Q367" t="n">
        <v>0</v>
      </c>
      <c r="R367" s="2" t="inlineStr"/>
    </row>
    <row r="368" ht="15" customHeight="1">
      <c r="A368" t="inlineStr">
        <is>
          <t>A 46111-2021</t>
        </is>
      </c>
      <c r="B368" s="1" t="n">
        <v>44441</v>
      </c>
      <c r="C368" s="1" t="n">
        <v>45589</v>
      </c>
      <c r="D368" t="inlineStr">
        <is>
          <t>JÄMTLANDS LÄN</t>
        </is>
      </c>
      <c r="E368" t="inlineStr">
        <is>
          <t>ÖSTERSUND</t>
        </is>
      </c>
      <c r="G368" t="n">
        <v>4.6</v>
      </c>
      <c r="H368" t="n">
        <v>0</v>
      </c>
      <c r="I368" t="n">
        <v>0</v>
      </c>
      <c r="J368" t="n">
        <v>0</v>
      </c>
      <c r="K368" t="n">
        <v>0</v>
      </c>
      <c r="L368" t="n">
        <v>0</v>
      </c>
      <c r="M368" t="n">
        <v>0</v>
      </c>
      <c r="N368" t="n">
        <v>0</v>
      </c>
      <c r="O368" t="n">
        <v>0</v>
      </c>
      <c r="P368" t="n">
        <v>0</v>
      </c>
      <c r="Q368" t="n">
        <v>0</v>
      </c>
      <c r="R368" s="2" t="inlineStr"/>
    </row>
    <row r="369" ht="15" customHeight="1">
      <c r="A369" t="inlineStr">
        <is>
          <t>A 46139-2021</t>
        </is>
      </c>
      <c r="B369" s="1" t="n">
        <v>44441</v>
      </c>
      <c r="C369" s="1" t="n">
        <v>45589</v>
      </c>
      <c r="D369" t="inlineStr">
        <is>
          <t>JÄMTLANDS LÄN</t>
        </is>
      </c>
      <c r="E369" t="inlineStr">
        <is>
          <t>ÖSTERSUND</t>
        </is>
      </c>
      <c r="G369" t="n">
        <v>12.8</v>
      </c>
      <c r="H369" t="n">
        <v>0</v>
      </c>
      <c r="I369" t="n">
        <v>0</v>
      </c>
      <c r="J369" t="n">
        <v>0</v>
      </c>
      <c r="K369" t="n">
        <v>0</v>
      </c>
      <c r="L369" t="n">
        <v>0</v>
      </c>
      <c r="M369" t="n">
        <v>0</v>
      </c>
      <c r="N369" t="n">
        <v>0</v>
      </c>
      <c r="O369" t="n">
        <v>0</v>
      </c>
      <c r="P369" t="n">
        <v>0</v>
      </c>
      <c r="Q369" t="n">
        <v>0</v>
      </c>
      <c r="R369" s="2" t="inlineStr"/>
    </row>
    <row r="370" ht="15" customHeight="1">
      <c r="A370" t="inlineStr">
        <is>
          <t>A 48947-2021</t>
        </is>
      </c>
      <c r="B370" s="1" t="n">
        <v>44453</v>
      </c>
      <c r="C370" s="1" t="n">
        <v>45589</v>
      </c>
      <c r="D370" t="inlineStr">
        <is>
          <t>JÄMTLANDS LÄN</t>
        </is>
      </c>
      <c r="E370" t="inlineStr">
        <is>
          <t>ÖSTERSUND</t>
        </is>
      </c>
      <c r="G370" t="n">
        <v>22.3</v>
      </c>
      <c r="H370" t="n">
        <v>0</v>
      </c>
      <c r="I370" t="n">
        <v>0</v>
      </c>
      <c r="J370" t="n">
        <v>0</v>
      </c>
      <c r="K370" t="n">
        <v>0</v>
      </c>
      <c r="L370" t="n">
        <v>0</v>
      </c>
      <c r="M370" t="n">
        <v>0</v>
      </c>
      <c r="N370" t="n">
        <v>0</v>
      </c>
      <c r="O370" t="n">
        <v>0</v>
      </c>
      <c r="P370" t="n">
        <v>0</v>
      </c>
      <c r="Q370" t="n">
        <v>0</v>
      </c>
      <c r="R370" s="2" t="inlineStr"/>
    </row>
    <row r="371" ht="15" customHeight="1">
      <c r="A371" t="inlineStr">
        <is>
          <t>A 52913-2021</t>
        </is>
      </c>
      <c r="B371" s="1" t="n">
        <v>44466</v>
      </c>
      <c r="C371" s="1" t="n">
        <v>45589</v>
      </c>
      <c r="D371" t="inlineStr">
        <is>
          <t>JÄMTLANDS LÄN</t>
        </is>
      </c>
      <c r="E371" t="inlineStr">
        <is>
          <t>ÖSTERSUND</t>
        </is>
      </c>
      <c r="G371" t="n">
        <v>4.2</v>
      </c>
      <c r="H371" t="n">
        <v>0</v>
      </c>
      <c r="I371" t="n">
        <v>0</v>
      </c>
      <c r="J371" t="n">
        <v>0</v>
      </c>
      <c r="K371" t="n">
        <v>0</v>
      </c>
      <c r="L371" t="n">
        <v>0</v>
      </c>
      <c r="M371" t="n">
        <v>0</v>
      </c>
      <c r="N371" t="n">
        <v>0</v>
      </c>
      <c r="O371" t="n">
        <v>0</v>
      </c>
      <c r="P371" t="n">
        <v>0</v>
      </c>
      <c r="Q371" t="n">
        <v>0</v>
      </c>
      <c r="R371" s="2" t="inlineStr"/>
    </row>
    <row r="372" ht="15" customHeight="1">
      <c r="A372" t="inlineStr">
        <is>
          <t>A 55302-2021</t>
        </is>
      </c>
      <c r="B372" s="1" t="n">
        <v>44475</v>
      </c>
      <c r="C372" s="1" t="n">
        <v>45589</v>
      </c>
      <c r="D372" t="inlineStr">
        <is>
          <t>JÄMTLANDS LÄN</t>
        </is>
      </c>
      <c r="E372" t="inlineStr">
        <is>
          <t>ÖSTERSUND</t>
        </is>
      </c>
      <c r="G372" t="n">
        <v>0.3</v>
      </c>
      <c r="H372" t="n">
        <v>0</v>
      </c>
      <c r="I372" t="n">
        <v>0</v>
      </c>
      <c r="J372" t="n">
        <v>0</v>
      </c>
      <c r="K372" t="n">
        <v>0</v>
      </c>
      <c r="L372" t="n">
        <v>0</v>
      </c>
      <c r="M372" t="n">
        <v>0</v>
      </c>
      <c r="N372" t="n">
        <v>0</v>
      </c>
      <c r="O372" t="n">
        <v>0</v>
      </c>
      <c r="P372" t="n">
        <v>0</v>
      </c>
      <c r="Q372" t="n">
        <v>0</v>
      </c>
      <c r="R372" s="2" t="inlineStr"/>
    </row>
    <row r="373" ht="15" customHeight="1">
      <c r="A373" t="inlineStr">
        <is>
          <t>A 61631-2021</t>
        </is>
      </c>
      <c r="B373" s="1" t="n">
        <v>44501</v>
      </c>
      <c r="C373" s="1" t="n">
        <v>45589</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64092-2021</t>
        </is>
      </c>
      <c r="B374" s="1" t="n">
        <v>44510</v>
      </c>
      <c r="C374" s="1" t="n">
        <v>45589</v>
      </c>
      <c r="D374" t="inlineStr">
        <is>
          <t>JÄMTLANDS LÄN</t>
        </is>
      </c>
      <c r="E374" t="inlineStr">
        <is>
          <t>ÖSTERSUND</t>
        </is>
      </c>
      <c r="G374" t="n">
        <v>5.6</v>
      </c>
      <c r="H374" t="n">
        <v>0</v>
      </c>
      <c r="I374" t="n">
        <v>0</v>
      </c>
      <c r="J374" t="n">
        <v>0</v>
      </c>
      <c r="K374" t="n">
        <v>0</v>
      </c>
      <c r="L374" t="n">
        <v>0</v>
      </c>
      <c r="M374" t="n">
        <v>0</v>
      </c>
      <c r="N374" t="n">
        <v>0</v>
      </c>
      <c r="O374" t="n">
        <v>0</v>
      </c>
      <c r="P374" t="n">
        <v>0</v>
      </c>
      <c r="Q374" t="n">
        <v>0</v>
      </c>
      <c r="R374" s="2" t="inlineStr"/>
    </row>
    <row r="375" ht="15" customHeight="1">
      <c r="A375" t="inlineStr">
        <is>
          <t>A 64645-2021</t>
        </is>
      </c>
      <c r="B375" s="1" t="n">
        <v>44511</v>
      </c>
      <c r="C375" s="1" t="n">
        <v>45589</v>
      </c>
      <c r="D375" t="inlineStr">
        <is>
          <t>JÄMTLANDS LÄN</t>
        </is>
      </c>
      <c r="E375" t="inlineStr">
        <is>
          <t>ÖSTERSUND</t>
        </is>
      </c>
      <c r="G375" t="n">
        <v>3.2</v>
      </c>
      <c r="H375" t="n">
        <v>0</v>
      </c>
      <c r="I375" t="n">
        <v>0</v>
      </c>
      <c r="J375" t="n">
        <v>0</v>
      </c>
      <c r="K375" t="n">
        <v>0</v>
      </c>
      <c r="L375" t="n">
        <v>0</v>
      </c>
      <c r="M375" t="n">
        <v>0</v>
      </c>
      <c r="N375" t="n">
        <v>0</v>
      </c>
      <c r="O375" t="n">
        <v>0</v>
      </c>
      <c r="P375" t="n">
        <v>0</v>
      </c>
      <c r="Q375" t="n">
        <v>0</v>
      </c>
      <c r="R375" s="2" t="inlineStr"/>
    </row>
    <row r="376" ht="15" customHeight="1">
      <c r="A376" t="inlineStr">
        <is>
          <t>A 65428-2021</t>
        </is>
      </c>
      <c r="B376" s="1" t="n">
        <v>44515</v>
      </c>
      <c r="C376" s="1" t="n">
        <v>45589</v>
      </c>
      <c r="D376" t="inlineStr">
        <is>
          <t>JÄMTLANDS LÄN</t>
        </is>
      </c>
      <c r="E376" t="inlineStr">
        <is>
          <t>ÖSTERSUND</t>
        </is>
      </c>
      <c r="F376" t="inlineStr">
        <is>
          <t>SCA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65866-2021</t>
        </is>
      </c>
      <c r="B377" s="1" t="n">
        <v>44516</v>
      </c>
      <c r="C377" s="1" t="n">
        <v>45589</v>
      </c>
      <c r="D377" t="inlineStr">
        <is>
          <t>JÄMTLANDS LÄN</t>
        </is>
      </c>
      <c r="E377" t="inlineStr">
        <is>
          <t>ÖSTERSUND</t>
        </is>
      </c>
      <c r="G377" t="n">
        <v>2.6</v>
      </c>
      <c r="H377" t="n">
        <v>0</v>
      </c>
      <c r="I377" t="n">
        <v>0</v>
      </c>
      <c r="J377" t="n">
        <v>0</v>
      </c>
      <c r="K377" t="n">
        <v>0</v>
      </c>
      <c r="L377" t="n">
        <v>0</v>
      </c>
      <c r="M377" t="n">
        <v>0</v>
      </c>
      <c r="N377" t="n">
        <v>0</v>
      </c>
      <c r="O377" t="n">
        <v>0</v>
      </c>
      <c r="P377" t="n">
        <v>0</v>
      </c>
      <c r="Q377" t="n">
        <v>0</v>
      </c>
      <c r="R377" s="2" t="inlineStr"/>
    </row>
    <row r="378" ht="15" customHeight="1">
      <c r="A378" t="inlineStr">
        <is>
          <t>A 65991-2021</t>
        </is>
      </c>
      <c r="B378" s="1" t="n">
        <v>44517</v>
      </c>
      <c r="C378" s="1" t="n">
        <v>45589</v>
      </c>
      <c r="D378" t="inlineStr">
        <is>
          <t>JÄMTLANDS LÄN</t>
        </is>
      </c>
      <c r="E378" t="inlineStr">
        <is>
          <t>ÖSTERSUND</t>
        </is>
      </c>
      <c r="G378" t="n">
        <v>4.3</v>
      </c>
      <c r="H378" t="n">
        <v>0</v>
      </c>
      <c r="I378" t="n">
        <v>0</v>
      </c>
      <c r="J378" t="n">
        <v>0</v>
      </c>
      <c r="K378" t="n">
        <v>0</v>
      </c>
      <c r="L378" t="n">
        <v>0</v>
      </c>
      <c r="M378" t="n">
        <v>0</v>
      </c>
      <c r="N378" t="n">
        <v>0</v>
      </c>
      <c r="O378" t="n">
        <v>0</v>
      </c>
      <c r="P378" t="n">
        <v>0</v>
      </c>
      <c r="Q378" t="n">
        <v>0</v>
      </c>
      <c r="R378" s="2" t="inlineStr"/>
    </row>
    <row r="379" ht="15" customHeight="1">
      <c r="A379" t="inlineStr">
        <is>
          <t>A 66940-2021</t>
        </is>
      </c>
      <c r="B379" s="1" t="n">
        <v>44522</v>
      </c>
      <c r="C379" s="1" t="n">
        <v>45589</v>
      </c>
      <c r="D379" t="inlineStr">
        <is>
          <t>JÄMTLANDS LÄN</t>
        </is>
      </c>
      <c r="E379" t="inlineStr">
        <is>
          <t>ÖSTERSUND</t>
        </is>
      </c>
      <c r="G379" t="n">
        <v>3.6</v>
      </c>
      <c r="H379" t="n">
        <v>0</v>
      </c>
      <c r="I379" t="n">
        <v>0</v>
      </c>
      <c r="J379" t="n">
        <v>0</v>
      </c>
      <c r="K379" t="n">
        <v>0</v>
      </c>
      <c r="L379" t="n">
        <v>0</v>
      </c>
      <c r="M379" t="n">
        <v>0</v>
      </c>
      <c r="N379" t="n">
        <v>0</v>
      </c>
      <c r="O379" t="n">
        <v>0</v>
      </c>
      <c r="P379" t="n">
        <v>0</v>
      </c>
      <c r="Q379" t="n">
        <v>0</v>
      </c>
      <c r="R379" s="2" t="inlineStr"/>
    </row>
    <row r="380" ht="15" customHeight="1">
      <c r="A380" t="inlineStr">
        <is>
          <t>A 67695-2021</t>
        </is>
      </c>
      <c r="B380" s="1" t="n">
        <v>44524</v>
      </c>
      <c r="C380" s="1" t="n">
        <v>45589</v>
      </c>
      <c r="D380" t="inlineStr">
        <is>
          <t>JÄMTLANDS LÄN</t>
        </is>
      </c>
      <c r="E380" t="inlineStr">
        <is>
          <t>ÖSTERSUND</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67694-2021</t>
        </is>
      </c>
      <c r="B381" s="1" t="n">
        <v>44524</v>
      </c>
      <c r="C381" s="1" t="n">
        <v>45589</v>
      </c>
      <c r="D381" t="inlineStr">
        <is>
          <t>JÄMTLANDS LÄN</t>
        </is>
      </c>
      <c r="E381" t="inlineStr">
        <is>
          <t>ÖSTERSUND</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69190-2021</t>
        </is>
      </c>
      <c r="B382" s="1" t="n">
        <v>44529</v>
      </c>
      <c r="C382" s="1" t="n">
        <v>45589</v>
      </c>
      <c r="D382" t="inlineStr">
        <is>
          <t>JÄMTLANDS LÄN</t>
        </is>
      </c>
      <c r="E382" t="inlineStr">
        <is>
          <t>ÖSTERSUND</t>
        </is>
      </c>
      <c r="G382" t="n">
        <v>4.2</v>
      </c>
      <c r="H382" t="n">
        <v>0</v>
      </c>
      <c r="I382" t="n">
        <v>0</v>
      </c>
      <c r="J382" t="n">
        <v>0</v>
      </c>
      <c r="K382" t="n">
        <v>0</v>
      </c>
      <c r="L382" t="n">
        <v>0</v>
      </c>
      <c r="M382" t="n">
        <v>0</v>
      </c>
      <c r="N382" t="n">
        <v>0</v>
      </c>
      <c r="O382" t="n">
        <v>0</v>
      </c>
      <c r="P382" t="n">
        <v>0</v>
      </c>
      <c r="Q382" t="n">
        <v>0</v>
      </c>
      <c r="R382" s="2" t="inlineStr"/>
    </row>
    <row r="383" ht="15" customHeight="1">
      <c r="A383" t="inlineStr">
        <is>
          <t>A 70256-2021</t>
        </is>
      </c>
      <c r="B383" s="1" t="n">
        <v>44533</v>
      </c>
      <c r="C383" s="1" t="n">
        <v>45589</v>
      </c>
      <c r="D383" t="inlineStr">
        <is>
          <t>JÄMTLANDS LÄN</t>
        </is>
      </c>
      <c r="E383" t="inlineStr">
        <is>
          <t>ÖSTERSUND</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70678-2021</t>
        </is>
      </c>
      <c r="B384" s="1" t="n">
        <v>44537</v>
      </c>
      <c r="C384" s="1" t="n">
        <v>45589</v>
      </c>
      <c r="D384" t="inlineStr">
        <is>
          <t>JÄMTLANDS LÄN</t>
        </is>
      </c>
      <c r="E384" t="inlineStr">
        <is>
          <t>ÖSTERSUND</t>
        </is>
      </c>
      <c r="G384" t="n">
        <v>21</v>
      </c>
      <c r="H384" t="n">
        <v>0</v>
      </c>
      <c r="I384" t="n">
        <v>0</v>
      </c>
      <c r="J384" t="n">
        <v>0</v>
      </c>
      <c r="K384" t="n">
        <v>0</v>
      </c>
      <c r="L384" t="n">
        <v>0</v>
      </c>
      <c r="M384" t="n">
        <v>0</v>
      </c>
      <c r="N384" t="n">
        <v>0</v>
      </c>
      <c r="O384" t="n">
        <v>0</v>
      </c>
      <c r="P384" t="n">
        <v>0</v>
      </c>
      <c r="Q384" t="n">
        <v>0</v>
      </c>
      <c r="R384" s="2" t="inlineStr"/>
    </row>
    <row r="385" ht="15" customHeight="1">
      <c r="A385" t="inlineStr">
        <is>
          <t>A 70816-2021</t>
        </is>
      </c>
      <c r="B385" s="1" t="n">
        <v>44537</v>
      </c>
      <c r="C385" s="1" t="n">
        <v>45589</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71823-2021</t>
        </is>
      </c>
      <c r="B386" s="1" t="n">
        <v>44539</v>
      </c>
      <c r="C386" s="1" t="n">
        <v>45589</v>
      </c>
      <c r="D386" t="inlineStr">
        <is>
          <t>JÄMTLANDS LÄN</t>
        </is>
      </c>
      <c r="E386" t="inlineStr">
        <is>
          <t>ÖSTERSUND</t>
        </is>
      </c>
      <c r="G386" t="n">
        <v>10.5</v>
      </c>
      <c r="H386" t="n">
        <v>0</v>
      </c>
      <c r="I386" t="n">
        <v>0</v>
      </c>
      <c r="J386" t="n">
        <v>0</v>
      </c>
      <c r="K386" t="n">
        <v>0</v>
      </c>
      <c r="L386" t="n">
        <v>0</v>
      </c>
      <c r="M386" t="n">
        <v>0</v>
      </c>
      <c r="N386" t="n">
        <v>0</v>
      </c>
      <c r="O386" t="n">
        <v>0</v>
      </c>
      <c r="P386" t="n">
        <v>0</v>
      </c>
      <c r="Q386" t="n">
        <v>0</v>
      </c>
      <c r="R386" s="2" t="inlineStr"/>
    </row>
    <row r="387" ht="15" customHeight="1">
      <c r="A387" t="inlineStr">
        <is>
          <t>A 72089-2021</t>
        </is>
      </c>
      <c r="B387" s="1" t="n">
        <v>44540</v>
      </c>
      <c r="C387" s="1" t="n">
        <v>45589</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72041-2021</t>
        </is>
      </c>
      <c r="B388" s="1" t="n">
        <v>44540</v>
      </c>
      <c r="C388" s="1" t="n">
        <v>45589</v>
      </c>
      <c r="D388" t="inlineStr">
        <is>
          <t>JÄMTLANDS LÄN</t>
        </is>
      </c>
      <c r="E388" t="inlineStr">
        <is>
          <t>ÖSTERSUND</t>
        </is>
      </c>
      <c r="G388" t="n">
        <v>0.4</v>
      </c>
      <c r="H388" t="n">
        <v>0</v>
      </c>
      <c r="I388" t="n">
        <v>0</v>
      </c>
      <c r="J388" t="n">
        <v>0</v>
      </c>
      <c r="K388" t="n">
        <v>0</v>
      </c>
      <c r="L388" t="n">
        <v>0</v>
      </c>
      <c r="M388" t="n">
        <v>0</v>
      </c>
      <c r="N388" t="n">
        <v>0</v>
      </c>
      <c r="O388" t="n">
        <v>0</v>
      </c>
      <c r="P388" t="n">
        <v>0</v>
      </c>
      <c r="Q388" t="n">
        <v>0</v>
      </c>
      <c r="R388" s="2" t="inlineStr"/>
    </row>
    <row r="389" ht="15" customHeight="1">
      <c r="A389" t="inlineStr">
        <is>
          <t>A 72258-2021</t>
        </is>
      </c>
      <c r="B389" s="1" t="n">
        <v>44540</v>
      </c>
      <c r="C389" s="1" t="n">
        <v>45589</v>
      </c>
      <c r="D389" t="inlineStr">
        <is>
          <t>JÄMTLANDS LÄN</t>
        </is>
      </c>
      <c r="E389" t="inlineStr">
        <is>
          <t>ÖSTERSUND</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72061-2021</t>
        </is>
      </c>
      <c r="B390" s="1" t="n">
        <v>44540</v>
      </c>
      <c r="C390" s="1" t="n">
        <v>45589</v>
      </c>
      <c r="D390" t="inlineStr">
        <is>
          <t>JÄMTLANDS LÄN</t>
        </is>
      </c>
      <c r="E390" t="inlineStr">
        <is>
          <t>ÖSTERSUND</t>
        </is>
      </c>
      <c r="G390" t="n">
        <v>5.3</v>
      </c>
      <c r="H390" t="n">
        <v>0</v>
      </c>
      <c r="I390" t="n">
        <v>0</v>
      </c>
      <c r="J390" t="n">
        <v>0</v>
      </c>
      <c r="K390" t="n">
        <v>0</v>
      </c>
      <c r="L390" t="n">
        <v>0</v>
      </c>
      <c r="M390" t="n">
        <v>0</v>
      </c>
      <c r="N390" t="n">
        <v>0</v>
      </c>
      <c r="O390" t="n">
        <v>0</v>
      </c>
      <c r="P390" t="n">
        <v>0</v>
      </c>
      <c r="Q390" t="n">
        <v>0</v>
      </c>
      <c r="R390" s="2" t="inlineStr"/>
    </row>
    <row r="391" ht="15" customHeight="1">
      <c r="A391" t="inlineStr">
        <is>
          <t>A 71956-2021</t>
        </is>
      </c>
      <c r="B391" s="1" t="n">
        <v>44544</v>
      </c>
      <c r="C391" s="1" t="n">
        <v>45589</v>
      </c>
      <c r="D391" t="inlineStr">
        <is>
          <t>JÄMTLANDS LÄN</t>
        </is>
      </c>
      <c r="E391" t="inlineStr">
        <is>
          <t>ÖSTERSUND</t>
        </is>
      </c>
      <c r="G391" t="n">
        <v>0.8</v>
      </c>
      <c r="H391" t="n">
        <v>0</v>
      </c>
      <c r="I391" t="n">
        <v>0</v>
      </c>
      <c r="J391" t="n">
        <v>0</v>
      </c>
      <c r="K391" t="n">
        <v>0</v>
      </c>
      <c r="L391" t="n">
        <v>0</v>
      </c>
      <c r="M391" t="n">
        <v>0</v>
      </c>
      <c r="N391" t="n">
        <v>0</v>
      </c>
      <c r="O391" t="n">
        <v>0</v>
      </c>
      <c r="P391" t="n">
        <v>0</v>
      </c>
      <c r="Q391" t="n">
        <v>0</v>
      </c>
      <c r="R391" s="2" t="inlineStr"/>
    </row>
    <row r="392" ht="15" customHeight="1">
      <c r="A392" t="inlineStr">
        <is>
          <t>A 72938-2021</t>
        </is>
      </c>
      <c r="B392" s="1" t="n">
        <v>44547</v>
      </c>
      <c r="C392" s="1" t="n">
        <v>45589</v>
      </c>
      <c r="D392" t="inlineStr">
        <is>
          <t>JÄMTLANDS LÄN</t>
        </is>
      </c>
      <c r="E392" t="inlineStr">
        <is>
          <t>ÖSTERSUND</t>
        </is>
      </c>
      <c r="G392" t="n">
        <v>4.5</v>
      </c>
      <c r="H392" t="n">
        <v>0</v>
      </c>
      <c r="I392" t="n">
        <v>0</v>
      </c>
      <c r="J392" t="n">
        <v>0</v>
      </c>
      <c r="K392" t="n">
        <v>0</v>
      </c>
      <c r="L392" t="n">
        <v>0</v>
      </c>
      <c r="M392" t="n">
        <v>0</v>
      </c>
      <c r="N392" t="n">
        <v>0</v>
      </c>
      <c r="O392" t="n">
        <v>0</v>
      </c>
      <c r="P392" t="n">
        <v>0</v>
      </c>
      <c r="Q392" t="n">
        <v>0</v>
      </c>
      <c r="R392" s="2" t="inlineStr"/>
    </row>
    <row r="393" ht="15" customHeight="1">
      <c r="A393" t="inlineStr">
        <is>
          <t>A 73078-2021</t>
        </is>
      </c>
      <c r="B393" s="1" t="n">
        <v>44550</v>
      </c>
      <c r="C393" s="1" t="n">
        <v>45589</v>
      </c>
      <c r="D393" t="inlineStr">
        <is>
          <t>JÄMTLANDS LÄN</t>
        </is>
      </c>
      <c r="E393" t="inlineStr">
        <is>
          <t>ÖSTERSUND</t>
        </is>
      </c>
      <c r="G393" t="n">
        <v>1.2</v>
      </c>
      <c r="H393" t="n">
        <v>0</v>
      </c>
      <c r="I393" t="n">
        <v>0</v>
      </c>
      <c r="J393" t="n">
        <v>0</v>
      </c>
      <c r="K393" t="n">
        <v>0</v>
      </c>
      <c r="L393" t="n">
        <v>0</v>
      </c>
      <c r="M393" t="n">
        <v>0</v>
      </c>
      <c r="N393" t="n">
        <v>0</v>
      </c>
      <c r="O393" t="n">
        <v>0</v>
      </c>
      <c r="P393" t="n">
        <v>0</v>
      </c>
      <c r="Q393" t="n">
        <v>0</v>
      </c>
      <c r="R393" s="2" t="inlineStr"/>
    </row>
    <row r="394" ht="15" customHeight="1">
      <c r="A394" t="inlineStr">
        <is>
          <t>A 73066-2021</t>
        </is>
      </c>
      <c r="B394" s="1" t="n">
        <v>44550</v>
      </c>
      <c r="C394" s="1" t="n">
        <v>45589</v>
      </c>
      <c r="D394" t="inlineStr">
        <is>
          <t>JÄMTLANDS LÄN</t>
        </is>
      </c>
      <c r="E394" t="inlineStr">
        <is>
          <t>ÖSTERSUND</t>
        </is>
      </c>
      <c r="G394" t="n">
        <v>2.9</v>
      </c>
      <c r="H394" t="n">
        <v>0</v>
      </c>
      <c r="I394" t="n">
        <v>0</v>
      </c>
      <c r="J394" t="n">
        <v>0</v>
      </c>
      <c r="K394" t="n">
        <v>0</v>
      </c>
      <c r="L394" t="n">
        <v>0</v>
      </c>
      <c r="M394" t="n">
        <v>0</v>
      </c>
      <c r="N394" t="n">
        <v>0</v>
      </c>
      <c r="O394" t="n">
        <v>0</v>
      </c>
      <c r="P394" t="n">
        <v>0</v>
      </c>
      <c r="Q394" t="n">
        <v>0</v>
      </c>
      <c r="R394" s="2" t="inlineStr"/>
    </row>
    <row r="395" ht="15" customHeight="1">
      <c r="A395" t="inlineStr">
        <is>
          <t>A 73875-2021</t>
        </is>
      </c>
      <c r="B395" s="1" t="n">
        <v>44553</v>
      </c>
      <c r="C395" s="1" t="n">
        <v>45589</v>
      </c>
      <c r="D395" t="inlineStr">
        <is>
          <t>JÄMTLANDS LÄN</t>
        </is>
      </c>
      <c r="E395" t="inlineStr">
        <is>
          <t>ÖSTERSUND</t>
        </is>
      </c>
      <c r="G395" t="n">
        <v>1.3</v>
      </c>
      <c r="H395" t="n">
        <v>0</v>
      </c>
      <c r="I395" t="n">
        <v>0</v>
      </c>
      <c r="J395" t="n">
        <v>0</v>
      </c>
      <c r="K395" t="n">
        <v>0</v>
      </c>
      <c r="L395" t="n">
        <v>0</v>
      </c>
      <c r="M395" t="n">
        <v>0</v>
      </c>
      <c r="N395" t="n">
        <v>0</v>
      </c>
      <c r="O395" t="n">
        <v>0</v>
      </c>
      <c r="P395" t="n">
        <v>0</v>
      </c>
      <c r="Q395" t="n">
        <v>0</v>
      </c>
      <c r="R395" s="2" t="inlineStr"/>
    </row>
    <row r="396" ht="15" customHeight="1">
      <c r="A396" t="inlineStr">
        <is>
          <t>A 73870-2021</t>
        </is>
      </c>
      <c r="B396" s="1" t="n">
        <v>44553</v>
      </c>
      <c r="C396" s="1" t="n">
        <v>45589</v>
      </c>
      <c r="D396" t="inlineStr">
        <is>
          <t>JÄMTLANDS LÄN</t>
        </is>
      </c>
      <c r="E396" t="inlineStr">
        <is>
          <t>ÖSTERSUND</t>
        </is>
      </c>
      <c r="G396" t="n">
        <v>5.3</v>
      </c>
      <c r="H396" t="n">
        <v>0</v>
      </c>
      <c r="I396" t="n">
        <v>0</v>
      </c>
      <c r="J396" t="n">
        <v>0</v>
      </c>
      <c r="K396" t="n">
        <v>0</v>
      </c>
      <c r="L396" t="n">
        <v>0</v>
      </c>
      <c r="M396" t="n">
        <v>0</v>
      </c>
      <c r="N396" t="n">
        <v>0</v>
      </c>
      <c r="O396" t="n">
        <v>0</v>
      </c>
      <c r="P396" t="n">
        <v>0</v>
      </c>
      <c r="Q396" t="n">
        <v>0</v>
      </c>
      <c r="R396" s="2" t="inlineStr"/>
    </row>
    <row r="397" ht="15" customHeight="1">
      <c r="A397" t="inlineStr">
        <is>
          <t>A 154-2022</t>
        </is>
      </c>
      <c r="B397" s="1" t="n">
        <v>44561</v>
      </c>
      <c r="C397" s="1" t="n">
        <v>45589</v>
      </c>
      <c r="D397" t="inlineStr">
        <is>
          <t>JÄMTLANDS LÄN</t>
        </is>
      </c>
      <c r="E397" t="inlineStr">
        <is>
          <t>ÖSTERSUND</t>
        </is>
      </c>
      <c r="G397" t="n">
        <v>4.2</v>
      </c>
      <c r="H397" t="n">
        <v>0</v>
      </c>
      <c r="I397" t="n">
        <v>0</v>
      </c>
      <c r="J397" t="n">
        <v>0</v>
      </c>
      <c r="K397" t="n">
        <v>0</v>
      </c>
      <c r="L397" t="n">
        <v>0</v>
      </c>
      <c r="M397" t="n">
        <v>0</v>
      </c>
      <c r="N397" t="n">
        <v>0</v>
      </c>
      <c r="O397" t="n">
        <v>0</v>
      </c>
      <c r="P397" t="n">
        <v>0</v>
      </c>
      <c r="Q397" t="n">
        <v>0</v>
      </c>
      <c r="R397" s="2" t="inlineStr"/>
    </row>
    <row r="398" ht="15" customHeight="1">
      <c r="A398" t="inlineStr">
        <is>
          <t>A 231-2022</t>
        </is>
      </c>
      <c r="B398" s="1" t="n">
        <v>44564</v>
      </c>
      <c r="C398" s="1" t="n">
        <v>45589</v>
      </c>
      <c r="D398" t="inlineStr">
        <is>
          <t>JÄMTLANDS LÄN</t>
        </is>
      </c>
      <c r="E398" t="inlineStr">
        <is>
          <t>ÖSTERSUND</t>
        </is>
      </c>
      <c r="G398" t="n">
        <v>1.9</v>
      </c>
      <c r="H398" t="n">
        <v>0</v>
      </c>
      <c r="I398" t="n">
        <v>0</v>
      </c>
      <c r="J398" t="n">
        <v>0</v>
      </c>
      <c r="K398" t="n">
        <v>0</v>
      </c>
      <c r="L398" t="n">
        <v>0</v>
      </c>
      <c r="M398" t="n">
        <v>0</v>
      </c>
      <c r="N398" t="n">
        <v>0</v>
      </c>
      <c r="O398" t="n">
        <v>0</v>
      </c>
      <c r="P398" t="n">
        <v>0</v>
      </c>
      <c r="Q398" t="n">
        <v>0</v>
      </c>
      <c r="R398" s="2" t="inlineStr"/>
    </row>
    <row r="399" ht="15" customHeight="1">
      <c r="A399" t="inlineStr">
        <is>
          <t>A 681-2022</t>
        </is>
      </c>
      <c r="B399" s="1" t="n">
        <v>44566</v>
      </c>
      <c r="C399" s="1" t="n">
        <v>45589</v>
      </c>
      <c r="D399" t="inlineStr">
        <is>
          <t>JÄMTLANDS LÄN</t>
        </is>
      </c>
      <c r="E399" t="inlineStr">
        <is>
          <t>ÖSTERSUND</t>
        </is>
      </c>
      <c r="G399" t="n">
        <v>2.3</v>
      </c>
      <c r="H399" t="n">
        <v>0</v>
      </c>
      <c r="I399" t="n">
        <v>0</v>
      </c>
      <c r="J399" t="n">
        <v>0</v>
      </c>
      <c r="K399" t="n">
        <v>0</v>
      </c>
      <c r="L399" t="n">
        <v>0</v>
      </c>
      <c r="M399" t="n">
        <v>0</v>
      </c>
      <c r="N399" t="n">
        <v>0</v>
      </c>
      <c r="O399" t="n">
        <v>0</v>
      </c>
      <c r="P399" t="n">
        <v>0</v>
      </c>
      <c r="Q399" t="n">
        <v>0</v>
      </c>
      <c r="R399" s="2" t="inlineStr"/>
    </row>
    <row r="400" ht="15" customHeight="1">
      <c r="A400" t="inlineStr">
        <is>
          <t>A 695-2022</t>
        </is>
      </c>
      <c r="B400" s="1" t="n">
        <v>44566</v>
      </c>
      <c r="C400" s="1" t="n">
        <v>45589</v>
      </c>
      <c r="D400" t="inlineStr">
        <is>
          <t>JÄMTLANDS LÄN</t>
        </is>
      </c>
      <c r="E400" t="inlineStr">
        <is>
          <t>ÖSTERSUND</t>
        </is>
      </c>
      <c r="G400" t="n">
        <v>14.9</v>
      </c>
      <c r="H400" t="n">
        <v>0</v>
      </c>
      <c r="I400" t="n">
        <v>0</v>
      </c>
      <c r="J400" t="n">
        <v>0</v>
      </c>
      <c r="K400" t="n">
        <v>0</v>
      </c>
      <c r="L400" t="n">
        <v>0</v>
      </c>
      <c r="M400" t="n">
        <v>0</v>
      </c>
      <c r="N400" t="n">
        <v>0</v>
      </c>
      <c r="O400" t="n">
        <v>0</v>
      </c>
      <c r="P400" t="n">
        <v>0</v>
      </c>
      <c r="Q400" t="n">
        <v>0</v>
      </c>
      <c r="R400" s="2" t="inlineStr"/>
    </row>
    <row r="401" ht="15" customHeight="1">
      <c r="A401" t="inlineStr">
        <is>
          <t>A 2431-2022</t>
        </is>
      </c>
      <c r="B401" s="1" t="n">
        <v>44579</v>
      </c>
      <c r="C401" s="1" t="n">
        <v>45589</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2763-2022</t>
        </is>
      </c>
      <c r="B402" s="1" t="n">
        <v>44580</v>
      </c>
      <c r="C402" s="1" t="n">
        <v>45589</v>
      </c>
      <c r="D402" t="inlineStr">
        <is>
          <t>JÄMTLANDS LÄN</t>
        </is>
      </c>
      <c r="E402" t="inlineStr">
        <is>
          <t>ÖSTERSUND</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2880-2022</t>
        </is>
      </c>
      <c r="B403" s="1" t="n">
        <v>44581</v>
      </c>
      <c r="C403" s="1" t="n">
        <v>45589</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3016-2022</t>
        </is>
      </c>
      <c r="B404" s="1" t="n">
        <v>44581</v>
      </c>
      <c r="C404" s="1" t="n">
        <v>45589</v>
      </c>
      <c r="D404" t="inlineStr">
        <is>
          <t>JÄMTLANDS LÄN</t>
        </is>
      </c>
      <c r="E404" t="inlineStr">
        <is>
          <t>ÖSTERSUND</t>
        </is>
      </c>
      <c r="G404" t="n">
        <v>3.3</v>
      </c>
      <c r="H404" t="n">
        <v>0</v>
      </c>
      <c r="I404" t="n">
        <v>0</v>
      </c>
      <c r="J404" t="n">
        <v>0</v>
      </c>
      <c r="K404" t="n">
        <v>0</v>
      </c>
      <c r="L404" t="n">
        <v>0</v>
      </c>
      <c r="M404" t="n">
        <v>0</v>
      </c>
      <c r="N404" t="n">
        <v>0</v>
      </c>
      <c r="O404" t="n">
        <v>0</v>
      </c>
      <c r="P404" t="n">
        <v>0</v>
      </c>
      <c r="Q404" t="n">
        <v>0</v>
      </c>
      <c r="R404" s="2" t="inlineStr"/>
    </row>
    <row r="405" ht="15" customHeight="1">
      <c r="A405" t="inlineStr">
        <is>
          <t>A 5145-2022</t>
        </is>
      </c>
      <c r="B405" s="1" t="n">
        <v>44594</v>
      </c>
      <c r="C405" s="1" t="n">
        <v>45589</v>
      </c>
      <c r="D405" t="inlineStr">
        <is>
          <t>JÄMTLANDS LÄN</t>
        </is>
      </c>
      <c r="E405" t="inlineStr">
        <is>
          <t>ÖSTERSUND</t>
        </is>
      </c>
      <c r="G405" t="n">
        <v>2.6</v>
      </c>
      <c r="H405" t="n">
        <v>0</v>
      </c>
      <c r="I405" t="n">
        <v>0</v>
      </c>
      <c r="J405" t="n">
        <v>0</v>
      </c>
      <c r="K405" t="n">
        <v>0</v>
      </c>
      <c r="L405" t="n">
        <v>0</v>
      </c>
      <c r="M405" t="n">
        <v>0</v>
      </c>
      <c r="N405" t="n">
        <v>0</v>
      </c>
      <c r="O405" t="n">
        <v>0</v>
      </c>
      <c r="P405" t="n">
        <v>0</v>
      </c>
      <c r="Q405" t="n">
        <v>0</v>
      </c>
      <c r="R405" s="2" t="inlineStr"/>
    </row>
    <row r="406" ht="15" customHeight="1">
      <c r="A406" t="inlineStr">
        <is>
          <t>A 5670-2022</t>
        </is>
      </c>
      <c r="B406" s="1" t="n">
        <v>44595</v>
      </c>
      <c r="C406" s="1" t="n">
        <v>45589</v>
      </c>
      <c r="D406" t="inlineStr">
        <is>
          <t>JÄMTLANDS LÄN</t>
        </is>
      </c>
      <c r="E406" t="inlineStr">
        <is>
          <t>ÖSTERSUND</t>
        </is>
      </c>
      <c r="G406" t="n">
        <v>2.7</v>
      </c>
      <c r="H406" t="n">
        <v>0</v>
      </c>
      <c r="I406" t="n">
        <v>0</v>
      </c>
      <c r="J406" t="n">
        <v>0</v>
      </c>
      <c r="K406" t="n">
        <v>0</v>
      </c>
      <c r="L406" t="n">
        <v>0</v>
      </c>
      <c r="M406" t="n">
        <v>0</v>
      </c>
      <c r="N406" t="n">
        <v>0</v>
      </c>
      <c r="O406" t="n">
        <v>0</v>
      </c>
      <c r="P406" t="n">
        <v>0</v>
      </c>
      <c r="Q406" t="n">
        <v>0</v>
      </c>
      <c r="R406" s="2" t="inlineStr"/>
    </row>
    <row r="407" ht="15" customHeight="1">
      <c r="A407" t="inlineStr">
        <is>
          <t>A 6013-2022</t>
        </is>
      </c>
      <c r="B407" s="1" t="n">
        <v>44599</v>
      </c>
      <c r="C407" s="1" t="n">
        <v>45589</v>
      </c>
      <c r="D407" t="inlineStr">
        <is>
          <t>JÄMTLANDS LÄN</t>
        </is>
      </c>
      <c r="E407" t="inlineStr">
        <is>
          <t>ÖSTERSUND</t>
        </is>
      </c>
      <c r="G407" t="n">
        <v>2.5</v>
      </c>
      <c r="H407" t="n">
        <v>0</v>
      </c>
      <c r="I407" t="n">
        <v>0</v>
      </c>
      <c r="J407" t="n">
        <v>0</v>
      </c>
      <c r="K407" t="n">
        <v>0</v>
      </c>
      <c r="L407" t="n">
        <v>0</v>
      </c>
      <c r="M407" t="n">
        <v>0</v>
      </c>
      <c r="N407" t="n">
        <v>0</v>
      </c>
      <c r="O407" t="n">
        <v>0</v>
      </c>
      <c r="P407" t="n">
        <v>0</v>
      </c>
      <c r="Q407" t="n">
        <v>0</v>
      </c>
      <c r="R407" s="2" t="inlineStr"/>
    </row>
    <row r="408" ht="15" customHeight="1">
      <c r="A408" t="inlineStr">
        <is>
          <t>A 6458-2022</t>
        </is>
      </c>
      <c r="B408" s="1" t="n">
        <v>44601</v>
      </c>
      <c r="C408" s="1" t="n">
        <v>45589</v>
      </c>
      <c r="D408" t="inlineStr">
        <is>
          <t>JÄMTLANDS LÄN</t>
        </is>
      </c>
      <c r="E408" t="inlineStr">
        <is>
          <t>ÖSTERSUND</t>
        </is>
      </c>
      <c r="G408" t="n">
        <v>3.1</v>
      </c>
      <c r="H408" t="n">
        <v>0</v>
      </c>
      <c r="I408" t="n">
        <v>0</v>
      </c>
      <c r="J408" t="n">
        <v>0</v>
      </c>
      <c r="K408" t="n">
        <v>0</v>
      </c>
      <c r="L408" t="n">
        <v>0</v>
      </c>
      <c r="M408" t="n">
        <v>0</v>
      </c>
      <c r="N408" t="n">
        <v>0</v>
      </c>
      <c r="O408" t="n">
        <v>0</v>
      </c>
      <c r="P408" t="n">
        <v>0</v>
      </c>
      <c r="Q408" t="n">
        <v>0</v>
      </c>
      <c r="R408" s="2" t="inlineStr"/>
    </row>
    <row r="409" ht="15" customHeight="1">
      <c r="A409" t="inlineStr">
        <is>
          <t>A 7573-2022</t>
        </is>
      </c>
      <c r="B409" s="1" t="n">
        <v>44607</v>
      </c>
      <c r="C409" s="1" t="n">
        <v>45589</v>
      </c>
      <c r="D409" t="inlineStr">
        <is>
          <t>JÄMTLANDS LÄN</t>
        </is>
      </c>
      <c r="E409" t="inlineStr">
        <is>
          <t>ÖSTERSUND</t>
        </is>
      </c>
      <c r="G409" t="n">
        <v>0.5</v>
      </c>
      <c r="H409" t="n">
        <v>0</v>
      </c>
      <c r="I409" t="n">
        <v>0</v>
      </c>
      <c r="J409" t="n">
        <v>0</v>
      </c>
      <c r="K409" t="n">
        <v>0</v>
      </c>
      <c r="L409" t="n">
        <v>0</v>
      </c>
      <c r="M409" t="n">
        <v>0</v>
      </c>
      <c r="N409" t="n">
        <v>0</v>
      </c>
      <c r="O409" t="n">
        <v>0</v>
      </c>
      <c r="P409" t="n">
        <v>0</v>
      </c>
      <c r="Q409" t="n">
        <v>0</v>
      </c>
      <c r="R409" s="2" t="inlineStr"/>
    </row>
    <row r="410" ht="15" customHeight="1">
      <c r="A410" t="inlineStr">
        <is>
          <t>A 8027-2022</t>
        </is>
      </c>
      <c r="B410" s="1" t="n">
        <v>44609</v>
      </c>
      <c r="C410" s="1" t="n">
        <v>45589</v>
      </c>
      <c r="D410" t="inlineStr">
        <is>
          <t>JÄMTLANDS LÄN</t>
        </is>
      </c>
      <c r="E410" t="inlineStr">
        <is>
          <t>ÖSTERSUND</t>
        </is>
      </c>
      <c r="G410" t="n">
        <v>1.6</v>
      </c>
      <c r="H410" t="n">
        <v>0</v>
      </c>
      <c r="I410" t="n">
        <v>0</v>
      </c>
      <c r="J410" t="n">
        <v>0</v>
      </c>
      <c r="K410" t="n">
        <v>0</v>
      </c>
      <c r="L410" t="n">
        <v>0</v>
      </c>
      <c r="M410" t="n">
        <v>0</v>
      </c>
      <c r="N410" t="n">
        <v>0</v>
      </c>
      <c r="O410" t="n">
        <v>0</v>
      </c>
      <c r="P410" t="n">
        <v>0</v>
      </c>
      <c r="Q410" t="n">
        <v>0</v>
      </c>
      <c r="R410" s="2" t="inlineStr"/>
    </row>
    <row r="411" ht="15" customHeight="1">
      <c r="A411" t="inlineStr">
        <is>
          <t>A 8227-2022</t>
        </is>
      </c>
      <c r="B411" s="1" t="n">
        <v>44609</v>
      </c>
      <c r="C411" s="1" t="n">
        <v>45589</v>
      </c>
      <c r="D411" t="inlineStr">
        <is>
          <t>JÄMTLANDS LÄN</t>
        </is>
      </c>
      <c r="E411" t="inlineStr">
        <is>
          <t>ÖSTERSUND</t>
        </is>
      </c>
      <c r="G411" t="n">
        <v>6.6</v>
      </c>
      <c r="H411" t="n">
        <v>0</v>
      </c>
      <c r="I411" t="n">
        <v>0</v>
      </c>
      <c r="J411" t="n">
        <v>0</v>
      </c>
      <c r="K411" t="n">
        <v>0</v>
      </c>
      <c r="L411" t="n">
        <v>0</v>
      </c>
      <c r="M411" t="n">
        <v>0</v>
      </c>
      <c r="N411" t="n">
        <v>0</v>
      </c>
      <c r="O411" t="n">
        <v>0</v>
      </c>
      <c r="P411" t="n">
        <v>0</v>
      </c>
      <c r="Q411" t="n">
        <v>0</v>
      </c>
      <c r="R411" s="2" t="inlineStr"/>
    </row>
    <row r="412" ht="15" customHeight="1">
      <c r="A412" t="inlineStr">
        <is>
          <t>A 8647-2022</t>
        </is>
      </c>
      <c r="B412" s="1" t="n">
        <v>44613</v>
      </c>
      <c r="C412" s="1" t="n">
        <v>45589</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8972-2022</t>
        </is>
      </c>
      <c r="B413" s="1" t="n">
        <v>44614</v>
      </c>
      <c r="C413" s="1" t="n">
        <v>45589</v>
      </c>
      <c r="D413" t="inlineStr">
        <is>
          <t>JÄMTLANDS LÄN</t>
        </is>
      </c>
      <c r="E413" t="inlineStr">
        <is>
          <t>ÖSTERSUND</t>
        </is>
      </c>
      <c r="G413" t="n">
        <v>0.8</v>
      </c>
      <c r="H413" t="n">
        <v>0</v>
      </c>
      <c r="I413" t="n">
        <v>0</v>
      </c>
      <c r="J413" t="n">
        <v>0</v>
      </c>
      <c r="K413" t="n">
        <v>0</v>
      </c>
      <c r="L413" t="n">
        <v>0</v>
      </c>
      <c r="M413" t="n">
        <v>0</v>
      </c>
      <c r="N413" t="n">
        <v>0</v>
      </c>
      <c r="O413" t="n">
        <v>0</v>
      </c>
      <c r="P413" t="n">
        <v>0</v>
      </c>
      <c r="Q413" t="n">
        <v>0</v>
      </c>
      <c r="R413" s="2" t="inlineStr"/>
    </row>
    <row r="414" ht="15" customHeight="1">
      <c r="A414" t="inlineStr">
        <is>
          <t>A 11740-2022</t>
        </is>
      </c>
      <c r="B414" s="1" t="n">
        <v>44634</v>
      </c>
      <c r="C414" s="1" t="n">
        <v>45589</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11933-2022</t>
        </is>
      </c>
      <c r="B415" s="1" t="n">
        <v>44635</v>
      </c>
      <c r="C415" s="1" t="n">
        <v>45589</v>
      </c>
      <c r="D415" t="inlineStr">
        <is>
          <t>JÄMTLANDS LÄN</t>
        </is>
      </c>
      <c r="E415" t="inlineStr">
        <is>
          <t>ÖSTERSUND</t>
        </is>
      </c>
      <c r="G415" t="n">
        <v>0.7</v>
      </c>
      <c r="H415" t="n">
        <v>0</v>
      </c>
      <c r="I415" t="n">
        <v>0</v>
      </c>
      <c r="J415" t="n">
        <v>0</v>
      </c>
      <c r="K415" t="n">
        <v>0</v>
      </c>
      <c r="L415" t="n">
        <v>0</v>
      </c>
      <c r="M415" t="n">
        <v>0</v>
      </c>
      <c r="N415" t="n">
        <v>0</v>
      </c>
      <c r="O415" t="n">
        <v>0</v>
      </c>
      <c r="P415" t="n">
        <v>0</v>
      </c>
      <c r="Q415" t="n">
        <v>0</v>
      </c>
      <c r="R415" s="2" t="inlineStr"/>
    </row>
    <row r="416" ht="15" customHeight="1">
      <c r="A416" t="inlineStr">
        <is>
          <t>A 12301-2022</t>
        </is>
      </c>
      <c r="B416" s="1" t="n">
        <v>44637</v>
      </c>
      <c r="C416" s="1" t="n">
        <v>45589</v>
      </c>
      <c r="D416" t="inlineStr">
        <is>
          <t>JÄMTLANDS LÄN</t>
        </is>
      </c>
      <c r="E416" t="inlineStr">
        <is>
          <t>ÖSTERSUND</t>
        </is>
      </c>
      <c r="G416" t="n">
        <v>5.8</v>
      </c>
      <c r="H416" t="n">
        <v>0</v>
      </c>
      <c r="I416" t="n">
        <v>0</v>
      </c>
      <c r="J416" t="n">
        <v>0</v>
      </c>
      <c r="K416" t="n">
        <v>0</v>
      </c>
      <c r="L416" t="n">
        <v>0</v>
      </c>
      <c r="M416" t="n">
        <v>0</v>
      </c>
      <c r="N416" t="n">
        <v>0</v>
      </c>
      <c r="O416" t="n">
        <v>0</v>
      </c>
      <c r="P416" t="n">
        <v>0</v>
      </c>
      <c r="Q416" t="n">
        <v>0</v>
      </c>
      <c r="R416" s="2" t="inlineStr"/>
    </row>
    <row r="417" ht="15" customHeight="1">
      <c r="A417" t="inlineStr">
        <is>
          <t>A 12285-2022</t>
        </is>
      </c>
      <c r="B417" s="1" t="n">
        <v>44637</v>
      </c>
      <c r="C417" s="1" t="n">
        <v>45589</v>
      </c>
      <c r="D417" t="inlineStr">
        <is>
          <t>JÄMTLANDS LÄN</t>
        </is>
      </c>
      <c r="E417" t="inlineStr">
        <is>
          <t>ÖSTERSUND</t>
        </is>
      </c>
      <c r="G417" t="n">
        <v>1.4</v>
      </c>
      <c r="H417" t="n">
        <v>0</v>
      </c>
      <c r="I417" t="n">
        <v>0</v>
      </c>
      <c r="J417" t="n">
        <v>0</v>
      </c>
      <c r="K417" t="n">
        <v>0</v>
      </c>
      <c r="L417" t="n">
        <v>0</v>
      </c>
      <c r="M417" t="n">
        <v>0</v>
      </c>
      <c r="N417" t="n">
        <v>0</v>
      </c>
      <c r="O417" t="n">
        <v>0</v>
      </c>
      <c r="P417" t="n">
        <v>0</v>
      </c>
      <c r="Q417" t="n">
        <v>0</v>
      </c>
      <c r="R417" s="2" t="inlineStr"/>
    </row>
    <row r="418" ht="15" customHeight="1">
      <c r="A418" t="inlineStr">
        <is>
          <t>A 12946-2022</t>
        </is>
      </c>
      <c r="B418" s="1" t="n">
        <v>44642</v>
      </c>
      <c r="C418" s="1" t="n">
        <v>45589</v>
      </c>
      <c r="D418" t="inlineStr">
        <is>
          <t>JÄMTLANDS LÄN</t>
        </is>
      </c>
      <c r="E418" t="inlineStr">
        <is>
          <t>ÖSTERSUND</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13024-2022</t>
        </is>
      </c>
      <c r="B419" s="1" t="n">
        <v>44643</v>
      </c>
      <c r="C419" s="1" t="n">
        <v>45589</v>
      </c>
      <c r="D419" t="inlineStr">
        <is>
          <t>JÄMTLANDS LÄN</t>
        </is>
      </c>
      <c r="E419" t="inlineStr">
        <is>
          <t>ÖSTERSUND</t>
        </is>
      </c>
      <c r="G419" t="n">
        <v>0.9</v>
      </c>
      <c r="H419" t="n">
        <v>0</v>
      </c>
      <c r="I419" t="n">
        <v>0</v>
      </c>
      <c r="J419" t="n">
        <v>0</v>
      </c>
      <c r="K419" t="n">
        <v>0</v>
      </c>
      <c r="L419" t="n">
        <v>0</v>
      </c>
      <c r="M419" t="n">
        <v>0</v>
      </c>
      <c r="N419" t="n">
        <v>0</v>
      </c>
      <c r="O419" t="n">
        <v>0</v>
      </c>
      <c r="P419" t="n">
        <v>0</v>
      </c>
      <c r="Q419" t="n">
        <v>0</v>
      </c>
      <c r="R419" s="2" t="inlineStr"/>
    </row>
    <row r="420" ht="15" customHeight="1">
      <c r="A420" t="inlineStr">
        <is>
          <t>A 14653-2022</t>
        </is>
      </c>
      <c r="B420" s="1" t="n">
        <v>44655</v>
      </c>
      <c r="C420" s="1" t="n">
        <v>45589</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14657-2022</t>
        </is>
      </c>
      <c r="B421" s="1" t="n">
        <v>44655</v>
      </c>
      <c r="C421" s="1" t="n">
        <v>45589</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14658-2022</t>
        </is>
      </c>
      <c r="B422" s="1" t="n">
        <v>44655</v>
      </c>
      <c r="C422" s="1" t="n">
        <v>45589</v>
      </c>
      <c r="D422" t="inlineStr">
        <is>
          <t>JÄMTLANDS LÄN</t>
        </is>
      </c>
      <c r="E422" t="inlineStr">
        <is>
          <t>ÖSTERSUND</t>
        </is>
      </c>
      <c r="G422" t="n">
        <v>1.3</v>
      </c>
      <c r="H422" t="n">
        <v>0</v>
      </c>
      <c r="I422" t="n">
        <v>0</v>
      </c>
      <c r="J422" t="n">
        <v>0</v>
      </c>
      <c r="K422" t="n">
        <v>0</v>
      </c>
      <c r="L422" t="n">
        <v>0</v>
      </c>
      <c r="M422" t="n">
        <v>0</v>
      </c>
      <c r="N422" t="n">
        <v>0</v>
      </c>
      <c r="O422" t="n">
        <v>0</v>
      </c>
      <c r="P422" t="n">
        <v>0</v>
      </c>
      <c r="Q422" t="n">
        <v>0</v>
      </c>
      <c r="R422" s="2" t="inlineStr"/>
    </row>
    <row r="423" ht="15" customHeight="1">
      <c r="A423" t="inlineStr">
        <is>
          <t>A 16025-2022</t>
        </is>
      </c>
      <c r="B423" s="1" t="n">
        <v>44665</v>
      </c>
      <c r="C423" s="1" t="n">
        <v>45589</v>
      </c>
      <c r="D423" t="inlineStr">
        <is>
          <t>JÄMTLANDS LÄN</t>
        </is>
      </c>
      <c r="E423" t="inlineStr">
        <is>
          <t>ÖSTERSUND</t>
        </is>
      </c>
      <c r="G423" t="n">
        <v>6</v>
      </c>
      <c r="H423" t="n">
        <v>0</v>
      </c>
      <c r="I423" t="n">
        <v>0</v>
      </c>
      <c r="J423" t="n">
        <v>0</v>
      </c>
      <c r="K423" t="n">
        <v>0</v>
      </c>
      <c r="L423" t="n">
        <v>0</v>
      </c>
      <c r="M423" t="n">
        <v>0</v>
      </c>
      <c r="N423" t="n">
        <v>0</v>
      </c>
      <c r="O423" t="n">
        <v>0</v>
      </c>
      <c r="P423" t="n">
        <v>0</v>
      </c>
      <c r="Q423" t="n">
        <v>0</v>
      </c>
      <c r="R423" s="2" t="inlineStr"/>
    </row>
    <row r="424" ht="15" customHeight="1">
      <c r="A424" t="inlineStr">
        <is>
          <t>A 16034-2022</t>
        </is>
      </c>
      <c r="B424" s="1" t="n">
        <v>44665</v>
      </c>
      <c r="C424" s="1" t="n">
        <v>45589</v>
      </c>
      <c r="D424" t="inlineStr">
        <is>
          <t>JÄMTLANDS LÄN</t>
        </is>
      </c>
      <c r="E424" t="inlineStr">
        <is>
          <t>ÖSTERSUND</t>
        </is>
      </c>
      <c r="G424" t="n">
        <v>5.2</v>
      </c>
      <c r="H424" t="n">
        <v>0</v>
      </c>
      <c r="I424" t="n">
        <v>0</v>
      </c>
      <c r="J424" t="n">
        <v>0</v>
      </c>
      <c r="K424" t="n">
        <v>0</v>
      </c>
      <c r="L424" t="n">
        <v>0</v>
      </c>
      <c r="M424" t="n">
        <v>0</v>
      </c>
      <c r="N424" t="n">
        <v>0</v>
      </c>
      <c r="O424" t="n">
        <v>0</v>
      </c>
      <c r="P424" t="n">
        <v>0</v>
      </c>
      <c r="Q424" t="n">
        <v>0</v>
      </c>
      <c r="R424" s="2" t="inlineStr"/>
    </row>
    <row r="425" ht="15" customHeight="1">
      <c r="A425" t="inlineStr">
        <is>
          <t>A 17574-2022</t>
        </is>
      </c>
      <c r="B425" s="1" t="n">
        <v>44680</v>
      </c>
      <c r="C425" s="1" t="n">
        <v>45589</v>
      </c>
      <c r="D425" t="inlineStr">
        <is>
          <t>JÄMTLANDS LÄN</t>
        </is>
      </c>
      <c r="E425" t="inlineStr">
        <is>
          <t>ÖSTERSUND</t>
        </is>
      </c>
      <c r="G425" t="n">
        <v>0.8</v>
      </c>
      <c r="H425" t="n">
        <v>0</v>
      </c>
      <c r="I425" t="n">
        <v>0</v>
      </c>
      <c r="J425" t="n">
        <v>0</v>
      </c>
      <c r="K425" t="n">
        <v>0</v>
      </c>
      <c r="L425" t="n">
        <v>0</v>
      </c>
      <c r="M425" t="n">
        <v>0</v>
      </c>
      <c r="N425" t="n">
        <v>0</v>
      </c>
      <c r="O425" t="n">
        <v>0</v>
      </c>
      <c r="P425" t="n">
        <v>0</v>
      </c>
      <c r="Q425" t="n">
        <v>0</v>
      </c>
      <c r="R425" s="2" t="inlineStr"/>
    </row>
    <row r="426" ht="15" customHeight="1">
      <c r="A426" t="inlineStr">
        <is>
          <t>A 17732-2022</t>
        </is>
      </c>
      <c r="B426" s="1" t="n">
        <v>44681</v>
      </c>
      <c r="C426" s="1" t="n">
        <v>45589</v>
      </c>
      <c r="D426" t="inlineStr">
        <is>
          <t>JÄMTLANDS LÄN</t>
        </is>
      </c>
      <c r="E426" t="inlineStr">
        <is>
          <t>ÖSTERSUND</t>
        </is>
      </c>
      <c r="G426" t="n">
        <v>5.4</v>
      </c>
      <c r="H426" t="n">
        <v>0</v>
      </c>
      <c r="I426" t="n">
        <v>0</v>
      </c>
      <c r="J426" t="n">
        <v>0</v>
      </c>
      <c r="K426" t="n">
        <v>0</v>
      </c>
      <c r="L426" t="n">
        <v>0</v>
      </c>
      <c r="M426" t="n">
        <v>0</v>
      </c>
      <c r="N426" t="n">
        <v>0</v>
      </c>
      <c r="O426" t="n">
        <v>0</v>
      </c>
      <c r="P426" t="n">
        <v>0</v>
      </c>
      <c r="Q426" t="n">
        <v>0</v>
      </c>
      <c r="R426" s="2" t="inlineStr"/>
    </row>
    <row r="427" ht="15" customHeight="1">
      <c r="A427" t="inlineStr">
        <is>
          <t>A 17734-2022</t>
        </is>
      </c>
      <c r="B427" s="1" t="n">
        <v>44680</v>
      </c>
      <c r="C427" s="1" t="n">
        <v>45589</v>
      </c>
      <c r="D427" t="inlineStr">
        <is>
          <t>JÄMTLANDS LÄN</t>
        </is>
      </c>
      <c r="E427" t="inlineStr">
        <is>
          <t>ÖSTERSUND</t>
        </is>
      </c>
      <c r="G427" t="n">
        <v>26.4</v>
      </c>
      <c r="H427" t="n">
        <v>0</v>
      </c>
      <c r="I427" t="n">
        <v>0</v>
      </c>
      <c r="J427" t="n">
        <v>0</v>
      </c>
      <c r="K427" t="n">
        <v>0</v>
      </c>
      <c r="L427" t="n">
        <v>0</v>
      </c>
      <c r="M427" t="n">
        <v>0</v>
      </c>
      <c r="N427" t="n">
        <v>0</v>
      </c>
      <c r="O427" t="n">
        <v>0</v>
      </c>
      <c r="P427" t="n">
        <v>0</v>
      </c>
      <c r="Q427" t="n">
        <v>0</v>
      </c>
      <c r="R427" s="2" t="inlineStr"/>
    </row>
    <row r="428" ht="15" customHeight="1">
      <c r="A428" t="inlineStr">
        <is>
          <t>A 19022-2022</t>
        </is>
      </c>
      <c r="B428" s="1" t="n">
        <v>44690</v>
      </c>
      <c r="C428" s="1" t="n">
        <v>45589</v>
      </c>
      <c r="D428" t="inlineStr">
        <is>
          <t>JÄMTLANDS LÄN</t>
        </is>
      </c>
      <c r="E428" t="inlineStr">
        <is>
          <t>ÖSTERSUND</t>
        </is>
      </c>
      <c r="G428" t="n">
        <v>17.9</v>
      </c>
      <c r="H428" t="n">
        <v>0</v>
      </c>
      <c r="I428" t="n">
        <v>0</v>
      </c>
      <c r="J428" t="n">
        <v>0</v>
      </c>
      <c r="K428" t="n">
        <v>0</v>
      </c>
      <c r="L428" t="n">
        <v>0</v>
      </c>
      <c r="M428" t="n">
        <v>0</v>
      </c>
      <c r="N428" t="n">
        <v>0</v>
      </c>
      <c r="O428" t="n">
        <v>0</v>
      </c>
      <c r="P428" t="n">
        <v>0</v>
      </c>
      <c r="Q428" t="n">
        <v>0</v>
      </c>
      <c r="R428" s="2" t="inlineStr"/>
    </row>
    <row r="429" ht="15" customHeight="1">
      <c r="A429" t="inlineStr">
        <is>
          <t>A 20960-2022</t>
        </is>
      </c>
      <c r="B429" s="1" t="n">
        <v>44702</v>
      </c>
      <c r="C429" s="1" t="n">
        <v>45589</v>
      </c>
      <c r="D429" t="inlineStr">
        <is>
          <t>JÄMTLANDS LÄN</t>
        </is>
      </c>
      <c r="E429" t="inlineStr">
        <is>
          <t>ÖSTERSUND</t>
        </is>
      </c>
      <c r="G429" t="n">
        <v>3.6</v>
      </c>
      <c r="H429" t="n">
        <v>0</v>
      </c>
      <c r="I429" t="n">
        <v>0</v>
      </c>
      <c r="J429" t="n">
        <v>0</v>
      </c>
      <c r="K429" t="n">
        <v>0</v>
      </c>
      <c r="L429" t="n">
        <v>0</v>
      </c>
      <c r="M429" t="n">
        <v>0</v>
      </c>
      <c r="N429" t="n">
        <v>0</v>
      </c>
      <c r="O429" t="n">
        <v>0</v>
      </c>
      <c r="P429" t="n">
        <v>0</v>
      </c>
      <c r="Q429" t="n">
        <v>0</v>
      </c>
      <c r="R429" s="2" t="inlineStr"/>
    </row>
    <row r="430" ht="15" customHeight="1">
      <c r="A430" t="inlineStr">
        <is>
          <t>A 20983-2022</t>
        </is>
      </c>
      <c r="B430" s="1" t="n">
        <v>44703</v>
      </c>
      <c r="C430" s="1" t="n">
        <v>45589</v>
      </c>
      <c r="D430" t="inlineStr">
        <is>
          <t>JÄMTLANDS LÄN</t>
        </is>
      </c>
      <c r="E430" t="inlineStr">
        <is>
          <t>ÖSTERSUND</t>
        </is>
      </c>
      <c r="G430" t="n">
        <v>2.2</v>
      </c>
      <c r="H430" t="n">
        <v>0</v>
      </c>
      <c r="I430" t="n">
        <v>0</v>
      </c>
      <c r="J430" t="n">
        <v>0</v>
      </c>
      <c r="K430" t="n">
        <v>0</v>
      </c>
      <c r="L430" t="n">
        <v>0</v>
      </c>
      <c r="M430" t="n">
        <v>0</v>
      </c>
      <c r="N430" t="n">
        <v>0</v>
      </c>
      <c r="O430" t="n">
        <v>0</v>
      </c>
      <c r="P430" t="n">
        <v>0</v>
      </c>
      <c r="Q430" t="n">
        <v>0</v>
      </c>
      <c r="R430" s="2" t="inlineStr"/>
    </row>
    <row r="431" ht="15" customHeight="1">
      <c r="A431" t="inlineStr">
        <is>
          <t>A 21211-2022</t>
        </is>
      </c>
      <c r="B431" s="1" t="n">
        <v>44705</v>
      </c>
      <c r="C431" s="1" t="n">
        <v>45589</v>
      </c>
      <c r="D431" t="inlineStr">
        <is>
          <t>JÄMTLANDS LÄN</t>
        </is>
      </c>
      <c r="E431" t="inlineStr">
        <is>
          <t>ÖSTERSUND</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21495-2022</t>
        </is>
      </c>
      <c r="B432" s="1" t="n">
        <v>44706</v>
      </c>
      <c r="C432" s="1" t="n">
        <v>45589</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22083-2022</t>
        </is>
      </c>
      <c r="B433" s="1" t="n">
        <v>44711</v>
      </c>
      <c r="C433" s="1" t="n">
        <v>45589</v>
      </c>
      <c r="D433" t="inlineStr">
        <is>
          <t>JÄMTLANDS LÄN</t>
        </is>
      </c>
      <c r="E433" t="inlineStr">
        <is>
          <t>ÖSTERSUND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22085-2022</t>
        </is>
      </c>
      <c r="B434" s="1" t="n">
        <v>44711</v>
      </c>
      <c r="C434" s="1" t="n">
        <v>45589</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22084-2022</t>
        </is>
      </c>
      <c r="B435" s="1" t="n">
        <v>44711</v>
      </c>
      <c r="C435" s="1" t="n">
        <v>45589</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22082-2022</t>
        </is>
      </c>
      <c r="B436" s="1" t="n">
        <v>44712</v>
      </c>
      <c r="C436" s="1" t="n">
        <v>45589</v>
      </c>
      <c r="D436" t="inlineStr">
        <is>
          <t>JÄMTLANDS LÄN</t>
        </is>
      </c>
      <c r="E436" t="inlineStr">
        <is>
          <t>ÖSTERSUND</t>
        </is>
      </c>
      <c r="G436" t="n">
        <v>2.6</v>
      </c>
      <c r="H436" t="n">
        <v>0</v>
      </c>
      <c r="I436" t="n">
        <v>0</v>
      </c>
      <c r="J436" t="n">
        <v>0</v>
      </c>
      <c r="K436" t="n">
        <v>0</v>
      </c>
      <c r="L436" t="n">
        <v>0</v>
      </c>
      <c r="M436" t="n">
        <v>0</v>
      </c>
      <c r="N436" t="n">
        <v>0</v>
      </c>
      <c r="O436" t="n">
        <v>0</v>
      </c>
      <c r="P436" t="n">
        <v>0</v>
      </c>
      <c r="Q436" t="n">
        <v>0</v>
      </c>
      <c r="R436" s="2" t="inlineStr"/>
    </row>
    <row r="437" ht="15" customHeight="1">
      <c r="A437" t="inlineStr">
        <is>
          <t>A 23555-2022</t>
        </is>
      </c>
      <c r="B437" s="1" t="n">
        <v>44721</v>
      </c>
      <c r="C437" s="1" t="n">
        <v>45589</v>
      </c>
      <c r="D437" t="inlineStr">
        <is>
          <t>JÄMTLANDS LÄN</t>
        </is>
      </c>
      <c r="E437" t="inlineStr">
        <is>
          <t>ÖSTERSUND</t>
        </is>
      </c>
      <c r="G437" t="n">
        <v>1.2</v>
      </c>
      <c r="H437" t="n">
        <v>0</v>
      </c>
      <c r="I437" t="n">
        <v>0</v>
      </c>
      <c r="J437" t="n">
        <v>0</v>
      </c>
      <c r="K437" t="n">
        <v>0</v>
      </c>
      <c r="L437" t="n">
        <v>0</v>
      </c>
      <c r="M437" t="n">
        <v>0</v>
      </c>
      <c r="N437" t="n">
        <v>0</v>
      </c>
      <c r="O437" t="n">
        <v>0</v>
      </c>
      <c r="P437" t="n">
        <v>0</v>
      </c>
      <c r="Q437" t="n">
        <v>0</v>
      </c>
      <c r="R437" s="2" t="inlineStr"/>
    </row>
    <row r="438" ht="15" customHeight="1">
      <c r="A438" t="inlineStr">
        <is>
          <t>A 23563-2022</t>
        </is>
      </c>
      <c r="B438" s="1" t="n">
        <v>44721</v>
      </c>
      <c r="C438" s="1" t="n">
        <v>45589</v>
      </c>
      <c r="D438" t="inlineStr">
        <is>
          <t>JÄMTLANDS LÄN</t>
        </is>
      </c>
      <c r="E438" t="inlineStr">
        <is>
          <t>ÖSTERSUND</t>
        </is>
      </c>
      <c r="F438" t="inlineStr">
        <is>
          <t>Övriga Aktiebolag</t>
        </is>
      </c>
      <c r="G438" t="n">
        <v>3.7</v>
      </c>
      <c r="H438" t="n">
        <v>0</v>
      </c>
      <c r="I438" t="n">
        <v>0</v>
      </c>
      <c r="J438" t="n">
        <v>0</v>
      </c>
      <c r="K438" t="n">
        <v>0</v>
      </c>
      <c r="L438" t="n">
        <v>0</v>
      </c>
      <c r="M438" t="n">
        <v>0</v>
      </c>
      <c r="N438" t="n">
        <v>0</v>
      </c>
      <c r="O438" t="n">
        <v>0</v>
      </c>
      <c r="P438" t="n">
        <v>0</v>
      </c>
      <c r="Q438" t="n">
        <v>0</v>
      </c>
      <c r="R438" s="2" t="inlineStr"/>
    </row>
    <row r="439" ht="15" customHeight="1">
      <c r="A439" t="inlineStr">
        <is>
          <t>A 23551-2022</t>
        </is>
      </c>
      <c r="B439" s="1" t="n">
        <v>44721</v>
      </c>
      <c r="C439" s="1" t="n">
        <v>45589</v>
      </c>
      <c r="D439" t="inlineStr">
        <is>
          <t>JÄMTLANDS LÄN</t>
        </is>
      </c>
      <c r="E439" t="inlineStr">
        <is>
          <t>ÖSTERSUND</t>
        </is>
      </c>
      <c r="G439" t="n">
        <v>0.3</v>
      </c>
      <c r="H439" t="n">
        <v>0</v>
      </c>
      <c r="I439" t="n">
        <v>0</v>
      </c>
      <c r="J439" t="n">
        <v>0</v>
      </c>
      <c r="K439" t="n">
        <v>0</v>
      </c>
      <c r="L439" t="n">
        <v>0</v>
      </c>
      <c r="M439" t="n">
        <v>0</v>
      </c>
      <c r="N439" t="n">
        <v>0</v>
      </c>
      <c r="O439" t="n">
        <v>0</v>
      </c>
      <c r="P439" t="n">
        <v>0</v>
      </c>
      <c r="Q439" t="n">
        <v>0</v>
      </c>
      <c r="R439" s="2" t="inlineStr"/>
    </row>
    <row r="440" ht="15" customHeight="1">
      <c r="A440" t="inlineStr">
        <is>
          <t>A 23992-2022</t>
        </is>
      </c>
      <c r="B440" s="1" t="n">
        <v>44722</v>
      </c>
      <c r="C440" s="1" t="n">
        <v>45589</v>
      </c>
      <c r="D440" t="inlineStr">
        <is>
          <t>JÄMTLANDS LÄN</t>
        </is>
      </c>
      <c r="E440" t="inlineStr">
        <is>
          <t>ÖSTERSUND</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23993-2022</t>
        </is>
      </c>
      <c r="B441" s="1" t="n">
        <v>44723</v>
      </c>
      <c r="C441" s="1" t="n">
        <v>45589</v>
      </c>
      <c r="D441" t="inlineStr">
        <is>
          <t>JÄMTLANDS LÄN</t>
        </is>
      </c>
      <c r="E441" t="inlineStr">
        <is>
          <t>ÖSTERSUND</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26321-2022</t>
        </is>
      </c>
      <c r="B442" s="1" t="n">
        <v>44735</v>
      </c>
      <c r="C442" s="1" t="n">
        <v>45589</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26731-2022</t>
        </is>
      </c>
      <c r="B443" s="1" t="n">
        <v>44740</v>
      </c>
      <c r="C443" s="1" t="n">
        <v>45589</v>
      </c>
      <c r="D443" t="inlineStr">
        <is>
          <t>JÄMTLANDS LÄN</t>
        </is>
      </c>
      <c r="E443" t="inlineStr">
        <is>
          <t>ÖSTERSUND</t>
        </is>
      </c>
      <c r="G443" t="n">
        <v>3.1</v>
      </c>
      <c r="H443" t="n">
        <v>0</v>
      </c>
      <c r="I443" t="n">
        <v>0</v>
      </c>
      <c r="J443" t="n">
        <v>0</v>
      </c>
      <c r="K443" t="n">
        <v>0</v>
      </c>
      <c r="L443" t="n">
        <v>0</v>
      </c>
      <c r="M443" t="n">
        <v>0</v>
      </c>
      <c r="N443" t="n">
        <v>0</v>
      </c>
      <c r="O443" t="n">
        <v>0</v>
      </c>
      <c r="P443" t="n">
        <v>0</v>
      </c>
      <c r="Q443" t="n">
        <v>0</v>
      </c>
      <c r="R443" s="2" t="inlineStr"/>
    </row>
    <row r="444" ht="15" customHeight="1">
      <c r="A444" t="inlineStr">
        <is>
          <t>A 27343-2022</t>
        </is>
      </c>
      <c r="B444" s="1" t="n">
        <v>44742</v>
      </c>
      <c r="C444" s="1" t="n">
        <v>45589</v>
      </c>
      <c r="D444" t="inlineStr">
        <is>
          <t>JÄMTLANDS LÄN</t>
        </is>
      </c>
      <c r="E444" t="inlineStr">
        <is>
          <t>ÖSTERSUND</t>
        </is>
      </c>
      <c r="G444" t="n">
        <v>1.5</v>
      </c>
      <c r="H444" t="n">
        <v>0</v>
      </c>
      <c r="I444" t="n">
        <v>0</v>
      </c>
      <c r="J444" t="n">
        <v>0</v>
      </c>
      <c r="K444" t="n">
        <v>0</v>
      </c>
      <c r="L444" t="n">
        <v>0</v>
      </c>
      <c r="M444" t="n">
        <v>0</v>
      </c>
      <c r="N444" t="n">
        <v>0</v>
      </c>
      <c r="O444" t="n">
        <v>0</v>
      </c>
      <c r="P444" t="n">
        <v>0</v>
      </c>
      <c r="Q444" t="n">
        <v>0</v>
      </c>
      <c r="R444" s="2" t="inlineStr"/>
    </row>
    <row r="445" ht="15" customHeight="1">
      <c r="A445" t="inlineStr">
        <is>
          <t>A 27582-2022</t>
        </is>
      </c>
      <c r="B445" s="1" t="n">
        <v>44743</v>
      </c>
      <c r="C445" s="1" t="n">
        <v>45589</v>
      </c>
      <c r="D445" t="inlineStr">
        <is>
          <t>JÄMTLANDS LÄN</t>
        </is>
      </c>
      <c r="E445" t="inlineStr">
        <is>
          <t>ÖSTERSUND</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27575-2022</t>
        </is>
      </c>
      <c r="B446" s="1" t="n">
        <v>44742</v>
      </c>
      <c r="C446" s="1" t="n">
        <v>45589</v>
      </c>
      <c r="D446" t="inlineStr">
        <is>
          <t>JÄMTLANDS LÄN</t>
        </is>
      </c>
      <c r="E446" t="inlineStr">
        <is>
          <t>ÖSTERSUND</t>
        </is>
      </c>
      <c r="F446" t="inlineStr">
        <is>
          <t>SCA</t>
        </is>
      </c>
      <c r="G446" t="n">
        <v>2.4</v>
      </c>
      <c r="H446" t="n">
        <v>0</v>
      </c>
      <c r="I446" t="n">
        <v>0</v>
      </c>
      <c r="J446" t="n">
        <v>0</v>
      </c>
      <c r="K446" t="n">
        <v>0</v>
      </c>
      <c r="L446" t="n">
        <v>0</v>
      </c>
      <c r="M446" t="n">
        <v>0</v>
      </c>
      <c r="N446" t="n">
        <v>0</v>
      </c>
      <c r="O446" t="n">
        <v>0</v>
      </c>
      <c r="P446" t="n">
        <v>0</v>
      </c>
      <c r="Q446" t="n">
        <v>0</v>
      </c>
      <c r="R446" s="2" t="inlineStr"/>
      <c r="U446">
        <f>HYPERLINK("https://klasma.github.io/Logging_2380/knärot/A 27575-2022 karta knärot.png", "A 27575-2022")</f>
        <v/>
      </c>
      <c r="V446">
        <f>HYPERLINK("https://klasma.github.io/Logging_2380/klagomål/A 27575-2022 FSC-klagomål.docx", "A 27575-2022")</f>
        <v/>
      </c>
      <c r="W446">
        <f>HYPERLINK("https://klasma.github.io/Logging_2380/klagomålsmail/A 27575-2022 FSC-klagomål mail.docx", "A 27575-2022")</f>
        <v/>
      </c>
      <c r="X446">
        <f>HYPERLINK("https://klasma.github.io/Logging_2380/tillsyn/A 27575-2022 tillsynsbegäran.docx", "A 27575-2022")</f>
        <v/>
      </c>
      <c r="Y446">
        <f>HYPERLINK("https://klasma.github.io/Logging_2380/tillsynsmail/A 27575-2022 tillsynsbegäran mail.docx", "A 27575-2022")</f>
        <v/>
      </c>
    </row>
    <row r="447" ht="15" customHeight="1">
      <c r="A447" t="inlineStr">
        <is>
          <t>A 27581-2022</t>
        </is>
      </c>
      <c r="B447" s="1" t="n">
        <v>44742</v>
      </c>
      <c r="C447" s="1" t="n">
        <v>45589</v>
      </c>
      <c r="D447" t="inlineStr">
        <is>
          <t>JÄMTLANDS LÄN</t>
        </is>
      </c>
      <c r="E447" t="inlineStr">
        <is>
          <t>ÖSTERSUND</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27780-2022</t>
        </is>
      </c>
      <c r="B448" s="1" t="n">
        <v>44743</v>
      </c>
      <c r="C448" s="1" t="n">
        <v>45589</v>
      </c>
      <c r="D448" t="inlineStr">
        <is>
          <t>JÄMTLANDS LÄN</t>
        </is>
      </c>
      <c r="E448" t="inlineStr">
        <is>
          <t>ÖSTERSUND</t>
        </is>
      </c>
      <c r="G448" t="n">
        <v>2.2</v>
      </c>
      <c r="H448" t="n">
        <v>0</v>
      </c>
      <c r="I448" t="n">
        <v>0</v>
      </c>
      <c r="J448" t="n">
        <v>0</v>
      </c>
      <c r="K448" t="n">
        <v>0</v>
      </c>
      <c r="L448" t="n">
        <v>0</v>
      </c>
      <c r="M448" t="n">
        <v>0</v>
      </c>
      <c r="N448" t="n">
        <v>0</v>
      </c>
      <c r="O448" t="n">
        <v>0</v>
      </c>
      <c r="P448" t="n">
        <v>0</v>
      </c>
      <c r="Q448" t="n">
        <v>0</v>
      </c>
      <c r="R448" s="2" t="inlineStr"/>
    </row>
    <row r="449" ht="15" customHeight="1">
      <c r="A449" t="inlineStr">
        <is>
          <t>A 29094-2022</t>
        </is>
      </c>
      <c r="B449" s="1" t="n">
        <v>44750</v>
      </c>
      <c r="C449" s="1" t="n">
        <v>45589</v>
      </c>
      <c r="D449" t="inlineStr">
        <is>
          <t>JÄMTLANDS LÄN</t>
        </is>
      </c>
      <c r="E449" t="inlineStr">
        <is>
          <t>ÖSTERSUND</t>
        </is>
      </c>
      <c r="G449" t="n">
        <v>0.7</v>
      </c>
      <c r="H449" t="n">
        <v>0</v>
      </c>
      <c r="I449" t="n">
        <v>0</v>
      </c>
      <c r="J449" t="n">
        <v>0</v>
      </c>
      <c r="K449" t="n">
        <v>0</v>
      </c>
      <c r="L449" t="n">
        <v>0</v>
      </c>
      <c r="M449" t="n">
        <v>0</v>
      </c>
      <c r="N449" t="n">
        <v>0</v>
      </c>
      <c r="O449" t="n">
        <v>0</v>
      </c>
      <c r="P449" t="n">
        <v>0</v>
      </c>
      <c r="Q449" t="n">
        <v>0</v>
      </c>
      <c r="R449" s="2" t="inlineStr"/>
    </row>
    <row r="450" ht="15" customHeight="1">
      <c r="A450" t="inlineStr">
        <is>
          <t>A 29128-2022</t>
        </is>
      </c>
      <c r="B450" s="1" t="n">
        <v>44750</v>
      </c>
      <c r="C450" s="1" t="n">
        <v>45589</v>
      </c>
      <c r="D450" t="inlineStr">
        <is>
          <t>JÄMTLANDS LÄN</t>
        </is>
      </c>
      <c r="E450" t="inlineStr">
        <is>
          <t>ÖSTERSUND</t>
        </is>
      </c>
      <c r="G450" t="n">
        <v>3</v>
      </c>
      <c r="H450" t="n">
        <v>0</v>
      </c>
      <c r="I450" t="n">
        <v>0</v>
      </c>
      <c r="J450" t="n">
        <v>0</v>
      </c>
      <c r="K450" t="n">
        <v>0</v>
      </c>
      <c r="L450" t="n">
        <v>0</v>
      </c>
      <c r="M450" t="n">
        <v>0</v>
      </c>
      <c r="N450" t="n">
        <v>0</v>
      </c>
      <c r="O450" t="n">
        <v>0</v>
      </c>
      <c r="P450" t="n">
        <v>0</v>
      </c>
      <c r="Q450" t="n">
        <v>0</v>
      </c>
      <c r="R450" s="2" t="inlineStr"/>
    </row>
    <row r="451" ht="15" customHeight="1">
      <c r="A451" t="inlineStr">
        <is>
          <t>A 29829-2022</t>
        </is>
      </c>
      <c r="B451" s="1" t="n">
        <v>44755</v>
      </c>
      <c r="C451" s="1" t="n">
        <v>45589</v>
      </c>
      <c r="D451" t="inlineStr">
        <is>
          <t>JÄMTLANDS LÄN</t>
        </is>
      </c>
      <c r="E451" t="inlineStr">
        <is>
          <t>ÖSTERSUND</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29828-2022</t>
        </is>
      </c>
      <c r="B452" s="1" t="n">
        <v>44755</v>
      </c>
      <c r="C452" s="1" t="n">
        <v>45589</v>
      </c>
      <c r="D452" t="inlineStr">
        <is>
          <t>JÄMTLANDS LÄN</t>
        </is>
      </c>
      <c r="E452" t="inlineStr">
        <is>
          <t>ÖSTERSUND</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30217-2022</t>
        </is>
      </c>
      <c r="B453" s="1" t="n">
        <v>44758</v>
      </c>
      <c r="C453" s="1" t="n">
        <v>45589</v>
      </c>
      <c r="D453" t="inlineStr">
        <is>
          <t>JÄMTLANDS LÄN</t>
        </is>
      </c>
      <c r="E453" t="inlineStr">
        <is>
          <t>ÖSTERSUND</t>
        </is>
      </c>
      <c r="G453" t="n">
        <v>2.9</v>
      </c>
      <c r="H453" t="n">
        <v>0</v>
      </c>
      <c r="I453" t="n">
        <v>0</v>
      </c>
      <c r="J453" t="n">
        <v>0</v>
      </c>
      <c r="K453" t="n">
        <v>0</v>
      </c>
      <c r="L453" t="n">
        <v>0</v>
      </c>
      <c r="M453" t="n">
        <v>0</v>
      </c>
      <c r="N453" t="n">
        <v>0</v>
      </c>
      <c r="O453" t="n">
        <v>0</v>
      </c>
      <c r="P453" t="n">
        <v>0</v>
      </c>
      <c r="Q453" t="n">
        <v>0</v>
      </c>
      <c r="R453" s="2" t="inlineStr"/>
    </row>
    <row r="454" ht="15" customHeight="1">
      <c r="A454" t="inlineStr">
        <is>
          <t>A 33804-2022</t>
        </is>
      </c>
      <c r="B454" s="1" t="n">
        <v>44790</v>
      </c>
      <c r="C454" s="1" t="n">
        <v>45589</v>
      </c>
      <c r="D454" t="inlineStr">
        <is>
          <t>JÄMTLANDS LÄN</t>
        </is>
      </c>
      <c r="E454" t="inlineStr">
        <is>
          <t>ÖSTERSUND</t>
        </is>
      </c>
      <c r="G454" t="n">
        <v>1.8</v>
      </c>
      <c r="H454" t="n">
        <v>0</v>
      </c>
      <c r="I454" t="n">
        <v>0</v>
      </c>
      <c r="J454" t="n">
        <v>0</v>
      </c>
      <c r="K454" t="n">
        <v>0</v>
      </c>
      <c r="L454" t="n">
        <v>0</v>
      </c>
      <c r="M454" t="n">
        <v>0</v>
      </c>
      <c r="N454" t="n">
        <v>0</v>
      </c>
      <c r="O454" t="n">
        <v>0</v>
      </c>
      <c r="P454" t="n">
        <v>0</v>
      </c>
      <c r="Q454" t="n">
        <v>0</v>
      </c>
      <c r="R454" s="2" t="inlineStr"/>
    </row>
    <row r="455" ht="15" customHeight="1">
      <c r="A455" t="inlineStr">
        <is>
          <t>A 33808-2022</t>
        </is>
      </c>
      <c r="B455" s="1" t="n">
        <v>44790</v>
      </c>
      <c r="C455" s="1" t="n">
        <v>45589</v>
      </c>
      <c r="D455" t="inlineStr">
        <is>
          <t>JÄMTLANDS LÄN</t>
        </is>
      </c>
      <c r="E455" t="inlineStr">
        <is>
          <t>ÖSTERSUND</t>
        </is>
      </c>
      <c r="G455" t="n">
        <v>4.1</v>
      </c>
      <c r="H455" t="n">
        <v>0</v>
      </c>
      <c r="I455" t="n">
        <v>0</v>
      </c>
      <c r="J455" t="n">
        <v>0</v>
      </c>
      <c r="K455" t="n">
        <v>0</v>
      </c>
      <c r="L455" t="n">
        <v>0</v>
      </c>
      <c r="M455" t="n">
        <v>0</v>
      </c>
      <c r="N455" t="n">
        <v>0</v>
      </c>
      <c r="O455" t="n">
        <v>0</v>
      </c>
      <c r="P455" t="n">
        <v>0</v>
      </c>
      <c r="Q455" t="n">
        <v>0</v>
      </c>
      <c r="R455" s="2" t="inlineStr"/>
    </row>
    <row r="456" ht="15" customHeight="1">
      <c r="A456" t="inlineStr">
        <is>
          <t>A 33813-2022</t>
        </is>
      </c>
      <c r="B456" s="1" t="n">
        <v>44790</v>
      </c>
      <c r="C456" s="1" t="n">
        <v>45589</v>
      </c>
      <c r="D456" t="inlineStr">
        <is>
          <t>JÄMTLANDS LÄN</t>
        </is>
      </c>
      <c r="E456" t="inlineStr">
        <is>
          <t>ÖSTERSUND</t>
        </is>
      </c>
      <c r="G456" t="n">
        <v>7.9</v>
      </c>
      <c r="H456" t="n">
        <v>0</v>
      </c>
      <c r="I456" t="n">
        <v>0</v>
      </c>
      <c r="J456" t="n">
        <v>0</v>
      </c>
      <c r="K456" t="n">
        <v>0</v>
      </c>
      <c r="L456" t="n">
        <v>0</v>
      </c>
      <c r="M456" t="n">
        <v>0</v>
      </c>
      <c r="N456" t="n">
        <v>0</v>
      </c>
      <c r="O456" t="n">
        <v>0</v>
      </c>
      <c r="P456" t="n">
        <v>0</v>
      </c>
      <c r="Q456" t="n">
        <v>0</v>
      </c>
      <c r="R456" s="2" t="inlineStr"/>
    </row>
    <row r="457" ht="15" customHeight="1">
      <c r="A457" t="inlineStr">
        <is>
          <t>A 33786-2022</t>
        </is>
      </c>
      <c r="B457" s="1" t="n">
        <v>44790</v>
      </c>
      <c r="C457" s="1" t="n">
        <v>45589</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33801-2022</t>
        </is>
      </c>
      <c r="B458" s="1" t="n">
        <v>44790</v>
      </c>
      <c r="C458" s="1" t="n">
        <v>45589</v>
      </c>
      <c r="D458" t="inlineStr">
        <is>
          <t>JÄMTLANDS LÄN</t>
        </is>
      </c>
      <c r="E458" t="inlineStr">
        <is>
          <t>ÖSTERSUND</t>
        </is>
      </c>
      <c r="G458" t="n">
        <v>7.6</v>
      </c>
      <c r="H458" t="n">
        <v>0</v>
      </c>
      <c r="I458" t="n">
        <v>0</v>
      </c>
      <c r="J458" t="n">
        <v>0</v>
      </c>
      <c r="K458" t="n">
        <v>0</v>
      </c>
      <c r="L458" t="n">
        <v>0</v>
      </c>
      <c r="M458" t="n">
        <v>0</v>
      </c>
      <c r="N458" t="n">
        <v>0</v>
      </c>
      <c r="O458" t="n">
        <v>0</v>
      </c>
      <c r="P458" t="n">
        <v>0</v>
      </c>
      <c r="Q458" t="n">
        <v>0</v>
      </c>
      <c r="R458" s="2" t="inlineStr"/>
    </row>
    <row r="459" ht="15" customHeight="1">
      <c r="A459" t="inlineStr">
        <is>
          <t>A 35556-2022</t>
        </is>
      </c>
      <c r="B459" s="1" t="n">
        <v>44799</v>
      </c>
      <c r="C459" s="1" t="n">
        <v>45589</v>
      </c>
      <c r="D459" t="inlineStr">
        <is>
          <t>JÄMTLANDS LÄN</t>
        </is>
      </c>
      <c r="E459" t="inlineStr">
        <is>
          <t>ÖSTERSUND</t>
        </is>
      </c>
      <c r="G459" t="n">
        <v>3.6</v>
      </c>
      <c r="H459" t="n">
        <v>0</v>
      </c>
      <c r="I459" t="n">
        <v>0</v>
      </c>
      <c r="J459" t="n">
        <v>0</v>
      </c>
      <c r="K459" t="n">
        <v>0</v>
      </c>
      <c r="L459" t="n">
        <v>0</v>
      </c>
      <c r="M459" t="n">
        <v>0</v>
      </c>
      <c r="N459" t="n">
        <v>0</v>
      </c>
      <c r="O459" t="n">
        <v>0</v>
      </c>
      <c r="P459" t="n">
        <v>0</v>
      </c>
      <c r="Q459" t="n">
        <v>0</v>
      </c>
      <c r="R459" s="2" t="inlineStr"/>
    </row>
    <row r="460" ht="15" customHeight="1">
      <c r="A460" t="inlineStr">
        <is>
          <t>A 39828-2022</t>
        </is>
      </c>
      <c r="B460" s="1" t="n">
        <v>44817</v>
      </c>
      <c r="C460" s="1" t="n">
        <v>45589</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39928-2022</t>
        </is>
      </c>
      <c r="B461" s="1" t="n">
        <v>44819</v>
      </c>
      <c r="C461" s="1" t="n">
        <v>45589</v>
      </c>
      <c r="D461" t="inlineStr">
        <is>
          <t>JÄMTLANDS LÄN</t>
        </is>
      </c>
      <c r="E461" t="inlineStr">
        <is>
          <t>ÖSTERSUND</t>
        </is>
      </c>
      <c r="F461" t="inlineStr">
        <is>
          <t>SCA</t>
        </is>
      </c>
      <c r="G461" t="n">
        <v>8.9</v>
      </c>
      <c r="H461" t="n">
        <v>0</v>
      </c>
      <c r="I461" t="n">
        <v>0</v>
      </c>
      <c r="J461" t="n">
        <v>0</v>
      </c>
      <c r="K461" t="n">
        <v>0</v>
      </c>
      <c r="L461" t="n">
        <v>0</v>
      </c>
      <c r="M461" t="n">
        <v>0</v>
      </c>
      <c r="N461" t="n">
        <v>0</v>
      </c>
      <c r="O461" t="n">
        <v>0</v>
      </c>
      <c r="P461" t="n">
        <v>0</v>
      </c>
      <c r="Q461" t="n">
        <v>0</v>
      </c>
      <c r="R461" s="2" t="inlineStr"/>
    </row>
    <row r="462" ht="15" customHeight="1">
      <c r="A462" t="inlineStr">
        <is>
          <t>A 40885-2022</t>
        </is>
      </c>
      <c r="B462" s="1" t="n">
        <v>44820</v>
      </c>
      <c r="C462" s="1" t="n">
        <v>45589</v>
      </c>
      <c r="D462" t="inlineStr">
        <is>
          <t>JÄMTLANDS LÄN</t>
        </is>
      </c>
      <c r="E462" t="inlineStr">
        <is>
          <t>ÖSTERSUND</t>
        </is>
      </c>
      <c r="G462" t="n">
        <v>0.8</v>
      </c>
      <c r="H462" t="n">
        <v>0</v>
      </c>
      <c r="I462" t="n">
        <v>0</v>
      </c>
      <c r="J462" t="n">
        <v>0</v>
      </c>
      <c r="K462" t="n">
        <v>0</v>
      </c>
      <c r="L462" t="n">
        <v>0</v>
      </c>
      <c r="M462" t="n">
        <v>0</v>
      </c>
      <c r="N462" t="n">
        <v>0</v>
      </c>
      <c r="O462" t="n">
        <v>0</v>
      </c>
      <c r="P462" t="n">
        <v>0</v>
      </c>
      <c r="Q462" t="n">
        <v>0</v>
      </c>
      <c r="R462" s="2" t="inlineStr"/>
    </row>
    <row r="463" ht="15" customHeight="1">
      <c r="A463" t="inlineStr">
        <is>
          <t>A 43511-2022</t>
        </is>
      </c>
      <c r="B463" s="1" t="n">
        <v>44837</v>
      </c>
      <c r="C463" s="1" t="n">
        <v>45589</v>
      </c>
      <c r="D463" t="inlineStr">
        <is>
          <t>JÄMTLANDS LÄN</t>
        </is>
      </c>
      <c r="E463" t="inlineStr">
        <is>
          <t>ÖSTERSUND</t>
        </is>
      </c>
      <c r="G463" t="n">
        <v>3.7</v>
      </c>
      <c r="H463" t="n">
        <v>0</v>
      </c>
      <c r="I463" t="n">
        <v>0</v>
      </c>
      <c r="J463" t="n">
        <v>0</v>
      </c>
      <c r="K463" t="n">
        <v>0</v>
      </c>
      <c r="L463" t="n">
        <v>0</v>
      </c>
      <c r="M463" t="n">
        <v>0</v>
      </c>
      <c r="N463" t="n">
        <v>0</v>
      </c>
      <c r="O463" t="n">
        <v>0</v>
      </c>
      <c r="P463" t="n">
        <v>0</v>
      </c>
      <c r="Q463" t="n">
        <v>0</v>
      </c>
      <c r="R463" s="2" t="inlineStr"/>
    </row>
    <row r="464" ht="15" customHeight="1">
      <c r="A464" t="inlineStr">
        <is>
          <t>A 43951-2022</t>
        </is>
      </c>
      <c r="B464" s="1" t="n">
        <v>44838</v>
      </c>
      <c r="C464" s="1" t="n">
        <v>45589</v>
      </c>
      <c r="D464" t="inlineStr">
        <is>
          <t>JÄMTLANDS LÄN</t>
        </is>
      </c>
      <c r="E464" t="inlineStr">
        <is>
          <t>ÖSTERSUND</t>
        </is>
      </c>
      <c r="F464" t="inlineStr">
        <is>
          <t>Övriga Aktiebolag</t>
        </is>
      </c>
      <c r="G464" t="n">
        <v>2.9</v>
      </c>
      <c r="H464" t="n">
        <v>0</v>
      </c>
      <c r="I464" t="n">
        <v>0</v>
      </c>
      <c r="J464" t="n">
        <v>0</v>
      </c>
      <c r="K464" t="n">
        <v>0</v>
      </c>
      <c r="L464" t="n">
        <v>0</v>
      </c>
      <c r="M464" t="n">
        <v>0</v>
      </c>
      <c r="N464" t="n">
        <v>0</v>
      </c>
      <c r="O464" t="n">
        <v>0</v>
      </c>
      <c r="P464" t="n">
        <v>0</v>
      </c>
      <c r="Q464" t="n">
        <v>0</v>
      </c>
      <c r="R464" s="2" t="inlineStr"/>
    </row>
    <row r="465" ht="15" customHeight="1">
      <c r="A465" t="inlineStr">
        <is>
          <t>A 44909-2022</t>
        </is>
      </c>
      <c r="B465" s="1" t="n">
        <v>44840</v>
      </c>
      <c r="C465" s="1" t="n">
        <v>45589</v>
      </c>
      <c r="D465" t="inlineStr">
        <is>
          <t>JÄMTLANDS LÄN</t>
        </is>
      </c>
      <c r="E465" t="inlineStr">
        <is>
          <t>ÖSTERSUND</t>
        </is>
      </c>
      <c r="G465" t="n">
        <v>1.5</v>
      </c>
      <c r="H465" t="n">
        <v>0</v>
      </c>
      <c r="I465" t="n">
        <v>0</v>
      </c>
      <c r="J465" t="n">
        <v>0</v>
      </c>
      <c r="K465" t="n">
        <v>0</v>
      </c>
      <c r="L465" t="n">
        <v>0</v>
      </c>
      <c r="M465" t="n">
        <v>0</v>
      </c>
      <c r="N465" t="n">
        <v>0</v>
      </c>
      <c r="O465" t="n">
        <v>0</v>
      </c>
      <c r="P465" t="n">
        <v>0</v>
      </c>
      <c r="Q465" t="n">
        <v>0</v>
      </c>
      <c r="R465" s="2" t="inlineStr"/>
    </row>
    <row r="466" ht="15" customHeight="1">
      <c r="A466" t="inlineStr">
        <is>
          <t>A 45004-2022</t>
        </is>
      </c>
      <c r="B466" s="1" t="n">
        <v>44840</v>
      </c>
      <c r="C466" s="1" t="n">
        <v>45589</v>
      </c>
      <c r="D466" t="inlineStr">
        <is>
          <t>JÄMTLANDS LÄN</t>
        </is>
      </c>
      <c r="E466" t="inlineStr">
        <is>
          <t>ÖSTERSUND</t>
        </is>
      </c>
      <c r="G466" t="n">
        <v>2.5</v>
      </c>
      <c r="H466" t="n">
        <v>0</v>
      </c>
      <c r="I466" t="n">
        <v>0</v>
      </c>
      <c r="J466" t="n">
        <v>0</v>
      </c>
      <c r="K466" t="n">
        <v>0</v>
      </c>
      <c r="L466" t="n">
        <v>0</v>
      </c>
      <c r="M466" t="n">
        <v>0</v>
      </c>
      <c r="N466" t="n">
        <v>0</v>
      </c>
      <c r="O466" t="n">
        <v>0</v>
      </c>
      <c r="P466" t="n">
        <v>0</v>
      </c>
      <c r="Q466" t="n">
        <v>0</v>
      </c>
      <c r="R466" s="2" t="inlineStr"/>
    </row>
    <row r="467" ht="15" customHeight="1">
      <c r="A467" t="inlineStr">
        <is>
          <t>A 45654-2022</t>
        </is>
      </c>
      <c r="B467" s="1" t="n">
        <v>44845</v>
      </c>
      <c r="C467" s="1" t="n">
        <v>45589</v>
      </c>
      <c r="D467" t="inlineStr">
        <is>
          <t>JÄMTLANDS LÄN</t>
        </is>
      </c>
      <c r="E467" t="inlineStr">
        <is>
          <t>ÖSTERSUND</t>
        </is>
      </c>
      <c r="G467" t="n">
        <v>0.4</v>
      </c>
      <c r="H467" t="n">
        <v>0</v>
      </c>
      <c r="I467" t="n">
        <v>0</v>
      </c>
      <c r="J467" t="n">
        <v>0</v>
      </c>
      <c r="K467" t="n">
        <v>0</v>
      </c>
      <c r="L467" t="n">
        <v>0</v>
      </c>
      <c r="M467" t="n">
        <v>0</v>
      </c>
      <c r="N467" t="n">
        <v>0</v>
      </c>
      <c r="O467" t="n">
        <v>0</v>
      </c>
      <c r="P467" t="n">
        <v>0</v>
      </c>
      <c r="Q467" t="n">
        <v>0</v>
      </c>
      <c r="R467" s="2" t="inlineStr"/>
    </row>
    <row r="468" ht="15" customHeight="1">
      <c r="A468" t="inlineStr">
        <is>
          <t>A 46913-2022</t>
        </is>
      </c>
      <c r="B468" s="1" t="n">
        <v>44851</v>
      </c>
      <c r="C468" s="1" t="n">
        <v>45589</v>
      </c>
      <c r="D468" t="inlineStr">
        <is>
          <t>JÄMTLANDS LÄN</t>
        </is>
      </c>
      <c r="E468" t="inlineStr">
        <is>
          <t>ÖSTERSUND</t>
        </is>
      </c>
      <c r="G468" t="n">
        <v>2.5</v>
      </c>
      <c r="H468" t="n">
        <v>0</v>
      </c>
      <c r="I468" t="n">
        <v>0</v>
      </c>
      <c r="J468" t="n">
        <v>0</v>
      </c>
      <c r="K468" t="n">
        <v>0</v>
      </c>
      <c r="L468" t="n">
        <v>0</v>
      </c>
      <c r="M468" t="n">
        <v>0</v>
      </c>
      <c r="N468" t="n">
        <v>0</v>
      </c>
      <c r="O468" t="n">
        <v>0</v>
      </c>
      <c r="P468" t="n">
        <v>0</v>
      </c>
      <c r="Q468" t="n">
        <v>0</v>
      </c>
      <c r="R468" s="2" t="inlineStr"/>
    </row>
    <row r="469" ht="15" customHeight="1">
      <c r="A469" t="inlineStr">
        <is>
          <t>A 47296-2022</t>
        </is>
      </c>
      <c r="B469" s="1" t="n">
        <v>44853</v>
      </c>
      <c r="C469" s="1" t="n">
        <v>45589</v>
      </c>
      <c r="D469" t="inlineStr">
        <is>
          <t>JÄMTLANDS LÄN</t>
        </is>
      </c>
      <c r="E469" t="inlineStr">
        <is>
          <t>ÖSTERSUND</t>
        </is>
      </c>
      <c r="G469" t="n">
        <v>0.5</v>
      </c>
      <c r="H469" t="n">
        <v>0</v>
      </c>
      <c r="I469" t="n">
        <v>0</v>
      </c>
      <c r="J469" t="n">
        <v>0</v>
      </c>
      <c r="K469" t="n">
        <v>0</v>
      </c>
      <c r="L469" t="n">
        <v>0</v>
      </c>
      <c r="M469" t="n">
        <v>0</v>
      </c>
      <c r="N469" t="n">
        <v>0</v>
      </c>
      <c r="O469" t="n">
        <v>0</v>
      </c>
      <c r="P469" t="n">
        <v>0</v>
      </c>
      <c r="Q469" t="n">
        <v>0</v>
      </c>
      <c r="R469" s="2" t="inlineStr"/>
    </row>
    <row r="470" ht="15" customHeight="1">
      <c r="A470" t="inlineStr">
        <is>
          <t>A 47294-2022</t>
        </is>
      </c>
      <c r="B470" s="1" t="n">
        <v>44852</v>
      </c>
      <c r="C470" s="1" t="n">
        <v>45589</v>
      </c>
      <c r="D470" t="inlineStr">
        <is>
          <t>JÄMTLANDS LÄN</t>
        </is>
      </c>
      <c r="E470" t="inlineStr">
        <is>
          <t>ÖSTERSUND</t>
        </is>
      </c>
      <c r="G470" t="n">
        <v>1.7</v>
      </c>
      <c r="H470" t="n">
        <v>0</v>
      </c>
      <c r="I470" t="n">
        <v>0</v>
      </c>
      <c r="J470" t="n">
        <v>0</v>
      </c>
      <c r="K470" t="n">
        <v>0</v>
      </c>
      <c r="L470" t="n">
        <v>0</v>
      </c>
      <c r="M470" t="n">
        <v>0</v>
      </c>
      <c r="N470" t="n">
        <v>0</v>
      </c>
      <c r="O470" t="n">
        <v>0</v>
      </c>
      <c r="P470" t="n">
        <v>0</v>
      </c>
      <c r="Q470" t="n">
        <v>0</v>
      </c>
      <c r="R470" s="2" t="inlineStr"/>
    </row>
    <row r="471" ht="15" customHeight="1">
      <c r="A471" t="inlineStr">
        <is>
          <t>A 47295-2022</t>
        </is>
      </c>
      <c r="B471" s="1" t="n">
        <v>44852</v>
      </c>
      <c r="C471" s="1" t="n">
        <v>45589</v>
      </c>
      <c r="D471" t="inlineStr">
        <is>
          <t>JÄMTLANDS LÄN</t>
        </is>
      </c>
      <c r="E471" t="inlineStr">
        <is>
          <t>ÖSTERSUND</t>
        </is>
      </c>
      <c r="G471" t="n">
        <v>1.1</v>
      </c>
      <c r="H471" t="n">
        <v>0</v>
      </c>
      <c r="I471" t="n">
        <v>0</v>
      </c>
      <c r="J471" t="n">
        <v>0</v>
      </c>
      <c r="K471" t="n">
        <v>0</v>
      </c>
      <c r="L471" t="n">
        <v>0</v>
      </c>
      <c r="M471" t="n">
        <v>0</v>
      </c>
      <c r="N471" t="n">
        <v>0</v>
      </c>
      <c r="O471" t="n">
        <v>0</v>
      </c>
      <c r="P471" t="n">
        <v>0</v>
      </c>
      <c r="Q471" t="n">
        <v>0</v>
      </c>
      <c r="R471" s="2" t="inlineStr"/>
    </row>
    <row r="472" ht="15" customHeight="1">
      <c r="A472" t="inlineStr">
        <is>
          <t>A 49389-2022</t>
        </is>
      </c>
      <c r="B472" s="1" t="n">
        <v>44861</v>
      </c>
      <c r="C472" s="1" t="n">
        <v>45589</v>
      </c>
      <c r="D472" t="inlineStr">
        <is>
          <t>JÄMTLANDS LÄN</t>
        </is>
      </c>
      <c r="E472" t="inlineStr">
        <is>
          <t>ÖSTERSUND</t>
        </is>
      </c>
      <c r="F472" t="inlineStr">
        <is>
          <t>Övriga Aktiebolag</t>
        </is>
      </c>
      <c r="G472" t="n">
        <v>19.2</v>
      </c>
      <c r="H472" t="n">
        <v>0</v>
      </c>
      <c r="I472" t="n">
        <v>0</v>
      </c>
      <c r="J472" t="n">
        <v>0</v>
      </c>
      <c r="K472" t="n">
        <v>0</v>
      </c>
      <c r="L472" t="n">
        <v>0</v>
      </c>
      <c r="M472" t="n">
        <v>0</v>
      </c>
      <c r="N472" t="n">
        <v>0</v>
      </c>
      <c r="O472" t="n">
        <v>0</v>
      </c>
      <c r="P472" t="n">
        <v>0</v>
      </c>
      <c r="Q472" t="n">
        <v>0</v>
      </c>
      <c r="R472" s="2" t="inlineStr"/>
    </row>
    <row r="473" ht="15" customHeight="1">
      <c r="A473" t="inlineStr">
        <is>
          <t>A 50932-2022</t>
        </is>
      </c>
      <c r="B473" s="1" t="n">
        <v>44867</v>
      </c>
      <c r="C473" s="1" t="n">
        <v>45589</v>
      </c>
      <c r="D473" t="inlineStr">
        <is>
          <t>JÄMTLANDS LÄN</t>
        </is>
      </c>
      <c r="E473" t="inlineStr">
        <is>
          <t>ÖSTERSUND</t>
        </is>
      </c>
      <c r="F473" t="inlineStr">
        <is>
          <t>Övriga Aktiebolag</t>
        </is>
      </c>
      <c r="G473" t="n">
        <v>3.9</v>
      </c>
      <c r="H473" t="n">
        <v>0</v>
      </c>
      <c r="I473" t="n">
        <v>0</v>
      </c>
      <c r="J473" t="n">
        <v>0</v>
      </c>
      <c r="K473" t="n">
        <v>0</v>
      </c>
      <c r="L473" t="n">
        <v>0</v>
      </c>
      <c r="M473" t="n">
        <v>0</v>
      </c>
      <c r="N473" t="n">
        <v>0</v>
      </c>
      <c r="O473" t="n">
        <v>0</v>
      </c>
      <c r="P473" t="n">
        <v>0</v>
      </c>
      <c r="Q473" t="n">
        <v>0</v>
      </c>
      <c r="R473" s="2" t="inlineStr"/>
    </row>
    <row r="474" ht="15" customHeight="1">
      <c r="A474" t="inlineStr">
        <is>
          <t>A 51164-2022</t>
        </is>
      </c>
      <c r="B474" s="1" t="n">
        <v>44868</v>
      </c>
      <c r="C474" s="1" t="n">
        <v>45589</v>
      </c>
      <c r="D474" t="inlineStr">
        <is>
          <t>JÄMTLANDS LÄN</t>
        </is>
      </c>
      <c r="E474" t="inlineStr">
        <is>
          <t>ÖSTERSUND</t>
        </is>
      </c>
      <c r="G474" t="n">
        <v>1.2</v>
      </c>
      <c r="H474" t="n">
        <v>0</v>
      </c>
      <c r="I474" t="n">
        <v>0</v>
      </c>
      <c r="J474" t="n">
        <v>0</v>
      </c>
      <c r="K474" t="n">
        <v>0</v>
      </c>
      <c r="L474" t="n">
        <v>0</v>
      </c>
      <c r="M474" t="n">
        <v>0</v>
      </c>
      <c r="N474" t="n">
        <v>0</v>
      </c>
      <c r="O474" t="n">
        <v>0</v>
      </c>
      <c r="P474" t="n">
        <v>0</v>
      </c>
      <c r="Q474" t="n">
        <v>0</v>
      </c>
      <c r="R474" s="2" t="inlineStr"/>
    </row>
    <row r="475" ht="15" customHeight="1">
      <c r="A475" t="inlineStr">
        <is>
          <t>A 52155-2022</t>
        </is>
      </c>
      <c r="B475" s="1" t="n">
        <v>44873</v>
      </c>
      <c r="C475" s="1" t="n">
        <v>45589</v>
      </c>
      <c r="D475" t="inlineStr">
        <is>
          <t>JÄMTLANDS LÄN</t>
        </is>
      </c>
      <c r="E475" t="inlineStr">
        <is>
          <t>ÖSTERSUND</t>
        </is>
      </c>
      <c r="F475" t="inlineStr">
        <is>
          <t>Övriga Aktiebolag</t>
        </is>
      </c>
      <c r="G475" t="n">
        <v>3.4</v>
      </c>
      <c r="H475" t="n">
        <v>0</v>
      </c>
      <c r="I475" t="n">
        <v>0</v>
      </c>
      <c r="J475" t="n">
        <v>0</v>
      </c>
      <c r="K475" t="n">
        <v>0</v>
      </c>
      <c r="L475" t="n">
        <v>0</v>
      </c>
      <c r="M475" t="n">
        <v>0</v>
      </c>
      <c r="N475" t="n">
        <v>0</v>
      </c>
      <c r="O475" t="n">
        <v>0</v>
      </c>
      <c r="P475" t="n">
        <v>0</v>
      </c>
      <c r="Q475" t="n">
        <v>0</v>
      </c>
      <c r="R475" s="2" t="inlineStr"/>
    </row>
    <row r="476" ht="15" customHeight="1">
      <c r="A476" t="inlineStr">
        <is>
          <t>A 52898-2022</t>
        </is>
      </c>
      <c r="B476" s="1" t="n">
        <v>44875</v>
      </c>
      <c r="C476" s="1" t="n">
        <v>45589</v>
      </c>
      <c r="D476" t="inlineStr">
        <is>
          <t>JÄMTLANDS LÄN</t>
        </is>
      </c>
      <c r="E476" t="inlineStr">
        <is>
          <t>ÖSTERSUND</t>
        </is>
      </c>
      <c r="F476" t="inlineStr">
        <is>
          <t>Övriga Aktiebolag</t>
        </is>
      </c>
      <c r="G476" t="n">
        <v>12.1</v>
      </c>
      <c r="H476" t="n">
        <v>0</v>
      </c>
      <c r="I476" t="n">
        <v>0</v>
      </c>
      <c r="J476" t="n">
        <v>0</v>
      </c>
      <c r="K476" t="n">
        <v>0</v>
      </c>
      <c r="L476" t="n">
        <v>0</v>
      </c>
      <c r="M476" t="n">
        <v>0</v>
      </c>
      <c r="N476" t="n">
        <v>0</v>
      </c>
      <c r="O476" t="n">
        <v>0</v>
      </c>
      <c r="P476" t="n">
        <v>0</v>
      </c>
      <c r="Q476" t="n">
        <v>0</v>
      </c>
      <c r="R476" s="2" t="inlineStr"/>
    </row>
    <row r="477" ht="15" customHeight="1">
      <c r="A477" t="inlineStr">
        <is>
          <t>A 53802-2022</t>
        </is>
      </c>
      <c r="B477" s="1" t="n">
        <v>44875</v>
      </c>
      <c r="C477" s="1" t="n">
        <v>45589</v>
      </c>
      <c r="D477" t="inlineStr">
        <is>
          <t>JÄMTLANDS LÄN</t>
        </is>
      </c>
      <c r="E477" t="inlineStr">
        <is>
          <t>ÖSTERSUND</t>
        </is>
      </c>
      <c r="G477" t="n">
        <v>0.2</v>
      </c>
      <c r="H477" t="n">
        <v>0</v>
      </c>
      <c r="I477" t="n">
        <v>0</v>
      </c>
      <c r="J477" t="n">
        <v>0</v>
      </c>
      <c r="K477" t="n">
        <v>0</v>
      </c>
      <c r="L477" t="n">
        <v>0</v>
      </c>
      <c r="M477" t="n">
        <v>0</v>
      </c>
      <c r="N477" t="n">
        <v>0</v>
      </c>
      <c r="O477" t="n">
        <v>0</v>
      </c>
      <c r="P477" t="n">
        <v>0</v>
      </c>
      <c r="Q477" t="n">
        <v>0</v>
      </c>
      <c r="R477" s="2" t="inlineStr"/>
    </row>
    <row r="478" ht="15" customHeight="1">
      <c r="A478" t="inlineStr">
        <is>
          <t>A 53764-2022</t>
        </is>
      </c>
      <c r="B478" s="1" t="n">
        <v>44875</v>
      </c>
      <c r="C478" s="1" t="n">
        <v>45589</v>
      </c>
      <c r="D478" t="inlineStr">
        <is>
          <t>JÄMTLANDS LÄN</t>
        </is>
      </c>
      <c r="E478" t="inlineStr">
        <is>
          <t>ÖSTERSUND</t>
        </is>
      </c>
      <c r="G478" t="n">
        <v>0.2</v>
      </c>
      <c r="H478" t="n">
        <v>0</v>
      </c>
      <c r="I478" t="n">
        <v>0</v>
      </c>
      <c r="J478" t="n">
        <v>0</v>
      </c>
      <c r="K478" t="n">
        <v>0</v>
      </c>
      <c r="L478" t="n">
        <v>0</v>
      </c>
      <c r="M478" t="n">
        <v>0</v>
      </c>
      <c r="N478" t="n">
        <v>0</v>
      </c>
      <c r="O478" t="n">
        <v>0</v>
      </c>
      <c r="P478" t="n">
        <v>0</v>
      </c>
      <c r="Q478" t="n">
        <v>0</v>
      </c>
      <c r="R478" s="2" t="inlineStr"/>
    </row>
    <row r="479" ht="15" customHeight="1">
      <c r="A479" t="inlineStr">
        <is>
          <t>A 53807-2022</t>
        </is>
      </c>
      <c r="B479" s="1" t="n">
        <v>44875</v>
      </c>
      <c r="C479" s="1" t="n">
        <v>45589</v>
      </c>
      <c r="D479" t="inlineStr">
        <is>
          <t>JÄMTLANDS LÄN</t>
        </is>
      </c>
      <c r="E479" t="inlineStr">
        <is>
          <t>ÖSTERSUND</t>
        </is>
      </c>
      <c r="G479" t="n">
        <v>1</v>
      </c>
      <c r="H479" t="n">
        <v>0</v>
      </c>
      <c r="I479" t="n">
        <v>0</v>
      </c>
      <c r="J479" t="n">
        <v>0</v>
      </c>
      <c r="K479" t="n">
        <v>0</v>
      </c>
      <c r="L479" t="n">
        <v>0</v>
      </c>
      <c r="M479" t="n">
        <v>0</v>
      </c>
      <c r="N479" t="n">
        <v>0</v>
      </c>
      <c r="O479" t="n">
        <v>0</v>
      </c>
      <c r="P479" t="n">
        <v>0</v>
      </c>
      <c r="Q479" t="n">
        <v>0</v>
      </c>
      <c r="R479" s="2" t="inlineStr"/>
    </row>
    <row r="480" ht="15" customHeight="1">
      <c r="A480" t="inlineStr">
        <is>
          <t>A 53453-2022</t>
        </is>
      </c>
      <c r="B480" s="1" t="n">
        <v>44879</v>
      </c>
      <c r="C480" s="1" t="n">
        <v>45589</v>
      </c>
      <c r="D480" t="inlineStr">
        <is>
          <t>JÄMTLANDS LÄN</t>
        </is>
      </c>
      <c r="E480" t="inlineStr">
        <is>
          <t>ÖSTERSUND</t>
        </is>
      </c>
      <c r="G480" t="n">
        <v>22.2</v>
      </c>
      <c r="H480" t="n">
        <v>0</v>
      </c>
      <c r="I480" t="n">
        <v>0</v>
      </c>
      <c r="J480" t="n">
        <v>0</v>
      </c>
      <c r="K480" t="n">
        <v>0</v>
      </c>
      <c r="L480" t="n">
        <v>0</v>
      </c>
      <c r="M480" t="n">
        <v>0</v>
      </c>
      <c r="N480" t="n">
        <v>0</v>
      </c>
      <c r="O480" t="n">
        <v>0</v>
      </c>
      <c r="P480" t="n">
        <v>0</v>
      </c>
      <c r="Q480" t="n">
        <v>0</v>
      </c>
      <c r="R480" s="2" t="inlineStr"/>
    </row>
    <row r="481" ht="15" customHeight="1">
      <c r="A481" t="inlineStr">
        <is>
          <t>A 53556-2022</t>
        </is>
      </c>
      <c r="B481" s="1" t="n">
        <v>44879</v>
      </c>
      <c r="C481" s="1" t="n">
        <v>45589</v>
      </c>
      <c r="D481" t="inlineStr">
        <is>
          <t>JÄMTLANDS LÄN</t>
        </is>
      </c>
      <c r="E481" t="inlineStr">
        <is>
          <t>ÖSTERSUND</t>
        </is>
      </c>
      <c r="F481" t="inlineStr">
        <is>
          <t>Övriga Aktiebolag</t>
        </is>
      </c>
      <c r="G481" t="n">
        <v>3.5</v>
      </c>
      <c r="H481" t="n">
        <v>0</v>
      </c>
      <c r="I481" t="n">
        <v>0</v>
      </c>
      <c r="J481" t="n">
        <v>0</v>
      </c>
      <c r="K481" t="n">
        <v>0</v>
      </c>
      <c r="L481" t="n">
        <v>0</v>
      </c>
      <c r="M481" t="n">
        <v>0</v>
      </c>
      <c r="N481" t="n">
        <v>0</v>
      </c>
      <c r="O481" t="n">
        <v>0</v>
      </c>
      <c r="P481" t="n">
        <v>0</v>
      </c>
      <c r="Q481" t="n">
        <v>0</v>
      </c>
      <c r="R481" s="2" t="inlineStr"/>
    </row>
    <row r="482" ht="15" customHeight="1">
      <c r="A482" t="inlineStr">
        <is>
          <t>A 53714-2022</t>
        </is>
      </c>
      <c r="B482" s="1" t="n">
        <v>44880</v>
      </c>
      <c r="C482" s="1" t="n">
        <v>45589</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54712-2022</t>
        </is>
      </c>
      <c r="B483" s="1" t="n">
        <v>44883</v>
      </c>
      <c r="C483" s="1" t="n">
        <v>45589</v>
      </c>
      <c r="D483" t="inlineStr">
        <is>
          <t>JÄMTLANDS LÄN</t>
        </is>
      </c>
      <c r="E483" t="inlineStr">
        <is>
          <t>ÖSTERSUND</t>
        </is>
      </c>
      <c r="F483" t="inlineStr">
        <is>
          <t>Övriga Aktiebolag</t>
        </is>
      </c>
      <c r="G483" t="n">
        <v>1.3</v>
      </c>
      <c r="H483" t="n">
        <v>0</v>
      </c>
      <c r="I483" t="n">
        <v>0</v>
      </c>
      <c r="J483" t="n">
        <v>0</v>
      </c>
      <c r="K483" t="n">
        <v>0</v>
      </c>
      <c r="L483" t="n">
        <v>0</v>
      </c>
      <c r="M483" t="n">
        <v>0</v>
      </c>
      <c r="N483" t="n">
        <v>0</v>
      </c>
      <c r="O483" t="n">
        <v>0</v>
      </c>
      <c r="P483" t="n">
        <v>0</v>
      </c>
      <c r="Q483" t="n">
        <v>0</v>
      </c>
      <c r="R483" s="2" t="inlineStr"/>
    </row>
    <row r="484" ht="15" customHeight="1">
      <c r="A484" t="inlineStr">
        <is>
          <t>A 54663-2022</t>
        </is>
      </c>
      <c r="B484" s="1" t="n">
        <v>44883</v>
      </c>
      <c r="C484" s="1" t="n">
        <v>45589</v>
      </c>
      <c r="D484" t="inlineStr">
        <is>
          <t>JÄMTLANDS LÄN</t>
        </is>
      </c>
      <c r="E484" t="inlineStr">
        <is>
          <t>ÖSTERSUND</t>
        </is>
      </c>
      <c r="G484" t="n">
        <v>0.8</v>
      </c>
      <c r="H484" t="n">
        <v>0</v>
      </c>
      <c r="I484" t="n">
        <v>0</v>
      </c>
      <c r="J484" t="n">
        <v>0</v>
      </c>
      <c r="K484" t="n">
        <v>0</v>
      </c>
      <c r="L484" t="n">
        <v>0</v>
      </c>
      <c r="M484" t="n">
        <v>0</v>
      </c>
      <c r="N484" t="n">
        <v>0</v>
      </c>
      <c r="O484" t="n">
        <v>0</v>
      </c>
      <c r="P484" t="n">
        <v>0</v>
      </c>
      <c r="Q484" t="n">
        <v>0</v>
      </c>
      <c r="R484" s="2" t="inlineStr"/>
    </row>
    <row r="485" ht="15" customHeight="1">
      <c r="A485" t="inlineStr">
        <is>
          <t>A 55102-2022</t>
        </is>
      </c>
      <c r="B485" s="1" t="n">
        <v>44886</v>
      </c>
      <c r="C485" s="1" t="n">
        <v>45589</v>
      </c>
      <c r="D485" t="inlineStr">
        <is>
          <t>JÄMTLANDS LÄN</t>
        </is>
      </c>
      <c r="E485" t="inlineStr">
        <is>
          <t>ÖSTERSUND</t>
        </is>
      </c>
      <c r="F485" t="inlineStr">
        <is>
          <t>Övriga Aktiebolag</t>
        </is>
      </c>
      <c r="G485" t="n">
        <v>3.6</v>
      </c>
      <c r="H485" t="n">
        <v>0</v>
      </c>
      <c r="I485" t="n">
        <v>0</v>
      </c>
      <c r="J485" t="n">
        <v>0</v>
      </c>
      <c r="K485" t="n">
        <v>0</v>
      </c>
      <c r="L485" t="n">
        <v>0</v>
      </c>
      <c r="M485" t="n">
        <v>0</v>
      </c>
      <c r="N485" t="n">
        <v>0</v>
      </c>
      <c r="O485" t="n">
        <v>0</v>
      </c>
      <c r="P485" t="n">
        <v>0</v>
      </c>
      <c r="Q485" t="n">
        <v>0</v>
      </c>
      <c r="R485" s="2" t="inlineStr"/>
    </row>
    <row r="486" ht="15" customHeight="1">
      <c r="A486" t="inlineStr">
        <is>
          <t>A 55008-2022</t>
        </is>
      </c>
      <c r="B486" s="1" t="n">
        <v>44886</v>
      </c>
      <c r="C486" s="1" t="n">
        <v>45589</v>
      </c>
      <c r="D486" t="inlineStr">
        <is>
          <t>JÄMTLANDS LÄN</t>
        </is>
      </c>
      <c r="E486" t="inlineStr">
        <is>
          <t>ÖSTERSUND</t>
        </is>
      </c>
      <c r="G486" t="n">
        <v>1.2</v>
      </c>
      <c r="H486" t="n">
        <v>0</v>
      </c>
      <c r="I486" t="n">
        <v>0</v>
      </c>
      <c r="J486" t="n">
        <v>0</v>
      </c>
      <c r="K486" t="n">
        <v>0</v>
      </c>
      <c r="L486" t="n">
        <v>0</v>
      </c>
      <c r="M486" t="n">
        <v>0</v>
      </c>
      <c r="N486" t="n">
        <v>0</v>
      </c>
      <c r="O486" t="n">
        <v>0</v>
      </c>
      <c r="P486" t="n">
        <v>0</v>
      </c>
      <c r="Q486" t="n">
        <v>0</v>
      </c>
      <c r="R486" s="2" t="inlineStr"/>
    </row>
    <row r="487" ht="15" customHeight="1">
      <c r="A487" t="inlineStr">
        <is>
          <t>A 55105-2022</t>
        </is>
      </c>
      <c r="B487" s="1" t="n">
        <v>44886</v>
      </c>
      <c r="C487" s="1" t="n">
        <v>45589</v>
      </c>
      <c r="D487" t="inlineStr">
        <is>
          <t>JÄMTLANDS LÄN</t>
        </is>
      </c>
      <c r="E487" t="inlineStr">
        <is>
          <t>ÖSTERSUND</t>
        </is>
      </c>
      <c r="F487" t="inlineStr">
        <is>
          <t>Övriga Aktiebolag</t>
        </is>
      </c>
      <c r="G487" t="n">
        <v>2.4</v>
      </c>
      <c r="H487" t="n">
        <v>0</v>
      </c>
      <c r="I487" t="n">
        <v>0</v>
      </c>
      <c r="J487" t="n">
        <v>0</v>
      </c>
      <c r="K487" t="n">
        <v>0</v>
      </c>
      <c r="L487" t="n">
        <v>0</v>
      </c>
      <c r="M487" t="n">
        <v>0</v>
      </c>
      <c r="N487" t="n">
        <v>0</v>
      </c>
      <c r="O487" t="n">
        <v>0</v>
      </c>
      <c r="P487" t="n">
        <v>0</v>
      </c>
      <c r="Q487" t="n">
        <v>0</v>
      </c>
      <c r="R487" s="2" t="inlineStr"/>
      <c r="U487">
        <f>HYPERLINK("https://klasma.github.io/Logging_2380/knärot/A 55105-2022 karta knärot.png", "A 55105-2022")</f>
        <v/>
      </c>
      <c r="V487">
        <f>HYPERLINK("https://klasma.github.io/Logging_2380/klagomål/A 55105-2022 FSC-klagomål.docx", "A 55105-2022")</f>
        <v/>
      </c>
      <c r="W487">
        <f>HYPERLINK("https://klasma.github.io/Logging_2380/klagomålsmail/A 55105-2022 FSC-klagomål mail.docx", "A 55105-2022")</f>
        <v/>
      </c>
      <c r="X487">
        <f>HYPERLINK("https://klasma.github.io/Logging_2380/tillsyn/A 55105-2022 tillsynsbegäran.docx", "A 55105-2022")</f>
        <v/>
      </c>
      <c r="Y487">
        <f>HYPERLINK("https://klasma.github.io/Logging_2380/tillsynsmail/A 55105-2022 tillsynsbegäran mail.docx", "A 55105-2022")</f>
        <v/>
      </c>
    </row>
    <row r="488" ht="15" customHeight="1">
      <c r="A488" t="inlineStr">
        <is>
          <t>A 55371-2022</t>
        </is>
      </c>
      <c r="B488" s="1" t="n">
        <v>44887</v>
      </c>
      <c r="C488" s="1" t="n">
        <v>45589</v>
      </c>
      <c r="D488" t="inlineStr">
        <is>
          <t>JÄMTLANDS LÄN</t>
        </is>
      </c>
      <c r="E488" t="inlineStr">
        <is>
          <t>ÖSTERSUND</t>
        </is>
      </c>
      <c r="F488" t="inlineStr">
        <is>
          <t>Övriga Aktiebolag</t>
        </is>
      </c>
      <c r="G488" t="n">
        <v>15.4</v>
      </c>
      <c r="H488" t="n">
        <v>0</v>
      </c>
      <c r="I488" t="n">
        <v>0</v>
      </c>
      <c r="J488" t="n">
        <v>0</v>
      </c>
      <c r="K488" t="n">
        <v>0</v>
      </c>
      <c r="L488" t="n">
        <v>0</v>
      </c>
      <c r="M488" t="n">
        <v>0</v>
      </c>
      <c r="N488" t="n">
        <v>0</v>
      </c>
      <c r="O488" t="n">
        <v>0</v>
      </c>
      <c r="P488" t="n">
        <v>0</v>
      </c>
      <c r="Q488" t="n">
        <v>0</v>
      </c>
      <c r="R488" s="2" t="inlineStr"/>
    </row>
    <row r="489" ht="15" customHeight="1">
      <c r="A489" t="inlineStr">
        <is>
          <t>A 55448-2022</t>
        </is>
      </c>
      <c r="B489" s="1" t="n">
        <v>44887</v>
      </c>
      <c r="C489" s="1" t="n">
        <v>45589</v>
      </c>
      <c r="D489" t="inlineStr">
        <is>
          <t>JÄMTLANDS LÄN</t>
        </is>
      </c>
      <c r="E489" t="inlineStr">
        <is>
          <t>ÖSTERSUND</t>
        </is>
      </c>
      <c r="G489" t="n">
        <v>5.2</v>
      </c>
      <c r="H489" t="n">
        <v>0</v>
      </c>
      <c r="I489" t="n">
        <v>0</v>
      </c>
      <c r="J489" t="n">
        <v>0</v>
      </c>
      <c r="K489" t="n">
        <v>0</v>
      </c>
      <c r="L489" t="n">
        <v>0</v>
      </c>
      <c r="M489" t="n">
        <v>0</v>
      </c>
      <c r="N489" t="n">
        <v>0</v>
      </c>
      <c r="O489" t="n">
        <v>0</v>
      </c>
      <c r="P489" t="n">
        <v>0</v>
      </c>
      <c r="Q489" t="n">
        <v>0</v>
      </c>
      <c r="R489" s="2" t="inlineStr"/>
    </row>
    <row r="490" ht="15" customHeight="1">
      <c r="A490" t="inlineStr">
        <is>
          <t>A 56067-2022</t>
        </is>
      </c>
      <c r="B490" s="1" t="n">
        <v>44889</v>
      </c>
      <c r="C490" s="1" t="n">
        <v>45589</v>
      </c>
      <c r="D490" t="inlineStr">
        <is>
          <t>JÄMTLANDS LÄN</t>
        </is>
      </c>
      <c r="E490" t="inlineStr">
        <is>
          <t>ÖSTERSUND</t>
        </is>
      </c>
      <c r="F490" t="inlineStr">
        <is>
          <t>Övriga Aktiebolag</t>
        </is>
      </c>
      <c r="G490" t="n">
        <v>1.5</v>
      </c>
      <c r="H490" t="n">
        <v>0</v>
      </c>
      <c r="I490" t="n">
        <v>0</v>
      </c>
      <c r="J490" t="n">
        <v>0</v>
      </c>
      <c r="K490" t="n">
        <v>0</v>
      </c>
      <c r="L490" t="n">
        <v>0</v>
      </c>
      <c r="M490" t="n">
        <v>0</v>
      </c>
      <c r="N490" t="n">
        <v>0</v>
      </c>
      <c r="O490" t="n">
        <v>0</v>
      </c>
      <c r="P490" t="n">
        <v>0</v>
      </c>
      <c r="Q490" t="n">
        <v>0</v>
      </c>
      <c r="R490" s="2" t="inlineStr"/>
    </row>
    <row r="491" ht="15" customHeight="1">
      <c r="A491" t="inlineStr">
        <is>
          <t>A 56148-2022</t>
        </is>
      </c>
      <c r="B491" s="1" t="n">
        <v>44889</v>
      </c>
      <c r="C491" s="1" t="n">
        <v>45589</v>
      </c>
      <c r="D491" t="inlineStr">
        <is>
          <t>JÄMTLANDS LÄN</t>
        </is>
      </c>
      <c r="E491" t="inlineStr">
        <is>
          <t>ÖSTERSUND</t>
        </is>
      </c>
      <c r="G491" t="n">
        <v>1.4</v>
      </c>
      <c r="H491" t="n">
        <v>0</v>
      </c>
      <c r="I491" t="n">
        <v>0</v>
      </c>
      <c r="J491" t="n">
        <v>0</v>
      </c>
      <c r="K491" t="n">
        <v>0</v>
      </c>
      <c r="L491" t="n">
        <v>0</v>
      </c>
      <c r="M491" t="n">
        <v>0</v>
      </c>
      <c r="N491" t="n">
        <v>0</v>
      </c>
      <c r="O491" t="n">
        <v>0</v>
      </c>
      <c r="P491" t="n">
        <v>0</v>
      </c>
      <c r="Q491" t="n">
        <v>0</v>
      </c>
      <c r="R491" s="2" t="inlineStr"/>
    </row>
    <row r="492" ht="15" customHeight="1">
      <c r="A492" t="inlineStr">
        <is>
          <t>A 56111-2022</t>
        </is>
      </c>
      <c r="B492" s="1" t="n">
        <v>44889</v>
      </c>
      <c r="C492" s="1" t="n">
        <v>45589</v>
      </c>
      <c r="D492" t="inlineStr">
        <is>
          <t>JÄMTLANDS LÄN</t>
        </is>
      </c>
      <c r="E492" t="inlineStr">
        <is>
          <t>ÖSTERSUND</t>
        </is>
      </c>
      <c r="G492" t="n">
        <v>2.5</v>
      </c>
      <c r="H492" t="n">
        <v>0</v>
      </c>
      <c r="I492" t="n">
        <v>0</v>
      </c>
      <c r="J492" t="n">
        <v>0</v>
      </c>
      <c r="K492" t="n">
        <v>0</v>
      </c>
      <c r="L492" t="n">
        <v>0</v>
      </c>
      <c r="M492" t="n">
        <v>0</v>
      </c>
      <c r="N492" t="n">
        <v>0</v>
      </c>
      <c r="O492" t="n">
        <v>0</v>
      </c>
      <c r="P492" t="n">
        <v>0</v>
      </c>
      <c r="Q492" t="n">
        <v>0</v>
      </c>
      <c r="R492" s="2" t="inlineStr"/>
    </row>
    <row r="493" ht="15" customHeight="1">
      <c r="A493" t="inlineStr">
        <is>
          <t>A 57009-2022</t>
        </is>
      </c>
      <c r="B493" s="1" t="n">
        <v>44894</v>
      </c>
      <c r="C493" s="1" t="n">
        <v>45589</v>
      </c>
      <c r="D493" t="inlineStr">
        <is>
          <t>JÄMTLANDS LÄN</t>
        </is>
      </c>
      <c r="E493" t="inlineStr">
        <is>
          <t>ÖSTERSUND</t>
        </is>
      </c>
      <c r="G493" t="n">
        <v>1.4</v>
      </c>
      <c r="H493" t="n">
        <v>0</v>
      </c>
      <c r="I493" t="n">
        <v>0</v>
      </c>
      <c r="J493" t="n">
        <v>0</v>
      </c>
      <c r="K493" t="n">
        <v>0</v>
      </c>
      <c r="L493" t="n">
        <v>0</v>
      </c>
      <c r="M493" t="n">
        <v>0</v>
      </c>
      <c r="N493" t="n">
        <v>0</v>
      </c>
      <c r="O493" t="n">
        <v>0</v>
      </c>
      <c r="P493" t="n">
        <v>0</v>
      </c>
      <c r="Q493" t="n">
        <v>0</v>
      </c>
      <c r="R493" s="2" t="inlineStr"/>
    </row>
    <row r="494" ht="15" customHeight="1">
      <c r="A494" t="inlineStr">
        <is>
          <t>A 59266-2022</t>
        </is>
      </c>
      <c r="B494" s="1" t="n">
        <v>44904</v>
      </c>
      <c r="C494" s="1" t="n">
        <v>45589</v>
      </c>
      <c r="D494" t="inlineStr">
        <is>
          <t>JÄMTLANDS LÄN</t>
        </is>
      </c>
      <c r="E494" t="inlineStr">
        <is>
          <t>ÖSTERSUND</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59648-2022</t>
        </is>
      </c>
      <c r="B495" s="1" t="n">
        <v>44907</v>
      </c>
      <c r="C495" s="1" t="n">
        <v>45589</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59649-2022</t>
        </is>
      </c>
      <c r="B496" s="1" t="n">
        <v>44908</v>
      </c>
      <c r="C496" s="1" t="n">
        <v>45589</v>
      </c>
      <c r="D496" t="inlineStr">
        <is>
          <t>JÄMTLANDS LÄN</t>
        </is>
      </c>
      <c r="E496" t="inlineStr">
        <is>
          <t>ÖSTERSUND</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60174-2022</t>
        </is>
      </c>
      <c r="B497" s="1" t="n">
        <v>44910</v>
      </c>
      <c r="C497" s="1" t="n">
        <v>45589</v>
      </c>
      <c r="D497" t="inlineStr">
        <is>
          <t>JÄMTLANDS LÄN</t>
        </is>
      </c>
      <c r="E497" t="inlineStr">
        <is>
          <t>ÖSTERSUND</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61256-2022</t>
        </is>
      </c>
      <c r="B498" s="1" t="n">
        <v>44909</v>
      </c>
      <c r="C498" s="1" t="n">
        <v>45589</v>
      </c>
      <c r="D498" t="inlineStr">
        <is>
          <t>JÄMTLANDS LÄN</t>
        </is>
      </c>
      <c r="E498" t="inlineStr">
        <is>
          <t>ÖSTERSUND</t>
        </is>
      </c>
      <c r="G498" t="n">
        <v>3.9</v>
      </c>
      <c r="H498" t="n">
        <v>0</v>
      </c>
      <c r="I498" t="n">
        <v>0</v>
      </c>
      <c r="J498" t="n">
        <v>0</v>
      </c>
      <c r="K498" t="n">
        <v>0</v>
      </c>
      <c r="L498" t="n">
        <v>0</v>
      </c>
      <c r="M498" t="n">
        <v>0</v>
      </c>
      <c r="N498" t="n">
        <v>0</v>
      </c>
      <c r="O498" t="n">
        <v>0</v>
      </c>
      <c r="P498" t="n">
        <v>0</v>
      </c>
      <c r="Q498" t="n">
        <v>0</v>
      </c>
      <c r="R498" s="2" t="inlineStr"/>
    </row>
    <row r="499" ht="15" customHeight="1">
      <c r="A499" t="inlineStr">
        <is>
          <t>A 60430-2022</t>
        </is>
      </c>
      <c r="B499" s="1" t="n">
        <v>44911</v>
      </c>
      <c r="C499" s="1" t="n">
        <v>45589</v>
      </c>
      <c r="D499" t="inlineStr">
        <is>
          <t>JÄMTLANDS LÄN</t>
        </is>
      </c>
      <c r="E499" t="inlineStr">
        <is>
          <t>ÖSTERSUND</t>
        </is>
      </c>
      <c r="F499" t="inlineStr">
        <is>
          <t>Övriga Aktiebolag</t>
        </is>
      </c>
      <c r="G499" t="n">
        <v>24.2</v>
      </c>
      <c r="H499" t="n">
        <v>0</v>
      </c>
      <c r="I499" t="n">
        <v>0</v>
      </c>
      <c r="J499" t="n">
        <v>0</v>
      </c>
      <c r="K499" t="n">
        <v>0</v>
      </c>
      <c r="L499" t="n">
        <v>0</v>
      </c>
      <c r="M499" t="n">
        <v>0</v>
      </c>
      <c r="N499" t="n">
        <v>0</v>
      </c>
      <c r="O499" t="n">
        <v>0</v>
      </c>
      <c r="P499" t="n">
        <v>0</v>
      </c>
      <c r="Q499" t="n">
        <v>0</v>
      </c>
      <c r="R499" s="2" t="inlineStr"/>
    </row>
    <row r="500" ht="15" customHeight="1">
      <c r="A500" t="inlineStr">
        <is>
          <t>A 60575-2022</t>
        </is>
      </c>
      <c r="B500" s="1" t="n">
        <v>44911</v>
      </c>
      <c r="C500" s="1" t="n">
        <v>45589</v>
      </c>
      <c r="D500" t="inlineStr">
        <is>
          <t>JÄMTLANDS LÄN</t>
        </is>
      </c>
      <c r="E500" t="inlineStr">
        <is>
          <t>ÖSTERSUND</t>
        </is>
      </c>
      <c r="G500" t="n">
        <v>1</v>
      </c>
      <c r="H500" t="n">
        <v>0</v>
      </c>
      <c r="I500" t="n">
        <v>0</v>
      </c>
      <c r="J500" t="n">
        <v>0</v>
      </c>
      <c r="K500" t="n">
        <v>0</v>
      </c>
      <c r="L500" t="n">
        <v>0</v>
      </c>
      <c r="M500" t="n">
        <v>0</v>
      </c>
      <c r="N500" t="n">
        <v>0</v>
      </c>
      <c r="O500" t="n">
        <v>0</v>
      </c>
      <c r="P500" t="n">
        <v>0</v>
      </c>
      <c r="Q500" t="n">
        <v>0</v>
      </c>
      <c r="R500" s="2" t="inlineStr"/>
    </row>
    <row r="501" ht="15" customHeight="1">
      <c r="A501" t="inlineStr">
        <is>
          <t>A 60674-2022</t>
        </is>
      </c>
      <c r="B501" s="1" t="n">
        <v>44911</v>
      </c>
      <c r="C501" s="1" t="n">
        <v>45589</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60677-2022</t>
        </is>
      </c>
      <c r="B502" s="1" t="n">
        <v>44911</v>
      </c>
      <c r="C502" s="1" t="n">
        <v>45589</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60681-2022</t>
        </is>
      </c>
      <c r="B503" s="1" t="n">
        <v>44911</v>
      </c>
      <c r="C503" s="1" t="n">
        <v>45589</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60678-2022</t>
        </is>
      </c>
      <c r="B504" s="1" t="n">
        <v>44911</v>
      </c>
      <c r="C504" s="1" t="n">
        <v>45589</v>
      </c>
      <c r="D504" t="inlineStr">
        <is>
          <t>JÄMTLANDS LÄN</t>
        </is>
      </c>
      <c r="E504" t="inlineStr">
        <is>
          <t>ÖSTERSUND</t>
        </is>
      </c>
      <c r="G504" t="n">
        <v>4.1</v>
      </c>
      <c r="H504" t="n">
        <v>0</v>
      </c>
      <c r="I504" t="n">
        <v>0</v>
      </c>
      <c r="J504" t="n">
        <v>0</v>
      </c>
      <c r="K504" t="n">
        <v>0</v>
      </c>
      <c r="L504" t="n">
        <v>0</v>
      </c>
      <c r="M504" t="n">
        <v>0</v>
      </c>
      <c r="N504" t="n">
        <v>0</v>
      </c>
      <c r="O504" t="n">
        <v>0</v>
      </c>
      <c r="P504" t="n">
        <v>0</v>
      </c>
      <c r="Q504" t="n">
        <v>0</v>
      </c>
      <c r="R504" s="2" t="inlineStr"/>
    </row>
    <row r="505" ht="15" customHeight="1">
      <c r="A505" t="inlineStr">
        <is>
          <t>A 60560-2022</t>
        </is>
      </c>
      <c r="B505" s="1" t="n">
        <v>44911</v>
      </c>
      <c r="C505" s="1" t="n">
        <v>45589</v>
      </c>
      <c r="D505" t="inlineStr">
        <is>
          <t>JÄMTLANDS LÄN</t>
        </is>
      </c>
      <c r="E505" t="inlineStr">
        <is>
          <t>ÖSTERSUND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60676-2022</t>
        </is>
      </c>
      <c r="B506" s="1" t="n">
        <v>44911</v>
      </c>
      <c r="C506" s="1" t="n">
        <v>45589</v>
      </c>
      <c r="D506" t="inlineStr">
        <is>
          <t>JÄMTLANDS LÄN</t>
        </is>
      </c>
      <c r="E506" t="inlineStr">
        <is>
          <t>ÖSTERSUND</t>
        </is>
      </c>
      <c r="G506" t="n">
        <v>4.1</v>
      </c>
      <c r="H506" t="n">
        <v>0</v>
      </c>
      <c r="I506" t="n">
        <v>0</v>
      </c>
      <c r="J506" t="n">
        <v>0</v>
      </c>
      <c r="K506" t="n">
        <v>0</v>
      </c>
      <c r="L506" t="n">
        <v>0</v>
      </c>
      <c r="M506" t="n">
        <v>0</v>
      </c>
      <c r="N506" t="n">
        <v>0</v>
      </c>
      <c r="O506" t="n">
        <v>0</v>
      </c>
      <c r="P506" t="n">
        <v>0</v>
      </c>
      <c r="Q506" t="n">
        <v>0</v>
      </c>
      <c r="R506" s="2" t="inlineStr"/>
    </row>
    <row r="507" ht="15" customHeight="1">
      <c r="A507" t="inlineStr">
        <is>
          <t>A 60680-2022</t>
        </is>
      </c>
      <c r="B507" s="1" t="n">
        <v>44911</v>
      </c>
      <c r="C507" s="1" t="n">
        <v>45589</v>
      </c>
      <c r="D507" t="inlineStr">
        <is>
          <t>JÄMTLANDS LÄN</t>
        </is>
      </c>
      <c r="E507" t="inlineStr">
        <is>
          <t>ÖSTERSUND</t>
        </is>
      </c>
      <c r="G507" t="n">
        <v>1.3</v>
      </c>
      <c r="H507" t="n">
        <v>0</v>
      </c>
      <c r="I507" t="n">
        <v>0</v>
      </c>
      <c r="J507" t="n">
        <v>0</v>
      </c>
      <c r="K507" t="n">
        <v>0</v>
      </c>
      <c r="L507" t="n">
        <v>0</v>
      </c>
      <c r="M507" t="n">
        <v>0</v>
      </c>
      <c r="N507" t="n">
        <v>0</v>
      </c>
      <c r="O507" t="n">
        <v>0</v>
      </c>
      <c r="P507" t="n">
        <v>0</v>
      </c>
      <c r="Q507" t="n">
        <v>0</v>
      </c>
      <c r="R507" s="2" t="inlineStr"/>
    </row>
    <row r="508" ht="15" customHeight="1">
      <c r="A508" t="inlineStr">
        <is>
          <t>A 60623-2022</t>
        </is>
      </c>
      <c r="B508" s="1" t="n">
        <v>44911</v>
      </c>
      <c r="C508" s="1" t="n">
        <v>45589</v>
      </c>
      <c r="D508" t="inlineStr">
        <is>
          <t>JÄMTLANDS LÄN</t>
        </is>
      </c>
      <c r="E508" t="inlineStr">
        <is>
          <t>ÖSTERSUND</t>
        </is>
      </c>
      <c r="G508" t="n">
        <v>10.9</v>
      </c>
      <c r="H508" t="n">
        <v>0</v>
      </c>
      <c r="I508" t="n">
        <v>0</v>
      </c>
      <c r="J508" t="n">
        <v>0</v>
      </c>
      <c r="K508" t="n">
        <v>0</v>
      </c>
      <c r="L508" t="n">
        <v>0</v>
      </c>
      <c r="M508" t="n">
        <v>0</v>
      </c>
      <c r="N508" t="n">
        <v>0</v>
      </c>
      <c r="O508" t="n">
        <v>0</v>
      </c>
      <c r="P508" t="n">
        <v>0</v>
      </c>
      <c r="Q508" t="n">
        <v>0</v>
      </c>
      <c r="R508" s="2" t="inlineStr"/>
    </row>
    <row r="509" ht="15" customHeight="1">
      <c r="A509" t="inlineStr">
        <is>
          <t>A 60675-2022</t>
        </is>
      </c>
      <c r="B509" s="1" t="n">
        <v>44911</v>
      </c>
      <c r="C509" s="1" t="n">
        <v>45589</v>
      </c>
      <c r="D509" t="inlineStr">
        <is>
          <t>JÄMTLANDS LÄN</t>
        </is>
      </c>
      <c r="E509" t="inlineStr">
        <is>
          <t>ÖSTERSUND</t>
        </is>
      </c>
      <c r="G509" t="n">
        <v>4.3</v>
      </c>
      <c r="H509" t="n">
        <v>0</v>
      </c>
      <c r="I509" t="n">
        <v>0</v>
      </c>
      <c r="J509" t="n">
        <v>0</v>
      </c>
      <c r="K509" t="n">
        <v>0</v>
      </c>
      <c r="L509" t="n">
        <v>0</v>
      </c>
      <c r="M509" t="n">
        <v>0</v>
      </c>
      <c r="N509" t="n">
        <v>0</v>
      </c>
      <c r="O509" t="n">
        <v>0</v>
      </c>
      <c r="P509" t="n">
        <v>0</v>
      </c>
      <c r="Q509" t="n">
        <v>0</v>
      </c>
      <c r="R509" s="2" t="inlineStr"/>
    </row>
    <row r="510" ht="15" customHeight="1">
      <c r="A510" t="inlineStr">
        <is>
          <t>A 60679-2022</t>
        </is>
      </c>
      <c r="B510" s="1" t="n">
        <v>44911</v>
      </c>
      <c r="C510" s="1" t="n">
        <v>45589</v>
      </c>
      <c r="D510" t="inlineStr">
        <is>
          <t>JÄMTLANDS LÄN</t>
        </is>
      </c>
      <c r="E510" t="inlineStr">
        <is>
          <t>ÖSTERSUND</t>
        </is>
      </c>
      <c r="G510" t="n">
        <v>1.4</v>
      </c>
      <c r="H510" t="n">
        <v>0</v>
      </c>
      <c r="I510" t="n">
        <v>0</v>
      </c>
      <c r="J510" t="n">
        <v>0</v>
      </c>
      <c r="K510" t="n">
        <v>0</v>
      </c>
      <c r="L510" t="n">
        <v>0</v>
      </c>
      <c r="M510" t="n">
        <v>0</v>
      </c>
      <c r="N510" t="n">
        <v>0</v>
      </c>
      <c r="O510" t="n">
        <v>0</v>
      </c>
      <c r="P510" t="n">
        <v>0</v>
      </c>
      <c r="Q510" t="n">
        <v>0</v>
      </c>
      <c r="R510" s="2" t="inlineStr"/>
    </row>
    <row r="511" ht="15" customHeight="1">
      <c r="A511" t="inlineStr">
        <is>
          <t>A 60767-2022</t>
        </is>
      </c>
      <c r="B511" s="1" t="n">
        <v>44914</v>
      </c>
      <c r="C511" s="1" t="n">
        <v>45589</v>
      </c>
      <c r="D511" t="inlineStr">
        <is>
          <t>JÄMTLANDS LÄN</t>
        </is>
      </c>
      <c r="E511" t="inlineStr">
        <is>
          <t>ÖSTERSUND</t>
        </is>
      </c>
      <c r="G511" t="n">
        <v>1.6</v>
      </c>
      <c r="H511" t="n">
        <v>0</v>
      </c>
      <c r="I511" t="n">
        <v>0</v>
      </c>
      <c r="J511" t="n">
        <v>0</v>
      </c>
      <c r="K511" t="n">
        <v>0</v>
      </c>
      <c r="L511" t="n">
        <v>0</v>
      </c>
      <c r="M511" t="n">
        <v>0</v>
      </c>
      <c r="N511" t="n">
        <v>0</v>
      </c>
      <c r="O511" t="n">
        <v>0</v>
      </c>
      <c r="P511" t="n">
        <v>0</v>
      </c>
      <c r="Q511" t="n">
        <v>0</v>
      </c>
      <c r="R511" s="2" t="inlineStr"/>
    </row>
    <row r="512" ht="15" customHeight="1">
      <c r="A512" t="inlineStr">
        <is>
          <t>A 61653-2022</t>
        </is>
      </c>
      <c r="B512" s="1" t="n">
        <v>44916</v>
      </c>
      <c r="C512" s="1" t="n">
        <v>45589</v>
      </c>
      <c r="D512" t="inlineStr">
        <is>
          <t>JÄMTLANDS LÄN</t>
        </is>
      </c>
      <c r="E512" t="inlineStr">
        <is>
          <t>ÖSTERSUND</t>
        </is>
      </c>
      <c r="G512" t="n">
        <v>7.6</v>
      </c>
      <c r="H512" t="n">
        <v>0</v>
      </c>
      <c r="I512" t="n">
        <v>0</v>
      </c>
      <c r="J512" t="n">
        <v>0</v>
      </c>
      <c r="K512" t="n">
        <v>0</v>
      </c>
      <c r="L512" t="n">
        <v>0</v>
      </c>
      <c r="M512" t="n">
        <v>0</v>
      </c>
      <c r="N512" t="n">
        <v>0</v>
      </c>
      <c r="O512" t="n">
        <v>0</v>
      </c>
      <c r="P512" t="n">
        <v>0</v>
      </c>
      <c r="Q512" t="n">
        <v>0</v>
      </c>
      <c r="R512" s="2" t="inlineStr"/>
    </row>
    <row r="513" ht="15" customHeight="1">
      <c r="A513" t="inlineStr">
        <is>
          <t>A 62040-2022</t>
        </is>
      </c>
      <c r="B513" s="1" t="n">
        <v>44918</v>
      </c>
      <c r="C513" s="1" t="n">
        <v>45589</v>
      </c>
      <c r="D513" t="inlineStr">
        <is>
          <t>JÄMTLANDS LÄN</t>
        </is>
      </c>
      <c r="E513" t="inlineStr">
        <is>
          <t>ÖSTERSUND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62043-2022</t>
        </is>
      </c>
      <c r="B514" s="1" t="n">
        <v>44918</v>
      </c>
      <c r="C514" s="1" t="n">
        <v>45589</v>
      </c>
      <c r="D514" t="inlineStr">
        <is>
          <t>JÄMTLANDS LÄN</t>
        </is>
      </c>
      <c r="E514" t="inlineStr">
        <is>
          <t>ÖSTERSUND</t>
        </is>
      </c>
      <c r="G514" t="n">
        <v>5.2</v>
      </c>
      <c r="H514" t="n">
        <v>0</v>
      </c>
      <c r="I514" t="n">
        <v>0</v>
      </c>
      <c r="J514" t="n">
        <v>0</v>
      </c>
      <c r="K514" t="n">
        <v>0</v>
      </c>
      <c r="L514" t="n">
        <v>0</v>
      </c>
      <c r="M514" t="n">
        <v>0</v>
      </c>
      <c r="N514" t="n">
        <v>0</v>
      </c>
      <c r="O514" t="n">
        <v>0</v>
      </c>
      <c r="P514" t="n">
        <v>0</v>
      </c>
      <c r="Q514" t="n">
        <v>0</v>
      </c>
      <c r="R514" s="2" t="inlineStr"/>
    </row>
    <row r="515" ht="15" customHeight="1">
      <c r="A515" t="inlineStr">
        <is>
          <t>A 62227-2022</t>
        </is>
      </c>
      <c r="B515" s="1" t="n">
        <v>44922</v>
      </c>
      <c r="C515" s="1" t="n">
        <v>45589</v>
      </c>
      <c r="D515" t="inlineStr">
        <is>
          <t>JÄMTLANDS LÄN</t>
        </is>
      </c>
      <c r="E515" t="inlineStr">
        <is>
          <t>ÖSTERSUND</t>
        </is>
      </c>
      <c r="G515" t="n">
        <v>2.2</v>
      </c>
      <c r="H515" t="n">
        <v>0</v>
      </c>
      <c r="I515" t="n">
        <v>0</v>
      </c>
      <c r="J515" t="n">
        <v>0</v>
      </c>
      <c r="K515" t="n">
        <v>0</v>
      </c>
      <c r="L515" t="n">
        <v>0</v>
      </c>
      <c r="M515" t="n">
        <v>0</v>
      </c>
      <c r="N515" t="n">
        <v>0</v>
      </c>
      <c r="O515" t="n">
        <v>0</v>
      </c>
      <c r="P515" t="n">
        <v>0</v>
      </c>
      <c r="Q515" t="n">
        <v>0</v>
      </c>
      <c r="R515" s="2" t="inlineStr"/>
    </row>
    <row r="516" ht="15" customHeight="1">
      <c r="A516" t="inlineStr">
        <is>
          <t>A 62225-2022</t>
        </is>
      </c>
      <c r="B516" s="1" t="n">
        <v>44922</v>
      </c>
      <c r="C516" s="1" t="n">
        <v>45589</v>
      </c>
      <c r="D516" t="inlineStr">
        <is>
          <t>JÄMTLANDS LÄN</t>
        </is>
      </c>
      <c r="E516" t="inlineStr">
        <is>
          <t>ÖSTERSUND</t>
        </is>
      </c>
      <c r="G516" t="n">
        <v>1</v>
      </c>
      <c r="H516" t="n">
        <v>0</v>
      </c>
      <c r="I516" t="n">
        <v>0</v>
      </c>
      <c r="J516" t="n">
        <v>0</v>
      </c>
      <c r="K516" t="n">
        <v>0</v>
      </c>
      <c r="L516" t="n">
        <v>0</v>
      </c>
      <c r="M516" t="n">
        <v>0</v>
      </c>
      <c r="N516" t="n">
        <v>0</v>
      </c>
      <c r="O516" t="n">
        <v>0</v>
      </c>
      <c r="P516" t="n">
        <v>0</v>
      </c>
      <c r="Q516" t="n">
        <v>0</v>
      </c>
      <c r="R516" s="2" t="inlineStr"/>
    </row>
    <row r="517" ht="15" customHeight="1">
      <c r="A517" t="inlineStr">
        <is>
          <t>A 62222-2022</t>
        </is>
      </c>
      <c r="B517" s="1" t="n">
        <v>44922</v>
      </c>
      <c r="C517" s="1" t="n">
        <v>45589</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296-2023</t>
        </is>
      </c>
      <c r="B518" s="1" t="n">
        <v>44922</v>
      </c>
      <c r="C518" s="1" t="n">
        <v>45589</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12-2023</t>
        </is>
      </c>
      <c r="B519" s="1" t="n">
        <v>44927</v>
      </c>
      <c r="C519" s="1" t="n">
        <v>45589</v>
      </c>
      <c r="D519" t="inlineStr">
        <is>
          <t>JÄMTLANDS LÄN</t>
        </is>
      </c>
      <c r="E519" t="inlineStr">
        <is>
          <t>ÖSTERSUND</t>
        </is>
      </c>
      <c r="G519" t="n">
        <v>4.7</v>
      </c>
      <c r="H519" t="n">
        <v>0</v>
      </c>
      <c r="I519" t="n">
        <v>0</v>
      </c>
      <c r="J519" t="n">
        <v>0</v>
      </c>
      <c r="K519" t="n">
        <v>0</v>
      </c>
      <c r="L519" t="n">
        <v>0</v>
      </c>
      <c r="M519" t="n">
        <v>0</v>
      </c>
      <c r="N519" t="n">
        <v>0</v>
      </c>
      <c r="O519" t="n">
        <v>0</v>
      </c>
      <c r="P519" t="n">
        <v>0</v>
      </c>
      <c r="Q519" t="n">
        <v>0</v>
      </c>
      <c r="R519" s="2" t="inlineStr"/>
    </row>
    <row r="520" ht="15" customHeight="1">
      <c r="A520" t="inlineStr">
        <is>
          <t>A 257-2023</t>
        </is>
      </c>
      <c r="B520" s="1" t="n">
        <v>44928</v>
      </c>
      <c r="C520" s="1" t="n">
        <v>45589</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55-2023</t>
        </is>
      </c>
      <c r="B521" s="1" t="n">
        <v>44928</v>
      </c>
      <c r="C521" s="1" t="n">
        <v>45589</v>
      </c>
      <c r="D521" t="inlineStr">
        <is>
          <t>JÄMTLANDS LÄN</t>
        </is>
      </c>
      <c r="E521" t="inlineStr">
        <is>
          <t>ÖSTERSUND</t>
        </is>
      </c>
      <c r="G521" t="n">
        <v>4</v>
      </c>
      <c r="H521" t="n">
        <v>0</v>
      </c>
      <c r="I521" t="n">
        <v>0</v>
      </c>
      <c r="J521" t="n">
        <v>0</v>
      </c>
      <c r="K521" t="n">
        <v>0</v>
      </c>
      <c r="L521" t="n">
        <v>0</v>
      </c>
      <c r="M521" t="n">
        <v>0</v>
      </c>
      <c r="N521" t="n">
        <v>0</v>
      </c>
      <c r="O521" t="n">
        <v>0</v>
      </c>
      <c r="P521" t="n">
        <v>0</v>
      </c>
      <c r="Q521" t="n">
        <v>0</v>
      </c>
      <c r="R521" s="2" t="inlineStr"/>
    </row>
    <row r="522" ht="15" customHeight="1">
      <c r="A522" t="inlineStr">
        <is>
          <t>A 1234-2023</t>
        </is>
      </c>
      <c r="B522" s="1" t="n">
        <v>44936</v>
      </c>
      <c r="C522" s="1" t="n">
        <v>45589</v>
      </c>
      <c r="D522" t="inlineStr">
        <is>
          <t>JÄMTLANDS LÄN</t>
        </is>
      </c>
      <c r="E522" t="inlineStr">
        <is>
          <t>ÖSTERSUND</t>
        </is>
      </c>
      <c r="G522" t="n">
        <v>2.3</v>
      </c>
      <c r="H522" t="n">
        <v>0</v>
      </c>
      <c r="I522" t="n">
        <v>0</v>
      </c>
      <c r="J522" t="n">
        <v>0</v>
      </c>
      <c r="K522" t="n">
        <v>0</v>
      </c>
      <c r="L522" t="n">
        <v>0</v>
      </c>
      <c r="M522" t="n">
        <v>0</v>
      </c>
      <c r="N522" t="n">
        <v>0</v>
      </c>
      <c r="O522" t="n">
        <v>0</v>
      </c>
      <c r="P522" t="n">
        <v>0</v>
      </c>
      <c r="Q522" t="n">
        <v>0</v>
      </c>
      <c r="R522" s="2" t="inlineStr"/>
    </row>
    <row r="523" ht="15" customHeight="1">
      <c r="A523" t="inlineStr">
        <is>
          <t>A 1893-2023</t>
        </is>
      </c>
      <c r="B523" s="1" t="n">
        <v>44937</v>
      </c>
      <c r="C523" s="1" t="n">
        <v>45589</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2420-2023</t>
        </is>
      </c>
      <c r="B524" s="1" t="n">
        <v>44943</v>
      </c>
      <c r="C524" s="1" t="n">
        <v>45589</v>
      </c>
      <c r="D524" t="inlineStr">
        <is>
          <t>JÄMTLANDS LÄN</t>
        </is>
      </c>
      <c r="E524" t="inlineStr">
        <is>
          <t>ÖSTERSUND</t>
        </is>
      </c>
      <c r="G524" t="n">
        <v>0.9</v>
      </c>
      <c r="H524" t="n">
        <v>0</v>
      </c>
      <c r="I524" t="n">
        <v>0</v>
      </c>
      <c r="J524" t="n">
        <v>0</v>
      </c>
      <c r="K524" t="n">
        <v>0</v>
      </c>
      <c r="L524" t="n">
        <v>0</v>
      </c>
      <c r="M524" t="n">
        <v>0</v>
      </c>
      <c r="N524" t="n">
        <v>0</v>
      </c>
      <c r="O524" t="n">
        <v>0</v>
      </c>
      <c r="P524" t="n">
        <v>0</v>
      </c>
      <c r="Q524" t="n">
        <v>0</v>
      </c>
      <c r="R524" s="2" t="inlineStr"/>
    </row>
    <row r="525" ht="15" customHeight="1">
      <c r="A525" t="inlineStr">
        <is>
          <t>A 3339-2023</t>
        </is>
      </c>
      <c r="B525" s="1" t="n">
        <v>44949</v>
      </c>
      <c r="C525" s="1" t="n">
        <v>45589</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3749-2023</t>
        </is>
      </c>
      <c r="B526" s="1" t="n">
        <v>44949</v>
      </c>
      <c r="C526" s="1" t="n">
        <v>45589</v>
      </c>
      <c r="D526" t="inlineStr">
        <is>
          <t>JÄMTLANDS LÄN</t>
        </is>
      </c>
      <c r="E526" t="inlineStr">
        <is>
          <t>ÖSTERSUND</t>
        </is>
      </c>
      <c r="G526" t="n">
        <v>0.2</v>
      </c>
      <c r="H526" t="n">
        <v>0</v>
      </c>
      <c r="I526" t="n">
        <v>0</v>
      </c>
      <c r="J526" t="n">
        <v>0</v>
      </c>
      <c r="K526" t="n">
        <v>0</v>
      </c>
      <c r="L526" t="n">
        <v>0</v>
      </c>
      <c r="M526" t="n">
        <v>0</v>
      </c>
      <c r="N526" t="n">
        <v>0</v>
      </c>
      <c r="O526" t="n">
        <v>0</v>
      </c>
      <c r="P526" t="n">
        <v>0</v>
      </c>
      <c r="Q526" t="n">
        <v>0</v>
      </c>
      <c r="R526" s="2" t="inlineStr"/>
    </row>
    <row r="527" ht="15" customHeight="1">
      <c r="A527" t="inlineStr">
        <is>
          <t>A 3949-2023</t>
        </is>
      </c>
      <c r="B527" s="1" t="n">
        <v>44950</v>
      </c>
      <c r="C527" s="1" t="n">
        <v>45589</v>
      </c>
      <c r="D527" t="inlineStr">
        <is>
          <t>JÄMTLANDS LÄN</t>
        </is>
      </c>
      <c r="E527" t="inlineStr">
        <is>
          <t>ÖSTERSUND</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4134-2023</t>
        </is>
      </c>
      <c r="B528" s="1" t="n">
        <v>44952</v>
      </c>
      <c r="C528" s="1" t="n">
        <v>45589</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4135-2023</t>
        </is>
      </c>
      <c r="B529" s="1" t="n">
        <v>44952</v>
      </c>
      <c r="C529" s="1" t="n">
        <v>45589</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4136-2023</t>
        </is>
      </c>
      <c r="B530" s="1" t="n">
        <v>44952</v>
      </c>
      <c r="C530" s="1" t="n">
        <v>45589</v>
      </c>
      <c r="D530" t="inlineStr">
        <is>
          <t>JÄMTLANDS LÄN</t>
        </is>
      </c>
      <c r="E530" t="inlineStr">
        <is>
          <t>ÖSTERSUND</t>
        </is>
      </c>
      <c r="G530" t="n">
        <v>0.7</v>
      </c>
      <c r="H530" t="n">
        <v>0</v>
      </c>
      <c r="I530" t="n">
        <v>0</v>
      </c>
      <c r="J530" t="n">
        <v>0</v>
      </c>
      <c r="K530" t="n">
        <v>0</v>
      </c>
      <c r="L530" t="n">
        <v>0</v>
      </c>
      <c r="M530" t="n">
        <v>0</v>
      </c>
      <c r="N530" t="n">
        <v>0</v>
      </c>
      <c r="O530" t="n">
        <v>0</v>
      </c>
      <c r="P530" t="n">
        <v>0</v>
      </c>
      <c r="Q530" t="n">
        <v>0</v>
      </c>
      <c r="R530" s="2" t="inlineStr"/>
    </row>
    <row r="531" ht="15" customHeight="1">
      <c r="A531" t="inlineStr">
        <is>
          <t>A 4345-2023</t>
        </is>
      </c>
      <c r="B531" s="1" t="n">
        <v>44954</v>
      </c>
      <c r="C531" s="1" t="n">
        <v>45589</v>
      </c>
      <c r="D531" t="inlineStr">
        <is>
          <t>JÄMTLANDS LÄN</t>
        </is>
      </c>
      <c r="E531" t="inlineStr">
        <is>
          <t>ÖSTERSUND</t>
        </is>
      </c>
      <c r="F531" t="inlineStr">
        <is>
          <t>SCA</t>
        </is>
      </c>
      <c r="G531" t="n">
        <v>7.5</v>
      </c>
      <c r="H531" t="n">
        <v>0</v>
      </c>
      <c r="I531" t="n">
        <v>0</v>
      </c>
      <c r="J531" t="n">
        <v>0</v>
      </c>
      <c r="K531" t="n">
        <v>0</v>
      </c>
      <c r="L531" t="n">
        <v>0</v>
      </c>
      <c r="M531" t="n">
        <v>0</v>
      </c>
      <c r="N531" t="n">
        <v>0</v>
      </c>
      <c r="O531" t="n">
        <v>0</v>
      </c>
      <c r="P531" t="n">
        <v>0</v>
      </c>
      <c r="Q531" t="n">
        <v>0</v>
      </c>
      <c r="R531" s="2" t="inlineStr"/>
    </row>
    <row r="532" ht="15" customHeight="1">
      <c r="A532" t="inlineStr">
        <is>
          <t>A 5197-2023</t>
        </is>
      </c>
      <c r="B532" s="1" t="n">
        <v>44953</v>
      </c>
      <c r="C532" s="1" t="n">
        <v>45589</v>
      </c>
      <c r="D532" t="inlineStr">
        <is>
          <t>JÄMTLANDS LÄN</t>
        </is>
      </c>
      <c r="E532" t="inlineStr">
        <is>
          <t>ÖSTERSUND</t>
        </is>
      </c>
      <c r="G532" t="n">
        <v>1.5</v>
      </c>
      <c r="H532" t="n">
        <v>0</v>
      </c>
      <c r="I532" t="n">
        <v>0</v>
      </c>
      <c r="J532" t="n">
        <v>0</v>
      </c>
      <c r="K532" t="n">
        <v>0</v>
      </c>
      <c r="L532" t="n">
        <v>0</v>
      </c>
      <c r="M532" t="n">
        <v>0</v>
      </c>
      <c r="N532" t="n">
        <v>0</v>
      </c>
      <c r="O532" t="n">
        <v>0</v>
      </c>
      <c r="P532" t="n">
        <v>0</v>
      </c>
      <c r="Q532" t="n">
        <v>0</v>
      </c>
      <c r="R532" s="2" t="inlineStr"/>
    </row>
    <row r="533" ht="15" customHeight="1">
      <c r="A533" t="inlineStr">
        <is>
          <t>A 4872-2023</t>
        </is>
      </c>
      <c r="B533" s="1" t="n">
        <v>44957</v>
      </c>
      <c r="C533" s="1" t="n">
        <v>45589</v>
      </c>
      <c r="D533" t="inlineStr">
        <is>
          <t>JÄMTLANDS LÄN</t>
        </is>
      </c>
      <c r="E533" t="inlineStr">
        <is>
          <t>ÖSTERSUND</t>
        </is>
      </c>
      <c r="G533" t="n">
        <v>10.7</v>
      </c>
      <c r="H533" t="n">
        <v>0</v>
      </c>
      <c r="I533" t="n">
        <v>0</v>
      </c>
      <c r="J533" t="n">
        <v>0</v>
      </c>
      <c r="K533" t="n">
        <v>0</v>
      </c>
      <c r="L533" t="n">
        <v>0</v>
      </c>
      <c r="M533" t="n">
        <v>0</v>
      </c>
      <c r="N533" t="n">
        <v>0</v>
      </c>
      <c r="O533" t="n">
        <v>0</v>
      </c>
      <c r="P533" t="n">
        <v>0</v>
      </c>
      <c r="Q533" t="n">
        <v>0</v>
      </c>
      <c r="R533" s="2" t="inlineStr"/>
    </row>
    <row r="534" ht="15" customHeight="1">
      <c r="A534" t="inlineStr">
        <is>
          <t>A 5951-2023</t>
        </is>
      </c>
      <c r="B534" s="1" t="n">
        <v>44963</v>
      </c>
      <c r="C534" s="1" t="n">
        <v>45589</v>
      </c>
      <c r="D534" t="inlineStr">
        <is>
          <t>JÄMTLANDS LÄN</t>
        </is>
      </c>
      <c r="E534" t="inlineStr">
        <is>
          <t>ÖSTERSUND</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5950-2023</t>
        </is>
      </c>
      <c r="B535" s="1" t="n">
        <v>44963</v>
      </c>
      <c r="C535" s="1" t="n">
        <v>45589</v>
      </c>
      <c r="D535" t="inlineStr">
        <is>
          <t>JÄMTLANDS LÄN</t>
        </is>
      </c>
      <c r="E535" t="inlineStr">
        <is>
          <t>ÖSTERSUND</t>
        </is>
      </c>
      <c r="F535" t="inlineStr">
        <is>
          <t>SCA</t>
        </is>
      </c>
      <c r="G535" t="n">
        <v>3.9</v>
      </c>
      <c r="H535" t="n">
        <v>0</v>
      </c>
      <c r="I535" t="n">
        <v>0</v>
      </c>
      <c r="J535" t="n">
        <v>0</v>
      </c>
      <c r="K535" t="n">
        <v>0</v>
      </c>
      <c r="L535" t="n">
        <v>0</v>
      </c>
      <c r="M535" t="n">
        <v>0</v>
      </c>
      <c r="N535" t="n">
        <v>0</v>
      </c>
      <c r="O535" t="n">
        <v>0</v>
      </c>
      <c r="P535" t="n">
        <v>0</v>
      </c>
      <c r="Q535" t="n">
        <v>0</v>
      </c>
      <c r="R535" s="2" t="inlineStr"/>
    </row>
    <row r="536" ht="15" customHeight="1">
      <c r="A536" t="inlineStr">
        <is>
          <t>A 6341-2023</t>
        </is>
      </c>
      <c r="B536" s="1" t="n">
        <v>44965</v>
      </c>
      <c r="C536" s="1" t="n">
        <v>45589</v>
      </c>
      <c r="D536" t="inlineStr">
        <is>
          <t>JÄMTLANDS LÄN</t>
        </is>
      </c>
      <c r="E536" t="inlineStr">
        <is>
          <t>ÖSTERSUND</t>
        </is>
      </c>
      <c r="G536" t="n">
        <v>6</v>
      </c>
      <c r="H536" t="n">
        <v>0</v>
      </c>
      <c r="I536" t="n">
        <v>0</v>
      </c>
      <c r="J536" t="n">
        <v>0</v>
      </c>
      <c r="K536" t="n">
        <v>0</v>
      </c>
      <c r="L536" t="n">
        <v>0</v>
      </c>
      <c r="M536" t="n">
        <v>0</v>
      </c>
      <c r="N536" t="n">
        <v>0</v>
      </c>
      <c r="O536" t="n">
        <v>0</v>
      </c>
      <c r="P536" t="n">
        <v>0</v>
      </c>
      <c r="Q536" t="n">
        <v>0</v>
      </c>
      <c r="R536" s="2" t="inlineStr"/>
    </row>
    <row r="537" ht="15" customHeight="1">
      <c r="A537" t="inlineStr">
        <is>
          <t>A 7327-2023</t>
        </is>
      </c>
      <c r="B537" s="1" t="n">
        <v>44971</v>
      </c>
      <c r="C537" s="1" t="n">
        <v>45589</v>
      </c>
      <c r="D537" t="inlineStr">
        <is>
          <t>JÄMTLANDS LÄN</t>
        </is>
      </c>
      <c r="E537" t="inlineStr">
        <is>
          <t>ÖSTERSUND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7983-2023</t>
        </is>
      </c>
      <c r="B538" s="1" t="n">
        <v>44970</v>
      </c>
      <c r="C538" s="1" t="n">
        <v>45589</v>
      </c>
      <c r="D538" t="inlineStr">
        <is>
          <t>JÄMTLANDS LÄN</t>
        </is>
      </c>
      <c r="E538" t="inlineStr">
        <is>
          <t>ÖSTERSUND</t>
        </is>
      </c>
      <c r="G538" t="n">
        <v>1.8</v>
      </c>
      <c r="H538" t="n">
        <v>0</v>
      </c>
      <c r="I538" t="n">
        <v>0</v>
      </c>
      <c r="J538" t="n">
        <v>0</v>
      </c>
      <c r="K538" t="n">
        <v>0</v>
      </c>
      <c r="L538" t="n">
        <v>0</v>
      </c>
      <c r="M538" t="n">
        <v>0</v>
      </c>
      <c r="N538" t="n">
        <v>0</v>
      </c>
      <c r="O538" t="n">
        <v>0</v>
      </c>
      <c r="P538" t="n">
        <v>0</v>
      </c>
      <c r="Q538" t="n">
        <v>0</v>
      </c>
      <c r="R538" s="2" t="inlineStr"/>
    </row>
    <row r="539" ht="15" customHeight="1">
      <c r="A539" t="inlineStr">
        <is>
          <t>A 8223-2023</t>
        </is>
      </c>
      <c r="B539" s="1" t="n">
        <v>44971</v>
      </c>
      <c r="C539" s="1" t="n">
        <v>45589</v>
      </c>
      <c r="D539" t="inlineStr">
        <is>
          <t>JÄMTLANDS LÄN</t>
        </is>
      </c>
      <c r="E539" t="inlineStr">
        <is>
          <t>ÖSTERSUND</t>
        </is>
      </c>
      <c r="G539" t="n">
        <v>7.6</v>
      </c>
      <c r="H539" t="n">
        <v>0</v>
      </c>
      <c r="I539" t="n">
        <v>0</v>
      </c>
      <c r="J539" t="n">
        <v>0</v>
      </c>
      <c r="K539" t="n">
        <v>0</v>
      </c>
      <c r="L539" t="n">
        <v>0</v>
      </c>
      <c r="M539" t="n">
        <v>0</v>
      </c>
      <c r="N539" t="n">
        <v>0</v>
      </c>
      <c r="O539" t="n">
        <v>0</v>
      </c>
      <c r="P539" t="n">
        <v>0</v>
      </c>
      <c r="Q539" t="n">
        <v>0</v>
      </c>
      <c r="R539" s="2" t="inlineStr"/>
    </row>
    <row r="540" ht="15" customHeight="1">
      <c r="A540" t="inlineStr">
        <is>
          <t>A 8423-2023</t>
        </is>
      </c>
      <c r="B540" s="1" t="n">
        <v>44977</v>
      </c>
      <c r="C540" s="1" t="n">
        <v>45589</v>
      </c>
      <c r="D540" t="inlineStr">
        <is>
          <t>JÄMTLANDS LÄN</t>
        </is>
      </c>
      <c r="E540" t="inlineStr">
        <is>
          <t>ÖSTERSUND</t>
        </is>
      </c>
      <c r="F540" t="inlineStr">
        <is>
          <t>Övriga Aktiebolag</t>
        </is>
      </c>
      <c r="G540" t="n">
        <v>53.1</v>
      </c>
      <c r="H540" t="n">
        <v>0</v>
      </c>
      <c r="I540" t="n">
        <v>0</v>
      </c>
      <c r="J540" t="n">
        <v>0</v>
      </c>
      <c r="K540" t="n">
        <v>0</v>
      </c>
      <c r="L540" t="n">
        <v>0</v>
      </c>
      <c r="M540" t="n">
        <v>0</v>
      </c>
      <c r="N540" t="n">
        <v>0</v>
      </c>
      <c r="O540" t="n">
        <v>0</v>
      </c>
      <c r="P540" t="n">
        <v>0</v>
      </c>
      <c r="Q540" t="n">
        <v>0</v>
      </c>
      <c r="R540" s="2" t="inlineStr"/>
    </row>
    <row r="541" ht="15" customHeight="1">
      <c r="A541" t="inlineStr">
        <is>
          <t>A 8675-2023</t>
        </is>
      </c>
      <c r="B541" s="1" t="n">
        <v>44978</v>
      </c>
      <c r="C541" s="1" t="n">
        <v>45589</v>
      </c>
      <c r="D541" t="inlineStr">
        <is>
          <t>JÄMTLANDS LÄN</t>
        </is>
      </c>
      <c r="E541" t="inlineStr">
        <is>
          <t>ÖSTERSUND</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10306-2023</t>
        </is>
      </c>
      <c r="B542" s="1" t="n">
        <v>44986</v>
      </c>
      <c r="C542" s="1" t="n">
        <v>45589</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10308-2023</t>
        </is>
      </c>
      <c r="B543" s="1" t="n">
        <v>44986</v>
      </c>
      <c r="C543" s="1" t="n">
        <v>45589</v>
      </c>
      <c r="D543" t="inlineStr">
        <is>
          <t>JÄMTLANDS LÄN</t>
        </is>
      </c>
      <c r="E543" t="inlineStr">
        <is>
          <t>ÖSTERSUND</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10307-2023</t>
        </is>
      </c>
      <c r="B544" s="1" t="n">
        <v>44986</v>
      </c>
      <c r="C544" s="1" t="n">
        <v>45589</v>
      </c>
      <c r="D544" t="inlineStr">
        <is>
          <t>JÄMTLANDS LÄN</t>
        </is>
      </c>
      <c r="E544" t="inlineStr">
        <is>
          <t>ÖSTERSUND</t>
        </is>
      </c>
      <c r="F544" t="inlineStr">
        <is>
          <t>SCA</t>
        </is>
      </c>
      <c r="G544" t="n">
        <v>4.6</v>
      </c>
      <c r="H544" t="n">
        <v>0</v>
      </c>
      <c r="I544" t="n">
        <v>0</v>
      </c>
      <c r="J544" t="n">
        <v>0</v>
      </c>
      <c r="K544" t="n">
        <v>0</v>
      </c>
      <c r="L544" t="n">
        <v>0</v>
      </c>
      <c r="M544" t="n">
        <v>0</v>
      </c>
      <c r="N544" t="n">
        <v>0</v>
      </c>
      <c r="O544" t="n">
        <v>0</v>
      </c>
      <c r="P544" t="n">
        <v>0</v>
      </c>
      <c r="Q544" t="n">
        <v>0</v>
      </c>
      <c r="R544" s="2" t="inlineStr"/>
    </row>
    <row r="545" ht="15" customHeight="1">
      <c r="A545" t="inlineStr">
        <is>
          <t>A 10315-2023</t>
        </is>
      </c>
      <c r="B545" s="1" t="n">
        <v>44986</v>
      </c>
      <c r="C545" s="1" t="n">
        <v>45589</v>
      </c>
      <c r="D545" t="inlineStr">
        <is>
          <t>JÄMTLANDS LÄN</t>
        </is>
      </c>
      <c r="E545" t="inlineStr">
        <is>
          <t>ÖSTERSUND</t>
        </is>
      </c>
      <c r="F545" t="inlineStr">
        <is>
          <t>SCA</t>
        </is>
      </c>
      <c r="G545" t="n">
        <v>6.7</v>
      </c>
      <c r="H545" t="n">
        <v>0</v>
      </c>
      <c r="I545" t="n">
        <v>0</v>
      </c>
      <c r="J545" t="n">
        <v>0</v>
      </c>
      <c r="K545" t="n">
        <v>0</v>
      </c>
      <c r="L545" t="n">
        <v>0</v>
      </c>
      <c r="M545" t="n">
        <v>0</v>
      </c>
      <c r="N545" t="n">
        <v>0</v>
      </c>
      <c r="O545" t="n">
        <v>0</v>
      </c>
      <c r="P545" t="n">
        <v>0</v>
      </c>
      <c r="Q545" t="n">
        <v>0</v>
      </c>
      <c r="R545" s="2" t="inlineStr"/>
    </row>
    <row r="546" ht="15" customHeight="1">
      <c r="A546" t="inlineStr">
        <is>
          <t>A 10305-2023</t>
        </is>
      </c>
      <c r="B546" s="1" t="n">
        <v>44986</v>
      </c>
      <c r="C546" s="1" t="n">
        <v>45589</v>
      </c>
      <c r="D546" t="inlineStr">
        <is>
          <t>JÄMTLANDS LÄN</t>
        </is>
      </c>
      <c r="E546" t="inlineStr">
        <is>
          <t>ÖSTERSUND</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11356-2023</t>
        </is>
      </c>
      <c r="B547" s="1" t="n">
        <v>44993</v>
      </c>
      <c r="C547" s="1" t="n">
        <v>45589</v>
      </c>
      <c r="D547" t="inlineStr">
        <is>
          <t>JÄMTLANDS LÄN</t>
        </is>
      </c>
      <c r="E547" t="inlineStr">
        <is>
          <t>ÖSTERSUND</t>
        </is>
      </c>
      <c r="G547" t="n">
        <v>8.1</v>
      </c>
      <c r="H547" t="n">
        <v>0</v>
      </c>
      <c r="I547" t="n">
        <v>0</v>
      </c>
      <c r="J547" t="n">
        <v>0</v>
      </c>
      <c r="K547" t="n">
        <v>0</v>
      </c>
      <c r="L547" t="n">
        <v>0</v>
      </c>
      <c r="M547" t="n">
        <v>0</v>
      </c>
      <c r="N547" t="n">
        <v>0</v>
      </c>
      <c r="O547" t="n">
        <v>0</v>
      </c>
      <c r="P547" t="n">
        <v>0</v>
      </c>
      <c r="Q547" t="n">
        <v>0</v>
      </c>
      <c r="R547" s="2" t="inlineStr"/>
    </row>
    <row r="548" ht="15" customHeight="1">
      <c r="A548" t="inlineStr">
        <is>
          <t>A 12821-2023</t>
        </is>
      </c>
      <c r="B548" s="1" t="n">
        <v>45000</v>
      </c>
      <c r="C548" s="1" t="n">
        <v>45589</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13166-2023</t>
        </is>
      </c>
      <c r="B549" s="1" t="n">
        <v>45002</v>
      </c>
      <c r="C549" s="1" t="n">
        <v>45589</v>
      </c>
      <c r="D549" t="inlineStr">
        <is>
          <t>JÄMTLANDS LÄN</t>
        </is>
      </c>
      <c r="E549" t="inlineStr">
        <is>
          <t>ÖSTERSUND</t>
        </is>
      </c>
      <c r="F549" t="inlineStr">
        <is>
          <t>Övriga statliga verk och myndigheter</t>
        </is>
      </c>
      <c r="G549" t="n">
        <v>1</v>
      </c>
      <c r="H549" t="n">
        <v>0</v>
      </c>
      <c r="I549" t="n">
        <v>0</v>
      </c>
      <c r="J549" t="n">
        <v>0</v>
      </c>
      <c r="K549" t="n">
        <v>0</v>
      </c>
      <c r="L549" t="n">
        <v>0</v>
      </c>
      <c r="M549" t="n">
        <v>0</v>
      </c>
      <c r="N549" t="n">
        <v>0</v>
      </c>
      <c r="O549" t="n">
        <v>0</v>
      </c>
      <c r="P549" t="n">
        <v>0</v>
      </c>
      <c r="Q549" t="n">
        <v>0</v>
      </c>
      <c r="R549" s="2" t="inlineStr"/>
    </row>
    <row r="550" ht="15" customHeight="1">
      <c r="A550" t="inlineStr">
        <is>
          <t>A 13148-2023</t>
        </is>
      </c>
      <c r="B550" s="1" t="n">
        <v>45002</v>
      </c>
      <c r="C550" s="1" t="n">
        <v>45589</v>
      </c>
      <c r="D550" t="inlineStr">
        <is>
          <t>JÄMTLANDS LÄN</t>
        </is>
      </c>
      <c r="E550" t="inlineStr">
        <is>
          <t>ÖSTERSUND</t>
        </is>
      </c>
      <c r="G550" t="n">
        <v>1.8</v>
      </c>
      <c r="H550" t="n">
        <v>0</v>
      </c>
      <c r="I550" t="n">
        <v>0</v>
      </c>
      <c r="J550" t="n">
        <v>0</v>
      </c>
      <c r="K550" t="n">
        <v>0</v>
      </c>
      <c r="L550" t="n">
        <v>0</v>
      </c>
      <c r="M550" t="n">
        <v>0</v>
      </c>
      <c r="N550" t="n">
        <v>0</v>
      </c>
      <c r="O550" t="n">
        <v>0</v>
      </c>
      <c r="P550" t="n">
        <v>0</v>
      </c>
      <c r="Q550" t="n">
        <v>0</v>
      </c>
      <c r="R550" s="2" t="inlineStr"/>
    </row>
    <row r="551" ht="15" customHeight="1">
      <c r="A551" t="inlineStr">
        <is>
          <t>A 13152-2023</t>
        </is>
      </c>
      <c r="B551" s="1" t="n">
        <v>45002</v>
      </c>
      <c r="C551" s="1" t="n">
        <v>45589</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13282-2023</t>
        </is>
      </c>
      <c r="B552" s="1" t="n">
        <v>45004</v>
      </c>
      <c r="C552" s="1" t="n">
        <v>45589</v>
      </c>
      <c r="D552" t="inlineStr">
        <is>
          <t>JÄMTLANDS LÄN</t>
        </is>
      </c>
      <c r="E552" t="inlineStr">
        <is>
          <t>ÖSTERSUND</t>
        </is>
      </c>
      <c r="G552" t="n">
        <v>28.5</v>
      </c>
      <c r="H552" t="n">
        <v>0</v>
      </c>
      <c r="I552" t="n">
        <v>0</v>
      </c>
      <c r="J552" t="n">
        <v>0</v>
      </c>
      <c r="K552" t="n">
        <v>0</v>
      </c>
      <c r="L552" t="n">
        <v>0</v>
      </c>
      <c r="M552" t="n">
        <v>0</v>
      </c>
      <c r="N552" t="n">
        <v>0</v>
      </c>
      <c r="O552" t="n">
        <v>0</v>
      </c>
      <c r="P552" t="n">
        <v>0</v>
      </c>
      <c r="Q552" t="n">
        <v>0</v>
      </c>
      <c r="R552" s="2" t="inlineStr"/>
    </row>
    <row r="553" ht="15" customHeight="1">
      <c r="A553" t="inlineStr">
        <is>
          <t>A 13921-2023</t>
        </is>
      </c>
      <c r="B553" s="1" t="n">
        <v>45008</v>
      </c>
      <c r="C553" s="1" t="n">
        <v>45589</v>
      </c>
      <c r="D553" t="inlineStr">
        <is>
          <t>JÄMTLANDS LÄN</t>
        </is>
      </c>
      <c r="E553" t="inlineStr">
        <is>
          <t>ÖSTERSUND</t>
        </is>
      </c>
      <c r="G553" t="n">
        <v>0.3</v>
      </c>
      <c r="H553" t="n">
        <v>0</v>
      </c>
      <c r="I553" t="n">
        <v>0</v>
      </c>
      <c r="J553" t="n">
        <v>0</v>
      </c>
      <c r="K553" t="n">
        <v>0</v>
      </c>
      <c r="L553" t="n">
        <v>0</v>
      </c>
      <c r="M553" t="n">
        <v>0</v>
      </c>
      <c r="N553" t="n">
        <v>0</v>
      </c>
      <c r="O553" t="n">
        <v>0</v>
      </c>
      <c r="P553" t="n">
        <v>0</v>
      </c>
      <c r="Q553" t="n">
        <v>0</v>
      </c>
      <c r="R553" s="2" t="inlineStr"/>
    </row>
    <row r="554" ht="15" customHeight="1">
      <c r="A554" t="inlineStr">
        <is>
          <t>A 14520-2023</t>
        </is>
      </c>
      <c r="B554" s="1" t="n">
        <v>45012</v>
      </c>
      <c r="C554" s="1" t="n">
        <v>45589</v>
      </c>
      <c r="D554" t="inlineStr">
        <is>
          <t>JÄMTLANDS LÄN</t>
        </is>
      </c>
      <c r="E554" t="inlineStr">
        <is>
          <t>ÖSTERSUND</t>
        </is>
      </c>
      <c r="G554" t="n">
        <v>1.4</v>
      </c>
      <c r="H554" t="n">
        <v>0</v>
      </c>
      <c r="I554" t="n">
        <v>0</v>
      </c>
      <c r="J554" t="n">
        <v>0</v>
      </c>
      <c r="K554" t="n">
        <v>0</v>
      </c>
      <c r="L554" t="n">
        <v>0</v>
      </c>
      <c r="M554" t="n">
        <v>0</v>
      </c>
      <c r="N554" t="n">
        <v>0</v>
      </c>
      <c r="O554" t="n">
        <v>0</v>
      </c>
      <c r="P554" t="n">
        <v>0</v>
      </c>
      <c r="Q554" t="n">
        <v>0</v>
      </c>
      <c r="R554" s="2" t="inlineStr"/>
    </row>
    <row r="555" ht="15" customHeight="1">
      <c r="A555" t="inlineStr">
        <is>
          <t>A 14523-2023</t>
        </is>
      </c>
      <c r="B555" s="1" t="n">
        <v>45012</v>
      </c>
      <c r="C555" s="1" t="n">
        <v>45589</v>
      </c>
      <c r="D555" t="inlineStr">
        <is>
          <t>JÄMTLANDS LÄN</t>
        </is>
      </c>
      <c r="E555" t="inlineStr">
        <is>
          <t>ÖSTERSUND</t>
        </is>
      </c>
      <c r="G555" t="n">
        <v>4.5</v>
      </c>
      <c r="H555" t="n">
        <v>0</v>
      </c>
      <c r="I555" t="n">
        <v>0</v>
      </c>
      <c r="J555" t="n">
        <v>0</v>
      </c>
      <c r="K555" t="n">
        <v>0</v>
      </c>
      <c r="L555" t="n">
        <v>0</v>
      </c>
      <c r="M555" t="n">
        <v>0</v>
      </c>
      <c r="N555" t="n">
        <v>0</v>
      </c>
      <c r="O555" t="n">
        <v>0</v>
      </c>
      <c r="P555" t="n">
        <v>0</v>
      </c>
      <c r="Q555" t="n">
        <v>0</v>
      </c>
      <c r="R555" s="2" t="inlineStr"/>
    </row>
    <row r="556" ht="15" customHeight="1">
      <c r="A556" t="inlineStr">
        <is>
          <t>A 14521-2023</t>
        </is>
      </c>
      <c r="B556" s="1" t="n">
        <v>45013</v>
      </c>
      <c r="C556" s="1" t="n">
        <v>45589</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14518-2023</t>
        </is>
      </c>
      <c r="B557" s="1" t="n">
        <v>45012</v>
      </c>
      <c r="C557" s="1" t="n">
        <v>45589</v>
      </c>
      <c r="D557" t="inlineStr">
        <is>
          <t>JÄMTLANDS LÄN</t>
        </is>
      </c>
      <c r="E557" t="inlineStr">
        <is>
          <t>ÖSTERSUND</t>
        </is>
      </c>
      <c r="G557" t="n">
        <v>14.4</v>
      </c>
      <c r="H557" t="n">
        <v>0</v>
      </c>
      <c r="I557" t="n">
        <v>0</v>
      </c>
      <c r="J557" t="n">
        <v>0</v>
      </c>
      <c r="K557" t="n">
        <v>0</v>
      </c>
      <c r="L557" t="n">
        <v>0</v>
      </c>
      <c r="M557" t="n">
        <v>0</v>
      </c>
      <c r="N557" t="n">
        <v>0</v>
      </c>
      <c r="O557" t="n">
        <v>0</v>
      </c>
      <c r="P557" t="n">
        <v>0</v>
      </c>
      <c r="Q557" t="n">
        <v>0</v>
      </c>
      <c r="R557" s="2" t="inlineStr"/>
    </row>
    <row r="558" ht="15" customHeight="1">
      <c r="A558" t="inlineStr">
        <is>
          <t>A 15984-2023</t>
        </is>
      </c>
      <c r="B558" s="1" t="n">
        <v>45022</v>
      </c>
      <c r="C558" s="1" t="n">
        <v>45589</v>
      </c>
      <c r="D558" t="inlineStr">
        <is>
          <t>JÄMTLANDS LÄN</t>
        </is>
      </c>
      <c r="E558" t="inlineStr">
        <is>
          <t>ÖSTERSUND</t>
        </is>
      </c>
      <c r="F558" t="inlineStr">
        <is>
          <t>SCA</t>
        </is>
      </c>
      <c r="G558" t="n">
        <v>10.1</v>
      </c>
      <c r="H558" t="n">
        <v>0</v>
      </c>
      <c r="I558" t="n">
        <v>0</v>
      </c>
      <c r="J558" t="n">
        <v>0</v>
      </c>
      <c r="K558" t="n">
        <v>0</v>
      </c>
      <c r="L558" t="n">
        <v>0</v>
      </c>
      <c r="M558" t="n">
        <v>0</v>
      </c>
      <c r="N558" t="n">
        <v>0</v>
      </c>
      <c r="O558" t="n">
        <v>0</v>
      </c>
      <c r="P558" t="n">
        <v>0</v>
      </c>
      <c r="Q558" t="n">
        <v>0</v>
      </c>
      <c r="R558" s="2" t="inlineStr"/>
    </row>
    <row r="559" ht="15" customHeight="1">
      <c r="A559" t="inlineStr">
        <is>
          <t>A 16666-2023</t>
        </is>
      </c>
      <c r="B559" s="1" t="n">
        <v>45028</v>
      </c>
      <c r="C559" s="1" t="n">
        <v>45589</v>
      </c>
      <c r="D559" t="inlineStr">
        <is>
          <t>JÄMTLANDS LÄN</t>
        </is>
      </c>
      <c r="E559" t="inlineStr">
        <is>
          <t>ÖSTERSUND</t>
        </is>
      </c>
      <c r="G559" t="n">
        <v>2.4</v>
      </c>
      <c r="H559" t="n">
        <v>0</v>
      </c>
      <c r="I559" t="n">
        <v>0</v>
      </c>
      <c r="J559" t="n">
        <v>0</v>
      </c>
      <c r="K559" t="n">
        <v>0</v>
      </c>
      <c r="L559" t="n">
        <v>0</v>
      </c>
      <c r="M559" t="n">
        <v>0</v>
      </c>
      <c r="N559" t="n">
        <v>0</v>
      </c>
      <c r="O559" t="n">
        <v>0</v>
      </c>
      <c r="P559" t="n">
        <v>0</v>
      </c>
      <c r="Q559" t="n">
        <v>0</v>
      </c>
      <c r="R559" s="2" t="inlineStr"/>
    </row>
    <row r="560" ht="15" customHeight="1">
      <c r="A560" t="inlineStr">
        <is>
          <t>A 16682-2023</t>
        </is>
      </c>
      <c r="B560" s="1" t="n">
        <v>45028</v>
      </c>
      <c r="C560" s="1" t="n">
        <v>45589</v>
      </c>
      <c r="D560" t="inlineStr">
        <is>
          <t>JÄMTLANDS LÄN</t>
        </is>
      </c>
      <c r="E560" t="inlineStr">
        <is>
          <t>ÖSTERSUND</t>
        </is>
      </c>
      <c r="G560" t="n">
        <v>7.9</v>
      </c>
      <c r="H560" t="n">
        <v>0</v>
      </c>
      <c r="I560" t="n">
        <v>0</v>
      </c>
      <c r="J560" t="n">
        <v>0</v>
      </c>
      <c r="K560" t="n">
        <v>0</v>
      </c>
      <c r="L560" t="n">
        <v>0</v>
      </c>
      <c r="M560" t="n">
        <v>0</v>
      </c>
      <c r="N560" t="n">
        <v>0</v>
      </c>
      <c r="O560" t="n">
        <v>0</v>
      </c>
      <c r="P560" t="n">
        <v>0</v>
      </c>
      <c r="Q560" t="n">
        <v>0</v>
      </c>
      <c r="R560" s="2" t="inlineStr"/>
    </row>
    <row r="561" ht="15" customHeight="1">
      <c r="A561" t="inlineStr">
        <is>
          <t>A 17225-2023</t>
        </is>
      </c>
      <c r="B561" s="1" t="n">
        <v>45035</v>
      </c>
      <c r="C561" s="1" t="n">
        <v>45589</v>
      </c>
      <c r="D561" t="inlineStr">
        <is>
          <t>JÄMTLANDS LÄN</t>
        </is>
      </c>
      <c r="E561" t="inlineStr">
        <is>
          <t>ÖSTERSUND</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19573-2023</t>
        </is>
      </c>
      <c r="B562" s="1" t="n">
        <v>45049</v>
      </c>
      <c r="C562" s="1" t="n">
        <v>45589</v>
      </c>
      <c r="D562" t="inlineStr">
        <is>
          <t>JÄMTLANDS LÄN</t>
        </is>
      </c>
      <c r="E562" t="inlineStr">
        <is>
          <t>ÖSTERSUND</t>
        </is>
      </c>
      <c r="G562" t="n">
        <v>4.6</v>
      </c>
      <c r="H562" t="n">
        <v>0</v>
      </c>
      <c r="I562" t="n">
        <v>0</v>
      </c>
      <c r="J562" t="n">
        <v>0</v>
      </c>
      <c r="K562" t="n">
        <v>0</v>
      </c>
      <c r="L562" t="n">
        <v>0</v>
      </c>
      <c r="M562" t="n">
        <v>0</v>
      </c>
      <c r="N562" t="n">
        <v>0</v>
      </c>
      <c r="O562" t="n">
        <v>0</v>
      </c>
      <c r="P562" t="n">
        <v>0</v>
      </c>
      <c r="Q562" t="n">
        <v>0</v>
      </c>
      <c r="R562" s="2" t="inlineStr"/>
    </row>
    <row r="563" ht="15" customHeight="1">
      <c r="A563" t="inlineStr">
        <is>
          <t>A 19750-2023</t>
        </is>
      </c>
      <c r="B563" s="1" t="n">
        <v>45050</v>
      </c>
      <c r="C563" s="1" t="n">
        <v>45589</v>
      </c>
      <c r="D563" t="inlineStr">
        <is>
          <t>JÄMTLANDS LÄN</t>
        </is>
      </c>
      <c r="E563" t="inlineStr">
        <is>
          <t>ÖSTERSUND</t>
        </is>
      </c>
      <c r="G563" t="n">
        <v>3.2</v>
      </c>
      <c r="H563" t="n">
        <v>0</v>
      </c>
      <c r="I563" t="n">
        <v>0</v>
      </c>
      <c r="J563" t="n">
        <v>0</v>
      </c>
      <c r="K563" t="n">
        <v>0</v>
      </c>
      <c r="L563" t="n">
        <v>0</v>
      </c>
      <c r="M563" t="n">
        <v>0</v>
      </c>
      <c r="N563" t="n">
        <v>0</v>
      </c>
      <c r="O563" t="n">
        <v>0</v>
      </c>
      <c r="P563" t="n">
        <v>0</v>
      </c>
      <c r="Q563" t="n">
        <v>0</v>
      </c>
      <c r="R563" s="2" t="inlineStr"/>
    </row>
    <row r="564" ht="15" customHeight="1">
      <c r="A564" t="inlineStr">
        <is>
          <t>A 20606-2023</t>
        </is>
      </c>
      <c r="B564" s="1" t="n">
        <v>45057</v>
      </c>
      <c r="C564" s="1" t="n">
        <v>45589</v>
      </c>
      <c r="D564" t="inlineStr">
        <is>
          <t>JÄMTLANDS LÄN</t>
        </is>
      </c>
      <c r="E564" t="inlineStr">
        <is>
          <t>ÖSTERSUND</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20634-2023</t>
        </is>
      </c>
      <c r="B565" s="1" t="n">
        <v>45058</v>
      </c>
      <c r="C565" s="1" t="n">
        <v>45589</v>
      </c>
      <c r="D565" t="inlineStr">
        <is>
          <t>JÄMTLANDS LÄN</t>
        </is>
      </c>
      <c r="E565" t="inlineStr">
        <is>
          <t>ÖSTERSUND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20588-2023</t>
        </is>
      </c>
      <c r="B566" s="1" t="n">
        <v>45057</v>
      </c>
      <c r="C566" s="1" t="n">
        <v>45589</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20635-2023</t>
        </is>
      </c>
      <c r="B567" s="1" t="n">
        <v>45058</v>
      </c>
      <c r="C567" s="1" t="n">
        <v>45589</v>
      </c>
      <c r="D567" t="inlineStr">
        <is>
          <t>JÄMTLANDS LÄN</t>
        </is>
      </c>
      <c r="E567" t="inlineStr">
        <is>
          <t>ÖSTERSUND</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20633-2023</t>
        </is>
      </c>
      <c r="B568" s="1" t="n">
        <v>45058</v>
      </c>
      <c r="C568" s="1" t="n">
        <v>45589</v>
      </c>
      <c r="D568" t="inlineStr">
        <is>
          <t>JÄMTLANDS LÄN</t>
        </is>
      </c>
      <c r="E568" t="inlineStr">
        <is>
          <t>ÖSTERSUND</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20636-2023</t>
        </is>
      </c>
      <c r="B569" s="1" t="n">
        <v>45058</v>
      </c>
      <c r="C569" s="1" t="n">
        <v>45589</v>
      </c>
      <c r="D569" t="inlineStr">
        <is>
          <t>JÄMTLANDS LÄN</t>
        </is>
      </c>
      <c r="E569" t="inlineStr">
        <is>
          <t>ÖSTERSUND</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24515-2023</t>
        </is>
      </c>
      <c r="B570" s="1" t="n">
        <v>45077</v>
      </c>
      <c r="C570" s="1" t="n">
        <v>45589</v>
      </c>
      <c r="D570" t="inlineStr">
        <is>
          <t>JÄMTLANDS LÄN</t>
        </is>
      </c>
      <c r="E570" t="inlineStr">
        <is>
          <t>ÖSTERSUND</t>
        </is>
      </c>
      <c r="G570" t="n">
        <v>27.8</v>
      </c>
      <c r="H570" t="n">
        <v>0</v>
      </c>
      <c r="I570" t="n">
        <v>0</v>
      </c>
      <c r="J570" t="n">
        <v>0</v>
      </c>
      <c r="K570" t="n">
        <v>0</v>
      </c>
      <c r="L570" t="n">
        <v>0</v>
      </c>
      <c r="M570" t="n">
        <v>0</v>
      </c>
      <c r="N570" t="n">
        <v>0</v>
      </c>
      <c r="O570" t="n">
        <v>0</v>
      </c>
      <c r="P570" t="n">
        <v>0</v>
      </c>
      <c r="Q570" t="n">
        <v>0</v>
      </c>
      <c r="R570" s="2" t="inlineStr"/>
    </row>
    <row r="571" ht="15" customHeight="1">
      <c r="A571" t="inlineStr">
        <is>
          <t>A 24396-2023</t>
        </is>
      </c>
      <c r="B571" s="1" t="n">
        <v>45082</v>
      </c>
      <c r="C571" s="1" t="n">
        <v>45589</v>
      </c>
      <c r="D571" t="inlineStr">
        <is>
          <t>JÄMTLANDS LÄN</t>
        </is>
      </c>
      <c r="E571" t="inlineStr">
        <is>
          <t>ÖSTERSUND</t>
        </is>
      </c>
      <c r="F571" t="inlineStr">
        <is>
          <t>Kyrkan</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25727-2023</t>
        </is>
      </c>
      <c r="B572" s="1" t="n">
        <v>45084</v>
      </c>
      <c r="C572" s="1" t="n">
        <v>45589</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25866-2023</t>
        </is>
      </c>
      <c r="B573" s="1" t="n">
        <v>45084</v>
      </c>
      <c r="C573" s="1" t="n">
        <v>45589</v>
      </c>
      <c r="D573" t="inlineStr">
        <is>
          <t>JÄMTLANDS LÄN</t>
        </is>
      </c>
      <c r="E573" t="inlineStr">
        <is>
          <t>ÖSTERSUND</t>
        </is>
      </c>
      <c r="G573" t="n">
        <v>1.8</v>
      </c>
      <c r="H573" t="n">
        <v>0</v>
      </c>
      <c r="I573" t="n">
        <v>0</v>
      </c>
      <c r="J573" t="n">
        <v>0</v>
      </c>
      <c r="K573" t="n">
        <v>0</v>
      </c>
      <c r="L573" t="n">
        <v>0</v>
      </c>
      <c r="M573" t="n">
        <v>0</v>
      </c>
      <c r="N573" t="n">
        <v>0</v>
      </c>
      <c r="O573" t="n">
        <v>0</v>
      </c>
      <c r="P573" t="n">
        <v>0</v>
      </c>
      <c r="Q573" t="n">
        <v>0</v>
      </c>
      <c r="R573" s="2" t="inlineStr"/>
    </row>
    <row r="574" ht="15" customHeight="1">
      <c r="A574" t="inlineStr">
        <is>
          <t>A 25496-2023</t>
        </is>
      </c>
      <c r="B574" s="1" t="n">
        <v>45089</v>
      </c>
      <c r="C574" s="1" t="n">
        <v>45589</v>
      </c>
      <c r="D574" t="inlineStr">
        <is>
          <t>JÄMTLANDS LÄN</t>
        </is>
      </c>
      <c r="E574" t="inlineStr">
        <is>
          <t>ÖSTERSUND</t>
        </is>
      </c>
      <c r="F574" t="inlineStr">
        <is>
          <t>Kyrkan</t>
        </is>
      </c>
      <c r="G574" t="n">
        <v>5.7</v>
      </c>
      <c r="H574" t="n">
        <v>0</v>
      </c>
      <c r="I574" t="n">
        <v>0</v>
      </c>
      <c r="J574" t="n">
        <v>0</v>
      </c>
      <c r="K574" t="n">
        <v>0</v>
      </c>
      <c r="L574" t="n">
        <v>0</v>
      </c>
      <c r="M574" t="n">
        <v>0</v>
      </c>
      <c r="N574" t="n">
        <v>0</v>
      </c>
      <c r="O574" t="n">
        <v>0</v>
      </c>
      <c r="P574" t="n">
        <v>0</v>
      </c>
      <c r="Q574" t="n">
        <v>0</v>
      </c>
      <c r="R574" s="2" t="inlineStr"/>
    </row>
    <row r="575" ht="15" customHeight="1">
      <c r="A575" t="inlineStr">
        <is>
          <t>A 25535-2023</t>
        </is>
      </c>
      <c r="B575" s="1" t="n">
        <v>45089</v>
      </c>
      <c r="C575" s="1" t="n">
        <v>45589</v>
      </c>
      <c r="D575" t="inlineStr">
        <is>
          <t>JÄMTLANDS LÄN</t>
        </is>
      </c>
      <c r="E575" t="inlineStr">
        <is>
          <t>ÖSTERSUND</t>
        </is>
      </c>
      <c r="G575" t="n">
        <v>1</v>
      </c>
      <c r="H575" t="n">
        <v>0</v>
      </c>
      <c r="I575" t="n">
        <v>0</v>
      </c>
      <c r="J575" t="n">
        <v>0</v>
      </c>
      <c r="K575" t="n">
        <v>0</v>
      </c>
      <c r="L575" t="n">
        <v>0</v>
      </c>
      <c r="M575" t="n">
        <v>0</v>
      </c>
      <c r="N575" t="n">
        <v>0</v>
      </c>
      <c r="O575" t="n">
        <v>0</v>
      </c>
      <c r="P575" t="n">
        <v>0</v>
      </c>
      <c r="Q575" t="n">
        <v>0</v>
      </c>
      <c r="R575" s="2" t="inlineStr"/>
    </row>
    <row r="576" ht="15" customHeight="1">
      <c r="A576" t="inlineStr">
        <is>
          <t>A 25514-2023</t>
        </is>
      </c>
      <c r="B576" s="1" t="n">
        <v>45089</v>
      </c>
      <c r="C576" s="1" t="n">
        <v>45589</v>
      </c>
      <c r="D576" t="inlineStr">
        <is>
          <t>JÄMTLANDS LÄN</t>
        </is>
      </c>
      <c r="E576" t="inlineStr">
        <is>
          <t>ÖSTERSUND</t>
        </is>
      </c>
      <c r="F576" t="inlineStr">
        <is>
          <t>Kyrkan</t>
        </is>
      </c>
      <c r="G576" t="n">
        <v>6.7</v>
      </c>
      <c r="H576" t="n">
        <v>0</v>
      </c>
      <c r="I576" t="n">
        <v>0</v>
      </c>
      <c r="J576" t="n">
        <v>0</v>
      </c>
      <c r="K576" t="n">
        <v>0</v>
      </c>
      <c r="L576" t="n">
        <v>0</v>
      </c>
      <c r="M576" t="n">
        <v>0</v>
      </c>
      <c r="N576" t="n">
        <v>0</v>
      </c>
      <c r="O576" t="n">
        <v>0</v>
      </c>
      <c r="P576" t="n">
        <v>0</v>
      </c>
      <c r="Q576" t="n">
        <v>0</v>
      </c>
      <c r="R576" s="2" t="inlineStr"/>
    </row>
    <row r="577" ht="15" customHeight="1">
      <c r="A577" t="inlineStr">
        <is>
          <t>A 26565-2023</t>
        </is>
      </c>
      <c r="B577" s="1" t="n">
        <v>45089</v>
      </c>
      <c r="C577" s="1" t="n">
        <v>45589</v>
      </c>
      <c r="D577" t="inlineStr">
        <is>
          <t>JÄMTLANDS LÄN</t>
        </is>
      </c>
      <c r="E577" t="inlineStr">
        <is>
          <t>ÖSTERSUND</t>
        </is>
      </c>
      <c r="G577" t="n">
        <v>5.2</v>
      </c>
      <c r="H577" t="n">
        <v>0</v>
      </c>
      <c r="I577" t="n">
        <v>0</v>
      </c>
      <c r="J577" t="n">
        <v>0</v>
      </c>
      <c r="K577" t="n">
        <v>0</v>
      </c>
      <c r="L577" t="n">
        <v>0</v>
      </c>
      <c r="M577" t="n">
        <v>0</v>
      </c>
      <c r="N577" t="n">
        <v>0</v>
      </c>
      <c r="O577" t="n">
        <v>0</v>
      </c>
      <c r="P577" t="n">
        <v>0</v>
      </c>
      <c r="Q577" t="n">
        <v>0</v>
      </c>
      <c r="R577" s="2" t="inlineStr"/>
    </row>
    <row r="578" ht="15" customHeight="1">
      <c r="A578" t="inlineStr">
        <is>
          <t>A 26521-2023</t>
        </is>
      </c>
      <c r="B578" s="1" t="n">
        <v>45089</v>
      </c>
      <c r="C578" s="1" t="n">
        <v>45589</v>
      </c>
      <c r="D578" t="inlineStr">
        <is>
          <t>JÄMTLANDS LÄN</t>
        </is>
      </c>
      <c r="E578" t="inlineStr">
        <is>
          <t>ÖSTERSUND</t>
        </is>
      </c>
      <c r="G578" t="n">
        <v>11.7</v>
      </c>
      <c r="H578" t="n">
        <v>0</v>
      </c>
      <c r="I578" t="n">
        <v>0</v>
      </c>
      <c r="J578" t="n">
        <v>0</v>
      </c>
      <c r="K578" t="n">
        <v>0</v>
      </c>
      <c r="L578" t="n">
        <v>0</v>
      </c>
      <c r="M578" t="n">
        <v>0</v>
      </c>
      <c r="N578" t="n">
        <v>0</v>
      </c>
      <c r="O578" t="n">
        <v>0</v>
      </c>
      <c r="P578" t="n">
        <v>0</v>
      </c>
      <c r="Q578" t="n">
        <v>0</v>
      </c>
      <c r="R578" s="2" t="inlineStr"/>
    </row>
    <row r="579" ht="15" customHeight="1">
      <c r="A579" t="inlineStr">
        <is>
          <t>A 25789-2023</t>
        </is>
      </c>
      <c r="B579" s="1" t="n">
        <v>45090</v>
      </c>
      <c r="C579" s="1" t="n">
        <v>45589</v>
      </c>
      <c r="D579" t="inlineStr">
        <is>
          <t>JÄMTLANDS LÄN</t>
        </is>
      </c>
      <c r="E579" t="inlineStr">
        <is>
          <t>ÖSTERSUND</t>
        </is>
      </c>
      <c r="G579" t="n">
        <v>3.1</v>
      </c>
      <c r="H579" t="n">
        <v>0</v>
      </c>
      <c r="I579" t="n">
        <v>0</v>
      </c>
      <c r="J579" t="n">
        <v>0</v>
      </c>
      <c r="K579" t="n">
        <v>0</v>
      </c>
      <c r="L579" t="n">
        <v>0</v>
      </c>
      <c r="M579" t="n">
        <v>0</v>
      </c>
      <c r="N579" t="n">
        <v>0</v>
      </c>
      <c r="O579" t="n">
        <v>0</v>
      </c>
      <c r="P579" t="n">
        <v>0</v>
      </c>
      <c r="Q579" t="n">
        <v>0</v>
      </c>
      <c r="R579" s="2" t="inlineStr"/>
    </row>
    <row r="580" ht="15" customHeight="1">
      <c r="A580" t="inlineStr">
        <is>
          <t>A 26012-2023</t>
        </is>
      </c>
      <c r="B580" s="1" t="n">
        <v>45091</v>
      </c>
      <c r="C580" s="1" t="n">
        <v>45589</v>
      </c>
      <c r="D580" t="inlineStr">
        <is>
          <t>JÄMTLANDS LÄN</t>
        </is>
      </c>
      <c r="E580" t="inlineStr">
        <is>
          <t>ÖSTERSUND</t>
        </is>
      </c>
      <c r="G580" t="n">
        <v>3.6</v>
      </c>
      <c r="H580" t="n">
        <v>0</v>
      </c>
      <c r="I580" t="n">
        <v>0</v>
      </c>
      <c r="J580" t="n">
        <v>0</v>
      </c>
      <c r="K580" t="n">
        <v>0</v>
      </c>
      <c r="L580" t="n">
        <v>0</v>
      </c>
      <c r="M580" t="n">
        <v>0</v>
      </c>
      <c r="N580" t="n">
        <v>0</v>
      </c>
      <c r="O580" t="n">
        <v>0</v>
      </c>
      <c r="P580" t="n">
        <v>0</v>
      </c>
      <c r="Q580" t="n">
        <v>0</v>
      </c>
      <c r="R580" s="2" t="inlineStr"/>
    </row>
    <row r="581" ht="15" customHeight="1">
      <c r="A581" t="inlineStr">
        <is>
          <t>A 27294-2023</t>
        </is>
      </c>
      <c r="B581" s="1" t="n">
        <v>45092</v>
      </c>
      <c r="C581" s="1" t="n">
        <v>45589</v>
      </c>
      <c r="D581" t="inlineStr">
        <is>
          <t>JÄMTLANDS LÄN</t>
        </is>
      </c>
      <c r="E581" t="inlineStr">
        <is>
          <t>ÖSTERSUND</t>
        </is>
      </c>
      <c r="G581" t="n">
        <v>2.8</v>
      </c>
      <c r="H581" t="n">
        <v>0</v>
      </c>
      <c r="I581" t="n">
        <v>0</v>
      </c>
      <c r="J581" t="n">
        <v>0</v>
      </c>
      <c r="K581" t="n">
        <v>0</v>
      </c>
      <c r="L581" t="n">
        <v>0</v>
      </c>
      <c r="M581" t="n">
        <v>0</v>
      </c>
      <c r="N581" t="n">
        <v>0</v>
      </c>
      <c r="O581" t="n">
        <v>0</v>
      </c>
      <c r="P581" t="n">
        <v>0</v>
      </c>
      <c r="Q581" t="n">
        <v>0</v>
      </c>
      <c r="R581" s="2" t="inlineStr"/>
    </row>
    <row r="582" ht="15" customHeight="1">
      <c r="A582" t="inlineStr">
        <is>
          <t>A 27004-2023</t>
        </is>
      </c>
      <c r="B582" s="1" t="n">
        <v>45094</v>
      </c>
      <c r="C582" s="1" t="n">
        <v>45589</v>
      </c>
      <c r="D582" t="inlineStr">
        <is>
          <t>JÄMTLANDS LÄN</t>
        </is>
      </c>
      <c r="E582" t="inlineStr">
        <is>
          <t>ÖSTERSUND</t>
        </is>
      </c>
      <c r="G582" t="n">
        <v>0.7</v>
      </c>
      <c r="H582" t="n">
        <v>0</v>
      </c>
      <c r="I582" t="n">
        <v>0</v>
      </c>
      <c r="J582" t="n">
        <v>0</v>
      </c>
      <c r="K582" t="n">
        <v>0</v>
      </c>
      <c r="L582" t="n">
        <v>0</v>
      </c>
      <c r="M582" t="n">
        <v>0</v>
      </c>
      <c r="N582" t="n">
        <v>0</v>
      </c>
      <c r="O582" t="n">
        <v>0</v>
      </c>
      <c r="P582" t="n">
        <v>0</v>
      </c>
      <c r="Q582" t="n">
        <v>0</v>
      </c>
      <c r="R582" s="2" t="inlineStr"/>
    </row>
    <row r="583" ht="15" customHeight="1">
      <c r="A583" t="inlineStr">
        <is>
          <t>A 27124-2023</t>
        </is>
      </c>
      <c r="B583" s="1" t="n">
        <v>45096</v>
      </c>
      <c r="C583" s="1" t="n">
        <v>45589</v>
      </c>
      <c r="D583" t="inlineStr">
        <is>
          <t>JÄMTLANDS LÄN</t>
        </is>
      </c>
      <c r="E583" t="inlineStr">
        <is>
          <t>ÖSTERSUND</t>
        </is>
      </c>
      <c r="G583" t="n">
        <v>1.9</v>
      </c>
      <c r="H583" t="n">
        <v>0</v>
      </c>
      <c r="I583" t="n">
        <v>0</v>
      </c>
      <c r="J583" t="n">
        <v>0</v>
      </c>
      <c r="K583" t="n">
        <v>0</v>
      </c>
      <c r="L583" t="n">
        <v>0</v>
      </c>
      <c r="M583" t="n">
        <v>0</v>
      </c>
      <c r="N583" t="n">
        <v>0</v>
      </c>
      <c r="O583" t="n">
        <v>0</v>
      </c>
      <c r="P583" t="n">
        <v>0</v>
      </c>
      <c r="Q583" t="n">
        <v>0</v>
      </c>
      <c r="R583" s="2" t="inlineStr"/>
    </row>
    <row r="584" ht="15" customHeight="1">
      <c r="A584" t="inlineStr">
        <is>
          <t>A 27118-2023</t>
        </is>
      </c>
      <c r="B584" s="1" t="n">
        <v>45096</v>
      </c>
      <c r="C584" s="1" t="n">
        <v>45589</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27130-2023</t>
        </is>
      </c>
      <c r="B585" s="1" t="n">
        <v>45096</v>
      </c>
      <c r="C585" s="1" t="n">
        <v>45589</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29548-2023</t>
        </is>
      </c>
      <c r="B586" s="1" t="n">
        <v>45098</v>
      </c>
      <c r="C586" s="1" t="n">
        <v>45589</v>
      </c>
      <c r="D586" t="inlineStr">
        <is>
          <t>JÄMTLANDS LÄN</t>
        </is>
      </c>
      <c r="E586" t="inlineStr">
        <is>
          <t>ÖSTERSUND</t>
        </is>
      </c>
      <c r="G586" t="n">
        <v>3</v>
      </c>
      <c r="H586" t="n">
        <v>0</v>
      </c>
      <c r="I586" t="n">
        <v>0</v>
      </c>
      <c r="J586" t="n">
        <v>0</v>
      </c>
      <c r="K586" t="n">
        <v>0</v>
      </c>
      <c r="L586" t="n">
        <v>0</v>
      </c>
      <c r="M586" t="n">
        <v>0</v>
      </c>
      <c r="N586" t="n">
        <v>0</v>
      </c>
      <c r="O586" t="n">
        <v>0</v>
      </c>
      <c r="P586" t="n">
        <v>0</v>
      </c>
      <c r="Q586" t="n">
        <v>0</v>
      </c>
      <c r="R586" s="2" t="inlineStr"/>
    </row>
    <row r="587" ht="15" customHeight="1">
      <c r="A587" t="inlineStr">
        <is>
          <t>A 30244-2023</t>
        </is>
      </c>
      <c r="B587" s="1" t="n">
        <v>45099</v>
      </c>
      <c r="C587" s="1" t="n">
        <v>45589</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30262-2023</t>
        </is>
      </c>
      <c r="B588" s="1" t="n">
        <v>45099</v>
      </c>
      <c r="C588" s="1" t="n">
        <v>45589</v>
      </c>
      <c r="D588" t="inlineStr">
        <is>
          <t>JÄMTLANDS LÄN</t>
        </is>
      </c>
      <c r="E588" t="inlineStr">
        <is>
          <t>ÖSTERSUND</t>
        </is>
      </c>
      <c r="G588" t="n">
        <v>5.2</v>
      </c>
      <c r="H588" t="n">
        <v>0</v>
      </c>
      <c r="I588" t="n">
        <v>0</v>
      </c>
      <c r="J588" t="n">
        <v>0</v>
      </c>
      <c r="K588" t="n">
        <v>0</v>
      </c>
      <c r="L588" t="n">
        <v>0</v>
      </c>
      <c r="M588" t="n">
        <v>0</v>
      </c>
      <c r="N588" t="n">
        <v>0</v>
      </c>
      <c r="O588" t="n">
        <v>0</v>
      </c>
      <c r="P588" t="n">
        <v>0</v>
      </c>
      <c r="Q588" t="n">
        <v>0</v>
      </c>
      <c r="R588" s="2" t="inlineStr"/>
    </row>
    <row r="589" ht="15" customHeight="1">
      <c r="A589" t="inlineStr">
        <is>
          <t>A 30255-2023</t>
        </is>
      </c>
      <c r="B589" s="1" t="n">
        <v>45099</v>
      </c>
      <c r="C589" s="1" t="n">
        <v>45589</v>
      </c>
      <c r="D589" t="inlineStr">
        <is>
          <t>JÄMTLANDS LÄN</t>
        </is>
      </c>
      <c r="E589" t="inlineStr">
        <is>
          <t>ÖSTERSUND</t>
        </is>
      </c>
      <c r="G589" t="n">
        <v>20.2</v>
      </c>
      <c r="H589" t="n">
        <v>0</v>
      </c>
      <c r="I589" t="n">
        <v>0</v>
      </c>
      <c r="J589" t="n">
        <v>0</v>
      </c>
      <c r="K589" t="n">
        <v>0</v>
      </c>
      <c r="L589" t="n">
        <v>0</v>
      </c>
      <c r="M589" t="n">
        <v>0</v>
      </c>
      <c r="N589" t="n">
        <v>0</v>
      </c>
      <c r="O589" t="n">
        <v>0</v>
      </c>
      <c r="P589" t="n">
        <v>0</v>
      </c>
      <c r="Q589" t="n">
        <v>0</v>
      </c>
      <c r="R589" s="2" t="inlineStr"/>
    </row>
    <row r="590" ht="15" customHeight="1">
      <c r="A590" t="inlineStr">
        <is>
          <t>A 30264-2023</t>
        </is>
      </c>
      <c r="B590" s="1" t="n">
        <v>45099</v>
      </c>
      <c r="C590" s="1" t="n">
        <v>45589</v>
      </c>
      <c r="D590" t="inlineStr">
        <is>
          <t>JÄMTLANDS LÄN</t>
        </is>
      </c>
      <c r="E590" t="inlineStr">
        <is>
          <t>ÖSTERSUND</t>
        </is>
      </c>
      <c r="G590" t="n">
        <v>10</v>
      </c>
      <c r="H590" t="n">
        <v>0</v>
      </c>
      <c r="I590" t="n">
        <v>0</v>
      </c>
      <c r="J590" t="n">
        <v>0</v>
      </c>
      <c r="K590" t="n">
        <v>0</v>
      </c>
      <c r="L590" t="n">
        <v>0</v>
      </c>
      <c r="M590" t="n">
        <v>0</v>
      </c>
      <c r="N590" t="n">
        <v>0</v>
      </c>
      <c r="O590" t="n">
        <v>0</v>
      </c>
      <c r="P590" t="n">
        <v>0</v>
      </c>
      <c r="Q590" t="n">
        <v>0</v>
      </c>
      <c r="R590" s="2" t="inlineStr"/>
    </row>
    <row r="591" ht="15" customHeight="1">
      <c r="A591" t="inlineStr">
        <is>
          <t>A 30206-2023</t>
        </is>
      </c>
      <c r="B591" s="1" t="n">
        <v>45099</v>
      </c>
      <c r="C591" s="1" t="n">
        <v>45589</v>
      </c>
      <c r="D591" t="inlineStr">
        <is>
          <t>JÄMTLANDS LÄN</t>
        </is>
      </c>
      <c r="E591" t="inlineStr">
        <is>
          <t>ÖSTERSUND</t>
        </is>
      </c>
      <c r="G591" t="n">
        <v>3.9</v>
      </c>
      <c r="H591" t="n">
        <v>0</v>
      </c>
      <c r="I591" t="n">
        <v>0</v>
      </c>
      <c r="J591" t="n">
        <v>0</v>
      </c>
      <c r="K591" t="n">
        <v>0</v>
      </c>
      <c r="L591" t="n">
        <v>0</v>
      </c>
      <c r="M591" t="n">
        <v>0</v>
      </c>
      <c r="N591" t="n">
        <v>0</v>
      </c>
      <c r="O591" t="n">
        <v>0</v>
      </c>
      <c r="P591" t="n">
        <v>0</v>
      </c>
      <c r="Q591" t="n">
        <v>0</v>
      </c>
      <c r="R591" s="2" t="inlineStr"/>
    </row>
    <row r="592" ht="15" customHeight="1">
      <c r="A592" t="inlineStr">
        <is>
          <t>A 30236-2023</t>
        </is>
      </c>
      <c r="B592" s="1" t="n">
        <v>45099</v>
      </c>
      <c r="C592" s="1" t="n">
        <v>45589</v>
      </c>
      <c r="D592" t="inlineStr">
        <is>
          <t>JÄMTLANDS LÄN</t>
        </is>
      </c>
      <c r="E592" t="inlineStr">
        <is>
          <t>ÖSTERSUND</t>
        </is>
      </c>
      <c r="G592" t="n">
        <v>3.5</v>
      </c>
      <c r="H592" t="n">
        <v>0</v>
      </c>
      <c r="I592" t="n">
        <v>0</v>
      </c>
      <c r="J592" t="n">
        <v>0</v>
      </c>
      <c r="K592" t="n">
        <v>0</v>
      </c>
      <c r="L592" t="n">
        <v>0</v>
      </c>
      <c r="M592" t="n">
        <v>0</v>
      </c>
      <c r="N592" t="n">
        <v>0</v>
      </c>
      <c r="O592" t="n">
        <v>0</v>
      </c>
      <c r="P592" t="n">
        <v>0</v>
      </c>
      <c r="Q592" t="n">
        <v>0</v>
      </c>
      <c r="R592" s="2" t="inlineStr"/>
    </row>
    <row r="593" ht="15" customHeight="1">
      <c r="A593" t="inlineStr">
        <is>
          <t>A 28747-2023</t>
        </is>
      </c>
      <c r="B593" s="1" t="n">
        <v>45103</v>
      </c>
      <c r="C593" s="1" t="n">
        <v>45589</v>
      </c>
      <c r="D593" t="inlineStr">
        <is>
          <t>JÄMTLANDS LÄN</t>
        </is>
      </c>
      <c r="E593" t="inlineStr">
        <is>
          <t>ÖSTERSUND</t>
        </is>
      </c>
      <c r="F593" t="inlineStr">
        <is>
          <t>SCA</t>
        </is>
      </c>
      <c r="G593" t="n">
        <v>8</v>
      </c>
      <c r="H593" t="n">
        <v>0</v>
      </c>
      <c r="I593" t="n">
        <v>0</v>
      </c>
      <c r="J593" t="n">
        <v>0</v>
      </c>
      <c r="K593" t="n">
        <v>0</v>
      </c>
      <c r="L593" t="n">
        <v>0</v>
      </c>
      <c r="M593" t="n">
        <v>0</v>
      </c>
      <c r="N593" t="n">
        <v>0</v>
      </c>
      <c r="O593" t="n">
        <v>0</v>
      </c>
      <c r="P593" t="n">
        <v>0</v>
      </c>
      <c r="Q593" t="n">
        <v>0</v>
      </c>
      <c r="R593" s="2" t="inlineStr"/>
    </row>
    <row r="594" ht="15" customHeight="1">
      <c r="A594" t="inlineStr">
        <is>
          <t>A 31870-2023</t>
        </is>
      </c>
      <c r="B594" s="1" t="n">
        <v>45106</v>
      </c>
      <c r="C594" s="1" t="n">
        <v>45589</v>
      </c>
      <c r="D594" t="inlineStr">
        <is>
          <t>JÄMTLANDS LÄN</t>
        </is>
      </c>
      <c r="E594" t="inlineStr">
        <is>
          <t>ÖSTERSUND</t>
        </is>
      </c>
      <c r="G594" t="n">
        <v>2.4</v>
      </c>
      <c r="H594" t="n">
        <v>0</v>
      </c>
      <c r="I594" t="n">
        <v>0</v>
      </c>
      <c r="J594" t="n">
        <v>0</v>
      </c>
      <c r="K594" t="n">
        <v>0</v>
      </c>
      <c r="L594" t="n">
        <v>0</v>
      </c>
      <c r="M594" t="n">
        <v>0</v>
      </c>
      <c r="N594" t="n">
        <v>0</v>
      </c>
      <c r="O594" t="n">
        <v>0</v>
      </c>
      <c r="P594" t="n">
        <v>0</v>
      </c>
      <c r="Q594" t="n">
        <v>0</v>
      </c>
      <c r="R594" s="2" t="inlineStr"/>
    </row>
    <row r="595" ht="15" customHeight="1">
      <c r="A595" t="inlineStr">
        <is>
          <t>A 29703-2023</t>
        </is>
      </c>
      <c r="B595" s="1" t="n">
        <v>45107</v>
      </c>
      <c r="C595" s="1" t="n">
        <v>45589</v>
      </c>
      <c r="D595" t="inlineStr">
        <is>
          <t>JÄMTLANDS LÄN</t>
        </is>
      </c>
      <c r="E595" t="inlineStr">
        <is>
          <t>ÖSTERSUND</t>
        </is>
      </c>
      <c r="G595" t="n">
        <v>0.3</v>
      </c>
      <c r="H595" t="n">
        <v>0</v>
      </c>
      <c r="I595" t="n">
        <v>0</v>
      </c>
      <c r="J595" t="n">
        <v>0</v>
      </c>
      <c r="K595" t="n">
        <v>0</v>
      </c>
      <c r="L595" t="n">
        <v>0</v>
      </c>
      <c r="M595" t="n">
        <v>0</v>
      </c>
      <c r="N595" t="n">
        <v>0</v>
      </c>
      <c r="O595" t="n">
        <v>0</v>
      </c>
      <c r="P595" t="n">
        <v>0</v>
      </c>
      <c r="Q595" t="n">
        <v>0</v>
      </c>
      <c r="R595" s="2" t="inlineStr"/>
    </row>
    <row r="596" ht="15" customHeight="1">
      <c r="A596" t="inlineStr">
        <is>
          <t>A 29682-2023</t>
        </is>
      </c>
      <c r="B596" s="1" t="n">
        <v>45107</v>
      </c>
      <c r="C596" s="1" t="n">
        <v>45589</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30602-2023</t>
        </is>
      </c>
      <c r="B597" s="1" t="n">
        <v>45112</v>
      </c>
      <c r="C597" s="1" t="n">
        <v>45589</v>
      </c>
      <c r="D597" t="inlineStr">
        <is>
          <t>JÄMTLANDS LÄN</t>
        </is>
      </c>
      <c r="E597" t="inlineStr">
        <is>
          <t>ÖSTERSUND</t>
        </is>
      </c>
      <c r="G597" t="n">
        <v>0.5</v>
      </c>
      <c r="H597" t="n">
        <v>0</v>
      </c>
      <c r="I597" t="n">
        <v>0</v>
      </c>
      <c r="J597" t="n">
        <v>0</v>
      </c>
      <c r="K597" t="n">
        <v>0</v>
      </c>
      <c r="L597" t="n">
        <v>0</v>
      </c>
      <c r="M597" t="n">
        <v>0</v>
      </c>
      <c r="N597" t="n">
        <v>0</v>
      </c>
      <c r="O597" t="n">
        <v>0</v>
      </c>
      <c r="P597" t="n">
        <v>0</v>
      </c>
      <c r="Q597" t="n">
        <v>0</v>
      </c>
      <c r="R597" s="2" t="inlineStr"/>
    </row>
    <row r="598" ht="15" customHeight="1">
      <c r="A598" t="inlineStr">
        <is>
          <t>A 31551-2023</t>
        </is>
      </c>
      <c r="B598" s="1" t="n">
        <v>45117</v>
      </c>
      <c r="C598" s="1" t="n">
        <v>45589</v>
      </c>
      <c r="D598" t="inlineStr">
        <is>
          <t>JÄMTLANDS LÄN</t>
        </is>
      </c>
      <c r="E598" t="inlineStr">
        <is>
          <t>ÖSTERSUND</t>
        </is>
      </c>
      <c r="G598" t="n">
        <v>0.6</v>
      </c>
      <c r="H598" t="n">
        <v>0</v>
      </c>
      <c r="I598" t="n">
        <v>0</v>
      </c>
      <c r="J598" t="n">
        <v>0</v>
      </c>
      <c r="K598" t="n">
        <v>0</v>
      </c>
      <c r="L598" t="n">
        <v>0</v>
      </c>
      <c r="M598" t="n">
        <v>0</v>
      </c>
      <c r="N598" t="n">
        <v>0</v>
      </c>
      <c r="O598" t="n">
        <v>0</v>
      </c>
      <c r="P598" t="n">
        <v>0</v>
      </c>
      <c r="Q598" t="n">
        <v>0</v>
      </c>
      <c r="R598" s="2" t="inlineStr"/>
    </row>
    <row r="599" ht="15" customHeight="1">
      <c r="A599" t="inlineStr">
        <is>
          <t>A 31600-2023</t>
        </is>
      </c>
      <c r="B599" s="1" t="n">
        <v>45117</v>
      </c>
      <c r="C599" s="1" t="n">
        <v>45589</v>
      </c>
      <c r="D599" t="inlineStr">
        <is>
          <t>JÄMTLANDS LÄN</t>
        </is>
      </c>
      <c r="E599" t="inlineStr">
        <is>
          <t>ÖSTERSUND</t>
        </is>
      </c>
      <c r="F599" t="inlineStr">
        <is>
          <t>Övriga Aktiebolag</t>
        </is>
      </c>
      <c r="G599" t="n">
        <v>2.7</v>
      </c>
      <c r="H599" t="n">
        <v>0</v>
      </c>
      <c r="I599" t="n">
        <v>0</v>
      </c>
      <c r="J599" t="n">
        <v>0</v>
      </c>
      <c r="K599" t="n">
        <v>0</v>
      </c>
      <c r="L599" t="n">
        <v>0</v>
      </c>
      <c r="M599" t="n">
        <v>0</v>
      </c>
      <c r="N599" t="n">
        <v>0</v>
      </c>
      <c r="O599" t="n">
        <v>0</v>
      </c>
      <c r="P599" t="n">
        <v>0</v>
      </c>
      <c r="Q599" t="n">
        <v>0</v>
      </c>
      <c r="R599" s="2" t="inlineStr"/>
    </row>
    <row r="600" ht="15" customHeight="1">
      <c r="A600" t="inlineStr">
        <is>
          <t>A 31549-2023</t>
        </is>
      </c>
      <c r="B600" s="1" t="n">
        <v>45117</v>
      </c>
      <c r="C600" s="1" t="n">
        <v>45589</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33501-2023</t>
        </is>
      </c>
      <c r="B601" s="1" t="n">
        <v>45118</v>
      </c>
      <c r="C601" s="1" t="n">
        <v>45589</v>
      </c>
      <c r="D601" t="inlineStr">
        <is>
          <t>JÄMTLANDS LÄN</t>
        </is>
      </c>
      <c r="E601" t="inlineStr">
        <is>
          <t>ÖSTERSUND</t>
        </is>
      </c>
      <c r="G601" t="n">
        <v>5.8</v>
      </c>
      <c r="H601" t="n">
        <v>0</v>
      </c>
      <c r="I601" t="n">
        <v>0</v>
      </c>
      <c r="J601" t="n">
        <v>0</v>
      </c>
      <c r="K601" t="n">
        <v>0</v>
      </c>
      <c r="L601" t="n">
        <v>0</v>
      </c>
      <c r="M601" t="n">
        <v>0</v>
      </c>
      <c r="N601" t="n">
        <v>0</v>
      </c>
      <c r="O601" t="n">
        <v>0</v>
      </c>
      <c r="P601" t="n">
        <v>0</v>
      </c>
      <c r="Q601" t="n">
        <v>0</v>
      </c>
      <c r="R601" s="2" t="inlineStr"/>
    </row>
    <row r="602" ht="15" customHeight="1">
      <c r="A602" t="inlineStr">
        <is>
          <t>A 33502-2023</t>
        </is>
      </c>
      <c r="B602" s="1" t="n">
        <v>45118</v>
      </c>
      <c r="C602" s="1" t="n">
        <v>45589</v>
      </c>
      <c r="D602" t="inlineStr">
        <is>
          <t>JÄMTLANDS LÄN</t>
        </is>
      </c>
      <c r="E602" t="inlineStr">
        <is>
          <t>ÖSTERSUND</t>
        </is>
      </c>
      <c r="G602" t="n">
        <v>0.5</v>
      </c>
      <c r="H602" t="n">
        <v>0</v>
      </c>
      <c r="I602" t="n">
        <v>0</v>
      </c>
      <c r="J602" t="n">
        <v>0</v>
      </c>
      <c r="K602" t="n">
        <v>0</v>
      </c>
      <c r="L602" t="n">
        <v>0</v>
      </c>
      <c r="M602" t="n">
        <v>0</v>
      </c>
      <c r="N602" t="n">
        <v>0</v>
      </c>
      <c r="O602" t="n">
        <v>0</v>
      </c>
      <c r="P602" t="n">
        <v>0</v>
      </c>
      <c r="Q602" t="n">
        <v>0</v>
      </c>
      <c r="R602" s="2" t="inlineStr"/>
    </row>
    <row r="603" ht="15" customHeight="1">
      <c r="A603" t="inlineStr">
        <is>
          <t>A 32568-2023</t>
        </is>
      </c>
      <c r="B603" s="1" t="n">
        <v>45121</v>
      </c>
      <c r="C603" s="1" t="n">
        <v>45589</v>
      </c>
      <c r="D603" t="inlineStr">
        <is>
          <t>JÄMTLANDS LÄN</t>
        </is>
      </c>
      <c r="E603" t="inlineStr">
        <is>
          <t>ÖSTERSUND</t>
        </is>
      </c>
      <c r="G603" t="n">
        <v>14.9</v>
      </c>
      <c r="H603" t="n">
        <v>0</v>
      </c>
      <c r="I603" t="n">
        <v>0</v>
      </c>
      <c r="J603" t="n">
        <v>0</v>
      </c>
      <c r="K603" t="n">
        <v>0</v>
      </c>
      <c r="L603" t="n">
        <v>0</v>
      </c>
      <c r="M603" t="n">
        <v>0</v>
      </c>
      <c r="N603" t="n">
        <v>0</v>
      </c>
      <c r="O603" t="n">
        <v>0</v>
      </c>
      <c r="P603" t="n">
        <v>0</v>
      </c>
      <c r="Q603" t="n">
        <v>0</v>
      </c>
      <c r="R603" s="2" t="inlineStr"/>
    </row>
    <row r="604" ht="15" customHeight="1">
      <c r="A604" t="inlineStr">
        <is>
          <t>A 34052-2023</t>
        </is>
      </c>
      <c r="B604" s="1" t="n">
        <v>45125</v>
      </c>
      <c r="C604" s="1" t="n">
        <v>45589</v>
      </c>
      <c r="D604" t="inlineStr">
        <is>
          <t>JÄMTLANDS LÄN</t>
        </is>
      </c>
      <c r="E604" t="inlineStr">
        <is>
          <t>ÖSTERSUND</t>
        </is>
      </c>
      <c r="G604" t="n">
        <v>4</v>
      </c>
      <c r="H604" t="n">
        <v>0</v>
      </c>
      <c r="I604" t="n">
        <v>0</v>
      </c>
      <c r="J604" t="n">
        <v>0</v>
      </c>
      <c r="K604" t="n">
        <v>0</v>
      </c>
      <c r="L604" t="n">
        <v>0</v>
      </c>
      <c r="M604" t="n">
        <v>0</v>
      </c>
      <c r="N604" t="n">
        <v>0</v>
      </c>
      <c r="O604" t="n">
        <v>0</v>
      </c>
      <c r="P604" t="n">
        <v>0</v>
      </c>
      <c r="Q604" t="n">
        <v>0</v>
      </c>
      <c r="R604" s="2" t="inlineStr"/>
    </row>
    <row r="605" ht="15" customHeight="1">
      <c r="A605" t="inlineStr">
        <is>
          <t>A 33875-2023</t>
        </is>
      </c>
      <c r="B605" s="1" t="n">
        <v>45134</v>
      </c>
      <c r="C605" s="1" t="n">
        <v>45589</v>
      </c>
      <c r="D605" t="inlineStr">
        <is>
          <t>JÄMTLANDS LÄN</t>
        </is>
      </c>
      <c r="E605" t="inlineStr">
        <is>
          <t>ÖSTERSUND</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34482-2023</t>
        </is>
      </c>
      <c r="B606" s="1" t="n">
        <v>45140</v>
      </c>
      <c r="C606" s="1" t="n">
        <v>45589</v>
      </c>
      <c r="D606" t="inlineStr">
        <is>
          <t>JÄMTLANDS LÄN</t>
        </is>
      </c>
      <c r="E606" t="inlineStr">
        <is>
          <t>ÖSTERSUND</t>
        </is>
      </c>
      <c r="F606" t="inlineStr">
        <is>
          <t>SCA</t>
        </is>
      </c>
      <c r="G606" t="n">
        <v>50</v>
      </c>
      <c r="H606" t="n">
        <v>0</v>
      </c>
      <c r="I606" t="n">
        <v>0</v>
      </c>
      <c r="J606" t="n">
        <v>0</v>
      </c>
      <c r="K606" t="n">
        <v>0</v>
      </c>
      <c r="L606" t="n">
        <v>0</v>
      </c>
      <c r="M606" t="n">
        <v>0</v>
      </c>
      <c r="N606" t="n">
        <v>0</v>
      </c>
      <c r="O606" t="n">
        <v>0</v>
      </c>
      <c r="P606" t="n">
        <v>0</v>
      </c>
      <c r="Q606" t="n">
        <v>0</v>
      </c>
      <c r="R606" s="2" t="inlineStr"/>
    </row>
    <row r="607" ht="15" customHeight="1">
      <c r="A607" t="inlineStr">
        <is>
          <t>A 34688-2023</t>
        </is>
      </c>
      <c r="B607" s="1" t="n">
        <v>45141</v>
      </c>
      <c r="C607" s="1" t="n">
        <v>45589</v>
      </c>
      <c r="D607" t="inlineStr">
        <is>
          <t>JÄMTLANDS LÄN</t>
        </is>
      </c>
      <c r="E607" t="inlineStr">
        <is>
          <t>ÖSTERSUND</t>
        </is>
      </c>
      <c r="G607" t="n">
        <v>7.4</v>
      </c>
      <c r="H607" t="n">
        <v>0</v>
      </c>
      <c r="I607" t="n">
        <v>0</v>
      </c>
      <c r="J607" t="n">
        <v>0</v>
      </c>
      <c r="K607" t="n">
        <v>0</v>
      </c>
      <c r="L607" t="n">
        <v>0</v>
      </c>
      <c r="M607" t="n">
        <v>0</v>
      </c>
      <c r="N607" t="n">
        <v>0</v>
      </c>
      <c r="O607" t="n">
        <v>0</v>
      </c>
      <c r="P607" t="n">
        <v>0</v>
      </c>
      <c r="Q607" t="n">
        <v>0</v>
      </c>
      <c r="R607" s="2" t="inlineStr"/>
    </row>
    <row r="608" ht="15" customHeight="1">
      <c r="A608" t="inlineStr">
        <is>
          <t>A 36406-2023</t>
        </is>
      </c>
      <c r="B608" s="1" t="n">
        <v>45149</v>
      </c>
      <c r="C608" s="1" t="n">
        <v>45589</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37140-2023</t>
        </is>
      </c>
      <c r="B609" s="1" t="n">
        <v>45154</v>
      </c>
      <c r="C609" s="1" t="n">
        <v>45589</v>
      </c>
      <c r="D609" t="inlineStr">
        <is>
          <t>JÄMTLANDS LÄN</t>
        </is>
      </c>
      <c r="E609" t="inlineStr">
        <is>
          <t>ÖSTERSUND</t>
        </is>
      </c>
      <c r="F609" t="inlineStr">
        <is>
          <t>Övriga Aktiebolag</t>
        </is>
      </c>
      <c r="G609" t="n">
        <v>13</v>
      </c>
      <c r="H609" t="n">
        <v>0</v>
      </c>
      <c r="I609" t="n">
        <v>0</v>
      </c>
      <c r="J609" t="n">
        <v>0</v>
      </c>
      <c r="K609" t="n">
        <v>0</v>
      </c>
      <c r="L609" t="n">
        <v>0</v>
      </c>
      <c r="M609" t="n">
        <v>0</v>
      </c>
      <c r="N609" t="n">
        <v>0</v>
      </c>
      <c r="O609" t="n">
        <v>0</v>
      </c>
      <c r="P609" t="n">
        <v>0</v>
      </c>
      <c r="Q609" t="n">
        <v>0</v>
      </c>
      <c r="R609" s="2" t="inlineStr"/>
    </row>
    <row r="610" ht="15" customHeight="1">
      <c r="A610" t="inlineStr">
        <is>
          <t>A 37597-2023</t>
        </is>
      </c>
      <c r="B610" s="1" t="n">
        <v>45159</v>
      </c>
      <c r="C610" s="1" t="n">
        <v>45589</v>
      </c>
      <c r="D610" t="inlineStr">
        <is>
          <t>JÄMTLANDS LÄN</t>
        </is>
      </c>
      <c r="E610" t="inlineStr">
        <is>
          <t>ÖSTERSUND</t>
        </is>
      </c>
      <c r="G610" t="n">
        <v>4.7</v>
      </c>
      <c r="H610" t="n">
        <v>0</v>
      </c>
      <c r="I610" t="n">
        <v>0</v>
      </c>
      <c r="J610" t="n">
        <v>0</v>
      </c>
      <c r="K610" t="n">
        <v>0</v>
      </c>
      <c r="L610" t="n">
        <v>0</v>
      </c>
      <c r="M610" t="n">
        <v>0</v>
      </c>
      <c r="N610" t="n">
        <v>0</v>
      </c>
      <c r="O610" t="n">
        <v>0</v>
      </c>
      <c r="P610" t="n">
        <v>0</v>
      </c>
      <c r="Q610" t="n">
        <v>0</v>
      </c>
      <c r="R610" s="2" t="inlineStr"/>
    </row>
    <row r="611" ht="15" customHeight="1">
      <c r="A611" t="inlineStr">
        <is>
          <t>A 37645-2023</t>
        </is>
      </c>
      <c r="B611" s="1" t="n">
        <v>45159</v>
      </c>
      <c r="C611" s="1" t="n">
        <v>45589</v>
      </c>
      <c r="D611" t="inlineStr">
        <is>
          <t>JÄMTLANDS LÄN</t>
        </is>
      </c>
      <c r="E611" t="inlineStr">
        <is>
          <t>ÖSTERSUND</t>
        </is>
      </c>
      <c r="F611" t="inlineStr">
        <is>
          <t>Övriga Aktiebolag</t>
        </is>
      </c>
      <c r="G611" t="n">
        <v>3.5</v>
      </c>
      <c r="H611" t="n">
        <v>0</v>
      </c>
      <c r="I611" t="n">
        <v>0</v>
      </c>
      <c r="J611" t="n">
        <v>0</v>
      </c>
      <c r="K611" t="n">
        <v>0</v>
      </c>
      <c r="L611" t="n">
        <v>0</v>
      </c>
      <c r="M611" t="n">
        <v>0</v>
      </c>
      <c r="N611" t="n">
        <v>0</v>
      </c>
      <c r="O611" t="n">
        <v>0</v>
      </c>
      <c r="P611" t="n">
        <v>0</v>
      </c>
      <c r="Q611" t="n">
        <v>0</v>
      </c>
      <c r="R611" s="2" t="inlineStr"/>
    </row>
    <row r="612" ht="15" customHeight="1">
      <c r="A612" t="inlineStr">
        <is>
          <t>A 38335-2023</t>
        </is>
      </c>
      <c r="B612" s="1" t="n">
        <v>45161</v>
      </c>
      <c r="C612" s="1" t="n">
        <v>45589</v>
      </c>
      <c r="D612" t="inlineStr">
        <is>
          <t>JÄMTLANDS LÄN</t>
        </is>
      </c>
      <c r="E612" t="inlineStr">
        <is>
          <t>ÖSTERSUND</t>
        </is>
      </c>
      <c r="G612" t="n">
        <v>15.1</v>
      </c>
      <c r="H612" t="n">
        <v>0</v>
      </c>
      <c r="I612" t="n">
        <v>0</v>
      </c>
      <c r="J612" t="n">
        <v>0</v>
      </c>
      <c r="K612" t="n">
        <v>0</v>
      </c>
      <c r="L612" t="n">
        <v>0</v>
      </c>
      <c r="M612" t="n">
        <v>0</v>
      </c>
      <c r="N612" t="n">
        <v>0</v>
      </c>
      <c r="O612" t="n">
        <v>0</v>
      </c>
      <c r="P612" t="n">
        <v>0</v>
      </c>
      <c r="Q612" t="n">
        <v>0</v>
      </c>
      <c r="R612" s="2" t="inlineStr"/>
    </row>
    <row r="613" ht="15" customHeight="1">
      <c r="A613" t="inlineStr">
        <is>
          <t>A 38713-2023</t>
        </is>
      </c>
      <c r="B613" s="1" t="n">
        <v>45163</v>
      </c>
      <c r="C613" s="1" t="n">
        <v>45589</v>
      </c>
      <c r="D613" t="inlineStr">
        <is>
          <t>JÄMTLANDS LÄN</t>
        </is>
      </c>
      <c r="E613" t="inlineStr">
        <is>
          <t>ÖSTERSUND</t>
        </is>
      </c>
      <c r="G613" t="n">
        <v>6</v>
      </c>
      <c r="H613" t="n">
        <v>0</v>
      </c>
      <c r="I613" t="n">
        <v>0</v>
      </c>
      <c r="J613" t="n">
        <v>0</v>
      </c>
      <c r="K613" t="n">
        <v>0</v>
      </c>
      <c r="L613" t="n">
        <v>0</v>
      </c>
      <c r="M613" t="n">
        <v>0</v>
      </c>
      <c r="N613" t="n">
        <v>0</v>
      </c>
      <c r="O613" t="n">
        <v>0</v>
      </c>
      <c r="P613" t="n">
        <v>0</v>
      </c>
      <c r="Q613" t="n">
        <v>0</v>
      </c>
      <c r="R613" s="2" t="inlineStr"/>
    </row>
    <row r="614" ht="15" customHeight="1">
      <c r="A614" t="inlineStr">
        <is>
          <t>A 39494-2023</t>
        </is>
      </c>
      <c r="B614" s="1" t="n">
        <v>45166</v>
      </c>
      <c r="C614" s="1" t="n">
        <v>45589</v>
      </c>
      <c r="D614" t="inlineStr">
        <is>
          <t>JÄMTLANDS LÄN</t>
        </is>
      </c>
      <c r="E614" t="inlineStr">
        <is>
          <t>ÖSTERSUND</t>
        </is>
      </c>
      <c r="F614" t="inlineStr">
        <is>
          <t>SCA</t>
        </is>
      </c>
      <c r="G614" t="n">
        <v>8.1</v>
      </c>
      <c r="H614" t="n">
        <v>0</v>
      </c>
      <c r="I614" t="n">
        <v>0</v>
      </c>
      <c r="J614" t="n">
        <v>0</v>
      </c>
      <c r="K614" t="n">
        <v>0</v>
      </c>
      <c r="L614" t="n">
        <v>0</v>
      </c>
      <c r="M614" t="n">
        <v>0</v>
      </c>
      <c r="N614" t="n">
        <v>0</v>
      </c>
      <c r="O614" t="n">
        <v>0</v>
      </c>
      <c r="P614" t="n">
        <v>0</v>
      </c>
      <c r="Q614" t="n">
        <v>0</v>
      </c>
      <c r="R614" s="2" t="inlineStr"/>
    </row>
    <row r="615" ht="15" customHeight="1">
      <c r="A615" t="inlineStr">
        <is>
          <t>A 39493-2023</t>
        </is>
      </c>
      <c r="B615" s="1" t="n">
        <v>45167</v>
      </c>
      <c r="C615" s="1" t="n">
        <v>45589</v>
      </c>
      <c r="D615" t="inlineStr">
        <is>
          <t>JÄMTLANDS LÄN</t>
        </is>
      </c>
      <c r="E615" t="inlineStr">
        <is>
          <t>ÖSTERSUND</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39647-2023</t>
        </is>
      </c>
      <c r="B616" s="1" t="n">
        <v>45167</v>
      </c>
      <c r="C616" s="1" t="n">
        <v>45589</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39652-2023</t>
        </is>
      </c>
      <c r="B617" s="1" t="n">
        <v>45167</v>
      </c>
      <c r="C617" s="1" t="n">
        <v>45589</v>
      </c>
      <c r="D617" t="inlineStr">
        <is>
          <t>JÄMTLANDS LÄN</t>
        </is>
      </c>
      <c r="E617" t="inlineStr">
        <is>
          <t>ÖSTERSUND</t>
        </is>
      </c>
      <c r="G617" t="n">
        <v>2.6</v>
      </c>
      <c r="H617" t="n">
        <v>0</v>
      </c>
      <c r="I617" t="n">
        <v>0</v>
      </c>
      <c r="J617" t="n">
        <v>0</v>
      </c>
      <c r="K617" t="n">
        <v>0</v>
      </c>
      <c r="L617" t="n">
        <v>0</v>
      </c>
      <c r="M617" t="n">
        <v>0</v>
      </c>
      <c r="N617" t="n">
        <v>0</v>
      </c>
      <c r="O617" t="n">
        <v>0</v>
      </c>
      <c r="P617" t="n">
        <v>0</v>
      </c>
      <c r="Q617" t="n">
        <v>0</v>
      </c>
      <c r="R617" s="2" t="inlineStr"/>
    </row>
    <row r="618" ht="15" customHeight="1">
      <c r="A618" t="inlineStr">
        <is>
          <t>A 39805-2023</t>
        </is>
      </c>
      <c r="B618" s="1" t="n">
        <v>45168</v>
      </c>
      <c r="C618" s="1" t="n">
        <v>45589</v>
      </c>
      <c r="D618" t="inlineStr">
        <is>
          <t>JÄMTLANDS LÄN</t>
        </is>
      </c>
      <c r="E618" t="inlineStr">
        <is>
          <t>ÖSTERSUND</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40423-2023</t>
        </is>
      </c>
      <c r="B619" s="1" t="n">
        <v>45169</v>
      </c>
      <c r="C619" s="1" t="n">
        <v>45589</v>
      </c>
      <c r="D619" t="inlineStr">
        <is>
          <t>JÄMTLANDS LÄN</t>
        </is>
      </c>
      <c r="E619" t="inlineStr">
        <is>
          <t>ÖSTERSUND</t>
        </is>
      </c>
      <c r="F619" t="inlineStr">
        <is>
          <t>SCA</t>
        </is>
      </c>
      <c r="G619" t="n">
        <v>3.7</v>
      </c>
      <c r="H619" t="n">
        <v>0</v>
      </c>
      <c r="I619" t="n">
        <v>0</v>
      </c>
      <c r="J619" t="n">
        <v>0</v>
      </c>
      <c r="K619" t="n">
        <v>0</v>
      </c>
      <c r="L619" t="n">
        <v>0</v>
      </c>
      <c r="M619" t="n">
        <v>0</v>
      </c>
      <c r="N619" t="n">
        <v>0</v>
      </c>
      <c r="O619" t="n">
        <v>0</v>
      </c>
      <c r="P619" t="n">
        <v>0</v>
      </c>
      <c r="Q619" t="n">
        <v>0</v>
      </c>
      <c r="R619" s="2" t="inlineStr"/>
    </row>
    <row r="620" ht="15" customHeight="1">
      <c r="A620" t="inlineStr">
        <is>
          <t>A 40422-2023</t>
        </is>
      </c>
      <c r="B620" s="1" t="n">
        <v>45170</v>
      </c>
      <c r="C620" s="1" t="n">
        <v>45589</v>
      </c>
      <c r="D620" t="inlineStr">
        <is>
          <t>JÄMTLANDS LÄN</t>
        </is>
      </c>
      <c r="E620" t="inlineStr">
        <is>
          <t>ÖSTERSUND</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40792-2023</t>
        </is>
      </c>
      <c r="B621" s="1" t="n">
        <v>45170</v>
      </c>
      <c r="C621" s="1" t="n">
        <v>45589</v>
      </c>
      <c r="D621" t="inlineStr">
        <is>
          <t>JÄMTLANDS LÄN</t>
        </is>
      </c>
      <c r="E621" t="inlineStr">
        <is>
          <t>ÖSTERSUND</t>
        </is>
      </c>
      <c r="G621" t="n">
        <v>22.4</v>
      </c>
      <c r="H621" t="n">
        <v>0</v>
      </c>
      <c r="I621" t="n">
        <v>0</v>
      </c>
      <c r="J621" t="n">
        <v>0</v>
      </c>
      <c r="K621" t="n">
        <v>0</v>
      </c>
      <c r="L621" t="n">
        <v>0</v>
      </c>
      <c r="M621" t="n">
        <v>0</v>
      </c>
      <c r="N621" t="n">
        <v>0</v>
      </c>
      <c r="O621" t="n">
        <v>0</v>
      </c>
      <c r="P621" t="n">
        <v>0</v>
      </c>
      <c r="Q621" t="n">
        <v>0</v>
      </c>
      <c r="R621" s="2" t="inlineStr"/>
    </row>
    <row r="622" ht="15" customHeight="1">
      <c r="A622" t="inlineStr">
        <is>
          <t>A 40772-2023</t>
        </is>
      </c>
      <c r="B622" s="1" t="n">
        <v>45171</v>
      </c>
      <c r="C622" s="1" t="n">
        <v>45589</v>
      </c>
      <c r="D622" t="inlineStr">
        <is>
          <t>JÄMTLANDS LÄN</t>
        </is>
      </c>
      <c r="E622" t="inlineStr">
        <is>
          <t>ÖSTERSUND</t>
        </is>
      </c>
      <c r="F622" t="inlineStr">
        <is>
          <t>SCA</t>
        </is>
      </c>
      <c r="G622" t="n">
        <v>17.6</v>
      </c>
      <c r="H622" t="n">
        <v>0</v>
      </c>
      <c r="I622" t="n">
        <v>0</v>
      </c>
      <c r="J622" t="n">
        <v>0</v>
      </c>
      <c r="K622" t="n">
        <v>0</v>
      </c>
      <c r="L622" t="n">
        <v>0</v>
      </c>
      <c r="M622" t="n">
        <v>0</v>
      </c>
      <c r="N622" t="n">
        <v>0</v>
      </c>
      <c r="O622" t="n">
        <v>0</v>
      </c>
      <c r="P622" t="n">
        <v>0</v>
      </c>
      <c r="Q622" t="n">
        <v>0</v>
      </c>
      <c r="R622" s="2" t="inlineStr"/>
    </row>
    <row r="623" ht="15" customHeight="1">
      <c r="A623" t="inlineStr">
        <is>
          <t>A 41224-2023</t>
        </is>
      </c>
      <c r="B623" s="1" t="n">
        <v>45174</v>
      </c>
      <c r="C623" s="1" t="n">
        <v>45589</v>
      </c>
      <c r="D623" t="inlineStr">
        <is>
          <t>JÄMTLANDS LÄN</t>
        </is>
      </c>
      <c r="E623" t="inlineStr">
        <is>
          <t>ÖSTERSUND</t>
        </is>
      </c>
      <c r="G623" t="n">
        <v>13.3</v>
      </c>
      <c r="H623" t="n">
        <v>0</v>
      </c>
      <c r="I623" t="n">
        <v>0</v>
      </c>
      <c r="J623" t="n">
        <v>0</v>
      </c>
      <c r="K623" t="n">
        <v>0</v>
      </c>
      <c r="L623" t="n">
        <v>0</v>
      </c>
      <c r="M623" t="n">
        <v>0</v>
      </c>
      <c r="N623" t="n">
        <v>0</v>
      </c>
      <c r="O623" t="n">
        <v>0</v>
      </c>
      <c r="P623" t="n">
        <v>0</v>
      </c>
      <c r="Q623" t="n">
        <v>0</v>
      </c>
      <c r="R623" s="2" t="inlineStr"/>
    </row>
    <row r="624" ht="15" customHeight="1">
      <c r="A624" t="inlineStr">
        <is>
          <t>A 41649-2023</t>
        </is>
      </c>
      <c r="B624" s="1" t="n">
        <v>45176</v>
      </c>
      <c r="C624" s="1" t="n">
        <v>45589</v>
      </c>
      <c r="D624" t="inlineStr">
        <is>
          <t>JÄMTLANDS LÄN</t>
        </is>
      </c>
      <c r="E624" t="inlineStr">
        <is>
          <t>ÖSTERSUND</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41919-2023</t>
        </is>
      </c>
      <c r="B625" s="1" t="n">
        <v>45177</v>
      </c>
      <c r="C625" s="1" t="n">
        <v>45589</v>
      </c>
      <c r="D625" t="inlineStr">
        <is>
          <t>JÄMTLANDS LÄN</t>
        </is>
      </c>
      <c r="E625" t="inlineStr">
        <is>
          <t>ÖSTERSUND</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41918-2023</t>
        </is>
      </c>
      <c r="B626" s="1" t="n">
        <v>45177</v>
      </c>
      <c r="C626" s="1" t="n">
        <v>45589</v>
      </c>
      <c r="D626" t="inlineStr">
        <is>
          <t>JÄMTLANDS LÄN</t>
        </is>
      </c>
      <c r="E626" t="inlineStr">
        <is>
          <t>ÖSTERSUND</t>
        </is>
      </c>
      <c r="F626" t="inlineStr">
        <is>
          <t>SCA</t>
        </is>
      </c>
      <c r="G626" t="n">
        <v>10.5</v>
      </c>
      <c r="H626" t="n">
        <v>0</v>
      </c>
      <c r="I626" t="n">
        <v>0</v>
      </c>
      <c r="J626" t="n">
        <v>0</v>
      </c>
      <c r="K626" t="n">
        <v>0</v>
      </c>
      <c r="L626" t="n">
        <v>0</v>
      </c>
      <c r="M626" t="n">
        <v>0</v>
      </c>
      <c r="N626" t="n">
        <v>0</v>
      </c>
      <c r="O626" t="n">
        <v>0</v>
      </c>
      <c r="P626" t="n">
        <v>0</v>
      </c>
      <c r="Q626" t="n">
        <v>0</v>
      </c>
      <c r="R626" s="2" t="inlineStr"/>
    </row>
    <row r="627" ht="15" customHeight="1">
      <c r="A627" t="inlineStr">
        <is>
          <t>A 41900-2023</t>
        </is>
      </c>
      <c r="B627" s="1" t="n">
        <v>45176</v>
      </c>
      <c r="C627" s="1" t="n">
        <v>45589</v>
      </c>
      <c r="D627" t="inlineStr">
        <is>
          <t>JÄMTLANDS LÄN</t>
        </is>
      </c>
      <c r="E627" t="inlineStr">
        <is>
          <t>ÖSTERSUND</t>
        </is>
      </c>
      <c r="G627" t="n">
        <v>24.4</v>
      </c>
      <c r="H627" t="n">
        <v>0</v>
      </c>
      <c r="I627" t="n">
        <v>0</v>
      </c>
      <c r="J627" t="n">
        <v>0</v>
      </c>
      <c r="K627" t="n">
        <v>0</v>
      </c>
      <c r="L627" t="n">
        <v>0</v>
      </c>
      <c r="M627" t="n">
        <v>0</v>
      </c>
      <c r="N627" t="n">
        <v>0</v>
      </c>
      <c r="O627" t="n">
        <v>0</v>
      </c>
      <c r="P627" t="n">
        <v>0</v>
      </c>
      <c r="Q627" t="n">
        <v>0</v>
      </c>
      <c r="R627" s="2" t="inlineStr"/>
    </row>
    <row r="628" ht="15" customHeight="1">
      <c r="A628" t="inlineStr">
        <is>
          <t>A 42151-2023</t>
        </is>
      </c>
      <c r="B628" s="1" t="n">
        <v>45178</v>
      </c>
      <c r="C628" s="1" t="n">
        <v>45589</v>
      </c>
      <c r="D628" t="inlineStr">
        <is>
          <t>JÄMTLANDS LÄN</t>
        </is>
      </c>
      <c r="E628" t="inlineStr">
        <is>
          <t>ÖSTERSUND</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43557-2023</t>
        </is>
      </c>
      <c r="B629" s="1" t="n">
        <v>45181</v>
      </c>
      <c r="C629" s="1" t="n">
        <v>45589</v>
      </c>
      <c r="D629" t="inlineStr">
        <is>
          <t>JÄMTLANDS LÄN</t>
        </is>
      </c>
      <c r="E629" t="inlineStr">
        <is>
          <t>ÖSTERSUND</t>
        </is>
      </c>
      <c r="G629" t="n">
        <v>0.9</v>
      </c>
      <c r="H629" t="n">
        <v>0</v>
      </c>
      <c r="I629" t="n">
        <v>0</v>
      </c>
      <c r="J629" t="n">
        <v>0</v>
      </c>
      <c r="K629" t="n">
        <v>0</v>
      </c>
      <c r="L629" t="n">
        <v>0</v>
      </c>
      <c r="M629" t="n">
        <v>0</v>
      </c>
      <c r="N629" t="n">
        <v>0</v>
      </c>
      <c r="O629" t="n">
        <v>0</v>
      </c>
      <c r="P629" t="n">
        <v>0</v>
      </c>
      <c r="Q629" t="n">
        <v>0</v>
      </c>
      <c r="R629" s="2" t="inlineStr"/>
    </row>
    <row r="630" ht="15" customHeight="1">
      <c r="A630" t="inlineStr">
        <is>
          <t>A 42664-2023</t>
        </is>
      </c>
      <c r="B630" s="1" t="n">
        <v>45181</v>
      </c>
      <c r="C630" s="1" t="n">
        <v>45589</v>
      </c>
      <c r="D630" t="inlineStr">
        <is>
          <t>JÄMTLANDS LÄN</t>
        </is>
      </c>
      <c r="E630" t="inlineStr">
        <is>
          <t>ÖSTERSUND</t>
        </is>
      </c>
      <c r="F630" t="inlineStr">
        <is>
          <t>Övriga Aktiebolag</t>
        </is>
      </c>
      <c r="G630" t="n">
        <v>3.7</v>
      </c>
      <c r="H630" t="n">
        <v>0</v>
      </c>
      <c r="I630" t="n">
        <v>0</v>
      </c>
      <c r="J630" t="n">
        <v>0</v>
      </c>
      <c r="K630" t="n">
        <v>0</v>
      </c>
      <c r="L630" t="n">
        <v>0</v>
      </c>
      <c r="M630" t="n">
        <v>0</v>
      </c>
      <c r="N630" t="n">
        <v>0</v>
      </c>
      <c r="O630" t="n">
        <v>0</v>
      </c>
      <c r="P630" t="n">
        <v>0</v>
      </c>
      <c r="Q630" t="n">
        <v>0</v>
      </c>
      <c r="R630" s="2" t="inlineStr"/>
    </row>
    <row r="631" ht="15" customHeight="1">
      <c r="A631" t="inlineStr">
        <is>
          <t>A 42679-2023</t>
        </is>
      </c>
      <c r="B631" s="1" t="n">
        <v>45181</v>
      </c>
      <c r="C631" s="1" t="n">
        <v>45589</v>
      </c>
      <c r="D631" t="inlineStr">
        <is>
          <t>JÄMTLANDS LÄN</t>
        </is>
      </c>
      <c r="E631" t="inlineStr">
        <is>
          <t>ÖSTERSUND</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43740-2023</t>
        </is>
      </c>
      <c r="B632" s="1" t="n">
        <v>45182</v>
      </c>
      <c r="C632" s="1" t="n">
        <v>45589</v>
      </c>
      <c r="D632" t="inlineStr">
        <is>
          <t>JÄMTLANDS LÄN</t>
        </is>
      </c>
      <c r="E632" t="inlineStr">
        <is>
          <t>ÖSTERSUND</t>
        </is>
      </c>
      <c r="G632" t="n">
        <v>10.2</v>
      </c>
      <c r="H632" t="n">
        <v>0</v>
      </c>
      <c r="I632" t="n">
        <v>0</v>
      </c>
      <c r="J632" t="n">
        <v>0</v>
      </c>
      <c r="K632" t="n">
        <v>0</v>
      </c>
      <c r="L632" t="n">
        <v>0</v>
      </c>
      <c r="M632" t="n">
        <v>0</v>
      </c>
      <c r="N632" t="n">
        <v>0</v>
      </c>
      <c r="O632" t="n">
        <v>0</v>
      </c>
      <c r="P632" t="n">
        <v>0</v>
      </c>
      <c r="Q632" t="n">
        <v>0</v>
      </c>
      <c r="R632" s="2" t="inlineStr"/>
    </row>
    <row r="633" ht="15" customHeight="1">
      <c r="A633" t="inlineStr">
        <is>
          <t>A 43135-2023</t>
        </is>
      </c>
      <c r="B633" s="1" t="n">
        <v>45183</v>
      </c>
      <c r="C633" s="1" t="n">
        <v>45589</v>
      </c>
      <c r="D633" t="inlineStr">
        <is>
          <t>JÄMTLANDS LÄN</t>
        </is>
      </c>
      <c r="E633" t="inlineStr">
        <is>
          <t>ÖSTERSUND</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43252-2023</t>
        </is>
      </c>
      <c r="B634" s="1" t="n">
        <v>45183</v>
      </c>
      <c r="C634" s="1" t="n">
        <v>45589</v>
      </c>
      <c r="D634" t="inlineStr">
        <is>
          <t>JÄMTLANDS LÄN</t>
        </is>
      </c>
      <c r="E634" t="inlineStr">
        <is>
          <t>ÖSTERSUND</t>
        </is>
      </c>
      <c r="G634" t="n">
        <v>2.9</v>
      </c>
      <c r="H634" t="n">
        <v>0</v>
      </c>
      <c r="I634" t="n">
        <v>0</v>
      </c>
      <c r="J634" t="n">
        <v>0</v>
      </c>
      <c r="K634" t="n">
        <v>0</v>
      </c>
      <c r="L634" t="n">
        <v>0</v>
      </c>
      <c r="M634" t="n">
        <v>0</v>
      </c>
      <c r="N634" t="n">
        <v>0</v>
      </c>
      <c r="O634" t="n">
        <v>0</v>
      </c>
      <c r="P634" t="n">
        <v>0</v>
      </c>
      <c r="Q634" t="n">
        <v>0</v>
      </c>
      <c r="R634" s="2" t="inlineStr"/>
    </row>
    <row r="635" ht="15" customHeight="1">
      <c r="A635" t="inlineStr">
        <is>
          <t>A 44327-2023</t>
        </is>
      </c>
      <c r="B635" s="1" t="n">
        <v>45188</v>
      </c>
      <c r="C635" s="1" t="n">
        <v>45589</v>
      </c>
      <c r="D635" t="inlineStr">
        <is>
          <t>JÄMTLANDS LÄN</t>
        </is>
      </c>
      <c r="E635" t="inlineStr">
        <is>
          <t>ÖSTERSUND</t>
        </is>
      </c>
      <c r="G635" t="n">
        <v>1.5</v>
      </c>
      <c r="H635" t="n">
        <v>0</v>
      </c>
      <c r="I635" t="n">
        <v>0</v>
      </c>
      <c r="J635" t="n">
        <v>0</v>
      </c>
      <c r="K635" t="n">
        <v>0</v>
      </c>
      <c r="L635" t="n">
        <v>0</v>
      </c>
      <c r="M635" t="n">
        <v>0</v>
      </c>
      <c r="N635" t="n">
        <v>0</v>
      </c>
      <c r="O635" t="n">
        <v>0</v>
      </c>
      <c r="P635" t="n">
        <v>0</v>
      </c>
      <c r="Q635" t="n">
        <v>0</v>
      </c>
      <c r="R635" s="2" t="inlineStr"/>
    </row>
    <row r="636" ht="15" customHeight="1">
      <c r="A636" t="inlineStr">
        <is>
          <t>A 44359-2023</t>
        </is>
      </c>
      <c r="B636" s="1" t="n">
        <v>45188</v>
      </c>
      <c r="C636" s="1" t="n">
        <v>45589</v>
      </c>
      <c r="D636" t="inlineStr">
        <is>
          <t>JÄMTLANDS LÄN</t>
        </is>
      </c>
      <c r="E636" t="inlineStr">
        <is>
          <t>ÖSTERSUND</t>
        </is>
      </c>
      <c r="G636" t="n">
        <v>8.1</v>
      </c>
      <c r="H636" t="n">
        <v>0</v>
      </c>
      <c r="I636" t="n">
        <v>0</v>
      </c>
      <c r="J636" t="n">
        <v>0</v>
      </c>
      <c r="K636" t="n">
        <v>0</v>
      </c>
      <c r="L636" t="n">
        <v>0</v>
      </c>
      <c r="M636" t="n">
        <v>0</v>
      </c>
      <c r="N636" t="n">
        <v>0</v>
      </c>
      <c r="O636" t="n">
        <v>0</v>
      </c>
      <c r="P636" t="n">
        <v>0</v>
      </c>
      <c r="Q636" t="n">
        <v>0</v>
      </c>
      <c r="R636" s="2" t="inlineStr"/>
    </row>
    <row r="637" ht="15" customHeight="1">
      <c r="A637" t="inlineStr">
        <is>
          <t>A 45980-2023</t>
        </is>
      </c>
      <c r="B637" s="1" t="n">
        <v>45189</v>
      </c>
      <c r="C637" s="1" t="n">
        <v>45589</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44719-2023</t>
        </is>
      </c>
      <c r="B638" s="1" t="n">
        <v>45190</v>
      </c>
      <c r="C638" s="1" t="n">
        <v>45589</v>
      </c>
      <c r="D638" t="inlineStr">
        <is>
          <t>JÄMTLANDS LÄN</t>
        </is>
      </c>
      <c r="E638" t="inlineStr">
        <is>
          <t>ÖSTERSUND</t>
        </is>
      </c>
      <c r="G638" t="n">
        <v>17.5</v>
      </c>
      <c r="H638" t="n">
        <v>0</v>
      </c>
      <c r="I638" t="n">
        <v>0</v>
      </c>
      <c r="J638" t="n">
        <v>0</v>
      </c>
      <c r="K638" t="n">
        <v>0</v>
      </c>
      <c r="L638" t="n">
        <v>0</v>
      </c>
      <c r="M638" t="n">
        <v>0</v>
      </c>
      <c r="N638" t="n">
        <v>0</v>
      </c>
      <c r="O638" t="n">
        <v>0</v>
      </c>
      <c r="P638" t="n">
        <v>0</v>
      </c>
      <c r="Q638" t="n">
        <v>0</v>
      </c>
      <c r="R638" s="2" t="inlineStr"/>
    </row>
    <row r="639" ht="15" customHeight="1">
      <c r="A639" t="inlineStr">
        <is>
          <t>A 44798-2023</t>
        </is>
      </c>
      <c r="B639" s="1" t="n">
        <v>45190</v>
      </c>
      <c r="C639" s="1" t="n">
        <v>45589</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46375-2023</t>
        </is>
      </c>
      <c r="B640" s="1" t="n">
        <v>45197</v>
      </c>
      <c r="C640" s="1" t="n">
        <v>45589</v>
      </c>
      <c r="D640" t="inlineStr">
        <is>
          <t>JÄMTLANDS LÄN</t>
        </is>
      </c>
      <c r="E640" t="inlineStr">
        <is>
          <t>ÖSTERSUND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46763-2023</t>
        </is>
      </c>
      <c r="B641" s="1" t="n">
        <v>45198</v>
      </c>
      <c r="C641" s="1" t="n">
        <v>45589</v>
      </c>
      <c r="D641" t="inlineStr">
        <is>
          <t>JÄMTLANDS LÄN</t>
        </is>
      </c>
      <c r="E641" t="inlineStr">
        <is>
          <t>ÖSTERSUND</t>
        </is>
      </c>
      <c r="F641" t="inlineStr">
        <is>
          <t>Sveaskog</t>
        </is>
      </c>
      <c r="G641" t="n">
        <v>13.3</v>
      </c>
      <c r="H641" t="n">
        <v>0</v>
      </c>
      <c r="I641" t="n">
        <v>0</v>
      </c>
      <c r="J641" t="n">
        <v>0</v>
      </c>
      <c r="K641" t="n">
        <v>0</v>
      </c>
      <c r="L641" t="n">
        <v>0</v>
      </c>
      <c r="M641" t="n">
        <v>0</v>
      </c>
      <c r="N641" t="n">
        <v>0</v>
      </c>
      <c r="O641" t="n">
        <v>0</v>
      </c>
      <c r="P641" t="n">
        <v>0</v>
      </c>
      <c r="Q641" t="n">
        <v>0</v>
      </c>
      <c r="R641" s="2" t="inlineStr"/>
    </row>
    <row r="642" ht="15" customHeight="1">
      <c r="A642" t="inlineStr">
        <is>
          <t>A 46748-2023</t>
        </is>
      </c>
      <c r="B642" s="1" t="n">
        <v>45198</v>
      </c>
      <c r="C642" s="1" t="n">
        <v>45589</v>
      </c>
      <c r="D642" t="inlineStr">
        <is>
          <t>JÄMTLANDS LÄN</t>
        </is>
      </c>
      <c r="E642" t="inlineStr">
        <is>
          <t>ÖSTERSUND</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47086-2023</t>
        </is>
      </c>
      <c r="B643" s="1" t="n">
        <v>45201</v>
      </c>
      <c r="C643" s="1" t="n">
        <v>45589</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47252-2023</t>
        </is>
      </c>
      <c r="B644" s="1" t="n">
        <v>45202</v>
      </c>
      <c r="C644" s="1" t="n">
        <v>45589</v>
      </c>
      <c r="D644" t="inlineStr">
        <is>
          <t>JÄMTLANDS LÄN</t>
        </is>
      </c>
      <c r="E644" t="inlineStr">
        <is>
          <t>ÖSTERSUND</t>
        </is>
      </c>
      <c r="G644" t="n">
        <v>1.3</v>
      </c>
      <c r="H644" t="n">
        <v>0</v>
      </c>
      <c r="I644" t="n">
        <v>0</v>
      </c>
      <c r="J644" t="n">
        <v>0</v>
      </c>
      <c r="K644" t="n">
        <v>0</v>
      </c>
      <c r="L644" t="n">
        <v>0</v>
      </c>
      <c r="M644" t="n">
        <v>0</v>
      </c>
      <c r="N644" t="n">
        <v>0</v>
      </c>
      <c r="O644" t="n">
        <v>0</v>
      </c>
      <c r="P644" t="n">
        <v>0</v>
      </c>
      <c r="Q644" t="n">
        <v>0</v>
      </c>
      <c r="R644" s="2" t="inlineStr"/>
    </row>
    <row r="645" ht="15" customHeight="1">
      <c r="A645" t="inlineStr">
        <is>
          <t>A 47727-2023</t>
        </is>
      </c>
      <c r="B645" s="1" t="n">
        <v>45203</v>
      </c>
      <c r="C645" s="1" t="n">
        <v>45589</v>
      </c>
      <c r="D645" t="inlineStr">
        <is>
          <t>JÄMTLANDS LÄN</t>
        </is>
      </c>
      <c r="E645" t="inlineStr">
        <is>
          <t>ÖSTERSUND</t>
        </is>
      </c>
      <c r="G645" t="n">
        <v>2.6</v>
      </c>
      <c r="H645" t="n">
        <v>0</v>
      </c>
      <c r="I645" t="n">
        <v>0</v>
      </c>
      <c r="J645" t="n">
        <v>0</v>
      </c>
      <c r="K645" t="n">
        <v>0</v>
      </c>
      <c r="L645" t="n">
        <v>0</v>
      </c>
      <c r="M645" t="n">
        <v>0</v>
      </c>
      <c r="N645" t="n">
        <v>0</v>
      </c>
      <c r="O645" t="n">
        <v>0</v>
      </c>
      <c r="P645" t="n">
        <v>0</v>
      </c>
      <c r="Q645" t="n">
        <v>0</v>
      </c>
      <c r="R645" s="2" t="inlineStr"/>
    </row>
    <row r="646" ht="15" customHeight="1">
      <c r="A646" t="inlineStr">
        <is>
          <t>A 48374-2023</t>
        </is>
      </c>
      <c r="B646" s="1" t="n">
        <v>45205</v>
      </c>
      <c r="C646" s="1" t="n">
        <v>45589</v>
      </c>
      <c r="D646" t="inlineStr">
        <is>
          <t>JÄMTLANDS LÄN</t>
        </is>
      </c>
      <c r="E646" t="inlineStr">
        <is>
          <t>ÖSTERSUND</t>
        </is>
      </c>
      <c r="G646" t="n">
        <v>5.6</v>
      </c>
      <c r="H646" t="n">
        <v>0</v>
      </c>
      <c r="I646" t="n">
        <v>0</v>
      </c>
      <c r="J646" t="n">
        <v>0</v>
      </c>
      <c r="K646" t="n">
        <v>0</v>
      </c>
      <c r="L646" t="n">
        <v>0</v>
      </c>
      <c r="M646" t="n">
        <v>0</v>
      </c>
      <c r="N646" t="n">
        <v>0</v>
      </c>
      <c r="O646" t="n">
        <v>0</v>
      </c>
      <c r="P646" t="n">
        <v>0</v>
      </c>
      <c r="Q646" t="n">
        <v>0</v>
      </c>
      <c r="R646" s="2" t="inlineStr"/>
    </row>
    <row r="647" ht="15" customHeight="1">
      <c r="A647" t="inlineStr">
        <is>
          <t>A 50753-2023</t>
        </is>
      </c>
      <c r="B647" s="1" t="n">
        <v>45210</v>
      </c>
      <c r="C647" s="1" t="n">
        <v>45589</v>
      </c>
      <c r="D647" t="inlineStr">
        <is>
          <t>JÄMTLANDS LÄN</t>
        </is>
      </c>
      <c r="E647" t="inlineStr">
        <is>
          <t>ÖSTERSUND</t>
        </is>
      </c>
      <c r="G647" t="n">
        <v>29.3</v>
      </c>
      <c r="H647" t="n">
        <v>0</v>
      </c>
      <c r="I647" t="n">
        <v>0</v>
      </c>
      <c r="J647" t="n">
        <v>0</v>
      </c>
      <c r="K647" t="n">
        <v>0</v>
      </c>
      <c r="L647" t="n">
        <v>0</v>
      </c>
      <c r="M647" t="n">
        <v>0</v>
      </c>
      <c r="N647" t="n">
        <v>0</v>
      </c>
      <c r="O647" t="n">
        <v>0</v>
      </c>
      <c r="P647" t="n">
        <v>0</v>
      </c>
      <c r="Q647" t="n">
        <v>0</v>
      </c>
      <c r="R647" s="2" t="inlineStr"/>
    </row>
    <row r="648" ht="15" customHeight="1">
      <c r="A648" t="inlineStr">
        <is>
          <t>A 50953-2023</t>
        </is>
      </c>
      <c r="B648" s="1" t="n">
        <v>45211</v>
      </c>
      <c r="C648" s="1" t="n">
        <v>45589</v>
      </c>
      <c r="D648" t="inlineStr">
        <is>
          <t>JÄMTLANDS LÄN</t>
        </is>
      </c>
      <c r="E648" t="inlineStr">
        <is>
          <t>ÖSTERSUND</t>
        </is>
      </c>
      <c r="G648" t="n">
        <v>2.2</v>
      </c>
      <c r="H648" t="n">
        <v>0</v>
      </c>
      <c r="I648" t="n">
        <v>0</v>
      </c>
      <c r="J648" t="n">
        <v>0</v>
      </c>
      <c r="K648" t="n">
        <v>0</v>
      </c>
      <c r="L648" t="n">
        <v>0</v>
      </c>
      <c r="M648" t="n">
        <v>0</v>
      </c>
      <c r="N648" t="n">
        <v>0</v>
      </c>
      <c r="O648" t="n">
        <v>0</v>
      </c>
      <c r="P648" t="n">
        <v>0</v>
      </c>
      <c r="Q648" t="n">
        <v>0</v>
      </c>
      <c r="R648" s="2" t="inlineStr"/>
    </row>
    <row r="649" ht="15" customHeight="1">
      <c r="A649" t="inlineStr">
        <is>
          <t>A 51701-2023</t>
        </is>
      </c>
      <c r="B649" s="1" t="n">
        <v>45215</v>
      </c>
      <c r="C649" s="1" t="n">
        <v>45589</v>
      </c>
      <c r="D649" t="inlineStr">
        <is>
          <t>JÄMTLANDS LÄN</t>
        </is>
      </c>
      <c r="E649" t="inlineStr">
        <is>
          <t>ÖSTERSUND</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52209-2023</t>
        </is>
      </c>
      <c r="B650" s="1" t="n">
        <v>45217</v>
      </c>
      <c r="C650" s="1" t="n">
        <v>45589</v>
      </c>
      <c r="D650" t="inlineStr">
        <is>
          <t>JÄMTLANDS LÄN</t>
        </is>
      </c>
      <c r="E650" t="inlineStr">
        <is>
          <t>ÖSTERSUND</t>
        </is>
      </c>
      <c r="G650" t="n">
        <v>1.7</v>
      </c>
      <c r="H650" t="n">
        <v>0</v>
      </c>
      <c r="I650" t="n">
        <v>0</v>
      </c>
      <c r="J650" t="n">
        <v>0</v>
      </c>
      <c r="K650" t="n">
        <v>0</v>
      </c>
      <c r="L650" t="n">
        <v>0</v>
      </c>
      <c r="M650" t="n">
        <v>0</v>
      </c>
      <c r="N650" t="n">
        <v>0</v>
      </c>
      <c r="O650" t="n">
        <v>0</v>
      </c>
      <c r="P650" t="n">
        <v>0</v>
      </c>
      <c r="Q650" t="n">
        <v>0</v>
      </c>
      <c r="R650" s="2" t="inlineStr"/>
    </row>
    <row r="651" ht="15" customHeight="1">
      <c r="A651" t="inlineStr">
        <is>
          <t>A 50965-2023</t>
        </is>
      </c>
      <c r="B651" s="1" t="n">
        <v>45218</v>
      </c>
      <c r="C651" s="1" t="n">
        <v>45589</v>
      </c>
      <c r="D651" t="inlineStr">
        <is>
          <t>JÄMTLANDS LÄN</t>
        </is>
      </c>
      <c r="E651" t="inlineStr">
        <is>
          <t>ÖSTERSUND</t>
        </is>
      </c>
      <c r="G651" t="n">
        <v>3.5</v>
      </c>
      <c r="H651" t="n">
        <v>0</v>
      </c>
      <c r="I651" t="n">
        <v>0</v>
      </c>
      <c r="J651" t="n">
        <v>0</v>
      </c>
      <c r="K651" t="n">
        <v>0</v>
      </c>
      <c r="L651" t="n">
        <v>0</v>
      </c>
      <c r="M651" t="n">
        <v>0</v>
      </c>
      <c r="N651" t="n">
        <v>0</v>
      </c>
      <c r="O651" t="n">
        <v>0</v>
      </c>
      <c r="P651" t="n">
        <v>0</v>
      </c>
      <c r="Q651" t="n">
        <v>0</v>
      </c>
      <c r="R651" s="2" t="inlineStr"/>
    </row>
    <row r="652" ht="15" customHeight="1">
      <c r="A652" t="inlineStr">
        <is>
          <t>A 51480-2023</t>
        </is>
      </c>
      <c r="B652" s="1" t="n">
        <v>45222</v>
      </c>
      <c r="C652" s="1" t="n">
        <v>45589</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51482-2023</t>
        </is>
      </c>
      <c r="B653" s="1" t="n">
        <v>45222</v>
      </c>
      <c r="C653" s="1" t="n">
        <v>45589</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51481-2023</t>
        </is>
      </c>
      <c r="B654" s="1" t="n">
        <v>45222</v>
      </c>
      <c r="C654" s="1" t="n">
        <v>45589</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51479-2023</t>
        </is>
      </c>
      <c r="B655" s="1" t="n">
        <v>45222</v>
      </c>
      <c r="C655" s="1" t="n">
        <v>45589</v>
      </c>
      <c r="D655" t="inlineStr">
        <is>
          <t>JÄMTLANDS LÄN</t>
        </is>
      </c>
      <c r="E655" t="inlineStr">
        <is>
          <t>ÖSTERSUND</t>
        </is>
      </c>
      <c r="G655" t="n">
        <v>1.9</v>
      </c>
      <c r="H655" t="n">
        <v>0</v>
      </c>
      <c r="I655" t="n">
        <v>0</v>
      </c>
      <c r="J655" t="n">
        <v>0</v>
      </c>
      <c r="K655" t="n">
        <v>0</v>
      </c>
      <c r="L655" t="n">
        <v>0</v>
      </c>
      <c r="M655" t="n">
        <v>0</v>
      </c>
      <c r="N655" t="n">
        <v>0</v>
      </c>
      <c r="O655" t="n">
        <v>0</v>
      </c>
      <c r="P655" t="n">
        <v>0</v>
      </c>
      <c r="Q655" t="n">
        <v>0</v>
      </c>
      <c r="R655" s="2" t="inlineStr"/>
    </row>
    <row r="656" ht="15" customHeight="1">
      <c r="A656" t="inlineStr">
        <is>
          <t>A 53152-2023</t>
        </is>
      </c>
      <c r="B656" s="1" t="n">
        <v>45222</v>
      </c>
      <c r="C656" s="1" t="n">
        <v>45589</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51818-2023</t>
        </is>
      </c>
      <c r="B657" s="1" t="n">
        <v>45223</v>
      </c>
      <c r="C657" s="1" t="n">
        <v>45589</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51913-2023</t>
        </is>
      </c>
      <c r="B658" s="1" t="n">
        <v>45223</v>
      </c>
      <c r="C658" s="1" t="n">
        <v>45589</v>
      </c>
      <c r="D658" t="inlineStr">
        <is>
          <t>JÄMTLANDS LÄN</t>
        </is>
      </c>
      <c r="E658" t="inlineStr">
        <is>
          <t>ÖSTERSUND</t>
        </is>
      </c>
      <c r="F658" t="inlineStr">
        <is>
          <t>Övriga Aktiebolag</t>
        </is>
      </c>
      <c r="G658" t="n">
        <v>3.4</v>
      </c>
      <c r="H658" t="n">
        <v>0</v>
      </c>
      <c r="I658" t="n">
        <v>0</v>
      </c>
      <c r="J658" t="n">
        <v>0</v>
      </c>
      <c r="K658" t="n">
        <v>0</v>
      </c>
      <c r="L658" t="n">
        <v>0</v>
      </c>
      <c r="M658" t="n">
        <v>0</v>
      </c>
      <c r="N658" t="n">
        <v>0</v>
      </c>
      <c r="O658" t="n">
        <v>0</v>
      </c>
      <c r="P658" t="n">
        <v>0</v>
      </c>
      <c r="Q658" t="n">
        <v>0</v>
      </c>
      <c r="R658" s="2" t="inlineStr"/>
    </row>
    <row r="659" ht="15" customHeight="1">
      <c r="A659" t="inlineStr">
        <is>
          <t>A 51942-2023</t>
        </is>
      </c>
      <c r="B659" s="1" t="n">
        <v>45223</v>
      </c>
      <c r="C659" s="1" t="n">
        <v>45589</v>
      </c>
      <c r="D659" t="inlineStr">
        <is>
          <t>JÄMTLANDS LÄN</t>
        </is>
      </c>
      <c r="E659" t="inlineStr">
        <is>
          <t>ÖSTERSUND</t>
        </is>
      </c>
      <c r="F659" t="inlineStr">
        <is>
          <t>Övriga Aktiebolag</t>
        </is>
      </c>
      <c r="G659" t="n">
        <v>0.6</v>
      </c>
      <c r="H659" t="n">
        <v>0</v>
      </c>
      <c r="I659" t="n">
        <v>0</v>
      </c>
      <c r="J659" t="n">
        <v>0</v>
      </c>
      <c r="K659" t="n">
        <v>0</v>
      </c>
      <c r="L659" t="n">
        <v>0</v>
      </c>
      <c r="M659" t="n">
        <v>0</v>
      </c>
      <c r="N659" t="n">
        <v>0</v>
      </c>
      <c r="O659" t="n">
        <v>0</v>
      </c>
      <c r="P659" t="n">
        <v>0</v>
      </c>
      <c r="Q659" t="n">
        <v>0</v>
      </c>
      <c r="R659" s="2" t="inlineStr"/>
    </row>
    <row r="660" ht="15" customHeight="1">
      <c r="A660" t="inlineStr">
        <is>
          <t>A 52128-2023</t>
        </is>
      </c>
      <c r="B660" s="1" t="n">
        <v>45223</v>
      </c>
      <c r="C660" s="1" t="n">
        <v>45589</v>
      </c>
      <c r="D660" t="inlineStr">
        <is>
          <t>JÄMTLANDS LÄN</t>
        </is>
      </c>
      <c r="E660" t="inlineStr">
        <is>
          <t>ÖSTERSUND</t>
        </is>
      </c>
      <c r="F660" t="inlineStr">
        <is>
          <t>SCA</t>
        </is>
      </c>
      <c r="G660" t="n">
        <v>11.9</v>
      </c>
      <c r="H660" t="n">
        <v>0</v>
      </c>
      <c r="I660" t="n">
        <v>0</v>
      </c>
      <c r="J660" t="n">
        <v>0</v>
      </c>
      <c r="K660" t="n">
        <v>0</v>
      </c>
      <c r="L660" t="n">
        <v>0</v>
      </c>
      <c r="M660" t="n">
        <v>0</v>
      </c>
      <c r="N660" t="n">
        <v>0</v>
      </c>
      <c r="O660" t="n">
        <v>0</v>
      </c>
      <c r="P660" t="n">
        <v>0</v>
      </c>
      <c r="Q660" t="n">
        <v>0</v>
      </c>
      <c r="R660" s="2" t="inlineStr"/>
    </row>
    <row r="661" ht="15" customHeight="1">
      <c r="A661" t="inlineStr">
        <is>
          <t>A 51936-2023</t>
        </is>
      </c>
      <c r="B661" s="1" t="n">
        <v>45223</v>
      </c>
      <c r="C661" s="1" t="n">
        <v>45589</v>
      </c>
      <c r="D661" t="inlineStr">
        <is>
          <t>JÄMTLANDS LÄN</t>
        </is>
      </c>
      <c r="E661" t="inlineStr">
        <is>
          <t>ÖSTERSUND</t>
        </is>
      </c>
      <c r="G661" t="n">
        <v>8.4</v>
      </c>
      <c r="H661" t="n">
        <v>0</v>
      </c>
      <c r="I661" t="n">
        <v>0</v>
      </c>
      <c r="J661" t="n">
        <v>0</v>
      </c>
      <c r="K661" t="n">
        <v>0</v>
      </c>
      <c r="L661" t="n">
        <v>0</v>
      </c>
      <c r="M661" t="n">
        <v>0</v>
      </c>
      <c r="N661" t="n">
        <v>0</v>
      </c>
      <c r="O661" t="n">
        <v>0</v>
      </c>
      <c r="P661" t="n">
        <v>0</v>
      </c>
      <c r="Q661" t="n">
        <v>0</v>
      </c>
      <c r="R661" s="2" t="inlineStr"/>
    </row>
    <row r="662" ht="15" customHeight="1">
      <c r="A662" t="inlineStr">
        <is>
          <t>A 51941-2023</t>
        </is>
      </c>
      <c r="B662" s="1" t="n">
        <v>45223</v>
      </c>
      <c r="C662" s="1" t="n">
        <v>45589</v>
      </c>
      <c r="D662" t="inlineStr">
        <is>
          <t>JÄMTLANDS LÄN</t>
        </is>
      </c>
      <c r="E662" t="inlineStr">
        <is>
          <t>ÖSTERSUND</t>
        </is>
      </c>
      <c r="G662" t="n">
        <v>4.6</v>
      </c>
      <c r="H662" t="n">
        <v>0</v>
      </c>
      <c r="I662" t="n">
        <v>0</v>
      </c>
      <c r="J662" t="n">
        <v>0</v>
      </c>
      <c r="K662" t="n">
        <v>0</v>
      </c>
      <c r="L662" t="n">
        <v>0</v>
      </c>
      <c r="M662" t="n">
        <v>0</v>
      </c>
      <c r="N662" t="n">
        <v>0</v>
      </c>
      <c r="O662" t="n">
        <v>0</v>
      </c>
      <c r="P662" t="n">
        <v>0</v>
      </c>
      <c r="Q662" t="n">
        <v>0</v>
      </c>
      <c r="R662" s="2" t="inlineStr"/>
    </row>
    <row r="663" ht="15" customHeight="1">
      <c r="A663" t="inlineStr">
        <is>
          <t>A 53378-2023</t>
        </is>
      </c>
      <c r="B663" s="1" t="n">
        <v>45223</v>
      </c>
      <c r="C663" s="1" t="n">
        <v>45589</v>
      </c>
      <c r="D663" t="inlineStr">
        <is>
          <t>JÄMTLANDS LÄN</t>
        </is>
      </c>
      <c r="E663" t="inlineStr">
        <is>
          <t>ÖSTERSUND</t>
        </is>
      </c>
      <c r="G663" t="n">
        <v>1.5</v>
      </c>
      <c r="H663" t="n">
        <v>0</v>
      </c>
      <c r="I663" t="n">
        <v>0</v>
      </c>
      <c r="J663" t="n">
        <v>0</v>
      </c>
      <c r="K663" t="n">
        <v>0</v>
      </c>
      <c r="L663" t="n">
        <v>0</v>
      </c>
      <c r="M663" t="n">
        <v>0</v>
      </c>
      <c r="N663" t="n">
        <v>0</v>
      </c>
      <c r="O663" t="n">
        <v>0</v>
      </c>
      <c r="P663" t="n">
        <v>0</v>
      </c>
      <c r="Q663" t="n">
        <v>0</v>
      </c>
      <c r="R663" s="2" t="inlineStr"/>
    </row>
    <row r="664" ht="15" customHeight="1">
      <c r="A664" t="inlineStr">
        <is>
          <t>A 53380-2023</t>
        </is>
      </c>
      <c r="B664" s="1" t="n">
        <v>45223</v>
      </c>
      <c r="C664" s="1" t="n">
        <v>45589</v>
      </c>
      <c r="D664" t="inlineStr">
        <is>
          <t>JÄMTLANDS LÄN</t>
        </is>
      </c>
      <c r="E664" t="inlineStr">
        <is>
          <t>ÖSTERSUND</t>
        </is>
      </c>
      <c r="G664" t="n">
        <v>1.7</v>
      </c>
      <c r="H664" t="n">
        <v>0</v>
      </c>
      <c r="I664" t="n">
        <v>0</v>
      </c>
      <c r="J664" t="n">
        <v>0</v>
      </c>
      <c r="K664" t="n">
        <v>0</v>
      </c>
      <c r="L664" t="n">
        <v>0</v>
      </c>
      <c r="M664" t="n">
        <v>0</v>
      </c>
      <c r="N664" t="n">
        <v>0</v>
      </c>
      <c r="O664" t="n">
        <v>0</v>
      </c>
      <c r="P664" t="n">
        <v>0</v>
      </c>
      <c r="Q664" t="n">
        <v>0</v>
      </c>
      <c r="R664" s="2" t="inlineStr"/>
    </row>
    <row r="665" ht="15" customHeight="1">
      <c r="A665" t="inlineStr">
        <is>
          <t>A 52553-2023</t>
        </is>
      </c>
      <c r="B665" s="1" t="n">
        <v>45225</v>
      </c>
      <c r="C665" s="1" t="n">
        <v>45589</v>
      </c>
      <c r="D665" t="inlineStr">
        <is>
          <t>JÄMTLANDS LÄN</t>
        </is>
      </c>
      <c r="E665" t="inlineStr">
        <is>
          <t>ÖSTERSUND</t>
        </is>
      </c>
      <c r="G665" t="n">
        <v>19.9</v>
      </c>
      <c r="H665" t="n">
        <v>0</v>
      </c>
      <c r="I665" t="n">
        <v>0</v>
      </c>
      <c r="J665" t="n">
        <v>0</v>
      </c>
      <c r="K665" t="n">
        <v>0</v>
      </c>
      <c r="L665" t="n">
        <v>0</v>
      </c>
      <c r="M665" t="n">
        <v>0</v>
      </c>
      <c r="N665" t="n">
        <v>0</v>
      </c>
      <c r="O665" t="n">
        <v>0</v>
      </c>
      <c r="P665" t="n">
        <v>0</v>
      </c>
      <c r="Q665" t="n">
        <v>0</v>
      </c>
      <c r="R665" s="2" t="inlineStr"/>
    </row>
    <row r="666" ht="15" customHeight="1">
      <c r="A666" t="inlineStr">
        <is>
          <t>A 55235-2023</t>
        </is>
      </c>
      <c r="B666" s="1" t="n">
        <v>45231</v>
      </c>
      <c r="C666" s="1" t="n">
        <v>45589</v>
      </c>
      <c r="D666" t="inlineStr">
        <is>
          <t>JÄMTLANDS LÄN</t>
        </is>
      </c>
      <c r="E666" t="inlineStr">
        <is>
          <t>ÖSTERSUND</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55251-2023</t>
        </is>
      </c>
      <c r="B667" s="1" t="n">
        <v>45231</v>
      </c>
      <c r="C667" s="1" t="n">
        <v>45589</v>
      </c>
      <c r="D667" t="inlineStr">
        <is>
          <t>JÄMTLANDS LÄN</t>
        </is>
      </c>
      <c r="E667" t="inlineStr">
        <is>
          <t>ÖSTERSUND</t>
        </is>
      </c>
      <c r="F667" t="inlineStr">
        <is>
          <t>SCA</t>
        </is>
      </c>
      <c r="G667" t="n">
        <v>4.8</v>
      </c>
      <c r="H667" t="n">
        <v>0</v>
      </c>
      <c r="I667" t="n">
        <v>0</v>
      </c>
      <c r="J667" t="n">
        <v>0</v>
      </c>
      <c r="K667" t="n">
        <v>0</v>
      </c>
      <c r="L667" t="n">
        <v>0</v>
      </c>
      <c r="M667" t="n">
        <v>0</v>
      </c>
      <c r="N667" t="n">
        <v>0</v>
      </c>
      <c r="O667" t="n">
        <v>0</v>
      </c>
      <c r="P667" t="n">
        <v>0</v>
      </c>
      <c r="Q667" t="n">
        <v>0</v>
      </c>
      <c r="R667" s="2" t="inlineStr"/>
    </row>
    <row r="668" ht="15" customHeight="1">
      <c r="A668" t="inlineStr">
        <is>
          <t>A 55400-2023</t>
        </is>
      </c>
      <c r="B668" s="1" t="n">
        <v>45231</v>
      </c>
      <c r="C668" s="1" t="n">
        <v>45589</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54131-2023</t>
        </is>
      </c>
      <c r="B669" s="1" t="n">
        <v>45232</v>
      </c>
      <c r="C669" s="1" t="n">
        <v>45589</v>
      </c>
      <c r="D669" t="inlineStr">
        <is>
          <t>JÄMTLANDS LÄN</t>
        </is>
      </c>
      <c r="E669" t="inlineStr">
        <is>
          <t>ÖSTERSUND</t>
        </is>
      </c>
      <c r="G669" t="n">
        <v>5.5</v>
      </c>
      <c r="H669" t="n">
        <v>0</v>
      </c>
      <c r="I669" t="n">
        <v>0</v>
      </c>
      <c r="J669" t="n">
        <v>0</v>
      </c>
      <c r="K669" t="n">
        <v>0</v>
      </c>
      <c r="L669" t="n">
        <v>0</v>
      </c>
      <c r="M669" t="n">
        <v>0</v>
      </c>
      <c r="N669" t="n">
        <v>0</v>
      </c>
      <c r="O669" t="n">
        <v>0</v>
      </c>
      <c r="P669" t="n">
        <v>0</v>
      </c>
      <c r="Q669" t="n">
        <v>0</v>
      </c>
      <c r="R669" s="2" t="inlineStr"/>
    </row>
    <row r="670" ht="15" customHeight="1">
      <c r="A670" t="inlineStr">
        <is>
          <t>A 54608-2023</t>
        </is>
      </c>
      <c r="B670" s="1" t="n">
        <v>45233</v>
      </c>
      <c r="C670" s="1" t="n">
        <v>45589</v>
      </c>
      <c r="D670" t="inlineStr">
        <is>
          <t>JÄMTLANDS LÄN</t>
        </is>
      </c>
      <c r="E670" t="inlineStr">
        <is>
          <t>ÖSTERSUND</t>
        </is>
      </c>
      <c r="F670" t="inlineStr">
        <is>
          <t>SCA</t>
        </is>
      </c>
      <c r="G670" t="n">
        <v>4.3</v>
      </c>
      <c r="H670" t="n">
        <v>0</v>
      </c>
      <c r="I670" t="n">
        <v>0</v>
      </c>
      <c r="J670" t="n">
        <v>0</v>
      </c>
      <c r="K670" t="n">
        <v>0</v>
      </c>
      <c r="L670" t="n">
        <v>0</v>
      </c>
      <c r="M670" t="n">
        <v>0</v>
      </c>
      <c r="N670" t="n">
        <v>0</v>
      </c>
      <c r="O670" t="n">
        <v>0</v>
      </c>
      <c r="P670" t="n">
        <v>0</v>
      </c>
      <c r="Q670" t="n">
        <v>0</v>
      </c>
      <c r="R670" s="2" t="inlineStr"/>
    </row>
    <row r="671" ht="15" customHeight="1">
      <c r="A671" t="inlineStr">
        <is>
          <t>A 55996-2023</t>
        </is>
      </c>
      <c r="B671" s="1" t="n">
        <v>45233</v>
      </c>
      <c r="C671" s="1" t="n">
        <v>45589</v>
      </c>
      <c r="D671" t="inlineStr">
        <is>
          <t>JÄMTLANDS LÄN</t>
        </is>
      </c>
      <c r="E671" t="inlineStr">
        <is>
          <t>ÖSTERSUND</t>
        </is>
      </c>
      <c r="G671" t="n">
        <v>2.4</v>
      </c>
      <c r="H671" t="n">
        <v>0</v>
      </c>
      <c r="I671" t="n">
        <v>0</v>
      </c>
      <c r="J671" t="n">
        <v>0</v>
      </c>
      <c r="K671" t="n">
        <v>0</v>
      </c>
      <c r="L671" t="n">
        <v>0</v>
      </c>
      <c r="M671" t="n">
        <v>0</v>
      </c>
      <c r="N671" t="n">
        <v>0</v>
      </c>
      <c r="O671" t="n">
        <v>0</v>
      </c>
      <c r="P671" t="n">
        <v>0</v>
      </c>
      <c r="Q671" t="n">
        <v>0</v>
      </c>
      <c r="R671" s="2" t="inlineStr"/>
    </row>
    <row r="672" ht="15" customHeight="1">
      <c r="A672" t="inlineStr">
        <is>
          <t>A 56043-2023</t>
        </is>
      </c>
      <c r="B672" s="1" t="n">
        <v>45233</v>
      </c>
      <c r="C672" s="1" t="n">
        <v>45589</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54576-2023</t>
        </is>
      </c>
      <c r="B673" s="1" t="n">
        <v>45233</v>
      </c>
      <c r="C673" s="1" t="n">
        <v>45589</v>
      </c>
      <c r="D673" t="inlineStr">
        <is>
          <t>JÄMTLANDS LÄN</t>
        </is>
      </c>
      <c r="E673" t="inlineStr">
        <is>
          <t>ÖSTERSUND</t>
        </is>
      </c>
      <c r="F673" t="inlineStr">
        <is>
          <t>Övriga Aktiebolag</t>
        </is>
      </c>
      <c r="G673" t="n">
        <v>7.3</v>
      </c>
      <c r="H673" t="n">
        <v>0</v>
      </c>
      <c r="I673" t="n">
        <v>0</v>
      </c>
      <c r="J673" t="n">
        <v>0</v>
      </c>
      <c r="K673" t="n">
        <v>0</v>
      </c>
      <c r="L673" t="n">
        <v>0</v>
      </c>
      <c r="M673" t="n">
        <v>0</v>
      </c>
      <c r="N673" t="n">
        <v>0</v>
      </c>
      <c r="O673" t="n">
        <v>0</v>
      </c>
      <c r="P673" t="n">
        <v>0</v>
      </c>
      <c r="Q673" t="n">
        <v>0</v>
      </c>
      <c r="R673" s="2" t="inlineStr"/>
    </row>
    <row r="674" ht="15" customHeight="1">
      <c r="A674" t="inlineStr">
        <is>
          <t>A 54762-2023</t>
        </is>
      </c>
      <c r="B674" s="1" t="n">
        <v>45236</v>
      </c>
      <c r="C674" s="1" t="n">
        <v>45589</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54883-2023</t>
        </is>
      </c>
      <c r="B675" s="1" t="n">
        <v>45236</v>
      </c>
      <c r="C675" s="1" t="n">
        <v>45589</v>
      </c>
      <c r="D675" t="inlineStr">
        <is>
          <t>JÄMTLANDS LÄN</t>
        </is>
      </c>
      <c r="E675" t="inlineStr">
        <is>
          <t>ÖSTERSUND</t>
        </is>
      </c>
      <c r="F675" t="inlineStr">
        <is>
          <t>Övriga Aktiebolag</t>
        </is>
      </c>
      <c r="G675" t="n">
        <v>3.2</v>
      </c>
      <c r="H675" t="n">
        <v>0</v>
      </c>
      <c r="I675" t="n">
        <v>0</v>
      </c>
      <c r="J675" t="n">
        <v>0</v>
      </c>
      <c r="K675" t="n">
        <v>0</v>
      </c>
      <c r="L675" t="n">
        <v>0</v>
      </c>
      <c r="M675" t="n">
        <v>0</v>
      </c>
      <c r="N675" t="n">
        <v>0</v>
      </c>
      <c r="O675" t="n">
        <v>0</v>
      </c>
      <c r="P675" t="n">
        <v>0</v>
      </c>
      <c r="Q675" t="n">
        <v>0</v>
      </c>
      <c r="R675" s="2" t="inlineStr"/>
    </row>
    <row r="676" ht="15" customHeight="1">
      <c r="A676" t="inlineStr">
        <is>
          <t>A 54973-2023</t>
        </is>
      </c>
      <c r="B676" s="1" t="n">
        <v>45236</v>
      </c>
      <c r="C676" s="1" t="n">
        <v>45589</v>
      </c>
      <c r="D676" t="inlineStr">
        <is>
          <t>JÄMTLANDS LÄN</t>
        </is>
      </c>
      <c r="E676" t="inlineStr">
        <is>
          <t>ÖSTERSUND</t>
        </is>
      </c>
      <c r="G676" t="n">
        <v>15.4</v>
      </c>
      <c r="H676" t="n">
        <v>0</v>
      </c>
      <c r="I676" t="n">
        <v>0</v>
      </c>
      <c r="J676" t="n">
        <v>0</v>
      </c>
      <c r="K676" t="n">
        <v>0</v>
      </c>
      <c r="L676" t="n">
        <v>0</v>
      </c>
      <c r="M676" t="n">
        <v>0</v>
      </c>
      <c r="N676" t="n">
        <v>0</v>
      </c>
      <c r="O676" t="n">
        <v>0</v>
      </c>
      <c r="P676" t="n">
        <v>0</v>
      </c>
      <c r="Q676" t="n">
        <v>0</v>
      </c>
      <c r="R676" s="2" t="inlineStr"/>
    </row>
    <row r="677" ht="15" customHeight="1">
      <c r="A677" t="inlineStr">
        <is>
          <t>A 55140-2023</t>
        </is>
      </c>
      <c r="B677" s="1" t="n">
        <v>45237</v>
      </c>
      <c r="C677" s="1" t="n">
        <v>45589</v>
      </c>
      <c r="D677" t="inlineStr">
        <is>
          <t>JÄMTLANDS LÄN</t>
        </is>
      </c>
      <c r="E677" t="inlineStr">
        <is>
          <t>ÖSTERSUND</t>
        </is>
      </c>
      <c r="G677" t="n">
        <v>1.8</v>
      </c>
      <c r="H677" t="n">
        <v>0</v>
      </c>
      <c r="I677" t="n">
        <v>0</v>
      </c>
      <c r="J677" t="n">
        <v>0</v>
      </c>
      <c r="K677" t="n">
        <v>0</v>
      </c>
      <c r="L677" t="n">
        <v>0</v>
      </c>
      <c r="M677" t="n">
        <v>0</v>
      </c>
      <c r="N677" t="n">
        <v>0</v>
      </c>
      <c r="O677" t="n">
        <v>0</v>
      </c>
      <c r="P677" t="n">
        <v>0</v>
      </c>
      <c r="Q677" t="n">
        <v>0</v>
      </c>
      <c r="R677" s="2" t="inlineStr"/>
    </row>
    <row r="678" ht="15" customHeight="1">
      <c r="A678" t="inlineStr">
        <is>
          <t>A 55237-2023</t>
        </is>
      </c>
      <c r="B678" s="1" t="n">
        <v>45237</v>
      </c>
      <c r="C678" s="1" t="n">
        <v>45589</v>
      </c>
      <c r="D678" t="inlineStr">
        <is>
          <t>JÄMTLANDS LÄN</t>
        </is>
      </c>
      <c r="E678" t="inlineStr">
        <is>
          <t>ÖSTERSUND</t>
        </is>
      </c>
      <c r="G678" t="n">
        <v>2.7</v>
      </c>
      <c r="H678" t="n">
        <v>0</v>
      </c>
      <c r="I678" t="n">
        <v>0</v>
      </c>
      <c r="J678" t="n">
        <v>0</v>
      </c>
      <c r="K678" t="n">
        <v>0</v>
      </c>
      <c r="L678" t="n">
        <v>0</v>
      </c>
      <c r="M678" t="n">
        <v>0</v>
      </c>
      <c r="N678" t="n">
        <v>0</v>
      </c>
      <c r="O678" t="n">
        <v>0</v>
      </c>
      <c r="P678" t="n">
        <v>0</v>
      </c>
      <c r="Q678" t="n">
        <v>0</v>
      </c>
      <c r="R678" s="2" t="inlineStr"/>
    </row>
    <row r="679" ht="15" customHeight="1">
      <c r="A679" t="inlineStr">
        <is>
          <t>A 55233-2023</t>
        </is>
      </c>
      <c r="B679" s="1" t="n">
        <v>45237</v>
      </c>
      <c r="C679" s="1" t="n">
        <v>45589</v>
      </c>
      <c r="D679" t="inlineStr">
        <is>
          <t>JÄMTLANDS LÄN</t>
        </is>
      </c>
      <c r="E679" t="inlineStr">
        <is>
          <t>ÖSTERSUND</t>
        </is>
      </c>
      <c r="G679" t="n">
        <v>1.9</v>
      </c>
      <c r="H679" t="n">
        <v>0</v>
      </c>
      <c r="I679" t="n">
        <v>0</v>
      </c>
      <c r="J679" t="n">
        <v>0</v>
      </c>
      <c r="K679" t="n">
        <v>0</v>
      </c>
      <c r="L679" t="n">
        <v>0</v>
      </c>
      <c r="M679" t="n">
        <v>0</v>
      </c>
      <c r="N679" t="n">
        <v>0</v>
      </c>
      <c r="O679" t="n">
        <v>0</v>
      </c>
      <c r="P679" t="n">
        <v>0</v>
      </c>
      <c r="Q679" t="n">
        <v>0</v>
      </c>
      <c r="R679" s="2" t="inlineStr"/>
    </row>
    <row r="680" ht="15" customHeight="1">
      <c r="A680" t="inlineStr">
        <is>
          <t>A 56440-2023</t>
        </is>
      </c>
      <c r="B680" s="1" t="n">
        <v>45237</v>
      </c>
      <c r="C680" s="1" t="n">
        <v>45589</v>
      </c>
      <c r="D680" t="inlineStr">
        <is>
          <t>JÄMTLANDS LÄN</t>
        </is>
      </c>
      <c r="E680" t="inlineStr">
        <is>
          <t>ÖSTERSUND</t>
        </is>
      </c>
      <c r="G680" t="n">
        <v>10.2</v>
      </c>
      <c r="H680" t="n">
        <v>0</v>
      </c>
      <c r="I680" t="n">
        <v>0</v>
      </c>
      <c r="J680" t="n">
        <v>0</v>
      </c>
      <c r="K680" t="n">
        <v>0</v>
      </c>
      <c r="L680" t="n">
        <v>0</v>
      </c>
      <c r="M680" t="n">
        <v>0</v>
      </c>
      <c r="N680" t="n">
        <v>0</v>
      </c>
      <c r="O680" t="n">
        <v>0</v>
      </c>
      <c r="P680" t="n">
        <v>0</v>
      </c>
      <c r="Q680" t="n">
        <v>0</v>
      </c>
      <c r="R680" s="2" t="inlineStr"/>
    </row>
    <row r="681" ht="15" customHeight="1">
      <c r="A681" t="inlineStr">
        <is>
          <t>A 55666-2023</t>
        </is>
      </c>
      <c r="B681" s="1" t="n">
        <v>45239</v>
      </c>
      <c r="C681" s="1" t="n">
        <v>45589</v>
      </c>
      <c r="D681" t="inlineStr">
        <is>
          <t>JÄMTLANDS LÄN</t>
        </is>
      </c>
      <c r="E681" t="inlineStr">
        <is>
          <t>ÖSTERSUND</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56597-2023</t>
        </is>
      </c>
      <c r="B682" s="1" t="n">
        <v>45238</v>
      </c>
      <c r="C682" s="1" t="n">
        <v>45589</v>
      </c>
      <c r="D682" t="inlineStr">
        <is>
          <t>JÄMTLANDS LÄN</t>
        </is>
      </c>
      <c r="E682" t="inlineStr">
        <is>
          <t>ÖSTERSUND</t>
        </is>
      </c>
      <c r="G682" t="n">
        <v>5.1</v>
      </c>
      <c r="H682" t="n">
        <v>0</v>
      </c>
      <c r="I682" t="n">
        <v>0</v>
      </c>
      <c r="J682" t="n">
        <v>0</v>
      </c>
      <c r="K682" t="n">
        <v>0</v>
      </c>
      <c r="L682" t="n">
        <v>0</v>
      </c>
      <c r="M682" t="n">
        <v>0</v>
      </c>
      <c r="N682" t="n">
        <v>0</v>
      </c>
      <c r="O682" t="n">
        <v>0</v>
      </c>
      <c r="P682" t="n">
        <v>0</v>
      </c>
      <c r="Q682" t="n">
        <v>0</v>
      </c>
      <c r="R682" s="2" t="inlineStr"/>
    </row>
    <row r="683" ht="15" customHeight="1">
      <c r="A683" t="inlineStr">
        <is>
          <t>A 55678-2023</t>
        </is>
      </c>
      <c r="B683" s="1" t="n">
        <v>45239</v>
      </c>
      <c r="C683" s="1" t="n">
        <v>45589</v>
      </c>
      <c r="D683" t="inlineStr">
        <is>
          <t>JÄMTLANDS LÄN</t>
        </is>
      </c>
      <c r="E683" t="inlineStr">
        <is>
          <t>ÖSTERSUND</t>
        </is>
      </c>
      <c r="F683" t="inlineStr">
        <is>
          <t>Övriga Aktiebolag</t>
        </is>
      </c>
      <c r="G683" t="n">
        <v>0.6</v>
      </c>
      <c r="H683" t="n">
        <v>0</v>
      </c>
      <c r="I683" t="n">
        <v>0</v>
      </c>
      <c r="J683" t="n">
        <v>0</v>
      </c>
      <c r="K683" t="n">
        <v>0</v>
      </c>
      <c r="L683" t="n">
        <v>0</v>
      </c>
      <c r="M683" t="n">
        <v>0</v>
      </c>
      <c r="N683" t="n">
        <v>0</v>
      </c>
      <c r="O683" t="n">
        <v>0</v>
      </c>
      <c r="P683" t="n">
        <v>0</v>
      </c>
      <c r="Q683" t="n">
        <v>0</v>
      </c>
      <c r="R683" s="2" t="inlineStr"/>
    </row>
    <row r="684" ht="15" customHeight="1">
      <c r="A684" t="inlineStr">
        <is>
          <t>A 55785-2023</t>
        </is>
      </c>
      <c r="B684" s="1" t="n">
        <v>45239</v>
      </c>
      <c r="C684" s="1" t="n">
        <v>45589</v>
      </c>
      <c r="D684" t="inlineStr">
        <is>
          <t>JÄMTLANDS LÄN</t>
        </is>
      </c>
      <c r="E684" t="inlineStr">
        <is>
          <t>ÖSTERSUND</t>
        </is>
      </c>
      <c r="F684" t="inlineStr">
        <is>
          <t>Övriga Aktiebolag</t>
        </is>
      </c>
      <c r="G684" t="n">
        <v>16.4</v>
      </c>
      <c r="H684" t="n">
        <v>0</v>
      </c>
      <c r="I684" t="n">
        <v>0</v>
      </c>
      <c r="J684" t="n">
        <v>0</v>
      </c>
      <c r="K684" t="n">
        <v>0</v>
      </c>
      <c r="L684" t="n">
        <v>0</v>
      </c>
      <c r="M684" t="n">
        <v>0</v>
      </c>
      <c r="N684" t="n">
        <v>0</v>
      </c>
      <c r="O684" t="n">
        <v>0</v>
      </c>
      <c r="P684" t="n">
        <v>0</v>
      </c>
      <c r="Q684" t="n">
        <v>0</v>
      </c>
      <c r="R684" s="2" t="inlineStr"/>
    </row>
    <row r="685" ht="15" customHeight="1">
      <c r="A685" t="inlineStr">
        <is>
          <t>A 55827-2023</t>
        </is>
      </c>
      <c r="B685" s="1" t="n">
        <v>45239</v>
      </c>
      <c r="C685" s="1" t="n">
        <v>45589</v>
      </c>
      <c r="D685" t="inlineStr">
        <is>
          <t>JÄMTLANDS LÄN</t>
        </is>
      </c>
      <c r="E685" t="inlineStr">
        <is>
          <t>ÖSTERSUND</t>
        </is>
      </c>
      <c r="F685" t="inlineStr">
        <is>
          <t>Övriga Aktiebolag</t>
        </is>
      </c>
      <c r="G685" t="n">
        <v>9.1</v>
      </c>
      <c r="H685" t="n">
        <v>0</v>
      </c>
      <c r="I685" t="n">
        <v>0</v>
      </c>
      <c r="J685" t="n">
        <v>0</v>
      </c>
      <c r="K685" t="n">
        <v>0</v>
      </c>
      <c r="L685" t="n">
        <v>0</v>
      </c>
      <c r="M685" t="n">
        <v>0</v>
      </c>
      <c r="N685" t="n">
        <v>0</v>
      </c>
      <c r="O685" t="n">
        <v>0</v>
      </c>
      <c r="P685" t="n">
        <v>0</v>
      </c>
      <c r="Q685" t="n">
        <v>0</v>
      </c>
      <c r="R685" s="2" t="inlineStr"/>
    </row>
    <row r="686" ht="15" customHeight="1">
      <c r="A686" t="inlineStr">
        <is>
          <t>A 56465-2023</t>
        </is>
      </c>
      <c r="B686" s="1" t="n">
        <v>45243</v>
      </c>
      <c r="C686" s="1" t="n">
        <v>45589</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56478-2023</t>
        </is>
      </c>
      <c r="B687" s="1" t="n">
        <v>45243</v>
      </c>
      <c r="C687" s="1" t="n">
        <v>45589</v>
      </c>
      <c r="D687" t="inlineStr">
        <is>
          <t>JÄMTLANDS LÄN</t>
        </is>
      </c>
      <c r="E687" t="inlineStr">
        <is>
          <t>ÖSTERSUND</t>
        </is>
      </c>
      <c r="F687" t="inlineStr">
        <is>
          <t>Övriga Aktiebolag</t>
        </is>
      </c>
      <c r="G687" t="n">
        <v>1.1</v>
      </c>
      <c r="H687" t="n">
        <v>0</v>
      </c>
      <c r="I687" t="n">
        <v>0</v>
      </c>
      <c r="J687" t="n">
        <v>0</v>
      </c>
      <c r="K687" t="n">
        <v>0</v>
      </c>
      <c r="L687" t="n">
        <v>0</v>
      </c>
      <c r="M687" t="n">
        <v>0</v>
      </c>
      <c r="N687" t="n">
        <v>0</v>
      </c>
      <c r="O687" t="n">
        <v>0</v>
      </c>
      <c r="P687" t="n">
        <v>0</v>
      </c>
      <c r="Q687" t="n">
        <v>0</v>
      </c>
      <c r="R687" s="2" t="inlineStr"/>
    </row>
    <row r="688" ht="15" customHeight="1">
      <c r="A688" t="inlineStr">
        <is>
          <t>A 57863-2023</t>
        </is>
      </c>
      <c r="B688" s="1" t="n">
        <v>45244</v>
      </c>
      <c r="C688" s="1" t="n">
        <v>45589</v>
      </c>
      <c r="D688" t="inlineStr">
        <is>
          <t>JÄMTLANDS LÄN</t>
        </is>
      </c>
      <c r="E688" t="inlineStr">
        <is>
          <t>ÖSTERSUND</t>
        </is>
      </c>
      <c r="G688" t="n">
        <v>0.7</v>
      </c>
      <c r="H688" t="n">
        <v>0</v>
      </c>
      <c r="I688" t="n">
        <v>0</v>
      </c>
      <c r="J688" t="n">
        <v>0</v>
      </c>
      <c r="K688" t="n">
        <v>0</v>
      </c>
      <c r="L688" t="n">
        <v>0</v>
      </c>
      <c r="M688" t="n">
        <v>0</v>
      </c>
      <c r="N688" t="n">
        <v>0</v>
      </c>
      <c r="O688" t="n">
        <v>0</v>
      </c>
      <c r="P688" t="n">
        <v>0</v>
      </c>
      <c r="Q688" t="n">
        <v>0</v>
      </c>
      <c r="R688" s="2" t="inlineStr"/>
    </row>
    <row r="689" ht="15" customHeight="1">
      <c r="A689" t="inlineStr">
        <is>
          <t>A 57398-2023</t>
        </is>
      </c>
      <c r="B689" s="1" t="n">
        <v>45245</v>
      </c>
      <c r="C689" s="1" t="n">
        <v>45589</v>
      </c>
      <c r="D689" t="inlineStr">
        <is>
          <t>JÄMTLANDS LÄN</t>
        </is>
      </c>
      <c r="E689" t="inlineStr">
        <is>
          <t>ÖSTERSUND</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58809-2023</t>
        </is>
      </c>
      <c r="B690" s="1" t="n">
        <v>45247</v>
      </c>
      <c r="C690" s="1" t="n">
        <v>45589</v>
      </c>
      <c r="D690" t="inlineStr">
        <is>
          <t>JÄMTLANDS LÄN</t>
        </is>
      </c>
      <c r="E690" t="inlineStr">
        <is>
          <t>ÖSTERSUND</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58818-2023</t>
        </is>
      </c>
      <c r="B691" s="1" t="n">
        <v>45247</v>
      </c>
      <c r="C691" s="1" t="n">
        <v>45589</v>
      </c>
      <c r="D691" t="inlineStr">
        <is>
          <t>JÄMTLANDS LÄN</t>
        </is>
      </c>
      <c r="E691" t="inlineStr">
        <is>
          <t>ÖSTERSUND</t>
        </is>
      </c>
      <c r="G691" t="n">
        <v>6.7</v>
      </c>
      <c r="H691" t="n">
        <v>0</v>
      </c>
      <c r="I691" t="n">
        <v>0</v>
      </c>
      <c r="J691" t="n">
        <v>0</v>
      </c>
      <c r="K691" t="n">
        <v>0</v>
      </c>
      <c r="L691" t="n">
        <v>0</v>
      </c>
      <c r="M691" t="n">
        <v>0</v>
      </c>
      <c r="N691" t="n">
        <v>0</v>
      </c>
      <c r="O691" t="n">
        <v>0</v>
      </c>
      <c r="P691" t="n">
        <v>0</v>
      </c>
      <c r="Q691" t="n">
        <v>0</v>
      </c>
      <c r="R691" s="2" t="inlineStr"/>
    </row>
    <row r="692" ht="15" customHeight="1">
      <c r="A692" t="inlineStr">
        <is>
          <t>A 57839-2023</t>
        </is>
      </c>
      <c r="B692" s="1" t="n">
        <v>45247</v>
      </c>
      <c r="C692" s="1" t="n">
        <v>45589</v>
      </c>
      <c r="D692" t="inlineStr">
        <is>
          <t>JÄMTLANDS LÄN</t>
        </is>
      </c>
      <c r="E692" t="inlineStr">
        <is>
          <t>ÖSTERSUND</t>
        </is>
      </c>
      <c r="G692" t="n">
        <v>6.1</v>
      </c>
      <c r="H692" t="n">
        <v>0</v>
      </c>
      <c r="I692" t="n">
        <v>0</v>
      </c>
      <c r="J692" t="n">
        <v>0</v>
      </c>
      <c r="K692" t="n">
        <v>0</v>
      </c>
      <c r="L692" t="n">
        <v>0</v>
      </c>
      <c r="M692" t="n">
        <v>0</v>
      </c>
      <c r="N692" t="n">
        <v>0</v>
      </c>
      <c r="O692" t="n">
        <v>0</v>
      </c>
      <c r="P692" t="n">
        <v>0</v>
      </c>
      <c r="Q692" t="n">
        <v>0</v>
      </c>
      <c r="R692" s="2" t="inlineStr"/>
    </row>
    <row r="693" ht="15" customHeight="1">
      <c r="A693" t="inlineStr">
        <is>
          <t>A 59021-2023</t>
        </is>
      </c>
      <c r="B693" s="1" t="n">
        <v>45250</v>
      </c>
      <c r="C693" s="1" t="n">
        <v>45589</v>
      </c>
      <c r="D693" t="inlineStr">
        <is>
          <t>JÄMTLANDS LÄN</t>
        </is>
      </c>
      <c r="E693" t="inlineStr">
        <is>
          <t>ÖSTERSUND</t>
        </is>
      </c>
      <c r="G693" t="n">
        <v>7</v>
      </c>
      <c r="H693" t="n">
        <v>0</v>
      </c>
      <c r="I693" t="n">
        <v>0</v>
      </c>
      <c r="J693" t="n">
        <v>0</v>
      </c>
      <c r="K693" t="n">
        <v>0</v>
      </c>
      <c r="L693" t="n">
        <v>0</v>
      </c>
      <c r="M693" t="n">
        <v>0</v>
      </c>
      <c r="N693" t="n">
        <v>0</v>
      </c>
      <c r="O693" t="n">
        <v>0</v>
      </c>
      <c r="P693" t="n">
        <v>0</v>
      </c>
      <c r="Q693" t="n">
        <v>0</v>
      </c>
      <c r="R693" s="2" t="inlineStr"/>
    </row>
    <row r="694" ht="15" customHeight="1">
      <c r="A694" t="inlineStr">
        <is>
          <t>A 59094-2023</t>
        </is>
      </c>
      <c r="B694" s="1" t="n">
        <v>45253</v>
      </c>
      <c r="C694" s="1" t="n">
        <v>45589</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59095-2023</t>
        </is>
      </c>
      <c r="B695" s="1" t="n">
        <v>45253</v>
      </c>
      <c r="C695" s="1" t="n">
        <v>45589</v>
      </c>
      <c r="D695" t="inlineStr">
        <is>
          <t>JÄMTLANDS LÄN</t>
        </is>
      </c>
      <c r="E695" t="inlineStr">
        <is>
          <t>ÖSTERSUND</t>
        </is>
      </c>
      <c r="G695" t="n">
        <v>0.8</v>
      </c>
      <c r="H695" t="n">
        <v>0</v>
      </c>
      <c r="I695" t="n">
        <v>0</v>
      </c>
      <c r="J695" t="n">
        <v>0</v>
      </c>
      <c r="K695" t="n">
        <v>0</v>
      </c>
      <c r="L695" t="n">
        <v>0</v>
      </c>
      <c r="M695" t="n">
        <v>0</v>
      </c>
      <c r="N695" t="n">
        <v>0</v>
      </c>
      <c r="O695" t="n">
        <v>0</v>
      </c>
      <c r="P695" t="n">
        <v>0</v>
      </c>
      <c r="Q695" t="n">
        <v>0</v>
      </c>
      <c r="R695" s="2" t="inlineStr"/>
    </row>
    <row r="696" ht="15" customHeight="1">
      <c r="A696" t="inlineStr">
        <is>
          <t>A 59611-2023</t>
        </is>
      </c>
      <c r="B696" s="1" t="n">
        <v>45254</v>
      </c>
      <c r="C696" s="1" t="n">
        <v>45589</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59953-2023</t>
        </is>
      </c>
      <c r="B697" s="1" t="n">
        <v>45254</v>
      </c>
      <c r="C697" s="1" t="n">
        <v>45589</v>
      </c>
      <c r="D697" t="inlineStr">
        <is>
          <t>JÄMTLANDS LÄN</t>
        </is>
      </c>
      <c r="E697" t="inlineStr">
        <is>
          <t>ÖSTERSUND</t>
        </is>
      </c>
      <c r="G697" t="n">
        <v>4.6</v>
      </c>
      <c r="H697" t="n">
        <v>0</v>
      </c>
      <c r="I697" t="n">
        <v>0</v>
      </c>
      <c r="J697" t="n">
        <v>0</v>
      </c>
      <c r="K697" t="n">
        <v>0</v>
      </c>
      <c r="L697" t="n">
        <v>0</v>
      </c>
      <c r="M697" t="n">
        <v>0</v>
      </c>
      <c r="N697" t="n">
        <v>0</v>
      </c>
      <c r="O697" t="n">
        <v>0</v>
      </c>
      <c r="P697" t="n">
        <v>0</v>
      </c>
      <c r="Q697" t="n">
        <v>0</v>
      </c>
      <c r="R697" s="2" t="inlineStr"/>
    </row>
    <row r="698" ht="15" customHeight="1">
      <c r="A698" t="inlineStr">
        <is>
          <t>A 59694-2023</t>
        </is>
      </c>
      <c r="B698" s="1" t="n">
        <v>45256</v>
      </c>
      <c r="C698" s="1" t="n">
        <v>45589</v>
      </c>
      <c r="D698" t="inlineStr">
        <is>
          <t>JÄMTLANDS LÄN</t>
        </is>
      </c>
      <c r="E698" t="inlineStr">
        <is>
          <t>ÖSTERSUND</t>
        </is>
      </c>
      <c r="G698" t="n">
        <v>4.1</v>
      </c>
      <c r="H698" t="n">
        <v>0</v>
      </c>
      <c r="I698" t="n">
        <v>0</v>
      </c>
      <c r="J698" t="n">
        <v>0</v>
      </c>
      <c r="K698" t="n">
        <v>0</v>
      </c>
      <c r="L698" t="n">
        <v>0</v>
      </c>
      <c r="M698" t="n">
        <v>0</v>
      </c>
      <c r="N698" t="n">
        <v>0</v>
      </c>
      <c r="O698" t="n">
        <v>0</v>
      </c>
      <c r="P698" t="n">
        <v>0</v>
      </c>
      <c r="Q698" t="n">
        <v>0</v>
      </c>
      <c r="R698" s="2" t="inlineStr"/>
    </row>
    <row r="699" ht="15" customHeight="1">
      <c r="A699" t="inlineStr">
        <is>
          <t>A 59813-2023</t>
        </is>
      </c>
      <c r="B699" s="1" t="n">
        <v>45257</v>
      </c>
      <c r="C699" s="1" t="n">
        <v>45589</v>
      </c>
      <c r="D699" t="inlineStr">
        <is>
          <t>JÄMTLANDS LÄN</t>
        </is>
      </c>
      <c r="E699" t="inlineStr">
        <is>
          <t>ÖSTERSUND</t>
        </is>
      </c>
      <c r="G699" t="n">
        <v>3.8</v>
      </c>
      <c r="H699" t="n">
        <v>0</v>
      </c>
      <c r="I699" t="n">
        <v>0</v>
      </c>
      <c r="J699" t="n">
        <v>0</v>
      </c>
      <c r="K699" t="n">
        <v>0</v>
      </c>
      <c r="L699" t="n">
        <v>0</v>
      </c>
      <c r="M699" t="n">
        <v>0</v>
      </c>
      <c r="N699" t="n">
        <v>0</v>
      </c>
      <c r="O699" t="n">
        <v>0</v>
      </c>
      <c r="P699" t="n">
        <v>0</v>
      </c>
      <c r="Q699" t="n">
        <v>0</v>
      </c>
      <c r="R699" s="2" t="inlineStr"/>
    </row>
    <row r="700" ht="15" customHeight="1">
      <c r="A700" t="inlineStr">
        <is>
          <t>A 60029-2023</t>
        </is>
      </c>
      <c r="B700" s="1" t="n">
        <v>45258</v>
      </c>
      <c r="C700" s="1" t="n">
        <v>45589</v>
      </c>
      <c r="D700" t="inlineStr">
        <is>
          <t>JÄMTLANDS LÄN</t>
        </is>
      </c>
      <c r="E700" t="inlineStr">
        <is>
          <t>ÖSTERSUND</t>
        </is>
      </c>
      <c r="G700" t="n">
        <v>1.8</v>
      </c>
      <c r="H700" t="n">
        <v>0</v>
      </c>
      <c r="I700" t="n">
        <v>0</v>
      </c>
      <c r="J700" t="n">
        <v>0</v>
      </c>
      <c r="K700" t="n">
        <v>0</v>
      </c>
      <c r="L700" t="n">
        <v>0</v>
      </c>
      <c r="M700" t="n">
        <v>0</v>
      </c>
      <c r="N700" t="n">
        <v>0</v>
      </c>
      <c r="O700" t="n">
        <v>0</v>
      </c>
      <c r="P700" t="n">
        <v>0</v>
      </c>
      <c r="Q700" t="n">
        <v>0</v>
      </c>
      <c r="R700" s="2" t="inlineStr"/>
    </row>
    <row r="701" ht="15" customHeight="1">
      <c r="A701" t="inlineStr">
        <is>
          <t>A 60477-2023</t>
        </is>
      </c>
      <c r="B701" s="1" t="n">
        <v>45258</v>
      </c>
      <c r="C701" s="1" t="n">
        <v>45589</v>
      </c>
      <c r="D701" t="inlineStr">
        <is>
          <t>JÄMTLANDS LÄN</t>
        </is>
      </c>
      <c r="E701" t="inlineStr">
        <is>
          <t>ÖSTERSUND</t>
        </is>
      </c>
      <c r="G701" t="n">
        <v>0.8</v>
      </c>
      <c r="H701" t="n">
        <v>0</v>
      </c>
      <c r="I701" t="n">
        <v>0</v>
      </c>
      <c r="J701" t="n">
        <v>0</v>
      </c>
      <c r="K701" t="n">
        <v>0</v>
      </c>
      <c r="L701" t="n">
        <v>0</v>
      </c>
      <c r="M701" t="n">
        <v>0</v>
      </c>
      <c r="N701" t="n">
        <v>0</v>
      </c>
      <c r="O701" t="n">
        <v>0</v>
      </c>
      <c r="P701" t="n">
        <v>0</v>
      </c>
      <c r="Q701" t="n">
        <v>0</v>
      </c>
      <c r="R701" s="2" t="inlineStr"/>
    </row>
    <row r="702" ht="15" customHeight="1">
      <c r="A702" t="inlineStr">
        <is>
          <t>A 60794-2023</t>
        </is>
      </c>
      <c r="B702" s="1" t="n">
        <v>45260</v>
      </c>
      <c r="C702" s="1" t="n">
        <v>45589</v>
      </c>
      <c r="D702" t="inlineStr">
        <is>
          <t>JÄMTLANDS LÄN</t>
        </is>
      </c>
      <c r="E702" t="inlineStr">
        <is>
          <t>ÖSTERSUND</t>
        </is>
      </c>
      <c r="G702" t="n">
        <v>3.6</v>
      </c>
      <c r="H702" t="n">
        <v>0</v>
      </c>
      <c r="I702" t="n">
        <v>0</v>
      </c>
      <c r="J702" t="n">
        <v>0</v>
      </c>
      <c r="K702" t="n">
        <v>0</v>
      </c>
      <c r="L702" t="n">
        <v>0</v>
      </c>
      <c r="M702" t="n">
        <v>0</v>
      </c>
      <c r="N702" t="n">
        <v>0</v>
      </c>
      <c r="O702" t="n">
        <v>0</v>
      </c>
      <c r="P702" t="n">
        <v>0</v>
      </c>
      <c r="Q702" t="n">
        <v>0</v>
      </c>
      <c r="R702" s="2" t="inlineStr"/>
    </row>
    <row r="703" ht="15" customHeight="1">
      <c r="A703" t="inlineStr">
        <is>
          <t>A 60780-2023</t>
        </is>
      </c>
      <c r="B703" s="1" t="n">
        <v>45260</v>
      </c>
      <c r="C703" s="1" t="n">
        <v>45589</v>
      </c>
      <c r="D703" t="inlineStr">
        <is>
          <t>JÄMTLANDS LÄN</t>
        </is>
      </c>
      <c r="E703" t="inlineStr">
        <is>
          <t>ÖSTERSUND</t>
        </is>
      </c>
      <c r="G703" t="n">
        <v>3.7</v>
      </c>
      <c r="H703" t="n">
        <v>0</v>
      </c>
      <c r="I703" t="n">
        <v>0</v>
      </c>
      <c r="J703" t="n">
        <v>0</v>
      </c>
      <c r="K703" t="n">
        <v>0</v>
      </c>
      <c r="L703" t="n">
        <v>0</v>
      </c>
      <c r="M703" t="n">
        <v>0</v>
      </c>
      <c r="N703" t="n">
        <v>0</v>
      </c>
      <c r="O703" t="n">
        <v>0</v>
      </c>
      <c r="P703" t="n">
        <v>0</v>
      </c>
      <c r="Q703" t="n">
        <v>0</v>
      </c>
      <c r="R703" s="2" t="inlineStr"/>
    </row>
    <row r="704" ht="15" customHeight="1">
      <c r="A704" t="inlineStr">
        <is>
          <t>A 61135-2023</t>
        </is>
      </c>
      <c r="B704" s="1" t="n">
        <v>45261</v>
      </c>
      <c r="C704" s="1" t="n">
        <v>45589</v>
      </c>
      <c r="D704" t="inlineStr">
        <is>
          <t>JÄMTLANDS LÄN</t>
        </is>
      </c>
      <c r="E704" t="inlineStr">
        <is>
          <t>ÖSTERSUND</t>
        </is>
      </c>
      <c r="G704" t="n">
        <v>7.3</v>
      </c>
      <c r="H704" t="n">
        <v>0</v>
      </c>
      <c r="I704" t="n">
        <v>0</v>
      </c>
      <c r="J704" t="n">
        <v>0</v>
      </c>
      <c r="K704" t="n">
        <v>0</v>
      </c>
      <c r="L704" t="n">
        <v>0</v>
      </c>
      <c r="M704" t="n">
        <v>0</v>
      </c>
      <c r="N704" t="n">
        <v>0</v>
      </c>
      <c r="O704" t="n">
        <v>0</v>
      </c>
      <c r="P704" t="n">
        <v>0</v>
      </c>
      <c r="Q704" t="n">
        <v>0</v>
      </c>
      <c r="R704" s="2" t="inlineStr"/>
    </row>
    <row r="705" ht="15" customHeight="1">
      <c r="A705" t="inlineStr">
        <is>
          <t>A 61535-2023</t>
        </is>
      </c>
      <c r="B705" s="1" t="n">
        <v>45261</v>
      </c>
      <c r="C705" s="1" t="n">
        <v>45589</v>
      </c>
      <c r="D705" t="inlineStr">
        <is>
          <t>JÄMTLANDS LÄN</t>
        </is>
      </c>
      <c r="E705" t="inlineStr">
        <is>
          <t>ÖSTERSUND</t>
        </is>
      </c>
      <c r="F705" t="inlineStr">
        <is>
          <t>Övriga statliga verk och myndigheter</t>
        </is>
      </c>
      <c r="G705" t="n">
        <v>2.6</v>
      </c>
      <c r="H705" t="n">
        <v>0</v>
      </c>
      <c r="I705" t="n">
        <v>0</v>
      </c>
      <c r="J705" t="n">
        <v>0</v>
      </c>
      <c r="K705" t="n">
        <v>0</v>
      </c>
      <c r="L705" t="n">
        <v>0</v>
      </c>
      <c r="M705" t="n">
        <v>0</v>
      </c>
      <c r="N705" t="n">
        <v>0</v>
      </c>
      <c r="O705" t="n">
        <v>0</v>
      </c>
      <c r="P705" t="n">
        <v>0</v>
      </c>
      <c r="Q705" t="n">
        <v>0</v>
      </c>
      <c r="R705" s="2" t="inlineStr"/>
    </row>
    <row r="706" ht="15" customHeight="1">
      <c r="A706" t="inlineStr">
        <is>
          <t>A 61530-2023</t>
        </is>
      </c>
      <c r="B706" s="1" t="n">
        <v>45261</v>
      </c>
      <c r="C706" s="1" t="n">
        <v>45589</v>
      </c>
      <c r="D706" t="inlineStr">
        <is>
          <t>JÄMTLANDS LÄN</t>
        </is>
      </c>
      <c r="E706" t="inlineStr">
        <is>
          <t>ÖSTERSUND</t>
        </is>
      </c>
      <c r="F706" t="inlineStr">
        <is>
          <t>Övriga statliga verk och myndigheter</t>
        </is>
      </c>
      <c r="G706" t="n">
        <v>1</v>
      </c>
      <c r="H706" t="n">
        <v>0</v>
      </c>
      <c r="I706" t="n">
        <v>0</v>
      </c>
      <c r="J706" t="n">
        <v>0</v>
      </c>
      <c r="K706" t="n">
        <v>0</v>
      </c>
      <c r="L706" t="n">
        <v>0</v>
      </c>
      <c r="M706" t="n">
        <v>0</v>
      </c>
      <c r="N706" t="n">
        <v>0</v>
      </c>
      <c r="O706" t="n">
        <v>0</v>
      </c>
      <c r="P706" t="n">
        <v>0</v>
      </c>
      <c r="Q706" t="n">
        <v>0</v>
      </c>
      <c r="R706" s="2" t="inlineStr"/>
    </row>
    <row r="707" ht="15" customHeight="1">
      <c r="A707" t="inlineStr">
        <is>
          <t>A 61635-2023</t>
        </is>
      </c>
      <c r="B707" s="1" t="n">
        <v>45261</v>
      </c>
      <c r="C707" s="1" t="n">
        <v>45589</v>
      </c>
      <c r="D707" t="inlineStr">
        <is>
          <t>JÄMTLANDS LÄN</t>
        </is>
      </c>
      <c r="E707" t="inlineStr">
        <is>
          <t>ÖSTERSUND</t>
        </is>
      </c>
      <c r="G707" t="n">
        <v>2.2</v>
      </c>
      <c r="H707" t="n">
        <v>0</v>
      </c>
      <c r="I707" t="n">
        <v>0</v>
      </c>
      <c r="J707" t="n">
        <v>0</v>
      </c>
      <c r="K707" t="n">
        <v>0</v>
      </c>
      <c r="L707" t="n">
        <v>0</v>
      </c>
      <c r="M707" t="n">
        <v>0</v>
      </c>
      <c r="N707" t="n">
        <v>0</v>
      </c>
      <c r="O707" t="n">
        <v>0</v>
      </c>
      <c r="P707" t="n">
        <v>0</v>
      </c>
      <c r="Q707" t="n">
        <v>0</v>
      </c>
      <c r="R707" s="2" t="inlineStr"/>
    </row>
    <row r="708" ht="15" customHeight="1">
      <c r="A708" t="inlineStr">
        <is>
          <t>A 61506-2023</t>
        </is>
      </c>
      <c r="B708" s="1" t="n">
        <v>45264</v>
      </c>
      <c r="C708" s="1" t="n">
        <v>45589</v>
      </c>
      <c r="D708" t="inlineStr">
        <is>
          <t>JÄMTLANDS LÄN</t>
        </is>
      </c>
      <c r="E708" t="inlineStr">
        <is>
          <t>ÖSTERSUND</t>
        </is>
      </c>
      <c r="G708" t="n">
        <v>3</v>
      </c>
      <c r="H708" t="n">
        <v>0</v>
      </c>
      <c r="I708" t="n">
        <v>0</v>
      </c>
      <c r="J708" t="n">
        <v>0</v>
      </c>
      <c r="K708" t="n">
        <v>0</v>
      </c>
      <c r="L708" t="n">
        <v>0</v>
      </c>
      <c r="M708" t="n">
        <v>0</v>
      </c>
      <c r="N708" t="n">
        <v>0</v>
      </c>
      <c r="O708" t="n">
        <v>0</v>
      </c>
      <c r="P708" t="n">
        <v>0</v>
      </c>
      <c r="Q708" t="n">
        <v>0</v>
      </c>
      <c r="R708" s="2" t="inlineStr"/>
    </row>
    <row r="709" ht="15" customHeight="1">
      <c r="A709" t="inlineStr">
        <is>
          <t>A 61499-2023</t>
        </is>
      </c>
      <c r="B709" s="1" t="n">
        <v>45264</v>
      </c>
      <c r="C709" s="1" t="n">
        <v>45589</v>
      </c>
      <c r="D709" t="inlineStr">
        <is>
          <t>JÄMTLANDS LÄN</t>
        </is>
      </c>
      <c r="E709" t="inlineStr">
        <is>
          <t>ÖSTERSUND</t>
        </is>
      </c>
      <c r="F709" t="inlineStr">
        <is>
          <t>SCA</t>
        </is>
      </c>
      <c r="G709" t="n">
        <v>7</v>
      </c>
      <c r="H709" t="n">
        <v>0</v>
      </c>
      <c r="I709" t="n">
        <v>0</v>
      </c>
      <c r="J709" t="n">
        <v>0</v>
      </c>
      <c r="K709" t="n">
        <v>0</v>
      </c>
      <c r="L709" t="n">
        <v>0</v>
      </c>
      <c r="M709" t="n">
        <v>0</v>
      </c>
      <c r="N709" t="n">
        <v>0</v>
      </c>
      <c r="O709" t="n">
        <v>0</v>
      </c>
      <c r="P709" t="n">
        <v>0</v>
      </c>
      <c r="Q709" t="n">
        <v>0</v>
      </c>
      <c r="R709" s="2" t="inlineStr"/>
    </row>
    <row r="710" ht="15" customHeight="1">
      <c r="A710" t="inlineStr">
        <is>
          <t>A 62052-2023</t>
        </is>
      </c>
      <c r="B710" s="1" t="n">
        <v>45265</v>
      </c>
      <c r="C710" s="1" t="n">
        <v>45589</v>
      </c>
      <c r="D710" t="inlineStr">
        <is>
          <t>JÄMTLANDS LÄN</t>
        </is>
      </c>
      <c r="E710" t="inlineStr">
        <is>
          <t>ÖSTERSUND</t>
        </is>
      </c>
      <c r="G710" t="n">
        <v>3.3</v>
      </c>
      <c r="H710" t="n">
        <v>0</v>
      </c>
      <c r="I710" t="n">
        <v>0</v>
      </c>
      <c r="J710" t="n">
        <v>0</v>
      </c>
      <c r="K710" t="n">
        <v>0</v>
      </c>
      <c r="L710" t="n">
        <v>0</v>
      </c>
      <c r="M710" t="n">
        <v>0</v>
      </c>
      <c r="N710" t="n">
        <v>0</v>
      </c>
      <c r="O710" t="n">
        <v>0</v>
      </c>
      <c r="P710" t="n">
        <v>0</v>
      </c>
      <c r="Q710" t="n">
        <v>0</v>
      </c>
      <c r="R710" s="2" t="inlineStr"/>
    </row>
    <row r="711" ht="15" customHeight="1">
      <c r="A711" t="inlineStr">
        <is>
          <t>A 61791-2023</t>
        </is>
      </c>
      <c r="B711" s="1" t="n">
        <v>45265</v>
      </c>
      <c r="C711" s="1" t="n">
        <v>45589</v>
      </c>
      <c r="D711" t="inlineStr">
        <is>
          <t>JÄMTLANDS LÄN</t>
        </is>
      </c>
      <c r="E711" t="inlineStr">
        <is>
          <t>ÖSTERSUND</t>
        </is>
      </c>
      <c r="F711" t="inlineStr">
        <is>
          <t>SCA</t>
        </is>
      </c>
      <c r="G711" t="n">
        <v>11.4</v>
      </c>
      <c r="H711" t="n">
        <v>0</v>
      </c>
      <c r="I711" t="n">
        <v>0</v>
      </c>
      <c r="J711" t="n">
        <v>0</v>
      </c>
      <c r="K711" t="n">
        <v>0</v>
      </c>
      <c r="L711" t="n">
        <v>0</v>
      </c>
      <c r="M711" t="n">
        <v>0</v>
      </c>
      <c r="N711" t="n">
        <v>0</v>
      </c>
      <c r="O711" t="n">
        <v>0</v>
      </c>
      <c r="P711" t="n">
        <v>0</v>
      </c>
      <c r="Q711" t="n">
        <v>0</v>
      </c>
      <c r="R711" s="2" t="inlineStr"/>
    </row>
    <row r="712" ht="15" customHeight="1">
      <c r="A712" t="inlineStr">
        <is>
          <t>A 62835-2023</t>
        </is>
      </c>
      <c r="B712" s="1" t="n">
        <v>45271</v>
      </c>
      <c r="C712" s="1" t="n">
        <v>45589</v>
      </c>
      <c r="D712" t="inlineStr">
        <is>
          <t>JÄMTLANDS LÄN</t>
        </is>
      </c>
      <c r="E712" t="inlineStr">
        <is>
          <t>ÖSTERSUND</t>
        </is>
      </c>
      <c r="F712" t="inlineStr">
        <is>
          <t>SCA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62834-2023</t>
        </is>
      </c>
      <c r="B713" s="1" t="n">
        <v>45271</v>
      </c>
      <c r="C713" s="1" t="n">
        <v>45589</v>
      </c>
      <c r="D713" t="inlineStr">
        <is>
          <t>JÄMTLANDS LÄN</t>
        </is>
      </c>
      <c r="E713" t="inlineStr">
        <is>
          <t>ÖSTERSUND</t>
        </is>
      </c>
      <c r="F713" t="inlineStr">
        <is>
          <t>SCA</t>
        </is>
      </c>
      <c r="G713" t="n">
        <v>12.2</v>
      </c>
      <c r="H713" t="n">
        <v>0</v>
      </c>
      <c r="I713" t="n">
        <v>0</v>
      </c>
      <c r="J713" t="n">
        <v>0</v>
      </c>
      <c r="K713" t="n">
        <v>0</v>
      </c>
      <c r="L713" t="n">
        <v>0</v>
      </c>
      <c r="M713" t="n">
        <v>0</v>
      </c>
      <c r="N713" t="n">
        <v>0</v>
      </c>
      <c r="O713" t="n">
        <v>0</v>
      </c>
      <c r="P713" t="n">
        <v>0</v>
      </c>
      <c r="Q713" t="n">
        <v>0</v>
      </c>
      <c r="R713" s="2" t="inlineStr"/>
    </row>
    <row r="714" ht="15" customHeight="1">
      <c r="A714" t="inlineStr">
        <is>
          <t>A 63086-2023</t>
        </is>
      </c>
      <c r="B714" s="1" t="n">
        <v>45272</v>
      </c>
      <c r="C714" s="1" t="n">
        <v>45589</v>
      </c>
      <c r="D714" t="inlineStr">
        <is>
          <t>JÄMTLANDS LÄN</t>
        </is>
      </c>
      <c r="E714" t="inlineStr">
        <is>
          <t>ÖSTERSUND</t>
        </is>
      </c>
      <c r="F714" t="inlineStr">
        <is>
          <t>Övriga statliga verk och myndigheter</t>
        </is>
      </c>
      <c r="G714" t="n">
        <v>2.9</v>
      </c>
      <c r="H714" t="n">
        <v>0</v>
      </c>
      <c r="I714" t="n">
        <v>0</v>
      </c>
      <c r="J714" t="n">
        <v>0</v>
      </c>
      <c r="K714" t="n">
        <v>0</v>
      </c>
      <c r="L714" t="n">
        <v>0</v>
      </c>
      <c r="M714" t="n">
        <v>0</v>
      </c>
      <c r="N714" t="n">
        <v>0</v>
      </c>
      <c r="O714" t="n">
        <v>0</v>
      </c>
      <c r="P714" t="n">
        <v>0</v>
      </c>
      <c r="Q714" t="n">
        <v>0</v>
      </c>
      <c r="R714" s="2" t="inlineStr"/>
    </row>
    <row r="715" ht="15" customHeight="1">
      <c r="A715" t="inlineStr">
        <is>
          <t>A 63101-2023</t>
        </is>
      </c>
      <c r="B715" s="1" t="n">
        <v>45273</v>
      </c>
      <c r="C715" s="1" t="n">
        <v>45589</v>
      </c>
      <c r="D715" t="inlineStr">
        <is>
          <t>JÄMTLANDS LÄN</t>
        </is>
      </c>
      <c r="E715" t="inlineStr">
        <is>
          <t>ÖSTERSUND</t>
        </is>
      </c>
      <c r="G715" t="n">
        <v>2.1</v>
      </c>
      <c r="H715" t="n">
        <v>0</v>
      </c>
      <c r="I715" t="n">
        <v>0</v>
      </c>
      <c r="J715" t="n">
        <v>0</v>
      </c>
      <c r="K715" t="n">
        <v>0</v>
      </c>
      <c r="L715" t="n">
        <v>0</v>
      </c>
      <c r="M715" t="n">
        <v>0</v>
      </c>
      <c r="N715" t="n">
        <v>0</v>
      </c>
      <c r="O715" t="n">
        <v>0</v>
      </c>
      <c r="P715" t="n">
        <v>0</v>
      </c>
      <c r="Q715" t="n">
        <v>0</v>
      </c>
      <c r="R715" s="2" t="inlineStr"/>
    </row>
    <row r="716" ht="15" customHeight="1">
      <c r="A716" t="inlineStr">
        <is>
          <t>A 63099-2023</t>
        </is>
      </c>
      <c r="B716" s="1" t="n">
        <v>45273</v>
      </c>
      <c r="C716" s="1" t="n">
        <v>45589</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63320-2023</t>
        </is>
      </c>
      <c r="B717" s="1" t="n">
        <v>45273</v>
      </c>
      <c r="C717" s="1" t="n">
        <v>45589</v>
      </c>
      <c r="D717" t="inlineStr">
        <is>
          <t>JÄMTLANDS LÄN</t>
        </is>
      </c>
      <c r="E717" t="inlineStr">
        <is>
          <t>ÖSTERSUND</t>
        </is>
      </c>
      <c r="G717" t="n">
        <v>11.3</v>
      </c>
      <c r="H717" t="n">
        <v>0</v>
      </c>
      <c r="I717" t="n">
        <v>0</v>
      </c>
      <c r="J717" t="n">
        <v>0</v>
      </c>
      <c r="K717" t="n">
        <v>0</v>
      </c>
      <c r="L717" t="n">
        <v>0</v>
      </c>
      <c r="M717" t="n">
        <v>0</v>
      </c>
      <c r="N717" t="n">
        <v>0</v>
      </c>
      <c r="O717" t="n">
        <v>0</v>
      </c>
      <c r="P717" t="n">
        <v>0</v>
      </c>
      <c r="Q717" t="n">
        <v>0</v>
      </c>
      <c r="R717" s="2" t="inlineStr"/>
    </row>
    <row r="718" ht="15" customHeight="1">
      <c r="A718" t="inlineStr">
        <is>
          <t>A 63739-2023</t>
        </is>
      </c>
      <c r="B718" s="1" t="n">
        <v>45277</v>
      </c>
      <c r="C718" s="1" t="n">
        <v>45589</v>
      </c>
      <c r="D718" t="inlineStr">
        <is>
          <t>JÄMTLANDS LÄN</t>
        </is>
      </c>
      <c r="E718" t="inlineStr">
        <is>
          <t>ÖSTERSUND</t>
        </is>
      </c>
      <c r="G718" t="n">
        <v>5.1</v>
      </c>
      <c r="H718" t="n">
        <v>0</v>
      </c>
      <c r="I718" t="n">
        <v>0</v>
      </c>
      <c r="J718" t="n">
        <v>0</v>
      </c>
      <c r="K718" t="n">
        <v>0</v>
      </c>
      <c r="L718" t="n">
        <v>0</v>
      </c>
      <c r="M718" t="n">
        <v>0</v>
      </c>
      <c r="N718" t="n">
        <v>0</v>
      </c>
      <c r="O718" t="n">
        <v>0</v>
      </c>
      <c r="P718" t="n">
        <v>0</v>
      </c>
      <c r="Q718" t="n">
        <v>0</v>
      </c>
      <c r="R718" s="2" t="inlineStr"/>
    </row>
    <row r="719" ht="15" customHeight="1">
      <c r="A719" t="inlineStr">
        <is>
          <t>A 63740-2023</t>
        </is>
      </c>
      <c r="B719" s="1" t="n">
        <v>45277</v>
      </c>
      <c r="C719" s="1" t="n">
        <v>45589</v>
      </c>
      <c r="D719" t="inlineStr">
        <is>
          <t>JÄMTLANDS LÄN</t>
        </is>
      </c>
      <c r="E719" t="inlineStr">
        <is>
          <t>ÖSTERSUND</t>
        </is>
      </c>
      <c r="G719" t="n">
        <v>3.9</v>
      </c>
      <c r="H719" t="n">
        <v>0</v>
      </c>
      <c r="I719" t="n">
        <v>0</v>
      </c>
      <c r="J719" t="n">
        <v>0</v>
      </c>
      <c r="K719" t="n">
        <v>0</v>
      </c>
      <c r="L719" t="n">
        <v>0</v>
      </c>
      <c r="M719" t="n">
        <v>0</v>
      </c>
      <c r="N719" t="n">
        <v>0</v>
      </c>
      <c r="O719" t="n">
        <v>0</v>
      </c>
      <c r="P719" t="n">
        <v>0</v>
      </c>
      <c r="Q719" t="n">
        <v>0</v>
      </c>
      <c r="R719" s="2" t="inlineStr"/>
    </row>
    <row r="720" ht="15" customHeight="1">
      <c r="A720" t="inlineStr">
        <is>
          <t>A 64233-2023</t>
        </is>
      </c>
      <c r="B720" s="1" t="n">
        <v>45279</v>
      </c>
      <c r="C720" s="1" t="n">
        <v>45589</v>
      </c>
      <c r="D720" t="inlineStr">
        <is>
          <t>JÄMTLANDS LÄN</t>
        </is>
      </c>
      <c r="E720" t="inlineStr">
        <is>
          <t>ÖSTERSUND</t>
        </is>
      </c>
      <c r="G720" t="n">
        <v>3.3</v>
      </c>
      <c r="H720" t="n">
        <v>0</v>
      </c>
      <c r="I720" t="n">
        <v>0</v>
      </c>
      <c r="J720" t="n">
        <v>0</v>
      </c>
      <c r="K720" t="n">
        <v>0</v>
      </c>
      <c r="L720" t="n">
        <v>0</v>
      </c>
      <c r="M720" t="n">
        <v>0</v>
      </c>
      <c r="N720" t="n">
        <v>0</v>
      </c>
      <c r="O720" t="n">
        <v>0</v>
      </c>
      <c r="P720" t="n">
        <v>0</v>
      </c>
      <c r="Q720" t="n">
        <v>0</v>
      </c>
      <c r="R720" s="2" t="inlineStr"/>
    </row>
    <row r="721" ht="15" customHeight="1">
      <c r="A721" t="inlineStr">
        <is>
          <t>A 64267-2023</t>
        </is>
      </c>
      <c r="B721" s="1" t="n">
        <v>45279</v>
      </c>
      <c r="C721" s="1" t="n">
        <v>45589</v>
      </c>
      <c r="D721" t="inlineStr">
        <is>
          <t>JÄMTLANDS LÄN</t>
        </is>
      </c>
      <c r="E721" t="inlineStr">
        <is>
          <t>ÖSTERSUND</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64314-2023</t>
        </is>
      </c>
      <c r="B722" s="1" t="n">
        <v>45280</v>
      </c>
      <c r="C722" s="1" t="n">
        <v>45589</v>
      </c>
      <c r="D722" t="inlineStr">
        <is>
          <t>JÄMTLANDS LÄN</t>
        </is>
      </c>
      <c r="E722" t="inlineStr">
        <is>
          <t>ÖSTERSUND</t>
        </is>
      </c>
      <c r="G722" t="n">
        <v>0.6</v>
      </c>
      <c r="H722" t="n">
        <v>0</v>
      </c>
      <c r="I722" t="n">
        <v>0</v>
      </c>
      <c r="J722" t="n">
        <v>0</v>
      </c>
      <c r="K722" t="n">
        <v>0</v>
      </c>
      <c r="L722" t="n">
        <v>0</v>
      </c>
      <c r="M722" t="n">
        <v>0</v>
      </c>
      <c r="N722" t="n">
        <v>0</v>
      </c>
      <c r="O722" t="n">
        <v>0</v>
      </c>
      <c r="P722" t="n">
        <v>0</v>
      </c>
      <c r="Q722" t="n">
        <v>0</v>
      </c>
      <c r="R722" s="2" t="inlineStr"/>
    </row>
    <row r="723" ht="15" customHeight="1">
      <c r="A723" t="inlineStr">
        <is>
          <t>A 64309-2023</t>
        </is>
      </c>
      <c r="B723" s="1" t="n">
        <v>45280</v>
      </c>
      <c r="C723" s="1" t="n">
        <v>45589</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64811-2023</t>
        </is>
      </c>
      <c r="B724" s="1" t="n">
        <v>45281</v>
      </c>
      <c r="C724" s="1" t="n">
        <v>45589</v>
      </c>
      <c r="D724" t="inlineStr">
        <is>
          <t>JÄMTLANDS LÄN</t>
        </is>
      </c>
      <c r="E724" t="inlineStr">
        <is>
          <t>ÖSTERSUND</t>
        </is>
      </c>
      <c r="G724" t="n">
        <v>7.6</v>
      </c>
      <c r="H724" t="n">
        <v>0</v>
      </c>
      <c r="I724" t="n">
        <v>0</v>
      </c>
      <c r="J724" t="n">
        <v>0</v>
      </c>
      <c r="K724" t="n">
        <v>0</v>
      </c>
      <c r="L724" t="n">
        <v>0</v>
      </c>
      <c r="M724" t="n">
        <v>0</v>
      </c>
      <c r="N724" t="n">
        <v>0</v>
      </c>
      <c r="O724" t="n">
        <v>0</v>
      </c>
      <c r="P724" t="n">
        <v>0</v>
      </c>
      <c r="Q724" t="n">
        <v>0</v>
      </c>
      <c r="R724" s="2" t="inlineStr"/>
    </row>
    <row r="725" ht="15" customHeight="1">
      <c r="A725" t="inlineStr">
        <is>
          <t>A 64954-2023</t>
        </is>
      </c>
      <c r="B725" s="1" t="n">
        <v>45282</v>
      </c>
      <c r="C725" s="1" t="n">
        <v>45589</v>
      </c>
      <c r="D725" t="inlineStr">
        <is>
          <t>JÄMTLANDS LÄN</t>
        </is>
      </c>
      <c r="E725" t="inlineStr">
        <is>
          <t>ÖSTERSUND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64953-2023</t>
        </is>
      </c>
      <c r="B726" s="1" t="n">
        <v>45282</v>
      </c>
      <c r="C726" s="1" t="n">
        <v>45589</v>
      </c>
      <c r="D726" t="inlineStr">
        <is>
          <t>JÄMTLANDS LÄN</t>
        </is>
      </c>
      <c r="E726" t="inlineStr">
        <is>
          <t>ÖSTERSUND</t>
        </is>
      </c>
      <c r="G726" t="n">
        <v>0.6</v>
      </c>
      <c r="H726" t="n">
        <v>0</v>
      </c>
      <c r="I726" t="n">
        <v>0</v>
      </c>
      <c r="J726" t="n">
        <v>0</v>
      </c>
      <c r="K726" t="n">
        <v>0</v>
      </c>
      <c r="L726" t="n">
        <v>0</v>
      </c>
      <c r="M726" t="n">
        <v>0</v>
      </c>
      <c r="N726" t="n">
        <v>0</v>
      </c>
      <c r="O726" t="n">
        <v>0</v>
      </c>
      <c r="P726" t="n">
        <v>0</v>
      </c>
      <c r="Q726" t="n">
        <v>0</v>
      </c>
      <c r="R726" s="2" t="inlineStr"/>
    </row>
    <row r="727" ht="15" customHeight="1">
      <c r="A727" t="inlineStr">
        <is>
          <t>A 440-2024</t>
        </is>
      </c>
      <c r="B727" s="1" t="n">
        <v>45296</v>
      </c>
      <c r="C727" s="1" t="n">
        <v>45589</v>
      </c>
      <c r="D727" t="inlineStr">
        <is>
          <t>JÄMTLANDS LÄN</t>
        </is>
      </c>
      <c r="E727" t="inlineStr">
        <is>
          <t>ÖSTERSUND</t>
        </is>
      </c>
      <c r="F727" t="inlineStr">
        <is>
          <t>Kommuner</t>
        </is>
      </c>
      <c r="G727" t="n">
        <v>10.1</v>
      </c>
      <c r="H727" t="n">
        <v>0</v>
      </c>
      <c r="I727" t="n">
        <v>0</v>
      </c>
      <c r="J727" t="n">
        <v>0</v>
      </c>
      <c r="K727" t="n">
        <v>0</v>
      </c>
      <c r="L727" t="n">
        <v>0</v>
      </c>
      <c r="M727" t="n">
        <v>0</v>
      </c>
      <c r="N727" t="n">
        <v>0</v>
      </c>
      <c r="O727" t="n">
        <v>0</v>
      </c>
      <c r="P727" t="n">
        <v>0</v>
      </c>
      <c r="Q727" t="n">
        <v>0</v>
      </c>
      <c r="R727" s="2" t="inlineStr"/>
    </row>
    <row r="728" ht="15" customHeight="1">
      <c r="A728" t="inlineStr">
        <is>
          <t>A 484-2024</t>
        </is>
      </c>
      <c r="B728" s="1" t="n">
        <v>45298</v>
      </c>
      <c r="C728" s="1" t="n">
        <v>45589</v>
      </c>
      <c r="D728" t="inlineStr">
        <is>
          <t>JÄMTLANDS LÄN</t>
        </is>
      </c>
      <c r="E728" t="inlineStr">
        <is>
          <t>ÖSTERSUND</t>
        </is>
      </c>
      <c r="G728" t="n">
        <v>0.9</v>
      </c>
      <c r="H728" t="n">
        <v>0</v>
      </c>
      <c r="I728" t="n">
        <v>0</v>
      </c>
      <c r="J728" t="n">
        <v>0</v>
      </c>
      <c r="K728" t="n">
        <v>0</v>
      </c>
      <c r="L728" t="n">
        <v>0</v>
      </c>
      <c r="M728" t="n">
        <v>0</v>
      </c>
      <c r="N728" t="n">
        <v>0</v>
      </c>
      <c r="O728" t="n">
        <v>0</v>
      </c>
      <c r="P728" t="n">
        <v>0</v>
      </c>
      <c r="Q728" t="n">
        <v>0</v>
      </c>
      <c r="R728" s="2" t="inlineStr"/>
    </row>
    <row r="729" ht="15" customHeight="1">
      <c r="A729" t="inlineStr">
        <is>
          <t>A 485-2024</t>
        </is>
      </c>
      <c r="B729" s="1" t="n">
        <v>45298</v>
      </c>
      <c r="C729" s="1" t="n">
        <v>45589</v>
      </c>
      <c r="D729" t="inlineStr">
        <is>
          <t>JÄMTLANDS LÄN</t>
        </is>
      </c>
      <c r="E729" t="inlineStr">
        <is>
          <t>ÖSTERSUND</t>
        </is>
      </c>
      <c r="G729" t="n">
        <v>0.6</v>
      </c>
      <c r="H729" t="n">
        <v>0</v>
      </c>
      <c r="I729" t="n">
        <v>0</v>
      </c>
      <c r="J729" t="n">
        <v>0</v>
      </c>
      <c r="K729" t="n">
        <v>0</v>
      </c>
      <c r="L729" t="n">
        <v>0</v>
      </c>
      <c r="M729" t="n">
        <v>0</v>
      </c>
      <c r="N729" t="n">
        <v>0</v>
      </c>
      <c r="O729" t="n">
        <v>0</v>
      </c>
      <c r="P729" t="n">
        <v>0</v>
      </c>
      <c r="Q729" t="n">
        <v>0</v>
      </c>
      <c r="R729" s="2" t="inlineStr"/>
    </row>
    <row r="730" ht="15" customHeight="1">
      <c r="A730" t="inlineStr">
        <is>
          <t>A 846-2024</t>
        </is>
      </c>
      <c r="B730" s="1" t="n">
        <v>45300</v>
      </c>
      <c r="C730" s="1" t="n">
        <v>45589</v>
      </c>
      <c r="D730" t="inlineStr">
        <is>
          <t>JÄMTLANDS LÄN</t>
        </is>
      </c>
      <c r="E730" t="inlineStr">
        <is>
          <t>ÖSTERSUND</t>
        </is>
      </c>
      <c r="G730" t="n">
        <v>2.8</v>
      </c>
      <c r="H730" t="n">
        <v>0</v>
      </c>
      <c r="I730" t="n">
        <v>0</v>
      </c>
      <c r="J730" t="n">
        <v>0</v>
      </c>
      <c r="K730" t="n">
        <v>0</v>
      </c>
      <c r="L730" t="n">
        <v>0</v>
      </c>
      <c r="M730" t="n">
        <v>0</v>
      </c>
      <c r="N730" t="n">
        <v>0</v>
      </c>
      <c r="O730" t="n">
        <v>0</v>
      </c>
      <c r="P730" t="n">
        <v>0</v>
      </c>
      <c r="Q730" t="n">
        <v>0</v>
      </c>
      <c r="R730" s="2" t="inlineStr"/>
    </row>
    <row r="731" ht="15" customHeight="1">
      <c r="A731" t="inlineStr">
        <is>
          <t>A 748-2024</t>
        </is>
      </c>
      <c r="B731" s="1" t="n">
        <v>45300</v>
      </c>
      <c r="C731" s="1" t="n">
        <v>45589</v>
      </c>
      <c r="D731" t="inlineStr">
        <is>
          <t>JÄMTLANDS LÄN</t>
        </is>
      </c>
      <c r="E731" t="inlineStr">
        <is>
          <t>ÖSTERSUND</t>
        </is>
      </c>
      <c r="G731" t="n">
        <v>3.3</v>
      </c>
      <c r="H731" t="n">
        <v>0</v>
      </c>
      <c r="I731" t="n">
        <v>0</v>
      </c>
      <c r="J731" t="n">
        <v>0</v>
      </c>
      <c r="K731" t="n">
        <v>0</v>
      </c>
      <c r="L731" t="n">
        <v>0</v>
      </c>
      <c r="M731" t="n">
        <v>0</v>
      </c>
      <c r="N731" t="n">
        <v>0</v>
      </c>
      <c r="O731" t="n">
        <v>0</v>
      </c>
      <c r="P731" t="n">
        <v>0</v>
      </c>
      <c r="Q731" t="n">
        <v>0</v>
      </c>
      <c r="R731" s="2" t="inlineStr"/>
    </row>
    <row r="732" ht="15" customHeight="1">
      <c r="A732" t="inlineStr">
        <is>
          <t>A 1159-2024</t>
        </is>
      </c>
      <c r="B732" s="1" t="n">
        <v>45302</v>
      </c>
      <c r="C732" s="1" t="n">
        <v>45589</v>
      </c>
      <c r="D732" t="inlineStr">
        <is>
          <t>JÄMTLANDS LÄN</t>
        </is>
      </c>
      <c r="E732" t="inlineStr">
        <is>
          <t>ÖSTERSUND</t>
        </is>
      </c>
      <c r="G732" t="n">
        <v>0.7</v>
      </c>
      <c r="H732" t="n">
        <v>0</v>
      </c>
      <c r="I732" t="n">
        <v>0</v>
      </c>
      <c r="J732" t="n">
        <v>0</v>
      </c>
      <c r="K732" t="n">
        <v>0</v>
      </c>
      <c r="L732" t="n">
        <v>0</v>
      </c>
      <c r="M732" t="n">
        <v>0</v>
      </c>
      <c r="N732" t="n">
        <v>0</v>
      </c>
      <c r="O732" t="n">
        <v>0</v>
      </c>
      <c r="P732" t="n">
        <v>0</v>
      </c>
      <c r="Q732" t="n">
        <v>0</v>
      </c>
      <c r="R732" s="2" t="inlineStr"/>
    </row>
    <row r="733" ht="15" customHeight="1">
      <c r="A733" t="inlineStr">
        <is>
          <t>A 1669-2024</t>
        </is>
      </c>
      <c r="B733" s="1" t="n">
        <v>45306</v>
      </c>
      <c r="C733" s="1" t="n">
        <v>45589</v>
      </c>
      <c r="D733" t="inlineStr">
        <is>
          <t>JÄMTLANDS LÄN</t>
        </is>
      </c>
      <c r="E733" t="inlineStr">
        <is>
          <t>ÖSTERSUND</t>
        </is>
      </c>
      <c r="G733" t="n">
        <v>1.6</v>
      </c>
      <c r="H733" t="n">
        <v>0</v>
      </c>
      <c r="I733" t="n">
        <v>0</v>
      </c>
      <c r="J733" t="n">
        <v>0</v>
      </c>
      <c r="K733" t="n">
        <v>0</v>
      </c>
      <c r="L733" t="n">
        <v>0</v>
      </c>
      <c r="M733" t="n">
        <v>0</v>
      </c>
      <c r="N733" t="n">
        <v>0</v>
      </c>
      <c r="O733" t="n">
        <v>0</v>
      </c>
      <c r="P733" t="n">
        <v>0</v>
      </c>
      <c r="Q733" t="n">
        <v>0</v>
      </c>
      <c r="R733" s="2" t="inlineStr"/>
    </row>
    <row r="734" ht="15" customHeight="1">
      <c r="A734" t="inlineStr">
        <is>
          <t>A 1670-2024</t>
        </is>
      </c>
      <c r="B734" s="1" t="n">
        <v>45306</v>
      </c>
      <c r="C734" s="1" t="n">
        <v>45589</v>
      </c>
      <c r="D734" t="inlineStr">
        <is>
          <t>JÄMTLANDS LÄN</t>
        </is>
      </c>
      <c r="E734" t="inlineStr">
        <is>
          <t>ÖSTERSUND</t>
        </is>
      </c>
      <c r="G734" t="n">
        <v>1.2</v>
      </c>
      <c r="H734" t="n">
        <v>0</v>
      </c>
      <c r="I734" t="n">
        <v>0</v>
      </c>
      <c r="J734" t="n">
        <v>0</v>
      </c>
      <c r="K734" t="n">
        <v>0</v>
      </c>
      <c r="L734" t="n">
        <v>0</v>
      </c>
      <c r="M734" t="n">
        <v>0</v>
      </c>
      <c r="N734" t="n">
        <v>0</v>
      </c>
      <c r="O734" t="n">
        <v>0</v>
      </c>
      <c r="P734" t="n">
        <v>0</v>
      </c>
      <c r="Q734" t="n">
        <v>0</v>
      </c>
      <c r="R734" s="2" t="inlineStr"/>
    </row>
    <row r="735" ht="15" customHeight="1">
      <c r="A735" t="inlineStr">
        <is>
          <t>A 1873-2024</t>
        </is>
      </c>
      <c r="B735" s="1" t="n">
        <v>45307</v>
      </c>
      <c r="C735" s="1" t="n">
        <v>45589</v>
      </c>
      <c r="D735" t="inlineStr">
        <is>
          <t>JÄMTLANDS LÄN</t>
        </is>
      </c>
      <c r="E735" t="inlineStr">
        <is>
          <t>ÖSTERSUND</t>
        </is>
      </c>
      <c r="G735" t="n">
        <v>4.3</v>
      </c>
      <c r="H735" t="n">
        <v>0</v>
      </c>
      <c r="I735" t="n">
        <v>0</v>
      </c>
      <c r="J735" t="n">
        <v>0</v>
      </c>
      <c r="K735" t="n">
        <v>0</v>
      </c>
      <c r="L735" t="n">
        <v>0</v>
      </c>
      <c r="M735" t="n">
        <v>0</v>
      </c>
      <c r="N735" t="n">
        <v>0</v>
      </c>
      <c r="O735" t="n">
        <v>0</v>
      </c>
      <c r="P735" t="n">
        <v>0</v>
      </c>
      <c r="Q735" t="n">
        <v>0</v>
      </c>
      <c r="R735" s="2" t="inlineStr"/>
    </row>
    <row r="736" ht="15" customHeight="1">
      <c r="A736" t="inlineStr">
        <is>
          <t>A 2228-2024</t>
        </is>
      </c>
      <c r="B736" s="1" t="n">
        <v>45309</v>
      </c>
      <c r="C736" s="1" t="n">
        <v>45589</v>
      </c>
      <c r="D736" t="inlineStr">
        <is>
          <t>JÄMTLANDS LÄN</t>
        </is>
      </c>
      <c r="E736" t="inlineStr">
        <is>
          <t>ÖSTERSUND</t>
        </is>
      </c>
      <c r="G736" t="n">
        <v>2.5</v>
      </c>
      <c r="H736" t="n">
        <v>0</v>
      </c>
      <c r="I736" t="n">
        <v>0</v>
      </c>
      <c r="J736" t="n">
        <v>0</v>
      </c>
      <c r="K736" t="n">
        <v>0</v>
      </c>
      <c r="L736" t="n">
        <v>0</v>
      </c>
      <c r="M736" t="n">
        <v>0</v>
      </c>
      <c r="N736" t="n">
        <v>0</v>
      </c>
      <c r="O736" t="n">
        <v>0</v>
      </c>
      <c r="P736" t="n">
        <v>0</v>
      </c>
      <c r="Q736" t="n">
        <v>0</v>
      </c>
      <c r="R736" s="2" t="inlineStr"/>
    </row>
    <row r="737" ht="15" customHeight="1">
      <c r="A737" t="inlineStr">
        <is>
          <t>A 2615-2024</t>
        </is>
      </c>
      <c r="B737" s="1" t="n">
        <v>45313</v>
      </c>
      <c r="C737" s="1" t="n">
        <v>45589</v>
      </c>
      <c r="D737" t="inlineStr">
        <is>
          <t>JÄMTLANDS LÄN</t>
        </is>
      </c>
      <c r="E737" t="inlineStr">
        <is>
          <t>ÖSTERSUND</t>
        </is>
      </c>
      <c r="G737" t="n">
        <v>1.5</v>
      </c>
      <c r="H737" t="n">
        <v>0</v>
      </c>
      <c r="I737" t="n">
        <v>0</v>
      </c>
      <c r="J737" t="n">
        <v>0</v>
      </c>
      <c r="K737" t="n">
        <v>0</v>
      </c>
      <c r="L737" t="n">
        <v>0</v>
      </c>
      <c r="M737" t="n">
        <v>0</v>
      </c>
      <c r="N737" t="n">
        <v>0</v>
      </c>
      <c r="O737" t="n">
        <v>0</v>
      </c>
      <c r="P737" t="n">
        <v>0</v>
      </c>
      <c r="Q737" t="n">
        <v>0</v>
      </c>
      <c r="R737" s="2" t="inlineStr"/>
    </row>
    <row r="738" ht="15" customHeight="1">
      <c r="A738" t="inlineStr">
        <is>
          <t>A 2627-2024</t>
        </is>
      </c>
      <c r="B738" s="1" t="n">
        <v>45313</v>
      </c>
      <c r="C738" s="1" t="n">
        <v>45589</v>
      </c>
      <c r="D738" t="inlineStr">
        <is>
          <t>JÄMTLANDS LÄN</t>
        </is>
      </c>
      <c r="E738" t="inlineStr">
        <is>
          <t>ÖSTERSUND</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2756-2024</t>
        </is>
      </c>
      <c r="B739" s="1" t="n">
        <v>45314</v>
      </c>
      <c r="C739" s="1" t="n">
        <v>45589</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2984-2024</t>
        </is>
      </c>
      <c r="B740" s="1" t="n">
        <v>45315</v>
      </c>
      <c r="C740" s="1" t="n">
        <v>45589</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2978-2024</t>
        </is>
      </c>
      <c r="B741" s="1" t="n">
        <v>45315</v>
      </c>
      <c r="C741" s="1" t="n">
        <v>45589</v>
      </c>
      <c r="D741" t="inlineStr">
        <is>
          <t>JÄMTLANDS LÄN</t>
        </is>
      </c>
      <c r="E741" t="inlineStr">
        <is>
          <t>ÖSTERSUND</t>
        </is>
      </c>
      <c r="G741" t="n">
        <v>1.7</v>
      </c>
      <c r="H741" t="n">
        <v>0</v>
      </c>
      <c r="I741" t="n">
        <v>0</v>
      </c>
      <c r="J741" t="n">
        <v>0</v>
      </c>
      <c r="K741" t="n">
        <v>0</v>
      </c>
      <c r="L741" t="n">
        <v>0</v>
      </c>
      <c r="M741" t="n">
        <v>0</v>
      </c>
      <c r="N741" t="n">
        <v>0</v>
      </c>
      <c r="O741" t="n">
        <v>0</v>
      </c>
      <c r="P741" t="n">
        <v>0</v>
      </c>
      <c r="Q741" t="n">
        <v>0</v>
      </c>
      <c r="R741" s="2" t="inlineStr"/>
    </row>
    <row r="742" ht="15" customHeight="1">
      <c r="A742" t="inlineStr">
        <is>
          <t>A 3186-2024</t>
        </is>
      </c>
      <c r="B742" s="1" t="n">
        <v>45316</v>
      </c>
      <c r="C742" s="1" t="n">
        <v>45589</v>
      </c>
      <c r="D742" t="inlineStr">
        <is>
          <t>JÄMTLANDS LÄN</t>
        </is>
      </c>
      <c r="E742" t="inlineStr">
        <is>
          <t>ÖSTERSUND</t>
        </is>
      </c>
      <c r="G742" t="n">
        <v>5.1</v>
      </c>
      <c r="H742" t="n">
        <v>0</v>
      </c>
      <c r="I742" t="n">
        <v>0</v>
      </c>
      <c r="J742" t="n">
        <v>0</v>
      </c>
      <c r="K742" t="n">
        <v>0</v>
      </c>
      <c r="L742" t="n">
        <v>0</v>
      </c>
      <c r="M742" t="n">
        <v>0</v>
      </c>
      <c r="N742" t="n">
        <v>0</v>
      </c>
      <c r="O742" t="n">
        <v>0</v>
      </c>
      <c r="P742" t="n">
        <v>0</v>
      </c>
      <c r="Q742" t="n">
        <v>0</v>
      </c>
      <c r="R742" s="2" t="inlineStr"/>
    </row>
    <row r="743" ht="15" customHeight="1">
      <c r="A743" t="inlineStr">
        <is>
          <t>A 3230-2024</t>
        </is>
      </c>
      <c r="B743" s="1" t="n">
        <v>45316</v>
      </c>
      <c r="C743" s="1" t="n">
        <v>45589</v>
      </c>
      <c r="D743" t="inlineStr">
        <is>
          <t>JÄMTLANDS LÄN</t>
        </is>
      </c>
      <c r="E743" t="inlineStr">
        <is>
          <t>ÖSTERSUND</t>
        </is>
      </c>
      <c r="G743" t="n">
        <v>4.4</v>
      </c>
      <c r="H743" t="n">
        <v>0</v>
      </c>
      <c r="I743" t="n">
        <v>0</v>
      </c>
      <c r="J743" t="n">
        <v>0</v>
      </c>
      <c r="K743" t="n">
        <v>0</v>
      </c>
      <c r="L743" t="n">
        <v>0</v>
      </c>
      <c r="M743" t="n">
        <v>0</v>
      </c>
      <c r="N743" t="n">
        <v>0</v>
      </c>
      <c r="O743" t="n">
        <v>0</v>
      </c>
      <c r="P743" t="n">
        <v>0</v>
      </c>
      <c r="Q743" t="n">
        <v>0</v>
      </c>
      <c r="R743" s="2" t="inlineStr"/>
    </row>
    <row r="744" ht="15" customHeight="1">
      <c r="A744" t="inlineStr">
        <is>
          <t>A 3270-2024</t>
        </is>
      </c>
      <c r="B744" s="1" t="n">
        <v>45316</v>
      </c>
      <c r="C744" s="1" t="n">
        <v>45589</v>
      </c>
      <c r="D744" t="inlineStr">
        <is>
          <t>JÄMTLANDS LÄN</t>
        </is>
      </c>
      <c r="E744" t="inlineStr">
        <is>
          <t>ÖSTERSUND</t>
        </is>
      </c>
      <c r="G744" t="n">
        <v>7.5</v>
      </c>
      <c r="H744" t="n">
        <v>0</v>
      </c>
      <c r="I744" t="n">
        <v>0</v>
      </c>
      <c r="J744" t="n">
        <v>0</v>
      </c>
      <c r="K744" t="n">
        <v>0</v>
      </c>
      <c r="L744" t="n">
        <v>0</v>
      </c>
      <c r="M744" t="n">
        <v>0</v>
      </c>
      <c r="N744" t="n">
        <v>0</v>
      </c>
      <c r="O744" t="n">
        <v>0</v>
      </c>
      <c r="P744" t="n">
        <v>0</v>
      </c>
      <c r="Q744" t="n">
        <v>0</v>
      </c>
      <c r="R744" s="2" t="inlineStr"/>
    </row>
    <row r="745" ht="15" customHeight="1">
      <c r="A745" t="inlineStr">
        <is>
          <t>A 3610-2024</t>
        </is>
      </c>
      <c r="B745" s="1" t="n">
        <v>45320</v>
      </c>
      <c r="C745" s="1" t="n">
        <v>45589</v>
      </c>
      <c r="D745" t="inlineStr">
        <is>
          <t>JÄMTLANDS LÄN</t>
        </is>
      </c>
      <c r="E745" t="inlineStr">
        <is>
          <t>ÖSTERSUND</t>
        </is>
      </c>
      <c r="G745" t="n">
        <v>6.2</v>
      </c>
      <c r="H745" t="n">
        <v>0</v>
      </c>
      <c r="I745" t="n">
        <v>0</v>
      </c>
      <c r="J745" t="n">
        <v>0</v>
      </c>
      <c r="K745" t="n">
        <v>0</v>
      </c>
      <c r="L745" t="n">
        <v>0</v>
      </c>
      <c r="M745" t="n">
        <v>0</v>
      </c>
      <c r="N745" t="n">
        <v>0</v>
      </c>
      <c r="O745" t="n">
        <v>0</v>
      </c>
      <c r="P745" t="n">
        <v>0</v>
      </c>
      <c r="Q745" t="n">
        <v>0</v>
      </c>
      <c r="R745" s="2" t="inlineStr"/>
    </row>
    <row r="746" ht="15" customHeight="1">
      <c r="A746" t="inlineStr">
        <is>
          <t>A 3844-2024</t>
        </is>
      </c>
      <c r="B746" s="1" t="n">
        <v>45321</v>
      </c>
      <c r="C746" s="1" t="n">
        <v>45589</v>
      </c>
      <c r="D746" t="inlineStr">
        <is>
          <t>JÄMTLANDS LÄN</t>
        </is>
      </c>
      <c r="E746" t="inlineStr">
        <is>
          <t>ÖSTERSUND</t>
        </is>
      </c>
      <c r="G746" t="n">
        <v>2.2</v>
      </c>
      <c r="H746" t="n">
        <v>0</v>
      </c>
      <c r="I746" t="n">
        <v>0</v>
      </c>
      <c r="J746" t="n">
        <v>0</v>
      </c>
      <c r="K746" t="n">
        <v>0</v>
      </c>
      <c r="L746" t="n">
        <v>0</v>
      </c>
      <c r="M746" t="n">
        <v>0</v>
      </c>
      <c r="N746" t="n">
        <v>0</v>
      </c>
      <c r="O746" t="n">
        <v>0</v>
      </c>
      <c r="P746" t="n">
        <v>0</v>
      </c>
      <c r="Q746" t="n">
        <v>0</v>
      </c>
      <c r="R746" s="2" t="inlineStr"/>
    </row>
    <row r="747" ht="15" customHeight="1">
      <c r="A747" t="inlineStr">
        <is>
          <t>A 4176-2024</t>
        </is>
      </c>
      <c r="B747" s="1" t="n">
        <v>45323</v>
      </c>
      <c r="C747" s="1" t="n">
        <v>45589</v>
      </c>
      <c r="D747" t="inlineStr">
        <is>
          <t>JÄMTLANDS LÄN</t>
        </is>
      </c>
      <c r="E747" t="inlineStr">
        <is>
          <t>ÖSTERSUND</t>
        </is>
      </c>
      <c r="F747" t="inlineStr">
        <is>
          <t>SCA</t>
        </is>
      </c>
      <c r="G747" t="n">
        <v>7.7</v>
      </c>
      <c r="H747" t="n">
        <v>0</v>
      </c>
      <c r="I747" t="n">
        <v>0</v>
      </c>
      <c r="J747" t="n">
        <v>0</v>
      </c>
      <c r="K747" t="n">
        <v>0</v>
      </c>
      <c r="L747" t="n">
        <v>0</v>
      </c>
      <c r="M747" t="n">
        <v>0</v>
      </c>
      <c r="N747" t="n">
        <v>0</v>
      </c>
      <c r="O747" t="n">
        <v>0</v>
      </c>
      <c r="P747" t="n">
        <v>0</v>
      </c>
      <c r="Q747" t="n">
        <v>0</v>
      </c>
      <c r="R747" s="2" t="inlineStr"/>
    </row>
    <row r="748" ht="15" customHeight="1">
      <c r="A748" t="inlineStr">
        <is>
          <t>A 4350-2024</t>
        </is>
      </c>
      <c r="B748" s="1" t="n">
        <v>45324</v>
      </c>
      <c r="C748" s="1" t="n">
        <v>45589</v>
      </c>
      <c r="D748" t="inlineStr">
        <is>
          <t>JÄMTLANDS LÄN</t>
        </is>
      </c>
      <c r="E748" t="inlineStr">
        <is>
          <t>ÖSTERSUND</t>
        </is>
      </c>
      <c r="F748" t="inlineStr">
        <is>
          <t>SCA</t>
        </is>
      </c>
      <c r="G748" t="n">
        <v>6</v>
      </c>
      <c r="H748" t="n">
        <v>0</v>
      </c>
      <c r="I748" t="n">
        <v>0</v>
      </c>
      <c r="J748" t="n">
        <v>0</v>
      </c>
      <c r="K748" t="n">
        <v>0</v>
      </c>
      <c r="L748" t="n">
        <v>0</v>
      </c>
      <c r="M748" t="n">
        <v>0</v>
      </c>
      <c r="N748" t="n">
        <v>0</v>
      </c>
      <c r="O748" t="n">
        <v>0</v>
      </c>
      <c r="P748" t="n">
        <v>0</v>
      </c>
      <c r="Q748" t="n">
        <v>0</v>
      </c>
      <c r="R748" s="2" t="inlineStr"/>
    </row>
    <row r="749" ht="15" customHeight="1">
      <c r="A749" t="inlineStr">
        <is>
          <t>A 4707-2024</t>
        </is>
      </c>
      <c r="B749" s="1" t="n">
        <v>45328</v>
      </c>
      <c r="C749" s="1" t="n">
        <v>45589</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5455-2024</t>
        </is>
      </c>
      <c r="B750" s="1" t="n">
        <v>45331</v>
      </c>
      <c r="C750" s="1" t="n">
        <v>45589</v>
      </c>
      <c r="D750" t="inlineStr">
        <is>
          <t>JÄMTLANDS LÄN</t>
        </is>
      </c>
      <c r="E750" t="inlineStr">
        <is>
          <t>ÖSTERSUND</t>
        </is>
      </c>
      <c r="G750" t="n">
        <v>4.8</v>
      </c>
      <c r="H750" t="n">
        <v>0</v>
      </c>
      <c r="I750" t="n">
        <v>0</v>
      </c>
      <c r="J750" t="n">
        <v>0</v>
      </c>
      <c r="K750" t="n">
        <v>0</v>
      </c>
      <c r="L750" t="n">
        <v>0</v>
      </c>
      <c r="M750" t="n">
        <v>0</v>
      </c>
      <c r="N750" t="n">
        <v>0</v>
      </c>
      <c r="O750" t="n">
        <v>0</v>
      </c>
      <c r="P750" t="n">
        <v>0</v>
      </c>
      <c r="Q750" t="n">
        <v>0</v>
      </c>
      <c r="R750" s="2" t="inlineStr"/>
    </row>
    <row r="751" ht="15" customHeight="1">
      <c r="A751" t="inlineStr">
        <is>
          <t>A 5920-2024</t>
        </is>
      </c>
      <c r="B751" s="1" t="n">
        <v>45335</v>
      </c>
      <c r="C751" s="1" t="n">
        <v>45589</v>
      </c>
      <c r="D751" t="inlineStr">
        <is>
          <t>JÄMTLANDS LÄN</t>
        </is>
      </c>
      <c r="E751" t="inlineStr">
        <is>
          <t>ÖSTERSUND</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6048-2024</t>
        </is>
      </c>
      <c r="B752" s="1" t="n">
        <v>45336</v>
      </c>
      <c r="C752" s="1" t="n">
        <v>45589</v>
      </c>
      <c r="D752" t="inlineStr">
        <is>
          <t>JÄMTLANDS LÄN</t>
        </is>
      </c>
      <c r="E752" t="inlineStr">
        <is>
          <t>ÖSTERSUND</t>
        </is>
      </c>
      <c r="G752" t="n">
        <v>0.7</v>
      </c>
      <c r="H752" t="n">
        <v>0</v>
      </c>
      <c r="I752" t="n">
        <v>0</v>
      </c>
      <c r="J752" t="n">
        <v>0</v>
      </c>
      <c r="K752" t="n">
        <v>0</v>
      </c>
      <c r="L752" t="n">
        <v>0</v>
      </c>
      <c r="M752" t="n">
        <v>0</v>
      </c>
      <c r="N752" t="n">
        <v>0</v>
      </c>
      <c r="O752" t="n">
        <v>0</v>
      </c>
      <c r="P752" t="n">
        <v>0</v>
      </c>
      <c r="Q752" t="n">
        <v>0</v>
      </c>
      <c r="R752" s="2" t="inlineStr"/>
    </row>
    <row r="753" ht="15" customHeight="1">
      <c r="A753" t="inlineStr">
        <is>
          <t>A 6056-2024</t>
        </is>
      </c>
      <c r="B753" s="1" t="n">
        <v>45336</v>
      </c>
      <c r="C753" s="1" t="n">
        <v>45589</v>
      </c>
      <c r="D753" t="inlineStr">
        <is>
          <t>JÄMTLANDS LÄN</t>
        </is>
      </c>
      <c r="E753" t="inlineStr">
        <is>
          <t>ÖSTERSUND</t>
        </is>
      </c>
      <c r="G753" t="n">
        <v>3.9</v>
      </c>
      <c r="H753" t="n">
        <v>0</v>
      </c>
      <c r="I753" t="n">
        <v>0</v>
      </c>
      <c r="J753" t="n">
        <v>0</v>
      </c>
      <c r="K753" t="n">
        <v>0</v>
      </c>
      <c r="L753" t="n">
        <v>0</v>
      </c>
      <c r="M753" t="n">
        <v>0</v>
      </c>
      <c r="N753" t="n">
        <v>0</v>
      </c>
      <c r="O753" t="n">
        <v>0</v>
      </c>
      <c r="P753" t="n">
        <v>0</v>
      </c>
      <c r="Q753" t="n">
        <v>0</v>
      </c>
      <c r="R753" s="2" t="inlineStr"/>
    </row>
    <row r="754" ht="15" customHeight="1">
      <c r="A754" t="inlineStr">
        <is>
          <t>A 6053-2024</t>
        </is>
      </c>
      <c r="B754" s="1" t="n">
        <v>45336</v>
      </c>
      <c r="C754" s="1" t="n">
        <v>45589</v>
      </c>
      <c r="D754" t="inlineStr">
        <is>
          <t>JÄMTLANDS LÄN</t>
        </is>
      </c>
      <c r="E754" t="inlineStr">
        <is>
          <t>ÖSTERSUND</t>
        </is>
      </c>
      <c r="G754" t="n">
        <v>1.4</v>
      </c>
      <c r="H754" t="n">
        <v>0</v>
      </c>
      <c r="I754" t="n">
        <v>0</v>
      </c>
      <c r="J754" t="n">
        <v>0</v>
      </c>
      <c r="K754" t="n">
        <v>0</v>
      </c>
      <c r="L754" t="n">
        <v>0</v>
      </c>
      <c r="M754" t="n">
        <v>0</v>
      </c>
      <c r="N754" t="n">
        <v>0</v>
      </c>
      <c r="O754" t="n">
        <v>0</v>
      </c>
      <c r="P754" t="n">
        <v>0</v>
      </c>
      <c r="Q754" t="n">
        <v>0</v>
      </c>
      <c r="R754" s="2" t="inlineStr"/>
    </row>
    <row r="755" ht="15" customHeight="1">
      <c r="A755" t="inlineStr">
        <is>
          <t>A 6351-2024</t>
        </is>
      </c>
      <c r="B755" s="1" t="n">
        <v>45338</v>
      </c>
      <c r="C755" s="1" t="n">
        <v>45589</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6353-2024</t>
        </is>
      </c>
      <c r="B756" s="1" t="n">
        <v>45338</v>
      </c>
      <c r="C756" s="1" t="n">
        <v>45589</v>
      </c>
      <c r="D756" t="inlineStr">
        <is>
          <t>JÄMTLANDS LÄN</t>
        </is>
      </c>
      <c r="E756" t="inlineStr">
        <is>
          <t>ÖSTERSUND</t>
        </is>
      </c>
      <c r="G756" t="n">
        <v>1.9</v>
      </c>
      <c r="H756" t="n">
        <v>0</v>
      </c>
      <c r="I756" t="n">
        <v>0</v>
      </c>
      <c r="J756" t="n">
        <v>0</v>
      </c>
      <c r="K756" t="n">
        <v>0</v>
      </c>
      <c r="L756" t="n">
        <v>0</v>
      </c>
      <c r="M756" t="n">
        <v>0</v>
      </c>
      <c r="N756" t="n">
        <v>0</v>
      </c>
      <c r="O756" t="n">
        <v>0</v>
      </c>
      <c r="P756" t="n">
        <v>0</v>
      </c>
      <c r="Q756" t="n">
        <v>0</v>
      </c>
      <c r="R756" s="2" t="inlineStr"/>
    </row>
    <row r="757" ht="15" customHeight="1">
      <c r="A757" t="inlineStr">
        <is>
          <t>A 6376-2024</t>
        </is>
      </c>
      <c r="B757" s="1" t="n">
        <v>45338</v>
      </c>
      <c r="C757" s="1" t="n">
        <v>45589</v>
      </c>
      <c r="D757" t="inlineStr">
        <is>
          <t>JÄMTLANDS LÄN</t>
        </is>
      </c>
      <c r="E757" t="inlineStr">
        <is>
          <t>ÖSTERSUND</t>
        </is>
      </c>
      <c r="G757" t="n">
        <v>4.6</v>
      </c>
      <c r="H757" t="n">
        <v>0</v>
      </c>
      <c r="I757" t="n">
        <v>0</v>
      </c>
      <c r="J757" t="n">
        <v>0</v>
      </c>
      <c r="K757" t="n">
        <v>0</v>
      </c>
      <c r="L757" t="n">
        <v>0</v>
      </c>
      <c r="M757" t="n">
        <v>0</v>
      </c>
      <c r="N757" t="n">
        <v>0</v>
      </c>
      <c r="O757" t="n">
        <v>0</v>
      </c>
      <c r="P757" t="n">
        <v>0</v>
      </c>
      <c r="Q757" t="n">
        <v>0</v>
      </c>
      <c r="R757" s="2" t="inlineStr"/>
    </row>
    <row r="758" ht="15" customHeight="1">
      <c r="A758" t="inlineStr">
        <is>
          <t>A 6402-2024</t>
        </is>
      </c>
      <c r="B758" s="1" t="n">
        <v>45338</v>
      </c>
      <c r="C758" s="1" t="n">
        <v>45589</v>
      </c>
      <c r="D758" t="inlineStr">
        <is>
          <t>JÄMTLANDS LÄN</t>
        </is>
      </c>
      <c r="E758" t="inlineStr">
        <is>
          <t>ÖSTERSUND</t>
        </is>
      </c>
      <c r="G758" t="n">
        <v>4.4</v>
      </c>
      <c r="H758" t="n">
        <v>0</v>
      </c>
      <c r="I758" t="n">
        <v>0</v>
      </c>
      <c r="J758" t="n">
        <v>0</v>
      </c>
      <c r="K758" t="n">
        <v>0</v>
      </c>
      <c r="L758" t="n">
        <v>0</v>
      </c>
      <c r="M758" t="n">
        <v>0</v>
      </c>
      <c r="N758" t="n">
        <v>0</v>
      </c>
      <c r="O758" t="n">
        <v>0</v>
      </c>
      <c r="P758" t="n">
        <v>0</v>
      </c>
      <c r="Q758" t="n">
        <v>0</v>
      </c>
      <c r="R758" s="2" t="inlineStr"/>
    </row>
    <row r="759" ht="15" customHeight="1">
      <c r="A759" t="inlineStr">
        <is>
          <t>A 6481-2024</t>
        </is>
      </c>
      <c r="B759" s="1" t="n">
        <v>45338</v>
      </c>
      <c r="C759" s="1" t="n">
        <v>45589</v>
      </c>
      <c r="D759" t="inlineStr">
        <is>
          <t>JÄMTLANDS LÄN</t>
        </is>
      </c>
      <c r="E759" t="inlineStr">
        <is>
          <t>ÖSTERSUND</t>
        </is>
      </c>
      <c r="F759" t="inlineStr">
        <is>
          <t>SCA</t>
        </is>
      </c>
      <c r="G759" t="n">
        <v>21.3</v>
      </c>
      <c r="H759" t="n">
        <v>0</v>
      </c>
      <c r="I759" t="n">
        <v>0</v>
      </c>
      <c r="J759" t="n">
        <v>0</v>
      </c>
      <c r="K759" t="n">
        <v>0</v>
      </c>
      <c r="L759" t="n">
        <v>0</v>
      </c>
      <c r="M759" t="n">
        <v>0</v>
      </c>
      <c r="N759" t="n">
        <v>0</v>
      </c>
      <c r="O759" t="n">
        <v>0</v>
      </c>
      <c r="P759" t="n">
        <v>0</v>
      </c>
      <c r="Q759" t="n">
        <v>0</v>
      </c>
      <c r="R759" s="2" t="inlineStr"/>
    </row>
    <row r="760" ht="15" customHeight="1">
      <c r="A760" t="inlineStr">
        <is>
          <t>A 6877-2024</t>
        </is>
      </c>
      <c r="B760" s="1" t="n">
        <v>45342</v>
      </c>
      <c r="C760" s="1" t="n">
        <v>45589</v>
      </c>
      <c r="D760" t="inlineStr">
        <is>
          <t>JÄMTLANDS LÄN</t>
        </is>
      </c>
      <c r="E760" t="inlineStr">
        <is>
          <t>ÖSTERSUND</t>
        </is>
      </c>
      <c r="F760" t="inlineStr">
        <is>
          <t>Kyrkan</t>
        </is>
      </c>
      <c r="G760" t="n">
        <v>0.9</v>
      </c>
      <c r="H760" t="n">
        <v>0</v>
      </c>
      <c r="I760" t="n">
        <v>0</v>
      </c>
      <c r="J760" t="n">
        <v>0</v>
      </c>
      <c r="K760" t="n">
        <v>0</v>
      </c>
      <c r="L760" t="n">
        <v>0</v>
      </c>
      <c r="M760" t="n">
        <v>0</v>
      </c>
      <c r="N760" t="n">
        <v>0</v>
      </c>
      <c r="O760" t="n">
        <v>0</v>
      </c>
      <c r="P760" t="n">
        <v>0</v>
      </c>
      <c r="Q760" t="n">
        <v>0</v>
      </c>
      <c r="R760" s="2" t="inlineStr"/>
    </row>
    <row r="761" ht="15" customHeight="1">
      <c r="A761" t="inlineStr">
        <is>
          <t>A 7233-2024</t>
        </is>
      </c>
      <c r="B761" s="1" t="n">
        <v>45344</v>
      </c>
      <c r="C761" s="1" t="n">
        <v>45589</v>
      </c>
      <c r="D761" t="inlineStr">
        <is>
          <t>JÄMTLANDS LÄN</t>
        </is>
      </c>
      <c r="E761" t="inlineStr">
        <is>
          <t>ÖSTERSUND</t>
        </is>
      </c>
      <c r="G761" t="n">
        <v>1.2</v>
      </c>
      <c r="H761" t="n">
        <v>0</v>
      </c>
      <c r="I761" t="n">
        <v>0</v>
      </c>
      <c r="J761" t="n">
        <v>0</v>
      </c>
      <c r="K761" t="n">
        <v>0</v>
      </c>
      <c r="L761" t="n">
        <v>0</v>
      </c>
      <c r="M761" t="n">
        <v>0</v>
      </c>
      <c r="N761" t="n">
        <v>0</v>
      </c>
      <c r="O761" t="n">
        <v>0</v>
      </c>
      <c r="P761" t="n">
        <v>0</v>
      </c>
      <c r="Q761" t="n">
        <v>0</v>
      </c>
      <c r="R761" s="2" t="inlineStr"/>
    </row>
    <row r="762" ht="15" customHeight="1">
      <c r="A762" t="inlineStr">
        <is>
          <t>A 7224-2024</t>
        </is>
      </c>
      <c r="B762" s="1" t="n">
        <v>45344</v>
      </c>
      <c r="C762" s="1" t="n">
        <v>45589</v>
      </c>
      <c r="D762" t="inlineStr">
        <is>
          <t>JÄMTLANDS LÄN</t>
        </is>
      </c>
      <c r="E762" t="inlineStr">
        <is>
          <t>ÖSTERSUND</t>
        </is>
      </c>
      <c r="G762" t="n">
        <v>2.9</v>
      </c>
      <c r="H762" t="n">
        <v>0</v>
      </c>
      <c r="I762" t="n">
        <v>0</v>
      </c>
      <c r="J762" t="n">
        <v>0</v>
      </c>
      <c r="K762" t="n">
        <v>0</v>
      </c>
      <c r="L762" t="n">
        <v>0</v>
      </c>
      <c r="M762" t="n">
        <v>0</v>
      </c>
      <c r="N762" t="n">
        <v>0</v>
      </c>
      <c r="O762" t="n">
        <v>0</v>
      </c>
      <c r="P762" t="n">
        <v>0</v>
      </c>
      <c r="Q762" t="n">
        <v>0</v>
      </c>
      <c r="R762" s="2" t="inlineStr"/>
    </row>
    <row r="763" ht="15" customHeight="1">
      <c r="A763" t="inlineStr">
        <is>
          <t>A 7228-2024</t>
        </is>
      </c>
      <c r="B763" s="1" t="n">
        <v>45344</v>
      </c>
      <c r="C763" s="1" t="n">
        <v>45589</v>
      </c>
      <c r="D763" t="inlineStr">
        <is>
          <t>JÄMTLANDS LÄN</t>
        </is>
      </c>
      <c r="E763" t="inlineStr">
        <is>
          <t>ÖSTERSUND</t>
        </is>
      </c>
      <c r="G763" t="n">
        <v>3</v>
      </c>
      <c r="H763" t="n">
        <v>0</v>
      </c>
      <c r="I763" t="n">
        <v>0</v>
      </c>
      <c r="J763" t="n">
        <v>0</v>
      </c>
      <c r="K763" t="n">
        <v>0</v>
      </c>
      <c r="L763" t="n">
        <v>0</v>
      </c>
      <c r="M763" t="n">
        <v>0</v>
      </c>
      <c r="N763" t="n">
        <v>0</v>
      </c>
      <c r="O763" t="n">
        <v>0</v>
      </c>
      <c r="P763" t="n">
        <v>0</v>
      </c>
      <c r="Q763" t="n">
        <v>0</v>
      </c>
      <c r="R763" s="2" t="inlineStr"/>
    </row>
    <row r="764" ht="15" customHeight="1">
      <c r="A764" t="inlineStr">
        <is>
          <t>A 7484-2024</t>
        </is>
      </c>
      <c r="B764" s="1" t="n">
        <v>45346</v>
      </c>
      <c r="C764" s="1" t="n">
        <v>45589</v>
      </c>
      <c r="D764" t="inlineStr">
        <is>
          <t>JÄMTLANDS LÄN</t>
        </is>
      </c>
      <c r="E764" t="inlineStr">
        <is>
          <t>ÖSTERSUND</t>
        </is>
      </c>
      <c r="G764" t="n">
        <v>5.4</v>
      </c>
      <c r="H764" t="n">
        <v>0</v>
      </c>
      <c r="I764" t="n">
        <v>0</v>
      </c>
      <c r="J764" t="n">
        <v>0</v>
      </c>
      <c r="K764" t="n">
        <v>0</v>
      </c>
      <c r="L764" t="n">
        <v>0</v>
      </c>
      <c r="M764" t="n">
        <v>0</v>
      </c>
      <c r="N764" t="n">
        <v>0</v>
      </c>
      <c r="O764" t="n">
        <v>0</v>
      </c>
      <c r="P764" t="n">
        <v>0</v>
      </c>
      <c r="Q764" t="n">
        <v>0</v>
      </c>
      <c r="R764" s="2" t="inlineStr"/>
    </row>
    <row r="765" ht="15" customHeight="1">
      <c r="A765" t="inlineStr">
        <is>
          <t>A 8166-2024</t>
        </is>
      </c>
      <c r="B765" s="1" t="n">
        <v>45349</v>
      </c>
      <c r="C765" s="1" t="n">
        <v>45589</v>
      </c>
      <c r="D765" t="inlineStr">
        <is>
          <t>JÄMTLANDS LÄN</t>
        </is>
      </c>
      <c r="E765" t="inlineStr">
        <is>
          <t>ÖSTERSUND</t>
        </is>
      </c>
      <c r="G765" t="n">
        <v>2.7</v>
      </c>
      <c r="H765" t="n">
        <v>0</v>
      </c>
      <c r="I765" t="n">
        <v>0</v>
      </c>
      <c r="J765" t="n">
        <v>0</v>
      </c>
      <c r="K765" t="n">
        <v>0</v>
      </c>
      <c r="L765" t="n">
        <v>0</v>
      </c>
      <c r="M765" t="n">
        <v>0</v>
      </c>
      <c r="N765" t="n">
        <v>0</v>
      </c>
      <c r="O765" t="n">
        <v>0</v>
      </c>
      <c r="P765" t="n">
        <v>0</v>
      </c>
      <c r="Q765" t="n">
        <v>0</v>
      </c>
      <c r="R765" s="2" t="inlineStr"/>
    </row>
    <row r="766" ht="15" customHeight="1">
      <c r="A766" t="inlineStr">
        <is>
          <t>A 9109-2024</t>
        </is>
      </c>
      <c r="B766" s="1" t="n">
        <v>45358</v>
      </c>
      <c r="C766" s="1" t="n">
        <v>45589</v>
      </c>
      <c r="D766" t="inlineStr">
        <is>
          <t>JÄMTLANDS LÄN</t>
        </is>
      </c>
      <c r="E766" t="inlineStr">
        <is>
          <t>ÖSTERSUND</t>
        </is>
      </c>
      <c r="G766" t="n">
        <v>17.1</v>
      </c>
      <c r="H766" t="n">
        <v>0</v>
      </c>
      <c r="I766" t="n">
        <v>0</v>
      </c>
      <c r="J766" t="n">
        <v>0</v>
      </c>
      <c r="K766" t="n">
        <v>0</v>
      </c>
      <c r="L766" t="n">
        <v>0</v>
      </c>
      <c r="M766" t="n">
        <v>0</v>
      </c>
      <c r="N766" t="n">
        <v>0</v>
      </c>
      <c r="O766" t="n">
        <v>0</v>
      </c>
      <c r="P766" t="n">
        <v>0</v>
      </c>
      <c r="Q766" t="n">
        <v>0</v>
      </c>
      <c r="R766" s="2" t="inlineStr"/>
    </row>
    <row r="767" ht="15" customHeight="1">
      <c r="A767" t="inlineStr">
        <is>
          <t>A 9151-2024</t>
        </is>
      </c>
      <c r="B767" s="1" t="n">
        <v>45358</v>
      </c>
      <c r="C767" s="1" t="n">
        <v>45589</v>
      </c>
      <c r="D767" t="inlineStr">
        <is>
          <t>JÄMTLANDS LÄN</t>
        </is>
      </c>
      <c r="E767" t="inlineStr">
        <is>
          <t>ÖSTERSUND</t>
        </is>
      </c>
      <c r="G767" t="n">
        <v>2.6</v>
      </c>
      <c r="H767" t="n">
        <v>0</v>
      </c>
      <c r="I767" t="n">
        <v>0</v>
      </c>
      <c r="J767" t="n">
        <v>0</v>
      </c>
      <c r="K767" t="n">
        <v>0</v>
      </c>
      <c r="L767" t="n">
        <v>0</v>
      </c>
      <c r="M767" t="n">
        <v>0</v>
      </c>
      <c r="N767" t="n">
        <v>0</v>
      </c>
      <c r="O767" t="n">
        <v>0</v>
      </c>
      <c r="P767" t="n">
        <v>0</v>
      </c>
      <c r="Q767" t="n">
        <v>0</v>
      </c>
      <c r="R767" s="2" t="inlineStr"/>
    </row>
    <row r="768" ht="15" customHeight="1">
      <c r="A768" t="inlineStr">
        <is>
          <t>A 9859-2024</t>
        </is>
      </c>
      <c r="B768" s="1" t="n">
        <v>45363</v>
      </c>
      <c r="C768" s="1" t="n">
        <v>45589</v>
      </c>
      <c r="D768" t="inlineStr">
        <is>
          <t>JÄMTLANDS LÄN</t>
        </is>
      </c>
      <c r="E768" t="inlineStr">
        <is>
          <t>ÖSTERSUND</t>
        </is>
      </c>
      <c r="G768" t="n">
        <v>5.5</v>
      </c>
      <c r="H768" t="n">
        <v>0</v>
      </c>
      <c r="I768" t="n">
        <v>0</v>
      </c>
      <c r="J768" t="n">
        <v>0</v>
      </c>
      <c r="K768" t="n">
        <v>0</v>
      </c>
      <c r="L768" t="n">
        <v>0</v>
      </c>
      <c r="M768" t="n">
        <v>0</v>
      </c>
      <c r="N768" t="n">
        <v>0</v>
      </c>
      <c r="O768" t="n">
        <v>0</v>
      </c>
      <c r="P768" t="n">
        <v>0</v>
      </c>
      <c r="Q768" t="n">
        <v>0</v>
      </c>
      <c r="R768" s="2" t="inlineStr"/>
    </row>
    <row r="769" ht="15" customHeight="1">
      <c r="A769" t="inlineStr">
        <is>
          <t>A 10064-2024</t>
        </is>
      </c>
      <c r="B769" s="1" t="n">
        <v>45364</v>
      </c>
      <c r="C769" s="1" t="n">
        <v>45589</v>
      </c>
      <c r="D769" t="inlineStr">
        <is>
          <t>JÄMTLANDS LÄN</t>
        </is>
      </c>
      <c r="E769" t="inlineStr">
        <is>
          <t>ÖSTERSUND</t>
        </is>
      </c>
      <c r="G769" t="n">
        <v>13.9</v>
      </c>
      <c r="H769" t="n">
        <v>0</v>
      </c>
      <c r="I769" t="n">
        <v>0</v>
      </c>
      <c r="J769" t="n">
        <v>0</v>
      </c>
      <c r="K769" t="n">
        <v>0</v>
      </c>
      <c r="L769" t="n">
        <v>0</v>
      </c>
      <c r="M769" t="n">
        <v>0</v>
      </c>
      <c r="N769" t="n">
        <v>0</v>
      </c>
      <c r="O769" t="n">
        <v>0</v>
      </c>
      <c r="P769" t="n">
        <v>0</v>
      </c>
      <c r="Q769" t="n">
        <v>0</v>
      </c>
      <c r="R769" s="2" t="inlineStr"/>
    </row>
    <row r="770" ht="15" customHeight="1">
      <c r="A770" t="inlineStr">
        <is>
          <t>A 10619-2024</t>
        </is>
      </c>
      <c r="B770" s="1" t="n">
        <v>45367</v>
      </c>
      <c r="C770" s="1" t="n">
        <v>45589</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11052-2024</t>
        </is>
      </c>
      <c r="B771" s="1" t="n">
        <v>45370</v>
      </c>
      <c r="C771" s="1" t="n">
        <v>45589</v>
      </c>
      <c r="D771" t="inlineStr">
        <is>
          <t>JÄMTLANDS LÄN</t>
        </is>
      </c>
      <c r="E771" t="inlineStr">
        <is>
          <t>ÖSTERSUND</t>
        </is>
      </c>
      <c r="G771" t="n">
        <v>2.3</v>
      </c>
      <c r="H771" t="n">
        <v>0</v>
      </c>
      <c r="I771" t="n">
        <v>0</v>
      </c>
      <c r="J771" t="n">
        <v>0</v>
      </c>
      <c r="K771" t="n">
        <v>0</v>
      </c>
      <c r="L771" t="n">
        <v>0</v>
      </c>
      <c r="M771" t="n">
        <v>0</v>
      </c>
      <c r="N771" t="n">
        <v>0</v>
      </c>
      <c r="O771" t="n">
        <v>0</v>
      </c>
      <c r="P771" t="n">
        <v>0</v>
      </c>
      <c r="Q771" t="n">
        <v>0</v>
      </c>
      <c r="R771" s="2" t="inlineStr"/>
    </row>
    <row r="772" ht="15" customHeight="1">
      <c r="A772" t="inlineStr">
        <is>
          <t>A 11768-2024</t>
        </is>
      </c>
      <c r="B772" s="1" t="n">
        <v>45373</v>
      </c>
      <c r="C772" s="1" t="n">
        <v>45589</v>
      </c>
      <c r="D772" t="inlineStr">
        <is>
          <t>JÄMTLANDS LÄN</t>
        </is>
      </c>
      <c r="E772" t="inlineStr">
        <is>
          <t>ÖSTERSUND</t>
        </is>
      </c>
      <c r="F772" t="inlineStr">
        <is>
          <t>SCA</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11877-2024</t>
        </is>
      </c>
      <c r="B773" s="1" t="n">
        <v>45376</v>
      </c>
      <c r="C773" s="1" t="n">
        <v>45589</v>
      </c>
      <c r="D773" t="inlineStr">
        <is>
          <t>JÄMTLANDS LÄN</t>
        </is>
      </c>
      <c r="E773" t="inlineStr">
        <is>
          <t>ÖSTERSUND</t>
        </is>
      </c>
      <c r="G773" t="n">
        <v>2.6</v>
      </c>
      <c r="H773" t="n">
        <v>0</v>
      </c>
      <c r="I773" t="n">
        <v>0</v>
      </c>
      <c r="J773" t="n">
        <v>0</v>
      </c>
      <c r="K773" t="n">
        <v>0</v>
      </c>
      <c r="L773" t="n">
        <v>0</v>
      </c>
      <c r="M773" t="n">
        <v>0</v>
      </c>
      <c r="N773" t="n">
        <v>0</v>
      </c>
      <c r="O773" t="n">
        <v>0</v>
      </c>
      <c r="P773" t="n">
        <v>0</v>
      </c>
      <c r="Q773" t="n">
        <v>0</v>
      </c>
      <c r="R773" s="2" t="inlineStr"/>
    </row>
    <row r="774" ht="15" customHeight="1">
      <c r="A774" t="inlineStr">
        <is>
          <t>A 11931-2024</t>
        </is>
      </c>
      <c r="B774" s="1" t="n">
        <v>45376</v>
      </c>
      <c r="C774" s="1" t="n">
        <v>45589</v>
      </c>
      <c r="D774" t="inlineStr">
        <is>
          <t>JÄMTLANDS LÄN</t>
        </is>
      </c>
      <c r="E774" t="inlineStr">
        <is>
          <t>ÖSTERSUND</t>
        </is>
      </c>
      <c r="G774" t="n">
        <v>1.6</v>
      </c>
      <c r="H774" t="n">
        <v>0</v>
      </c>
      <c r="I774" t="n">
        <v>0</v>
      </c>
      <c r="J774" t="n">
        <v>0</v>
      </c>
      <c r="K774" t="n">
        <v>0</v>
      </c>
      <c r="L774" t="n">
        <v>0</v>
      </c>
      <c r="M774" t="n">
        <v>0</v>
      </c>
      <c r="N774" t="n">
        <v>0</v>
      </c>
      <c r="O774" t="n">
        <v>0</v>
      </c>
      <c r="P774" t="n">
        <v>0</v>
      </c>
      <c r="Q774" t="n">
        <v>0</v>
      </c>
      <c r="R774" s="2" t="inlineStr"/>
    </row>
    <row r="775" ht="15" customHeight="1">
      <c r="A775" t="inlineStr">
        <is>
          <t>A 14142-2024</t>
        </is>
      </c>
      <c r="B775" s="1" t="n">
        <v>45392</v>
      </c>
      <c r="C775" s="1" t="n">
        <v>45589</v>
      </c>
      <c r="D775" t="inlineStr">
        <is>
          <t>JÄMTLANDS LÄN</t>
        </is>
      </c>
      <c r="E775" t="inlineStr">
        <is>
          <t>ÖSTERSUND</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16068-2024</t>
        </is>
      </c>
      <c r="B776" s="1" t="n">
        <v>45406</v>
      </c>
      <c r="C776" s="1" t="n">
        <v>45589</v>
      </c>
      <c r="D776" t="inlineStr">
        <is>
          <t>JÄMTLANDS LÄN</t>
        </is>
      </c>
      <c r="E776" t="inlineStr">
        <is>
          <t>ÖSTERSUND</t>
        </is>
      </c>
      <c r="F776" t="inlineStr">
        <is>
          <t>SCA</t>
        </is>
      </c>
      <c r="G776" t="n">
        <v>35.6</v>
      </c>
      <c r="H776" t="n">
        <v>0</v>
      </c>
      <c r="I776" t="n">
        <v>0</v>
      </c>
      <c r="J776" t="n">
        <v>0</v>
      </c>
      <c r="K776" t="n">
        <v>0</v>
      </c>
      <c r="L776" t="n">
        <v>0</v>
      </c>
      <c r="M776" t="n">
        <v>0</v>
      </c>
      <c r="N776" t="n">
        <v>0</v>
      </c>
      <c r="O776" t="n">
        <v>0</v>
      </c>
      <c r="P776" t="n">
        <v>0</v>
      </c>
      <c r="Q776" t="n">
        <v>0</v>
      </c>
      <c r="R776" s="2" t="inlineStr"/>
    </row>
    <row r="777" ht="15" customHeight="1">
      <c r="A777" t="inlineStr">
        <is>
          <t>A 16065-2024</t>
        </is>
      </c>
      <c r="B777" s="1" t="n">
        <v>45406</v>
      </c>
      <c r="C777" s="1" t="n">
        <v>45589</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16459-2024</t>
        </is>
      </c>
      <c r="B778" s="1" t="n">
        <v>45407</v>
      </c>
      <c r="C778" s="1" t="n">
        <v>45589</v>
      </c>
      <c r="D778" t="inlineStr">
        <is>
          <t>JÄMTLANDS LÄN</t>
        </is>
      </c>
      <c r="E778" t="inlineStr">
        <is>
          <t>ÖSTERSUND</t>
        </is>
      </c>
      <c r="G778" t="n">
        <v>24</v>
      </c>
      <c r="H778" t="n">
        <v>0</v>
      </c>
      <c r="I778" t="n">
        <v>0</v>
      </c>
      <c r="J778" t="n">
        <v>0</v>
      </c>
      <c r="K778" t="n">
        <v>0</v>
      </c>
      <c r="L778" t="n">
        <v>0</v>
      </c>
      <c r="M778" t="n">
        <v>0</v>
      </c>
      <c r="N778" t="n">
        <v>0</v>
      </c>
      <c r="O778" t="n">
        <v>0</v>
      </c>
      <c r="P778" t="n">
        <v>0</v>
      </c>
      <c r="Q778" t="n">
        <v>0</v>
      </c>
      <c r="R778" s="2" t="inlineStr"/>
    </row>
    <row r="779" ht="15" customHeight="1">
      <c r="A779" t="inlineStr">
        <is>
          <t>A 16689-2024</t>
        </is>
      </c>
      <c r="B779" s="1" t="n">
        <v>45408</v>
      </c>
      <c r="C779" s="1" t="n">
        <v>45589</v>
      </c>
      <c r="D779" t="inlineStr">
        <is>
          <t>JÄMTLANDS LÄN</t>
        </is>
      </c>
      <c r="E779" t="inlineStr">
        <is>
          <t>ÖSTERSUND</t>
        </is>
      </c>
      <c r="G779" t="n">
        <v>0.6</v>
      </c>
      <c r="H779" t="n">
        <v>0</v>
      </c>
      <c r="I779" t="n">
        <v>0</v>
      </c>
      <c r="J779" t="n">
        <v>0</v>
      </c>
      <c r="K779" t="n">
        <v>0</v>
      </c>
      <c r="L779" t="n">
        <v>0</v>
      </c>
      <c r="M779" t="n">
        <v>0</v>
      </c>
      <c r="N779" t="n">
        <v>0</v>
      </c>
      <c r="O779" t="n">
        <v>0</v>
      </c>
      <c r="P779" t="n">
        <v>0</v>
      </c>
      <c r="Q779" t="n">
        <v>0</v>
      </c>
      <c r="R779" s="2" t="inlineStr"/>
    </row>
    <row r="780" ht="15" customHeight="1">
      <c r="A780" t="inlineStr">
        <is>
          <t>A 17188-2024</t>
        </is>
      </c>
      <c r="B780" s="1" t="n">
        <v>45413</v>
      </c>
      <c r="C780" s="1" t="n">
        <v>45589</v>
      </c>
      <c r="D780" t="inlineStr">
        <is>
          <t>JÄMTLANDS LÄN</t>
        </is>
      </c>
      <c r="E780" t="inlineStr">
        <is>
          <t>ÖSTERSUND</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17062-2024</t>
        </is>
      </c>
      <c r="B781" s="1" t="n">
        <v>45412</v>
      </c>
      <c r="C781" s="1" t="n">
        <v>45589</v>
      </c>
      <c r="D781" t="inlineStr">
        <is>
          <t>JÄMTLANDS LÄN</t>
        </is>
      </c>
      <c r="E781" t="inlineStr">
        <is>
          <t>ÖSTERSUND</t>
        </is>
      </c>
      <c r="G781" t="n">
        <v>8</v>
      </c>
      <c r="H781" t="n">
        <v>0</v>
      </c>
      <c r="I781" t="n">
        <v>0</v>
      </c>
      <c r="J781" t="n">
        <v>0</v>
      </c>
      <c r="K781" t="n">
        <v>0</v>
      </c>
      <c r="L781" t="n">
        <v>0</v>
      </c>
      <c r="M781" t="n">
        <v>0</v>
      </c>
      <c r="N781" t="n">
        <v>0</v>
      </c>
      <c r="O781" t="n">
        <v>0</v>
      </c>
      <c r="P781" t="n">
        <v>0</v>
      </c>
      <c r="Q781" t="n">
        <v>0</v>
      </c>
      <c r="R781" s="2" t="inlineStr"/>
    </row>
    <row r="782" ht="15" customHeight="1">
      <c r="A782" t="inlineStr">
        <is>
          <t>A 17066-2024</t>
        </is>
      </c>
      <c r="B782" s="1" t="n">
        <v>45412</v>
      </c>
      <c r="C782" s="1" t="n">
        <v>45589</v>
      </c>
      <c r="D782" t="inlineStr">
        <is>
          <t>JÄMTLANDS LÄN</t>
        </is>
      </c>
      <c r="E782" t="inlineStr">
        <is>
          <t>ÖSTERSUND</t>
        </is>
      </c>
      <c r="G782" t="n">
        <v>4.2</v>
      </c>
      <c r="H782" t="n">
        <v>0</v>
      </c>
      <c r="I782" t="n">
        <v>0</v>
      </c>
      <c r="J782" t="n">
        <v>0</v>
      </c>
      <c r="K782" t="n">
        <v>0</v>
      </c>
      <c r="L782" t="n">
        <v>0</v>
      </c>
      <c r="M782" t="n">
        <v>0</v>
      </c>
      <c r="N782" t="n">
        <v>0</v>
      </c>
      <c r="O782" t="n">
        <v>0</v>
      </c>
      <c r="P782" t="n">
        <v>0</v>
      </c>
      <c r="Q782" t="n">
        <v>0</v>
      </c>
      <c r="R782" s="2" t="inlineStr"/>
    </row>
    <row r="783" ht="15" customHeight="1">
      <c r="A783" t="inlineStr">
        <is>
          <t>A 17547-2024</t>
        </is>
      </c>
      <c r="B783" s="1" t="n">
        <v>45415</v>
      </c>
      <c r="C783" s="1" t="n">
        <v>45589</v>
      </c>
      <c r="D783" t="inlineStr">
        <is>
          <t>JÄMTLANDS LÄN</t>
        </is>
      </c>
      <c r="E783" t="inlineStr">
        <is>
          <t>ÖSTERSUND</t>
        </is>
      </c>
      <c r="G783" t="n">
        <v>2.1</v>
      </c>
      <c r="H783" t="n">
        <v>0</v>
      </c>
      <c r="I783" t="n">
        <v>0</v>
      </c>
      <c r="J783" t="n">
        <v>0</v>
      </c>
      <c r="K783" t="n">
        <v>0</v>
      </c>
      <c r="L783" t="n">
        <v>0</v>
      </c>
      <c r="M783" t="n">
        <v>0</v>
      </c>
      <c r="N783" t="n">
        <v>0</v>
      </c>
      <c r="O783" t="n">
        <v>0</v>
      </c>
      <c r="P783" t="n">
        <v>0</v>
      </c>
      <c r="Q783" t="n">
        <v>0</v>
      </c>
      <c r="R783" s="2" t="inlineStr"/>
    </row>
    <row r="784" ht="15" customHeight="1">
      <c r="A784" t="inlineStr">
        <is>
          <t>A 17760-2024</t>
        </is>
      </c>
      <c r="B784" s="1" t="n">
        <v>45418</v>
      </c>
      <c r="C784" s="1" t="n">
        <v>45589</v>
      </c>
      <c r="D784" t="inlineStr">
        <is>
          <t>JÄMTLANDS LÄN</t>
        </is>
      </c>
      <c r="E784" t="inlineStr">
        <is>
          <t>ÖSTERSUND</t>
        </is>
      </c>
      <c r="G784" t="n">
        <v>1.6</v>
      </c>
      <c r="H784" t="n">
        <v>0</v>
      </c>
      <c r="I784" t="n">
        <v>0</v>
      </c>
      <c r="J784" t="n">
        <v>0</v>
      </c>
      <c r="K784" t="n">
        <v>0</v>
      </c>
      <c r="L784" t="n">
        <v>0</v>
      </c>
      <c r="M784" t="n">
        <v>0</v>
      </c>
      <c r="N784" t="n">
        <v>0</v>
      </c>
      <c r="O784" t="n">
        <v>0</v>
      </c>
      <c r="P784" t="n">
        <v>0</v>
      </c>
      <c r="Q784" t="n">
        <v>0</v>
      </c>
      <c r="R784" s="2" t="inlineStr"/>
    </row>
    <row r="785" ht="15" customHeight="1">
      <c r="A785" t="inlineStr">
        <is>
          <t>A 17709-2024</t>
        </is>
      </c>
      <c r="B785" s="1" t="n">
        <v>45418</v>
      </c>
      <c r="C785" s="1" t="n">
        <v>45589</v>
      </c>
      <c r="D785" t="inlineStr">
        <is>
          <t>JÄMTLANDS LÄN</t>
        </is>
      </c>
      <c r="E785" t="inlineStr">
        <is>
          <t>ÖSTERSUND</t>
        </is>
      </c>
      <c r="G785" t="n">
        <v>2.9</v>
      </c>
      <c r="H785" t="n">
        <v>0</v>
      </c>
      <c r="I785" t="n">
        <v>0</v>
      </c>
      <c r="J785" t="n">
        <v>0</v>
      </c>
      <c r="K785" t="n">
        <v>0</v>
      </c>
      <c r="L785" t="n">
        <v>0</v>
      </c>
      <c r="M785" t="n">
        <v>0</v>
      </c>
      <c r="N785" t="n">
        <v>0</v>
      </c>
      <c r="O785" t="n">
        <v>0</v>
      </c>
      <c r="P785" t="n">
        <v>0</v>
      </c>
      <c r="Q785" t="n">
        <v>0</v>
      </c>
      <c r="R785" s="2" t="inlineStr"/>
    </row>
    <row r="786" ht="15" customHeight="1">
      <c r="A786" t="inlineStr">
        <is>
          <t>A 18627-2024</t>
        </is>
      </c>
      <c r="B786" s="1" t="n">
        <v>45426</v>
      </c>
      <c r="C786" s="1" t="n">
        <v>45589</v>
      </c>
      <c r="D786" t="inlineStr">
        <is>
          <t>JÄMTLANDS LÄN</t>
        </is>
      </c>
      <c r="E786" t="inlineStr">
        <is>
          <t>ÖSTERSUND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18643-2024</t>
        </is>
      </c>
      <c r="B787" s="1" t="n">
        <v>45426</v>
      </c>
      <c r="C787" s="1" t="n">
        <v>45589</v>
      </c>
      <c r="D787" t="inlineStr">
        <is>
          <t>JÄMTLANDS LÄN</t>
        </is>
      </c>
      <c r="E787" t="inlineStr">
        <is>
          <t>ÖSTERSUND</t>
        </is>
      </c>
      <c r="F787" t="inlineStr">
        <is>
          <t>SCA</t>
        </is>
      </c>
      <c r="G787" t="n">
        <v>10.3</v>
      </c>
      <c r="H787" t="n">
        <v>0</v>
      </c>
      <c r="I787" t="n">
        <v>0</v>
      </c>
      <c r="J787" t="n">
        <v>0</v>
      </c>
      <c r="K787" t="n">
        <v>0</v>
      </c>
      <c r="L787" t="n">
        <v>0</v>
      </c>
      <c r="M787" t="n">
        <v>0</v>
      </c>
      <c r="N787" t="n">
        <v>0</v>
      </c>
      <c r="O787" t="n">
        <v>0</v>
      </c>
      <c r="P787" t="n">
        <v>0</v>
      </c>
      <c r="Q787" t="n">
        <v>0</v>
      </c>
      <c r="R787" s="2" t="inlineStr"/>
    </row>
    <row r="788" ht="15" customHeight="1">
      <c r="A788" t="inlineStr">
        <is>
          <t>A 18624-2024</t>
        </is>
      </c>
      <c r="B788" s="1" t="n">
        <v>45426</v>
      </c>
      <c r="C788" s="1" t="n">
        <v>45589</v>
      </c>
      <c r="D788" t="inlineStr">
        <is>
          <t>JÄMTLANDS LÄN</t>
        </is>
      </c>
      <c r="E788" t="inlineStr">
        <is>
          <t>ÖSTERSUND</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19112-2024</t>
        </is>
      </c>
      <c r="B789" s="1" t="n">
        <v>45427</v>
      </c>
      <c r="C789" s="1" t="n">
        <v>45589</v>
      </c>
      <c r="D789" t="inlineStr">
        <is>
          <t>JÄMTLANDS LÄN</t>
        </is>
      </c>
      <c r="E789" t="inlineStr">
        <is>
          <t>ÖSTERSUND</t>
        </is>
      </c>
      <c r="G789" t="n">
        <v>3.6</v>
      </c>
      <c r="H789" t="n">
        <v>0</v>
      </c>
      <c r="I789" t="n">
        <v>0</v>
      </c>
      <c r="J789" t="n">
        <v>0</v>
      </c>
      <c r="K789" t="n">
        <v>0</v>
      </c>
      <c r="L789" t="n">
        <v>0</v>
      </c>
      <c r="M789" t="n">
        <v>0</v>
      </c>
      <c r="N789" t="n">
        <v>0</v>
      </c>
      <c r="O789" t="n">
        <v>0</v>
      </c>
      <c r="P789" t="n">
        <v>0</v>
      </c>
      <c r="Q789" t="n">
        <v>0</v>
      </c>
      <c r="R789" s="2" t="inlineStr"/>
    </row>
    <row r="790" ht="15" customHeight="1">
      <c r="A790" t="inlineStr">
        <is>
          <t>A 19037-2024</t>
        </is>
      </c>
      <c r="B790" s="1" t="n">
        <v>45427</v>
      </c>
      <c r="C790" s="1" t="n">
        <v>45589</v>
      </c>
      <c r="D790" t="inlineStr">
        <is>
          <t>JÄMTLANDS LÄN</t>
        </is>
      </c>
      <c r="E790" t="inlineStr">
        <is>
          <t>ÖSTERSUND</t>
        </is>
      </c>
      <c r="G790" t="n">
        <v>2</v>
      </c>
      <c r="H790" t="n">
        <v>0</v>
      </c>
      <c r="I790" t="n">
        <v>0</v>
      </c>
      <c r="J790" t="n">
        <v>0</v>
      </c>
      <c r="K790" t="n">
        <v>0</v>
      </c>
      <c r="L790" t="n">
        <v>0</v>
      </c>
      <c r="M790" t="n">
        <v>0</v>
      </c>
      <c r="N790" t="n">
        <v>0</v>
      </c>
      <c r="O790" t="n">
        <v>0</v>
      </c>
      <c r="P790" t="n">
        <v>0</v>
      </c>
      <c r="Q790" t="n">
        <v>0</v>
      </c>
      <c r="R790" s="2" t="inlineStr"/>
    </row>
    <row r="791" ht="15" customHeight="1">
      <c r="A791" t="inlineStr">
        <is>
          <t>A 19138-2024</t>
        </is>
      </c>
      <c r="B791" s="1" t="n">
        <v>45428</v>
      </c>
      <c r="C791" s="1" t="n">
        <v>45589</v>
      </c>
      <c r="D791" t="inlineStr">
        <is>
          <t>JÄMTLANDS LÄN</t>
        </is>
      </c>
      <c r="E791" t="inlineStr">
        <is>
          <t>ÖSTERSUND</t>
        </is>
      </c>
      <c r="G791" t="n">
        <v>13.6</v>
      </c>
      <c r="H791" t="n">
        <v>0</v>
      </c>
      <c r="I791" t="n">
        <v>0</v>
      </c>
      <c r="J791" t="n">
        <v>0</v>
      </c>
      <c r="K791" t="n">
        <v>0</v>
      </c>
      <c r="L791" t="n">
        <v>0</v>
      </c>
      <c r="M791" t="n">
        <v>0</v>
      </c>
      <c r="N791" t="n">
        <v>0</v>
      </c>
      <c r="O791" t="n">
        <v>0</v>
      </c>
      <c r="P791" t="n">
        <v>0</v>
      </c>
      <c r="Q791" t="n">
        <v>0</v>
      </c>
      <c r="R791" s="2" t="inlineStr"/>
    </row>
    <row r="792" ht="15" customHeight="1">
      <c r="A792" t="inlineStr">
        <is>
          <t>A 19233-2024</t>
        </is>
      </c>
      <c r="B792" s="1" t="n">
        <v>45428</v>
      </c>
      <c r="C792" s="1" t="n">
        <v>45589</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19408-2024</t>
        </is>
      </c>
      <c r="B793" s="1" t="n">
        <v>45428</v>
      </c>
      <c r="C793" s="1" t="n">
        <v>45589</v>
      </c>
      <c r="D793" t="inlineStr">
        <is>
          <t>JÄMTLANDS LÄN</t>
        </is>
      </c>
      <c r="E793" t="inlineStr">
        <is>
          <t>ÖSTERSUND</t>
        </is>
      </c>
      <c r="G793" t="n">
        <v>11.1</v>
      </c>
      <c r="H793" t="n">
        <v>0</v>
      </c>
      <c r="I793" t="n">
        <v>0</v>
      </c>
      <c r="J793" t="n">
        <v>0</v>
      </c>
      <c r="K793" t="n">
        <v>0</v>
      </c>
      <c r="L793" t="n">
        <v>0</v>
      </c>
      <c r="M793" t="n">
        <v>0</v>
      </c>
      <c r="N793" t="n">
        <v>0</v>
      </c>
      <c r="O793" t="n">
        <v>0</v>
      </c>
      <c r="P793" t="n">
        <v>0</v>
      </c>
      <c r="Q793" t="n">
        <v>0</v>
      </c>
      <c r="R793" s="2" t="inlineStr"/>
    </row>
    <row r="794" ht="15" customHeight="1">
      <c r="A794" t="inlineStr">
        <is>
          <t>A 19323-2024</t>
        </is>
      </c>
      <c r="B794" s="1" t="n">
        <v>45429</v>
      </c>
      <c r="C794" s="1" t="n">
        <v>45589</v>
      </c>
      <c r="D794" t="inlineStr">
        <is>
          <t>JÄMTLANDS LÄN</t>
        </is>
      </c>
      <c r="E794" t="inlineStr">
        <is>
          <t>ÖSTERSUND</t>
        </is>
      </c>
      <c r="F794" t="inlineStr">
        <is>
          <t>Kommuner</t>
        </is>
      </c>
      <c r="G794" t="n">
        <v>0.2</v>
      </c>
      <c r="H794" t="n">
        <v>0</v>
      </c>
      <c r="I794" t="n">
        <v>0</v>
      </c>
      <c r="J794" t="n">
        <v>0</v>
      </c>
      <c r="K794" t="n">
        <v>0</v>
      </c>
      <c r="L794" t="n">
        <v>0</v>
      </c>
      <c r="M794" t="n">
        <v>0</v>
      </c>
      <c r="N794" t="n">
        <v>0</v>
      </c>
      <c r="O794" t="n">
        <v>0</v>
      </c>
      <c r="P794" t="n">
        <v>0</v>
      </c>
      <c r="Q794" t="n">
        <v>0</v>
      </c>
      <c r="R794" s="2" t="inlineStr"/>
    </row>
    <row r="795" ht="15" customHeight="1">
      <c r="A795" t="inlineStr">
        <is>
          <t>A 19566-2024</t>
        </is>
      </c>
      <c r="B795" s="1" t="n">
        <v>45430</v>
      </c>
      <c r="C795" s="1" t="n">
        <v>45589</v>
      </c>
      <c r="D795" t="inlineStr">
        <is>
          <t>JÄMTLANDS LÄN</t>
        </is>
      </c>
      <c r="E795" t="inlineStr">
        <is>
          <t>ÖSTERSUND</t>
        </is>
      </c>
      <c r="G795" t="n">
        <v>0</v>
      </c>
      <c r="H795" t="n">
        <v>0</v>
      </c>
      <c r="I795" t="n">
        <v>0</v>
      </c>
      <c r="J795" t="n">
        <v>0</v>
      </c>
      <c r="K795" t="n">
        <v>0</v>
      </c>
      <c r="L795" t="n">
        <v>0</v>
      </c>
      <c r="M795" t="n">
        <v>0</v>
      </c>
      <c r="N795" t="n">
        <v>0</v>
      </c>
      <c r="O795" t="n">
        <v>0</v>
      </c>
      <c r="P795" t="n">
        <v>0</v>
      </c>
      <c r="Q795" t="n">
        <v>0</v>
      </c>
      <c r="R795" s="2" t="inlineStr"/>
    </row>
    <row r="796" ht="15" customHeight="1">
      <c r="A796" t="inlineStr">
        <is>
          <t>A 19570-2024</t>
        </is>
      </c>
      <c r="B796" s="1" t="n">
        <v>45430</v>
      </c>
      <c r="C796" s="1" t="n">
        <v>45589</v>
      </c>
      <c r="D796" t="inlineStr">
        <is>
          <t>JÄMTLANDS LÄN</t>
        </is>
      </c>
      <c r="E796" t="inlineStr">
        <is>
          <t>ÖSTERSUND</t>
        </is>
      </c>
      <c r="G796" t="n">
        <v>0.8</v>
      </c>
      <c r="H796" t="n">
        <v>0</v>
      </c>
      <c r="I796" t="n">
        <v>0</v>
      </c>
      <c r="J796" t="n">
        <v>0</v>
      </c>
      <c r="K796" t="n">
        <v>0</v>
      </c>
      <c r="L796" t="n">
        <v>0</v>
      </c>
      <c r="M796" t="n">
        <v>0</v>
      </c>
      <c r="N796" t="n">
        <v>0</v>
      </c>
      <c r="O796" t="n">
        <v>0</v>
      </c>
      <c r="P796" t="n">
        <v>0</v>
      </c>
      <c r="Q796" t="n">
        <v>0</v>
      </c>
      <c r="R796" s="2" t="inlineStr"/>
    </row>
    <row r="797" ht="15" customHeight="1">
      <c r="A797" t="inlineStr">
        <is>
          <t>A 19725-2024</t>
        </is>
      </c>
      <c r="B797" s="1" t="n">
        <v>45432</v>
      </c>
      <c r="C797" s="1" t="n">
        <v>45589</v>
      </c>
      <c r="D797" t="inlineStr">
        <is>
          <t>JÄMTLANDS LÄN</t>
        </is>
      </c>
      <c r="E797" t="inlineStr">
        <is>
          <t>ÖSTERSUND</t>
        </is>
      </c>
      <c r="G797" t="n">
        <v>7.2</v>
      </c>
      <c r="H797" t="n">
        <v>0</v>
      </c>
      <c r="I797" t="n">
        <v>0</v>
      </c>
      <c r="J797" t="n">
        <v>0</v>
      </c>
      <c r="K797" t="n">
        <v>0</v>
      </c>
      <c r="L797" t="n">
        <v>0</v>
      </c>
      <c r="M797" t="n">
        <v>0</v>
      </c>
      <c r="N797" t="n">
        <v>0</v>
      </c>
      <c r="O797" t="n">
        <v>0</v>
      </c>
      <c r="P797" t="n">
        <v>0</v>
      </c>
      <c r="Q797" t="n">
        <v>0</v>
      </c>
      <c r="R797" s="2" t="inlineStr"/>
    </row>
    <row r="798" ht="15" customHeight="1">
      <c r="A798" t="inlineStr">
        <is>
          <t>A 20068-2024</t>
        </is>
      </c>
      <c r="B798" s="1" t="n">
        <v>45434</v>
      </c>
      <c r="C798" s="1" t="n">
        <v>45589</v>
      </c>
      <c r="D798" t="inlineStr">
        <is>
          <t>JÄMTLANDS LÄN</t>
        </is>
      </c>
      <c r="E798" t="inlineStr">
        <is>
          <t>ÖSTERSUND</t>
        </is>
      </c>
      <c r="G798" t="n">
        <v>10.2</v>
      </c>
      <c r="H798" t="n">
        <v>0</v>
      </c>
      <c r="I798" t="n">
        <v>0</v>
      </c>
      <c r="J798" t="n">
        <v>0</v>
      </c>
      <c r="K798" t="n">
        <v>0</v>
      </c>
      <c r="L798" t="n">
        <v>0</v>
      </c>
      <c r="M798" t="n">
        <v>0</v>
      </c>
      <c r="N798" t="n">
        <v>0</v>
      </c>
      <c r="O798" t="n">
        <v>0</v>
      </c>
      <c r="P798" t="n">
        <v>0</v>
      </c>
      <c r="Q798" t="n">
        <v>0</v>
      </c>
      <c r="R798" s="2" t="inlineStr"/>
    </row>
    <row r="799" ht="15" customHeight="1">
      <c r="A799" t="inlineStr">
        <is>
          <t>A 20400-2024</t>
        </is>
      </c>
      <c r="B799" s="1" t="n">
        <v>45435</v>
      </c>
      <c r="C799" s="1" t="n">
        <v>45589</v>
      </c>
      <c r="D799" t="inlineStr">
        <is>
          <t>JÄMTLANDS LÄN</t>
        </is>
      </c>
      <c r="E799" t="inlineStr">
        <is>
          <t>ÖSTERSUND</t>
        </is>
      </c>
      <c r="G799" t="n">
        <v>0.9</v>
      </c>
      <c r="H799" t="n">
        <v>0</v>
      </c>
      <c r="I799" t="n">
        <v>0</v>
      </c>
      <c r="J799" t="n">
        <v>0</v>
      </c>
      <c r="K799" t="n">
        <v>0</v>
      </c>
      <c r="L799" t="n">
        <v>0</v>
      </c>
      <c r="M799" t="n">
        <v>0</v>
      </c>
      <c r="N799" t="n">
        <v>0</v>
      </c>
      <c r="O799" t="n">
        <v>0</v>
      </c>
      <c r="P799" t="n">
        <v>0</v>
      </c>
      <c r="Q799" t="n">
        <v>0</v>
      </c>
      <c r="R799" s="2" t="inlineStr"/>
    </row>
    <row r="800" ht="15" customHeight="1">
      <c r="A800" t="inlineStr">
        <is>
          <t>A 20632-2024</t>
        </is>
      </c>
      <c r="B800" s="1" t="n">
        <v>45436</v>
      </c>
      <c r="C800" s="1" t="n">
        <v>45589</v>
      </c>
      <c r="D800" t="inlineStr">
        <is>
          <t>JÄMTLANDS LÄN</t>
        </is>
      </c>
      <c r="E800" t="inlineStr">
        <is>
          <t>ÖSTERSUND</t>
        </is>
      </c>
      <c r="G800" t="n">
        <v>5.6</v>
      </c>
      <c r="H800" t="n">
        <v>0</v>
      </c>
      <c r="I800" t="n">
        <v>0</v>
      </c>
      <c r="J800" t="n">
        <v>0</v>
      </c>
      <c r="K800" t="n">
        <v>0</v>
      </c>
      <c r="L800" t="n">
        <v>0</v>
      </c>
      <c r="M800" t="n">
        <v>0</v>
      </c>
      <c r="N800" t="n">
        <v>0</v>
      </c>
      <c r="O800" t="n">
        <v>0</v>
      </c>
      <c r="P800" t="n">
        <v>0</v>
      </c>
      <c r="Q800" t="n">
        <v>0</v>
      </c>
      <c r="R800" s="2" t="inlineStr"/>
    </row>
    <row r="801" ht="15" customHeight="1">
      <c r="A801" t="inlineStr">
        <is>
          <t>A 20629-2024</t>
        </is>
      </c>
      <c r="B801" s="1" t="n">
        <v>45436</v>
      </c>
      <c r="C801" s="1" t="n">
        <v>45589</v>
      </c>
      <c r="D801" t="inlineStr">
        <is>
          <t>JÄMTLANDS LÄN</t>
        </is>
      </c>
      <c r="E801" t="inlineStr">
        <is>
          <t>ÖSTERSUND</t>
        </is>
      </c>
      <c r="G801" t="n">
        <v>2.3</v>
      </c>
      <c r="H801" t="n">
        <v>0</v>
      </c>
      <c r="I801" t="n">
        <v>0</v>
      </c>
      <c r="J801" t="n">
        <v>0</v>
      </c>
      <c r="K801" t="n">
        <v>0</v>
      </c>
      <c r="L801" t="n">
        <v>0</v>
      </c>
      <c r="M801" t="n">
        <v>0</v>
      </c>
      <c r="N801" t="n">
        <v>0</v>
      </c>
      <c r="O801" t="n">
        <v>0</v>
      </c>
      <c r="P801" t="n">
        <v>0</v>
      </c>
      <c r="Q801" t="n">
        <v>0</v>
      </c>
      <c r="R801" s="2" t="inlineStr"/>
    </row>
    <row r="802" ht="15" customHeight="1">
      <c r="A802" t="inlineStr">
        <is>
          <t>A 20736-2024</t>
        </is>
      </c>
      <c r="B802" s="1" t="n">
        <v>45436</v>
      </c>
      <c r="C802" s="1" t="n">
        <v>45589</v>
      </c>
      <c r="D802" t="inlineStr">
        <is>
          <t>JÄMTLANDS LÄN</t>
        </is>
      </c>
      <c r="E802" t="inlineStr">
        <is>
          <t>ÖSTERSUND</t>
        </is>
      </c>
      <c r="G802" t="n">
        <v>5.3</v>
      </c>
      <c r="H802" t="n">
        <v>0</v>
      </c>
      <c r="I802" t="n">
        <v>0</v>
      </c>
      <c r="J802" t="n">
        <v>0</v>
      </c>
      <c r="K802" t="n">
        <v>0</v>
      </c>
      <c r="L802" t="n">
        <v>0</v>
      </c>
      <c r="M802" t="n">
        <v>0</v>
      </c>
      <c r="N802" t="n">
        <v>0</v>
      </c>
      <c r="O802" t="n">
        <v>0</v>
      </c>
      <c r="P802" t="n">
        <v>0</v>
      </c>
      <c r="Q802" t="n">
        <v>0</v>
      </c>
      <c r="R802" s="2" t="inlineStr"/>
    </row>
    <row r="803" ht="15" customHeight="1">
      <c r="A803" t="inlineStr">
        <is>
          <t>A 21094-2024</t>
        </is>
      </c>
      <c r="B803" s="1" t="n">
        <v>45440</v>
      </c>
      <c r="C803" s="1" t="n">
        <v>45589</v>
      </c>
      <c r="D803" t="inlineStr">
        <is>
          <t>JÄMTLANDS LÄN</t>
        </is>
      </c>
      <c r="E803" t="inlineStr">
        <is>
          <t>ÖSTERSUND</t>
        </is>
      </c>
      <c r="F803" t="inlineStr">
        <is>
          <t>SCA</t>
        </is>
      </c>
      <c r="G803" t="n">
        <v>7.6</v>
      </c>
      <c r="H803" t="n">
        <v>0</v>
      </c>
      <c r="I803" t="n">
        <v>0</v>
      </c>
      <c r="J803" t="n">
        <v>0</v>
      </c>
      <c r="K803" t="n">
        <v>0</v>
      </c>
      <c r="L803" t="n">
        <v>0</v>
      </c>
      <c r="M803" t="n">
        <v>0</v>
      </c>
      <c r="N803" t="n">
        <v>0</v>
      </c>
      <c r="O803" t="n">
        <v>0</v>
      </c>
      <c r="P803" t="n">
        <v>0</v>
      </c>
      <c r="Q803" t="n">
        <v>0</v>
      </c>
      <c r="R803" s="2" t="inlineStr"/>
    </row>
    <row r="804" ht="15" customHeight="1">
      <c r="A804" t="inlineStr">
        <is>
          <t>A 21093-2024</t>
        </is>
      </c>
      <c r="B804" s="1" t="n">
        <v>45440</v>
      </c>
      <c r="C804" s="1" t="n">
        <v>45589</v>
      </c>
      <c r="D804" t="inlineStr">
        <is>
          <t>JÄMTLANDS LÄN</t>
        </is>
      </c>
      <c r="E804" t="inlineStr">
        <is>
          <t>ÖSTERSUND</t>
        </is>
      </c>
      <c r="F804" t="inlineStr">
        <is>
          <t>SCA</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21373-2024</t>
        </is>
      </c>
      <c r="B805" s="1" t="n">
        <v>45441</v>
      </c>
      <c r="C805" s="1" t="n">
        <v>45589</v>
      </c>
      <c r="D805" t="inlineStr">
        <is>
          <t>JÄMTLANDS LÄN</t>
        </is>
      </c>
      <c r="E805" t="inlineStr">
        <is>
          <t>ÖSTERSUND</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21822-2024</t>
        </is>
      </c>
      <c r="B806" s="1" t="n">
        <v>45442</v>
      </c>
      <c r="C806" s="1" t="n">
        <v>45589</v>
      </c>
      <c r="D806" t="inlineStr">
        <is>
          <t>JÄMTLANDS LÄN</t>
        </is>
      </c>
      <c r="E806" t="inlineStr">
        <is>
          <t>ÖSTERSUND</t>
        </is>
      </c>
      <c r="G806" t="n">
        <v>5.1</v>
      </c>
      <c r="H806" t="n">
        <v>0</v>
      </c>
      <c r="I806" t="n">
        <v>0</v>
      </c>
      <c r="J806" t="n">
        <v>0</v>
      </c>
      <c r="K806" t="n">
        <v>0</v>
      </c>
      <c r="L806" t="n">
        <v>0</v>
      </c>
      <c r="M806" t="n">
        <v>0</v>
      </c>
      <c r="N806" t="n">
        <v>0</v>
      </c>
      <c r="O806" t="n">
        <v>0</v>
      </c>
      <c r="P806" t="n">
        <v>0</v>
      </c>
      <c r="Q806" t="n">
        <v>0</v>
      </c>
      <c r="R806" s="2" t="inlineStr"/>
    </row>
    <row r="807" ht="15" customHeight="1">
      <c r="A807" t="inlineStr">
        <is>
          <t>A 21667-2024</t>
        </is>
      </c>
      <c r="B807" s="1" t="n">
        <v>45442</v>
      </c>
      <c r="C807" s="1" t="n">
        <v>45589</v>
      </c>
      <c r="D807" t="inlineStr">
        <is>
          <t>JÄMTLANDS LÄN</t>
        </is>
      </c>
      <c r="E807" t="inlineStr">
        <is>
          <t>ÖSTERSUND</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22123-2024</t>
        </is>
      </c>
      <c r="B808" s="1" t="n">
        <v>45444</v>
      </c>
      <c r="C808" s="1" t="n">
        <v>45589</v>
      </c>
      <c r="D808" t="inlineStr">
        <is>
          <t>JÄMTLANDS LÄN</t>
        </is>
      </c>
      <c r="E808" t="inlineStr">
        <is>
          <t>ÖSTERSUND</t>
        </is>
      </c>
      <c r="G808" t="n">
        <v>5.1</v>
      </c>
      <c r="H808" t="n">
        <v>0</v>
      </c>
      <c r="I808" t="n">
        <v>0</v>
      </c>
      <c r="J808" t="n">
        <v>0</v>
      </c>
      <c r="K808" t="n">
        <v>0</v>
      </c>
      <c r="L808" t="n">
        <v>0</v>
      </c>
      <c r="M808" t="n">
        <v>0</v>
      </c>
      <c r="N808" t="n">
        <v>0</v>
      </c>
      <c r="O808" t="n">
        <v>0</v>
      </c>
      <c r="P808" t="n">
        <v>0</v>
      </c>
      <c r="Q808" t="n">
        <v>0</v>
      </c>
      <c r="R808" s="2" t="inlineStr"/>
    </row>
    <row r="809" ht="15" customHeight="1">
      <c r="A809" t="inlineStr">
        <is>
          <t>A 22478-2024</t>
        </is>
      </c>
      <c r="B809" s="1" t="n">
        <v>45447</v>
      </c>
      <c r="C809" s="1" t="n">
        <v>45589</v>
      </c>
      <c r="D809" t="inlineStr">
        <is>
          <t>JÄMTLANDS LÄN</t>
        </is>
      </c>
      <c r="E809" t="inlineStr">
        <is>
          <t>ÖSTERSUND</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23124-2024</t>
        </is>
      </c>
      <c r="B810" s="1" t="n">
        <v>45450</v>
      </c>
      <c r="C810" s="1" t="n">
        <v>45589</v>
      </c>
      <c r="D810" t="inlineStr">
        <is>
          <t>JÄMTLANDS LÄN</t>
        </is>
      </c>
      <c r="E810" t="inlineStr">
        <is>
          <t>ÖSTERSUND</t>
        </is>
      </c>
      <c r="G810" t="n">
        <v>5.8</v>
      </c>
      <c r="H810" t="n">
        <v>0</v>
      </c>
      <c r="I810" t="n">
        <v>0</v>
      </c>
      <c r="J810" t="n">
        <v>0</v>
      </c>
      <c r="K810" t="n">
        <v>0</v>
      </c>
      <c r="L810" t="n">
        <v>0</v>
      </c>
      <c r="M810" t="n">
        <v>0</v>
      </c>
      <c r="N810" t="n">
        <v>0</v>
      </c>
      <c r="O810" t="n">
        <v>0</v>
      </c>
      <c r="P810" t="n">
        <v>0</v>
      </c>
      <c r="Q810" t="n">
        <v>0</v>
      </c>
      <c r="R810" s="2" t="inlineStr"/>
    </row>
    <row r="811" ht="15" customHeight="1">
      <c r="A811" t="inlineStr">
        <is>
          <t>A 23191-2024</t>
        </is>
      </c>
      <c r="B811" s="1" t="n">
        <v>45450</v>
      </c>
      <c r="C811" s="1" t="n">
        <v>45589</v>
      </c>
      <c r="D811" t="inlineStr">
        <is>
          <t>JÄMTLANDS LÄN</t>
        </is>
      </c>
      <c r="E811" t="inlineStr">
        <is>
          <t>ÖSTERSUND</t>
        </is>
      </c>
      <c r="G811" t="n">
        <v>7</v>
      </c>
      <c r="H811" t="n">
        <v>0</v>
      </c>
      <c r="I811" t="n">
        <v>0</v>
      </c>
      <c r="J811" t="n">
        <v>0</v>
      </c>
      <c r="K811" t="n">
        <v>0</v>
      </c>
      <c r="L811" t="n">
        <v>0</v>
      </c>
      <c r="M811" t="n">
        <v>0</v>
      </c>
      <c r="N811" t="n">
        <v>0</v>
      </c>
      <c r="O811" t="n">
        <v>0</v>
      </c>
      <c r="P811" t="n">
        <v>0</v>
      </c>
      <c r="Q811" t="n">
        <v>0</v>
      </c>
      <c r="R811" s="2" t="inlineStr"/>
    </row>
    <row r="812" ht="15" customHeight="1">
      <c r="A812" t="inlineStr">
        <is>
          <t>A 23492-2024</t>
        </is>
      </c>
      <c r="B812" s="1" t="n">
        <v>45453</v>
      </c>
      <c r="C812" s="1" t="n">
        <v>45589</v>
      </c>
      <c r="D812" t="inlineStr">
        <is>
          <t>JÄMTLANDS LÄN</t>
        </is>
      </c>
      <c r="E812" t="inlineStr">
        <is>
          <t>ÖSTERSUND</t>
        </is>
      </c>
      <c r="G812" t="n">
        <v>9.1</v>
      </c>
      <c r="H812" t="n">
        <v>0</v>
      </c>
      <c r="I812" t="n">
        <v>0</v>
      </c>
      <c r="J812" t="n">
        <v>0</v>
      </c>
      <c r="K812" t="n">
        <v>0</v>
      </c>
      <c r="L812" t="n">
        <v>0</v>
      </c>
      <c r="M812" t="n">
        <v>0</v>
      </c>
      <c r="N812" t="n">
        <v>0</v>
      </c>
      <c r="O812" t="n">
        <v>0</v>
      </c>
      <c r="P812" t="n">
        <v>0</v>
      </c>
      <c r="Q812" t="n">
        <v>0</v>
      </c>
      <c r="R812" s="2" t="inlineStr"/>
    </row>
    <row r="813" ht="15" customHeight="1">
      <c r="A813" t="inlineStr">
        <is>
          <t>A 24246-2024</t>
        </is>
      </c>
      <c r="B813" s="1" t="n">
        <v>45457</v>
      </c>
      <c r="C813" s="1" t="n">
        <v>45589</v>
      </c>
      <c r="D813" t="inlineStr">
        <is>
          <t>JÄMTLANDS LÄN</t>
        </is>
      </c>
      <c r="E813" t="inlineStr">
        <is>
          <t>ÖSTERSUND</t>
        </is>
      </c>
      <c r="G813" t="n">
        <v>5.3</v>
      </c>
      <c r="H813" t="n">
        <v>0</v>
      </c>
      <c r="I813" t="n">
        <v>0</v>
      </c>
      <c r="J813" t="n">
        <v>0</v>
      </c>
      <c r="K813" t="n">
        <v>0</v>
      </c>
      <c r="L813" t="n">
        <v>0</v>
      </c>
      <c r="M813" t="n">
        <v>0</v>
      </c>
      <c r="N813" t="n">
        <v>0</v>
      </c>
      <c r="O813" t="n">
        <v>0</v>
      </c>
      <c r="P813" t="n">
        <v>0</v>
      </c>
      <c r="Q813" t="n">
        <v>0</v>
      </c>
      <c r="R813" s="2" t="inlineStr"/>
    </row>
    <row r="814" ht="15" customHeight="1">
      <c r="A814" t="inlineStr">
        <is>
          <t>A 24781-2024</t>
        </is>
      </c>
      <c r="B814" s="1" t="n">
        <v>45460</v>
      </c>
      <c r="C814" s="1" t="n">
        <v>45589</v>
      </c>
      <c r="D814" t="inlineStr">
        <is>
          <t>JÄMTLANDS LÄN</t>
        </is>
      </c>
      <c r="E814" t="inlineStr">
        <is>
          <t>ÖSTERSUND</t>
        </is>
      </c>
      <c r="G814" t="n">
        <v>2.2</v>
      </c>
      <c r="H814" t="n">
        <v>0</v>
      </c>
      <c r="I814" t="n">
        <v>0</v>
      </c>
      <c r="J814" t="n">
        <v>0</v>
      </c>
      <c r="K814" t="n">
        <v>0</v>
      </c>
      <c r="L814" t="n">
        <v>0</v>
      </c>
      <c r="M814" t="n">
        <v>0</v>
      </c>
      <c r="N814" t="n">
        <v>0</v>
      </c>
      <c r="O814" t="n">
        <v>0</v>
      </c>
      <c r="P814" t="n">
        <v>0</v>
      </c>
      <c r="Q814" t="n">
        <v>0</v>
      </c>
      <c r="R814" s="2" t="inlineStr"/>
    </row>
    <row r="815" ht="15" customHeight="1">
      <c r="A815" t="inlineStr">
        <is>
          <t>A 24786-2024</t>
        </is>
      </c>
      <c r="B815" s="1" t="n">
        <v>45460</v>
      </c>
      <c r="C815" s="1" t="n">
        <v>45589</v>
      </c>
      <c r="D815" t="inlineStr">
        <is>
          <t>JÄMTLANDS LÄN</t>
        </is>
      </c>
      <c r="E815" t="inlineStr">
        <is>
          <t>ÖSTERSUND</t>
        </is>
      </c>
      <c r="G815" t="n">
        <v>0.1</v>
      </c>
      <c r="H815" t="n">
        <v>0</v>
      </c>
      <c r="I815" t="n">
        <v>0</v>
      </c>
      <c r="J815" t="n">
        <v>0</v>
      </c>
      <c r="K815" t="n">
        <v>0</v>
      </c>
      <c r="L815" t="n">
        <v>0</v>
      </c>
      <c r="M815" t="n">
        <v>0</v>
      </c>
      <c r="N815" t="n">
        <v>0</v>
      </c>
      <c r="O815" t="n">
        <v>0</v>
      </c>
      <c r="P815" t="n">
        <v>0</v>
      </c>
      <c r="Q815" t="n">
        <v>0</v>
      </c>
      <c r="R815" s="2" t="inlineStr"/>
    </row>
    <row r="816" ht="15" customHeight="1">
      <c r="A816" t="inlineStr">
        <is>
          <t>A 24605-2024</t>
        </is>
      </c>
      <c r="B816" s="1" t="n">
        <v>45460</v>
      </c>
      <c r="C816" s="1" t="n">
        <v>45589</v>
      </c>
      <c r="D816" t="inlineStr">
        <is>
          <t>JÄMTLANDS LÄN</t>
        </is>
      </c>
      <c r="E816" t="inlineStr">
        <is>
          <t>ÖSTERSUND</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25388-2024</t>
        </is>
      </c>
      <c r="B817" s="1" t="n">
        <v>45463</v>
      </c>
      <c r="C817" s="1" t="n">
        <v>45589</v>
      </c>
      <c r="D817" t="inlineStr">
        <is>
          <t>JÄMTLANDS LÄN</t>
        </is>
      </c>
      <c r="E817" t="inlineStr">
        <is>
          <t>ÖSTERSUND</t>
        </is>
      </c>
      <c r="G817" t="n">
        <v>2.7</v>
      </c>
      <c r="H817" t="n">
        <v>0</v>
      </c>
      <c r="I817" t="n">
        <v>0</v>
      </c>
      <c r="J817" t="n">
        <v>0</v>
      </c>
      <c r="K817" t="n">
        <v>0</v>
      </c>
      <c r="L817" t="n">
        <v>0</v>
      </c>
      <c r="M817" t="n">
        <v>0</v>
      </c>
      <c r="N817" t="n">
        <v>0</v>
      </c>
      <c r="O817" t="n">
        <v>0</v>
      </c>
      <c r="P817" t="n">
        <v>0</v>
      </c>
      <c r="Q817" t="n">
        <v>0</v>
      </c>
      <c r="R817" s="2" t="inlineStr"/>
    </row>
    <row r="818" ht="15" customHeight="1">
      <c r="A818" t="inlineStr">
        <is>
          <t>A 25385-2024</t>
        </is>
      </c>
      <c r="B818" s="1" t="n">
        <v>45463</v>
      </c>
      <c r="C818" s="1" t="n">
        <v>45589</v>
      </c>
      <c r="D818" t="inlineStr">
        <is>
          <t>JÄMTLANDS LÄN</t>
        </is>
      </c>
      <c r="E818" t="inlineStr">
        <is>
          <t>ÖSTERSUND</t>
        </is>
      </c>
      <c r="F818" t="inlineStr">
        <is>
          <t>SCA</t>
        </is>
      </c>
      <c r="G818" t="n">
        <v>5.2</v>
      </c>
      <c r="H818" t="n">
        <v>0</v>
      </c>
      <c r="I818" t="n">
        <v>0</v>
      </c>
      <c r="J818" t="n">
        <v>0</v>
      </c>
      <c r="K818" t="n">
        <v>0</v>
      </c>
      <c r="L818" t="n">
        <v>0</v>
      </c>
      <c r="M818" t="n">
        <v>0</v>
      </c>
      <c r="N818" t="n">
        <v>0</v>
      </c>
      <c r="O818" t="n">
        <v>0</v>
      </c>
      <c r="P818" t="n">
        <v>0</v>
      </c>
      <c r="Q818" t="n">
        <v>0</v>
      </c>
      <c r="R818" s="2" t="inlineStr"/>
    </row>
    <row r="819" ht="15" customHeight="1">
      <c r="A819" t="inlineStr">
        <is>
          <t>A 25187-2024</t>
        </is>
      </c>
      <c r="B819" s="1" t="n">
        <v>45462</v>
      </c>
      <c r="C819" s="1" t="n">
        <v>45589</v>
      </c>
      <c r="D819" t="inlineStr">
        <is>
          <t>JÄMTLANDS LÄN</t>
        </is>
      </c>
      <c r="E819" t="inlineStr">
        <is>
          <t>ÖSTERSUND</t>
        </is>
      </c>
      <c r="G819" t="n">
        <v>2.4</v>
      </c>
      <c r="H819" t="n">
        <v>0</v>
      </c>
      <c r="I819" t="n">
        <v>0</v>
      </c>
      <c r="J819" t="n">
        <v>0</v>
      </c>
      <c r="K819" t="n">
        <v>0</v>
      </c>
      <c r="L819" t="n">
        <v>0</v>
      </c>
      <c r="M819" t="n">
        <v>0</v>
      </c>
      <c r="N819" t="n">
        <v>0</v>
      </c>
      <c r="O819" t="n">
        <v>0</v>
      </c>
      <c r="P819" t="n">
        <v>0</v>
      </c>
      <c r="Q819" t="n">
        <v>0</v>
      </c>
      <c r="R819" s="2" t="inlineStr"/>
    </row>
    <row r="820" ht="15" customHeight="1">
      <c r="A820" t="inlineStr">
        <is>
          <t>A 26202-2024</t>
        </is>
      </c>
      <c r="B820" s="1" t="n">
        <v>45468</v>
      </c>
      <c r="C820" s="1" t="n">
        <v>45589</v>
      </c>
      <c r="D820" t="inlineStr">
        <is>
          <t>JÄMTLANDS LÄN</t>
        </is>
      </c>
      <c r="E820" t="inlineStr">
        <is>
          <t>ÖSTERSUND</t>
        </is>
      </c>
      <c r="G820" t="n">
        <v>6.7</v>
      </c>
      <c r="H820" t="n">
        <v>0</v>
      </c>
      <c r="I820" t="n">
        <v>0</v>
      </c>
      <c r="J820" t="n">
        <v>0</v>
      </c>
      <c r="K820" t="n">
        <v>0</v>
      </c>
      <c r="L820" t="n">
        <v>0</v>
      </c>
      <c r="M820" t="n">
        <v>0</v>
      </c>
      <c r="N820" t="n">
        <v>0</v>
      </c>
      <c r="O820" t="n">
        <v>0</v>
      </c>
      <c r="P820" t="n">
        <v>0</v>
      </c>
      <c r="Q820" t="n">
        <v>0</v>
      </c>
      <c r="R820" s="2" t="inlineStr"/>
    </row>
    <row r="821" ht="15" customHeight="1">
      <c r="A821" t="inlineStr">
        <is>
          <t>A 27906-2024</t>
        </is>
      </c>
      <c r="B821" s="1" t="n">
        <v>45476</v>
      </c>
      <c r="C821" s="1" t="n">
        <v>45589</v>
      </c>
      <c r="D821" t="inlineStr">
        <is>
          <t>JÄMTLANDS LÄN</t>
        </is>
      </c>
      <c r="E821" t="inlineStr">
        <is>
          <t>ÖSTERSUND</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27689-2024</t>
        </is>
      </c>
      <c r="B822" s="1" t="n">
        <v>45475</v>
      </c>
      <c r="C822" s="1" t="n">
        <v>45589</v>
      </c>
      <c r="D822" t="inlineStr">
        <is>
          <t>JÄMTLANDS LÄN</t>
        </is>
      </c>
      <c r="E822" t="inlineStr">
        <is>
          <t>ÖSTERSUND</t>
        </is>
      </c>
      <c r="G822" t="n">
        <v>0.6</v>
      </c>
      <c r="H822" t="n">
        <v>0</v>
      </c>
      <c r="I822" t="n">
        <v>0</v>
      </c>
      <c r="J822" t="n">
        <v>0</v>
      </c>
      <c r="K822" t="n">
        <v>0</v>
      </c>
      <c r="L822" t="n">
        <v>0</v>
      </c>
      <c r="M822" t="n">
        <v>0</v>
      </c>
      <c r="N822" t="n">
        <v>0</v>
      </c>
      <c r="O822" t="n">
        <v>0</v>
      </c>
      <c r="P822" t="n">
        <v>0</v>
      </c>
      <c r="Q822" t="n">
        <v>0</v>
      </c>
      <c r="R822" s="2" t="inlineStr"/>
    </row>
    <row r="823" ht="15" customHeight="1">
      <c r="A823" t="inlineStr">
        <is>
          <t>A 27764-2024</t>
        </is>
      </c>
      <c r="B823" s="1" t="n">
        <v>45475</v>
      </c>
      <c r="C823" s="1" t="n">
        <v>45589</v>
      </c>
      <c r="D823" t="inlineStr">
        <is>
          <t>JÄMTLANDS LÄN</t>
        </is>
      </c>
      <c r="E823" t="inlineStr">
        <is>
          <t>ÖSTERSUND</t>
        </is>
      </c>
      <c r="G823" t="n">
        <v>2.8</v>
      </c>
      <c r="H823" t="n">
        <v>0</v>
      </c>
      <c r="I823" t="n">
        <v>0</v>
      </c>
      <c r="J823" t="n">
        <v>0</v>
      </c>
      <c r="K823" t="n">
        <v>0</v>
      </c>
      <c r="L823" t="n">
        <v>0</v>
      </c>
      <c r="M823" t="n">
        <v>0</v>
      </c>
      <c r="N823" t="n">
        <v>0</v>
      </c>
      <c r="O823" t="n">
        <v>0</v>
      </c>
      <c r="P823" t="n">
        <v>0</v>
      </c>
      <c r="Q823" t="n">
        <v>0</v>
      </c>
      <c r="R823" s="2" t="inlineStr"/>
    </row>
    <row r="824" ht="15" customHeight="1">
      <c r="A824" t="inlineStr">
        <is>
          <t>A 27779-2024</t>
        </is>
      </c>
      <c r="B824" s="1" t="n">
        <v>45475</v>
      </c>
      <c r="C824" s="1" t="n">
        <v>45589</v>
      </c>
      <c r="D824" t="inlineStr">
        <is>
          <t>JÄMTLANDS LÄN</t>
        </is>
      </c>
      <c r="E824" t="inlineStr">
        <is>
          <t>ÖSTERSUND</t>
        </is>
      </c>
      <c r="G824" t="n">
        <v>4.3</v>
      </c>
      <c r="H824" t="n">
        <v>0</v>
      </c>
      <c r="I824" t="n">
        <v>0</v>
      </c>
      <c r="J824" t="n">
        <v>0</v>
      </c>
      <c r="K824" t="n">
        <v>0</v>
      </c>
      <c r="L824" t="n">
        <v>0</v>
      </c>
      <c r="M824" t="n">
        <v>0</v>
      </c>
      <c r="N824" t="n">
        <v>0</v>
      </c>
      <c r="O824" t="n">
        <v>0</v>
      </c>
      <c r="P824" t="n">
        <v>0</v>
      </c>
      <c r="Q824" t="n">
        <v>0</v>
      </c>
      <c r="R824" s="2" t="inlineStr"/>
    </row>
    <row r="825" ht="15" customHeight="1">
      <c r="A825" t="inlineStr">
        <is>
          <t>A 28277-2024</t>
        </is>
      </c>
      <c r="B825" s="1" t="n">
        <v>45477</v>
      </c>
      <c r="C825" s="1" t="n">
        <v>45589</v>
      </c>
      <c r="D825" t="inlineStr">
        <is>
          <t>JÄMTLANDS LÄN</t>
        </is>
      </c>
      <c r="E825" t="inlineStr">
        <is>
          <t>ÖSTERSUND</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28179-2024</t>
        </is>
      </c>
      <c r="B826" s="1" t="n">
        <v>45477</v>
      </c>
      <c r="C826" s="1" t="n">
        <v>45589</v>
      </c>
      <c r="D826" t="inlineStr">
        <is>
          <t>JÄMTLANDS LÄN</t>
        </is>
      </c>
      <c r="E826" t="inlineStr">
        <is>
          <t>ÖSTERSUND</t>
        </is>
      </c>
      <c r="G826" t="n">
        <v>2.2</v>
      </c>
      <c r="H826" t="n">
        <v>0</v>
      </c>
      <c r="I826" t="n">
        <v>0</v>
      </c>
      <c r="J826" t="n">
        <v>0</v>
      </c>
      <c r="K826" t="n">
        <v>0</v>
      </c>
      <c r="L826" t="n">
        <v>0</v>
      </c>
      <c r="M826" t="n">
        <v>0</v>
      </c>
      <c r="N826" t="n">
        <v>0</v>
      </c>
      <c r="O826" t="n">
        <v>0</v>
      </c>
      <c r="P826" t="n">
        <v>0</v>
      </c>
      <c r="Q826" t="n">
        <v>0</v>
      </c>
      <c r="R826" s="2" t="inlineStr"/>
    </row>
    <row r="827" ht="15" customHeight="1">
      <c r="A827" t="inlineStr">
        <is>
          <t>A 28180-2024</t>
        </is>
      </c>
      <c r="B827" s="1" t="n">
        <v>45477</v>
      </c>
      <c r="C827" s="1" t="n">
        <v>45589</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28181-2024</t>
        </is>
      </c>
      <c r="B828" s="1" t="n">
        <v>45477</v>
      </c>
      <c r="C828" s="1" t="n">
        <v>45589</v>
      </c>
      <c r="D828" t="inlineStr">
        <is>
          <t>JÄMTLANDS LÄN</t>
        </is>
      </c>
      <c r="E828" t="inlineStr">
        <is>
          <t>ÖSTERSUND</t>
        </is>
      </c>
      <c r="G828" t="n">
        <v>0.7</v>
      </c>
      <c r="H828" t="n">
        <v>0</v>
      </c>
      <c r="I828" t="n">
        <v>0</v>
      </c>
      <c r="J828" t="n">
        <v>0</v>
      </c>
      <c r="K828" t="n">
        <v>0</v>
      </c>
      <c r="L828" t="n">
        <v>0</v>
      </c>
      <c r="M828" t="n">
        <v>0</v>
      </c>
      <c r="N828" t="n">
        <v>0</v>
      </c>
      <c r="O828" t="n">
        <v>0</v>
      </c>
      <c r="P828" t="n">
        <v>0</v>
      </c>
      <c r="Q828" t="n">
        <v>0</v>
      </c>
      <c r="R828" s="2" t="inlineStr"/>
    </row>
    <row r="829" ht="15" customHeight="1">
      <c r="A829" t="inlineStr">
        <is>
          <t>A 28543-2024</t>
        </is>
      </c>
      <c r="B829" s="1" t="n">
        <v>45478</v>
      </c>
      <c r="C829" s="1" t="n">
        <v>45589</v>
      </c>
      <c r="D829" t="inlineStr">
        <is>
          <t>JÄMTLANDS LÄN</t>
        </is>
      </c>
      <c r="E829" t="inlineStr">
        <is>
          <t>ÖSTERSUND</t>
        </is>
      </c>
      <c r="G829" t="n">
        <v>5.6</v>
      </c>
      <c r="H829" t="n">
        <v>0</v>
      </c>
      <c r="I829" t="n">
        <v>0</v>
      </c>
      <c r="J829" t="n">
        <v>0</v>
      </c>
      <c r="K829" t="n">
        <v>0</v>
      </c>
      <c r="L829" t="n">
        <v>0</v>
      </c>
      <c r="M829" t="n">
        <v>0</v>
      </c>
      <c r="N829" t="n">
        <v>0</v>
      </c>
      <c r="O829" t="n">
        <v>0</v>
      </c>
      <c r="P829" t="n">
        <v>0</v>
      </c>
      <c r="Q829" t="n">
        <v>0</v>
      </c>
      <c r="R829" s="2" t="inlineStr"/>
    </row>
    <row r="830" ht="15" customHeight="1">
      <c r="A830" t="inlineStr">
        <is>
          <t>A 29496-2024</t>
        </is>
      </c>
      <c r="B830" s="1" t="n">
        <v>45484</v>
      </c>
      <c r="C830" s="1" t="n">
        <v>45589</v>
      </c>
      <c r="D830" t="inlineStr">
        <is>
          <t>JÄMTLANDS LÄN</t>
        </is>
      </c>
      <c r="E830" t="inlineStr">
        <is>
          <t>ÖSTERSUND</t>
        </is>
      </c>
      <c r="G830" t="n">
        <v>4.3</v>
      </c>
      <c r="H830" t="n">
        <v>0</v>
      </c>
      <c r="I830" t="n">
        <v>0</v>
      </c>
      <c r="J830" t="n">
        <v>0</v>
      </c>
      <c r="K830" t="n">
        <v>0</v>
      </c>
      <c r="L830" t="n">
        <v>0</v>
      </c>
      <c r="M830" t="n">
        <v>0</v>
      </c>
      <c r="N830" t="n">
        <v>0</v>
      </c>
      <c r="O830" t="n">
        <v>0</v>
      </c>
      <c r="P830" t="n">
        <v>0</v>
      </c>
      <c r="Q830" t="n">
        <v>0</v>
      </c>
      <c r="R830" s="2" t="inlineStr"/>
    </row>
    <row r="831" ht="15" customHeight="1">
      <c r="A831" t="inlineStr">
        <is>
          <t>A 30539-2024</t>
        </is>
      </c>
      <c r="B831" s="1" t="n">
        <v>45492</v>
      </c>
      <c r="C831" s="1" t="n">
        <v>45589</v>
      </c>
      <c r="D831" t="inlineStr">
        <is>
          <t>JÄMTLANDS LÄN</t>
        </is>
      </c>
      <c r="E831" t="inlineStr">
        <is>
          <t>ÖSTERSUND</t>
        </is>
      </c>
      <c r="G831" t="n">
        <v>4.9</v>
      </c>
      <c r="H831" t="n">
        <v>0</v>
      </c>
      <c r="I831" t="n">
        <v>0</v>
      </c>
      <c r="J831" t="n">
        <v>0</v>
      </c>
      <c r="K831" t="n">
        <v>0</v>
      </c>
      <c r="L831" t="n">
        <v>0</v>
      </c>
      <c r="M831" t="n">
        <v>0</v>
      </c>
      <c r="N831" t="n">
        <v>0</v>
      </c>
      <c r="O831" t="n">
        <v>0</v>
      </c>
      <c r="P831" t="n">
        <v>0</v>
      </c>
      <c r="Q831" t="n">
        <v>0</v>
      </c>
      <c r="R831" s="2" t="inlineStr"/>
    </row>
    <row r="832" ht="15" customHeight="1">
      <c r="A832" t="inlineStr">
        <is>
          <t>A 30821-2024</t>
        </is>
      </c>
      <c r="B832" s="1" t="n">
        <v>45497</v>
      </c>
      <c r="C832" s="1" t="n">
        <v>45589</v>
      </c>
      <c r="D832" t="inlineStr">
        <is>
          <t>JÄMTLANDS LÄN</t>
        </is>
      </c>
      <c r="E832" t="inlineStr">
        <is>
          <t>ÖSTERSUND</t>
        </is>
      </c>
      <c r="G832" t="n">
        <v>3.4</v>
      </c>
      <c r="H832" t="n">
        <v>0</v>
      </c>
      <c r="I832" t="n">
        <v>0</v>
      </c>
      <c r="J832" t="n">
        <v>0</v>
      </c>
      <c r="K832" t="n">
        <v>0</v>
      </c>
      <c r="L832" t="n">
        <v>0</v>
      </c>
      <c r="M832" t="n">
        <v>0</v>
      </c>
      <c r="N832" t="n">
        <v>0</v>
      </c>
      <c r="O832" t="n">
        <v>0</v>
      </c>
      <c r="P832" t="n">
        <v>0</v>
      </c>
      <c r="Q832" t="n">
        <v>0</v>
      </c>
      <c r="R832" s="2" t="inlineStr"/>
    </row>
    <row r="833" ht="15" customHeight="1">
      <c r="A833" t="inlineStr">
        <is>
          <t>A 31448-2024</t>
        </is>
      </c>
      <c r="B833" s="1" t="n">
        <v>45506</v>
      </c>
      <c r="C833" s="1" t="n">
        <v>45589</v>
      </c>
      <c r="D833" t="inlineStr">
        <is>
          <t>JÄMTLANDS LÄN</t>
        </is>
      </c>
      <c r="E833" t="inlineStr">
        <is>
          <t>ÖSTERSUND</t>
        </is>
      </c>
      <c r="G833" t="n">
        <v>10</v>
      </c>
      <c r="H833" t="n">
        <v>0</v>
      </c>
      <c r="I833" t="n">
        <v>0</v>
      </c>
      <c r="J833" t="n">
        <v>0</v>
      </c>
      <c r="K833" t="n">
        <v>0</v>
      </c>
      <c r="L833" t="n">
        <v>0</v>
      </c>
      <c r="M833" t="n">
        <v>0</v>
      </c>
      <c r="N833" t="n">
        <v>0</v>
      </c>
      <c r="O833" t="n">
        <v>0</v>
      </c>
      <c r="P833" t="n">
        <v>0</v>
      </c>
      <c r="Q833" t="n">
        <v>0</v>
      </c>
      <c r="R833" s="2" t="inlineStr"/>
    </row>
    <row r="834" ht="15" customHeight="1">
      <c r="A834" t="inlineStr">
        <is>
          <t>A 31464-2024</t>
        </is>
      </c>
      <c r="B834" s="1" t="n">
        <v>45506</v>
      </c>
      <c r="C834" s="1" t="n">
        <v>45589</v>
      </c>
      <c r="D834" t="inlineStr">
        <is>
          <t>JÄMTLANDS LÄN</t>
        </is>
      </c>
      <c r="E834" t="inlineStr">
        <is>
          <t>ÖSTERSUND</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31446-2024</t>
        </is>
      </c>
      <c r="B835" s="1" t="n">
        <v>45506</v>
      </c>
      <c r="C835" s="1" t="n">
        <v>45589</v>
      </c>
      <c r="D835" t="inlineStr">
        <is>
          <t>JÄMTLANDS LÄN</t>
        </is>
      </c>
      <c r="E835" t="inlineStr">
        <is>
          <t>ÖSTERSUND</t>
        </is>
      </c>
      <c r="G835" t="n">
        <v>5.5</v>
      </c>
      <c r="H835" t="n">
        <v>0</v>
      </c>
      <c r="I835" t="n">
        <v>0</v>
      </c>
      <c r="J835" t="n">
        <v>0</v>
      </c>
      <c r="K835" t="n">
        <v>0</v>
      </c>
      <c r="L835" t="n">
        <v>0</v>
      </c>
      <c r="M835" t="n">
        <v>0</v>
      </c>
      <c r="N835" t="n">
        <v>0</v>
      </c>
      <c r="O835" t="n">
        <v>0</v>
      </c>
      <c r="P835" t="n">
        <v>0</v>
      </c>
      <c r="Q835" t="n">
        <v>0</v>
      </c>
      <c r="R835" s="2" t="inlineStr"/>
    </row>
    <row r="836" ht="15" customHeight="1">
      <c r="A836" t="inlineStr">
        <is>
          <t>A 31445-2024</t>
        </is>
      </c>
      <c r="B836" s="1" t="n">
        <v>45506</v>
      </c>
      <c r="C836" s="1" t="n">
        <v>45589</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32224-2024</t>
        </is>
      </c>
      <c r="B837" s="1" t="n">
        <v>45512</v>
      </c>
      <c r="C837" s="1" t="n">
        <v>45589</v>
      </c>
      <c r="D837" t="inlineStr">
        <is>
          <t>JÄMTLANDS LÄN</t>
        </is>
      </c>
      <c r="E837" t="inlineStr">
        <is>
          <t>ÖSTERSUND</t>
        </is>
      </c>
      <c r="G837" t="n">
        <v>1</v>
      </c>
      <c r="H837" t="n">
        <v>0</v>
      </c>
      <c r="I837" t="n">
        <v>0</v>
      </c>
      <c r="J837" t="n">
        <v>0</v>
      </c>
      <c r="K837" t="n">
        <v>0</v>
      </c>
      <c r="L837" t="n">
        <v>0</v>
      </c>
      <c r="M837" t="n">
        <v>0</v>
      </c>
      <c r="N837" t="n">
        <v>0</v>
      </c>
      <c r="O837" t="n">
        <v>0</v>
      </c>
      <c r="P837" t="n">
        <v>0</v>
      </c>
      <c r="Q837" t="n">
        <v>0</v>
      </c>
      <c r="R837" s="2" t="inlineStr"/>
    </row>
    <row r="838" ht="15" customHeight="1">
      <c r="A838" t="inlineStr">
        <is>
          <t>A 32225-2024</t>
        </is>
      </c>
      <c r="B838" s="1" t="n">
        <v>45512</v>
      </c>
      <c r="C838" s="1" t="n">
        <v>45589</v>
      </c>
      <c r="D838" t="inlineStr">
        <is>
          <t>JÄMTLANDS LÄN</t>
        </is>
      </c>
      <c r="E838" t="inlineStr">
        <is>
          <t>ÖSTERSUND</t>
        </is>
      </c>
      <c r="G838" t="n">
        <v>2</v>
      </c>
      <c r="H838" t="n">
        <v>0</v>
      </c>
      <c r="I838" t="n">
        <v>0</v>
      </c>
      <c r="J838" t="n">
        <v>0</v>
      </c>
      <c r="K838" t="n">
        <v>0</v>
      </c>
      <c r="L838" t="n">
        <v>0</v>
      </c>
      <c r="M838" t="n">
        <v>0</v>
      </c>
      <c r="N838" t="n">
        <v>0</v>
      </c>
      <c r="O838" t="n">
        <v>0</v>
      </c>
      <c r="P838" t="n">
        <v>0</v>
      </c>
      <c r="Q838" t="n">
        <v>0</v>
      </c>
      <c r="R838" s="2" t="inlineStr"/>
    </row>
    <row r="839" ht="15" customHeight="1">
      <c r="A839" t="inlineStr">
        <is>
          <t>A 33091-2024</t>
        </is>
      </c>
      <c r="B839" s="1" t="n">
        <v>45517</v>
      </c>
      <c r="C839" s="1" t="n">
        <v>45589</v>
      </c>
      <c r="D839" t="inlineStr">
        <is>
          <t>JÄMTLANDS LÄN</t>
        </is>
      </c>
      <c r="E839" t="inlineStr">
        <is>
          <t>ÖSTERSUND</t>
        </is>
      </c>
      <c r="G839" t="n">
        <v>1</v>
      </c>
      <c r="H839" t="n">
        <v>0</v>
      </c>
      <c r="I839" t="n">
        <v>0</v>
      </c>
      <c r="J839" t="n">
        <v>0</v>
      </c>
      <c r="K839" t="n">
        <v>0</v>
      </c>
      <c r="L839" t="n">
        <v>0</v>
      </c>
      <c r="M839" t="n">
        <v>0</v>
      </c>
      <c r="N839" t="n">
        <v>0</v>
      </c>
      <c r="O839" t="n">
        <v>0</v>
      </c>
      <c r="P839" t="n">
        <v>0</v>
      </c>
      <c r="Q839" t="n">
        <v>0</v>
      </c>
      <c r="R839" s="2" t="inlineStr"/>
    </row>
    <row r="840" ht="15" customHeight="1">
      <c r="A840" t="inlineStr">
        <is>
          <t>A 33015-2024</t>
        </is>
      </c>
      <c r="B840" s="1" t="n">
        <v>45517</v>
      </c>
      <c r="C840" s="1" t="n">
        <v>45589</v>
      </c>
      <c r="D840" t="inlineStr">
        <is>
          <t>JÄMTLANDS LÄN</t>
        </is>
      </c>
      <c r="E840" t="inlineStr">
        <is>
          <t>ÖSTERSUND</t>
        </is>
      </c>
      <c r="G840" t="n">
        <v>2.6</v>
      </c>
      <c r="H840" t="n">
        <v>0</v>
      </c>
      <c r="I840" t="n">
        <v>0</v>
      </c>
      <c r="J840" t="n">
        <v>0</v>
      </c>
      <c r="K840" t="n">
        <v>0</v>
      </c>
      <c r="L840" t="n">
        <v>0</v>
      </c>
      <c r="M840" t="n">
        <v>0</v>
      </c>
      <c r="N840" t="n">
        <v>0</v>
      </c>
      <c r="O840" t="n">
        <v>0</v>
      </c>
      <c r="P840" t="n">
        <v>0</v>
      </c>
      <c r="Q840" t="n">
        <v>0</v>
      </c>
      <c r="R840" s="2" t="inlineStr"/>
    </row>
    <row r="841" ht="15" customHeight="1">
      <c r="A841" t="inlineStr">
        <is>
          <t>A 33621-2024</t>
        </is>
      </c>
      <c r="B841" s="1" t="n">
        <v>45520</v>
      </c>
      <c r="C841" s="1" t="n">
        <v>45589</v>
      </c>
      <c r="D841" t="inlineStr">
        <is>
          <t>JÄMTLANDS LÄN</t>
        </is>
      </c>
      <c r="E841" t="inlineStr">
        <is>
          <t>ÖSTERSUND</t>
        </is>
      </c>
      <c r="G841" t="n">
        <v>2.1</v>
      </c>
      <c r="H841" t="n">
        <v>0</v>
      </c>
      <c r="I841" t="n">
        <v>0</v>
      </c>
      <c r="J841" t="n">
        <v>0</v>
      </c>
      <c r="K841" t="n">
        <v>0</v>
      </c>
      <c r="L841" t="n">
        <v>0</v>
      </c>
      <c r="M841" t="n">
        <v>0</v>
      </c>
      <c r="N841" t="n">
        <v>0</v>
      </c>
      <c r="O841" t="n">
        <v>0</v>
      </c>
      <c r="P841" t="n">
        <v>0</v>
      </c>
      <c r="Q841" t="n">
        <v>0</v>
      </c>
      <c r="R841" s="2" t="inlineStr"/>
    </row>
    <row r="842" ht="15" customHeight="1">
      <c r="A842" t="inlineStr">
        <is>
          <t>A 33779-2024</t>
        </is>
      </c>
      <c r="B842" s="1" t="n">
        <v>45520</v>
      </c>
      <c r="C842" s="1" t="n">
        <v>45589</v>
      </c>
      <c r="D842" t="inlineStr">
        <is>
          <t>JÄMTLANDS LÄN</t>
        </is>
      </c>
      <c r="E842" t="inlineStr">
        <is>
          <t>ÖSTERSUND</t>
        </is>
      </c>
      <c r="G842" t="n">
        <v>1.5</v>
      </c>
      <c r="H842" t="n">
        <v>0</v>
      </c>
      <c r="I842" t="n">
        <v>0</v>
      </c>
      <c r="J842" t="n">
        <v>0</v>
      </c>
      <c r="K842" t="n">
        <v>0</v>
      </c>
      <c r="L842" t="n">
        <v>0</v>
      </c>
      <c r="M842" t="n">
        <v>0</v>
      </c>
      <c r="N842" t="n">
        <v>0</v>
      </c>
      <c r="O842" t="n">
        <v>0</v>
      </c>
      <c r="P842" t="n">
        <v>0</v>
      </c>
      <c r="Q842" t="n">
        <v>0</v>
      </c>
      <c r="R842" s="2" t="inlineStr"/>
    </row>
    <row r="843" ht="15" customHeight="1">
      <c r="A843" t="inlineStr">
        <is>
          <t>A 34112-2024</t>
        </is>
      </c>
      <c r="B843" s="1" t="n">
        <v>45524</v>
      </c>
      <c r="C843" s="1" t="n">
        <v>45589</v>
      </c>
      <c r="D843" t="inlineStr">
        <is>
          <t>JÄMTLANDS LÄN</t>
        </is>
      </c>
      <c r="E843" t="inlineStr">
        <is>
          <t>ÖSTERSUND</t>
        </is>
      </c>
      <c r="G843" t="n">
        <v>1.2</v>
      </c>
      <c r="H843" t="n">
        <v>0</v>
      </c>
      <c r="I843" t="n">
        <v>0</v>
      </c>
      <c r="J843" t="n">
        <v>0</v>
      </c>
      <c r="K843" t="n">
        <v>0</v>
      </c>
      <c r="L843" t="n">
        <v>0</v>
      </c>
      <c r="M843" t="n">
        <v>0</v>
      </c>
      <c r="N843" t="n">
        <v>0</v>
      </c>
      <c r="O843" t="n">
        <v>0</v>
      </c>
      <c r="P843" t="n">
        <v>0</v>
      </c>
      <c r="Q843" t="n">
        <v>0</v>
      </c>
      <c r="R843" s="2" t="inlineStr"/>
    </row>
    <row r="844" ht="15" customHeight="1">
      <c r="A844" t="inlineStr">
        <is>
          <t>A 34118-2024</t>
        </is>
      </c>
      <c r="B844" s="1" t="n">
        <v>45524</v>
      </c>
      <c r="C844" s="1" t="n">
        <v>45589</v>
      </c>
      <c r="D844" t="inlineStr">
        <is>
          <t>JÄMTLANDS LÄN</t>
        </is>
      </c>
      <c r="E844" t="inlineStr">
        <is>
          <t>ÖSTERSUND</t>
        </is>
      </c>
      <c r="G844" t="n">
        <v>1.5</v>
      </c>
      <c r="H844" t="n">
        <v>0</v>
      </c>
      <c r="I844" t="n">
        <v>0</v>
      </c>
      <c r="J844" t="n">
        <v>0</v>
      </c>
      <c r="K844" t="n">
        <v>0</v>
      </c>
      <c r="L844" t="n">
        <v>0</v>
      </c>
      <c r="M844" t="n">
        <v>0</v>
      </c>
      <c r="N844" t="n">
        <v>0</v>
      </c>
      <c r="O844" t="n">
        <v>0</v>
      </c>
      <c r="P844" t="n">
        <v>0</v>
      </c>
      <c r="Q844" t="n">
        <v>0</v>
      </c>
      <c r="R844" s="2" t="inlineStr"/>
    </row>
    <row r="845" ht="15" customHeight="1">
      <c r="A845" t="inlineStr">
        <is>
          <t>A 34470-2024</t>
        </is>
      </c>
      <c r="B845" s="1" t="n">
        <v>45525</v>
      </c>
      <c r="C845" s="1" t="n">
        <v>45589</v>
      </c>
      <c r="D845" t="inlineStr">
        <is>
          <t>JÄMTLANDS LÄN</t>
        </is>
      </c>
      <c r="E845" t="inlineStr">
        <is>
          <t>ÖSTERSUND</t>
        </is>
      </c>
      <c r="G845" t="n">
        <v>7.6</v>
      </c>
      <c r="H845" t="n">
        <v>0</v>
      </c>
      <c r="I845" t="n">
        <v>0</v>
      </c>
      <c r="J845" t="n">
        <v>0</v>
      </c>
      <c r="K845" t="n">
        <v>0</v>
      </c>
      <c r="L845" t="n">
        <v>0</v>
      </c>
      <c r="M845" t="n">
        <v>0</v>
      </c>
      <c r="N845" t="n">
        <v>0</v>
      </c>
      <c r="O845" t="n">
        <v>0</v>
      </c>
      <c r="P845" t="n">
        <v>0</v>
      </c>
      <c r="Q845" t="n">
        <v>0</v>
      </c>
      <c r="R845" s="2" t="inlineStr"/>
    </row>
    <row r="846" ht="15" customHeight="1">
      <c r="A846" t="inlineStr">
        <is>
          <t>A 34507-2024</t>
        </is>
      </c>
      <c r="B846" s="1" t="n">
        <v>45525</v>
      </c>
      <c r="C846" s="1" t="n">
        <v>45589</v>
      </c>
      <c r="D846" t="inlineStr">
        <is>
          <t>JÄMTLANDS LÄN</t>
        </is>
      </c>
      <c r="E846" t="inlineStr">
        <is>
          <t>ÖSTERSUND</t>
        </is>
      </c>
      <c r="G846" t="n">
        <v>0.6</v>
      </c>
      <c r="H846" t="n">
        <v>0</v>
      </c>
      <c r="I846" t="n">
        <v>0</v>
      </c>
      <c r="J846" t="n">
        <v>0</v>
      </c>
      <c r="K846" t="n">
        <v>0</v>
      </c>
      <c r="L846" t="n">
        <v>0</v>
      </c>
      <c r="M846" t="n">
        <v>0</v>
      </c>
      <c r="N846" t="n">
        <v>0</v>
      </c>
      <c r="O846" t="n">
        <v>0</v>
      </c>
      <c r="P846" t="n">
        <v>0</v>
      </c>
      <c r="Q846" t="n">
        <v>0</v>
      </c>
      <c r="R846" s="2" t="inlineStr"/>
    </row>
    <row r="847" ht="15" customHeight="1">
      <c r="A847" t="inlineStr">
        <is>
          <t>A 35984-2024</t>
        </is>
      </c>
      <c r="B847" s="1" t="n">
        <v>45533</v>
      </c>
      <c r="C847" s="1" t="n">
        <v>45589</v>
      </c>
      <c r="D847" t="inlineStr">
        <is>
          <t>JÄMTLANDS LÄN</t>
        </is>
      </c>
      <c r="E847" t="inlineStr">
        <is>
          <t>ÖSTERSUND</t>
        </is>
      </c>
      <c r="G847" t="n">
        <v>2.9</v>
      </c>
      <c r="H847" t="n">
        <v>0</v>
      </c>
      <c r="I847" t="n">
        <v>0</v>
      </c>
      <c r="J847" t="n">
        <v>0</v>
      </c>
      <c r="K847" t="n">
        <v>0</v>
      </c>
      <c r="L847" t="n">
        <v>0</v>
      </c>
      <c r="M847" t="n">
        <v>0</v>
      </c>
      <c r="N847" t="n">
        <v>0</v>
      </c>
      <c r="O847" t="n">
        <v>0</v>
      </c>
      <c r="P847" t="n">
        <v>0</v>
      </c>
      <c r="Q847" t="n">
        <v>0</v>
      </c>
      <c r="R847" s="2" t="inlineStr"/>
    </row>
    <row r="848" ht="15" customHeight="1">
      <c r="A848" t="inlineStr">
        <is>
          <t>A 36465-2024</t>
        </is>
      </c>
      <c r="B848" s="1" t="n">
        <v>45537</v>
      </c>
      <c r="C848" s="1" t="n">
        <v>45589</v>
      </c>
      <c r="D848" t="inlineStr">
        <is>
          <t>JÄMTLANDS LÄN</t>
        </is>
      </c>
      <c r="E848" t="inlineStr">
        <is>
          <t>ÖSTERSUND</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36469-2024</t>
        </is>
      </c>
      <c r="B849" s="1" t="n">
        <v>45537</v>
      </c>
      <c r="C849" s="1" t="n">
        <v>45589</v>
      </c>
      <c r="D849" t="inlineStr">
        <is>
          <t>JÄMTLANDS LÄN</t>
        </is>
      </c>
      <c r="E849" t="inlineStr">
        <is>
          <t>ÖSTERSUND</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37270-2024</t>
        </is>
      </c>
      <c r="B850" s="1" t="n">
        <v>45540</v>
      </c>
      <c r="C850" s="1" t="n">
        <v>45589</v>
      </c>
      <c r="D850" t="inlineStr">
        <is>
          <t>JÄMTLANDS LÄN</t>
        </is>
      </c>
      <c r="E850" t="inlineStr">
        <is>
          <t>ÖSTERSUND</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37685-2024</t>
        </is>
      </c>
      <c r="B851" s="1" t="n">
        <v>45541</v>
      </c>
      <c r="C851" s="1" t="n">
        <v>45589</v>
      </c>
      <c r="D851" t="inlineStr">
        <is>
          <t>JÄMTLANDS LÄN</t>
        </is>
      </c>
      <c r="E851" t="inlineStr">
        <is>
          <t>ÖSTERSUND</t>
        </is>
      </c>
      <c r="F851" t="inlineStr">
        <is>
          <t>SCA</t>
        </is>
      </c>
      <c r="G851" t="n">
        <v>11.2</v>
      </c>
      <c r="H851" t="n">
        <v>0</v>
      </c>
      <c r="I851" t="n">
        <v>0</v>
      </c>
      <c r="J851" t="n">
        <v>0</v>
      </c>
      <c r="K851" t="n">
        <v>0</v>
      </c>
      <c r="L851" t="n">
        <v>0</v>
      </c>
      <c r="M851" t="n">
        <v>0</v>
      </c>
      <c r="N851" t="n">
        <v>0</v>
      </c>
      <c r="O851" t="n">
        <v>0</v>
      </c>
      <c r="P851" t="n">
        <v>0</v>
      </c>
      <c r="Q851" t="n">
        <v>0</v>
      </c>
      <c r="R851" s="2" t="inlineStr"/>
    </row>
    <row r="852" ht="15" customHeight="1">
      <c r="A852" t="inlineStr">
        <is>
          <t>A 38926-2024</t>
        </is>
      </c>
      <c r="B852" s="1" t="n">
        <v>45547</v>
      </c>
      <c r="C852" s="1" t="n">
        <v>45589</v>
      </c>
      <c r="D852" t="inlineStr">
        <is>
          <t>JÄMTLANDS LÄN</t>
        </is>
      </c>
      <c r="E852" t="inlineStr">
        <is>
          <t>ÖSTERSUND</t>
        </is>
      </c>
      <c r="G852" t="n">
        <v>0.4</v>
      </c>
      <c r="H852" t="n">
        <v>0</v>
      </c>
      <c r="I852" t="n">
        <v>0</v>
      </c>
      <c r="J852" t="n">
        <v>0</v>
      </c>
      <c r="K852" t="n">
        <v>0</v>
      </c>
      <c r="L852" t="n">
        <v>0</v>
      </c>
      <c r="M852" t="n">
        <v>0</v>
      </c>
      <c r="N852" t="n">
        <v>0</v>
      </c>
      <c r="O852" t="n">
        <v>0</v>
      </c>
      <c r="P852" t="n">
        <v>0</v>
      </c>
      <c r="Q852" t="n">
        <v>0</v>
      </c>
      <c r="R852" s="2" t="inlineStr"/>
    </row>
    <row r="853" ht="15" customHeight="1">
      <c r="A853" t="inlineStr">
        <is>
          <t>A 38920-2024</t>
        </is>
      </c>
      <c r="B853" s="1" t="n">
        <v>45547</v>
      </c>
      <c r="C853" s="1" t="n">
        <v>45589</v>
      </c>
      <c r="D853" t="inlineStr">
        <is>
          <t>JÄMTLANDS LÄN</t>
        </is>
      </c>
      <c r="E853" t="inlineStr">
        <is>
          <t>ÖSTERSUND</t>
        </is>
      </c>
      <c r="G853" t="n">
        <v>1.9</v>
      </c>
      <c r="H853" t="n">
        <v>0</v>
      </c>
      <c r="I853" t="n">
        <v>0</v>
      </c>
      <c r="J853" t="n">
        <v>0</v>
      </c>
      <c r="K853" t="n">
        <v>0</v>
      </c>
      <c r="L853" t="n">
        <v>0</v>
      </c>
      <c r="M853" t="n">
        <v>0</v>
      </c>
      <c r="N853" t="n">
        <v>0</v>
      </c>
      <c r="O853" t="n">
        <v>0</v>
      </c>
      <c r="P853" t="n">
        <v>0</v>
      </c>
      <c r="Q853" t="n">
        <v>0</v>
      </c>
      <c r="R853" s="2" t="inlineStr"/>
    </row>
    <row r="854" ht="15" customHeight="1">
      <c r="A854" t="inlineStr">
        <is>
          <t>A 38924-2024</t>
        </is>
      </c>
      <c r="B854" s="1" t="n">
        <v>45547</v>
      </c>
      <c r="C854" s="1" t="n">
        <v>45589</v>
      </c>
      <c r="D854" t="inlineStr">
        <is>
          <t>JÄMTLANDS LÄN</t>
        </is>
      </c>
      <c r="E854" t="inlineStr">
        <is>
          <t>ÖSTERSUND</t>
        </is>
      </c>
      <c r="G854" t="n">
        <v>3.5</v>
      </c>
      <c r="H854" t="n">
        <v>0</v>
      </c>
      <c r="I854" t="n">
        <v>0</v>
      </c>
      <c r="J854" t="n">
        <v>0</v>
      </c>
      <c r="K854" t="n">
        <v>0</v>
      </c>
      <c r="L854" t="n">
        <v>0</v>
      </c>
      <c r="M854" t="n">
        <v>0</v>
      </c>
      <c r="N854" t="n">
        <v>0</v>
      </c>
      <c r="O854" t="n">
        <v>0</v>
      </c>
      <c r="P854" t="n">
        <v>0</v>
      </c>
      <c r="Q854" t="n">
        <v>0</v>
      </c>
      <c r="R854" s="2" t="inlineStr"/>
    </row>
    <row r="855" ht="15" customHeight="1">
      <c r="A855" t="inlineStr">
        <is>
          <t>A 39065-2024</t>
        </is>
      </c>
      <c r="B855" s="1" t="n">
        <v>45548</v>
      </c>
      <c r="C855" s="1" t="n">
        <v>45589</v>
      </c>
      <c r="D855" t="inlineStr">
        <is>
          <t>JÄMTLANDS LÄN</t>
        </is>
      </c>
      <c r="E855" t="inlineStr">
        <is>
          <t>ÖSTERSUND</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39510-2024</t>
        </is>
      </c>
      <c r="B856" s="1" t="n">
        <v>45551</v>
      </c>
      <c r="C856" s="1" t="n">
        <v>45589</v>
      </c>
      <c r="D856" t="inlineStr">
        <is>
          <t>JÄMTLANDS LÄN</t>
        </is>
      </c>
      <c r="E856" t="inlineStr">
        <is>
          <t>ÖSTERSUND</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39509-2024</t>
        </is>
      </c>
      <c r="B857" s="1" t="n">
        <v>45551</v>
      </c>
      <c r="C857" s="1" t="n">
        <v>45589</v>
      </c>
      <c r="D857" t="inlineStr">
        <is>
          <t>JÄMTLANDS LÄN</t>
        </is>
      </c>
      <c r="E857" t="inlineStr">
        <is>
          <t>ÖSTERSUND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39915-2024</t>
        </is>
      </c>
      <c r="B858" s="1" t="n">
        <v>45553</v>
      </c>
      <c r="C858" s="1" t="n">
        <v>45589</v>
      </c>
      <c r="D858" t="inlineStr">
        <is>
          <t>JÄMTLANDS LÄN</t>
        </is>
      </c>
      <c r="E858" t="inlineStr">
        <is>
          <t>ÖSTERSUND</t>
        </is>
      </c>
      <c r="G858" t="n">
        <v>1.3</v>
      </c>
      <c r="H858" t="n">
        <v>0</v>
      </c>
      <c r="I858" t="n">
        <v>0</v>
      </c>
      <c r="J858" t="n">
        <v>0</v>
      </c>
      <c r="K858" t="n">
        <v>0</v>
      </c>
      <c r="L858" t="n">
        <v>0</v>
      </c>
      <c r="M858" t="n">
        <v>0</v>
      </c>
      <c r="N858" t="n">
        <v>0</v>
      </c>
      <c r="O858" t="n">
        <v>0</v>
      </c>
      <c r="P858" t="n">
        <v>0</v>
      </c>
      <c r="Q858" t="n">
        <v>0</v>
      </c>
      <c r="R858" s="2" t="inlineStr"/>
    </row>
    <row r="859" ht="15" customHeight="1">
      <c r="A859" t="inlineStr">
        <is>
          <t>A 39975-2024</t>
        </is>
      </c>
      <c r="B859" s="1" t="n">
        <v>45553</v>
      </c>
      <c r="C859" s="1" t="n">
        <v>45589</v>
      </c>
      <c r="D859" t="inlineStr">
        <is>
          <t>JÄMTLANDS LÄN</t>
        </is>
      </c>
      <c r="E859" t="inlineStr">
        <is>
          <t>ÖSTERSUND</t>
        </is>
      </c>
      <c r="G859" t="n">
        <v>3.8</v>
      </c>
      <c r="H859" t="n">
        <v>0</v>
      </c>
      <c r="I859" t="n">
        <v>0</v>
      </c>
      <c r="J859" t="n">
        <v>0</v>
      </c>
      <c r="K859" t="n">
        <v>0</v>
      </c>
      <c r="L859" t="n">
        <v>0</v>
      </c>
      <c r="M859" t="n">
        <v>0</v>
      </c>
      <c r="N859" t="n">
        <v>0</v>
      </c>
      <c r="O859" t="n">
        <v>0</v>
      </c>
      <c r="P859" t="n">
        <v>0</v>
      </c>
      <c r="Q859" t="n">
        <v>0</v>
      </c>
      <c r="R859" s="2" t="inlineStr"/>
    </row>
    <row r="860" ht="15" customHeight="1">
      <c r="A860" t="inlineStr">
        <is>
          <t>A 40555-2024</t>
        </is>
      </c>
      <c r="B860" s="1" t="n">
        <v>45555</v>
      </c>
      <c r="C860" s="1" t="n">
        <v>45589</v>
      </c>
      <c r="D860" t="inlineStr">
        <is>
          <t>JÄMTLANDS LÄN</t>
        </is>
      </c>
      <c r="E860" t="inlineStr">
        <is>
          <t>ÖSTERSUND</t>
        </is>
      </c>
      <c r="G860" t="n">
        <v>7.7</v>
      </c>
      <c r="H860" t="n">
        <v>0</v>
      </c>
      <c r="I860" t="n">
        <v>0</v>
      </c>
      <c r="J860" t="n">
        <v>0</v>
      </c>
      <c r="K860" t="n">
        <v>0</v>
      </c>
      <c r="L860" t="n">
        <v>0</v>
      </c>
      <c r="M860" t="n">
        <v>0</v>
      </c>
      <c r="N860" t="n">
        <v>0</v>
      </c>
      <c r="O860" t="n">
        <v>0</v>
      </c>
      <c r="P860" t="n">
        <v>0</v>
      </c>
      <c r="Q860" t="n">
        <v>0</v>
      </c>
      <c r="R860" s="2" t="inlineStr"/>
    </row>
    <row r="861" ht="15" customHeight="1">
      <c r="A861" t="inlineStr">
        <is>
          <t>A 40672-2024</t>
        </is>
      </c>
      <c r="B861" s="1" t="n">
        <v>45557</v>
      </c>
      <c r="C861" s="1" t="n">
        <v>45589</v>
      </c>
      <c r="D861" t="inlineStr">
        <is>
          <t>JÄMTLANDS LÄN</t>
        </is>
      </c>
      <c r="E861" t="inlineStr">
        <is>
          <t>ÖSTERSUND</t>
        </is>
      </c>
      <c r="G861" t="n">
        <v>5.2</v>
      </c>
      <c r="H861" t="n">
        <v>0</v>
      </c>
      <c r="I861" t="n">
        <v>0</v>
      </c>
      <c r="J861" t="n">
        <v>0</v>
      </c>
      <c r="K861" t="n">
        <v>0</v>
      </c>
      <c r="L861" t="n">
        <v>0</v>
      </c>
      <c r="M861" t="n">
        <v>0</v>
      </c>
      <c r="N861" t="n">
        <v>0</v>
      </c>
      <c r="O861" t="n">
        <v>0</v>
      </c>
      <c r="P861" t="n">
        <v>0</v>
      </c>
      <c r="Q861" t="n">
        <v>0</v>
      </c>
      <c r="R861" s="2" t="inlineStr"/>
    </row>
    <row r="862" ht="15" customHeight="1">
      <c r="A862" t="inlineStr">
        <is>
          <t>A 40983-2024</t>
        </is>
      </c>
      <c r="B862" s="1" t="n">
        <v>45558</v>
      </c>
      <c r="C862" s="1" t="n">
        <v>45589</v>
      </c>
      <c r="D862" t="inlineStr">
        <is>
          <t>JÄMTLANDS LÄN</t>
        </is>
      </c>
      <c r="E862" t="inlineStr">
        <is>
          <t>ÖSTERSUND</t>
        </is>
      </c>
      <c r="F862" t="inlineStr">
        <is>
          <t>SCA</t>
        </is>
      </c>
      <c r="G862" t="n">
        <v>10.6</v>
      </c>
      <c r="H862" t="n">
        <v>0</v>
      </c>
      <c r="I862" t="n">
        <v>0</v>
      </c>
      <c r="J862" t="n">
        <v>0</v>
      </c>
      <c r="K862" t="n">
        <v>0</v>
      </c>
      <c r="L862" t="n">
        <v>0</v>
      </c>
      <c r="M862" t="n">
        <v>0</v>
      </c>
      <c r="N862" t="n">
        <v>0</v>
      </c>
      <c r="O862" t="n">
        <v>0</v>
      </c>
      <c r="P862" t="n">
        <v>0</v>
      </c>
      <c r="Q862" t="n">
        <v>0</v>
      </c>
      <c r="R862" s="2" t="inlineStr"/>
    </row>
    <row r="863" ht="15" customHeight="1">
      <c r="A863" t="inlineStr">
        <is>
          <t>A 41280-2024</t>
        </is>
      </c>
      <c r="B863" s="1" t="n">
        <v>45559</v>
      </c>
      <c r="C863" s="1" t="n">
        <v>45589</v>
      </c>
      <c r="D863" t="inlineStr">
        <is>
          <t>JÄMTLANDS LÄN</t>
        </is>
      </c>
      <c r="E863" t="inlineStr">
        <is>
          <t>ÖSTERSUND</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41282-2024</t>
        </is>
      </c>
      <c r="B864" s="1" t="n">
        <v>45559</v>
      </c>
      <c r="C864" s="1" t="n">
        <v>45589</v>
      </c>
      <c r="D864" t="inlineStr">
        <is>
          <t>JÄMTLANDS LÄN</t>
        </is>
      </c>
      <c r="E864" t="inlineStr">
        <is>
          <t>ÖSTERSUND</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41483-2024</t>
        </is>
      </c>
      <c r="B865" s="1" t="n">
        <v>45560</v>
      </c>
      <c r="C865" s="1" t="n">
        <v>45589</v>
      </c>
      <c r="D865" t="inlineStr">
        <is>
          <t>JÄMTLANDS LÄN</t>
        </is>
      </c>
      <c r="E865" t="inlineStr">
        <is>
          <t>ÖSTERSUND</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41780-2024</t>
        </is>
      </c>
      <c r="B866" s="1" t="n">
        <v>45561</v>
      </c>
      <c r="C866" s="1" t="n">
        <v>45589</v>
      </c>
      <c r="D866" t="inlineStr">
        <is>
          <t>JÄMTLANDS LÄN</t>
        </is>
      </c>
      <c r="E866" t="inlineStr">
        <is>
          <t>ÖSTERSUND</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42550-2024</t>
        </is>
      </c>
      <c r="B867" s="1" t="n">
        <v>45565</v>
      </c>
      <c r="C867" s="1" t="n">
        <v>45589</v>
      </c>
      <c r="D867" t="inlineStr">
        <is>
          <t>JÄMTLANDS LÄN</t>
        </is>
      </c>
      <c r="E867" t="inlineStr">
        <is>
          <t>ÖSTERSUND</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42547-2024</t>
        </is>
      </c>
      <c r="B868" s="1" t="n">
        <v>45565</v>
      </c>
      <c r="C868" s="1" t="n">
        <v>45589</v>
      </c>
      <c r="D868" t="inlineStr">
        <is>
          <t>JÄMTLANDS LÄN</t>
        </is>
      </c>
      <c r="E868" t="inlineStr">
        <is>
          <t>ÖSTERSUND</t>
        </is>
      </c>
      <c r="F868" t="inlineStr">
        <is>
          <t>Övriga Aktiebolag</t>
        </is>
      </c>
      <c r="G868" t="n">
        <v>7.1</v>
      </c>
      <c r="H868" t="n">
        <v>0</v>
      </c>
      <c r="I868" t="n">
        <v>0</v>
      </c>
      <c r="J868" t="n">
        <v>0</v>
      </c>
      <c r="K868" t="n">
        <v>0</v>
      </c>
      <c r="L868" t="n">
        <v>0</v>
      </c>
      <c r="M868" t="n">
        <v>0</v>
      </c>
      <c r="N868" t="n">
        <v>0</v>
      </c>
      <c r="O868" t="n">
        <v>0</v>
      </c>
      <c r="P868" t="n">
        <v>0</v>
      </c>
      <c r="Q868" t="n">
        <v>0</v>
      </c>
      <c r="R868" s="2" t="inlineStr"/>
    </row>
    <row r="869" ht="15" customHeight="1">
      <c r="A869" t="inlineStr">
        <is>
          <t>A 43016-2024</t>
        </is>
      </c>
      <c r="B869" s="1" t="n">
        <v>45567</v>
      </c>
      <c r="C869" s="1" t="n">
        <v>45589</v>
      </c>
      <c r="D869" t="inlineStr">
        <is>
          <t>JÄMTLANDS LÄN</t>
        </is>
      </c>
      <c r="E869" t="inlineStr">
        <is>
          <t>ÖSTERSUND</t>
        </is>
      </c>
      <c r="G869" t="n">
        <v>5.3</v>
      </c>
      <c r="H869" t="n">
        <v>0</v>
      </c>
      <c r="I869" t="n">
        <v>0</v>
      </c>
      <c r="J869" t="n">
        <v>0</v>
      </c>
      <c r="K869" t="n">
        <v>0</v>
      </c>
      <c r="L869" t="n">
        <v>0</v>
      </c>
      <c r="M869" t="n">
        <v>0</v>
      </c>
      <c r="N869" t="n">
        <v>0</v>
      </c>
      <c r="O869" t="n">
        <v>0</v>
      </c>
      <c r="P869" t="n">
        <v>0</v>
      </c>
      <c r="Q869" t="n">
        <v>0</v>
      </c>
      <c r="R869" s="2" t="inlineStr"/>
    </row>
    <row r="870" ht="15" customHeight="1">
      <c r="A870" t="inlineStr">
        <is>
          <t>A 43082-2024</t>
        </is>
      </c>
      <c r="B870" s="1" t="n">
        <v>45567</v>
      </c>
      <c r="C870" s="1" t="n">
        <v>45589</v>
      </c>
      <c r="D870" t="inlineStr">
        <is>
          <t>JÄMTLANDS LÄN</t>
        </is>
      </c>
      <c r="E870" t="inlineStr">
        <is>
          <t>ÖSTERSUND</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43118-2024</t>
        </is>
      </c>
      <c r="B871" s="1" t="n">
        <v>45567</v>
      </c>
      <c r="C871" s="1" t="n">
        <v>45589</v>
      </c>
      <c r="D871" t="inlineStr">
        <is>
          <t>JÄMTLANDS LÄN</t>
        </is>
      </c>
      <c r="E871" t="inlineStr">
        <is>
          <t>ÖSTERSUND</t>
        </is>
      </c>
      <c r="G871" t="n">
        <v>5.1</v>
      </c>
      <c r="H871" t="n">
        <v>0</v>
      </c>
      <c r="I871" t="n">
        <v>0</v>
      </c>
      <c r="J871" t="n">
        <v>0</v>
      </c>
      <c r="K871" t="n">
        <v>0</v>
      </c>
      <c r="L871" t="n">
        <v>0</v>
      </c>
      <c r="M871" t="n">
        <v>0</v>
      </c>
      <c r="N871" t="n">
        <v>0</v>
      </c>
      <c r="O871" t="n">
        <v>0</v>
      </c>
      <c r="P871" t="n">
        <v>0</v>
      </c>
      <c r="Q871" t="n">
        <v>0</v>
      </c>
      <c r="R871" s="2" t="inlineStr"/>
    </row>
    <row r="872" ht="15" customHeight="1">
      <c r="A872" t="inlineStr">
        <is>
          <t>A 43148-2024</t>
        </is>
      </c>
      <c r="B872" s="1" t="n">
        <v>45567</v>
      </c>
      <c r="C872" s="1" t="n">
        <v>45589</v>
      </c>
      <c r="D872" t="inlineStr">
        <is>
          <t>JÄMTLANDS LÄN</t>
        </is>
      </c>
      <c r="E872" t="inlineStr">
        <is>
          <t>ÖSTERSUND</t>
        </is>
      </c>
      <c r="G872" t="n">
        <v>3</v>
      </c>
      <c r="H872" t="n">
        <v>0</v>
      </c>
      <c r="I872" t="n">
        <v>0</v>
      </c>
      <c r="J872" t="n">
        <v>0</v>
      </c>
      <c r="K872" t="n">
        <v>0</v>
      </c>
      <c r="L872" t="n">
        <v>0</v>
      </c>
      <c r="M872" t="n">
        <v>0</v>
      </c>
      <c r="N872" t="n">
        <v>0</v>
      </c>
      <c r="O872" t="n">
        <v>0</v>
      </c>
      <c r="P872" t="n">
        <v>0</v>
      </c>
      <c r="Q872" t="n">
        <v>0</v>
      </c>
      <c r="R872" s="2" t="inlineStr"/>
    </row>
    <row r="873" ht="15" customHeight="1">
      <c r="A873" t="inlineStr">
        <is>
          <t>A 43560-2024</t>
        </is>
      </c>
      <c r="B873" s="1" t="n">
        <v>45569</v>
      </c>
      <c r="C873" s="1" t="n">
        <v>45589</v>
      </c>
      <c r="D873" t="inlineStr">
        <is>
          <t>JÄMTLANDS LÄN</t>
        </is>
      </c>
      <c r="E873" t="inlineStr">
        <is>
          <t>ÖSTERSUND</t>
        </is>
      </c>
      <c r="G873" t="n">
        <v>2.7</v>
      </c>
      <c r="H873" t="n">
        <v>0</v>
      </c>
      <c r="I873" t="n">
        <v>0</v>
      </c>
      <c r="J873" t="n">
        <v>0</v>
      </c>
      <c r="K873" t="n">
        <v>0</v>
      </c>
      <c r="L873" t="n">
        <v>0</v>
      </c>
      <c r="M873" t="n">
        <v>0</v>
      </c>
      <c r="N873" t="n">
        <v>0</v>
      </c>
      <c r="O873" t="n">
        <v>0</v>
      </c>
      <c r="P873" t="n">
        <v>0</v>
      </c>
      <c r="Q873" t="n">
        <v>0</v>
      </c>
      <c r="R873" s="2" t="inlineStr"/>
    </row>
    <row r="874" ht="15" customHeight="1">
      <c r="A874" t="inlineStr">
        <is>
          <t>A 43557-2024</t>
        </is>
      </c>
      <c r="B874" s="1" t="n">
        <v>45569</v>
      </c>
      <c r="C874" s="1" t="n">
        <v>45589</v>
      </c>
      <c r="D874" t="inlineStr">
        <is>
          <t>JÄMTLANDS LÄN</t>
        </is>
      </c>
      <c r="E874" t="inlineStr">
        <is>
          <t>ÖSTERSUND</t>
        </is>
      </c>
      <c r="G874" t="n">
        <v>3.6</v>
      </c>
      <c r="H874" t="n">
        <v>0</v>
      </c>
      <c r="I874" t="n">
        <v>0</v>
      </c>
      <c r="J874" t="n">
        <v>0</v>
      </c>
      <c r="K874" t="n">
        <v>0</v>
      </c>
      <c r="L874" t="n">
        <v>0</v>
      </c>
      <c r="M874" t="n">
        <v>0</v>
      </c>
      <c r="N874" t="n">
        <v>0</v>
      </c>
      <c r="O874" t="n">
        <v>0</v>
      </c>
      <c r="P874" t="n">
        <v>0</v>
      </c>
      <c r="Q874" t="n">
        <v>0</v>
      </c>
      <c r="R874" s="2" t="inlineStr"/>
    </row>
    <row r="875" ht="15" customHeight="1">
      <c r="A875" t="inlineStr">
        <is>
          <t>A 44048-2024</t>
        </is>
      </c>
      <c r="B875" s="1" t="n">
        <v>45572</v>
      </c>
      <c r="C875" s="1" t="n">
        <v>45589</v>
      </c>
      <c r="D875" t="inlineStr">
        <is>
          <t>JÄMTLANDS LÄN</t>
        </is>
      </c>
      <c r="E875" t="inlineStr">
        <is>
          <t>ÖSTERSUND</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44489-2024</t>
        </is>
      </c>
      <c r="B876" s="1" t="n">
        <v>45574</v>
      </c>
      <c r="C876" s="1" t="n">
        <v>45589</v>
      </c>
      <c r="D876" t="inlineStr">
        <is>
          <t>JÄMTLANDS LÄN</t>
        </is>
      </c>
      <c r="E876" t="inlineStr">
        <is>
          <t>ÖSTERSUND</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44707-2024</t>
        </is>
      </c>
      <c r="B877" s="1" t="n">
        <v>45574</v>
      </c>
      <c r="C877" s="1" t="n">
        <v>45589</v>
      </c>
      <c r="D877" t="inlineStr">
        <is>
          <t>JÄMTLANDS LÄN</t>
        </is>
      </c>
      <c r="E877" t="inlineStr">
        <is>
          <t>ÖSTERSUND</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45267-2024</t>
        </is>
      </c>
      <c r="B878" s="1" t="n">
        <v>45576</v>
      </c>
      <c r="C878" s="1" t="n">
        <v>45589</v>
      </c>
      <c r="D878" t="inlineStr">
        <is>
          <t>JÄMTLANDS LÄN</t>
        </is>
      </c>
      <c r="E878" t="inlineStr">
        <is>
          <t>ÖSTERSUND</t>
        </is>
      </c>
      <c r="G878" t="n">
        <v>8.6</v>
      </c>
      <c r="H878" t="n">
        <v>0</v>
      </c>
      <c r="I878" t="n">
        <v>0</v>
      </c>
      <c r="J878" t="n">
        <v>0</v>
      </c>
      <c r="K878" t="n">
        <v>0</v>
      </c>
      <c r="L878" t="n">
        <v>0</v>
      </c>
      <c r="M878" t="n">
        <v>0</v>
      </c>
      <c r="N878" t="n">
        <v>0</v>
      </c>
      <c r="O878" t="n">
        <v>0</v>
      </c>
      <c r="P878" t="n">
        <v>0</v>
      </c>
      <c r="Q878" t="n">
        <v>0</v>
      </c>
      <c r="R878" s="2" t="inlineStr"/>
    </row>
    <row r="879" ht="15" customHeight="1">
      <c r="A879" t="inlineStr">
        <is>
          <t>A 45340-2024</t>
        </is>
      </c>
      <c r="B879" s="1" t="n">
        <v>45576</v>
      </c>
      <c r="C879" s="1" t="n">
        <v>45589</v>
      </c>
      <c r="D879" t="inlineStr">
        <is>
          <t>JÄMTLANDS LÄN</t>
        </is>
      </c>
      <c r="E879" t="inlineStr">
        <is>
          <t>ÖSTERSUND</t>
        </is>
      </c>
      <c r="G879" t="n">
        <v>1.6</v>
      </c>
      <c r="H879" t="n">
        <v>0</v>
      </c>
      <c r="I879" t="n">
        <v>0</v>
      </c>
      <c r="J879" t="n">
        <v>0</v>
      </c>
      <c r="K879" t="n">
        <v>0</v>
      </c>
      <c r="L879" t="n">
        <v>0</v>
      </c>
      <c r="M879" t="n">
        <v>0</v>
      </c>
      <c r="N879" t="n">
        <v>0</v>
      </c>
      <c r="O879" t="n">
        <v>0</v>
      </c>
      <c r="P879" t="n">
        <v>0</v>
      </c>
      <c r="Q879" t="n">
        <v>0</v>
      </c>
      <c r="R879" s="2" t="inlineStr"/>
    </row>
    <row r="880" ht="15" customHeight="1">
      <c r="A880" t="inlineStr">
        <is>
          <t>A 45341-2024</t>
        </is>
      </c>
      <c r="B880" s="1" t="n">
        <v>45576</v>
      </c>
      <c r="C880" s="1" t="n">
        <v>45589</v>
      </c>
      <c r="D880" t="inlineStr">
        <is>
          <t>JÄMTLANDS LÄN</t>
        </is>
      </c>
      <c r="E880" t="inlineStr">
        <is>
          <t>ÖSTERSUND</t>
        </is>
      </c>
      <c r="G880" t="n">
        <v>5.9</v>
      </c>
      <c r="H880" t="n">
        <v>0</v>
      </c>
      <c r="I880" t="n">
        <v>0</v>
      </c>
      <c r="J880" t="n">
        <v>0</v>
      </c>
      <c r="K880" t="n">
        <v>0</v>
      </c>
      <c r="L880" t="n">
        <v>0</v>
      </c>
      <c r="M880" t="n">
        <v>0</v>
      </c>
      <c r="N880" t="n">
        <v>0</v>
      </c>
      <c r="O880" t="n">
        <v>0</v>
      </c>
      <c r="P880" t="n">
        <v>0</v>
      </c>
      <c r="Q880" t="n">
        <v>0</v>
      </c>
      <c r="R880" s="2" t="inlineStr"/>
    </row>
    <row r="881" ht="15" customHeight="1">
      <c r="A881" t="inlineStr">
        <is>
          <t>A 45338-2024</t>
        </is>
      </c>
      <c r="B881" s="1" t="n">
        <v>45576</v>
      </c>
      <c r="C881" s="1" t="n">
        <v>45589</v>
      </c>
      <c r="D881" t="inlineStr">
        <is>
          <t>JÄMTLANDS LÄN</t>
        </is>
      </c>
      <c r="E881" t="inlineStr">
        <is>
          <t>ÖSTERSUND</t>
        </is>
      </c>
      <c r="G881" t="n">
        <v>1.4</v>
      </c>
      <c r="H881" t="n">
        <v>0</v>
      </c>
      <c r="I881" t="n">
        <v>0</v>
      </c>
      <c r="J881" t="n">
        <v>0</v>
      </c>
      <c r="K881" t="n">
        <v>0</v>
      </c>
      <c r="L881" t="n">
        <v>0</v>
      </c>
      <c r="M881" t="n">
        <v>0</v>
      </c>
      <c r="N881" t="n">
        <v>0</v>
      </c>
      <c r="O881" t="n">
        <v>0</v>
      </c>
      <c r="P881" t="n">
        <v>0</v>
      </c>
      <c r="Q881" t="n">
        <v>0</v>
      </c>
      <c r="R881" s="2" t="inlineStr"/>
    </row>
    <row r="882" ht="15" customHeight="1">
      <c r="A882" t="inlineStr">
        <is>
          <t>A 45610-2024</t>
        </is>
      </c>
      <c r="B882" s="1" t="n">
        <v>45579</v>
      </c>
      <c r="C882" s="1" t="n">
        <v>45589</v>
      </c>
      <c r="D882" t="inlineStr">
        <is>
          <t>JÄMTLANDS LÄN</t>
        </is>
      </c>
      <c r="E882" t="inlineStr">
        <is>
          <t>ÖSTERSUND</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45742-2024</t>
        </is>
      </c>
      <c r="B883" s="1" t="n">
        <v>45579</v>
      </c>
      <c r="C883" s="1" t="n">
        <v>45589</v>
      </c>
      <c r="D883" t="inlineStr">
        <is>
          <t>JÄMTLANDS LÄN</t>
        </is>
      </c>
      <c r="E883" t="inlineStr">
        <is>
          <t>ÖSTERSUND</t>
        </is>
      </c>
      <c r="G883" t="n">
        <v>2.4</v>
      </c>
      <c r="H883" t="n">
        <v>0</v>
      </c>
      <c r="I883" t="n">
        <v>0</v>
      </c>
      <c r="J883" t="n">
        <v>0</v>
      </c>
      <c r="K883" t="n">
        <v>0</v>
      </c>
      <c r="L883" t="n">
        <v>0</v>
      </c>
      <c r="M883" t="n">
        <v>0</v>
      </c>
      <c r="N883" t="n">
        <v>0</v>
      </c>
      <c r="O883" t="n">
        <v>0</v>
      </c>
      <c r="P883" t="n">
        <v>0</v>
      </c>
      <c r="Q883" t="n">
        <v>0</v>
      </c>
      <c r="R883" s="2" t="inlineStr"/>
    </row>
    <row r="884" ht="15" customHeight="1">
      <c r="A884" t="inlineStr">
        <is>
          <t>A 45856-2024</t>
        </is>
      </c>
      <c r="B884" s="1" t="n">
        <v>45580</v>
      </c>
      <c r="C884" s="1" t="n">
        <v>45589</v>
      </c>
      <c r="D884" t="inlineStr">
        <is>
          <t>JÄMTLANDS LÄN</t>
        </is>
      </c>
      <c r="E884" t="inlineStr">
        <is>
          <t>ÖSTERSUND</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45895-2024</t>
        </is>
      </c>
      <c r="B885" s="1" t="n">
        <v>45580</v>
      </c>
      <c r="C885" s="1" t="n">
        <v>45589</v>
      </c>
      <c r="D885" t="inlineStr">
        <is>
          <t>JÄMTLANDS LÄN</t>
        </is>
      </c>
      <c r="E885" t="inlineStr">
        <is>
          <t>ÖSTERSUND</t>
        </is>
      </c>
      <c r="G885" t="n">
        <v>1.2</v>
      </c>
      <c r="H885" t="n">
        <v>0</v>
      </c>
      <c r="I885" t="n">
        <v>0</v>
      </c>
      <c r="J885" t="n">
        <v>0</v>
      </c>
      <c r="K885" t="n">
        <v>0</v>
      </c>
      <c r="L885" t="n">
        <v>0</v>
      </c>
      <c r="M885" t="n">
        <v>0</v>
      </c>
      <c r="N885" t="n">
        <v>0</v>
      </c>
      <c r="O885" t="n">
        <v>0</v>
      </c>
      <c r="P885" t="n">
        <v>0</v>
      </c>
      <c r="Q885" t="n">
        <v>0</v>
      </c>
      <c r="R885" s="2" t="inlineStr"/>
    </row>
    <row r="886" ht="15" customHeight="1">
      <c r="A886" t="inlineStr">
        <is>
          <t>A 46732-2024</t>
        </is>
      </c>
      <c r="B886" s="1" t="n">
        <v>45583</v>
      </c>
      <c r="C886" s="1" t="n">
        <v>45589</v>
      </c>
      <c r="D886" t="inlineStr">
        <is>
          <t>JÄMTLANDS LÄN</t>
        </is>
      </c>
      <c r="E886" t="inlineStr">
        <is>
          <t>ÖSTERSUND</t>
        </is>
      </c>
      <c r="G886" t="n">
        <v>3.3</v>
      </c>
      <c r="H886" t="n">
        <v>0</v>
      </c>
      <c r="I886" t="n">
        <v>0</v>
      </c>
      <c r="J886" t="n">
        <v>0</v>
      </c>
      <c r="K886" t="n">
        <v>0</v>
      </c>
      <c r="L886" t="n">
        <v>0</v>
      </c>
      <c r="M886" t="n">
        <v>0</v>
      </c>
      <c r="N886" t="n">
        <v>0</v>
      </c>
      <c r="O886" t="n">
        <v>0</v>
      </c>
      <c r="P886" t="n">
        <v>0</v>
      </c>
      <c r="Q886" t="n">
        <v>0</v>
      </c>
      <c r="R886" s="2" t="inlineStr"/>
    </row>
    <row r="887" ht="15" customHeight="1">
      <c r="A887" t="inlineStr">
        <is>
          <t>A 47022-2024</t>
        </is>
      </c>
      <c r="B887" s="1" t="n">
        <v>45586</v>
      </c>
      <c r="C887" s="1" t="n">
        <v>45589</v>
      </c>
      <c r="D887" t="inlineStr">
        <is>
          <t>JÄMTLANDS LÄN</t>
        </is>
      </c>
      <c r="E887" t="inlineStr">
        <is>
          <t>ÖSTERSUND</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47245-2024</t>
        </is>
      </c>
      <c r="B888" s="1" t="n">
        <v>45586</v>
      </c>
      <c r="C888" s="1" t="n">
        <v>45589</v>
      </c>
      <c r="D888" t="inlineStr">
        <is>
          <t>JÄMTLANDS LÄN</t>
        </is>
      </c>
      <c r="E888" t="inlineStr">
        <is>
          <t>ÖSTERSUND</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47357-2024</t>
        </is>
      </c>
      <c r="B889" s="1" t="n">
        <v>45587</v>
      </c>
      <c r="C889" s="1" t="n">
        <v>45589</v>
      </c>
      <c r="D889" t="inlineStr">
        <is>
          <t>JÄMTLANDS LÄN</t>
        </is>
      </c>
      <c r="E889" t="inlineStr">
        <is>
          <t>ÖSTERSUND</t>
        </is>
      </c>
      <c r="G889" t="n">
        <v>2.4</v>
      </c>
      <c r="H889" t="n">
        <v>0</v>
      </c>
      <c r="I889" t="n">
        <v>0</v>
      </c>
      <c r="J889" t="n">
        <v>0</v>
      </c>
      <c r="K889" t="n">
        <v>0</v>
      </c>
      <c r="L889" t="n">
        <v>0</v>
      </c>
      <c r="M889" t="n">
        <v>0</v>
      </c>
      <c r="N889" t="n">
        <v>0</v>
      </c>
      <c r="O889" t="n">
        <v>0</v>
      </c>
      <c r="P889" t="n">
        <v>0</v>
      </c>
      <c r="Q889" t="n">
        <v>0</v>
      </c>
      <c r="R889" s="2" t="inlineStr"/>
    </row>
    <row r="890" ht="15" customHeight="1">
      <c r="A890" t="inlineStr">
        <is>
          <t>A 47628-2024</t>
        </is>
      </c>
      <c r="B890" s="1" t="n">
        <v>45588</v>
      </c>
      <c r="C890" s="1" t="n">
        <v>45589</v>
      </c>
      <c r="D890" t="inlineStr">
        <is>
          <t>JÄMTLANDS LÄN</t>
        </is>
      </c>
      <c r="E890" t="inlineStr">
        <is>
          <t>ÖSTERSUND</t>
        </is>
      </c>
      <c r="G890" t="n">
        <v>1.9</v>
      </c>
      <c r="H890" t="n">
        <v>0</v>
      </c>
      <c r="I890" t="n">
        <v>0</v>
      </c>
      <c r="J890" t="n">
        <v>0</v>
      </c>
      <c r="K890" t="n">
        <v>0</v>
      </c>
      <c r="L890" t="n">
        <v>0</v>
      </c>
      <c r="M890" t="n">
        <v>0</v>
      </c>
      <c r="N890" t="n">
        <v>0</v>
      </c>
      <c r="O890" t="n">
        <v>0</v>
      </c>
      <c r="P890" t="n">
        <v>0</v>
      </c>
      <c r="Q890" t="n">
        <v>0</v>
      </c>
      <c r="R890" s="2" t="inlineStr"/>
    </row>
    <row r="891" ht="15" customHeight="1">
      <c r="A891" t="inlineStr">
        <is>
          <t>A 47627-2024</t>
        </is>
      </c>
      <c r="B891" s="1" t="n">
        <v>45588</v>
      </c>
      <c r="C891" s="1" t="n">
        <v>45589</v>
      </c>
      <c r="D891" t="inlineStr">
        <is>
          <t>JÄMTLANDS LÄN</t>
        </is>
      </c>
      <c r="E891" t="inlineStr">
        <is>
          <t>ÖSTERSUND</t>
        </is>
      </c>
      <c r="G891" t="n">
        <v>0.8</v>
      </c>
      <c r="H891" t="n">
        <v>0</v>
      </c>
      <c r="I891" t="n">
        <v>0</v>
      </c>
      <c r="J891" t="n">
        <v>0</v>
      </c>
      <c r="K891" t="n">
        <v>0</v>
      </c>
      <c r="L891" t="n">
        <v>0</v>
      </c>
      <c r="M891" t="n">
        <v>0</v>
      </c>
      <c r="N891" t="n">
        <v>0</v>
      </c>
      <c r="O891" t="n">
        <v>0</v>
      </c>
      <c r="P891" t="n">
        <v>0</v>
      </c>
      <c r="Q891" t="n">
        <v>0</v>
      </c>
      <c r="R891" s="2" t="inlineStr"/>
    </row>
    <row r="892" ht="15" customHeight="1">
      <c r="A892" t="inlineStr">
        <is>
          <t>A 47789-2024</t>
        </is>
      </c>
      <c r="B892" s="1" t="n">
        <v>45588</v>
      </c>
      <c r="C892" s="1" t="n">
        <v>45589</v>
      </c>
      <c r="D892" t="inlineStr">
        <is>
          <t>JÄMTLANDS LÄN</t>
        </is>
      </c>
      <c r="E892" t="inlineStr">
        <is>
          <t>ÖSTERSUND</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47805-2024</t>
        </is>
      </c>
      <c r="B893" s="1" t="n">
        <v>45588</v>
      </c>
      <c r="C893" s="1" t="n">
        <v>45589</v>
      </c>
      <c r="D893" t="inlineStr">
        <is>
          <t>JÄMTLANDS LÄN</t>
        </is>
      </c>
      <c r="E893" t="inlineStr">
        <is>
          <t>ÖSTERSUND</t>
        </is>
      </c>
      <c r="G893" t="n">
        <v>7.4</v>
      </c>
      <c r="H893" t="n">
        <v>0</v>
      </c>
      <c r="I893" t="n">
        <v>0</v>
      </c>
      <c r="J893" t="n">
        <v>0</v>
      </c>
      <c r="K893" t="n">
        <v>0</v>
      </c>
      <c r="L893" t="n">
        <v>0</v>
      </c>
      <c r="M893" t="n">
        <v>0</v>
      </c>
      <c r="N893" t="n">
        <v>0</v>
      </c>
      <c r="O893" t="n">
        <v>0</v>
      </c>
      <c r="P893" t="n">
        <v>0</v>
      </c>
      <c r="Q893" t="n">
        <v>0</v>
      </c>
      <c r="R893" s="2" t="inlineStr"/>
    </row>
    <row r="894">
      <c r="A894" t="inlineStr">
        <is>
          <t>A 47630-2024</t>
        </is>
      </c>
      <c r="B894" s="1" t="n">
        <v>45588</v>
      </c>
      <c r="C894" s="1" t="n">
        <v>45589</v>
      </c>
      <c r="D894" t="inlineStr">
        <is>
          <t>JÄMTLANDS LÄN</t>
        </is>
      </c>
      <c r="E894" t="inlineStr">
        <is>
          <t>ÖSTERSUND</t>
        </is>
      </c>
      <c r="G894" t="n">
        <v>0.9</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2024-10-24T13:52:18Z</dcterms:created>
  <dcterms:modified xmlns:dcterms="http://purl.org/dc/terms/" xmlns:xsi="http://www.w3.org/2001/XMLSchema-instance" xsi:type="dcterms:W3CDTF">2024-10-24T13:52:18Z</dcterms:modified>
</cp:coreProperties>
</file>