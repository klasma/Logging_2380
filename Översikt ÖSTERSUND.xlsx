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45626</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45626</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45626</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45626</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45626</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45626</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50126-2024</t>
        </is>
      </c>
      <c r="B8" s="1" t="n">
        <v>45600</v>
      </c>
      <c r="C8" s="1" t="n">
        <v>45626</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26155-2021</t>
        </is>
      </c>
      <c r="B9" s="1" t="n">
        <v>44344</v>
      </c>
      <c r="C9" s="1" t="n">
        <v>45626</v>
      </c>
      <c r="D9" t="inlineStr">
        <is>
          <t>JÄMTLANDS LÄN</t>
        </is>
      </c>
      <c r="E9" t="inlineStr">
        <is>
          <t>ÖSTERSUND</t>
        </is>
      </c>
      <c r="G9" t="n">
        <v>20.4</v>
      </c>
      <c r="H9" t="n">
        <v>6</v>
      </c>
      <c r="I9" t="n">
        <v>5</v>
      </c>
      <c r="J9" t="n">
        <v>9</v>
      </c>
      <c r="K9" t="n">
        <v>2</v>
      </c>
      <c r="L9" t="n">
        <v>0</v>
      </c>
      <c r="M9" t="n">
        <v>0</v>
      </c>
      <c r="N9" t="n">
        <v>0</v>
      </c>
      <c r="O9" t="n">
        <v>11</v>
      </c>
      <c r="P9" t="n">
        <v>2</v>
      </c>
      <c r="Q9" t="n">
        <v>17</v>
      </c>
      <c r="R9" s="2" t="inlineStr">
        <is>
          <t>Knärot
Rynkskinn
Garnlav
Granticka
Gultoppig fingersvamp
Lunglav
Rosenticka
Skrovellav
Tretåig hackspett
Ullticka
Vedtrappmossa
Korallrot
Luddlav
Spindelblomster
Stuplav
Tvåblad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67457-2019</t>
        </is>
      </c>
      <c r="B10" s="1" t="n">
        <v>43813</v>
      </c>
      <c r="C10" s="1" t="n">
        <v>45626</v>
      </c>
      <c r="D10" t="inlineStr">
        <is>
          <t>JÄMTLANDS LÄN</t>
        </is>
      </c>
      <c r="E10" t="inlineStr">
        <is>
          <t>ÖSTERSUND</t>
        </is>
      </c>
      <c r="G10" t="n">
        <v>8.300000000000001</v>
      </c>
      <c r="H10" t="n">
        <v>4</v>
      </c>
      <c r="I10" t="n">
        <v>6</v>
      </c>
      <c r="J10" t="n">
        <v>7</v>
      </c>
      <c r="K10" t="n">
        <v>2</v>
      </c>
      <c r="L10" t="n">
        <v>0</v>
      </c>
      <c r="M10" t="n">
        <v>0</v>
      </c>
      <c r="N10" t="n">
        <v>0</v>
      </c>
      <c r="O10" t="n">
        <v>9</v>
      </c>
      <c r="P10" t="n">
        <v>2</v>
      </c>
      <c r="Q10" t="n">
        <v>16</v>
      </c>
      <c r="R10" s="2" t="inlineStr">
        <is>
          <t>Bitter taggsvamp
Rynkskinn
Grantaggsvamp
Harticka
Lunglav
Rödbrun klubbdyna
Svartvit taggsvamp
Tallriska
Talltita
Dropptaggsvamp
Finbräken
Grönpyrola
Guckusko
Skarp dropptaggsvamp
Tvåblad
Fläcknycklar</t>
        </is>
      </c>
      <c r="S10">
        <f>HYPERLINK("https://klasma.github.io/Logging_2380/artfynd/A 67457-2019 artfynd.xlsx", "A 67457-2019")</f>
        <v/>
      </c>
      <c r="T10">
        <f>HYPERLINK("https://klasma.github.io/Logging_2380/kartor/A 67457-2019 karta.png", "A 67457-2019")</f>
        <v/>
      </c>
      <c r="V10">
        <f>HYPERLINK("https://klasma.github.io/Logging_2380/klagomål/A 67457-2019 FSC-klagomål.docx", "A 67457-2019")</f>
        <v/>
      </c>
      <c r="W10">
        <f>HYPERLINK("https://klasma.github.io/Logging_2380/klagomålsmail/A 67457-2019 FSC-klagomål mail.docx", "A 67457-2019")</f>
        <v/>
      </c>
      <c r="X10">
        <f>HYPERLINK("https://klasma.github.io/Logging_2380/tillsyn/A 67457-2019 tillsynsbegäran.docx", "A 67457-2019")</f>
        <v/>
      </c>
      <c r="Y10">
        <f>HYPERLINK("https://klasma.github.io/Logging_2380/tillsynsmail/A 67457-2019 tillsynsbegäran mail.docx", "A 67457-2019")</f>
        <v/>
      </c>
      <c r="Z10">
        <f>HYPERLINK("https://klasma.github.io/Logging_2380/fåglar/A 67457-2019 prioriterade fågelarter.docx", "A 67457-2019")</f>
        <v/>
      </c>
    </row>
    <row r="11" ht="15" customHeight="1">
      <c r="A11" t="inlineStr">
        <is>
          <t>A 39568-2022</t>
        </is>
      </c>
      <c r="B11" s="1" t="n">
        <v>44817</v>
      </c>
      <c r="C11" s="1" t="n">
        <v>45626</v>
      </c>
      <c r="D11" t="inlineStr">
        <is>
          <t>JÄMTLANDS LÄN</t>
        </is>
      </c>
      <c r="E11" t="inlineStr">
        <is>
          <t>ÖSTERSUND</t>
        </is>
      </c>
      <c r="G11" t="n">
        <v>10</v>
      </c>
      <c r="H11" t="n">
        <v>9</v>
      </c>
      <c r="I11" t="n">
        <v>8</v>
      </c>
      <c r="J11" t="n">
        <v>2</v>
      </c>
      <c r="K11" t="n">
        <v>1</v>
      </c>
      <c r="L11" t="n">
        <v>1</v>
      </c>
      <c r="M11" t="n">
        <v>0</v>
      </c>
      <c r="N11" t="n">
        <v>0</v>
      </c>
      <c r="O11" t="n">
        <v>4</v>
      </c>
      <c r="P11" t="n">
        <v>2</v>
      </c>
      <c r="Q11" t="n">
        <v>15</v>
      </c>
      <c r="R11" s="2" t="inlineStr">
        <is>
          <t>Trolldruvemätare
Knärot
Skogsfru
Tretåig hackspett
Finbräken
Guckusko
Kransrams
Spindelblomster
Svart trolldruva
Trådfräken
Tvåblad
Ögonpyrola
Fläcknycklar
Blåsippa
Revlummer</t>
        </is>
      </c>
      <c r="S11">
        <f>HYPERLINK("https://klasma.github.io/Logging_2380/artfynd/A 39568-2022 artfynd.xlsx", "A 39568-2022")</f>
        <v/>
      </c>
      <c r="T11">
        <f>HYPERLINK("https://klasma.github.io/Logging_2380/kartor/A 39568-2022 karta.png", "A 39568-2022")</f>
        <v/>
      </c>
      <c r="U11">
        <f>HYPERLINK("https://klasma.github.io/Logging_2380/knärot/A 39568-2022 karta knärot.png", "A 39568-2022")</f>
        <v/>
      </c>
      <c r="V11">
        <f>HYPERLINK("https://klasma.github.io/Logging_2380/klagomål/A 39568-2022 FSC-klagomål.docx", "A 39568-2022")</f>
        <v/>
      </c>
      <c r="W11">
        <f>HYPERLINK("https://klasma.github.io/Logging_2380/klagomålsmail/A 39568-2022 FSC-klagomål mail.docx", "A 39568-2022")</f>
        <v/>
      </c>
      <c r="X11">
        <f>HYPERLINK("https://klasma.github.io/Logging_2380/tillsyn/A 39568-2022 tillsynsbegäran.docx", "A 39568-2022")</f>
        <v/>
      </c>
      <c r="Y11">
        <f>HYPERLINK("https://klasma.github.io/Logging_2380/tillsynsmail/A 39568-2022 tillsynsbegäran mail.docx", "A 39568-2022")</f>
        <v/>
      </c>
      <c r="Z11">
        <f>HYPERLINK("https://klasma.github.io/Logging_2380/fåglar/A 39568-2022 prioriterade fågelarter.docx", "A 39568-2022")</f>
        <v/>
      </c>
    </row>
    <row r="12" ht="15" customHeight="1">
      <c r="A12" t="inlineStr">
        <is>
          <t>A 30683-2023</t>
        </is>
      </c>
      <c r="B12" s="1" t="n">
        <v>45112</v>
      </c>
      <c r="C12" s="1" t="n">
        <v>45626</v>
      </c>
      <c r="D12" t="inlineStr">
        <is>
          <t>JÄMTLANDS LÄN</t>
        </is>
      </c>
      <c r="E12" t="inlineStr">
        <is>
          <t>ÖSTERSUND</t>
        </is>
      </c>
      <c r="G12" t="n">
        <v>3.2</v>
      </c>
      <c r="H12" t="n">
        <v>3</v>
      </c>
      <c r="I12" t="n">
        <v>2</v>
      </c>
      <c r="J12" t="n">
        <v>8</v>
      </c>
      <c r="K12" t="n">
        <v>4</v>
      </c>
      <c r="L12" t="n">
        <v>0</v>
      </c>
      <c r="M12" t="n">
        <v>0</v>
      </c>
      <c r="N12" t="n">
        <v>0</v>
      </c>
      <c r="O12" t="n">
        <v>12</v>
      </c>
      <c r="P12" t="n">
        <v>4</v>
      </c>
      <c r="Q12" t="n">
        <v>15</v>
      </c>
      <c r="R12" s="2" t="inlineStr">
        <is>
          <t>Bitter taggsvamp
Doftticka
Läderdoftande fingersvamp
Taggfingersvamp
Druvfingersvamp
Grantaggsvamp
Grynig filtlav
Gultoppig fingersvamp
Lunglav
Orange taggsvamp
Skogsfru
Slåtterfibbla
Kryddspindling
Vårärt
Skogsrör</t>
        </is>
      </c>
      <c r="S12">
        <f>HYPERLINK("https://klasma.github.io/Logging_2380/artfynd/A 30683-2023 artfynd.xlsx", "A 30683-2023")</f>
        <v/>
      </c>
      <c r="T12">
        <f>HYPERLINK("https://klasma.github.io/Logging_2380/kartor/A 30683-2023 karta.png", "A 30683-2023")</f>
        <v/>
      </c>
      <c r="V12">
        <f>HYPERLINK("https://klasma.github.io/Logging_2380/klagomål/A 30683-2023 FSC-klagomål.docx", "A 30683-2023")</f>
        <v/>
      </c>
      <c r="W12">
        <f>HYPERLINK("https://klasma.github.io/Logging_2380/klagomålsmail/A 30683-2023 FSC-klagomål mail.docx", "A 30683-2023")</f>
        <v/>
      </c>
      <c r="X12">
        <f>HYPERLINK("https://klasma.github.io/Logging_2380/tillsyn/A 30683-2023 tillsynsbegäran.docx", "A 30683-2023")</f>
        <v/>
      </c>
      <c r="Y12">
        <f>HYPERLINK("https://klasma.github.io/Logging_2380/tillsynsmail/A 30683-2023 tillsynsbegäran mail.docx", "A 30683-2023")</f>
        <v/>
      </c>
    </row>
    <row r="13" ht="15" customHeight="1">
      <c r="A13" t="inlineStr">
        <is>
          <t>A 55075-2022</t>
        </is>
      </c>
      <c r="B13" s="1" t="n">
        <v>44886</v>
      </c>
      <c r="C13" s="1" t="n">
        <v>45626</v>
      </c>
      <c r="D13" t="inlineStr">
        <is>
          <t>JÄMTLANDS LÄN</t>
        </is>
      </c>
      <c r="E13" t="inlineStr">
        <is>
          <t>ÖSTERSUND</t>
        </is>
      </c>
      <c r="F13" t="inlineStr">
        <is>
          <t>Övriga Aktiebolag</t>
        </is>
      </c>
      <c r="G13" t="n">
        <v>12.7</v>
      </c>
      <c r="H13" t="n">
        <v>7</v>
      </c>
      <c r="I13" t="n">
        <v>5</v>
      </c>
      <c r="J13" t="n">
        <v>4</v>
      </c>
      <c r="K13" t="n">
        <v>2</v>
      </c>
      <c r="L13" t="n">
        <v>0</v>
      </c>
      <c r="M13" t="n">
        <v>0</v>
      </c>
      <c r="N13" t="n">
        <v>0</v>
      </c>
      <c r="O13" t="n">
        <v>6</v>
      </c>
      <c r="P13" t="n">
        <v>2</v>
      </c>
      <c r="Q13" t="n">
        <v>14</v>
      </c>
      <c r="R13" s="2" t="inlineStr">
        <is>
          <t>Doftticka
Knärot
Garnlav
Granticka
Lunglav
Skrovellav
Bårdlav
Grönkulla
Luddlav
Spindelblomster
Stuplav
Fläcknycklar
Nattviol
Revlummer</t>
        </is>
      </c>
      <c r="S13">
        <f>HYPERLINK("https://klasma.github.io/Logging_2380/artfynd/A 55075-2022 artfynd.xlsx", "A 55075-2022")</f>
        <v/>
      </c>
      <c r="T13">
        <f>HYPERLINK("https://klasma.github.io/Logging_2380/kartor/A 55075-2022 karta.png", "A 55075-2022")</f>
        <v/>
      </c>
      <c r="U13">
        <f>HYPERLINK("https://klasma.github.io/Logging_2380/knärot/A 55075-2022 karta knärot.png", "A 55075-2022")</f>
        <v/>
      </c>
      <c r="V13">
        <f>HYPERLINK("https://klasma.github.io/Logging_2380/klagomål/A 55075-2022 FSC-klagomål.docx", "A 55075-2022")</f>
        <v/>
      </c>
      <c r="W13">
        <f>HYPERLINK("https://klasma.github.io/Logging_2380/klagomålsmail/A 55075-2022 FSC-klagomål mail.docx", "A 55075-2022")</f>
        <v/>
      </c>
      <c r="X13">
        <f>HYPERLINK("https://klasma.github.io/Logging_2380/tillsyn/A 55075-2022 tillsynsbegäran.docx", "A 55075-2022")</f>
        <v/>
      </c>
      <c r="Y13">
        <f>HYPERLINK("https://klasma.github.io/Logging_2380/tillsynsmail/A 55075-2022 tillsynsbegäran mail.docx", "A 55075-2022")</f>
        <v/>
      </c>
    </row>
    <row r="14" ht="15" customHeight="1">
      <c r="A14" t="inlineStr">
        <is>
          <t>A 47367-2022</t>
        </is>
      </c>
      <c r="B14" s="1" t="n">
        <v>44851</v>
      </c>
      <c r="C14" s="1" t="n">
        <v>45626</v>
      </c>
      <c r="D14" t="inlineStr">
        <is>
          <t>JÄMTLANDS LÄN</t>
        </is>
      </c>
      <c r="E14" t="inlineStr">
        <is>
          <t>ÖSTERSUND</t>
        </is>
      </c>
      <c r="G14" t="n">
        <v>10.6</v>
      </c>
      <c r="H14" t="n">
        <v>6</v>
      </c>
      <c r="I14" t="n">
        <v>7</v>
      </c>
      <c r="J14" t="n">
        <v>5</v>
      </c>
      <c r="K14" t="n">
        <v>1</v>
      </c>
      <c r="L14" t="n">
        <v>0</v>
      </c>
      <c r="M14" t="n">
        <v>0</v>
      </c>
      <c r="N14" t="n">
        <v>0</v>
      </c>
      <c r="O14" t="n">
        <v>6</v>
      </c>
      <c r="P14" t="n">
        <v>1</v>
      </c>
      <c r="Q14" t="n">
        <v>13</v>
      </c>
      <c r="R14" s="2" t="inlineStr">
        <is>
          <t>Knärot
Garnlav
Granticka
Lunglav
Talltita
Vitgrynig nållav
Blodticka
Fjällig taggsvamp s.str.
Guckusko
Korallrot
Spindelblomster
Svavelriska
Tvåblad</t>
        </is>
      </c>
      <c r="S14">
        <f>HYPERLINK("https://klasma.github.io/Logging_2380/artfynd/A 47367-2022 artfynd.xlsx", "A 47367-2022")</f>
        <v/>
      </c>
      <c r="T14">
        <f>HYPERLINK("https://klasma.github.io/Logging_2380/kartor/A 47367-2022 karta.png", "A 47367-2022")</f>
        <v/>
      </c>
      <c r="U14">
        <f>HYPERLINK("https://klasma.github.io/Logging_2380/knärot/A 47367-2022 karta knärot.png", "A 47367-2022")</f>
        <v/>
      </c>
      <c r="V14">
        <f>HYPERLINK("https://klasma.github.io/Logging_2380/klagomål/A 47367-2022 FSC-klagomål.docx", "A 47367-2022")</f>
        <v/>
      </c>
      <c r="W14">
        <f>HYPERLINK("https://klasma.github.io/Logging_2380/klagomålsmail/A 47367-2022 FSC-klagomål mail.docx", "A 47367-2022")</f>
        <v/>
      </c>
      <c r="X14">
        <f>HYPERLINK("https://klasma.github.io/Logging_2380/tillsyn/A 47367-2022 tillsynsbegäran.docx", "A 47367-2022")</f>
        <v/>
      </c>
      <c r="Y14">
        <f>HYPERLINK("https://klasma.github.io/Logging_2380/tillsynsmail/A 47367-2022 tillsynsbegäran mail.docx", "A 47367-2022")</f>
        <v/>
      </c>
      <c r="Z14">
        <f>HYPERLINK("https://klasma.github.io/Logging_2380/fåglar/A 47367-2022 prioriterade fågelarter.docx", "A 47367-2022")</f>
        <v/>
      </c>
    </row>
    <row r="15" ht="15" customHeight="1">
      <c r="A15" t="inlineStr">
        <is>
          <t>A 2979-2023</t>
        </is>
      </c>
      <c r="B15" s="1" t="n">
        <v>44945</v>
      </c>
      <c r="C15" s="1" t="n">
        <v>45626</v>
      </c>
      <c r="D15" t="inlineStr">
        <is>
          <t>JÄMTLANDS LÄN</t>
        </is>
      </c>
      <c r="E15" t="inlineStr">
        <is>
          <t>ÖSTERSUND</t>
        </is>
      </c>
      <c r="G15" t="n">
        <v>11.5</v>
      </c>
      <c r="H15" t="n">
        <v>8</v>
      </c>
      <c r="I15" t="n">
        <v>3</v>
      </c>
      <c r="J15" t="n">
        <v>7</v>
      </c>
      <c r="K15" t="n">
        <v>1</v>
      </c>
      <c r="L15" t="n">
        <v>0</v>
      </c>
      <c r="M15" t="n">
        <v>0</v>
      </c>
      <c r="N15" t="n">
        <v>0</v>
      </c>
      <c r="O15" t="n">
        <v>8</v>
      </c>
      <c r="P15" t="n">
        <v>1</v>
      </c>
      <c r="Q15" t="n">
        <v>13</v>
      </c>
      <c r="R15" s="2" t="inlineStr">
        <is>
          <t>Knärot
Garnlav
Granticka
Lunglav
Skogsfru
Spillkråka
Talltita
Tretåig hackspett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32699-2023</t>
        </is>
      </c>
      <c r="B16" s="1" t="n">
        <v>45121</v>
      </c>
      <c r="C16" s="1" t="n">
        <v>45626</v>
      </c>
      <c r="D16" t="inlineStr">
        <is>
          <t>JÄMTLANDS LÄN</t>
        </is>
      </c>
      <c r="E16" t="inlineStr">
        <is>
          <t>ÖSTERSUND</t>
        </is>
      </c>
      <c r="F16" t="inlineStr">
        <is>
          <t>Övriga Aktiebolag</t>
        </is>
      </c>
      <c r="G16" t="n">
        <v>7.2</v>
      </c>
      <c r="H16" t="n">
        <v>5</v>
      </c>
      <c r="I16" t="n">
        <v>4</v>
      </c>
      <c r="J16" t="n">
        <v>6</v>
      </c>
      <c r="K16" t="n">
        <v>1</v>
      </c>
      <c r="L16" t="n">
        <v>0</v>
      </c>
      <c r="M16" t="n">
        <v>0</v>
      </c>
      <c r="N16" t="n">
        <v>0</v>
      </c>
      <c r="O16" t="n">
        <v>7</v>
      </c>
      <c r="P16" t="n">
        <v>1</v>
      </c>
      <c r="Q16" t="n">
        <v>13</v>
      </c>
      <c r="R16" s="2" t="inlineStr">
        <is>
          <t>Knärot
Flattoppad klubbsvamp
Garnlav
Granticka
Tretåig hackspett
Ullticka
Äggvaxskivling
Norrlandslav
Spindelblomster
Stuplav
Trådticka
Blåsippa
Revlummer</t>
        </is>
      </c>
      <c r="S16">
        <f>HYPERLINK("https://klasma.github.io/Logging_2380/artfynd/A 32699-2023 artfynd.xlsx", "A 32699-2023")</f>
        <v/>
      </c>
      <c r="T16">
        <f>HYPERLINK("https://klasma.github.io/Logging_2380/kartor/A 32699-2023 karta.png", "A 32699-2023")</f>
        <v/>
      </c>
      <c r="U16">
        <f>HYPERLINK("https://klasma.github.io/Logging_2380/knärot/A 32699-2023 karta knärot.png", "A 32699-2023")</f>
        <v/>
      </c>
      <c r="V16">
        <f>HYPERLINK("https://klasma.github.io/Logging_2380/klagomål/A 32699-2023 FSC-klagomål.docx", "A 32699-2023")</f>
        <v/>
      </c>
      <c r="W16">
        <f>HYPERLINK("https://klasma.github.io/Logging_2380/klagomålsmail/A 32699-2023 FSC-klagomål mail.docx", "A 32699-2023")</f>
        <v/>
      </c>
      <c r="X16">
        <f>HYPERLINK("https://klasma.github.io/Logging_2380/tillsyn/A 32699-2023 tillsynsbegäran.docx", "A 32699-2023")</f>
        <v/>
      </c>
      <c r="Y16">
        <f>HYPERLINK("https://klasma.github.io/Logging_2380/tillsynsmail/A 32699-2023 tillsynsbegäran mail.docx", "A 32699-2023")</f>
        <v/>
      </c>
      <c r="Z16">
        <f>HYPERLINK("https://klasma.github.io/Logging_2380/fåglar/A 32699-2023 prioriterade fågelarter.docx", "A 32699-2023")</f>
        <v/>
      </c>
    </row>
    <row r="17" ht="15" customHeight="1">
      <c r="A17" t="inlineStr">
        <is>
          <t>A 12943-2022</t>
        </is>
      </c>
      <c r="B17" s="1" t="n">
        <v>44642</v>
      </c>
      <c r="C17" s="1" t="n">
        <v>45626</v>
      </c>
      <c r="D17" t="inlineStr">
        <is>
          <t>JÄMTLANDS LÄN</t>
        </is>
      </c>
      <c r="E17" t="inlineStr">
        <is>
          <t>ÖSTERSUND</t>
        </is>
      </c>
      <c r="G17" t="n">
        <v>10</v>
      </c>
      <c r="H17" t="n">
        <v>4</v>
      </c>
      <c r="I17" t="n">
        <v>6</v>
      </c>
      <c r="J17" t="n">
        <v>4</v>
      </c>
      <c r="K17" t="n">
        <v>1</v>
      </c>
      <c r="L17" t="n">
        <v>0</v>
      </c>
      <c r="M17" t="n">
        <v>0</v>
      </c>
      <c r="N17" t="n">
        <v>0</v>
      </c>
      <c r="O17" t="n">
        <v>5</v>
      </c>
      <c r="P17" t="n">
        <v>1</v>
      </c>
      <c r="Q17" t="n">
        <v>12</v>
      </c>
      <c r="R17" s="2" t="inlineStr">
        <is>
          <t>Läderdoftande fingersvamp
Blå taggsvamp
Dofttaggsvamp
Orange taggsvamp
Talltita
Diskvaxskivling
Guckusko
Tibast
Tvåblad
Vårärt
Zontaggsvamp
Blåsippa</t>
        </is>
      </c>
      <c r="S17">
        <f>HYPERLINK("https://klasma.github.io/Logging_2380/artfynd/A 12943-2022 artfynd.xlsx", "A 12943-2022")</f>
        <v/>
      </c>
      <c r="T17">
        <f>HYPERLINK("https://klasma.github.io/Logging_2380/kartor/A 12943-2022 karta.png", "A 12943-2022")</f>
        <v/>
      </c>
      <c r="V17">
        <f>HYPERLINK("https://klasma.github.io/Logging_2380/klagomål/A 12943-2022 FSC-klagomål.docx", "A 12943-2022")</f>
        <v/>
      </c>
      <c r="W17">
        <f>HYPERLINK("https://klasma.github.io/Logging_2380/klagomålsmail/A 12943-2022 FSC-klagomål mail.docx", "A 12943-2022")</f>
        <v/>
      </c>
      <c r="X17">
        <f>HYPERLINK("https://klasma.github.io/Logging_2380/tillsyn/A 12943-2022 tillsynsbegäran.docx", "A 12943-2022")</f>
        <v/>
      </c>
      <c r="Y17">
        <f>HYPERLINK("https://klasma.github.io/Logging_2380/tillsynsmail/A 12943-2022 tillsynsbegäran mail.docx", "A 12943-2022")</f>
        <v/>
      </c>
      <c r="Z17">
        <f>HYPERLINK("https://klasma.github.io/Logging_2380/fåglar/A 12943-2022 prioriterade fågelarter.docx", "A 12943-2022")</f>
        <v/>
      </c>
    </row>
    <row r="18" ht="15" customHeight="1">
      <c r="A18" t="inlineStr">
        <is>
          <t>A 21511-2022</t>
        </is>
      </c>
      <c r="B18" s="1" t="n">
        <v>44706</v>
      </c>
      <c r="C18" s="1" t="n">
        <v>45626</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45626</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45626</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45626</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45626</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45626</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45626</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45626</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45626</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45626</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45626</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45626</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45626</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45626</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45626</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45626</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45626</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45626</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45626</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45626</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45626</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45626</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45626</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45626</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45626</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45626</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45626</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45626</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45626</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45626</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45626</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27577-2022</t>
        </is>
      </c>
      <c r="B49" s="1" t="n">
        <v>44742</v>
      </c>
      <c r="C49" s="1" t="n">
        <v>45626</v>
      </c>
      <c r="D49" t="inlineStr">
        <is>
          <t>JÄMTLANDS LÄN</t>
        </is>
      </c>
      <c r="E49" t="inlineStr">
        <is>
          <t>ÖSTERSUND</t>
        </is>
      </c>
      <c r="F49" t="inlineStr">
        <is>
          <t>SCA</t>
        </is>
      </c>
      <c r="G49" t="n">
        <v>12</v>
      </c>
      <c r="H49" t="n">
        <v>2</v>
      </c>
      <c r="I49" t="n">
        <v>3</v>
      </c>
      <c r="J49" t="n">
        <v>1</v>
      </c>
      <c r="K49" t="n">
        <v>0</v>
      </c>
      <c r="L49" t="n">
        <v>0</v>
      </c>
      <c r="M49" t="n">
        <v>0</v>
      </c>
      <c r="N49" t="n">
        <v>0</v>
      </c>
      <c r="O49" t="n">
        <v>1</v>
      </c>
      <c r="P49" t="n">
        <v>0</v>
      </c>
      <c r="Q49" t="n">
        <v>5</v>
      </c>
      <c r="R49" s="2" t="inlineStr">
        <is>
          <t>Granticka
Tibast
Tvåblad
Underviol
Blåsippa</t>
        </is>
      </c>
      <c r="S49">
        <f>HYPERLINK("https://klasma.github.io/Logging_2380/artfynd/A 27577-2022 artfynd.xlsx", "A 27577-2022")</f>
        <v/>
      </c>
      <c r="T49">
        <f>HYPERLINK("https://klasma.github.io/Logging_2380/kartor/A 27577-2022 karta.png", "A 27577-2022")</f>
        <v/>
      </c>
      <c r="V49">
        <f>HYPERLINK("https://klasma.github.io/Logging_2380/klagomål/A 27577-2022 FSC-klagomål.docx", "A 27577-2022")</f>
        <v/>
      </c>
      <c r="W49">
        <f>HYPERLINK("https://klasma.github.io/Logging_2380/klagomålsmail/A 27577-2022 FSC-klagomål mail.docx", "A 27577-2022")</f>
        <v/>
      </c>
      <c r="X49">
        <f>HYPERLINK("https://klasma.github.io/Logging_2380/tillsyn/A 27577-2022 tillsynsbegäran.docx", "A 27577-2022")</f>
        <v/>
      </c>
      <c r="Y49">
        <f>HYPERLINK("https://klasma.github.io/Logging_2380/tillsynsmail/A 27577-2022 tillsynsbegäran mail.docx", "A 27577-2022")</f>
        <v/>
      </c>
    </row>
    <row r="50" ht="15" customHeight="1">
      <c r="A50" t="inlineStr">
        <is>
          <t>A 47392-2022</t>
        </is>
      </c>
      <c r="B50" s="1" t="n">
        <v>44851</v>
      </c>
      <c r="C50" s="1" t="n">
        <v>45626</v>
      </c>
      <c r="D50" t="inlineStr">
        <is>
          <t>JÄMTLANDS LÄN</t>
        </is>
      </c>
      <c r="E50" t="inlineStr">
        <is>
          <t>ÖSTERSUND</t>
        </is>
      </c>
      <c r="G50" t="n">
        <v>1.6</v>
      </c>
      <c r="H50" t="n">
        <v>3</v>
      </c>
      <c r="I50" t="n">
        <v>3</v>
      </c>
      <c r="J50" t="n">
        <v>1</v>
      </c>
      <c r="K50" t="n">
        <v>1</v>
      </c>
      <c r="L50" t="n">
        <v>0</v>
      </c>
      <c r="M50" t="n">
        <v>0</v>
      </c>
      <c r="N50" t="n">
        <v>0</v>
      </c>
      <c r="O50" t="n">
        <v>2</v>
      </c>
      <c r="P50" t="n">
        <v>1</v>
      </c>
      <c r="Q50" t="n">
        <v>5</v>
      </c>
      <c r="R50" s="2" t="inlineStr">
        <is>
          <t>Knärot
Garnlav
Guckusko
Plattlummer
Trådfräken</t>
        </is>
      </c>
      <c r="S50">
        <f>HYPERLINK("https://klasma.github.io/Logging_2380/artfynd/A 47392-2022 artfynd.xlsx", "A 47392-2022")</f>
        <v/>
      </c>
      <c r="T50">
        <f>HYPERLINK("https://klasma.github.io/Logging_2380/kartor/A 47392-2022 karta.png", "A 47392-2022")</f>
        <v/>
      </c>
      <c r="U50">
        <f>HYPERLINK("https://klasma.github.io/Logging_2380/knärot/A 47392-2022 karta knärot.png", "A 47392-2022")</f>
        <v/>
      </c>
      <c r="V50">
        <f>HYPERLINK("https://klasma.github.io/Logging_2380/klagomål/A 47392-2022 FSC-klagomål.docx", "A 47392-2022")</f>
        <v/>
      </c>
      <c r="W50">
        <f>HYPERLINK("https://klasma.github.io/Logging_2380/klagomålsmail/A 47392-2022 FSC-klagomål mail.docx", "A 47392-2022")</f>
        <v/>
      </c>
      <c r="X50">
        <f>HYPERLINK("https://klasma.github.io/Logging_2380/tillsyn/A 47392-2022 tillsynsbegäran.docx", "A 47392-2022")</f>
        <v/>
      </c>
      <c r="Y50">
        <f>HYPERLINK("https://klasma.github.io/Logging_2380/tillsynsmail/A 47392-2022 tillsynsbegäran mail.docx", "A 47392-2022")</f>
        <v/>
      </c>
    </row>
    <row r="51" ht="15" customHeight="1">
      <c r="A51" t="inlineStr">
        <is>
          <t>A 56096-2022</t>
        </is>
      </c>
      <c r="B51" s="1" t="n">
        <v>44889</v>
      </c>
      <c r="C51" s="1" t="n">
        <v>45626</v>
      </c>
      <c r="D51" t="inlineStr">
        <is>
          <t>JÄMTLANDS LÄN</t>
        </is>
      </c>
      <c r="E51" t="inlineStr">
        <is>
          <t>ÖSTERSUND</t>
        </is>
      </c>
      <c r="F51" t="inlineStr">
        <is>
          <t>Övriga Aktiebolag</t>
        </is>
      </c>
      <c r="G51" t="n">
        <v>15.1</v>
      </c>
      <c r="H51" t="n">
        <v>1</v>
      </c>
      <c r="I51" t="n">
        <v>0</v>
      </c>
      <c r="J51" t="n">
        <v>4</v>
      </c>
      <c r="K51" t="n">
        <v>0</v>
      </c>
      <c r="L51" t="n">
        <v>0</v>
      </c>
      <c r="M51" t="n">
        <v>0</v>
      </c>
      <c r="N51" t="n">
        <v>0</v>
      </c>
      <c r="O51" t="n">
        <v>4</v>
      </c>
      <c r="P51" t="n">
        <v>0</v>
      </c>
      <c r="Q51" t="n">
        <v>5</v>
      </c>
      <c r="R51" s="2" t="inlineStr">
        <is>
          <t>Brunklöver
Dvärgbägarlav
Garnlav
Ullticka
Revlummer</t>
        </is>
      </c>
      <c r="S51">
        <f>HYPERLINK("https://klasma.github.io/Logging_2380/artfynd/A 56096-2022 artfynd.xlsx", "A 56096-2022")</f>
        <v/>
      </c>
      <c r="T51">
        <f>HYPERLINK("https://klasma.github.io/Logging_2380/kartor/A 56096-2022 karta.png", "A 56096-2022")</f>
        <v/>
      </c>
      <c r="V51">
        <f>HYPERLINK("https://klasma.github.io/Logging_2380/klagomål/A 56096-2022 FSC-klagomål.docx", "A 56096-2022")</f>
        <v/>
      </c>
      <c r="W51">
        <f>HYPERLINK("https://klasma.github.io/Logging_2380/klagomålsmail/A 56096-2022 FSC-klagomål mail.docx", "A 56096-2022")</f>
        <v/>
      </c>
      <c r="X51">
        <f>HYPERLINK("https://klasma.github.io/Logging_2380/tillsyn/A 56096-2022 tillsynsbegäran.docx", "A 56096-2022")</f>
        <v/>
      </c>
      <c r="Y51">
        <f>HYPERLINK("https://klasma.github.io/Logging_2380/tillsynsmail/A 56096-2022 tillsynsbegäran mail.docx", "A 56096-2022")</f>
        <v/>
      </c>
    </row>
    <row r="52" ht="15" customHeight="1">
      <c r="A52" t="inlineStr">
        <is>
          <t>A 5043-2023</t>
        </is>
      </c>
      <c r="B52" s="1" t="n">
        <v>44956</v>
      </c>
      <c r="C52" s="1" t="n">
        <v>45626</v>
      </c>
      <c r="D52" t="inlineStr">
        <is>
          <t>JÄMTLANDS LÄN</t>
        </is>
      </c>
      <c r="E52" t="inlineStr">
        <is>
          <t>ÖSTERSUND</t>
        </is>
      </c>
      <c r="G52" t="n">
        <v>0.8</v>
      </c>
      <c r="H52" t="n">
        <v>2</v>
      </c>
      <c r="I52" t="n">
        <v>2</v>
      </c>
      <c r="J52" t="n">
        <v>1</v>
      </c>
      <c r="K52" t="n">
        <v>0</v>
      </c>
      <c r="L52" t="n">
        <v>0</v>
      </c>
      <c r="M52" t="n">
        <v>0</v>
      </c>
      <c r="N52" t="n">
        <v>0</v>
      </c>
      <c r="O52" t="n">
        <v>1</v>
      </c>
      <c r="P52" t="n">
        <v>0</v>
      </c>
      <c r="Q52" t="n">
        <v>5</v>
      </c>
      <c r="R52" s="2" t="inlineStr">
        <is>
          <t>Slåtterfibbla
Svavelriska
Vårärt
Brudsporre
Blåsippa</t>
        </is>
      </c>
      <c r="S52">
        <f>HYPERLINK("https://klasma.github.io/Logging_2380/artfynd/A 5043-2023 artfynd.xlsx", "A 5043-2023")</f>
        <v/>
      </c>
      <c r="T52">
        <f>HYPERLINK("https://klasma.github.io/Logging_2380/kartor/A 5043-2023 karta.png", "A 5043-2023")</f>
        <v/>
      </c>
      <c r="V52">
        <f>HYPERLINK("https://klasma.github.io/Logging_2380/klagomål/A 5043-2023 FSC-klagomål.docx", "A 5043-2023")</f>
        <v/>
      </c>
      <c r="W52">
        <f>HYPERLINK("https://klasma.github.io/Logging_2380/klagomålsmail/A 5043-2023 FSC-klagomål mail.docx", "A 5043-2023")</f>
        <v/>
      </c>
      <c r="X52">
        <f>HYPERLINK("https://klasma.github.io/Logging_2380/tillsyn/A 5043-2023 tillsynsbegäran.docx", "A 5043-2023")</f>
        <v/>
      </c>
      <c r="Y52">
        <f>HYPERLINK("https://klasma.github.io/Logging_2380/tillsynsmail/A 5043-2023 tillsynsbegäran mail.docx", "A 5043-2023")</f>
        <v/>
      </c>
    </row>
    <row r="53" ht="15" customHeight="1">
      <c r="A53" t="inlineStr">
        <is>
          <t>A 45979-2023</t>
        </is>
      </c>
      <c r="B53" s="1" t="n">
        <v>45189</v>
      </c>
      <c r="C53" s="1" t="n">
        <v>45626</v>
      </c>
      <c r="D53" t="inlineStr">
        <is>
          <t>JÄMTLANDS LÄN</t>
        </is>
      </c>
      <c r="E53" t="inlineStr">
        <is>
          <t>ÖSTERSUND</t>
        </is>
      </c>
      <c r="G53" t="n">
        <v>3.3</v>
      </c>
      <c r="H53" t="n">
        <v>3</v>
      </c>
      <c r="I53" t="n">
        <v>2</v>
      </c>
      <c r="J53" t="n">
        <v>0</v>
      </c>
      <c r="K53" t="n">
        <v>0</v>
      </c>
      <c r="L53" t="n">
        <v>1</v>
      </c>
      <c r="M53" t="n">
        <v>0</v>
      </c>
      <c r="N53" t="n">
        <v>0</v>
      </c>
      <c r="O53" t="n">
        <v>1</v>
      </c>
      <c r="P53" t="n">
        <v>1</v>
      </c>
      <c r="Q53" t="n">
        <v>5</v>
      </c>
      <c r="R53" s="2" t="inlineStr">
        <is>
          <t>Trolldruvemätare
Svart trolldruva
Tvåblad
Dactylorhiza incarnata subsp. incarnata
Ängsnycklar</t>
        </is>
      </c>
      <c r="S53">
        <f>HYPERLINK("https://klasma.github.io/Logging_2380/artfynd/A 45979-2023 artfynd.xlsx", "A 45979-2023")</f>
        <v/>
      </c>
      <c r="T53">
        <f>HYPERLINK("https://klasma.github.io/Logging_2380/kartor/A 45979-2023 karta.png", "A 45979-2023")</f>
        <v/>
      </c>
      <c r="V53">
        <f>HYPERLINK("https://klasma.github.io/Logging_2380/klagomål/A 45979-2023 FSC-klagomål.docx", "A 45979-2023")</f>
        <v/>
      </c>
      <c r="W53">
        <f>HYPERLINK("https://klasma.github.io/Logging_2380/klagomålsmail/A 45979-2023 FSC-klagomål mail.docx", "A 45979-2023")</f>
        <v/>
      </c>
      <c r="X53">
        <f>HYPERLINK("https://klasma.github.io/Logging_2380/tillsyn/A 45979-2023 tillsynsbegäran.docx", "A 45979-2023")</f>
        <v/>
      </c>
      <c r="Y53">
        <f>HYPERLINK("https://klasma.github.io/Logging_2380/tillsynsmail/A 45979-2023 tillsynsbegäran mail.docx", "A 45979-2023")</f>
        <v/>
      </c>
    </row>
    <row r="54" ht="15" customHeight="1">
      <c r="A54" t="inlineStr">
        <is>
          <t>A 7717-2024</t>
        </is>
      </c>
      <c r="B54" s="1" t="n">
        <v>45349</v>
      </c>
      <c r="C54" s="1" t="n">
        <v>45626</v>
      </c>
      <c r="D54" t="inlineStr">
        <is>
          <t>JÄMTLANDS LÄN</t>
        </is>
      </c>
      <c r="E54" t="inlineStr">
        <is>
          <t>ÖSTERSUND</t>
        </is>
      </c>
      <c r="F54" t="inlineStr">
        <is>
          <t>Övriga Aktiebolag</t>
        </is>
      </c>
      <c r="G54" t="n">
        <v>2.5</v>
      </c>
      <c r="H54" t="n">
        <v>1</v>
      </c>
      <c r="I54" t="n">
        <v>1</v>
      </c>
      <c r="J54" t="n">
        <v>4</v>
      </c>
      <c r="K54" t="n">
        <v>0</v>
      </c>
      <c r="L54" t="n">
        <v>0</v>
      </c>
      <c r="M54" t="n">
        <v>0</v>
      </c>
      <c r="N54" t="n">
        <v>0</v>
      </c>
      <c r="O54" t="n">
        <v>4</v>
      </c>
      <c r="P54" t="n">
        <v>0</v>
      </c>
      <c r="Q54" t="n">
        <v>5</v>
      </c>
      <c r="R54" s="2" t="inlineStr">
        <is>
          <t>Garnlav
Lunglav
Skrovellav
Talltita
Stuplav</t>
        </is>
      </c>
      <c r="S54">
        <f>HYPERLINK("https://klasma.github.io/Logging_2380/artfynd/A 7717-2024 artfynd.xlsx", "A 7717-2024")</f>
        <v/>
      </c>
      <c r="T54">
        <f>HYPERLINK("https://klasma.github.io/Logging_2380/kartor/A 7717-2024 karta.png", "A 7717-2024")</f>
        <v/>
      </c>
      <c r="V54">
        <f>HYPERLINK("https://klasma.github.io/Logging_2380/klagomål/A 7717-2024 FSC-klagomål.docx", "A 7717-2024")</f>
        <v/>
      </c>
      <c r="W54">
        <f>HYPERLINK("https://klasma.github.io/Logging_2380/klagomålsmail/A 7717-2024 FSC-klagomål mail.docx", "A 7717-2024")</f>
        <v/>
      </c>
      <c r="X54">
        <f>HYPERLINK("https://klasma.github.io/Logging_2380/tillsyn/A 7717-2024 tillsynsbegäran.docx", "A 7717-2024")</f>
        <v/>
      </c>
      <c r="Y54">
        <f>HYPERLINK("https://klasma.github.io/Logging_2380/tillsynsmail/A 7717-2024 tillsynsbegäran mail.docx", "A 7717-2024")</f>
        <v/>
      </c>
      <c r="Z54">
        <f>HYPERLINK("https://klasma.github.io/Logging_2380/fåglar/A 7717-2024 prioriterade fågelarter.docx", "A 7717-2024")</f>
        <v/>
      </c>
    </row>
    <row r="55" ht="15" customHeight="1">
      <c r="A55" t="inlineStr">
        <is>
          <t>A 10747-2024</t>
        </is>
      </c>
      <c r="B55" s="1" t="n">
        <v>45369</v>
      </c>
      <c r="C55" s="1" t="n">
        <v>45626</v>
      </c>
      <c r="D55" t="inlineStr">
        <is>
          <t>JÄMTLANDS LÄN</t>
        </is>
      </c>
      <c r="E55" t="inlineStr">
        <is>
          <t>ÖSTERSUND</t>
        </is>
      </c>
      <c r="G55" t="n">
        <v>4.3</v>
      </c>
      <c r="H55" t="n">
        <v>1</v>
      </c>
      <c r="I55" t="n">
        <v>1</v>
      </c>
      <c r="J55" t="n">
        <v>3</v>
      </c>
      <c r="K55" t="n">
        <v>1</v>
      </c>
      <c r="L55" t="n">
        <v>0</v>
      </c>
      <c r="M55" t="n">
        <v>0</v>
      </c>
      <c r="N55" t="n">
        <v>0</v>
      </c>
      <c r="O55" t="n">
        <v>4</v>
      </c>
      <c r="P55" t="n">
        <v>1</v>
      </c>
      <c r="Q55" t="n">
        <v>5</v>
      </c>
      <c r="R55" s="2" t="inlineStr">
        <is>
          <t>Fjällfotad musseron
Barrviolspindling
Gultoppig fingersvamp
Tretåig hackspett
Fjällig taggsvamp s.str.</t>
        </is>
      </c>
      <c r="S55">
        <f>HYPERLINK("https://klasma.github.io/Logging_2380/artfynd/A 10747-2024 artfynd.xlsx", "A 10747-2024")</f>
        <v/>
      </c>
      <c r="T55">
        <f>HYPERLINK("https://klasma.github.io/Logging_2380/kartor/A 10747-2024 karta.png", "A 10747-2024")</f>
        <v/>
      </c>
      <c r="V55">
        <f>HYPERLINK("https://klasma.github.io/Logging_2380/klagomål/A 10747-2024 FSC-klagomål.docx", "A 10747-2024")</f>
        <v/>
      </c>
      <c r="W55">
        <f>HYPERLINK("https://klasma.github.io/Logging_2380/klagomålsmail/A 10747-2024 FSC-klagomål mail.docx", "A 10747-2024")</f>
        <v/>
      </c>
      <c r="X55">
        <f>HYPERLINK("https://klasma.github.io/Logging_2380/tillsyn/A 10747-2024 tillsynsbegäran.docx", "A 10747-2024")</f>
        <v/>
      </c>
      <c r="Y55">
        <f>HYPERLINK("https://klasma.github.io/Logging_2380/tillsynsmail/A 10747-2024 tillsynsbegäran mail.docx", "A 10747-2024")</f>
        <v/>
      </c>
      <c r="Z55">
        <f>HYPERLINK("https://klasma.github.io/Logging_2380/fåglar/A 10747-2024 prioriterade fågelarter.docx", "A 10747-2024")</f>
        <v/>
      </c>
    </row>
    <row r="56" ht="15" customHeight="1">
      <c r="A56" t="inlineStr">
        <is>
          <t>A 17716-2024</t>
        </is>
      </c>
      <c r="B56" s="1" t="n">
        <v>45415</v>
      </c>
      <c r="C56" s="1" t="n">
        <v>45626</v>
      </c>
      <c r="D56" t="inlineStr">
        <is>
          <t>JÄMTLANDS LÄN</t>
        </is>
      </c>
      <c r="E56" t="inlineStr">
        <is>
          <t>ÖSTERSUND</t>
        </is>
      </c>
      <c r="G56" t="n">
        <v>1.4</v>
      </c>
      <c r="H56" t="n">
        <v>5</v>
      </c>
      <c r="I56" t="n">
        <v>2</v>
      </c>
      <c r="J56" t="n">
        <v>0</v>
      </c>
      <c r="K56" t="n">
        <v>1</v>
      </c>
      <c r="L56" t="n">
        <v>0</v>
      </c>
      <c r="M56" t="n">
        <v>0</v>
      </c>
      <c r="N56" t="n">
        <v>0</v>
      </c>
      <c r="O56" t="n">
        <v>1</v>
      </c>
      <c r="P56" t="n">
        <v>1</v>
      </c>
      <c r="Q56" t="n">
        <v>5</v>
      </c>
      <c r="R56" s="2" t="inlineStr">
        <is>
          <t>Knärot
Spindelblomster
Tvåblad
Fläcknycklar
Blåsippa</t>
        </is>
      </c>
      <c r="S56">
        <f>HYPERLINK("https://klasma.github.io/Logging_2380/artfynd/A 17716-2024 artfynd.xlsx", "A 17716-2024")</f>
        <v/>
      </c>
      <c r="T56">
        <f>HYPERLINK("https://klasma.github.io/Logging_2380/kartor/A 17716-2024 karta.png", "A 17716-2024")</f>
        <v/>
      </c>
      <c r="U56">
        <f>HYPERLINK("https://klasma.github.io/Logging_2380/knärot/A 17716-2024 karta knärot.png", "A 17716-2024")</f>
        <v/>
      </c>
      <c r="V56">
        <f>HYPERLINK("https://klasma.github.io/Logging_2380/klagomål/A 17716-2024 FSC-klagomål.docx", "A 17716-2024")</f>
        <v/>
      </c>
      <c r="W56">
        <f>HYPERLINK("https://klasma.github.io/Logging_2380/klagomålsmail/A 17716-2024 FSC-klagomål mail.docx", "A 17716-2024")</f>
        <v/>
      </c>
      <c r="X56">
        <f>HYPERLINK("https://klasma.github.io/Logging_2380/tillsyn/A 17716-2024 tillsynsbegäran.docx", "A 17716-2024")</f>
        <v/>
      </c>
      <c r="Y56">
        <f>HYPERLINK("https://klasma.github.io/Logging_2380/tillsynsmail/A 17716-2024 tillsynsbegäran mail.docx", "A 17716-2024")</f>
        <v/>
      </c>
    </row>
    <row r="57" ht="15" customHeight="1">
      <c r="A57" t="inlineStr">
        <is>
          <t>A 39941-2024</t>
        </is>
      </c>
      <c r="B57" s="1" t="n">
        <v>45553</v>
      </c>
      <c r="C57" s="1" t="n">
        <v>45626</v>
      </c>
      <c r="D57" t="inlineStr">
        <is>
          <t>JÄMTLANDS LÄN</t>
        </is>
      </c>
      <c r="E57" t="inlineStr">
        <is>
          <t>ÖSTERSUND</t>
        </is>
      </c>
      <c r="G57" t="n">
        <v>6</v>
      </c>
      <c r="H57" t="n">
        <v>0</v>
      </c>
      <c r="I57" t="n">
        <v>2</v>
      </c>
      <c r="J57" t="n">
        <v>3</v>
      </c>
      <c r="K57" t="n">
        <v>0</v>
      </c>
      <c r="L57" t="n">
        <v>0</v>
      </c>
      <c r="M57" t="n">
        <v>0</v>
      </c>
      <c r="N57" t="n">
        <v>0</v>
      </c>
      <c r="O57" t="n">
        <v>3</v>
      </c>
      <c r="P57" t="n">
        <v>0</v>
      </c>
      <c r="Q57" t="n">
        <v>5</v>
      </c>
      <c r="R57" s="2" t="inlineStr">
        <is>
          <t>Garnlav
Lunglav
Skrovellav
Bårdlav
Luddlav</t>
        </is>
      </c>
      <c r="S57">
        <f>HYPERLINK("https://klasma.github.io/Logging_2380/artfynd/A 39941-2024 artfynd.xlsx", "A 39941-2024")</f>
        <v/>
      </c>
      <c r="T57">
        <f>HYPERLINK("https://klasma.github.io/Logging_2380/kartor/A 39941-2024 karta.png", "A 39941-2024")</f>
        <v/>
      </c>
      <c r="V57">
        <f>HYPERLINK("https://klasma.github.io/Logging_2380/klagomål/A 39941-2024 FSC-klagomål.docx", "A 39941-2024")</f>
        <v/>
      </c>
      <c r="W57">
        <f>HYPERLINK("https://klasma.github.io/Logging_2380/klagomålsmail/A 39941-2024 FSC-klagomål mail.docx", "A 39941-2024")</f>
        <v/>
      </c>
      <c r="X57">
        <f>HYPERLINK("https://klasma.github.io/Logging_2380/tillsyn/A 39941-2024 tillsynsbegäran.docx", "A 39941-2024")</f>
        <v/>
      </c>
      <c r="Y57">
        <f>HYPERLINK("https://klasma.github.io/Logging_2380/tillsynsmail/A 39941-2024 tillsynsbegäran mail.docx", "A 39941-2024")</f>
        <v/>
      </c>
    </row>
    <row r="58" ht="15" customHeight="1">
      <c r="A58" t="inlineStr">
        <is>
          <t>A 45015-2024</t>
        </is>
      </c>
      <c r="B58" s="1" t="n">
        <v>45575</v>
      </c>
      <c r="C58" s="1" t="n">
        <v>45626</v>
      </c>
      <c r="D58" t="inlineStr">
        <is>
          <t>JÄMTLANDS LÄN</t>
        </is>
      </c>
      <c r="E58" t="inlineStr">
        <is>
          <t>ÖSTERSUND</t>
        </is>
      </c>
      <c r="F58" t="inlineStr">
        <is>
          <t>Övriga statliga verk och myndigheter</t>
        </is>
      </c>
      <c r="G58" t="n">
        <v>2.3</v>
      </c>
      <c r="H58" t="n">
        <v>2</v>
      </c>
      <c r="I58" t="n">
        <v>1</v>
      </c>
      <c r="J58" t="n">
        <v>2</v>
      </c>
      <c r="K58" t="n">
        <v>1</v>
      </c>
      <c r="L58" t="n">
        <v>0</v>
      </c>
      <c r="M58" t="n">
        <v>0</v>
      </c>
      <c r="N58" t="n">
        <v>0</v>
      </c>
      <c r="O58" t="n">
        <v>3</v>
      </c>
      <c r="P58" t="n">
        <v>1</v>
      </c>
      <c r="Q58" t="n">
        <v>5</v>
      </c>
      <c r="R58" s="2" t="inlineStr">
        <is>
          <t>Knärot
Garnlav
Vitgrynig nållav
Kamjordstjärna
Revlummer</t>
        </is>
      </c>
      <c r="S58">
        <f>HYPERLINK("https://klasma.github.io/Logging_2380/artfynd/A 45015-2024 artfynd.xlsx", "A 45015-2024")</f>
        <v/>
      </c>
      <c r="T58">
        <f>HYPERLINK("https://klasma.github.io/Logging_2380/kartor/A 45015-2024 karta.png", "A 45015-2024")</f>
        <v/>
      </c>
      <c r="U58">
        <f>HYPERLINK("https://klasma.github.io/Logging_2380/knärot/A 45015-2024 karta knärot.png", "A 45015-2024")</f>
        <v/>
      </c>
      <c r="V58">
        <f>HYPERLINK("https://klasma.github.io/Logging_2380/klagomål/A 45015-2024 FSC-klagomål.docx", "A 45015-2024")</f>
        <v/>
      </c>
      <c r="W58">
        <f>HYPERLINK("https://klasma.github.io/Logging_2380/klagomålsmail/A 45015-2024 FSC-klagomål mail.docx", "A 45015-2024")</f>
        <v/>
      </c>
      <c r="X58">
        <f>HYPERLINK("https://klasma.github.io/Logging_2380/tillsyn/A 45015-2024 tillsynsbegäran.docx", "A 45015-2024")</f>
        <v/>
      </c>
      <c r="Y58">
        <f>HYPERLINK("https://klasma.github.io/Logging_2380/tillsynsmail/A 45015-2024 tillsynsbegäran mail.docx", "A 45015-2024")</f>
        <v/>
      </c>
    </row>
    <row r="59" ht="15" customHeight="1">
      <c r="A59" t="inlineStr">
        <is>
          <t>A 54731-2024</t>
        </is>
      </c>
      <c r="B59" s="1" t="n">
        <v>45618</v>
      </c>
      <c r="C59" s="1" t="n">
        <v>45626</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29135-2022</t>
        </is>
      </c>
      <c r="B60" s="1" t="n">
        <v>44750</v>
      </c>
      <c r="C60" s="1" t="n">
        <v>45626</v>
      </c>
      <c r="D60" t="inlineStr">
        <is>
          <t>JÄMTLANDS LÄN</t>
        </is>
      </c>
      <c r="E60" t="inlineStr">
        <is>
          <t>ÖSTERSUND</t>
        </is>
      </c>
      <c r="G60" t="n">
        <v>2.3</v>
      </c>
      <c r="H60" t="n">
        <v>3</v>
      </c>
      <c r="I60" t="n">
        <v>2</v>
      </c>
      <c r="J60" t="n">
        <v>0</v>
      </c>
      <c r="K60" t="n">
        <v>0</v>
      </c>
      <c r="L60" t="n">
        <v>0</v>
      </c>
      <c r="M60" t="n">
        <v>0</v>
      </c>
      <c r="N60" t="n">
        <v>0</v>
      </c>
      <c r="O60" t="n">
        <v>0</v>
      </c>
      <c r="P60" t="n">
        <v>0</v>
      </c>
      <c r="Q60" t="n">
        <v>4</v>
      </c>
      <c r="R60" s="2" t="inlineStr">
        <is>
          <t>Finbräken
Grönkulla
Fläcknycklar
Blåsippa</t>
        </is>
      </c>
      <c r="S60">
        <f>HYPERLINK("https://klasma.github.io/Logging_2380/artfynd/A 29135-2022 artfynd.xlsx", "A 29135-2022")</f>
        <v/>
      </c>
      <c r="T60">
        <f>HYPERLINK("https://klasma.github.io/Logging_2380/kartor/A 29135-2022 karta.png", "A 29135-2022")</f>
        <v/>
      </c>
      <c r="V60">
        <f>HYPERLINK("https://klasma.github.io/Logging_2380/klagomål/A 29135-2022 FSC-klagomål.docx", "A 29135-2022")</f>
        <v/>
      </c>
      <c r="W60">
        <f>HYPERLINK("https://klasma.github.io/Logging_2380/klagomålsmail/A 29135-2022 FSC-klagomål mail.docx", "A 29135-2022")</f>
        <v/>
      </c>
      <c r="X60">
        <f>HYPERLINK("https://klasma.github.io/Logging_2380/tillsyn/A 29135-2022 tillsynsbegäran.docx", "A 29135-2022")</f>
        <v/>
      </c>
      <c r="Y60">
        <f>HYPERLINK("https://klasma.github.io/Logging_2380/tillsynsmail/A 29135-2022 tillsynsbegäran mail.docx", "A 29135-2022")</f>
        <v/>
      </c>
    </row>
    <row r="61" ht="15" customHeight="1">
      <c r="A61" t="inlineStr">
        <is>
          <t>A 59291-2022</t>
        </is>
      </c>
      <c r="B61" s="1" t="n">
        <v>44904</v>
      </c>
      <c r="C61" s="1" t="n">
        <v>45626</v>
      </c>
      <c r="D61" t="inlineStr">
        <is>
          <t>JÄMTLANDS LÄN</t>
        </is>
      </c>
      <c r="E61" t="inlineStr">
        <is>
          <t>ÖSTERSUND</t>
        </is>
      </c>
      <c r="G61" t="n">
        <v>9.199999999999999</v>
      </c>
      <c r="H61" t="n">
        <v>1</v>
      </c>
      <c r="I61" t="n">
        <v>0</v>
      </c>
      <c r="J61" t="n">
        <v>3</v>
      </c>
      <c r="K61" t="n">
        <v>0</v>
      </c>
      <c r="L61" t="n">
        <v>0</v>
      </c>
      <c r="M61" t="n">
        <v>0</v>
      </c>
      <c r="N61" t="n">
        <v>0</v>
      </c>
      <c r="O61" t="n">
        <v>3</v>
      </c>
      <c r="P61" t="n">
        <v>0</v>
      </c>
      <c r="Q61" t="n">
        <v>4</v>
      </c>
      <c r="R61" s="2" t="inlineStr">
        <is>
          <t>Garnlav
Lunglav
Skrovellav
Revlummer</t>
        </is>
      </c>
      <c r="S61">
        <f>HYPERLINK("https://klasma.github.io/Logging_2380/artfynd/A 59291-2022 artfynd.xlsx", "A 59291-2022")</f>
        <v/>
      </c>
      <c r="T61">
        <f>HYPERLINK("https://klasma.github.io/Logging_2380/kartor/A 59291-2022 karta.png", "A 59291-2022")</f>
        <v/>
      </c>
      <c r="V61">
        <f>HYPERLINK("https://klasma.github.io/Logging_2380/klagomål/A 59291-2022 FSC-klagomål.docx", "A 59291-2022")</f>
        <v/>
      </c>
      <c r="W61">
        <f>HYPERLINK("https://klasma.github.io/Logging_2380/klagomålsmail/A 59291-2022 FSC-klagomål mail.docx", "A 59291-2022")</f>
        <v/>
      </c>
      <c r="X61">
        <f>HYPERLINK("https://klasma.github.io/Logging_2380/tillsyn/A 59291-2022 tillsynsbegäran.docx", "A 59291-2022")</f>
        <v/>
      </c>
      <c r="Y61">
        <f>HYPERLINK("https://klasma.github.io/Logging_2380/tillsynsmail/A 59291-2022 tillsynsbegäran mail.docx", "A 59291-2022")</f>
        <v/>
      </c>
    </row>
    <row r="62" ht="15" customHeight="1">
      <c r="A62" t="inlineStr">
        <is>
          <t>A 2962-2023</t>
        </is>
      </c>
      <c r="B62" s="1" t="n">
        <v>44945</v>
      </c>
      <c r="C62" s="1" t="n">
        <v>45626</v>
      </c>
      <c r="D62" t="inlineStr">
        <is>
          <t>JÄMTLANDS LÄN</t>
        </is>
      </c>
      <c r="E62" t="inlineStr">
        <is>
          <t>ÖSTERSUND</t>
        </is>
      </c>
      <c r="F62" t="inlineStr">
        <is>
          <t>Övriga Aktiebolag</t>
        </is>
      </c>
      <c r="G62" t="n">
        <v>14.4</v>
      </c>
      <c r="H62" t="n">
        <v>2</v>
      </c>
      <c r="I62" t="n">
        <v>0</v>
      </c>
      <c r="J62" t="n">
        <v>3</v>
      </c>
      <c r="K62" t="n">
        <v>0</v>
      </c>
      <c r="L62" t="n">
        <v>0</v>
      </c>
      <c r="M62" t="n">
        <v>0</v>
      </c>
      <c r="N62" t="n">
        <v>0</v>
      </c>
      <c r="O62" t="n">
        <v>3</v>
      </c>
      <c r="P62" t="n">
        <v>0</v>
      </c>
      <c r="Q62" t="n">
        <v>4</v>
      </c>
      <c r="R62" s="2" t="inlineStr">
        <is>
          <t>Garnlav
Lunglav
Tretåig hackspett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55344-2023</t>
        </is>
      </c>
      <c r="B63" s="1" t="n">
        <v>45237</v>
      </c>
      <c r="C63" s="1" t="n">
        <v>45626</v>
      </c>
      <c r="D63" t="inlineStr">
        <is>
          <t>JÄMTLANDS LÄN</t>
        </is>
      </c>
      <c r="E63" t="inlineStr">
        <is>
          <t>ÖSTERSUND</t>
        </is>
      </c>
      <c r="F63" t="inlineStr">
        <is>
          <t>SCA</t>
        </is>
      </c>
      <c r="G63" t="n">
        <v>1.5</v>
      </c>
      <c r="H63" t="n">
        <v>1</v>
      </c>
      <c r="I63" t="n">
        <v>1</v>
      </c>
      <c r="J63" t="n">
        <v>2</v>
      </c>
      <c r="K63" t="n">
        <v>1</v>
      </c>
      <c r="L63" t="n">
        <v>0</v>
      </c>
      <c r="M63" t="n">
        <v>0</v>
      </c>
      <c r="N63" t="n">
        <v>0</v>
      </c>
      <c r="O63" t="n">
        <v>3</v>
      </c>
      <c r="P63" t="n">
        <v>1</v>
      </c>
      <c r="Q63" t="n">
        <v>4</v>
      </c>
      <c r="R63" s="2" t="inlineStr">
        <is>
          <t>Lappuggla
Garnlav
Lunglav
Stuplav</t>
        </is>
      </c>
      <c r="S63">
        <f>HYPERLINK("https://klasma.github.io/Logging_2380/artfynd/A 55344-2023 artfynd.xlsx", "A 55344-2023")</f>
        <v/>
      </c>
      <c r="T63">
        <f>HYPERLINK("https://klasma.github.io/Logging_2380/kartor/A 55344-2023 karta.png", "A 55344-2023")</f>
        <v/>
      </c>
      <c r="V63">
        <f>HYPERLINK("https://klasma.github.io/Logging_2380/klagomål/A 55344-2023 FSC-klagomål.docx", "A 55344-2023")</f>
        <v/>
      </c>
      <c r="W63">
        <f>HYPERLINK("https://klasma.github.io/Logging_2380/klagomålsmail/A 55344-2023 FSC-klagomål mail.docx", "A 55344-2023")</f>
        <v/>
      </c>
      <c r="X63">
        <f>HYPERLINK("https://klasma.github.io/Logging_2380/tillsyn/A 55344-2023 tillsynsbegäran.docx", "A 55344-2023")</f>
        <v/>
      </c>
      <c r="Y63">
        <f>HYPERLINK("https://klasma.github.io/Logging_2380/tillsynsmail/A 55344-2023 tillsynsbegäran mail.docx", "A 55344-2023")</f>
        <v/>
      </c>
      <c r="Z63">
        <f>HYPERLINK("https://klasma.github.io/Logging_2380/fåglar/A 55344-2023 prioriterade fågelarter.docx", "A 55344-2023")</f>
        <v/>
      </c>
    </row>
    <row r="64" ht="15" customHeight="1">
      <c r="A64" t="inlineStr">
        <is>
          <t>A 25369-2024</t>
        </is>
      </c>
      <c r="B64" s="1" t="n">
        <v>45463</v>
      </c>
      <c r="C64" s="1" t="n">
        <v>45626</v>
      </c>
      <c r="D64" t="inlineStr">
        <is>
          <t>JÄMTLANDS LÄN</t>
        </is>
      </c>
      <c r="E64" t="inlineStr">
        <is>
          <t>ÖSTERSUND</t>
        </is>
      </c>
      <c r="G64" t="n">
        <v>14.7</v>
      </c>
      <c r="H64" t="n">
        <v>1</v>
      </c>
      <c r="I64" t="n">
        <v>2</v>
      </c>
      <c r="J64" t="n">
        <v>1</v>
      </c>
      <c r="K64" t="n">
        <v>0</v>
      </c>
      <c r="L64" t="n">
        <v>0</v>
      </c>
      <c r="M64" t="n">
        <v>0</v>
      </c>
      <c r="N64" t="n">
        <v>0</v>
      </c>
      <c r="O64" t="n">
        <v>1</v>
      </c>
      <c r="P64" t="n">
        <v>0</v>
      </c>
      <c r="Q64" t="n">
        <v>4</v>
      </c>
      <c r="R64" s="2" t="inlineStr">
        <is>
          <t>Ullticka
Kransrams
Underviol
Blåsippa</t>
        </is>
      </c>
      <c r="S64">
        <f>HYPERLINK("https://klasma.github.io/Logging_2380/artfynd/A 25369-2024 artfynd.xlsx", "A 25369-2024")</f>
        <v/>
      </c>
      <c r="T64">
        <f>HYPERLINK("https://klasma.github.io/Logging_2380/kartor/A 25369-2024 karta.png", "A 25369-2024")</f>
        <v/>
      </c>
      <c r="V64">
        <f>HYPERLINK("https://klasma.github.io/Logging_2380/klagomål/A 25369-2024 FSC-klagomål.docx", "A 25369-2024")</f>
        <v/>
      </c>
      <c r="W64">
        <f>HYPERLINK("https://klasma.github.io/Logging_2380/klagomålsmail/A 25369-2024 FSC-klagomål mail.docx", "A 25369-2024")</f>
        <v/>
      </c>
      <c r="X64">
        <f>HYPERLINK("https://klasma.github.io/Logging_2380/tillsyn/A 25369-2024 tillsynsbegäran.docx", "A 25369-2024")</f>
        <v/>
      </c>
      <c r="Y64">
        <f>HYPERLINK("https://klasma.github.io/Logging_2380/tillsynsmail/A 25369-2024 tillsynsbegäran mail.docx", "A 25369-2024")</f>
        <v/>
      </c>
    </row>
    <row r="65" ht="15" customHeight="1">
      <c r="A65" t="inlineStr">
        <is>
          <t>A 41754-2024</t>
        </is>
      </c>
      <c r="B65" s="1" t="n">
        <v>45561</v>
      </c>
      <c r="C65" s="1" t="n">
        <v>45626</v>
      </c>
      <c r="D65" t="inlineStr">
        <is>
          <t>JÄMTLANDS LÄN</t>
        </is>
      </c>
      <c r="E65" t="inlineStr">
        <is>
          <t>ÖSTERSUND</t>
        </is>
      </c>
      <c r="F65" t="inlineStr">
        <is>
          <t>SCA</t>
        </is>
      </c>
      <c r="G65" t="n">
        <v>2.3</v>
      </c>
      <c r="H65" t="n">
        <v>0</v>
      </c>
      <c r="I65" t="n">
        <v>1</v>
      </c>
      <c r="J65" t="n">
        <v>3</v>
      </c>
      <c r="K65" t="n">
        <v>0</v>
      </c>
      <c r="L65" t="n">
        <v>0</v>
      </c>
      <c r="M65" t="n">
        <v>0</v>
      </c>
      <c r="N65" t="n">
        <v>0</v>
      </c>
      <c r="O65" t="n">
        <v>3</v>
      </c>
      <c r="P65" t="n">
        <v>0</v>
      </c>
      <c r="Q65" t="n">
        <v>4</v>
      </c>
      <c r="R65" s="2" t="inlineStr">
        <is>
          <t>Dvärgbägarlav
Kolflarnlav
Lunglav
Dropptaggsvamp</t>
        </is>
      </c>
      <c r="S65">
        <f>HYPERLINK("https://klasma.github.io/Logging_2380/artfynd/A 41754-2024 artfynd.xlsx", "A 41754-2024")</f>
        <v/>
      </c>
      <c r="T65">
        <f>HYPERLINK("https://klasma.github.io/Logging_2380/kartor/A 41754-2024 karta.png", "A 41754-2024")</f>
        <v/>
      </c>
      <c r="V65">
        <f>HYPERLINK("https://klasma.github.io/Logging_2380/klagomål/A 41754-2024 FSC-klagomål.docx", "A 41754-2024")</f>
        <v/>
      </c>
      <c r="W65">
        <f>HYPERLINK("https://klasma.github.io/Logging_2380/klagomålsmail/A 41754-2024 FSC-klagomål mail.docx", "A 41754-2024")</f>
        <v/>
      </c>
      <c r="X65">
        <f>HYPERLINK("https://klasma.github.io/Logging_2380/tillsyn/A 41754-2024 tillsynsbegäran.docx", "A 41754-2024")</f>
        <v/>
      </c>
      <c r="Y65">
        <f>HYPERLINK("https://klasma.github.io/Logging_2380/tillsynsmail/A 41754-2024 tillsynsbegäran mail.docx", "A 41754-2024")</f>
        <v/>
      </c>
    </row>
    <row r="66" ht="15" customHeight="1">
      <c r="A66" t="inlineStr">
        <is>
          <t>A 48753-2024</t>
        </is>
      </c>
      <c r="B66" s="1" t="n">
        <v>45593</v>
      </c>
      <c r="C66" s="1" t="n">
        <v>45626</v>
      </c>
      <c r="D66" t="inlineStr">
        <is>
          <t>JÄMTLANDS LÄN</t>
        </is>
      </c>
      <c r="E66" t="inlineStr">
        <is>
          <t>ÖSTERSUND</t>
        </is>
      </c>
      <c r="F66" t="inlineStr">
        <is>
          <t>Övriga statliga verk och myndigheter</t>
        </is>
      </c>
      <c r="G66" t="n">
        <v>2.2</v>
      </c>
      <c r="H66" t="n">
        <v>1</v>
      </c>
      <c r="I66" t="n">
        <v>0</v>
      </c>
      <c r="J66" t="n">
        <v>3</v>
      </c>
      <c r="K66" t="n">
        <v>0</v>
      </c>
      <c r="L66" t="n">
        <v>0</v>
      </c>
      <c r="M66" t="n">
        <v>0</v>
      </c>
      <c r="N66" t="n">
        <v>0</v>
      </c>
      <c r="O66" t="n">
        <v>3</v>
      </c>
      <c r="P66" t="n">
        <v>0</v>
      </c>
      <c r="Q66" t="n">
        <v>4</v>
      </c>
      <c r="R66" s="2" t="inlineStr">
        <is>
          <t>Granticka
Gränsticka
Ullticka
Revlummer</t>
        </is>
      </c>
      <c r="S66">
        <f>HYPERLINK("https://klasma.github.io/Logging_2380/artfynd/A 48753-2024 artfynd.xlsx", "A 48753-2024")</f>
        <v/>
      </c>
      <c r="T66">
        <f>HYPERLINK("https://klasma.github.io/Logging_2380/kartor/A 48753-2024 karta.png", "A 48753-2024")</f>
        <v/>
      </c>
      <c r="V66">
        <f>HYPERLINK("https://klasma.github.io/Logging_2380/klagomål/A 48753-2024 FSC-klagomål.docx", "A 48753-2024")</f>
        <v/>
      </c>
      <c r="W66">
        <f>HYPERLINK("https://klasma.github.io/Logging_2380/klagomålsmail/A 48753-2024 FSC-klagomål mail.docx", "A 48753-2024")</f>
        <v/>
      </c>
      <c r="X66">
        <f>HYPERLINK("https://klasma.github.io/Logging_2380/tillsyn/A 48753-2024 tillsynsbegäran.docx", "A 48753-2024")</f>
        <v/>
      </c>
      <c r="Y66">
        <f>HYPERLINK("https://klasma.github.io/Logging_2380/tillsynsmail/A 48753-2024 tillsynsbegäran mail.docx", "A 48753-2024")</f>
        <v/>
      </c>
    </row>
    <row r="67" ht="15" customHeight="1">
      <c r="A67" t="inlineStr">
        <is>
          <t>A 55818-2024</t>
        </is>
      </c>
      <c r="B67" s="1" t="n">
        <v>45623</v>
      </c>
      <c r="C67" s="1" t="n">
        <v>45626</v>
      </c>
      <c r="D67" t="inlineStr">
        <is>
          <t>JÄMTLANDS LÄN</t>
        </is>
      </c>
      <c r="E67" t="inlineStr">
        <is>
          <t>ÖSTERSUND</t>
        </is>
      </c>
      <c r="G67" t="n">
        <v>9.5</v>
      </c>
      <c r="H67" t="n">
        <v>0</v>
      </c>
      <c r="I67" t="n">
        <v>1</v>
      </c>
      <c r="J67" t="n">
        <v>2</v>
      </c>
      <c r="K67" t="n">
        <v>1</v>
      </c>
      <c r="L67" t="n">
        <v>0</v>
      </c>
      <c r="M67" t="n">
        <v>0</v>
      </c>
      <c r="N67" t="n">
        <v>0</v>
      </c>
      <c r="O67" t="n">
        <v>3</v>
      </c>
      <c r="P67" t="n">
        <v>1</v>
      </c>
      <c r="Q67" t="n">
        <v>4</v>
      </c>
      <c r="R67" s="2" t="inlineStr">
        <is>
          <t>Gräddporing
Kolflarnlav
Lunglav
Dropptaggsvamp</t>
        </is>
      </c>
      <c r="S67">
        <f>HYPERLINK("https://klasma.github.io/Logging_2380/artfynd/A 55818-2024 artfynd.xlsx", "A 55818-2024")</f>
        <v/>
      </c>
      <c r="T67">
        <f>HYPERLINK("https://klasma.github.io/Logging_2380/kartor/A 55818-2024 karta.png", "A 55818-2024")</f>
        <v/>
      </c>
      <c r="V67">
        <f>HYPERLINK("https://klasma.github.io/Logging_2380/klagomål/A 55818-2024 FSC-klagomål.docx", "A 55818-2024")</f>
        <v/>
      </c>
      <c r="W67">
        <f>HYPERLINK("https://klasma.github.io/Logging_2380/klagomålsmail/A 55818-2024 FSC-klagomål mail.docx", "A 55818-2024")</f>
        <v/>
      </c>
      <c r="X67">
        <f>HYPERLINK("https://klasma.github.io/Logging_2380/tillsyn/A 55818-2024 tillsynsbegäran.docx", "A 55818-2024")</f>
        <v/>
      </c>
      <c r="Y67">
        <f>HYPERLINK("https://klasma.github.io/Logging_2380/tillsynsmail/A 55818-2024 tillsynsbegäran mail.docx", "A 55818-2024")</f>
        <v/>
      </c>
    </row>
    <row r="68" ht="15" customHeight="1">
      <c r="A68" t="inlineStr">
        <is>
          <t>A 23410-2019</t>
        </is>
      </c>
      <c r="B68" s="1" t="n">
        <v>43592</v>
      </c>
      <c r="C68" s="1" t="n">
        <v>45626</v>
      </c>
      <c r="D68" t="inlineStr">
        <is>
          <t>JÄMTLANDS LÄN</t>
        </is>
      </c>
      <c r="E68" t="inlineStr">
        <is>
          <t>ÖSTERSUND</t>
        </is>
      </c>
      <c r="G68" t="n">
        <v>10.6</v>
      </c>
      <c r="H68" t="n">
        <v>3</v>
      </c>
      <c r="I68" t="n">
        <v>2</v>
      </c>
      <c r="J68" t="n">
        <v>0</v>
      </c>
      <c r="K68" t="n">
        <v>0</v>
      </c>
      <c r="L68" t="n">
        <v>0</v>
      </c>
      <c r="M68" t="n">
        <v>0</v>
      </c>
      <c r="N68" t="n">
        <v>0</v>
      </c>
      <c r="O68" t="n">
        <v>0</v>
      </c>
      <c r="P68" t="n">
        <v>0</v>
      </c>
      <c r="Q68" t="n">
        <v>3</v>
      </c>
      <c r="R68" s="2" t="inlineStr">
        <is>
          <t>Guckusko
Tvåblad
Fläcknycklar</t>
        </is>
      </c>
      <c r="S68">
        <f>HYPERLINK("https://klasma.github.io/Logging_2380/artfynd/A 23410-2019 artfynd.xlsx", "A 23410-2019")</f>
        <v/>
      </c>
      <c r="T68">
        <f>HYPERLINK("https://klasma.github.io/Logging_2380/kartor/A 23410-2019 karta.png", "A 23410-2019")</f>
        <v/>
      </c>
      <c r="V68">
        <f>HYPERLINK("https://klasma.github.io/Logging_2380/klagomål/A 23410-2019 FSC-klagomål.docx", "A 23410-2019")</f>
        <v/>
      </c>
      <c r="W68">
        <f>HYPERLINK("https://klasma.github.io/Logging_2380/klagomålsmail/A 23410-2019 FSC-klagomål mail.docx", "A 23410-2019")</f>
        <v/>
      </c>
      <c r="X68">
        <f>HYPERLINK("https://klasma.github.io/Logging_2380/tillsyn/A 23410-2019 tillsynsbegäran.docx", "A 23410-2019")</f>
        <v/>
      </c>
      <c r="Y68">
        <f>HYPERLINK("https://klasma.github.io/Logging_2380/tillsynsmail/A 23410-2019 tillsynsbegäran mail.docx", "A 23410-2019")</f>
        <v/>
      </c>
    </row>
    <row r="69" ht="15" customHeight="1">
      <c r="A69" t="inlineStr">
        <is>
          <t>A 26741-2019</t>
        </is>
      </c>
      <c r="B69" s="1" t="n">
        <v>43607</v>
      </c>
      <c r="C69" s="1" t="n">
        <v>45626</v>
      </c>
      <c r="D69" t="inlineStr">
        <is>
          <t>JÄMTLANDS LÄN</t>
        </is>
      </c>
      <c r="E69" t="inlineStr">
        <is>
          <t>ÖSTERSUND</t>
        </is>
      </c>
      <c r="F69" t="inlineStr">
        <is>
          <t>Övriga statliga verk och myndigheter</t>
        </is>
      </c>
      <c r="G69" t="n">
        <v>4.5</v>
      </c>
      <c r="H69" t="n">
        <v>0</v>
      </c>
      <c r="I69" t="n">
        <v>1</v>
      </c>
      <c r="J69" t="n">
        <v>1</v>
      </c>
      <c r="K69" t="n">
        <v>0</v>
      </c>
      <c r="L69" t="n">
        <v>1</v>
      </c>
      <c r="M69" t="n">
        <v>0</v>
      </c>
      <c r="N69" t="n">
        <v>0</v>
      </c>
      <c r="O69" t="n">
        <v>2</v>
      </c>
      <c r="P69" t="n">
        <v>1</v>
      </c>
      <c r="Q69" t="n">
        <v>3</v>
      </c>
      <c r="R69" s="2" t="inlineStr">
        <is>
          <t>Trolldruvemätare
Lunglav
Svart trolldruva</t>
        </is>
      </c>
      <c r="S69">
        <f>HYPERLINK("https://klasma.github.io/Logging_2380/artfynd/A 26741-2019 artfynd.xlsx", "A 26741-2019")</f>
        <v/>
      </c>
      <c r="T69">
        <f>HYPERLINK("https://klasma.github.io/Logging_2380/kartor/A 26741-2019 karta.png", "A 26741-2019")</f>
        <v/>
      </c>
      <c r="V69">
        <f>HYPERLINK("https://klasma.github.io/Logging_2380/klagomål/A 26741-2019 FSC-klagomål.docx", "A 26741-2019")</f>
        <v/>
      </c>
      <c r="W69">
        <f>HYPERLINK("https://klasma.github.io/Logging_2380/klagomålsmail/A 26741-2019 FSC-klagomål mail.docx", "A 26741-2019")</f>
        <v/>
      </c>
      <c r="X69">
        <f>HYPERLINK("https://klasma.github.io/Logging_2380/tillsyn/A 26741-2019 tillsynsbegäran.docx", "A 26741-2019")</f>
        <v/>
      </c>
      <c r="Y69">
        <f>HYPERLINK("https://klasma.github.io/Logging_2380/tillsynsmail/A 26741-2019 tillsynsbegäran mail.docx", "A 26741-2019")</f>
        <v/>
      </c>
    </row>
    <row r="70" ht="15" customHeight="1">
      <c r="A70" t="inlineStr">
        <is>
          <t>A 36815-2019</t>
        </is>
      </c>
      <c r="B70" s="1" t="n">
        <v>43672</v>
      </c>
      <c r="C70" s="1" t="n">
        <v>45626</v>
      </c>
      <c r="D70" t="inlineStr">
        <is>
          <t>JÄMTLANDS LÄN</t>
        </is>
      </c>
      <c r="E70" t="inlineStr">
        <is>
          <t>ÖSTERSUND</t>
        </is>
      </c>
      <c r="F70" t="inlineStr">
        <is>
          <t>SCA</t>
        </is>
      </c>
      <c r="G70" t="n">
        <v>7.4</v>
      </c>
      <c r="H70" t="n">
        <v>1</v>
      </c>
      <c r="I70" t="n">
        <v>0</v>
      </c>
      <c r="J70" t="n">
        <v>2</v>
      </c>
      <c r="K70" t="n">
        <v>0</v>
      </c>
      <c r="L70" t="n">
        <v>0</v>
      </c>
      <c r="M70" t="n">
        <v>0</v>
      </c>
      <c r="N70" t="n">
        <v>0</v>
      </c>
      <c r="O70" t="n">
        <v>2</v>
      </c>
      <c r="P70" t="n">
        <v>0</v>
      </c>
      <c r="Q70" t="n">
        <v>3</v>
      </c>
      <c r="R70" s="2" t="inlineStr">
        <is>
          <t>Lunglav
Skrovellav
Blåsippa</t>
        </is>
      </c>
      <c r="S70">
        <f>HYPERLINK("https://klasma.github.io/Logging_2380/artfynd/A 36815-2019 artfynd.xlsx", "A 36815-2019")</f>
        <v/>
      </c>
      <c r="T70">
        <f>HYPERLINK("https://klasma.github.io/Logging_2380/kartor/A 36815-2019 karta.png", "A 36815-2019")</f>
        <v/>
      </c>
      <c r="V70">
        <f>HYPERLINK("https://klasma.github.io/Logging_2380/klagomål/A 36815-2019 FSC-klagomål.docx", "A 36815-2019")</f>
        <v/>
      </c>
      <c r="W70">
        <f>HYPERLINK("https://klasma.github.io/Logging_2380/klagomålsmail/A 36815-2019 FSC-klagomål mail.docx", "A 36815-2019")</f>
        <v/>
      </c>
      <c r="X70">
        <f>HYPERLINK("https://klasma.github.io/Logging_2380/tillsyn/A 36815-2019 tillsynsbegäran.docx", "A 36815-2019")</f>
        <v/>
      </c>
      <c r="Y70">
        <f>HYPERLINK("https://klasma.github.io/Logging_2380/tillsynsmail/A 36815-2019 tillsynsbegäran mail.docx", "A 36815-2019")</f>
        <v/>
      </c>
    </row>
    <row r="71" ht="15" customHeight="1">
      <c r="A71" t="inlineStr">
        <is>
          <t>A 62240-2019</t>
        </is>
      </c>
      <c r="B71" s="1" t="n">
        <v>43784</v>
      </c>
      <c r="C71" s="1" t="n">
        <v>45626</v>
      </c>
      <c r="D71" t="inlineStr">
        <is>
          <t>JÄMTLANDS LÄN</t>
        </is>
      </c>
      <c r="E71" t="inlineStr">
        <is>
          <t>ÖSTERSUND</t>
        </is>
      </c>
      <c r="G71" t="n">
        <v>2</v>
      </c>
      <c r="H71" t="n">
        <v>1</v>
      </c>
      <c r="I71" t="n">
        <v>2</v>
      </c>
      <c r="J71" t="n">
        <v>0</v>
      </c>
      <c r="K71" t="n">
        <v>0</v>
      </c>
      <c r="L71" t="n">
        <v>0</v>
      </c>
      <c r="M71" t="n">
        <v>0</v>
      </c>
      <c r="N71" t="n">
        <v>0</v>
      </c>
      <c r="O71" t="n">
        <v>0</v>
      </c>
      <c r="P71" t="n">
        <v>0</v>
      </c>
      <c r="Q71" t="n">
        <v>3</v>
      </c>
      <c r="R71" s="2" t="inlineStr">
        <is>
          <t>Tibast
Ögonpyrola
Blåsippa</t>
        </is>
      </c>
      <c r="S71">
        <f>HYPERLINK("https://klasma.github.io/Logging_2380/artfynd/A 62240-2019 artfynd.xlsx", "A 62240-2019")</f>
        <v/>
      </c>
      <c r="T71">
        <f>HYPERLINK("https://klasma.github.io/Logging_2380/kartor/A 62240-2019 karta.png", "A 62240-2019")</f>
        <v/>
      </c>
      <c r="V71">
        <f>HYPERLINK("https://klasma.github.io/Logging_2380/klagomål/A 62240-2019 FSC-klagomål.docx", "A 62240-2019")</f>
        <v/>
      </c>
      <c r="W71">
        <f>HYPERLINK("https://klasma.github.io/Logging_2380/klagomålsmail/A 62240-2019 FSC-klagomål mail.docx", "A 62240-2019")</f>
        <v/>
      </c>
      <c r="X71">
        <f>HYPERLINK("https://klasma.github.io/Logging_2380/tillsyn/A 62240-2019 tillsynsbegäran.docx", "A 62240-2019")</f>
        <v/>
      </c>
      <c r="Y71">
        <f>HYPERLINK("https://klasma.github.io/Logging_2380/tillsynsmail/A 62240-2019 tillsynsbegäran mail.docx", "A 62240-2019")</f>
        <v/>
      </c>
    </row>
    <row r="72" ht="15" customHeight="1">
      <c r="A72" t="inlineStr">
        <is>
          <t>A 7877-2021</t>
        </is>
      </c>
      <c r="B72" s="1" t="n">
        <v>44242</v>
      </c>
      <c r="C72" s="1" t="n">
        <v>45626</v>
      </c>
      <c r="D72" t="inlineStr">
        <is>
          <t>JÄMTLANDS LÄN</t>
        </is>
      </c>
      <c r="E72" t="inlineStr">
        <is>
          <t>ÖSTERSUND</t>
        </is>
      </c>
      <c r="G72" t="n">
        <v>18.2</v>
      </c>
      <c r="H72" t="n">
        <v>2</v>
      </c>
      <c r="I72" t="n">
        <v>2</v>
      </c>
      <c r="J72" t="n">
        <v>0</v>
      </c>
      <c r="K72" t="n">
        <v>1</v>
      </c>
      <c r="L72" t="n">
        <v>0</v>
      </c>
      <c r="M72" t="n">
        <v>0</v>
      </c>
      <c r="N72" t="n">
        <v>0</v>
      </c>
      <c r="O72" t="n">
        <v>1</v>
      </c>
      <c r="P72" t="n">
        <v>1</v>
      </c>
      <c r="Q72" t="n">
        <v>3</v>
      </c>
      <c r="R72" s="2" t="inlineStr">
        <is>
          <t>Knärot
Grönpyrola
Spindelblomster</t>
        </is>
      </c>
      <c r="S72">
        <f>HYPERLINK("https://klasma.github.io/Logging_2380/artfynd/A 7877-2021 artfynd.xlsx", "A 7877-2021")</f>
        <v/>
      </c>
      <c r="T72">
        <f>HYPERLINK("https://klasma.github.io/Logging_2380/kartor/A 7877-2021 karta.png", "A 7877-2021")</f>
        <v/>
      </c>
      <c r="U72">
        <f>HYPERLINK("https://klasma.github.io/Logging_2380/knärot/A 7877-2021 karta knärot.png", "A 7877-2021")</f>
        <v/>
      </c>
      <c r="V72">
        <f>HYPERLINK("https://klasma.github.io/Logging_2380/klagomål/A 7877-2021 FSC-klagomål.docx", "A 7877-2021")</f>
        <v/>
      </c>
      <c r="W72">
        <f>HYPERLINK("https://klasma.github.io/Logging_2380/klagomålsmail/A 7877-2021 FSC-klagomål mail.docx", "A 7877-2021")</f>
        <v/>
      </c>
      <c r="X72">
        <f>HYPERLINK("https://klasma.github.io/Logging_2380/tillsyn/A 7877-2021 tillsynsbegäran.docx", "A 7877-2021")</f>
        <v/>
      </c>
      <c r="Y72">
        <f>HYPERLINK("https://klasma.github.io/Logging_2380/tillsynsmail/A 7877-2021 tillsynsbegäran mail.docx", "A 7877-2021")</f>
        <v/>
      </c>
    </row>
    <row r="73" ht="15" customHeight="1">
      <c r="A73" t="inlineStr">
        <is>
          <t>A 54421-2021</t>
        </is>
      </c>
      <c r="B73" s="1" t="n">
        <v>44473</v>
      </c>
      <c r="C73" s="1" t="n">
        <v>45626</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29349-2022</t>
        </is>
      </c>
      <c r="B74" s="1" t="n">
        <v>44750</v>
      </c>
      <c r="C74" s="1" t="n">
        <v>45626</v>
      </c>
      <c r="D74" t="inlineStr">
        <is>
          <t>JÄMTLANDS LÄN</t>
        </is>
      </c>
      <c r="E74" t="inlineStr">
        <is>
          <t>ÖSTERSUND</t>
        </is>
      </c>
      <c r="G74" t="n">
        <v>9.9</v>
      </c>
      <c r="H74" t="n">
        <v>1</v>
      </c>
      <c r="I74" t="n">
        <v>3</v>
      </c>
      <c r="J74" t="n">
        <v>0</v>
      </c>
      <c r="K74" t="n">
        <v>0</v>
      </c>
      <c r="L74" t="n">
        <v>0</v>
      </c>
      <c r="M74" t="n">
        <v>0</v>
      </c>
      <c r="N74" t="n">
        <v>0</v>
      </c>
      <c r="O74" t="n">
        <v>0</v>
      </c>
      <c r="P74" t="n">
        <v>0</v>
      </c>
      <c r="Q74" t="n">
        <v>3</v>
      </c>
      <c r="R74" s="2" t="inlineStr">
        <is>
          <t>Finbräken
Grönkulla
Kransrams</t>
        </is>
      </c>
      <c r="S74">
        <f>HYPERLINK("https://klasma.github.io/Logging_2380/artfynd/A 29349-2022 artfynd.xlsx", "A 29349-2022")</f>
        <v/>
      </c>
      <c r="T74">
        <f>HYPERLINK("https://klasma.github.io/Logging_2380/kartor/A 29349-2022 karta.png", "A 29349-2022")</f>
        <v/>
      </c>
      <c r="V74">
        <f>HYPERLINK("https://klasma.github.io/Logging_2380/klagomål/A 29349-2022 FSC-klagomål.docx", "A 29349-2022")</f>
        <v/>
      </c>
      <c r="W74">
        <f>HYPERLINK("https://klasma.github.io/Logging_2380/klagomålsmail/A 29349-2022 FSC-klagomål mail.docx", "A 29349-2022")</f>
        <v/>
      </c>
      <c r="X74">
        <f>HYPERLINK("https://klasma.github.io/Logging_2380/tillsyn/A 29349-2022 tillsynsbegäran.docx", "A 29349-2022")</f>
        <v/>
      </c>
      <c r="Y74">
        <f>HYPERLINK("https://klasma.github.io/Logging_2380/tillsynsmail/A 29349-2022 tillsynsbegäran mail.docx", "A 29349-2022")</f>
        <v/>
      </c>
    </row>
    <row r="75" ht="15" customHeight="1">
      <c r="A75" t="inlineStr">
        <is>
          <t>A 39641-2022</t>
        </is>
      </c>
      <c r="B75" s="1" t="n">
        <v>44817</v>
      </c>
      <c r="C75" s="1" t="n">
        <v>45626</v>
      </c>
      <c r="D75" t="inlineStr">
        <is>
          <t>JÄMTLANDS LÄN</t>
        </is>
      </c>
      <c r="E75" t="inlineStr">
        <is>
          <t>ÖSTERSUND</t>
        </is>
      </c>
      <c r="G75" t="n">
        <v>6</v>
      </c>
      <c r="H75" t="n">
        <v>2</v>
      </c>
      <c r="I75" t="n">
        <v>1</v>
      </c>
      <c r="J75" t="n">
        <v>1</v>
      </c>
      <c r="K75" t="n">
        <v>1</v>
      </c>
      <c r="L75" t="n">
        <v>0</v>
      </c>
      <c r="M75" t="n">
        <v>0</v>
      </c>
      <c r="N75" t="n">
        <v>0</v>
      </c>
      <c r="O75" t="n">
        <v>2</v>
      </c>
      <c r="P75" t="n">
        <v>1</v>
      </c>
      <c r="Q75" t="n">
        <v>3</v>
      </c>
      <c r="R75" s="2" t="inlineStr">
        <is>
          <t>Knärot
Tretåig hackspett
Kransrams</t>
        </is>
      </c>
      <c r="S75">
        <f>HYPERLINK("https://klasma.github.io/Logging_2380/artfynd/A 39641-2022 artfynd.xlsx", "A 39641-2022")</f>
        <v/>
      </c>
      <c r="T75">
        <f>HYPERLINK("https://klasma.github.io/Logging_2380/kartor/A 39641-2022 karta.png", "A 39641-2022")</f>
        <v/>
      </c>
      <c r="U75">
        <f>HYPERLINK("https://klasma.github.io/Logging_2380/knärot/A 39641-2022 karta knärot.png", "A 39641-2022")</f>
        <v/>
      </c>
      <c r="V75">
        <f>HYPERLINK("https://klasma.github.io/Logging_2380/klagomål/A 39641-2022 FSC-klagomål.docx", "A 39641-2022")</f>
        <v/>
      </c>
      <c r="W75">
        <f>HYPERLINK("https://klasma.github.io/Logging_2380/klagomålsmail/A 39641-2022 FSC-klagomål mail.docx", "A 39641-2022")</f>
        <v/>
      </c>
      <c r="X75">
        <f>HYPERLINK("https://klasma.github.io/Logging_2380/tillsyn/A 39641-2022 tillsynsbegäran.docx", "A 39641-2022")</f>
        <v/>
      </c>
      <c r="Y75">
        <f>HYPERLINK("https://klasma.github.io/Logging_2380/tillsynsmail/A 39641-2022 tillsynsbegäran mail.docx", "A 39641-2022")</f>
        <v/>
      </c>
      <c r="Z75">
        <f>HYPERLINK("https://klasma.github.io/Logging_2380/fåglar/A 39641-2022 prioriterade fågelarter.docx", "A 39641-2022")</f>
        <v/>
      </c>
    </row>
    <row r="76" ht="15" customHeight="1">
      <c r="A76" t="inlineStr">
        <is>
          <t>A 60565-2022</t>
        </is>
      </c>
      <c r="B76" s="1" t="n">
        <v>44904</v>
      </c>
      <c r="C76" s="1" t="n">
        <v>45626</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5100-2023</t>
        </is>
      </c>
      <c r="B77" s="1" t="n">
        <v>44956</v>
      </c>
      <c r="C77" s="1" t="n">
        <v>45626</v>
      </c>
      <c r="D77" t="inlineStr">
        <is>
          <t>JÄMTLANDS LÄN</t>
        </is>
      </c>
      <c r="E77" t="inlineStr">
        <is>
          <t>ÖSTERSUND</t>
        </is>
      </c>
      <c r="G77" t="n">
        <v>2.6</v>
      </c>
      <c r="H77" t="n">
        <v>0</v>
      </c>
      <c r="I77" t="n">
        <v>2</v>
      </c>
      <c r="J77" t="n">
        <v>0</v>
      </c>
      <c r="K77" t="n">
        <v>0</v>
      </c>
      <c r="L77" t="n">
        <v>1</v>
      </c>
      <c r="M77" t="n">
        <v>0</v>
      </c>
      <c r="N77" t="n">
        <v>0</v>
      </c>
      <c r="O77" t="n">
        <v>1</v>
      </c>
      <c r="P77" t="n">
        <v>1</v>
      </c>
      <c r="Q77" t="n">
        <v>3</v>
      </c>
      <c r="R77" s="2" t="inlineStr">
        <is>
          <t>Trolldruvemätare
Svart trolldruva
Tibast</t>
        </is>
      </c>
      <c r="S77">
        <f>HYPERLINK("https://klasma.github.io/Logging_2380/artfynd/A 5100-2023 artfynd.xlsx", "A 5100-2023")</f>
        <v/>
      </c>
      <c r="T77">
        <f>HYPERLINK("https://klasma.github.io/Logging_2380/kartor/A 5100-2023 karta.png", "A 5100-2023")</f>
        <v/>
      </c>
      <c r="V77">
        <f>HYPERLINK("https://klasma.github.io/Logging_2380/klagomål/A 5100-2023 FSC-klagomål.docx", "A 5100-2023")</f>
        <v/>
      </c>
      <c r="W77">
        <f>HYPERLINK("https://klasma.github.io/Logging_2380/klagomålsmail/A 5100-2023 FSC-klagomål mail.docx", "A 5100-2023")</f>
        <v/>
      </c>
      <c r="X77">
        <f>HYPERLINK("https://klasma.github.io/Logging_2380/tillsyn/A 5100-2023 tillsynsbegäran.docx", "A 5100-2023")</f>
        <v/>
      </c>
      <c r="Y77">
        <f>HYPERLINK("https://klasma.github.io/Logging_2380/tillsynsmail/A 5100-2023 tillsynsbegäran mail.docx", "A 5100-2023")</f>
        <v/>
      </c>
    </row>
    <row r="78" ht="15" customHeight="1">
      <c r="A78" t="inlineStr">
        <is>
          <t>A 19520-2023</t>
        </is>
      </c>
      <c r="B78" s="1" t="n">
        <v>45049</v>
      </c>
      <c r="C78" s="1" t="n">
        <v>45626</v>
      </c>
      <c r="D78" t="inlineStr">
        <is>
          <t>JÄMTLANDS LÄN</t>
        </is>
      </c>
      <c r="E78" t="inlineStr">
        <is>
          <t>ÖSTERSUND</t>
        </is>
      </c>
      <c r="G78" t="n">
        <v>2</v>
      </c>
      <c r="H78" t="n">
        <v>0</v>
      </c>
      <c r="I78" t="n">
        <v>2</v>
      </c>
      <c r="J78" t="n">
        <v>0</v>
      </c>
      <c r="K78" t="n">
        <v>0</v>
      </c>
      <c r="L78" t="n">
        <v>1</v>
      </c>
      <c r="M78" t="n">
        <v>0</v>
      </c>
      <c r="N78" t="n">
        <v>0</v>
      </c>
      <c r="O78" t="n">
        <v>1</v>
      </c>
      <c r="P78" t="n">
        <v>1</v>
      </c>
      <c r="Q78" t="n">
        <v>3</v>
      </c>
      <c r="R78" s="2" t="inlineStr">
        <is>
          <t>Trolldruvemätare
Svart trolldruva
Svavelriska</t>
        </is>
      </c>
      <c r="S78">
        <f>HYPERLINK("https://klasma.github.io/Logging_2380/artfynd/A 19520-2023 artfynd.xlsx", "A 19520-2023")</f>
        <v/>
      </c>
      <c r="T78">
        <f>HYPERLINK("https://klasma.github.io/Logging_2380/kartor/A 19520-2023 karta.png", "A 19520-2023")</f>
        <v/>
      </c>
      <c r="V78">
        <f>HYPERLINK("https://klasma.github.io/Logging_2380/klagomål/A 19520-2023 FSC-klagomål.docx", "A 19520-2023")</f>
        <v/>
      </c>
      <c r="W78">
        <f>HYPERLINK("https://klasma.github.io/Logging_2380/klagomålsmail/A 19520-2023 FSC-klagomål mail.docx", "A 19520-2023")</f>
        <v/>
      </c>
      <c r="X78">
        <f>HYPERLINK("https://klasma.github.io/Logging_2380/tillsyn/A 19520-2023 tillsynsbegäran.docx", "A 19520-2023")</f>
        <v/>
      </c>
      <c r="Y78">
        <f>HYPERLINK("https://klasma.github.io/Logging_2380/tillsynsmail/A 19520-2023 tillsynsbegäran mail.docx", "A 19520-2023")</f>
        <v/>
      </c>
    </row>
    <row r="79" ht="15" customHeight="1">
      <c r="A79" t="inlineStr">
        <is>
          <t>A 21752-2023</t>
        </is>
      </c>
      <c r="B79" s="1" t="n">
        <v>45063</v>
      </c>
      <c r="C79" s="1" t="n">
        <v>45626</v>
      </c>
      <c r="D79" t="inlineStr">
        <is>
          <t>JÄMTLANDS LÄN</t>
        </is>
      </c>
      <c r="E79" t="inlineStr">
        <is>
          <t>ÖSTERSUND</t>
        </is>
      </c>
      <c r="G79" t="n">
        <v>1.5</v>
      </c>
      <c r="H79" t="n">
        <v>3</v>
      </c>
      <c r="I79" t="n">
        <v>1</v>
      </c>
      <c r="J79" t="n">
        <v>0</v>
      </c>
      <c r="K79" t="n">
        <v>1</v>
      </c>
      <c r="L79" t="n">
        <v>0</v>
      </c>
      <c r="M79" t="n">
        <v>0</v>
      </c>
      <c r="N79" t="n">
        <v>0</v>
      </c>
      <c r="O79" t="n">
        <v>1</v>
      </c>
      <c r="P79" t="n">
        <v>1</v>
      </c>
      <c r="Q79" t="n">
        <v>3</v>
      </c>
      <c r="R79" s="2" t="inlineStr">
        <is>
          <t>Knärot
Spindelblomster
Fläcknycklar</t>
        </is>
      </c>
      <c r="S79">
        <f>HYPERLINK("https://klasma.github.io/Logging_2380/artfynd/A 21752-2023 artfynd.xlsx", "A 21752-2023")</f>
        <v/>
      </c>
      <c r="T79">
        <f>HYPERLINK("https://klasma.github.io/Logging_2380/kartor/A 21752-2023 karta.png", "A 21752-2023")</f>
        <v/>
      </c>
      <c r="U79">
        <f>HYPERLINK("https://klasma.github.io/Logging_2380/knärot/A 21752-2023 karta knärot.png", "A 21752-2023")</f>
        <v/>
      </c>
      <c r="V79">
        <f>HYPERLINK("https://klasma.github.io/Logging_2380/klagomål/A 21752-2023 FSC-klagomål.docx", "A 21752-2023")</f>
        <v/>
      </c>
      <c r="W79">
        <f>HYPERLINK("https://klasma.github.io/Logging_2380/klagomålsmail/A 21752-2023 FSC-klagomål mail.docx", "A 21752-2023")</f>
        <v/>
      </c>
      <c r="X79">
        <f>HYPERLINK("https://klasma.github.io/Logging_2380/tillsyn/A 21752-2023 tillsynsbegäran.docx", "A 21752-2023")</f>
        <v/>
      </c>
      <c r="Y79">
        <f>HYPERLINK("https://klasma.github.io/Logging_2380/tillsynsmail/A 21752-2023 tillsynsbegäran mail.docx", "A 21752-2023")</f>
        <v/>
      </c>
    </row>
    <row r="80" ht="15" customHeight="1">
      <c r="A80" t="inlineStr">
        <is>
          <t>A 43981-2023</t>
        </is>
      </c>
      <c r="B80" s="1" t="n">
        <v>45187</v>
      </c>
      <c r="C80" s="1" t="n">
        <v>45626</v>
      </c>
      <c r="D80" t="inlineStr">
        <is>
          <t>JÄMTLANDS LÄN</t>
        </is>
      </c>
      <c r="E80" t="inlineStr">
        <is>
          <t>ÖSTERSUND</t>
        </is>
      </c>
      <c r="F80" t="inlineStr">
        <is>
          <t>SCA</t>
        </is>
      </c>
      <c r="G80" t="n">
        <v>7.5</v>
      </c>
      <c r="H80" t="n">
        <v>1</v>
      </c>
      <c r="I80" t="n">
        <v>0</v>
      </c>
      <c r="J80" t="n">
        <v>2</v>
      </c>
      <c r="K80" t="n">
        <v>1</v>
      </c>
      <c r="L80" t="n">
        <v>0</v>
      </c>
      <c r="M80" t="n">
        <v>0</v>
      </c>
      <c r="N80" t="n">
        <v>0</v>
      </c>
      <c r="O80" t="n">
        <v>3</v>
      </c>
      <c r="P80" t="n">
        <v>1</v>
      </c>
      <c r="Q80" t="n">
        <v>3</v>
      </c>
      <c r="R80" s="2" t="inlineStr">
        <is>
          <t>Knärot
Lunglav
Ullticka</t>
        </is>
      </c>
      <c r="S80">
        <f>HYPERLINK("https://klasma.github.io/Logging_2380/artfynd/A 43981-2023 artfynd.xlsx", "A 43981-2023")</f>
        <v/>
      </c>
      <c r="T80">
        <f>HYPERLINK("https://klasma.github.io/Logging_2380/kartor/A 43981-2023 karta.png", "A 43981-2023")</f>
        <v/>
      </c>
      <c r="U80">
        <f>HYPERLINK("https://klasma.github.io/Logging_2380/knärot/A 43981-2023 karta knärot.png", "A 43981-2023")</f>
        <v/>
      </c>
      <c r="V80">
        <f>HYPERLINK("https://klasma.github.io/Logging_2380/klagomål/A 43981-2023 FSC-klagomål.docx", "A 43981-2023")</f>
        <v/>
      </c>
      <c r="W80">
        <f>HYPERLINK("https://klasma.github.io/Logging_2380/klagomålsmail/A 43981-2023 FSC-klagomål mail.docx", "A 43981-2023")</f>
        <v/>
      </c>
      <c r="X80">
        <f>HYPERLINK("https://klasma.github.io/Logging_2380/tillsyn/A 43981-2023 tillsynsbegäran.docx", "A 43981-2023")</f>
        <v/>
      </c>
      <c r="Y80">
        <f>HYPERLINK("https://klasma.github.io/Logging_2380/tillsynsmail/A 43981-2023 tillsynsbegäran mail.docx", "A 43981-2023")</f>
        <v/>
      </c>
    </row>
    <row r="81" ht="15" customHeight="1">
      <c r="A81" t="inlineStr">
        <is>
          <t>A 46705-2023</t>
        </is>
      </c>
      <c r="B81" s="1" t="n">
        <v>45198</v>
      </c>
      <c r="C81" s="1" t="n">
        <v>45626</v>
      </c>
      <c r="D81" t="inlineStr">
        <is>
          <t>JÄMTLANDS LÄN</t>
        </is>
      </c>
      <c r="E81" t="inlineStr">
        <is>
          <t>ÖSTERSUND</t>
        </is>
      </c>
      <c r="F81" t="inlineStr">
        <is>
          <t>Sveaskog</t>
        </is>
      </c>
      <c r="G81" t="n">
        <v>7.5</v>
      </c>
      <c r="H81" t="n">
        <v>1</v>
      </c>
      <c r="I81" t="n">
        <v>3</v>
      </c>
      <c r="J81" t="n">
        <v>0</v>
      </c>
      <c r="K81" t="n">
        <v>0</v>
      </c>
      <c r="L81" t="n">
        <v>0</v>
      </c>
      <c r="M81" t="n">
        <v>0</v>
      </c>
      <c r="N81" t="n">
        <v>0</v>
      </c>
      <c r="O81" t="n">
        <v>0</v>
      </c>
      <c r="P81" t="n">
        <v>0</v>
      </c>
      <c r="Q81" t="n">
        <v>3</v>
      </c>
      <c r="R81" s="2" t="inlineStr">
        <is>
          <t>Finbräken
Guckusko
Ögonpyrola</t>
        </is>
      </c>
      <c r="S81">
        <f>HYPERLINK("https://klasma.github.io/Logging_2380/artfynd/A 46705-2023 artfynd.xlsx", "A 46705-2023")</f>
        <v/>
      </c>
      <c r="T81">
        <f>HYPERLINK("https://klasma.github.io/Logging_2380/kartor/A 46705-2023 karta.png", "A 46705-2023")</f>
        <v/>
      </c>
      <c r="V81">
        <f>HYPERLINK("https://klasma.github.io/Logging_2380/klagomål/A 46705-2023 FSC-klagomål.docx", "A 46705-2023")</f>
        <v/>
      </c>
      <c r="W81">
        <f>HYPERLINK("https://klasma.github.io/Logging_2380/klagomålsmail/A 46705-2023 FSC-klagomål mail.docx", "A 46705-2023")</f>
        <v/>
      </c>
      <c r="X81">
        <f>HYPERLINK("https://klasma.github.io/Logging_2380/tillsyn/A 46705-2023 tillsynsbegäran.docx", "A 46705-2023")</f>
        <v/>
      </c>
      <c r="Y81">
        <f>HYPERLINK("https://klasma.github.io/Logging_2380/tillsynsmail/A 46705-2023 tillsynsbegäran mail.docx", "A 46705-2023")</f>
        <v/>
      </c>
    </row>
    <row r="82" ht="15" customHeight="1">
      <c r="A82" t="inlineStr">
        <is>
          <t>A 51877-2023</t>
        </is>
      </c>
      <c r="B82" s="1" t="n">
        <v>45215</v>
      </c>
      <c r="C82" s="1" t="n">
        <v>45626</v>
      </c>
      <c r="D82" t="inlineStr">
        <is>
          <t>JÄMTLANDS LÄN</t>
        </is>
      </c>
      <c r="E82" t="inlineStr">
        <is>
          <t>ÖSTERSUND</t>
        </is>
      </c>
      <c r="G82" t="n">
        <v>10.5</v>
      </c>
      <c r="H82" t="n">
        <v>1</v>
      </c>
      <c r="I82" t="n">
        <v>1</v>
      </c>
      <c r="J82" t="n">
        <v>2</v>
      </c>
      <c r="K82" t="n">
        <v>0</v>
      </c>
      <c r="L82" t="n">
        <v>0</v>
      </c>
      <c r="M82" t="n">
        <v>0</v>
      </c>
      <c r="N82" t="n">
        <v>0</v>
      </c>
      <c r="O82" t="n">
        <v>2</v>
      </c>
      <c r="P82" t="n">
        <v>0</v>
      </c>
      <c r="Q82" t="n">
        <v>3</v>
      </c>
      <c r="R82" s="2" t="inlineStr">
        <is>
          <t>Garnlav
Talltita
Nästlav</t>
        </is>
      </c>
      <c r="S82">
        <f>HYPERLINK("https://klasma.github.io/Logging_2380/artfynd/A 51877-2023 artfynd.xlsx", "A 51877-2023")</f>
        <v/>
      </c>
      <c r="T82">
        <f>HYPERLINK("https://klasma.github.io/Logging_2380/kartor/A 51877-2023 karta.png", "A 51877-2023")</f>
        <v/>
      </c>
      <c r="V82">
        <f>HYPERLINK("https://klasma.github.io/Logging_2380/klagomål/A 51877-2023 FSC-klagomål.docx", "A 51877-2023")</f>
        <v/>
      </c>
      <c r="W82">
        <f>HYPERLINK("https://klasma.github.io/Logging_2380/klagomålsmail/A 51877-2023 FSC-klagomål mail.docx", "A 51877-2023")</f>
        <v/>
      </c>
      <c r="X82">
        <f>HYPERLINK("https://klasma.github.io/Logging_2380/tillsyn/A 51877-2023 tillsynsbegäran.docx", "A 51877-2023")</f>
        <v/>
      </c>
      <c r="Y82">
        <f>HYPERLINK("https://klasma.github.io/Logging_2380/tillsynsmail/A 51877-2023 tillsynsbegäran mail.docx", "A 51877-2023")</f>
        <v/>
      </c>
      <c r="Z82">
        <f>HYPERLINK("https://klasma.github.io/Logging_2380/fåglar/A 51877-2023 prioriterade fågelarter.docx", "A 51877-2023")</f>
        <v/>
      </c>
    </row>
    <row r="83" ht="15" customHeight="1">
      <c r="A83" t="inlineStr">
        <is>
          <t>A 36742-2024</t>
        </is>
      </c>
      <c r="B83" s="1" t="n">
        <v>45538</v>
      </c>
      <c r="C83" s="1" t="n">
        <v>45626</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40695-2024</t>
        </is>
      </c>
      <c r="B84" s="1" t="n">
        <v>45558</v>
      </c>
      <c r="C84" s="1" t="n">
        <v>45626</v>
      </c>
      <c r="D84" t="inlineStr">
        <is>
          <t>JÄMTLANDS LÄN</t>
        </is>
      </c>
      <c r="E84" t="inlineStr">
        <is>
          <t>ÖSTERSUND</t>
        </is>
      </c>
      <c r="F84" t="inlineStr">
        <is>
          <t>SCA</t>
        </is>
      </c>
      <c r="G84" t="n">
        <v>2.9</v>
      </c>
      <c r="H84" t="n">
        <v>0</v>
      </c>
      <c r="I84" t="n">
        <v>2</v>
      </c>
      <c r="J84" t="n">
        <v>1</v>
      </c>
      <c r="K84" t="n">
        <v>0</v>
      </c>
      <c r="L84" t="n">
        <v>0</v>
      </c>
      <c r="M84" t="n">
        <v>0</v>
      </c>
      <c r="N84" t="n">
        <v>0</v>
      </c>
      <c r="O84" t="n">
        <v>1</v>
      </c>
      <c r="P84" t="n">
        <v>0</v>
      </c>
      <c r="Q84" t="n">
        <v>3</v>
      </c>
      <c r="R84" s="2" t="inlineStr">
        <is>
          <t>Lunglav
Dropptaggsvamp
Skinnlav</t>
        </is>
      </c>
      <c r="S84">
        <f>HYPERLINK("https://klasma.github.io/Logging_2380/artfynd/A 40695-2024 artfynd.xlsx", "A 40695-2024")</f>
        <v/>
      </c>
      <c r="T84">
        <f>HYPERLINK("https://klasma.github.io/Logging_2380/kartor/A 40695-2024 karta.png", "A 40695-2024")</f>
        <v/>
      </c>
      <c r="V84">
        <f>HYPERLINK("https://klasma.github.io/Logging_2380/klagomål/A 40695-2024 FSC-klagomål.docx", "A 40695-2024")</f>
        <v/>
      </c>
      <c r="W84">
        <f>HYPERLINK("https://klasma.github.io/Logging_2380/klagomålsmail/A 40695-2024 FSC-klagomål mail.docx", "A 40695-2024")</f>
        <v/>
      </c>
      <c r="X84">
        <f>HYPERLINK("https://klasma.github.io/Logging_2380/tillsyn/A 40695-2024 tillsynsbegäran.docx", "A 40695-2024")</f>
        <v/>
      </c>
      <c r="Y84">
        <f>HYPERLINK("https://klasma.github.io/Logging_2380/tillsynsmail/A 40695-2024 tillsynsbegäran mail.docx", "A 40695-2024")</f>
        <v/>
      </c>
    </row>
    <row r="85" ht="15" customHeight="1">
      <c r="A85" t="inlineStr">
        <is>
          <t>A 41282-2024</t>
        </is>
      </c>
      <c r="B85" s="1" t="n">
        <v>45559</v>
      </c>
      <c r="C85" s="1" t="n">
        <v>45626</v>
      </c>
      <c r="D85" t="inlineStr">
        <is>
          <t>JÄMTLANDS LÄN</t>
        </is>
      </c>
      <c r="E85" t="inlineStr">
        <is>
          <t>ÖSTERSUND</t>
        </is>
      </c>
      <c r="F85" t="inlineStr">
        <is>
          <t>SCA</t>
        </is>
      </c>
      <c r="G85" t="n">
        <v>2.4</v>
      </c>
      <c r="H85" t="n">
        <v>0</v>
      </c>
      <c r="I85" t="n">
        <v>1</v>
      </c>
      <c r="J85" t="n">
        <v>2</v>
      </c>
      <c r="K85" t="n">
        <v>0</v>
      </c>
      <c r="L85" t="n">
        <v>0</v>
      </c>
      <c r="M85" t="n">
        <v>0</v>
      </c>
      <c r="N85" t="n">
        <v>0</v>
      </c>
      <c r="O85" t="n">
        <v>2</v>
      </c>
      <c r="P85" t="n">
        <v>0</v>
      </c>
      <c r="Q85" t="n">
        <v>3</v>
      </c>
      <c r="R85" s="2" t="inlineStr">
        <is>
          <t>Mörk kolflarnlav
Vitgrynig nållav
Dropptaggsvamp</t>
        </is>
      </c>
      <c r="S85">
        <f>HYPERLINK("https://klasma.github.io/Logging_2380/artfynd/A 41282-2024 artfynd.xlsx", "A 41282-2024")</f>
        <v/>
      </c>
      <c r="T85">
        <f>HYPERLINK("https://klasma.github.io/Logging_2380/kartor/A 41282-2024 karta.png", "A 41282-2024")</f>
        <v/>
      </c>
      <c r="V85">
        <f>HYPERLINK("https://klasma.github.io/Logging_2380/klagomål/A 41282-2024 FSC-klagomål.docx", "A 41282-2024")</f>
        <v/>
      </c>
      <c r="W85">
        <f>HYPERLINK("https://klasma.github.io/Logging_2380/klagomålsmail/A 41282-2024 FSC-klagomål mail.docx", "A 41282-2024")</f>
        <v/>
      </c>
      <c r="X85">
        <f>HYPERLINK("https://klasma.github.io/Logging_2380/tillsyn/A 41282-2024 tillsynsbegäran.docx", "A 41282-2024")</f>
        <v/>
      </c>
      <c r="Y85">
        <f>HYPERLINK("https://klasma.github.io/Logging_2380/tillsynsmail/A 41282-2024 tillsynsbegäran mail.docx", "A 41282-2024")</f>
        <v/>
      </c>
    </row>
    <row r="86" ht="15" customHeight="1">
      <c r="A86" t="inlineStr">
        <is>
          <t>A 44047-2024</t>
        </is>
      </c>
      <c r="B86" s="1" t="n">
        <v>45572</v>
      </c>
      <c r="C86" s="1" t="n">
        <v>45626</v>
      </c>
      <c r="D86" t="inlineStr">
        <is>
          <t>JÄMTLANDS LÄN</t>
        </is>
      </c>
      <c r="E86" t="inlineStr">
        <is>
          <t>ÖSTERSUND</t>
        </is>
      </c>
      <c r="F86" t="inlineStr">
        <is>
          <t>SCA</t>
        </is>
      </c>
      <c r="G86" t="n">
        <v>5.8</v>
      </c>
      <c r="H86" t="n">
        <v>1</v>
      </c>
      <c r="I86" t="n">
        <v>0</v>
      </c>
      <c r="J86" t="n">
        <v>2</v>
      </c>
      <c r="K86" t="n">
        <v>1</v>
      </c>
      <c r="L86" t="n">
        <v>0</v>
      </c>
      <c r="M86" t="n">
        <v>0</v>
      </c>
      <c r="N86" t="n">
        <v>0</v>
      </c>
      <c r="O86" t="n">
        <v>3</v>
      </c>
      <c r="P86" t="n">
        <v>1</v>
      </c>
      <c r="Q86" t="n">
        <v>3</v>
      </c>
      <c r="R86" s="2" t="inlineStr">
        <is>
          <t>Knärot
Lunglav
Motaggsvamp</t>
        </is>
      </c>
      <c r="S86">
        <f>HYPERLINK("https://klasma.github.io/Logging_2380/artfynd/A 44047-2024 artfynd.xlsx", "A 44047-2024")</f>
        <v/>
      </c>
      <c r="T86">
        <f>HYPERLINK("https://klasma.github.io/Logging_2380/kartor/A 44047-2024 karta.png", "A 44047-2024")</f>
        <v/>
      </c>
      <c r="U86">
        <f>HYPERLINK("https://klasma.github.io/Logging_2380/knärot/A 44047-2024 karta knärot.png", "A 44047-2024")</f>
        <v/>
      </c>
      <c r="V86">
        <f>HYPERLINK("https://klasma.github.io/Logging_2380/klagomål/A 44047-2024 FSC-klagomål.docx", "A 44047-2024")</f>
        <v/>
      </c>
      <c r="W86">
        <f>HYPERLINK("https://klasma.github.io/Logging_2380/klagomålsmail/A 44047-2024 FSC-klagomål mail.docx", "A 44047-2024")</f>
        <v/>
      </c>
      <c r="X86">
        <f>HYPERLINK("https://klasma.github.io/Logging_2380/tillsyn/A 44047-2024 tillsynsbegäran.docx", "A 44047-2024")</f>
        <v/>
      </c>
      <c r="Y86">
        <f>HYPERLINK("https://klasma.github.io/Logging_2380/tillsynsmail/A 44047-2024 tillsynsbegäran mail.docx", "A 44047-2024")</f>
        <v/>
      </c>
    </row>
    <row r="87" ht="15" customHeight="1">
      <c r="A87" t="inlineStr">
        <is>
          <t>A 44877-2024</t>
        </is>
      </c>
      <c r="B87" s="1" t="n">
        <v>45575</v>
      </c>
      <c r="C87" s="1" t="n">
        <v>45626</v>
      </c>
      <c r="D87" t="inlineStr">
        <is>
          <t>JÄMTLANDS LÄN</t>
        </is>
      </c>
      <c r="E87" t="inlineStr">
        <is>
          <t>ÖSTERSUND</t>
        </is>
      </c>
      <c r="F87" t="inlineStr">
        <is>
          <t>SCA</t>
        </is>
      </c>
      <c r="G87" t="n">
        <v>6.4</v>
      </c>
      <c r="H87" t="n">
        <v>1</v>
      </c>
      <c r="I87" t="n">
        <v>1</v>
      </c>
      <c r="J87" t="n">
        <v>1</v>
      </c>
      <c r="K87" t="n">
        <v>1</v>
      </c>
      <c r="L87" t="n">
        <v>0</v>
      </c>
      <c r="M87" t="n">
        <v>0</v>
      </c>
      <c r="N87" t="n">
        <v>0</v>
      </c>
      <c r="O87" t="n">
        <v>2</v>
      </c>
      <c r="P87" t="n">
        <v>1</v>
      </c>
      <c r="Q87" t="n">
        <v>3</v>
      </c>
      <c r="R87" s="2" t="inlineStr">
        <is>
          <t>Knärot
Lunglav
Dropptaggsvamp</t>
        </is>
      </c>
      <c r="S87">
        <f>HYPERLINK("https://klasma.github.io/Logging_2380/artfynd/A 44877-2024 artfynd.xlsx", "A 44877-2024")</f>
        <v/>
      </c>
      <c r="T87">
        <f>HYPERLINK("https://klasma.github.io/Logging_2380/kartor/A 44877-2024 karta.png", "A 44877-2024")</f>
        <v/>
      </c>
      <c r="U87">
        <f>HYPERLINK("https://klasma.github.io/Logging_2380/knärot/A 44877-2024 karta knärot.png", "A 44877-2024")</f>
        <v/>
      </c>
      <c r="V87">
        <f>HYPERLINK("https://klasma.github.io/Logging_2380/klagomål/A 44877-2024 FSC-klagomål.docx", "A 44877-2024")</f>
        <v/>
      </c>
      <c r="W87">
        <f>HYPERLINK("https://klasma.github.io/Logging_2380/klagomålsmail/A 44877-2024 FSC-klagomål mail.docx", "A 44877-2024")</f>
        <v/>
      </c>
      <c r="X87">
        <f>HYPERLINK("https://klasma.github.io/Logging_2380/tillsyn/A 44877-2024 tillsynsbegäran.docx", "A 44877-2024")</f>
        <v/>
      </c>
      <c r="Y87">
        <f>HYPERLINK("https://klasma.github.io/Logging_2380/tillsynsmail/A 44877-2024 tillsynsbegäran mail.docx", "A 44877-2024")</f>
        <v/>
      </c>
    </row>
    <row r="88" ht="15" customHeight="1">
      <c r="A88" t="inlineStr">
        <is>
          <t>A 53652-2024</t>
        </is>
      </c>
      <c r="B88" s="1" t="n">
        <v>45615</v>
      </c>
      <c r="C88" s="1" t="n">
        <v>45626</v>
      </c>
      <c r="D88" t="inlineStr">
        <is>
          <t>JÄMTLANDS LÄN</t>
        </is>
      </c>
      <c r="E88" t="inlineStr">
        <is>
          <t>ÖSTERSUND</t>
        </is>
      </c>
      <c r="G88" t="n">
        <v>4.2</v>
      </c>
      <c r="H88" t="n">
        <v>1</v>
      </c>
      <c r="I88" t="n">
        <v>1</v>
      </c>
      <c r="J88" t="n">
        <v>1</v>
      </c>
      <c r="K88" t="n">
        <v>0</v>
      </c>
      <c r="L88" t="n">
        <v>0</v>
      </c>
      <c r="M88" t="n">
        <v>0</v>
      </c>
      <c r="N88" t="n">
        <v>0</v>
      </c>
      <c r="O88" t="n">
        <v>1</v>
      </c>
      <c r="P88" t="n">
        <v>0</v>
      </c>
      <c r="Q88" t="n">
        <v>3</v>
      </c>
      <c r="R88" s="2" t="inlineStr">
        <is>
          <t>Flattoppad klubbsvamp
Kransrams
Revlummer</t>
        </is>
      </c>
      <c r="S88">
        <f>HYPERLINK("https://klasma.github.io/Logging_2380/artfynd/A 53652-2024 artfynd.xlsx", "A 53652-2024")</f>
        <v/>
      </c>
      <c r="T88">
        <f>HYPERLINK("https://klasma.github.io/Logging_2380/kartor/A 53652-2024 karta.png", "A 53652-2024")</f>
        <v/>
      </c>
      <c r="V88">
        <f>HYPERLINK("https://klasma.github.io/Logging_2380/klagomål/A 53652-2024 FSC-klagomål.docx", "A 53652-2024")</f>
        <v/>
      </c>
      <c r="W88">
        <f>HYPERLINK("https://klasma.github.io/Logging_2380/klagomålsmail/A 53652-2024 FSC-klagomål mail.docx", "A 53652-2024")</f>
        <v/>
      </c>
      <c r="X88">
        <f>HYPERLINK("https://klasma.github.io/Logging_2380/tillsyn/A 53652-2024 tillsynsbegäran.docx", "A 53652-2024")</f>
        <v/>
      </c>
      <c r="Y88">
        <f>HYPERLINK("https://klasma.github.io/Logging_2380/tillsynsmail/A 53652-2024 tillsynsbegäran mail.docx", "A 53652-2024")</f>
        <v/>
      </c>
    </row>
    <row r="89" ht="15" customHeight="1">
      <c r="A89" t="inlineStr">
        <is>
          <t>A 35996-2019</t>
        </is>
      </c>
      <c r="B89" s="1" t="n">
        <v>43656</v>
      </c>
      <c r="C89" s="1" t="n">
        <v>45626</v>
      </c>
      <c r="D89" t="inlineStr">
        <is>
          <t>JÄMTLANDS LÄN</t>
        </is>
      </c>
      <c r="E89" t="inlineStr">
        <is>
          <t>ÖSTERSUND</t>
        </is>
      </c>
      <c r="F89" t="inlineStr">
        <is>
          <t>SCA</t>
        </is>
      </c>
      <c r="G89" t="n">
        <v>1.4</v>
      </c>
      <c r="H89" t="n">
        <v>1</v>
      </c>
      <c r="I89" t="n">
        <v>0</v>
      </c>
      <c r="J89" t="n">
        <v>1</v>
      </c>
      <c r="K89" t="n">
        <v>0</v>
      </c>
      <c r="L89" t="n">
        <v>0</v>
      </c>
      <c r="M89" t="n">
        <v>0</v>
      </c>
      <c r="N89" t="n">
        <v>0</v>
      </c>
      <c r="O89" t="n">
        <v>1</v>
      </c>
      <c r="P89" t="n">
        <v>0</v>
      </c>
      <c r="Q89" t="n">
        <v>2</v>
      </c>
      <c r="R89" s="2" t="inlineStr">
        <is>
          <t>Kolflarnlav
Blåsippa</t>
        </is>
      </c>
      <c r="S89">
        <f>HYPERLINK("https://klasma.github.io/Logging_2380/artfynd/A 35996-2019 artfynd.xlsx", "A 35996-2019")</f>
        <v/>
      </c>
      <c r="T89">
        <f>HYPERLINK("https://klasma.github.io/Logging_2380/kartor/A 35996-2019 karta.png", "A 35996-2019")</f>
        <v/>
      </c>
      <c r="V89">
        <f>HYPERLINK("https://klasma.github.io/Logging_2380/klagomål/A 35996-2019 FSC-klagomål.docx", "A 35996-2019")</f>
        <v/>
      </c>
      <c r="W89">
        <f>HYPERLINK("https://klasma.github.io/Logging_2380/klagomålsmail/A 35996-2019 FSC-klagomål mail.docx", "A 35996-2019")</f>
        <v/>
      </c>
      <c r="X89">
        <f>HYPERLINK("https://klasma.github.io/Logging_2380/tillsyn/A 35996-2019 tillsynsbegäran.docx", "A 35996-2019")</f>
        <v/>
      </c>
      <c r="Y89">
        <f>HYPERLINK("https://klasma.github.io/Logging_2380/tillsynsmail/A 35996-2019 tillsynsbegäran mail.docx", "A 35996-2019")</f>
        <v/>
      </c>
    </row>
    <row r="90" ht="15" customHeight="1">
      <c r="A90" t="inlineStr">
        <is>
          <t>A 29583-2021</t>
        </is>
      </c>
      <c r="B90" s="1" t="n">
        <v>44361</v>
      </c>
      <c r="C90" s="1" t="n">
        <v>45626</v>
      </c>
      <c r="D90" t="inlineStr">
        <is>
          <t>JÄMTLANDS LÄN</t>
        </is>
      </c>
      <c r="E90" t="inlineStr">
        <is>
          <t>ÖSTERSUND</t>
        </is>
      </c>
      <c r="G90" t="n">
        <v>11.7</v>
      </c>
      <c r="H90" t="n">
        <v>1</v>
      </c>
      <c r="I90" t="n">
        <v>1</v>
      </c>
      <c r="J90" t="n">
        <v>0</v>
      </c>
      <c r="K90" t="n">
        <v>0</v>
      </c>
      <c r="L90" t="n">
        <v>0</v>
      </c>
      <c r="M90" t="n">
        <v>0</v>
      </c>
      <c r="N90" t="n">
        <v>0</v>
      </c>
      <c r="O90" t="n">
        <v>0</v>
      </c>
      <c r="P90" t="n">
        <v>0</v>
      </c>
      <c r="Q90" t="n">
        <v>2</v>
      </c>
      <c r="R90" s="2" t="inlineStr">
        <is>
          <t>Kransrams
Blåsippa</t>
        </is>
      </c>
      <c r="S90">
        <f>HYPERLINK("https://klasma.github.io/Logging_2380/artfynd/A 29583-2021 artfynd.xlsx", "A 29583-2021")</f>
        <v/>
      </c>
      <c r="T90">
        <f>HYPERLINK("https://klasma.github.io/Logging_2380/kartor/A 29583-2021 karta.png", "A 29583-2021")</f>
        <v/>
      </c>
      <c r="V90">
        <f>HYPERLINK("https://klasma.github.io/Logging_2380/klagomål/A 29583-2021 FSC-klagomål.docx", "A 29583-2021")</f>
        <v/>
      </c>
      <c r="W90">
        <f>HYPERLINK("https://klasma.github.io/Logging_2380/klagomålsmail/A 29583-2021 FSC-klagomål mail.docx", "A 29583-2021")</f>
        <v/>
      </c>
      <c r="X90">
        <f>HYPERLINK("https://klasma.github.io/Logging_2380/tillsyn/A 29583-2021 tillsynsbegäran.docx", "A 29583-2021")</f>
        <v/>
      </c>
      <c r="Y90">
        <f>HYPERLINK("https://klasma.github.io/Logging_2380/tillsynsmail/A 29583-2021 tillsynsbegäran mail.docx", "A 29583-2021")</f>
        <v/>
      </c>
    </row>
    <row r="91" ht="15" customHeight="1">
      <c r="A91" t="inlineStr">
        <is>
          <t>A 30105-2021</t>
        </is>
      </c>
      <c r="B91" s="1" t="n">
        <v>44363</v>
      </c>
      <c r="C91" s="1" t="n">
        <v>45626</v>
      </c>
      <c r="D91" t="inlineStr">
        <is>
          <t>JÄMTLANDS LÄN</t>
        </is>
      </c>
      <c r="E91" t="inlineStr">
        <is>
          <t>ÖSTERSUND</t>
        </is>
      </c>
      <c r="G91" t="n">
        <v>2</v>
      </c>
      <c r="H91" t="n">
        <v>0</v>
      </c>
      <c r="I91" t="n">
        <v>2</v>
      </c>
      <c r="J91" t="n">
        <v>0</v>
      </c>
      <c r="K91" t="n">
        <v>0</v>
      </c>
      <c r="L91" t="n">
        <v>0</v>
      </c>
      <c r="M91" t="n">
        <v>0</v>
      </c>
      <c r="N91" t="n">
        <v>0</v>
      </c>
      <c r="O91" t="n">
        <v>0</v>
      </c>
      <c r="P91" t="n">
        <v>0</v>
      </c>
      <c r="Q91" t="n">
        <v>2</v>
      </c>
      <c r="R91" s="2" t="inlineStr">
        <is>
          <t>Grönpyrola
Ögonpyrola</t>
        </is>
      </c>
      <c r="S91">
        <f>HYPERLINK("https://klasma.github.io/Logging_2380/artfynd/A 30105-2021 artfynd.xlsx", "A 30105-2021")</f>
        <v/>
      </c>
      <c r="T91">
        <f>HYPERLINK("https://klasma.github.io/Logging_2380/kartor/A 30105-2021 karta.png", "A 30105-2021")</f>
        <v/>
      </c>
      <c r="V91">
        <f>HYPERLINK("https://klasma.github.io/Logging_2380/klagomål/A 30105-2021 FSC-klagomål.docx", "A 30105-2021")</f>
        <v/>
      </c>
      <c r="W91">
        <f>HYPERLINK("https://klasma.github.io/Logging_2380/klagomålsmail/A 30105-2021 FSC-klagomål mail.docx", "A 30105-2021")</f>
        <v/>
      </c>
      <c r="X91">
        <f>HYPERLINK("https://klasma.github.io/Logging_2380/tillsyn/A 30105-2021 tillsynsbegäran.docx", "A 30105-2021")</f>
        <v/>
      </c>
      <c r="Y91">
        <f>HYPERLINK("https://klasma.github.io/Logging_2380/tillsynsmail/A 30105-2021 tillsynsbegäran mail.docx", "A 30105-2021")</f>
        <v/>
      </c>
    </row>
    <row r="92" ht="15" customHeight="1">
      <c r="A92" t="inlineStr">
        <is>
          <t>A 46105-2021</t>
        </is>
      </c>
      <c r="B92" s="1" t="n">
        <v>44441</v>
      </c>
      <c r="C92" s="1" t="n">
        <v>45626</v>
      </c>
      <c r="D92" t="inlineStr">
        <is>
          <t>JÄMTLANDS LÄN</t>
        </is>
      </c>
      <c r="E92" t="inlineStr">
        <is>
          <t>ÖSTERSUND</t>
        </is>
      </c>
      <c r="G92" t="n">
        <v>4.4</v>
      </c>
      <c r="H92" t="n">
        <v>2</v>
      </c>
      <c r="I92" t="n">
        <v>0</v>
      </c>
      <c r="J92" t="n">
        <v>1</v>
      </c>
      <c r="K92" t="n">
        <v>1</v>
      </c>
      <c r="L92" t="n">
        <v>0</v>
      </c>
      <c r="M92" t="n">
        <v>0</v>
      </c>
      <c r="N92" t="n">
        <v>0</v>
      </c>
      <c r="O92" t="n">
        <v>2</v>
      </c>
      <c r="P92" t="n">
        <v>1</v>
      </c>
      <c r="Q92" t="n">
        <v>2</v>
      </c>
      <c r="R92" s="2" t="inlineStr">
        <is>
          <t>Tallbit
Tretåig hackspett</t>
        </is>
      </c>
      <c r="S92">
        <f>HYPERLINK("https://klasma.github.io/Logging_2380/artfynd/A 46105-2021 artfynd.xlsx", "A 46105-2021")</f>
        <v/>
      </c>
      <c r="T92">
        <f>HYPERLINK("https://klasma.github.io/Logging_2380/kartor/A 46105-2021 karta.png", "A 46105-2021")</f>
        <v/>
      </c>
      <c r="V92">
        <f>HYPERLINK("https://klasma.github.io/Logging_2380/klagomål/A 46105-2021 FSC-klagomål.docx", "A 46105-2021")</f>
        <v/>
      </c>
      <c r="W92">
        <f>HYPERLINK("https://klasma.github.io/Logging_2380/klagomålsmail/A 46105-2021 FSC-klagomål mail.docx", "A 46105-2021")</f>
        <v/>
      </c>
      <c r="X92">
        <f>HYPERLINK("https://klasma.github.io/Logging_2380/tillsyn/A 46105-2021 tillsynsbegäran.docx", "A 46105-2021")</f>
        <v/>
      </c>
      <c r="Y92">
        <f>HYPERLINK("https://klasma.github.io/Logging_2380/tillsynsmail/A 46105-2021 tillsynsbegäran mail.docx", "A 46105-2021")</f>
        <v/>
      </c>
      <c r="Z92">
        <f>HYPERLINK("https://klasma.github.io/Logging_2380/fåglar/A 46105-2021 prioriterade fågelarter.docx", "A 46105-2021")</f>
        <v/>
      </c>
    </row>
    <row r="93" ht="15" customHeight="1">
      <c r="A93" t="inlineStr">
        <is>
          <t>A 63601-2021</t>
        </is>
      </c>
      <c r="B93" s="1" t="n">
        <v>44508</v>
      </c>
      <c r="C93" s="1" t="n">
        <v>45626</v>
      </c>
      <c r="D93" t="inlineStr">
        <is>
          <t>JÄMTLANDS LÄN</t>
        </is>
      </c>
      <c r="E93" t="inlineStr">
        <is>
          <t>ÖSTERSUND</t>
        </is>
      </c>
      <c r="F93" t="inlineStr">
        <is>
          <t>SCA</t>
        </is>
      </c>
      <c r="G93" t="n">
        <v>2.9</v>
      </c>
      <c r="H93" t="n">
        <v>0</v>
      </c>
      <c r="I93" t="n">
        <v>1</v>
      </c>
      <c r="J93" t="n">
        <v>0</v>
      </c>
      <c r="K93" t="n">
        <v>1</v>
      </c>
      <c r="L93" t="n">
        <v>0</v>
      </c>
      <c r="M93" t="n">
        <v>0</v>
      </c>
      <c r="N93" t="n">
        <v>0</v>
      </c>
      <c r="O93" t="n">
        <v>1</v>
      </c>
      <c r="P93" t="n">
        <v>1</v>
      </c>
      <c r="Q93" t="n">
        <v>2</v>
      </c>
      <c r="R93" s="2" t="inlineStr">
        <is>
          <t>Läderdoftande fingersvamp
Blodvaxskivling</t>
        </is>
      </c>
      <c r="S93">
        <f>HYPERLINK("https://klasma.github.io/Logging_2380/artfynd/A 63601-2021 artfynd.xlsx", "A 63601-2021")</f>
        <v/>
      </c>
      <c r="T93">
        <f>HYPERLINK("https://klasma.github.io/Logging_2380/kartor/A 63601-2021 karta.png", "A 63601-2021")</f>
        <v/>
      </c>
      <c r="V93">
        <f>HYPERLINK("https://klasma.github.io/Logging_2380/klagomål/A 63601-2021 FSC-klagomål.docx", "A 63601-2021")</f>
        <v/>
      </c>
      <c r="W93">
        <f>HYPERLINK("https://klasma.github.io/Logging_2380/klagomålsmail/A 63601-2021 FSC-klagomål mail.docx", "A 63601-2021")</f>
        <v/>
      </c>
      <c r="X93">
        <f>HYPERLINK("https://klasma.github.io/Logging_2380/tillsyn/A 63601-2021 tillsynsbegäran.docx", "A 63601-2021")</f>
        <v/>
      </c>
      <c r="Y93">
        <f>HYPERLINK("https://klasma.github.io/Logging_2380/tillsynsmail/A 63601-2021 tillsynsbegäran mail.docx", "A 63601-2021")</f>
        <v/>
      </c>
    </row>
    <row r="94" ht="15" customHeight="1">
      <c r="A94" t="inlineStr">
        <is>
          <t>A 43935-2022</t>
        </is>
      </c>
      <c r="B94" s="1" t="n">
        <v>44838</v>
      </c>
      <c r="C94" s="1" t="n">
        <v>45626</v>
      </c>
      <c r="D94" t="inlineStr">
        <is>
          <t>JÄMTLANDS LÄN</t>
        </is>
      </c>
      <c r="E94" t="inlineStr">
        <is>
          <t>ÖSTERSUND</t>
        </is>
      </c>
      <c r="F94" t="inlineStr">
        <is>
          <t>Övriga Aktiebolag</t>
        </is>
      </c>
      <c r="G94" t="n">
        <v>19.2</v>
      </c>
      <c r="H94" t="n">
        <v>0</v>
      </c>
      <c r="I94" t="n">
        <v>0</v>
      </c>
      <c r="J94" t="n">
        <v>1</v>
      </c>
      <c r="K94" t="n">
        <v>1</v>
      </c>
      <c r="L94" t="n">
        <v>0</v>
      </c>
      <c r="M94" t="n">
        <v>0</v>
      </c>
      <c r="N94" t="n">
        <v>0</v>
      </c>
      <c r="O94" t="n">
        <v>2</v>
      </c>
      <c r="P94" t="n">
        <v>1</v>
      </c>
      <c r="Q94" t="n">
        <v>2</v>
      </c>
      <c r="R94" s="2" t="inlineStr">
        <is>
          <t>Sprickporing
Blå taggsvamp</t>
        </is>
      </c>
      <c r="S94">
        <f>HYPERLINK("https://klasma.github.io/Logging_2380/artfynd/A 43935-2022 artfynd.xlsx", "A 43935-2022")</f>
        <v/>
      </c>
      <c r="T94">
        <f>HYPERLINK("https://klasma.github.io/Logging_2380/kartor/A 43935-2022 karta.png", "A 43935-2022")</f>
        <v/>
      </c>
      <c r="V94">
        <f>HYPERLINK("https://klasma.github.io/Logging_2380/klagomål/A 43935-2022 FSC-klagomål.docx", "A 43935-2022")</f>
        <v/>
      </c>
      <c r="W94">
        <f>HYPERLINK("https://klasma.github.io/Logging_2380/klagomålsmail/A 43935-2022 FSC-klagomål mail.docx", "A 43935-2022")</f>
        <v/>
      </c>
      <c r="X94">
        <f>HYPERLINK("https://klasma.github.io/Logging_2380/tillsyn/A 43935-2022 tillsynsbegäran.docx", "A 43935-2022")</f>
        <v/>
      </c>
      <c r="Y94">
        <f>HYPERLINK("https://klasma.github.io/Logging_2380/tillsynsmail/A 43935-2022 tillsynsbegäran mail.docx", "A 43935-2022")</f>
        <v/>
      </c>
    </row>
    <row r="95" ht="15" customHeight="1">
      <c r="A95" t="inlineStr">
        <is>
          <t>A 47385-2022</t>
        </is>
      </c>
      <c r="B95" s="1" t="n">
        <v>44853</v>
      </c>
      <c r="C95" s="1" t="n">
        <v>45626</v>
      </c>
      <c r="D95" t="inlineStr">
        <is>
          <t>JÄMTLANDS LÄN</t>
        </is>
      </c>
      <c r="E95" t="inlineStr">
        <is>
          <t>ÖSTERSUND</t>
        </is>
      </c>
      <c r="G95" t="n">
        <v>0.9</v>
      </c>
      <c r="H95" t="n">
        <v>0</v>
      </c>
      <c r="I95" t="n">
        <v>0</v>
      </c>
      <c r="J95" t="n">
        <v>2</v>
      </c>
      <c r="K95" t="n">
        <v>0</v>
      </c>
      <c r="L95" t="n">
        <v>0</v>
      </c>
      <c r="M95" t="n">
        <v>0</v>
      </c>
      <c r="N95" t="n">
        <v>0</v>
      </c>
      <c r="O95" t="n">
        <v>2</v>
      </c>
      <c r="P95" t="n">
        <v>0</v>
      </c>
      <c r="Q95" t="n">
        <v>2</v>
      </c>
      <c r="R95" s="2" t="inlineStr">
        <is>
          <t>Garnlav
Ullticka</t>
        </is>
      </c>
      <c r="S95">
        <f>HYPERLINK("https://klasma.github.io/Logging_2380/artfynd/A 47385-2022 artfynd.xlsx", "A 47385-2022")</f>
        <v/>
      </c>
      <c r="T95">
        <f>HYPERLINK("https://klasma.github.io/Logging_2380/kartor/A 47385-2022 karta.png", "A 47385-2022")</f>
        <v/>
      </c>
      <c r="U95">
        <f>HYPERLINK("https://klasma.github.io/Logging_2380/knärot/A 47385-2022 karta knärot.png", "A 47385-2022")</f>
        <v/>
      </c>
      <c r="V95">
        <f>HYPERLINK("https://klasma.github.io/Logging_2380/klagomål/A 47385-2022 FSC-klagomål.docx", "A 47385-2022")</f>
        <v/>
      </c>
      <c r="W95">
        <f>HYPERLINK("https://klasma.github.io/Logging_2380/klagomålsmail/A 47385-2022 FSC-klagomål mail.docx", "A 47385-2022")</f>
        <v/>
      </c>
      <c r="X95">
        <f>HYPERLINK("https://klasma.github.io/Logging_2380/tillsyn/A 47385-2022 tillsynsbegäran.docx", "A 47385-2022")</f>
        <v/>
      </c>
      <c r="Y95">
        <f>HYPERLINK("https://klasma.github.io/Logging_2380/tillsynsmail/A 47385-2022 tillsynsbegäran mail.docx", "A 47385-2022")</f>
        <v/>
      </c>
    </row>
    <row r="96" ht="15" customHeight="1">
      <c r="A96" t="inlineStr">
        <is>
          <t>A 60534-2022</t>
        </is>
      </c>
      <c r="B96" s="1" t="n">
        <v>44904</v>
      </c>
      <c r="C96" s="1" t="n">
        <v>45626</v>
      </c>
      <c r="D96" t="inlineStr">
        <is>
          <t>JÄMTLANDS LÄN</t>
        </is>
      </c>
      <c r="E96" t="inlineStr">
        <is>
          <t>ÖSTERSUND</t>
        </is>
      </c>
      <c r="G96" t="n">
        <v>9.9</v>
      </c>
      <c r="H96" t="n">
        <v>0</v>
      </c>
      <c r="I96" t="n">
        <v>0</v>
      </c>
      <c r="J96" t="n">
        <v>2</v>
      </c>
      <c r="K96" t="n">
        <v>0</v>
      </c>
      <c r="L96" t="n">
        <v>0</v>
      </c>
      <c r="M96" t="n">
        <v>0</v>
      </c>
      <c r="N96" t="n">
        <v>0</v>
      </c>
      <c r="O96" t="n">
        <v>2</v>
      </c>
      <c r="P96" t="n">
        <v>0</v>
      </c>
      <c r="Q96" t="n">
        <v>2</v>
      </c>
      <c r="R96" s="2" t="inlineStr">
        <is>
          <t>Rosenticka
Ullticka</t>
        </is>
      </c>
      <c r="S96">
        <f>HYPERLINK("https://klasma.github.io/Logging_2380/artfynd/A 60534-2022 artfynd.xlsx", "A 60534-2022")</f>
        <v/>
      </c>
      <c r="T96">
        <f>HYPERLINK("https://klasma.github.io/Logging_2380/kartor/A 60534-2022 karta.png", "A 60534-2022")</f>
        <v/>
      </c>
      <c r="V96">
        <f>HYPERLINK("https://klasma.github.io/Logging_2380/klagomål/A 60534-2022 FSC-klagomål.docx", "A 60534-2022")</f>
        <v/>
      </c>
      <c r="W96">
        <f>HYPERLINK("https://klasma.github.io/Logging_2380/klagomålsmail/A 60534-2022 FSC-klagomål mail.docx", "A 60534-2022")</f>
        <v/>
      </c>
      <c r="X96">
        <f>HYPERLINK("https://klasma.github.io/Logging_2380/tillsyn/A 60534-2022 tillsynsbegäran.docx", "A 60534-2022")</f>
        <v/>
      </c>
      <c r="Y96">
        <f>HYPERLINK("https://klasma.github.io/Logging_2380/tillsynsmail/A 60534-2022 tillsynsbegäran mail.docx", "A 60534-2022")</f>
        <v/>
      </c>
    </row>
    <row r="97" ht="15" customHeight="1">
      <c r="A97" t="inlineStr">
        <is>
          <t>A 59793-2022</t>
        </is>
      </c>
      <c r="B97" s="1" t="n">
        <v>44908</v>
      </c>
      <c r="C97" s="1" t="n">
        <v>45626</v>
      </c>
      <c r="D97" t="inlineStr">
        <is>
          <t>JÄMTLANDS LÄN</t>
        </is>
      </c>
      <c r="E97" t="inlineStr">
        <is>
          <t>ÖSTERSUND</t>
        </is>
      </c>
      <c r="G97" t="n">
        <v>23.3</v>
      </c>
      <c r="H97" t="n">
        <v>1</v>
      </c>
      <c r="I97" t="n">
        <v>1</v>
      </c>
      <c r="J97" t="n">
        <v>1</v>
      </c>
      <c r="K97" t="n">
        <v>0</v>
      </c>
      <c r="L97" t="n">
        <v>0</v>
      </c>
      <c r="M97" t="n">
        <v>0</v>
      </c>
      <c r="N97" t="n">
        <v>0</v>
      </c>
      <c r="O97" t="n">
        <v>1</v>
      </c>
      <c r="P97" t="n">
        <v>0</v>
      </c>
      <c r="Q97" t="n">
        <v>2</v>
      </c>
      <c r="R97" s="2" t="inlineStr">
        <is>
          <t>Majviva
Spindelblomster</t>
        </is>
      </c>
      <c r="S97">
        <f>HYPERLINK("https://klasma.github.io/Logging_2380/artfynd/A 59793-2022 artfynd.xlsx", "A 59793-2022")</f>
        <v/>
      </c>
      <c r="T97">
        <f>HYPERLINK("https://klasma.github.io/Logging_2380/kartor/A 59793-2022 karta.png", "A 59793-2022")</f>
        <v/>
      </c>
      <c r="V97">
        <f>HYPERLINK("https://klasma.github.io/Logging_2380/klagomål/A 59793-2022 FSC-klagomål.docx", "A 59793-2022")</f>
        <v/>
      </c>
      <c r="W97">
        <f>HYPERLINK("https://klasma.github.io/Logging_2380/klagomålsmail/A 59793-2022 FSC-klagomål mail.docx", "A 59793-2022")</f>
        <v/>
      </c>
      <c r="X97">
        <f>HYPERLINK("https://klasma.github.io/Logging_2380/tillsyn/A 59793-2022 tillsynsbegäran.docx", "A 59793-2022")</f>
        <v/>
      </c>
      <c r="Y97">
        <f>HYPERLINK("https://klasma.github.io/Logging_2380/tillsynsmail/A 59793-2022 tillsynsbegäran mail.docx", "A 59793-2022")</f>
        <v/>
      </c>
    </row>
    <row r="98" ht="15" customHeight="1">
      <c r="A98" t="inlineStr">
        <is>
          <t>A 60614-2022</t>
        </is>
      </c>
      <c r="B98" s="1" t="n">
        <v>44911</v>
      </c>
      <c r="C98" s="1" t="n">
        <v>45626</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4916-2023</t>
        </is>
      </c>
      <c r="B99" s="1" t="n">
        <v>44956</v>
      </c>
      <c r="C99" s="1" t="n">
        <v>45626</v>
      </c>
      <c r="D99" t="inlineStr">
        <is>
          <t>JÄMTLANDS LÄN</t>
        </is>
      </c>
      <c r="E99" t="inlineStr">
        <is>
          <t>ÖSTERSUND</t>
        </is>
      </c>
      <c r="G99" t="n">
        <v>1.2</v>
      </c>
      <c r="H99" t="n">
        <v>0</v>
      </c>
      <c r="I99" t="n">
        <v>1</v>
      </c>
      <c r="J99" t="n">
        <v>0</v>
      </c>
      <c r="K99" t="n">
        <v>0</v>
      </c>
      <c r="L99" t="n">
        <v>1</v>
      </c>
      <c r="M99" t="n">
        <v>0</v>
      </c>
      <c r="N99" t="n">
        <v>0</v>
      </c>
      <c r="O99" t="n">
        <v>1</v>
      </c>
      <c r="P99" t="n">
        <v>1</v>
      </c>
      <c r="Q99" t="n">
        <v>2</v>
      </c>
      <c r="R99" s="2" t="inlineStr">
        <is>
          <t>Trolldruvemätare
Svart trolldruva</t>
        </is>
      </c>
      <c r="S99">
        <f>HYPERLINK("https://klasma.github.io/Logging_2380/artfynd/A 4916-2023 artfynd.xlsx", "A 4916-2023")</f>
        <v/>
      </c>
      <c r="T99">
        <f>HYPERLINK("https://klasma.github.io/Logging_2380/kartor/A 4916-2023 karta.png", "A 4916-2023")</f>
        <v/>
      </c>
      <c r="V99">
        <f>HYPERLINK("https://klasma.github.io/Logging_2380/klagomål/A 4916-2023 FSC-klagomål.docx", "A 4916-2023")</f>
        <v/>
      </c>
      <c r="W99">
        <f>HYPERLINK("https://klasma.github.io/Logging_2380/klagomålsmail/A 4916-2023 FSC-klagomål mail.docx", "A 4916-2023")</f>
        <v/>
      </c>
      <c r="X99">
        <f>HYPERLINK("https://klasma.github.io/Logging_2380/tillsyn/A 4916-2023 tillsynsbegäran.docx", "A 4916-2023")</f>
        <v/>
      </c>
      <c r="Y99">
        <f>HYPERLINK("https://klasma.github.io/Logging_2380/tillsynsmail/A 4916-2023 tillsynsbegäran mail.docx", "A 4916-2023")</f>
        <v/>
      </c>
    </row>
    <row r="100" ht="15" customHeight="1">
      <c r="A100" t="inlineStr">
        <is>
          <t>A 19147-2023</t>
        </is>
      </c>
      <c r="B100" s="1" t="n">
        <v>45044</v>
      </c>
      <c r="C100" s="1" t="n">
        <v>45626</v>
      </c>
      <c r="D100" t="inlineStr">
        <is>
          <t>JÄMTLANDS LÄN</t>
        </is>
      </c>
      <c r="E100" t="inlineStr">
        <is>
          <t>ÖSTERSUND</t>
        </is>
      </c>
      <c r="G100" t="n">
        <v>5</v>
      </c>
      <c r="H100" t="n">
        <v>1</v>
      </c>
      <c r="I100" t="n">
        <v>0</v>
      </c>
      <c r="J100" t="n">
        <v>1</v>
      </c>
      <c r="K100" t="n">
        <v>0</v>
      </c>
      <c r="L100" t="n">
        <v>1</v>
      </c>
      <c r="M100" t="n">
        <v>0</v>
      </c>
      <c r="N100" t="n">
        <v>0</v>
      </c>
      <c r="O100" t="n">
        <v>2</v>
      </c>
      <c r="P100" t="n">
        <v>1</v>
      </c>
      <c r="Q100" t="n">
        <v>2</v>
      </c>
      <c r="R100" s="2" t="inlineStr">
        <is>
          <t>Bredgentiana
Scharlakansvaxskivling</t>
        </is>
      </c>
      <c r="S100">
        <f>HYPERLINK("https://klasma.github.io/Logging_2380/artfynd/A 19147-2023 artfynd.xlsx", "A 19147-2023")</f>
        <v/>
      </c>
      <c r="T100">
        <f>HYPERLINK("https://klasma.github.io/Logging_2380/kartor/A 19147-2023 karta.png", "A 19147-2023")</f>
        <v/>
      </c>
      <c r="V100">
        <f>HYPERLINK("https://klasma.github.io/Logging_2380/klagomål/A 19147-2023 FSC-klagomål.docx", "A 19147-2023")</f>
        <v/>
      </c>
      <c r="W100">
        <f>HYPERLINK("https://klasma.github.io/Logging_2380/klagomålsmail/A 19147-2023 FSC-klagomål mail.docx", "A 19147-2023")</f>
        <v/>
      </c>
      <c r="X100">
        <f>HYPERLINK("https://klasma.github.io/Logging_2380/tillsyn/A 19147-2023 tillsynsbegäran.docx", "A 19147-2023")</f>
        <v/>
      </c>
      <c r="Y100">
        <f>HYPERLINK("https://klasma.github.io/Logging_2380/tillsynsmail/A 19147-2023 tillsynsbegäran mail.docx", "A 19147-2023")</f>
        <v/>
      </c>
    </row>
    <row r="101" ht="15" customHeight="1">
      <c r="A101" t="inlineStr">
        <is>
          <t>A 38334-2023</t>
        </is>
      </c>
      <c r="B101" s="1" t="n">
        <v>45161</v>
      </c>
      <c r="C101" s="1" t="n">
        <v>45626</v>
      </c>
      <c r="D101" t="inlineStr">
        <is>
          <t>JÄMTLANDS LÄN</t>
        </is>
      </c>
      <c r="E101" t="inlineStr">
        <is>
          <t>ÖSTERSUND</t>
        </is>
      </c>
      <c r="G101" t="n">
        <v>10.5</v>
      </c>
      <c r="H101" t="n">
        <v>0</v>
      </c>
      <c r="I101" t="n">
        <v>0</v>
      </c>
      <c r="J101" t="n">
        <v>0</v>
      </c>
      <c r="K101" t="n">
        <v>2</v>
      </c>
      <c r="L101" t="n">
        <v>0</v>
      </c>
      <c r="M101" t="n">
        <v>0</v>
      </c>
      <c r="N101" t="n">
        <v>0</v>
      </c>
      <c r="O101" t="n">
        <v>2</v>
      </c>
      <c r="P101" t="n">
        <v>2</v>
      </c>
      <c r="Q101" t="n">
        <v>2</v>
      </c>
      <c r="R101" s="2" t="inlineStr">
        <is>
          <t>Rynkskinn
Violett fingersvamp</t>
        </is>
      </c>
      <c r="S101">
        <f>HYPERLINK("https://klasma.github.io/Logging_2380/artfynd/A 38334-2023 artfynd.xlsx", "A 38334-2023")</f>
        <v/>
      </c>
      <c r="T101">
        <f>HYPERLINK("https://klasma.github.io/Logging_2380/kartor/A 38334-2023 karta.png", "A 38334-2023")</f>
        <v/>
      </c>
      <c r="V101">
        <f>HYPERLINK("https://klasma.github.io/Logging_2380/klagomål/A 38334-2023 FSC-klagomål.docx", "A 38334-2023")</f>
        <v/>
      </c>
      <c r="W101">
        <f>HYPERLINK("https://klasma.github.io/Logging_2380/klagomålsmail/A 38334-2023 FSC-klagomål mail.docx", "A 38334-2023")</f>
        <v/>
      </c>
      <c r="X101">
        <f>HYPERLINK("https://klasma.github.io/Logging_2380/tillsyn/A 38334-2023 tillsynsbegäran.docx", "A 38334-2023")</f>
        <v/>
      </c>
      <c r="Y101">
        <f>HYPERLINK("https://klasma.github.io/Logging_2380/tillsynsmail/A 38334-2023 tillsynsbegäran mail.docx", "A 38334-2023")</f>
        <v/>
      </c>
    </row>
    <row r="102" ht="15" customHeight="1">
      <c r="A102" t="inlineStr">
        <is>
          <t>A 52129-2023</t>
        </is>
      </c>
      <c r="B102" s="1" t="n">
        <v>45223</v>
      </c>
      <c r="C102" s="1" t="n">
        <v>45626</v>
      </c>
      <c r="D102" t="inlineStr">
        <is>
          <t>JÄMTLANDS LÄN</t>
        </is>
      </c>
      <c r="E102" t="inlineStr">
        <is>
          <t>ÖSTERSUND</t>
        </is>
      </c>
      <c r="F102" t="inlineStr">
        <is>
          <t>SCA</t>
        </is>
      </c>
      <c r="G102" t="n">
        <v>2</v>
      </c>
      <c r="H102" t="n">
        <v>0</v>
      </c>
      <c r="I102" t="n">
        <v>0</v>
      </c>
      <c r="J102" t="n">
        <v>2</v>
      </c>
      <c r="K102" t="n">
        <v>0</v>
      </c>
      <c r="L102" t="n">
        <v>0</v>
      </c>
      <c r="M102" t="n">
        <v>0</v>
      </c>
      <c r="N102" t="n">
        <v>0</v>
      </c>
      <c r="O102" t="n">
        <v>2</v>
      </c>
      <c r="P102" t="n">
        <v>0</v>
      </c>
      <c r="Q102" t="n">
        <v>2</v>
      </c>
      <c r="R102" s="2" t="inlineStr">
        <is>
          <t>Dvärgbägarlav
Kolflarnlav</t>
        </is>
      </c>
      <c r="S102">
        <f>HYPERLINK("https://klasma.github.io/Logging_2380/artfynd/A 52129-2023 artfynd.xlsx", "A 52129-2023")</f>
        <v/>
      </c>
      <c r="T102">
        <f>HYPERLINK("https://klasma.github.io/Logging_2380/kartor/A 52129-2023 karta.png", "A 52129-2023")</f>
        <v/>
      </c>
      <c r="V102">
        <f>HYPERLINK("https://klasma.github.io/Logging_2380/klagomål/A 52129-2023 FSC-klagomål.docx", "A 52129-2023")</f>
        <v/>
      </c>
      <c r="W102">
        <f>HYPERLINK("https://klasma.github.io/Logging_2380/klagomålsmail/A 52129-2023 FSC-klagomål mail.docx", "A 52129-2023")</f>
        <v/>
      </c>
      <c r="X102">
        <f>HYPERLINK("https://klasma.github.io/Logging_2380/tillsyn/A 52129-2023 tillsynsbegäran.docx", "A 52129-2023")</f>
        <v/>
      </c>
      <c r="Y102">
        <f>HYPERLINK("https://klasma.github.io/Logging_2380/tillsynsmail/A 52129-2023 tillsynsbegäran mail.docx", "A 52129-2023")</f>
        <v/>
      </c>
    </row>
    <row r="103" ht="15" customHeight="1">
      <c r="A103" t="inlineStr">
        <is>
          <t>A 56006-2023</t>
        </is>
      </c>
      <c r="B103" s="1" t="n">
        <v>45233</v>
      </c>
      <c r="C103" s="1" t="n">
        <v>45626</v>
      </c>
      <c r="D103" t="inlineStr">
        <is>
          <t>JÄMTLANDS LÄN</t>
        </is>
      </c>
      <c r="E103" t="inlineStr">
        <is>
          <t>ÖSTERSUND</t>
        </is>
      </c>
      <c r="G103" t="n">
        <v>2.3</v>
      </c>
      <c r="H103" t="n">
        <v>0</v>
      </c>
      <c r="I103" t="n">
        <v>2</v>
      </c>
      <c r="J103" t="n">
        <v>0</v>
      </c>
      <c r="K103" t="n">
        <v>0</v>
      </c>
      <c r="L103" t="n">
        <v>0</v>
      </c>
      <c r="M103" t="n">
        <v>0</v>
      </c>
      <c r="N103" t="n">
        <v>0</v>
      </c>
      <c r="O103" t="n">
        <v>0</v>
      </c>
      <c r="P103" t="n">
        <v>0</v>
      </c>
      <c r="Q103" t="n">
        <v>2</v>
      </c>
      <c r="R103" s="2" t="inlineStr">
        <is>
          <t>Korallblylav
Skinnlav</t>
        </is>
      </c>
      <c r="S103">
        <f>HYPERLINK("https://klasma.github.io/Logging_2380/artfynd/A 56006-2023 artfynd.xlsx", "A 56006-2023")</f>
        <v/>
      </c>
      <c r="T103">
        <f>HYPERLINK("https://klasma.github.io/Logging_2380/kartor/A 56006-2023 karta.png", "A 56006-2023")</f>
        <v/>
      </c>
      <c r="V103">
        <f>HYPERLINK("https://klasma.github.io/Logging_2380/klagomål/A 56006-2023 FSC-klagomål.docx", "A 56006-2023")</f>
        <v/>
      </c>
      <c r="W103">
        <f>HYPERLINK("https://klasma.github.io/Logging_2380/klagomålsmail/A 56006-2023 FSC-klagomål mail.docx", "A 56006-2023")</f>
        <v/>
      </c>
      <c r="X103">
        <f>HYPERLINK("https://klasma.github.io/Logging_2380/tillsyn/A 56006-2023 tillsynsbegäran.docx", "A 56006-2023")</f>
        <v/>
      </c>
      <c r="Y103">
        <f>HYPERLINK("https://klasma.github.io/Logging_2380/tillsynsmail/A 56006-2023 tillsynsbegäran mail.docx", "A 56006-2023")</f>
        <v/>
      </c>
    </row>
    <row r="104" ht="15" customHeight="1">
      <c r="A104" t="inlineStr">
        <is>
          <t>A 55648-2023</t>
        </is>
      </c>
      <c r="B104" s="1" t="n">
        <v>45238</v>
      </c>
      <c r="C104" s="1" t="n">
        <v>45626</v>
      </c>
      <c r="D104" t="inlineStr">
        <is>
          <t>JÄMTLANDS LÄN</t>
        </is>
      </c>
      <c r="E104" t="inlineStr">
        <is>
          <t>ÖSTERSUND</t>
        </is>
      </c>
      <c r="G104" t="n">
        <v>10.9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HYPERLINK("https://klasma.github.io/Logging_2380/artfynd/A 55648-2023 artfynd.xlsx", "A 55648-2023")</f>
        <v/>
      </c>
      <c r="T104">
        <f>HYPERLINK("https://klasma.github.io/Logging_2380/kartor/A 55648-2023 karta.png", "A 55648-2023")</f>
        <v/>
      </c>
      <c r="V104">
        <f>HYPERLINK("https://klasma.github.io/Logging_2380/klagomål/A 55648-2023 FSC-klagomål.docx", "A 55648-2023")</f>
        <v/>
      </c>
      <c r="W104">
        <f>HYPERLINK("https://klasma.github.io/Logging_2380/klagomålsmail/A 55648-2023 FSC-klagomål mail.docx", "A 55648-2023")</f>
        <v/>
      </c>
      <c r="X104">
        <f>HYPERLINK("https://klasma.github.io/Logging_2380/tillsyn/A 55648-2023 tillsynsbegäran.docx", "A 55648-2023")</f>
        <v/>
      </c>
      <c r="Y104">
        <f>HYPERLINK("https://klasma.github.io/Logging_2380/tillsynsmail/A 55648-2023 tillsynsbegäran mail.docx", "A 55648-2023")</f>
        <v/>
      </c>
      <c r="Z104">
        <f>HYPERLINK("https://klasma.github.io/Logging_2380/fåglar/A 55648-2023 prioriterade fågelarter.docx", "A 55648-2023")</f>
        <v/>
      </c>
    </row>
    <row r="105" ht="15" customHeight="1">
      <c r="A105" t="inlineStr">
        <is>
          <t>A 57491-2023</t>
        </is>
      </c>
      <c r="B105" s="1" t="n">
        <v>45246</v>
      </c>
      <c r="C105" s="1" t="n">
        <v>45626</v>
      </c>
      <c r="D105" t="inlineStr">
        <is>
          <t>JÄMTLANDS LÄN</t>
        </is>
      </c>
      <c r="E105" t="inlineStr">
        <is>
          <t>ÖSTERSUND</t>
        </is>
      </c>
      <c r="G105" t="n">
        <v>9.699999999999999</v>
      </c>
      <c r="H105" t="n">
        <v>1</v>
      </c>
      <c r="I105" t="n">
        <v>0</v>
      </c>
      <c r="J105" t="n">
        <v>1</v>
      </c>
      <c r="K105" t="n">
        <v>1</v>
      </c>
      <c r="L105" t="n">
        <v>0</v>
      </c>
      <c r="M105" t="n">
        <v>0</v>
      </c>
      <c r="N105" t="n">
        <v>0</v>
      </c>
      <c r="O105" t="n">
        <v>2</v>
      </c>
      <c r="P105" t="n">
        <v>1</v>
      </c>
      <c r="Q105" t="n">
        <v>2</v>
      </c>
      <c r="R105" s="2" t="inlineStr">
        <is>
          <t>Doftticka
Lunglav</t>
        </is>
      </c>
      <c r="S105">
        <f>HYPERLINK("https://klasma.github.io/Logging_2380/artfynd/A 57491-2023 artfynd.xlsx", "A 57491-2023")</f>
        <v/>
      </c>
      <c r="T105">
        <f>HYPERLINK("https://klasma.github.io/Logging_2380/kartor/A 57491-2023 karta.png", "A 57491-2023")</f>
        <v/>
      </c>
      <c r="V105">
        <f>HYPERLINK("https://klasma.github.io/Logging_2380/klagomål/A 57491-2023 FSC-klagomål.docx", "A 57491-2023")</f>
        <v/>
      </c>
      <c r="W105">
        <f>HYPERLINK("https://klasma.github.io/Logging_2380/klagomålsmail/A 57491-2023 FSC-klagomål mail.docx", "A 57491-2023")</f>
        <v/>
      </c>
      <c r="X105">
        <f>HYPERLINK("https://klasma.github.io/Logging_2380/tillsyn/A 57491-2023 tillsynsbegäran.docx", "A 57491-2023")</f>
        <v/>
      </c>
      <c r="Y105">
        <f>HYPERLINK("https://klasma.github.io/Logging_2380/tillsynsmail/A 57491-2023 tillsynsbegäran mail.docx", "A 57491-2023")</f>
        <v/>
      </c>
    </row>
    <row r="106" ht="15" customHeight="1">
      <c r="A106" t="inlineStr">
        <is>
          <t>A 63930-2023</t>
        </is>
      </c>
      <c r="B106" s="1" t="n">
        <v>45278</v>
      </c>
      <c r="C106" s="1" t="n">
        <v>45626</v>
      </c>
      <c r="D106" t="inlineStr">
        <is>
          <t>JÄMTLANDS LÄN</t>
        </is>
      </c>
      <c r="E106" t="inlineStr">
        <is>
          <t>ÖSTERSUND</t>
        </is>
      </c>
      <c r="G106" t="n">
        <v>2.1</v>
      </c>
      <c r="H106" t="n">
        <v>0</v>
      </c>
      <c r="I106" t="n">
        <v>2</v>
      </c>
      <c r="J106" t="n">
        <v>0</v>
      </c>
      <c r="K106" t="n">
        <v>0</v>
      </c>
      <c r="L106" t="n">
        <v>0</v>
      </c>
      <c r="M106" t="n">
        <v>0</v>
      </c>
      <c r="N106" t="n">
        <v>0</v>
      </c>
      <c r="O106" t="n">
        <v>0</v>
      </c>
      <c r="P106" t="n">
        <v>0</v>
      </c>
      <c r="Q106" t="n">
        <v>2</v>
      </c>
      <c r="R106" s="2" t="inlineStr">
        <is>
          <t>Strimspindling
Svavelriska</t>
        </is>
      </c>
      <c r="S106">
        <f>HYPERLINK("https://klasma.github.io/Logging_2380/artfynd/A 63930-2023 artfynd.xlsx", "A 63930-2023")</f>
        <v/>
      </c>
      <c r="T106">
        <f>HYPERLINK("https://klasma.github.io/Logging_2380/kartor/A 63930-2023 karta.png", "A 63930-2023")</f>
        <v/>
      </c>
      <c r="V106">
        <f>HYPERLINK("https://klasma.github.io/Logging_2380/klagomål/A 63930-2023 FSC-klagomål.docx", "A 63930-2023")</f>
        <v/>
      </c>
      <c r="W106">
        <f>HYPERLINK("https://klasma.github.io/Logging_2380/klagomålsmail/A 63930-2023 FSC-klagomål mail.docx", "A 63930-2023")</f>
        <v/>
      </c>
      <c r="X106">
        <f>HYPERLINK("https://klasma.github.io/Logging_2380/tillsyn/A 63930-2023 tillsynsbegäran.docx", "A 63930-2023")</f>
        <v/>
      </c>
      <c r="Y106">
        <f>HYPERLINK("https://klasma.github.io/Logging_2380/tillsynsmail/A 63930-2023 tillsynsbegäran mail.docx", "A 63930-2023")</f>
        <v/>
      </c>
    </row>
    <row r="107" ht="15" customHeight="1">
      <c r="A107" t="inlineStr">
        <is>
          <t>A 64270-2023</t>
        </is>
      </c>
      <c r="B107" s="1" t="n">
        <v>45279</v>
      </c>
      <c r="C107" s="1" t="n">
        <v>45626</v>
      </c>
      <c r="D107" t="inlineStr">
        <is>
          <t>JÄMTLANDS LÄN</t>
        </is>
      </c>
      <c r="E107" t="inlineStr">
        <is>
          <t>ÖSTERSUND</t>
        </is>
      </c>
      <c r="F107" t="inlineStr">
        <is>
          <t>SCA</t>
        </is>
      </c>
      <c r="G107" t="n">
        <v>0.7</v>
      </c>
      <c r="H107" t="n">
        <v>2</v>
      </c>
      <c r="I107" t="n">
        <v>0</v>
      </c>
      <c r="J107" t="n">
        <v>2</v>
      </c>
      <c r="K107" t="n">
        <v>0</v>
      </c>
      <c r="L107" t="n">
        <v>0</v>
      </c>
      <c r="M107" t="n">
        <v>0</v>
      </c>
      <c r="N107" t="n">
        <v>0</v>
      </c>
      <c r="O107" t="n">
        <v>2</v>
      </c>
      <c r="P107" t="n">
        <v>0</v>
      </c>
      <c r="Q107" t="n">
        <v>2</v>
      </c>
      <c r="R107" s="2" t="inlineStr">
        <is>
          <t>Spillkråka
Talltita</t>
        </is>
      </c>
      <c r="S107">
        <f>HYPERLINK("https://klasma.github.io/Logging_2380/artfynd/A 64270-2023 artfynd.xlsx", "A 64270-2023")</f>
        <v/>
      </c>
      <c r="T107">
        <f>HYPERLINK("https://klasma.github.io/Logging_2380/kartor/A 64270-2023 karta.png", "A 64270-2023")</f>
        <v/>
      </c>
      <c r="V107">
        <f>HYPERLINK("https://klasma.github.io/Logging_2380/klagomål/A 64270-2023 FSC-klagomål.docx", "A 64270-2023")</f>
        <v/>
      </c>
      <c r="W107">
        <f>HYPERLINK("https://klasma.github.io/Logging_2380/klagomålsmail/A 64270-2023 FSC-klagomål mail.docx", "A 64270-2023")</f>
        <v/>
      </c>
      <c r="X107">
        <f>HYPERLINK("https://klasma.github.io/Logging_2380/tillsyn/A 64270-2023 tillsynsbegäran.docx", "A 64270-2023")</f>
        <v/>
      </c>
      <c r="Y107">
        <f>HYPERLINK("https://klasma.github.io/Logging_2380/tillsynsmail/A 64270-2023 tillsynsbegäran mail.docx", "A 64270-2023")</f>
        <v/>
      </c>
      <c r="Z107">
        <f>HYPERLINK("https://klasma.github.io/Logging_2380/fåglar/A 64270-2023 prioriterade fågelarter.docx", "A 64270-2023")</f>
        <v/>
      </c>
    </row>
    <row r="108" ht="15" customHeight="1">
      <c r="A108" t="inlineStr">
        <is>
          <t>A 3846-2024</t>
        </is>
      </c>
      <c r="B108" s="1" t="n">
        <v>45321</v>
      </c>
      <c r="C108" s="1" t="n">
        <v>45626</v>
      </c>
      <c r="D108" t="inlineStr">
        <is>
          <t>JÄMTLANDS LÄN</t>
        </is>
      </c>
      <c r="E108" t="inlineStr">
        <is>
          <t>ÖSTERSUND</t>
        </is>
      </c>
      <c r="G108" t="n">
        <v>2.2</v>
      </c>
      <c r="H108" t="n">
        <v>0</v>
      </c>
      <c r="I108" t="n">
        <v>2</v>
      </c>
      <c r="J108" t="n">
        <v>0</v>
      </c>
      <c r="K108" t="n">
        <v>0</v>
      </c>
      <c r="L108" t="n">
        <v>0</v>
      </c>
      <c r="M108" t="n">
        <v>0</v>
      </c>
      <c r="N108" t="n">
        <v>0</v>
      </c>
      <c r="O108" t="n">
        <v>0</v>
      </c>
      <c r="P108" t="n">
        <v>0</v>
      </c>
      <c r="Q108" t="n">
        <v>2</v>
      </c>
      <c r="R108" s="2" t="inlineStr">
        <is>
          <t>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7698-2024</t>
        </is>
      </c>
      <c r="B109" s="1" t="n">
        <v>45349</v>
      </c>
      <c r="C109" s="1" t="n">
        <v>45626</v>
      </c>
      <c r="D109" t="inlineStr">
        <is>
          <t>JÄMTLANDS LÄN</t>
        </is>
      </c>
      <c r="E109" t="inlineStr">
        <is>
          <t>ÖSTERSUND</t>
        </is>
      </c>
      <c r="F109" t="inlineStr">
        <is>
          <t>Övriga Aktiebolag</t>
        </is>
      </c>
      <c r="G109" t="n">
        <v>4.5</v>
      </c>
      <c r="H109" t="n">
        <v>2</v>
      </c>
      <c r="I109" t="n">
        <v>1</v>
      </c>
      <c r="J109" t="n">
        <v>0</v>
      </c>
      <c r="K109" t="n">
        <v>0</v>
      </c>
      <c r="L109" t="n">
        <v>0</v>
      </c>
      <c r="M109" t="n">
        <v>0</v>
      </c>
      <c r="N109" t="n">
        <v>0</v>
      </c>
      <c r="O109" t="n">
        <v>0</v>
      </c>
      <c r="P109" t="n">
        <v>0</v>
      </c>
      <c r="Q109" t="n">
        <v>2</v>
      </c>
      <c r="R109" s="2" t="inlineStr">
        <is>
          <t>Tvåblad
Brudsporre</t>
        </is>
      </c>
      <c r="S109">
        <f>HYPERLINK("https://klasma.github.io/Logging_2380/artfynd/A 7698-2024 artfynd.xlsx", "A 7698-2024")</f>
        <v/>
      </c>
      <c r="T109">
        <f>HYPERLINK("https://klasma.github.io/Logging_2380/kartor/A 7698-2024 karta.png", "A 7698-2024")</f>
        <v/>
      </c>
      <c r="V109">
        <f>HYPERLINK("https://klasma.github.io/Logging_2380/klagomål/A 7698-2024 FSC-klagomål.docx", "A 7698-2024")</f>
        <v/>
      </c>
      <c r="W109">
        <f>HYPERLINK("https://klasma.github.io/Logging_2380/klagomålsmail/A 7698-2024 FSC-klagomål mail.docx", "A 7698-2024")</f>
        <v/>
      </c>
      <c r="X109">
        <f>HYPERLINK("https://klasma.github.io/Logging_2380/tillsyn/A 7698-2024 tillsynsbegäran.docx", "A 7698-2024")</f>
        <v/>
      </c>
      <c r="Y109">
        <f>HYPERLINK("https://klasma.github.io/Logging_2380/tillsynsmail/A 7698-2024 tillsynsbegäran mail.docx", "A 7698-2024")</f>
        <v/>
      </c>
    </row>
    <row r="110" ht="15" customHeight="1">
      <c r="A110" t="inlineStr">
        <is>
          <t>A 18300-2024</t>
        </is>
      </c>
      <c r="B110" s="1" t="n">
        <v>45421</v>
      </c>
      <c r="C110" s="1" t="n">
        <v>45626</v>
      </c>
      <c r="D110" t="inlineStr">
        <is>
          <t>JÄMTLANDS LÄN</t>
        </is>
      </c>
      <c r="E110" t="inlineStr">
        <is>
          <t>ÖSTERSUND</t>
        </is>
      </c>
      <c r="G110" t="n">
        <v>11.3</v>
      </c>
      <c r="H110" t="n">
        <v>1</v>
      </c>
      <c r="I110" t="n">
        <v>1</v>
      </c>
      <c r="J110" t="n">
        <v>0</v>
      </c>
      <c r="K110" t="n">
        <v>0</v>
      </c>
      <c r="L110" t="n">
        <v>0</v>
      </c>
      <c r="M110" t="n">
        <v>0</v>
      </c>
      <c r="N110" t="n">
        <v>0</v>
      </c>
      <c r="O110" t="n">
        <v>0</v>
      </c>
      <c r="P110" t="n">
        <v>0</v>
      </c>
      <c r="Q110" t="n">
        <v>2</v>
      </c>
      <c r="R110" s="2" t="inlineStr">
        <is>
          <t>Svart trolldruva
Blåsippa</t>
        </is>
      </c>
      <c r="S110">
        <f>HYPERLINK("https://klasma.github.io/Logging_2380/artfynd/A 18300-2024 artfynd.xlsx", "A 18300-2024")</f>
        <v/>
      </c>
      <c r="T110">
        <f>HYPERLINK("https://klasma.github.io/Logging_2380/kartor/A 18300-2024 karta.png", "A 18300-2024")</f>
        <v/>
      </c>
      <c r="V110">
        <f>HYPERLINK("https://klasma.github.io/Logging_2380/klagomål/A 18300-2024 FSC-klagomål.docx", "A 18300-2024")</f>
        <v/>
      </c>
      <c r="W110">
        <f>HYPERLINK("https://klasma.github.io/Logging_2380/klagomålsmail/A 18300-2024 FSC-klagomål mail.docx", "A 18300-2024")</f>
        <v/>
      </c>
      <c r="X110">
        <f>HYPERLINK("https://klasma.github.io/Logging_2380/tillsyn/A 18300-2024 tillsynsbegäran.docx", "A 18300-2024")</f>
        <v/>
      </c>
      <c r="Y110">
        <f>HYPERLINK("https://klasma.github.io/Logging_2380/tillsynsmail/A 18300-2024 tillsynsbegäran mail.docx", "A 18300-2024")</f>
        <v/>
      </c>
    </row>
    <row r="111" ht="15" customHeight="1">
      <c r="A111" t="inlineStr">
        <is>
          <t>A 21615-2024</t>
        </is>
      </c>
      <c r="B111" s="1" t="n">
        <v>45442</v>
      </c>
      <c r="C111" s="1" t="n">
        <v>45626</v>
      </c>
      <c r="D111" t="inlineStr">
        <is>
          <t>JÄMTLANDS LÄN</t>
        </is>
      </c>
      <c r="E111" t="inlineStr">
        <is>
          <t>ÖSTERSUND</t>
        </is>
      </c>
      <c r="F111" t="inlineStr">
        <is>
          <t>SCA</t>
        </is>
      </c>
      <c r="G111" t="n">
        <v>4.9</v>
      </c>
      <c r="H111" t="n">
        <v>2</v>
      </c>
      <c r="I111" t="n">
        <v>0</v>
      </c>
      <c r="J111" t="n">
        <v>0</v>
      </c>
      <c r="K111" t="n">
        <v>1</v>
      </c>
      <c r="L111" t="n">
        <v>0</v>
      </c>
      <c r="M111" t="n">
        <v>0</v>
      </c>
      <c r="N111" t="n">
        <v>0</v>
      </c>
      <c r="O111" t="n">
        <v>1</v>
      </c>
      <c r="P111" t="n">
        <v>1</v>
      </c>
      <c r="Q111" t="n">
        <v>2</v>
      </c>
      <c r="R111" s="2" t="inlineStr">
        <is>
          <t>Lappuggla
Blåsippa</t>
        </is>
      </c>
      <c r="S111">
        <f>HYPERLINK("https://klasma.github.io/Logging_2380/artfynd/A 21615-2024 artfynd.xlsx", "A 21615-2024")</f>
        <v/>
      </c>
      <c r="T111">
        <f>HYPERLINK("https://klasma.github.io/Logging_2380/kartor/A 21615-2024 karta.png", "A 21615-2024")</f>
        <v/>
      </c>
      <c r="V111">
        <f>HYPERLINK("https://klasma.github.io/Logging_2380/klagomål/A 21615-2024 FSC-klagomål.docx", "A 21615-2024")</f>
        <v/>
      </c>
      <c r="W111">
        <f>HYPERLINK("https://klasma.github.io/Logging_2380/klagomålsmail/A 21615-2024 FSC-klagomål mail.docx", "A 21615-2024")</f>
        <v/>
      </c>
      <c r="X111">
        <f>HYPERLINK("https://klasma.github.io/Logging_2380/tillsyn/A 21615-2024 tillsynsbegäran.docx", "A 21615-2024")</f>
        <v/>
      </c>
      <c r="Y111">
        <f>HYPERLINK("https://klasma.github.io/Logging_2380/tillsynsmail/A 21615-2024 tillsynsbegäran mail.docx", "A 21615-2024")</f>
        <v/>
      </c>
      <c r="Z111">
        <f>HYPERLINK("https://klasma.github.io/Logging_2380/fåglar/A 21615-2024 prioriterade fågelarter.docx", "A 21615-2024")</f>
        <v/>
      </c>
    </row>
    <row r="112" ht="15" customHeight="1">
      <c r="A112" t="inlineStr">
        <is>
          <t>A 22077-2024</t>
        </is>
      </c>
      <c r="B112" s="1" t="n">
        <v>45443</v>
      </c>
      <c r="C112" s="1" t="n">
        <v>45626</v>
      </c>
      <c r="D112" t="inlineStr">
        <is>
          <t>JÄMTLANDS LÄN</t>
        </is>
      </c>
      <c r="E112" t="inlineStr">
        <is>
          <t>ÖSTERSUND</t>
        </is>
      </c>
      <c r="G112" t="n">
        <v>5</v>
      </c>
      <c r="H112" t="n">
        <v>1</v>
      </c>
      <c r="I112" t="n">
        <v>1</v>
      </c>
      <c r="J112" t="n">
        <v>0</v>
      </c>
      <c r="K112" t="n">
        <v>0</v>
      </c>
      <c r="L112" t="n">
        <v>0</v>
      </c>
      <c r="M112" t="n">
        <v>0</v>
      </c>
      <c r="N112" t="n">
        <v>0</v>
      </c>
      <c r="O112" t="n">
        <v>0</v>
      </c>
      <c r="P112" t="n">
        <v>0</v>
      </c>
      <c r="Q112" t="n">
        <v>2</v>
      </c>
      <c r="R112" s="2" t="inlineStr">
        <is>
          <t>Underviol
Blåsippa</t>
        </is>
      </c>
      <c r="S112">
        <f>HYPERLINK("https://klasma.github.io/Logging_2380/artfynd/A 22077-2024 artfynd.xlsx", "A 22077-2024")</f>
        <v/>
      </c>
      <c r="T112">
        <f>HYPERLINK("https://klasma.github.io/Logging_2380/kartor/A 22077-2024 karta.png", "A 22077-2024")</f>
        <v/>
      </c>
      <c r="V112">
        <f>HYPERLINK("https://klasma.github.io/Logging_2380/klagomål/A 22077-2024 FSC-klagomål.docx", "A 22077-2024")</f>
        <v/>
      </c>
      <c r="W112">
        <f>HYPERLINK("https://klasma.github.io/Logging_2380/klagomålsmail/A 22077-2024 FSC-klagomål mail.docx", "A 22077-2024")</f>
        <v/>
      </c>
      <c r="X112">
        <f>HYPERLINK("https://klasma.github.io/Logging_2380/tillsyn/A 22077-2024 tillsynsbegäran.docx", "A 22077-2024")</f>
        <v/>
      </c>
      <c r="Y112">
        <f>HYPERLINK("https://klasma.github.io/Logging_2380/tillsynsmail/A 22077-2024 tillsynsbegäran mail.docx", "A 22077-2024")</f>
        <v/>
      </c>
    </row>
    <row r="113" ht="15" customHeight="1">
      <c r="A113" t="inlineStr">
        <is>
          <t>A 25389-2024</t>
        </is>
      </c>
      <c r="B113" s="1" t="n">
        <v>45463</v>
      </c>
      <c r="C113" s="1" t="n">
        <v>45626</v>
      </c>
      <c r="D113" t="inlineStr">
        <is>
          <t>JÄMTLANDS LÄN</t>
        </is>
      </c>
      <c r="E113" t="inlineStr">
        <is>
          <t>ÖSTERSUND</t>
        </is>
      </c>
      <c r="G113" t="n">
        <v>6</v>
      </c>
      <c r="H113" t="n">
        <v>1</v>
      </c>
      <c r="I113" t="n">
        <v>1</v>
      </c>
      <c r="J113" t="n">
        <v>0</v>
      </c>
      <c r="K113" t="n">
        <v>0</v>
      </c>
      <c r="L113" t="n">
        <v>0</v>
      </c>
      <c r="M113" t="n">
        <v>0</v>
      </c>
      <c r="N113" t="n">
        <v>0</v>
      </c>
      <c r="O113" t="n">
        <v>0</v>
      </c>
      <c r="P113" t="n">
        <v>0</v>
      </c>
      <c r="Q113" t="n">
        <v>2</v>
      </c>
      <c r="R113" s="2" t="inlineStr">
        <is>
          <t>Dropptaggsvamp
Blåsippa</t>
        </is>
      </c>
      <c r="S113">
        <f>HYPERLINK("https://klasma.github.io/Logging_2380/artfynd/A 25389-2024 artfynd.xlsx", "A 25389-2024")</f>
        <v/>
      </c>
      <c r="T113">
        <f>HYPERLINK("https://klasma.github.io/Logging_2380/kartor/A 25389-2024 karta.png", "A 25389-2024")</f>
        <v/>
      </c>
      <c r="V113">
        <f>HYPERLINK("https://klasma.github.io/Logging_2380/klagomål/A 25389-2024 FSC-klagomål.docx", "A 25389-2024")</f>
        <v/>
      </c>
      <c r="W113">
        <f>HYPERLINK("https://klasma.github.io/Logging_2380/klagomålsmail/A 25389-2024 FSC-klagomål mail.docx", "A 25389-2024")</f>
        <v/>
      </c>
      <c r="X113">
        <f>HYPERLINK("https://klasma.github.io/Logging_2380/tillsyn/A 25389-2024 tillsynsbegäran.docx", "A 25389-2024")</f>
        <v/>
      </c>
      <c r="Y113">
        <f>HYPERLINK("https://klasma.github.io/Logging_2380/tillsynsmail/A 25389-2024 tillsynsbegäran mail.docx", "A 25389-2024")</f>
        <v/>
      </c>
    </row>
    <row r="114" ht="15" customHeight="1">
      <c r="A114" t="inlineStr">
        <is>
          <t>A 35977-2024</t>
        </is>
      </c>
      <c r="B114" s="1" t="n">
        <v>45533</v>
      </c>
      <c r="C114" s="1" t="n">
        <v>45626</v>
      </c>
      <c r="D114" t="inlineStr">
        <is>
          <t>JÄMTLANDS LÄN</t>
        </is>
      </c>
      <c r="E114" t="inlineStr">
        <is>
          <t>ÖSTERSUND</t>
        </is>
      </c>
      <c r="G114" t="n">
        <v>0.7</v>
      </c>
      <c r="H114" t="n">
        <v>0</v>
      </c>
      <c r="I114" t="n">
        <v>2</v>
      </c>
      <c r="J114" t="n">
        <v>0</v>
      </c>
      <c r="K114" t="n">
        <v>0</v>
      </c>
      <c r="L114" t="n">
        <v>0</v>
      </c>
      <c r="M114" t="n">
        <v>0</v>
      </c>
      <c r="N114" t="n">
        <v>0</v>
      </c>
      <c r="O114" t="n">
        <v>0</v>
      </c>
      <c r="P114" t="n">
        <v>0</v>
      </c>
      <c r="Q114" t="n">
        <v>2</v>
      </c>
      <c r="R114" s="2" t="inlineStr">
        <is>
          <t>Tibast
Trådticka</t>
        </is>
      </c>
      <c r="S114">
        <f>HYPERLINK("https://klasma.github.io/Logging_2380/artfynd/A 35977-2024 artfynd.xlsx", "A 35977-2024")</f>
        <v/>
      </c>
      <c r="T114">
        <f>HYPERLINK("https://klasma.github.io/Logging_2380/kartor/A 35977-2024 karta.png", "A 35977-2024")</f>
        <v/>
      </c>
      <c r="V114">
        <f>HYPERLINK("https://klasma.github.io/Logging_2380/klagomål/A 35977-2024 FSC-klagomål.docx", "A 35977-2024")</f>
        <v/>
      </c>
      <c r="W114">
        <f>HYPERLINK("https://klasma.github.io/Logging_2380/klagomålsmail/A 35977-2024 FSC-klagomål mail.docx", "A 35977-2024")</f>
        <v/>
      </c>
      <c r="X114">
        <f>HYPERLINK("https://klasma.github.io/Logging_2380/tillsyn/A 35977-2024 tillsynsbegäran.docx", "A 35977-2024")</f>
        <v/>
      </c>
      <c r="Y114">
        <f>HYPERLINK("https://klasma.github.io/Logging_2380/tillsynsmail/A 35977-2024 tillsynsbegäran mail.docx", "A 35977-2024")</f>
        <v/>
      </c>
    </row>
    <row r="115" ht="15" customHeight="1">
      <c r="A115" t="inlineStr">
        <is>
          <t>A 39968-2024</t>
        </is>
      </c>
      <c r="B115" s="1" t="n">
        <v>45553</v>
      </c>
      <c r="C115" s="1" t="n">
        <v>45626</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45884-2024</t>
        </is>
      </c>
      <c r="B116" s="1" t="n">
        <v>45580</v>
      </c>
      <c r="C116" s="1" t="n">
        <v>45626</v>
      </c>
      <c r="D116" t="inlineStr">
        <is>
          <t>JÄMTLANDS LÄN</t>
        </is>
      </c>
      <c r="E116" t="inlineStr">
        <is>
          <t>ÖSTERSUND</t>
        </is>
      </c>
      <c r="F116" t="inlineStr">
        <is>
          <t>SCA</t>
        </is>
      </c>
      <c r="G116" t="n">
        <v>6</v>
      </c>
      <c r="H116" t="n">
        <v>0</v>
      </c>
      <c r="I116" t="n">
        <v>1</v>
      </c>
      <c r="J116" t="n">
        <v>1</v>
      </c>
      <c r="K116" t="n">
        <v>0</v>
      </c>
      <c r="L116" t="n">
        <v>0</v>
      </c>
      <c r="M116" t="n">
        <v>0</v>
      </c>
      <c r="N116" t="n">
        <v>0</v>
      </c>
      <c r="O116" t="n">
        <v>1</v>
      </c>
      <c r="P116" t="n">
        <v>0</v>
      </c>
      <c r="Q116" t="n">
        <v>2</v>
      </c>
      <c r="R116" s="2" t="inlineStr">
        <is>
          <t>Dvärgbägarlav
Skinnlav</t>
        </is>
      </c>
      <c r="S116">
        <f>HYPERLINK("https://klasma.github.io/Logging_2380/artfynd/A 45884-2024 artfynd.xlsx", "A 45884-2024")</f>
        <v/>
      </c>
      <c r="T116">
        <f>HYPERLINK("https://klasma.github.io/Logging_2380/kartor/A 45884-2024 karta.png", "A 45884-2024")</f>
        <v/>
      </c>
      <c r="V116">
        <f>HYPERLINK("https://klasma.github.io/Logging_2380/klagomål/A 45884-2024 FSC-klagomål.docx", "A 45884-2024")</f>
        <v/>
      </c>
      <c r="W116">
        <f>HYPERLINK("https://klasma.github.io/Logging_2380/klagomålsmail/A 45884-2024 FSC-klagomål mail.docx", "A 45884-2024")</f>
        <v/>
      </c>
      <c r="X116">
        <f>HYPERLINK("https://klasma.github.io/Logging_2380/tillsyn/A 45884-2024 tillsynsbegäran.docx", "A 45884-2024")</f>
        <v/>
      </c>
      <c r="Y116">
        <f>HYPERLINK("https://klasma.github.io/Logging_2380/tillsynsmail/A 45884-2024 tillsynsbegäran mail.docx", "A 45884-2024")</f>
        <v/>
      </c>
    </row>
    <row r="117" ht="15" customHeight="1">
      <c r="A117" t="inlineStr">
        <is>
          <t>A 48407-2024</t>
        </is>
      </c>
      <c r="B117" s="1" t="n">
        <v>45590</v>
      </c>
      <c r="C117" s="1" t="n">
        <v>45626</v>
      </c>
      <c r="D117" t="inlineStr">
        <is>
          <t>JÄMTLANDS LÄN</t>
        </is>
      </c>
      <c r="E117" t="inlineStr">
        <is>
          <t>ÖSTERSUND</t>
        </is>
      </c>
      <c r="G117" t="n">
        <v>1.8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48407-2024 artfynd.xlsx", "A 48407-2024")</f>
        <v/>
      </c>
      <c r="T117">
        <f>HYPERLINK("https://klasma.github.io/Logging_2380/kartor/A 48407-2024 karta.png", "A 48407-2024")</f>
        <v/>
      </c>
      <c r="V117">
        <f>HYPERLINK("https://klasma.github.io/Logging_2380/klagomål/A 48407-2024 FSC-klagomål.docx", "A 48407-2024")</f>
        <v/>
      </c>
      <c r="W117">
        <f>HYPERLINK("https://klasma.github.io/Logging_2380/klagomålsmail/A 48407-2024 FSC-klagomål mail.docx", "A 48407-2024")</f>
        <v/>
      </c>
      <c r="X117">
        <f>HYPERLINK("https://klasma.github.io/Logging_2380/tillsyn/A 48407-2024 tillsynsbegäran.docx", "A 48407-2024")</f>
        <v/>
      </c>
      <c r="Y117">
        <f>HYPERLINK("https://klasma.github.io/Logging_2380/tillsynsmail/A 48407-2024 tillsynsbegäran mail.docx", "A 48407-2024")</f>
        <v/>
      </c>
    </row>
    <row r="118" ht="15" customHeight="1">
      <c r="A118" t="inlineStr">
        <is>
          <t>A 50125-2024</t>
        </is>
      </c>
      <c r="B118" s="1" t="n">
        <v>45600</v>
      </c>
      <c r="C118" s="1" t="n">
        <v>45626</v>
      </c>
      <c r="D118" t="inlineStr">
        <is>
          <t>JÄMTLANDS LÄN</t>
        </is>
      </c>
      <c r="E118" t="inlineStr">
        <is>
          <t>ÖSTERSUND</t>
        </is>
      </c>
      <c r="F118" t="inlineStr">
        <is>
          <t>SCA</t>
        </is>
      </c>
      <c r="G118" t="n">
        <v>2.4</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50125-2024 artfynd.xlsx", "A 50125-2024")</f>
        <v/>
      </c>
      <c r="T118">
        <f>HYPERLINK("https://klasma.github.io/Logging_2380/kartor/A 50125-2024 karta.png", "A 50125-2024")</f>
        <v/>
      </c>
      <c r="V118">
        <f>HYPERLINK("https://klasma.github.io/Logging_2380/klagomål/A 50125-2024 FSC-klagomål.docx", "A 50125-2024")</f>
        <v/>
      </c>
      <c r="W118">
        <f>HYPERLINK("https://klasma.github.io/Logging_2380/klagomålsmail/A 50125-2024 FSC-klagomål mail.docx", "A 50125-2024")</f>
        <v/>
      </c>
      <c r="X118">
        <f>HYPERLINK("https://klasma.github.io/Logging_2380/tillsyn/A 50125-2024 tillsynsbegäran.docx", "A 50125-2024")</f>
        <v/>
      </c>
      <c r="Y118">
        <f>HYPERLINK("https://klasma.github.io/Logging_2380/tillsynsmail/A 50125-2024 tillsynsbegäran mail.docx", "A 50125-2024")</f>
        <v/>
      </c>
    </row>
    <row r="119" ht="15" customHeight="1">
      <c r="A119" t="inlineStr">
        <is>
          <t>A 50895-2024</t>
        </is>
      </c>
      <c r="B119" s="1" t="n">
        <v>45602</v>
      </c>
      <c r="C119" s="1" t="n">
        <v>45626</v>
      </c>
      <c r="D119" t="inlineStr">
        <is>
          <t>JÄMTLANDS LÄN</t>
        </is>
      </c>
      <c r="E119" t="inlineStr">
        <is>
          <t>ÖSTERSUND</t>
        </is>
      </c>
      <c r="F119" t="inlineStr">
        <is>
          <t>Kommuner</t>
        </is>
      </c>
      <c r="G119" t="n">
        <v>6</v>
      </c>
      <c r="H119" t="n">
        <v>1</v>
      </c>
      <c r="I119" t="n">
        <v>0</v>
      </c>
      <c r="J119" t="n">
        <v>1</v>
      </c>
      <c r="K119" t="n">
        <v>1</v>
      </c>
      <c r="L119" t="n">
        <v>0</v>
      </c>
      <c r="M119" t="n">
        <v>0</v>
      </c>
      <c r="N119" t="n">
        <v>0</v>
      </c>
      <c r="O119" t="n">
        <v>2</v>
      </c>
      <c r="P119" t="n">
        <v>1</v>
      </c>
      <c r="Q119" t="n">
        <v>2</v>
      </c>
      <c r="R119" s="2" t="inlineStr">
        <is>
          <t>Knärot
Garnlav</t>
        </is>
      </c>
      <c r="S119">
        <f>HYPERLINK("https://klasma.github.io/Logging_2380/artfynd/A 50895-2024 artfynd.xlsx", "A 50895-2024")</f>
        <v/>
      </c>
      <c r="T119">
        <f>HYPERLINK("https://klasma.github.io/Logging_2380/kartor/A 50895-2024 karta.png", "A 50895-2024")</f>
        <v/>
      </c>
      <c r="U119">
        <f>HYPERLINK("https://klasma.github.io/Logging_2380/knärot/A 50895-2024 karta knärot.png", "A 50895-2024")</f>
        <v/>
      </c>
      <c r="V119">
        <f>HYPERLINK("https://klasma.github.io/Logging_2380/klagomål/A 50895-2024 FSC-klagomål.docx", "A 50895-2024")</f>
        <v/>
      </c>
      <c r="W119">
        <f>HYPERLINK("https://klasma.github.io/Logging_2380/klagomålsmail/A 50895-2024 FSC-klagomål mail.docx", "A 50895-2024")</f>
        <v/>
      </c>
      <c r="X119">
        <f>HYPERLINK("https://klasma.github.io/Logging_2380/tillsyn/A 50895-2024 tillsynsbegäran.docx", "A 50895-2024")</f>
        <v/>
      </c>
      <c r="Y119">
        <f>HYPERLINK("https://klasma.github.io/Logging_2380/tillsynsmail/A 50895-2024 tillsynsbegäran mail.docx", "A 50895-2024")</f>
        <v/>
      </c>
    </row>
    <row r="120" ht="15" customHeight="1">
      <c r="A120" t="inlineStr">
        <is>
          <t>A 30941-2019</t>
        </is>
      </c>
      <c r="B120" s="1" t="n">
        <v>43636</v>
      </c>
      <c r="C120" s="1" t="n">
        <v>45626</v>
      </c>
      <c r="D120" t="inlineStr">
        <is>
          <t>JÄMTLANDS LÄN</t>
        </is>
      </c>
      <c r="E120" t="inlineStr">
        <is>
          <t>ÖSTERSUND</t>
        </is>
      </c>
      <c r="F120" t="inlineStr">
        <is>
          <t>SCA</t>
        </is>
      </c>
      <c r="G120" t="n">
        <v>1.9</v>
      </c>
      <c r="H120" t="n">
        <v>1</v>
      </c>
      <c r="I120" t="n">
        <v>1</v>
      </c>
      <c r="J120" t="n">
        <v>0</v>
      </c>
      <c r="K120" t="n">
        <v>0</v>
      </c>
      <c r="L120" t="n">
        <v>0</v>
      </c>
      <c r="M120" t="n">
        <v>0</v>
      </c>
      <c r="N120" t="n">
        <v>0</v>
      </c>
      <c r="O120" t="n">
        <v>0</v>
      </c>
      <c r="P120" t="n">
        <v>0</v>
      </c>
      <c r="Q120" t="n">
        <v>1</v>
      </c>
      <c r="R120" s="2" t="inlineStr">
        <is>
          <t>Tvåblad</t>
        </is>
      </c>
      <c r="S120">
        <f>HYPERLINK("https://klasma.github.io/Logging_2380/artfynd/A 30941-2019 artfynd.xlsx", "A 30941-2019")</f>
        <v/>
      </c>
      <c r="T120">
        <f>HYPERLINK("https://klasma.github.io/Logging_2380/kartor/A 30941-2019 karta.png", "A 30941-2019")</f>
        <v/>
      </c>
      <c r="V120">
        <f>HYPERLINK("https://klasma.github.io/Logging_2380/klagomål/A 30941-2019 FSC-klagomål.docx", "A 30941-2019")</f>
        <v/>
      </c>
      <c r="W120">
        <f>HYPERLINK("https://klasma.github.io/Logging_2380/klagomålsmail/A 30941-2019 FSC-klagomål mail.docx", "A 30941-2019")</f>
        <v/>
      </c>
      <c r="X120">
        <f>HYPERLINK("https://klasma.github.io/Logging_2380/tillsyn/A 30941-2019 tillsynsbegäran.docx", "A 30941-2019")</f>
        <v/>
      </c>
      <c r="Y120">
        <f>HYPERLINK("https://klasma.github.io/Logging_2380/tillsynsmail/A 30941-2019 tillsynsbegäran mail.docx", "A 30941-2019")</f>
        <v/>
      </c>
    </row>
    <row r="121" ht="15" customHeight="1">
      <c r="A121" t="inlineStr">
        <is>
          <t>A 57757-2019</t>
        </is>
      </c>
      <c r="B121" s="1" t="n">
        <v>43768</v>
      </c>
      <c r="C121" s="1" t="n">
        <v>45626</v>
      </c>
      <c r="D121" t="inlineStr">
        <is>
          <t>JÄMTLANDS LÄN</t>
        </is>
      </c>
      <c r="E121" t="inlineStr">
        <is>
          <t>ÖSTERSUND</t>
        </is>
      </c>
      <c r="G121" t="n">
        <v>1.3</v>
      </c>
      <c r="H121" t="n">
        <v>1</v>
      </c>
      <c r="I121" t="n">
        <v>0</v>
      </c>
      <c r="J121" t="n">
        <v>0</v>
      </c>
      <c r="K121" t="n">
        <v>0</v>
      </c>
      <c r="L121" t="n">
        <v>0</v>
      </c>
      <c r="M121" t="n">
        <v>0</v>
      </c>
      <c r="N121" t="n">
        <v>0</v>
      </c>
      <c r="O121" t="n">
        <v>0</v>
      </c>
      <c r="P121" t="n">
        <v>0</v>
      </c>
      <c r="Q121" t="n">
        <v>1</v>
      </c>
      <c r="R121" s="2" t="inlineStr">
        <is>
          <t>Revlummer</t>
        </is>
      </c>
      <c r="S121">
        <f>HYPERLINK("https://klasma.github.io/Logging_2380/artfynd/A 57757-2019 artfynd.xlsx", "A 57757-2019")</f>
        <v/>
      </c>
      <c r="T121">
        <f>HYPERLINK("https://klasma.github.io/Logging_2380/kartor/A 57757-2019 karta.png", "A 57757-2019")</f>
        <v/>
      </c>
      <c r="V121">
        <f>HYPERLINK("https://klasma.github.io/Logging_2380/klagomål/A 57757-2019 FSC-klagomål.docx", "A 57757-2019")</f>
        <v/>
      </c>
      <c r="W121">
        <f>HYPERLINK("https://klasma.github.io/Logging_2380/klagomålsmail/A 57757-2019 FSC-klagomål mail.docx", "A 57757-2019")</f>
        <v/>
      </c>
      <c r="X121">
        <f>HYPERLINK("https://klasma.github.io/Logging_2380/tillsyn/A 57757-2019 tillsynsbegäran.docx", "A 57757-2019")</f>
        <v/>
      </c>
      <c r="Y121">
        <f>HYPERLINK("https://klasma.github.io/Logging_2380/tillsynsmail/A 57757-2019 tillsynsbegäran mail.docx", "A 57757-2019")</f>
        <v/>
      </c>
    </row>
    <row r="122" ht="15" customHeight="1">
      <c r="A122" t="inlineStr">
        <is>
          <t>A 61628-2019</t>
        </is>
      </c>
      <c r="B122" s="1" t="n">
        <v>43784</v>
      </c>
      <c r="C122" s="1" t="n">
        <v>45626</v>
      </c>
      <c r="D122" t="inlineStr">
        <is>
          <t>JÄMTLANDS LÄN</t>
        </is>
      </c>
      <c r="E122" t="inlineStr">
        <is>
          <t>ÖSTERSUND</t>
        </is>
      </c>
      <c r="G122" t="n">
        <v>5.6</v>
      </c>
      <c r="H122" t="n">
        <v>0</v>
      </c>
      <c r="I122" t="n">
        <v>1</v>
      </c>
      <c r="J122" t="n">
        <v>0</v>
      </c>
      <c r="K122" t="n">
        <v>0</v>
      </c>
      <c r="L122" t="n">
        <v>0</v>
      </c>
      <c r="M122" t="n">
        <v>0</v>
      </c>
      <c r="N122" t="n">
        <v>0</v>
      </c>
      <c r="O122" t="n">
        <v>0</v>
      </c>
      <c r="P122" t="n">
        <v>0</v>
      </c>
      <c r="Q122" t="n">
        <v>1</v>
      </c>
      <c r="R122" s="2" t="inlineStr">
        <is>
          <t>Tibast</t>
        </is>
      </c>
      <c r="S122">
        <f>HYPERLINK("https://klasma.github.io/Logging_2380/artfynd/A 61628-2019 artfynd.xlsx", "A 61628-2019")</f>
        <v/>
      </c>
      <c r="T122">
        <f>HYPERLINK("https://klasma.github.io/Logging_2380/kartor/A 61628-2019 karta.png", "A 61628-2019")</f>
        <v/>
      </c>
      <c r="V122">
        <f>HYPERLINK("https://klasma.github.io/Logging_2380/klagomål/A 61628-2019 FSC-klagomål.docx", "A 61628-2019")</f>
        <v/>
      </c>
      <c r="W122">
        <f>HYPERLINK("https://klasma.github.io/Logging_2380/klagomålsmail/A 61628-2019 FSC-klagomål mail.docx", "A 61628-2019")</f>
        <v/>
      </c>
      <c r="X122">
        <f>HYPERLINK("https://klasma.github.io/Logging_2380/tillsyn/A 61628-2019 tillsynsbegäran.docx", "A 61628-2019")</f>
        <v/>
      </c>
      <c r="Y122">
        <f>HYPERLINK("https://klasma.github.io/Logging_2380/tillsynsmail/A 61628-2019 tillsynsbegäran mail.docx", "A 61628-2019")</f>
        <v/>
      </c>
    </row>
    <row r="123" ht="15" customHeight="1">
      <c r="A123" t="inlineStr">
        <is>
          <t>A 11561-2020</t>
        </is>
      </c>
      <c r="B123" s="1" t="n">
        <v>43893</v>
      </c>
      <c r="C123" s="1" t="n">
        <v>45626</v>
      </c>
      <c r="D123" t="inlineStr">
        <is>
          <t>JÄMTLANDS LÄN</t>
        </is>
      </c>
      <c r="E123" t="inlineStr">
        <is>
          <t>ÖSTERSUND</t>
        </is>
      </c>
      <c r="G123" t="n">
        <v>6.2</v>
      </c>
      <c r="H123" t="n">
        <v>1</v>
      </c>
      <c r="I123" t="n">
        <v>0</v>
      </c>
      <c r="J123" t="n">
        <v>0</v>
      </c>
      <c r="K123" t="n">
        <v>0</v>
      </c>
      <c r="L123" t="n">
        <v>0</v>
      </c>
      <c r="M123" t="n">
        <v>0</v>
      </c>
      <c r="N123" t="n">
        <v>0</v>
      </c>
      <c r="O123" t="n">
        <v>0</v>
      </c>
      <c r="P123" t="n">
        <v>0</v>
      </c>
      <c r="Q123" t="n">
        <v>1</v>
      </c>
      <c r="R123" s="2" t="inlineStr">
        <is>
          <t>Revlummer</t>
        </is>
      </c>
      <c r="S123">
        <f>HYPERLINK("https://klasma.github.io/Logging_2380/artfynd/A 11561-2020 artfynd.xlsx", "A 11561-2020")</f>
        <v/>
      </c>
      <c r="T123">
        <f>HYPERLINK("https://klasma.github.io/Logging_2380/kartor/A 11561-2020 karta.png", "A 11561-2020")</f>
        <v/>
      </c>
      <c r="V123">
        <f>HYPERLINK("https://klasma.github.io/Logging_2380/klagomål/A 11561-2020 FSC-klagomål.docx", "A 11561-2020")</f>
        <v/>
      </c>
      <c r="W123">
        <f>HYPERLINK("https://klasma.github.io/Logging_2380/klagomålsmail/A 11561-2020 FSC-klagomål mail.docx", "A 11561-2020")</f>
        <v/>
      </c>
      <c r="X123">
        <f>HYPERLINK("https://klasma.github.io/Logging_2380/tillsyn/A 11561-2020 tillsynsbegäran.docx", "A 11561-2020")</f>
        <v/>
      </c>
      <c r="Y123">
        <f>HYPERLINK("https://klasma.github.io/Logging_2380/tillsynsmail/A 11561-2020 tillsynsbegäran mail.docx", "A 11561-2020")</f>
        <v/>
      </c>
    </row>
    <row r="124" ht="15" customHeight="1">
      <c r="A124" t="inlineStr">
        <is>
          <t>A 35980-2020</t>
        </is>
      </c>
      <c r="B124" s="1" t="n">
        <v>44047</v>
      </c>
      <c r="C124" s="1" t="n">
        <v>45626</v>
      </c>
      <c r="D124" t="inlineStr">
        <is>
          <t>JÄMTLANDS LÄN</t>
        </is>
      </c>
      <c r="E124" t="inlineStr">
        <is>
          <t>ÖSTERSUND</t>
        </is>
      </c>
      <c r="G124" t="n">
        <v>0.7</v>
      </c>
      <c r="H124" t="n">
        <v>0</v>
      </c>
      <c r="I124" t="n">
        <v>0</v>
      </c>
      <c r="J124" t="n">
        <v>1</v>
      </c>
      <c r="K124" t="n">
        <v>0</v>
      </c>
      <c r="L124" t="n">
        <v>0</v>
      </c>
      <c r="M124" t="n">
        <v>0</v>
      </c>
      <c r="N124" t="n">
        <v>0</v>
      </c>
      <c r="O124" t="n">
        <v>1</v>
      </c>
      <c r="P124" t="n">
        <v>0</v>
      </c>
      <c r="Q124" t="n">
        <v>1</v>
      </c>
      <c r="R124" s="2" t="inlineStr">
        <is>
          <t>Slåtterfibbla</t>
        </is>
      </c>
      <c r="S124">
        <f>HYPERLINK("https://klasma.github.io/Logging_2380/artfynd/A 35980-2020 artfynd.xlsx", "A 35980-2020")</f>
        <v/>
      </c>
      <c r="T124">
        <f>HYPERLINK("https://klasma.github.io/Logging_2380/kartor/A 35980-2020 karta.png", "A 35980-2020")</f>
        <v/>
      </c>
      <c r="U124">
        <f>HYPERLINK("https://klasma.github.io/Logging_2380/knärot/A 35980-2020 karta knärot.png", "A 35980-2020")</f>
        <v/>
      </c>
      <c r="V124">
        <f>HYPERLINK("https://klasma.github.io/Logging_2380/klagomål/A 35980-2020 FSC-klagomål.docx", "A 35980-2020")</f>
        <v/>
      </c>
      <c r="W124">
        <f>HYPERLINK("https://klasma.github.io/Logging_2380/klagomålsmail/A 35980-2020 FSC-klagomål mail.docx", "A 35980-2020")</f>
        <v/>
      </c>
      <c r="X124">
        <f>HYPERLINK("https://klasma.github.io/Logging_2380/tillsyn/A 35980-2020 tillsynsbegäran.docx", "A 35980-2020")</f>
        <v/>
      </c>
      <c r="Y124">
        <f>HYPERLINK("https://klasma.github.io/Logging_2380/tillsynsmail/A 35980-2020 tillsynsbegäran mail.docx", "A 35980-2020")</f>
        <v/>
      </c>
    </row>
    <row r="125" ht="15" customHeight="1">
      <c r="A125" t="inlineStr">
        <is>
          <t>A 63775-2020</t>
        </is>
      </c>
      <c r="B125" s="1" t="n">
        <v>44165</v>
      </c>
      <c r="C125" s="1" t="n">
        <v>45626</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13362-2021</t>
        </is>
      </c>
      <c r="B126" s="1" t="n">
        <v>44272</v>
      </c>
      <c r="C126" s="1" t="n">
        <v>45626</v>
      </c>
      <c r="D126" t="inlineStr">
        <is>
          <t>JÄMTLANDS LÄN</t>
        </is>
      </c>
      <c r="E126" t="inlineStr">
        <is>
          <t>ÖSTERSUND</t>
        </is>
      </c>
      <c r="G126" t="n">
        <v>0.8</v>
      </c>
      <c r="H126" t="n">
        <v>1</v>
      </c>
      <c r="I126" t="n">
        <v>0</v>
      </c>
      <c r="J126" t="n">
        <v>0</v>
      </c>
      <c r="K126" t="n">
        <v>0</v>
      </c>
      <c r="L126" t="n">
        <v>0</v>
      </c>
      <c r="M126" t="n">
        <v>0</v>
      </c>
      <c r="N126" t="n">
        <v>0</v>
      </c>
      <c r="O126" t="n">
        <v>0</v>
      </c>
      <c r="P126" t="n">
        <v>0</v>
      </c>
      <c r="Q126" t="n">
        <v>1</v>
      </c>
      <c r="R126" s="2" t="inlineStr">
        <is>
          <t>Blåsippa</t>
        </is>
      </c>
      <c r="S126">
        <f>HYPERLINK("https://klasma.github.io/Logging_2380/artfynd/A 13362-2021 artfynd.xlsx", "A 13362-2021")</f>
        <v/>
      </c>
      <c r="T126">
        <f>HYPERLINK("https://klasma.github.io/Logging_2380/kartor/A 13362-2021 karta.png", "A 13362-2021")</f>
        <v/>
      </c>
      <c r="V126">
        <f>HYPERLINK("https://klasma.github.io/Logging_2380/klagomål/A 13362-2021 FSC-klagomål.docx", "A 13362-2021")</f>
        <v/>
      </c>
      <c r="W126">
        <f>HYPERLINK("https://klasma.github.io/Logging_2380/klagomålsmail/A 13362-2021 FSC-klagomål mail.docx", "A 13362-2021")</f>
        <v/>
      </c>
      <c r="X126">
        <f>HYPERLINK("https://klasma.github.io/Logging_2380/tillsyn/A 13362-2021 tillsynsbegäran.docx", "A 13362-2021")</f>
        <v/>
      </c>
      <c r="Y126">
        <f>HYPERLINK("https://klasma.github.io/Logging_2380/tillsynsmail/A 13362-2021 tillsynsbegäran mail.docx", "A 13362-2021")</f>
        <v/>
      </c>
    </row>
    <row r="127" ht="15" customHeight="1">
      <c r="A127" t="inlineStr">
        <is>
          <t>A 17217-2021</t>
        </is>
      </c>
      <c r="B127" s="1" t="n">
        <v>44298</v>
      </c>
      <c r="C127" s="1" t="n">
        <v>45626</v>
      </c>
      <c r="D127" t="inlineStr">
        <is>
          <t>JÄMTLANDS LÄN</t>
        </is>
      </c>
      <c r="E127" t="inlineStr">
        <is>
          <t>ÖSTERSUND</t>
        </is>
      </c>
      <c r="G127" t="n">
        <v>10.4</v>
      </c>
      <c r="H127" t="n">
        <v>0</v>
      </c>
      <c r="I127" t="n">
        <v>0</v>
      </c>
      <c r="J127" t="n">
        <v>1</v>
      </c>
      <c r="K127" t="n">
        <v>0</v>
      </c>
      <c r="L127" t="n">
        <v>0</v>
      </c>
      <c r="M127" t="n">
        <v>0</v>
      </c>
      <c r="N127" t="n">
        <v>0</v>
      </c>
      <c r="O127" t="n">
        <v>1</v>
      </c>
      <c r="P127" t="n">
        <v>0</v>
      </c>
      <c r="Q127" t="n">
        <v>1</v>
      </c>
      <c r="R127" s="2" t="inlineStr">
        <is>
          <t>Rödbrun klubbdyna</t>
        </is>
      </c>
      <c r="S127">
        <f>HYPERLINK("https://klasma.github.io/Logging_2380/artfynd/A 17217-2021 artfynd.xlsx", "A 17217-2021")</f>
        <v/>
      </c>
      <c r="T127">
        <f>HYPERLINK("https://klasma.github.io/Logging_2380/kartor/A 17217-2021 karta.png", "A 17217-2021")</f>
        <v/>
      </c>
      <c r="V127">
        <f>HYPERLINK("https://klasma.github.io/Logging_2380/klagomål/A 17217-2021 FSC-klagomål.docx", "A 17217-2021")</f>
        <v/>
      </c>
      <c r="W127">
        <f>HYPERLINK("https://klasma.github.io/Logging_2380/klagomålsmail/A 17217-2021 FSC-klagomål mail.docx", "A 17217-2021")</f>
        <v/>
      </c>
      <c r="X127">
        <f>HYPERLINK("https://klasma.github.io/Logging_2380/tillsyn/A 17217-2021 tillsynsbegäran.docx", "A 17217-2021")</f>
        <v/>
      </c>
      <c r="Y127">
        <f>HYPERLINK("https://klasma.github.io/Logging_2380/tillsynsmail/A 17217-2021 tillsynsbegäran mail.docx", "A 17217-2021")</f>
        <v/>
      </c>
    </row>
    <row r="128" ht="15" customHeight="1">
      <c r="A128" t="inlineStr">
        <is>
          <t>A 25839-2021</t>
        </is>
      </c>
      <c r="B128" s="1" t="n">
        <v>44343</v>
      </c>
      <c r="C128" s="1" t="n">
        <v>45626</v>
      </c>
      <c r="D128" t="inlineStr">
        <is>
          <t>JÄMTLANDS LÄN</t>
        </is>
      </c>
      <c r="E128" t="inlineStr">
        <is>
          <t>ÖSTERSUND</t>
        </is>
      </c>
      <c r="G128" t="n">
        <v>13</v>
      </c>
      <c r="H128" t="n">
        <v>1</v>
      </c>
      <c r="I128" t="n">
        <v>0</v>
      </c>
      <c r="J128" t="n">
        <v>0</v>
      </c>
      <c r="K128" t="n">
        <v>0</v>
      </c>
      <c r="L128" t="n">
        <v>1</v>
      </c>
      <c r="M128" t="n">
        <v>0</v>
      </c>
      <c r="N128" t="n">
        <v>0</v>
      </c>
      <c r="O128" t="n">
        <v>1</v>
      </c>
      <c r="P128" t="n">
        <v>1</v>
      </c>
      <c r="Q128" t="n">
        <v>1</v>
      </c>
      <c r="R128" s="2" t="inlineStr">
        <is>
          <t>Violett guldvinge</t>
        </is>
      </c>
      <c r="S128">
        <f>HYPERLINK("https://klasma.github.io/Logging_2380/artfynd/A 25839-2021 artfynd.xlsx", "A 25839-2021")</f>
        <v/>
      </c>
      <c r="T128">
        <f>HYPERLINK("https://klasma.github.io/Logging_2380/kartor/A 25839-2021 karta.png", "A 25839-2021")</f>
        <v/>
      </c>
      <c r="V128">
        <f>HYPERLINK("https://klasma.github.io/Logging_2380/klagomål/A 25839-2021 FSC-klagomål.docx", "A 25839-2021")</f>
        <v/>
      </c>
      <c r="W128">
        <f>HYPERLINK("https://klasma.github.io/Logging_2380/klagomålsmail/A 25839-2021 FSC-klagomål mail.docx", "A 25839-2021")</f>
        <v/>
      </c>
      <c r="X128">
        <f>HYPERLINK("https://klasma.github.io/Logging_2380/tillsyn/A 25839-2021 tillsynsbegäran.docx", "A 25839-2021")</f>
        <v/>
      </c>
      <c r="Y128">
        <f>HYPERLINK("https://klasma.github.io/Logging_2380/tillsynsmail/A 25839-2021 tillsynsbegäran mail.docx", "A 25839-2021")</f>
        <v/>
      </c>
    </row>
    <row r="129" ht="15" customHeight="1">
      <c r="A129" t="inlineStr">
        <is>
          <t>A 31328-2021</t>
        </is>
      </c>
      <c r="B129" s="1" t="n">
        <v>44368</v>
      </c>
      <c r="C129" s="1" t="n">
        <v>45626</v>
      </c>
      <c r="D129" t="inlineStr">
        <is>
          <t>JÄMTLANDS LÄN</t>
        </is>
      </c>
      <c r="E129" t="inlineStr">
        <is>
          <t>ÖSTERSUND</t>
        </is>
      </c>
      <c r="G129" t="n">
        <v>6.3</v>
      </c>
      <c r="H129" t="n">
        <v>1</v>
      </c>
      <c r="I129" t="n">
        <v>0</v>
      </c>
      <c r="J129" t="n">
        <v>0</v>
      </c>
      <c r="K129" t="n">
        <v>0</v>
      </c>
      <c r="L129" t="n">
        <v>0</v>
      </c>
      <c r="M129" t="n">
        <v>0</v>
      </c>
      <c r="N129" t="n">
        <v>0</v>
      </c>
      <c r="O129" t="n">
        <v>0</v>
      </c>
      <c r="P129" t="n">
        <v>0</v>
      </c>
      <c r="Q129" t="n">
        <v>1</v>
      </c>
      <c r="R129" s="2" t="inlineStr">
        <is>
          <t>Fläcknycklar</t>
        </is>
      </c>
      <c r="S129">
        <f>HYPERLINK("https://klasma.github.io/Logging_2380/artfynd/A 31328-2021 artfynd.xlsx", "A 31328-2021")</f>
        <v/>
      </c>
      <c r="T129">
        <f>HYPERLINK("https://klasma.github.io/Logging_2380/kartor/A 31328-2021 karta.png", "A 31328-2021")</f>
        <v/>
      </c>
      <c r="V129">
        <f>HYPERLINK("https://klasma.github.io/Logging_2380/klagomål/A 31328-2021 FSC-klagomål.docx", "A 31328-2021")</f>
        <v/>
      </c>
      <c r="W129">
        <f>HYPERLINK("https://klasma.github.io/Logging_2380/klagomålsmail/A 31328-2021 FSC-klagomål mail.docx", "A 31328-2021")</f>
        <v/>
      </c>
      <c r="X129">
        <f>HYPERLINK("https://klasma.github.io/Logging_2380/tillsyn/A 31328-2021 tillsynsbegäran.docx", "A 31328-2021")</f>
        <v/>
      </c>
      <c r="Y129">
        <f>HYPERLINK("https://klasma.github.io/Logging_2380/tillsynsmail/A 31328-2021 tillsynsbegäran mail.docx", "A 31328-2021")</f>
        <v/>
      </c>
    </row>
    <row r="130" ht="15" customHeight="1">
      <c r="A130" t="inlineStr">
        <is>
          <t>A 33137-2021</t>
        </is>
      </c>
      <c r="B130" s="1" t="n">
        <v>44376</v>
      </c>
      <c r="C130" s="1" t="n">
        <v>45626</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46163-2021</t>
        </is>
      </c>
      <c r="B131" s="1" t="n">
        <v>44441</v>
      </c>
      <c r="C131" s="1" t="n">
        <v>45626</v>
      </c>
      <c r="D131" t="inlineStr">
        <is>
          <t>JÄMTLANDS LÄN</t>
        </is>
      </c>
      <c r="E131" t="inlineStr">
        <is>
          <t>ÖSTERSUND</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HYPERLINK("https://klasma.github.io/Logging_2380/artfynd/A 46163-2021 artfynd.xlsx", "A 46163-2021")</f>
        <v/>
      </c>
      <c r="T131">
        <f>HYPERLINK("https://klasma.github.io/Logging_2380/kartor/A 46163-2021 karta.png", "A 46163-2021")</f>
        <v/>
      </c>
      <c r="V131">
        <f>HYPERLINK("https://klasma.github.io/Logging_2380/klagomål/A 46163-2021 FSC-klagomål.docx", "A 46163-2021")</f>
        <v/>
      </c>
      <c r="W131">
        <f>HYPERLINK("https://klasma.github.io/Logging_2380/klagomålsmail/A 46163-2021 FSC-klagomål mail.docx", "A 46163-2021")</f>
        <v/>
      </c>
      <c r="X131">
        <f>HYPERLINK("https://klasma.github.io/Logging_2380/tillsyn/A 46163-2021 tillsynsbegäran.docx", "A 46163-2021")</f>
        <v/>
      </c>
      <c r="Y131">
        <f>HYPERLINK("https://klasma.github.io/Logging_2380/tillsynsmail/A 46163-2021 tillsynsbegäran mail.docx", "A 46163-2021")</f>
        <v/>
      </c>
      <c r="Z131">
        <f>HYPERLINK("https://klasma.github.io/Logging_2380/fåglar/A 46163-2021 prioriterade fågelarter.docx", "A 46163-2021")</f>
        <v/>
      </c>
    </row>
    <row r="132" ht="15" customHeight="1">
      <c r="A132" t="inlineStr">
        <is>
          <t>A 55821-2021</t>
        </is>
      </c>
      <c r="B132" s="1" t="n">
        <v>44476</v>
      </c>
      <c r="C132" s="1" t="n">
        <v>45626</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59433-2021</t>
        </is>
      </c>
      <c r="B133" s="1" t="n">
        <v>44491</v>
      </c>
      <c r="C133" s="1" t="n">
        <v>45626</v>
      </c>
      <c r="D133" t="inlineStr">
        <is>
          <t>JÄMTLANDS LÄN</t>
        </is>
      </c>
      <c r="E133" t="inlineStr">
        <is>
          <t>ÖSTERSUND</t>
        </is>
      </c>
      <c r="F133" t="inlineStr">
        <is>
          <t>Övriga statliga verk och myndigheter</t>
        </is>
      </c>
      <c r="G133" t="n">
        <v>1.6</v>
      </c>
      <c r="H133" t="n">
        <v>0</v>
      </c>
      <c r="I133" t="n">
        <v>0</v>
      </c>
      <c r="J133" t="n">
        <v>1</v>
      </c>
      <c r="K133" t="n">
        <v>0</v>
      </c>
      <c r="L133" t="n">
        <v>0</v>
      </c>
      <c r="M133" t="n">
        <v>0</v>
      </c>
      <c r="N133" t="n">
        <v>0</v>
      </c>
      <c r="O133" t="n">
        <v>1</v>
      </c>
      <c r="P133" t="n">
        <v>0</v>
      </c>
      <c r="Q133" t="n">
        <v>1</v>
      </c>
      <c r="R133" s="2" t="inlineStr">
        <is>
          <t>Brunpudrad nållav</t>
        </is>
      </c>
      <c r="S133">
        <f>HYPERLINK("https://klasma.github.io/Logging_2380/artfynd/A 59433-2021 artfynd.xlsx", "A 59433-2021")</f>
        <v/>
      </c>
      <c r="T133">
        <f>HYPERLINK("https://klasma.github.io/Logging_2380/kartor/A 59433-2021 karta.png", "A 59433-2021")</f>
        <v/>
      </c>
      <c r="V133">
        <f>HYPERLINK("https://klasma.github.io/Logging_2380/klagomål/A 59433-2021 FSC-klagomål.docx", "A 59433-2021")</f>
        <v/>
      </c>
      <c r="W133">
        <f>HYPERLINK("https://klasma.github.io/Logging_2380/klagomålsmail/A 59433-2021 FSC-klagomål mail.docx", "A 59433-2021")</f>
        <v/>
      </c>
      <c r="X133">
        <f>HYPERLINK("https://klasma.github.io/Logging_2380/tillsyn/A 59433-2021 tillsynsbegäran.docx", "A 59433-2021")</f>
        <v/>
      </c>
      <c r="Y133">
        <f>HYPERLINK("https://klasma.github.io/Logging_2380/tillsynsmail/A 59433-2021 tillsynsbegäran mail.docx", "A 59433-2021")</f>
        <v/>
      </c>
    </row>
    <row r="134" ht="15" customHeight="1">
      <c r="A134" t="inlineStr">
        <is>
          <t>A 9739-2022</t>
        </is>
      </c>
      <c r="B134" s="1" t="n">
        <v>44617</v>
      </c>
      <c r="C134" s="1" t="n">
        <v>45626</v>
      </c>
      <c r="D134" t="inlineStr">
        <is>
          <t>JÄMTLANDS LÄN</t>
        </is>
      </c>
      <c r="E134" t="inlineStr">
        <is>
          <t>ÖSTERSUND</t>
        </is>
      </c>
      <c r="F134" t="inlineStr">
        <is>
          <t>SCA</t>
        </is>
      </c>
      <c r="G134" t="n">
        <v>13.5</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9739-2022 artfynd.xlsx", "A 9739-2022")</f>
        <v/>
      </c>
      <c r="T134">
        <f>HYPERLINK("https://klasma.github.io/Logging_2380/kartor/A 9739-2022 karta.png", "A 9739-2022")</f>
        <v/>
      </c>
      <c r="V134">
        <f>HYPERLINK("https://klasma.github.io/Logging_2380/klagomål/A 9739-2022 FSC-klagomål.docx", "A 9739-2022")</f>
        <v/>
      </c>
      <c r="W134">
        <f>HYPERLINK("https://klasma.github.io/Logging_2380/klagomålsmail/A 9739-2022 FSC-klagomål mail.docx", "A 9739-2022")</f>
        <v/>
      </c>
      <c r="X134">
        <f>HYPERLINK("https://klasma.github.io/Logging_2380/tillsyn/A 9739-2022 tillsynsbegäran.docx", "A 9739-2022")</f>
        <v/>
      </c>
      <c r="Y134">
        <f>HYPERLINK("https://klasma.github.io/Logging_2380/tillsynsmail/A 9739-2022 tillsynsbegäran mail.docx", "A 9739-2022")</f>
        <v/>
      </c>
    </row>
    <row r="135" ht="15" customHeight="1">
      <c r="A135" t="inlineStr">
        <is>
          <t>A 10336-2022</t>
        </is>
      </c>
      <c r="B135" s="1" t="n">
        <v>44623</v>
      </c>
      <c r="C135" s="1" t="n">
        <v>45626</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45626</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27578-2022</t>
        </is>
      </c>
      <c r="B137" s="1" t="n">
        <v>44742</v>
      </c>
      <c r="C137" s="1" t="n">
        <v>45626</v>
      </c>
      <c r="D137" t="inlineStr">
        <is>
          <t>JÄMTLANDS LÄN</t>
        </is>
      </c>
      <c r="E137" t="inlineStr">
        <is>
          <t>ÖSTERSUND</t>
        </is>
      </c>
      <c r="F137" t="inlineStr">
        <is>
          <t>SCA</t>
        </is>
      </c>
      <c r="G137" t="n">
        <v>2</v>
      </c>
      <c r="H137" t="n">
        <v>1</v>
      </c>
      <c r="I137" t="n">
        <v>0</v>
      </c>
      <c r="J137" t="n">
        <v>0</v>
      </c>
      <c r="K137" t="n">
        <v>0</v>
      </c>
      <c r="L137" t="n">
        <v>0</v>
      </c>
      <c r="M137" t="n">
        <v>0</v>
      </c>
      <c r="N137" t="n">
        <v>0</v>
      </c>
      <c r="O137" t="n">
        <v>0</v>
      </c>
      <c r="P137" t="n">
        <v>0</v>
      </c>
      <c r="Q137" t="n">
        <v>1</v>
      </c>
      <c r="R137" s="2" t="inlineStr">
        <is>
          <t>Blåsippa</t>
        </is>
      </c>
      <c r="S137">
        <f>HYPERLINK("https://klasma.github.io/Logging_2380/artfynd/A 27578-2022 artfynd.xlsx", "A 27578-2022")</f>
        <v/>
      </c>
      <c r="T137">
        <f>HYPERLINK("https://klasma.github.io/Logging_2380/kartor/A 27578-2022 karta.png", "A 27578-2022")</f>
        <v/>
      </c>
      <c r="V137">
        <f>HYPERLINK("https://klasma.github.io/Logging_2380/klagomål/A 27578-2022 FSC-klagomål.docx", "A 27578-2022")</f>
        <v/>
      </c>
      <c r="W137">
        <f>HYPERLINK("https://klasma.github.io/Logging_2380/klagomålsmail/A 27578-2022 FSC-klagomål mail.docx", "A 27578-2022")</f>
        <v/>
      </c>
      <c r="X137">
        <f>HYPERLINK("https://klasma.github.io/Logging_2380/tillsyn/A 27578-2022 tillsynsbegäran.docx", "A 27578-2022")</f>
        <v/>
      </c>
      <c r="Y137">
        <f>HYPERLINK("https://klasma.github.io/Logging_2380/tillsynsmail/A 27578-2022 tillsynsbegäran mail.docx", "A 27578-2022")</f>
        <v/>
      </c>
    </row>
    <row r="138" ht="15" customHeight="1">
      <c r="A138" t="inlineStr">
        <is>
          <t>A 27576-2022</t>
        </is>
      </c>
      <c r="B138" s="1" t="n">
        <v>44742</v>
      </c>
      <c r="C138" s="1" t="n">
        <v>45626</v>
      </c>
      <c r="D138" t="inlineStr">
        <is>
          <t>JÄMTLANDS LÄN</t>
        </is>
      </c>
      <c r="E138" t="inlineStr">
        <is>
          <t>ÖSTERSUND</t>
        </is>
      </c>
      <c r="F138" t="inlineStr">
        <is>
          <t>SCA</t>
        </is>
      </c>
      <c r="G138" t="n">
        <v>0.6</v>
      </c>
      <c r="H138" t="n">
        <v>0</v>
      </c>
      <c r="I138" t="n">
        <v>0</v>
      </c>
      <c r="J138" t="n">
        <v>1</v>
      </c>
      <c r="K138" t="n">
        <v>0</v>
      </c>
      <c r="L138" t="n">
        <v>0</v>
      </c>
      <c r="M138" t="n">
        <v>0</v>
      </c>
      <c r="N138" t="n">
        <v>0</v>
      </c>
      <c r="O138" t="n">
        <v>1</v>
      </c>
      <c r="P138" t="n">
        <v>0</v>
      </c>
      <c r="Q138" t="n">
        <v>1</v>
      </c>
      <c r="R138" s="2" t="inlineStr">
        <is>
          <t>Ullticka</t>
        </is>
      </c>
      <c r="S138">
        <f>HYPERLINK("https://klasma.github.io/Logging_2380/artfynd/A 27576-2022 artfynd.xlsx", "A 27576-2022")</f>
        <v/>
      </c>
      <c r="T138">
        <f>HYPERLINK("https://klasma.github.io/Logging_2380/kartor/A 27576-2022 karta.png", "A 27576-2022")</f>
        <v/>
      </c>
      <c r="U138">
        <f>HYPERLINK("https://klasma.github.io/Logging_2380/knärot/A 27576-2022 karta knärot.png", "A 27576-2022")</f>
        <v/>
      </c>
      <c r="V138">
        <f>HYPERLINK("https://klasma.github.io/Logging_2380/klagomål/A 27576-2022 FSC-klagomål.docx", "A 27576-2022")</f>
        <v/>
      </c>
      <c r="W138">
        <f>HYPERLINK("https://klasma.github.io/Logging_2380/klagomålsmail/A 27576-2022 FSC-klagomål mail.docx", "A 27576-2022")</f>
        <v/>
      </c>
      <c r="X138">
        <f>HYPERLINK("https://klasma.github.io/Logging_2380/tillsyn/A 27576-2022 tillsynsbegäran.docx", "A 27576-2022")</f>
        <v/>
      </c>
      <c r="Y138">
        <f>HYPERLINK("https://klasma.github.io/Logging_2380/tillsynsmail/A 27576-2022 tillsynsbegäran mail.docx", "A 27576-2022")</f>
        <v/>
      </c>
    </row>
    <row r="139" ht="15" customHeight="1">
      <c r="A139" t="inlineStr">
        <is>
          <t>A 33267-2022</t>
        </is>
      </c>
      <c r="B139" s="1" t="n">
        <v>44785</v>
      </c>
      <c r="C139" s="1" t="n">
        <v>45626</v>
      </c>
      <c r="D139" t="inlineStr">
        <is>
          <t>JÄMTLANDS LÄN</t>
        </is>
      </c>
      <c r="E139" t="inlineStr">
        <is>
          <t>ÖSTERSUND</t>
        </is>
      </c>
      <c r="G139" t="n">
        <v>0.9</v>
      </c>
      <c r="H139" t="n">
        <v>1</v>
      </c>
      <c r="I139" t="n">
        <v>0</v>
      </c>
      <c r="J139" t="n">
        <v>1</v>
      </c>
      <c r="K139" t="n">
        <v>0</v>
      </c>
      <c r="L139" t="n">
        <v>0</v>
      </c>
      <c r="M139" t="n">
        <v>0</v>
      </c>
      <c r="N139" t="n">
        <v>0</v>
      </c>
      <c r="O139" t="n">
        <v>1</v>
      </c>
      <c r="P139" t="n">
        <v>0</v>
      </c>
      <c r="Q139" t="n">
        <v>1</v>
      </c>
      <c r="R139" s="2" t="inlineStr">
        <is>
          <t>Talltita</t>
        </is>
      </c>
      <c r="S139">
        <f>HYPERLINK("https://klasma.github.io/Logging_2380/artfynd/A 33267-2022 artfynd.xlsx", "A 33267-2022")</f>
        <v/>
      </c>
      <c r="T139">
        <f>HYPERLINK("https://klasma.github.io/Logging_2380/kartor/A 33267-2022 karta.png", "A 33267-2022")</f>
        <v/>
      </c>
      <c r="V139">
        <f>HYPERLINK("https://klasma.github.io/Logging_2380/klagomål/A 33267-2022 FSC-klagomål.docx", "A 33267-2022")</f>
        <v/>
      </c>
      <c r="W139">
        <f>HYPERLINK("https://klasma.github.io/Logging_2380/klagomålsmail/A 33267-2022 FSC-klagomål mail.docx", "A 33267-2022")</f>
        <v/>
      </c>
      <c r="X139">
        <f>HYPERLINK("https://klasma.github.io/Logging_2380/tillsyn/A 33267-2022 tillsynsbegäran.docx", "A 33267-2022")</f>
        <v/>
      </c>
      <c r="Y139">
        <f>HYPERLINK("https://klasma.github.io/Logging_2380/tillsynsmail/A 33267-2022 tillsynsbegäran mail.docx", "A 33267-2022")</f>
        <v/>
      </c>
      <c r="Z139">
        <f>HYPERLINK("https://klasma.github.io/Logging_2380/fåglar/A 33267-2022 prioriterade fågelarter.docx", "A 33267-2022")</f>
        <v/>
      </c>
    </row>
    <row r="140" ht="15" customHeight="1">
      <c r="A140" t="inlineStr">
        <is>
          <t>A 43947-2022</t>
        </is>
      </c>
      <c r="B140" s="1" t="n">
        <v>44838</v>
      </c>
      <c r="C140" s="1" t="n">
        <v>45626</v>
      </c>
      <c r="D140" t="inlineStr">
        <is>
          <t>JÄMTLANDS LÄN</t>
        </is>
      </c>
      <c r="E140" t="inlineStr">
        <is>
          <t>ÖSTERSUND</t>
        </is>
      </c>
      <c r="F140" t="inlineStr">
        <is>
          <t>Övriga Aktiebolag</t>
        </is>
      </c>
      <c r="G140" t="n">
        <v>15.7</v>
      </c>
      <c r="H140" t="n">
        <v>0</v>
      </c>
      <c r="I140" t="n">
        <v>0</v>
      </c>
      <c r="J140" t="n">
        <v>0</v>
      </c>
      <c r="K140" t="n">
        <v>1</v>
      </c>
      <c r="L140" t="n">
        <v>0</v>
      </c>
      <c r="M140" t="n">
        <v>0</v>
      </c>
      <c r="N140" t="n">
        <v>0</v>
      </c>
      <c r="O140" t="n">
        <v>1</v>
      </c>
      <c r="P140" t="n">
        <v>1</v>
      </c>
      <c r="Q140" t="n">
        <v>1</v>
      </c>
      <c r="R140" s="2" t="inlineStr">
        <is>
          <t>Sprickporing</t>
        </is>
      </c>
      <c r="S140">
        <f>HYPERLINK("https://klasma.github.io/Logging_2380/artfynd/A 43947-2022 artfynd.xlsx", "A 43947-2022")</f>
        <v/>
      </c>
      <c r="T140">
        <f>HYPERLINK("https://klasma.github.io/Logging_2380/kartor/A 43947-2022 karta.png", "A 43947-2022")</f>
        <v/>
      </c>
      <c r="V140">
        <f>HYPERLINK("https://klasma.github.io/Logging_2380/klagomål/A 43947-2022 FSC-klagomål.docx", "A 43947-2022")</f>
        <v/>
      </c>
      <c r="W140">
        <f>HYPERLINK("https://klasma.github.io/Logging_2380/klagomålsmail/A 43947-2022 FSC-klagomål mail.docx", "A 43947-2022")</f>
        <v/>
      </c>
      <c r="X140">
        <f>HYPERLINK("https://klasma.github.io/Logging_2380/tillsyn/A 43947-2022 tillsynsbegäran.docx", "A 43947-2022")</f>
        <v/>
      </c>
      <c r="Y140">
        <f>HYPERLINK("https://klasma.github.io/Logging_2380/tillsynsmail/A 43947-2022 tillsynsbegäran mail.docx", "A 43947-2022")</f>
        <v/>
      </c>
    </row>
    <row r="141" ht="15" customHeight="1">
      <c r="A141" t="inlineStr">
        <is>
          <t>A 45441-2022</t>
        </is>
      </c>
      <c r="B141" s="1" t="n">
        <v>44844</v>
      </c>
      <c r="C141" s="1" t="n">
        <v>45626</v>
      </c>
      <c r="D141" t="inlineStr">
        <is>
          <t>JÄMTLANDS LÄN</t>
        </is>
      </c>
      <c r="E141" t="inlineStr">
        <is>
          <t>ÖSTERSUND</t>
        </is>
      </c>
      <c r="F141" t="inlineStr">
        <is>
          <t>SCA</t>
        </is>
      </c>
      <c r="G141" t="n">
        <v>1.8</v>
      </c>
      <c r="H141" t="n">
        <v>0</v>
      </c>
      <c r="I141" t="n">
        <v>1</v>
      </c>
      <c r="J141" t="n">
        <v>0</v>
      </c>
      <c r="K141" t="n">
        <v>0</v>
      </c>
      <c r="L141" t="n">
        <v>0</v>
      </c>
      <c r="M141" t="n">
        <v>0</v>
      </c>
      <c r="N141" t="n">
        <v>0</v>
      </c>
      <c r="O141" t="n">
        <v>0</v>
      </c>
      <c r="P141" t="n">
        <v>0</v>
      </c>
      <c r="Q141" t="n">
        <v>1</v>
      </c>
      <c r="R141" s="2" t="inlineStr">
        <is>
          <t>Korallblylav</t>
        </is>
      </c>
      <c r="S141">
        <f>HYPERLINK("https://klasma.github.io/Logging_2380/artfynd/A 45441-2022 artfynd.xlsx", "A 45441-2022")</f>
        <v/>
      </c>
      <c r="T141">
        <f>HYPERLINK("https://klasma.github.io/Logging_2380/kartor/A 45441-2022 karta.png", "A 45441-2022")</f>
        <v/>
      </c>
      <c r="V141">
        <f>HYPERLINK("https://klasma.github.io/Logging_2380/klagomål/A 45441-2022 FSC-klagomål.docx", "A 45441-2022")</f>
        <v/>
      </c>
      <c r="W141">
        <f>HYPERLINK("https://klasma.github.io/Logging_2380/klagomålsmail/A 45441-2022 FSC-klagomål mail.docx", "A 45441-2022")</f>
        <v/>
      </c>
      <c r="X141">
        <f>HYPERLINK("https://klasma.github.io/Logging_2380/tillsyn/A 45441-2022 tillsynsbegäran.docx", "A 45441-2022")</f>
        <v/>
      </c>
      <c r="Y141">
        <f>HYPERLINK("https://klasma.github.io/Logging_2380/tillsynsmail/A 45441-2022 tillsynsbegäran mail.docx", "A 45441-2022")</f>
        <v/>
      </c>
    </row>
    <row r="142" ht="15" customHeight="1">
      <c r="A142" t="inlineStr">
        <is>
          <t>A 56245-2022</t>
        </is>
      </c>
      <c r="B142" s="1" t="n">
        <v>44890</v>
      </c>
      <c r="C142" s="1" t="n">
        <v>45626</v>
      </c>
      <c r="D142" t="inlineStr">
        <is>
          <t>JÄMTLANDS LÄN</t>
        </is>
      </c>
      <c r="E142" t="inlineStr">
        <is>
          <t>ÖSTERSUND</t>
        </is>
      </c>
      <c r="F142" t="inlineStr">
        <is>
          <t>Övriga Aktiebolag</t>
        </is>
      </c>
      <c r="G142" t="n">
        <v>10.6</v>
      </c>
      <c r="H142" t="n">
        <v>0</v>
      </c>
      <c r="I142" t="n">
        <v>0</v>
      </c>
      <c r="J142" t="n">
        <v>1</v>
      </c>
      <c r="K142" t="n">
        <v>0</v>
      </c>
      <c r="L142" t="n">
        <v>0</v>
      </c>
      <c r="M142" t="n">
        <v>0</v>
      </c>
      <c r="N142" t="n">
        <v>0</v>
      </c>
      <c r="O142" t="n">
        <v>1</v>
      </c>
      <c r="P142" t="n">
        <v>0</v>
      </c>
      <c r="Q142" t="n">
        <v>1</v>
      </c>
      <c r="R142" s="2" t="inlineStr">
        <is>
          <t>Garnlav</t>
        </is>
      </c>
      <c r="S142">
        <f>HYPERLINK("https://klasma.github.io/Logging_2380/artfynd/A 56245-2022 artfynd.xlsx", "A 56245-2022")</f>
        <v/>
      </c>
      <c r="T142">
        <f>HYPERLINK("https://klasma.github.io/Logging_2380/kartor/A 56245-2022 karta.png", "A 56245-2022")</f>
        <v/>
      </c>
      <c r="V142">
        <f>HYPERLINK("https://klasma.github.io/Logging_2380/klagomål/A 56245-2022 FSC-klagomål.docx", "A 56245-2022")</f>
        <v/>
      </c>
      <c r="W142">
        <f>HYPERLINK("https://klasma.github.io/Logging_2380/klagomålsmail/A 56245-2022 FSC-klagomål mail.docx", "A 56245-2022")</f>
        <v/>
      </c>
      <c r="X142">
        <f>HYPERLINK("https://klasma.github.io/Logging_2380/tillsyn/A 56245-2022 tillsynsbegäran.docx", "A 56245-2022")</f>
        <v/>
      </c>
      <c r="Y142">
        <f>HYPERLINK("https://klasma.github.io/Logging_2380/tillsynsmail/A 56245-2022 tillsynsbegäran mail.docx", "A 56245-2022")</f>
        <v/>
      </c>
    </row>
    <row r="143" ht="15" customHeight="1">
      <c r="A143" t="inlineStr">
        <is>
          <t>A 58181-2022</t>
        </is>
      </c>
      <c r="B143" s="1" t="n">
        <v>44900</v>
      </c>
      <c r="C143" s="1" t="n">
        <v>45626</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59739-2022</t>
        </is>
      </c>
      <c r="B144" s="1" t="n">
        <v>44908</v>
      </c>
      <c r="C144" s="1" t="n">
        <v>45626</v>
      </c>
      <c r="D144" t="inlineStr">
        <is>
          <t>JÄMTLANDS LÄN</t>
        </is>
      </c>
      <c r="E144" t="inlineStr">
        <is>
          <t>ÖSTERSUND</t>
        </is>
      </c>
      <c r="F144" t="inlineStr">
        <is>
          <t>Kommuner</t>
        </is>
      </c>
      <c r="G144" t="n">
        <v>1.9</v>
      </c>
      <c r="H144" t="n">
        <v>0</v>
      </c>
      <c r="I144" t="n">
        <v>1</v>
      </c>
      <c r="J144" t="n">
        <v>0</v>
      </c>
      <c r="K144" t="n">
        <v>0</v>
      </c>
      <c r="L144" t="n">
        <v>0</v>
      </c>
      <c r="M144" t="n">
        <v>0</v>
      </c>
      <c r="N144" t="n">
        <v>0</v>
      </c>
      <c r="O144" t="n">
        <v>0</v>
      </c>
      <c r="P144" t="n">
        <v>0</v>
      </c>
      <c r="Q144" t="n">
        <v>1</v>
      </c>
      <c r="R144" s="2" t="inlineStr">
        <is>
          <t>Vedticka</t>
        </is>
      </c>
      <c r="S144">
        <f>HYPERLINK("https://klasma.github.io/Logging_2380/artfynd/A 59739-2022 artfynd.xlsx", "A 59739-2022")</f>
        <v/>
      </c>
      <c r="T144">
        <f>HYPERLINK("https://klasma.github.io/Logging_2380/kartor/A 59739-2022 karta.png", "A 59739-2022")</f>
        <v/>
      </c>
      <c r="V144">
        <f>HYPERLINK("https://klasma.github.io/Logging_2380/klagomål/A 59739-2022 FSC-klagomål.docx", "A 59739-2022")</f>
        <v/>
      </c>
      <c r="W144">
        <f>HYPERLINK("https://klasma.github.io/Logging_2380/klagomålsmail/A 59739-2022 FSC-klagomål mail.docx", "A 59739-2022")</f>
        <v/>
      </c>
      <c r="X144">
        <f>HYPERLINK("https://klasma.github.io/Logging_2380/tillsyn/A 59739-2022 tillsynsbegäran.docx", "A 59739-2022")</f>
        <v/>
      </c>
      <c r="Y144">
        <f>HYPERLINK("https://klasma.github.io/Logging_2380/tillsynsmail/A 59739-2022 tillsynsbegäran mail.docx", "A 59739-2022")</f>
        <v/>
      </c>
    </row>
    <row r="145" ht="15" customHeight="1">
      <c r="A145" t="inlineStr">
        <is>
          <t>A 28980-2023</t>
        </is>
      </c>
      <c r="B145" s="1" t="n">
        <v>45096</v>
      </c>
      <c r="C145" s="1" t="n">
        <v>45626</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32411-2023</t>
        </is>
      </c>
      <c r="B146" s="1" t="n">
        <v>45120</v>
      </c>
      <c r="C146" s="1" t="n">
        <v>45626</v>
      </c>
      <c r="D146" t="inlineStr">
        <is>
          <t>JÄMTLANDS LÄN</t>
        </is>
      </c>
      <c r="E146" t="inlineStr">
        <is>
          <t>ÖSTERSUND</t>
        </is>
      </c>
      <c r="G146" t="n">
        <v>8.5</v>
      </c>
      <c r="H146" t="n">
        <v>1</v>
      </c>
      <c r="I146" t="n">
        <v>1</v>
      </c>
      <c r="J146" t="n">
        <v>0</v>
      </c>
      <c r="K146" t="n">
        <v>0</v>
      </c>
      <c r="L146" t="n">
        <v>0</v>
      </c>
      <c r="M146" t="n">
        <v>0</v>
      </c>
      <c r="N146" t="n">
        <v>0</v>
      </c>
      <c r="O146" t="n">
        <v>0</v>
      </c>
      <c r="P146" t="n">
        <v>0</v>
      </c>
      <c r="Q146" t="n">
        <v>1</v>
      </c>
      <c r="R146" s="2" t="inlineStr">
        <is>
          <t>Spindelblomster</t>
        </is>
      </c>
      <c r="S146">
        <f>HYPERLINK("https://klasma.github.io/Logging_2380/artfynd/A 32411-2023 artfynd.xlsx", "A 32411-2023")</f>
        <v/>
      </c>
      <c r="T146">
        <f>HYPERLINK("https://klasma.github.io/Logging_2380/kartor/A 32411-2023 karta.png", "A 32411-2023")</f>
        <v/>
      </c>
      <c r="V146">
        <f>HYPERLINK("https://klasma.github.io/Logging_2380/klagomål/A 32411-2023 FSC-klagomål.docx", "A 32411-2023")</f>
        <v/>
      </c>
      <c r="W146">
        <f>HYPERLINK("https://klasma.github.io/Logging_2380/klagomålsmail/A 32411-2023 FSC-klagomål mail.docx", "A 32411-2023")</f>
        <v/>
      </c>
      <c r="X146">
        <f>HYPERLINK("https://klasma.github.io/Logging_2380/tillsyn/A 32411-2023 tillsynsbegäran.docx", "A 32411-2023")</f>
        <v/>
      </c>
      <c r="Y146">
        <f>HYPERLINK("https://klasma.github.io/Logging_2380/tillsynsmail/A 32411-2023 tillsynsbegäran mail.docx", "A 32411-2023")</f>
        <v/>
      </c>
    </row>
    <row r="147" ht="15" customHeight="1">
      <c r="A147" t="inlineStr">
        <is>
          <t>A 50825-2023</t>
        </is>
      </c>
      <c r="B147" s="1" t="n">
        <v>45217</v>
      </c>
      <c r="C147" s="1" t="n">
        <v>45626</v>
      </c>
      <c r="D147" t="inlineStr">
        <is>
          <t>JÄMTLANDS LÄN</t>
        </is>
      </c>
      <c r="E147" t="inlineStr">
        <is>
          <t>ÖSTERSUND</t>
        </is>
      </c>
      <c r="G147" t="n">
        <v>24.3</v>
      </c>
      <c r="H147" t="n">
        <v>0</v>
      </c>
      <c r="I147" t="n">
        <v>0</v>
      </c>
      <c r="J147" t="n">
        <v>1</v>
      </c>
      <c r="K147" t="n">
        <v>0</v>
      </c>
      <c r="L147" t="n">
        <v>0</v>
      </c>
      <c r="M147" t="n">
        <v>0</v>
      </c>
      <c r="N147" t="n">
        <v>0</v>
      </c>
      <c r="O147" t="n">
        <v>1</v>
      </c>
      <c r="P147" t="n">
        <v>0</v>
      </c>
      <c r="Q147" t="n">
        <v>1</v>
      </c>
      <c r="R147" s="2" t="inlineStr">
        <is>
          <t>Granticka</t>
        </is>
      </c>
      <c r="S147">
        <f>HYPERLINK("https://klasma.github.io/Logging_2380/artfynd/A 50825-2023 artfynd.xlsx", "A 50825-2023")</f>
        <v/>
      </c>
      <c r="T147">
        <f>HYPERLINK("https://klasma.github.io/Logging_2380/kartor/A 50825-2023 karta.png", "A 50825-2023")</f>
        <v/>
      </c>
      <c r="V147">
        <f>HYPERLINK("https://klasma.github.io/Logging_2380/klagomål/A 50825-2023 FSC-klagomål.docx", "A 50825-2023")</f>
        <v/>
      </c>
      <c r="W147">
        <f>HYPERLINK("https://klasma.github.io/Logging_2380/klagomålsmail/A 50825-2023 FSC-klagomål mail.docx", "A 50825-2023")</f>
        <v/>
      </c>
      <c r="X147">
        <f>HYPERLINK("https://klasma.github.io/Logging_2380/tillsyn/A 50825-2023 tillsynsbegäran.docx", "A 50825-2023")</f>
        <v/>
      </c>
      <c r="Y147">
        <f>HYPERLINK("https://klasma.github.io/Logging_2380/tillsynsmail/A 50825-2023 tillsynsbegäran mail.docx", "A 50825-2023")</f>
        <v/>
      </c>
    </row>
    <row r="148" ht="15" customHeight="1">
      <c r="A148" t="inlineStr">
        <is>
          <t>A 56025-2023</t>
        </is>
      </c>
      <c r="B148" s="1" t="n">
        <v>45233</v>
      </c>
      <c r="C148" s="1" t="n">
        <v>45626</v>
      </c>
      <c r="D148" t="inlineStr">
        <is>
          <t>JÄMTLANDS LÄN</t>
        </is>
      </c>
      <c r="E148" t="inlineStr">
        <is>
          <t>ÖSTERSUND</t>
        </is>
      </c>
      <c r="G148" t="n">
        <v>3.9</v>
      </c>
      <c r="H148" t="n">
        <v>1</v>
      </c>
      <c r="I148" t="n">
        <v>0</v>
      </c>
      <c r="J148" t="n">
        <v>1</v>
      </c>
      <c r="K148" t="n">
        <v>0</v>
      </c>
      <c r="L148" t="n">
        <v>0</v>
      </c>
      <c r="M148" t="n">
        <v>0</v>
      </c>
      <c r="N148" t="n">
        <v>0</v>
      </c>
      <c r="O148" t="n">
        <v>1</v>
      </c>
      <c r="P148" t="n">
        <v>0</v>
      </c>
      <c r="Q148" t="n">
        <v>1</v>
      </c>
      <c r="R148" s="2" t="inlineStr">
        <is>
          <t>Jämtlandsmaskros</t>
        </is>
      </c>
      <c r="S148">
        <f>HYPERLINK("https://klasma.github.io/Logging_2380/artfynd/A 56025-2023 artfynd.xlsx", "A 56025-2023")</f>
        <v/>
      </c>
      <c r="T148">
        <f>HYPERLINK("https://klasma.github.io/Logging_2380/kartor/A 56025-2023 karta.png", "A 56025-2023")</f>
        <v/>
      </c>
      <c r="V148">
        <f>HYPERLINK("https://klasma.github.io/Logging_2380/klagomål/A 56025-2023 FSC-klagomål.docx", "A 56025-2023")</f>
        <v/>
      </c>
      <c r="W148">
        <f>HYPERLINK("https://klasma.github.io/Logging_2380/klagomålsmail/A 56025-2023 FSC-klagomål mail.docx", "A 56025-2023")</f>
        <v/>
      </c>
      <c r="X148">
        <f>HYPERLINK("https://klasma.github.io/Logging_2380/tillsyn/A 56025-2023 tillsynsbegäran.docx", "A 56025-2023")</f>
        <v/>
      </c>
      <c r="Y148">
        <f>HYPERLINK("https://klasma.github.io/Logging_2380/tillsynsmail/A 56025-2023 tillsynsbegäran mail.docx", "A 56025-2023")</f>
        <v/>
      </c>
    </row>
    <row r="149" ht="15" customHeight="1">
      <c r="A149" t="inlineStr">
        <is>
          <t>A 57864-2023</t>
        </is>
      </c>
      <c r="B149" s="1" t="n">
        <v>45244</v>
      </c>
      <c r="C149" s="1" t="n">
        <v>45626</v>
      </c>
      <c r="D149" t="inlineStr">
        <is>
          <t>JÄMTLANDS LÄN</t>
        </is>
      </c>
      <c r="E149" t="inlineStr">
        <is>
          <t>ÖSTERSUND</t>
        </is>
      </c>
      <c r="G149" t="n">
        <v>3.1</v>
      </c>
      <c r="H149" t="n">
        <v>1</v>
      </c>
      <c r="I149" t="n">
        <v>0</v>
      </c>
      <c r="J149" t="n">
        <v>0</v>
      </c>
      <c r="K149" t="n">
        <v>0</v>
      </c>
      <c r="L149" t="n">
        <v>0</v>
      </c>
      <c r="M149" t="n">
        <v>0</v>
      </c>
      <c r="N149" t="n">
        <v>0</v>
      </c>
      <c r="O149" t="n">
        <v>0</v>
      </c>
      <c r="P149" t="n">
        <v>0</v>
      </c>
      <c r="Q149" t="n">
        <v>1</v>
      </c>
      <c r="R149" s="2" t="inlineStr">
        <is>
          <t>Mattlummer</t>
        </is>
      </c>
      <c r="S149">
        <f>HYPERLINK("https://klasma.github.io/Logging_2380/artfynd/A 57864-2023 artfynd.xlsx", "A 57864-2023")</f>
        <v/>
      </c>
      <c r="T149">
        <f>HYPERLINK("https://klasma.github.io/Logging_2380/kartor/A 57864-2023 karta.png", "A 57864-2023")</f>
        <v/>
      </c>
      <c r="V149">
        <f>HYPERLINK("https://klasma.github.io/Logging_2380/klagomål/A 57864-2023 FSC-klagomål.docx", "A 57864-2023")</f>
        <v/>
      </c>
      <c r="W149">
        <f>HYPERLINK("https://klasma.github.io/Logging_2380/klagomålsmail/A 57864-2023 FSC-klagomål mail.docx", "A 57864-2023")</f>
        <v/>
      </c>
      <c r="X149">
        <f>HYPERLINK("https://klasma.github.io/Logging_2380/tillsyn/A 57864-2023 tillsynsbegäran.docx", "A 57864-2023")</f>
        <v/>
      </c>
      <c r="Y149">
        <f>HYPERLINK("https://klasma.github.io/Logging_2380/tillsynsmail/A 57864-2023 tillsynsbegäran mail.docx", "A 57864-2023")</f>
        <v/>
      </c>
    </row>
    <row r="150" ht="15" customHeight="1">
      <c r="A150" t="inlineStr">
        <is>
          <t>A 64380-2023</t>
        </is>
      </c>
      <c r="B150" s="1" t="n">
        <v>45280</v>
      </c>
      <c r="C150" s="1" t="n">
        <v>45626</v>
      </c>
      <c r="D150" t="inlineStr">
        <is>
          <t>JÄMTLANDS LÄN</t>
        </is>
      </c>
      <c r="E150" t="inlineStr">
        <is>
          <t>ÖSTERSUND</t>
        </is>
      </c>
      <c r="G150" t="n">
        <v>12.4</v>
      </c>
      <c r="H150" t="n">
        <v>0</v>
      </c>
      <c r="I150" t="n">
        <v>0</v>
      </c>
      <c r="J150" t="n">
        <v>1</v>
      </c>
      <c r="K150" t="n">
        <v>0</v>
      </c>
      <c r="L150" t="n">
        <v>0</v>
      </c>
      <c r="M150" t="n">
        <v>0</v>
      </c>
      <c r="N150" t="n">
        <v>0</v>
      </c>
      <c r="O150" t="n">
        <v>1</v>
      </c>
      <c r="P150" t="n">
        <v>0</v>
      </c>
      <c r="Q150" t="n">
        <v>1</v>
      </c>
      <c r="R150" s="2" t="inlineStr">
        <is>
          <t>Luddfingersvamp</t>
        </is>
      </c>
      <c r="S150">
        <f>HYPERLINK("https://klasma.github.io/Logging_2380/artfynd/A 64380-2023 artfynd.xlsx", "A 64380-2023")</f>
        <v/>
      </c>
      <c r="T150">
        <f>HYPERLINK("https://klasma.github.io/Logging_2380/kartor/A 64380-2023 karta.png", "A 64380-2023")</f>
        <v/>
      </c>
      <c r="V150">
        <f>HYPERLINK("https://klasma.github.io/Logging_2380/klagomål/A 64380-2023 FSC-klagomål.docx", "A 64380-2023")</f>
        <v/>
      </c>
      <c r="W150">
        <f>HYPERLINK("https://klasma.github.io/Logging_2380/klagomålsmail/A 64380-2023 FSC-klagomål mail.docx", "A 64380-2023")</f>
        <v/>
      </c>
      <c r="X150">
        <f>HYPERLINK("https://klasma.github.io/Logging_2380/tillsyn/A 64380-2023 tillsynsbegäran.docx", "A 64380-2023")</f>
        <v/>
      </c>
      <c r="Y150">
        <f>HYPERLINK("https://klasma.github.io/Logging_2380/tillsynsmail/A 64380-2023 tillsynsbegäran mail.docx", "A 64380-2023")</f>
        <v/>
      </c>
    </row>
    <row r="151" ht="15" customHeight="1">
      <c r="A151" t="inlineStr">
        <is>
          <t>A 3272-2024</t>
        </is>
      </c>
      <c r="B151" s="1" t="n">
        <v>45316</v>
      </c>
      <c r="C151" s="1" t="n">
        <v>45626</v>
      </c>
      <c r="D151" t="inlineStr">
        <is>
          <t>JÄMTLANDS LÄN</t>
        </is>
      </c>
      <c r="E151" t="inlineStr">
        <is>
          <t>ÖSTERSUND</t>
        </is>
      </c>
      <c r="G151" t="n">
        <v>5.6</v>
      </c>
      <c r="H151" t="n">
        <v>1</v>
      </c>
      <c r="I151" t="n">
        <v>1</v>
      </c>
      <c r="J151" t="n">
        <v>0</v>
      </c>
      <c r="K151" t="n">
        <v>0</v>
      </c>
      <c r="L151" t="n">
        <v>0</v>
      </c>
      <c r="M151" t="n">
        <v>0</v>
      </c>
      <c r="N151" t="n">
        <v>0</v>
      </c>
      <c r="O151" t="n">
        <v>0</v>
      </c>
      <c r="P151" t="n">
        <v>0</v>
      </c>
      <c r="Q151" t="n">
        <v>1</v>
      </c>
      <c r="R151" s="2" t="inlineStr">
        <is>
          <t>Korallrot</t>
        </is>
      </c>
      <c r="S151">
        <f>HYPERLINK("https://klasma.github.io/Logging_2380/artfynd/A 3272-2024 artfynd.xlsx", "A 3272-2024")</f>
        <v/>
      </c>
      <c r="T151">
        <f>HYPERLINK("https://klasma.github.io/Logging_2380/kartor/A 3272-2024 karta.png", "A 3272-2024")</f>
        <v/>
      </c>
      <c r="V151">
        <f>HYPERLINK("https://klasma.github.io/Logging_2380/klagomål/A 3272-2024 FSC-klagomål.docx", "A 3272-2024")</f>
        <v/>
      </c>
      <c r="W151">
        <f>HYPERLINK("https://klasma.github.io/Logging_2380/klagomålsmail/A 3272-2024 FSC-klagomål mail.docx", "A 3272-2024")</f>
        <v/>
      </c>
      <c r="X151">
        <f>HYPERLINK("https://klasma.github.io/Logging_2380/tillsyn/A 3272-2024 tillsynsbegäran.docx", "A 3272-2024")</f>
        <v/>
      </c>
      <c r="Y151">
        <f>HYPERLINK("https://klasma.github.io/Logging_2380/tillsynsmail/A 3272-2024 tillsynsbegäran mail.docx", "A 3272-2024")</f>
        <v/>
      </c>
    </row>
    <row r="152" ht="15" customHeight="1">
      <c r="A152" t="inlineStr">
        <is>
          <t>A 5781-2024</t>
        </is>
      </c>
      <c r="B152" s="1" t="n">
        <v>45335</v>
      </c>
      <c r="C152" s="1" t="n">
        <v>45626</v>
      </c>
      <c r="D152" t="inlineStr">
        <is>
          <t>JÄMTLANDS LÄN</t>
        </is>
      </c>
      <c r="E152" t="inlineStr">
        <is>
          <t>ÖSTERSUND</t>
        </is>
      </c>
      <c r="G152" t="n">
        <v>8.800000000000001</v>
      </c>
      <c r="H152" t="n">
        <v>1</v>
      </c>
      <c r="I152" t="n">
        <v>1</v>
      </c>
      <c r="J152" t="n">
        <v>0</v>
      </c>
      <c r="K152" t="n">
        <v>0</v>
      </c>
      <c r="L152" t="n">
        <v>0</v>
      </c>
      <c r="M152" t="n">
        <v>0</v>
      </c>
      <c r="N152" t="n">
        <v>0</v>
      </c>
      <c r="O152" t="n">
        <v>0</v>
      </c>
      <c r="P152" t="n">
        <v>0</v>
      </c>
      <c r="Q152" t="n">
        <v>1</v>
      </c>
      <c r="R152" s="2" t="inlineStr">
        <is>
          <t>Guckusko</t>
        </is>
      </c>
      <c r="S152">
        <f>HYPERLINK("https://klasma.github.io/Logging_2380/artfynd/A 5781-2024 artfynd.xlsx", "A 5781-2024")</f>
        <v/>
      </c>
      <c r="T152">
        <f>HYPERLINK("https://klasma.github.io/Logging_2380/kartor/A 5781-2024 karta.png", "A 5781-2024")</f>
        <v/>
      </c>
      <c r="V152">
        <f>HYPERLINK("https://klasma.github.io/Logging_2380/klagomål/A 5781-2024 FSC-klagomål.docx", "A 5781-2024")</f>
        <v/>
      </c>
      <c r="W152">
        <f>HYPERLINK("https://klasma.github.io/Logging_2380/klagomålsmail/A 5781-2024 FSC-klagomål mail.docx", "A 5781-2024")</f>
        <v/>
      </c>
      <c r="X152">
        <f>HYPERLINK("https://klasma.github.io/Logging_2380/tillsyn/A 5781-2024 tillsynsbegäran.docx", "A 5781-2024")</f>
        <v/>
      </c>
      <c r="Y152">
        <f>HYPERLINK("https://klasma.github.io/Logging_2380/tillsynsmail/A 5781-2024 tillsynsbegäran mail.docx", "A 5781-2024")</f>
        <v/>
      </c>
    </row>
    <row r="153" ht="15" customHeight="1">
      <c r="A153" t="inlineStr">
        <is>
          <t>A 5779-2024</t>
        </is>
      </c>
      <c r="B153" s="1" t="n">
        <v>45335</v>
      </c>
      <c r="C153" s="1" t="n">
        <v>45626</v>
      </c>
      <c r="D153" t="inlineStr">
        <is>
          <t>JÄMTLANDS LÄN</t>
        </is>
      </c>
      <c r="E153" t="inlineStr">
        <is>
          <t>ÖSTERSUND</t>
        </is>
      </c>
      <c r="G153" t="n">
        <v>9.9</v>
      </c>
      <c r="H153" t="n">
        <v>0</v>
      </c>
      <c r="I153" t="n">
        <v>1</v>
      </c>
      <c r="J153" t="n">
        <v>0</v>
      </c>
      <c r="K153" t="n">
        <v>0</v>
      </c>
      <c r="L153" t="n">
        <v>0</v>
      </c>
      <c r="M153" t="n">
        <v>0</v>
      </c>
      <c r="N153" t="n">
        <v>0</v>
      </c>
      <c r="O153" t="n">
        <v>0</v>
      </c>
      <c r="P153" t="n">
        <v>0</v>
      </c>
      <c r="Q153" t="n">
        <v>1</v>
      </c>
      <c r="R153" s="2" t="inlineStr">
        <is>
          <t>Kransrams</t>
        </is>
      </c>
      <c r="S153">
        <f>HYPERLINK("https://klasma.github.io/Logging_2380/artfynd/A 5779-2024 artfynd.xlsx", "A 5779-2024")</f>
        <v/>
      </c>
      <c r="T153">
        <f>HYPERLINK("https://klasma.github.io/Logging_2380/kartor/A 5779-2024 karta.png", "A 5779-2024")</f>
        <v/>
      </c>
      <c r="V153">
        <f>HYPERLINK("https://klasma.github.io/Logging_2380/klagomål/A 5779-2024 FSC-klagomål.docx", "A 5779-2024")</f>
        <v/>
      </c>
      <c r="W153">
        <f>HYPERLINK("https://klasma.github.io/Logging_2380/klagomålsmail/A 5779-2024 FSC-klagomål mail.docx", "A 5779-2024")</f>
        <v/>
      </c>
      <c r="X153">
        <f>HYPERLINK("https://klasma.github.io/Logging_2380/tillsyn/A 5779-2024 tillsynsbegäran.docx", "A 5779-2024")</f>
        <v/>
      </c>
      <c r="Y153">
        <f>HYPERLINK("https://klasma.github.io/Logging_2380/tillsynsmail/A 5779-2024 tillsynsbegäran mail.docx", "A 5779-2024")</f>
        <v/>
      </c>
    </row>
    <row r="154" ht="15" customHeight="1">
      <c r="A154" t="inlineStr">
        <is>
          <t>A 11513-2024</t>
        </is>
      </c>
      <c r="B154" s="1" t="n">
        <v>45372</v>
      </c>
      <c r="C154" s="1" t="n">
        <v>45626</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15090-2024</t>
        </is>
      </c>
      <c r="B155" s="1" t="n">
        <v>45399</v>
      </c>
      <c r="C155" s="1" t="n">
        <v>45626</v>
      </c>
      <c r="D155" t="inlineStr">
        <is>
          <t>JÄMTLANDS LÄN</t>
        </is>
      </c>
      <c r="E155" t="inlineStr">
        <is>
          <t>ÖSTERSUND</t>
        </is>
      </c>
      <c r="G155" t="n">
        <v>18</v>
      </c>
      <c r="H155" t="n">
        <v>0</v>
      </c>
      <c r="I155" t="n">
        <v>1</v>
      </c>
      <c r="J155" t="n">
        <v>0</v>
      </c>
      <c r="K155" t="n">
        <v>0</v>
      </c>
      <c r="L155" t="n">
        <v>0</v>
      </c>
      <c r="M155" t="n">
        <v>0</v>
      </c>
      <c r="N155" t="n">
        <v>0</v>
      </c>
      <c r="O155" t="n">
        <v>0</v>
      </c>
      <c r="P155" t="n">
        <v>0</v>
      </c>
      <c r="Q155" t="n">
        <v>1</v>
      </c>
      <c r="R155" s="2" t="inlineStr">
        <is>
          <t>Svavelriska</t>
        </is>
      </c>
      <c r="S155">
        <f>HYPERLINK("https://klasma.github.io/Logging_2380/artfynd/A 15090-2024 artfynd.xlsx", "A 15090-2024")</f>
        <v/>
      </c>
      <c r="T155">
        <f>HYPERLINK("https://klasma.github.io/Logging_2380/kartor/A 15090-2024 karta.png", "A 15090-2024")</f>
        <v/>
      </c>
      <c r="V155">
        <f>HYPERLINK("https://klasma.github.io/Logging_2380/klagomål/A 15090-2024 FSC-klagomål.docx", "A 15090-2024")</f>
        <v/>
      </c>
      <c r="W155">
        <f>HYPERLINK("https://klasma.github.io/Logging_2380/klagomålsmail/A 15090-2024 FSC-klagomål mail.docx", "A 15090-2024")</f>
        <v/>
      </c>
      <c r="X155">
        <f>HYPERLINK("https://klasma.github.io/Logging_2380/tillsyn/A 15090-2024 tillsynsbegäran.docx", "A 15090-2024")</f>
        <v/>
      </c>
      <c r="Y155">
        <f>HYPERLINK("https://klasma.github.io/Logging_2380/tillsynsmail/A 15090-2024 tillsynsbegäran mail.docx", "A 15090-2024")</f>
        <v/>
      </c>
    </row>
    <row r="156" ht="15" customHeight="1">
      <c r="A156" t="inlineStr">
        <is>
          <t>A 18951-2024</t>
        </is>
      </c>
      <c r="B156" s="1" t="n">
        <v>45427</v>
      </c>
      <c r="C156" s="1" t="n">
        <v>45626</v>
      </c>
      <c r="D156" t="inlineStr">
        <is>
          <t>JÄMTLANDS LÄN</t>
        </is>
      </c>
      <c r="E156" t="inlineStr">
        <is>
          <t>ÖSTERSUND</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HYPERLINK("https://klasma.github.io/Logging_2380/artfynd/A 18951-2024 artfynd.xlsx", "A 18951-2024")</f>
        <v/>
      </c>
      <c r="T156">
        <f>HYPERLINK("https://klasma.github.io/Logging_2380/kartor/A 18951-2024 karta.png", "A 18951-2024")</f>
        <v/>
      </c>
      <c r="V156">
        <f>HYPERLINK("https://klasma.github.io/Logging_2380/klagomål/A 18951-2024 FSC-klagomål.docx", "A 18951-2024")</f>
        <v/>
      </c>
      <c r="W156">
        <f>HYPERLINK("https://klasma.github.io/Logging_2380/klagomålsmail/A 18951-2024 FSC-klagomål mail.docx", "A 18951-2024")</f>
        <v/>
      </c>
      <c r="X156">
        <f>HYPERLINK("https://klasma.github.io/Logging_2380/tillsyn/A 18951-2024 tillsynsbegäran.docx", "A 18951-2024")</f>
        <v/>
      </c>
      <c r="Y156">
        <f>HYPERLINK("https://klasma.github.io/Logging_2380/tillsynsmail/A 18951-2024 tillsynsbegäran mail.docx", "A 18951-2024")</f>
        <v/>
      </c>
    </row>
    <row r="157" ht="15" customHeight="1">
      <c r="A157" t="inlineStr">
        <is>
          <t>A 21614-2024</t>
        </is>
      </c>
      <c r="B157" s="1" t="n">
        <v>45442</v>
      </c>
      <c r="C157" s="1" t="n">
        <v>45626</v>
      </c>
      <c r="D157" t="inlineStr">
        <is>
          <t>JÄMTLANDS LÄN</t>
        </is>
      </c>
      <c r="E157" t="inlineStr">
        <is>
          <t>ÖSTERSUND</t>
        </is>
      </c>
      <c r="F157" t="inlineStr">
        <is>
          <t>SCA</t>
        </is>
      </c>
      <c r="G157" t="n">
        <v>3.5</v>
      </c>
      <c r="H157" t="n">
        <v>0</v>
      </c>
      <c r="I157" t="n">
        <v>0</v>
      </c>
      <c r="J157" t="n">
        <v>1</v>
      </c>
      <c r="K157" t="n">
        <v>0</v>
      </c>
      <c r="L157" t="n">
        <v>0</v>
      </c>
      <c r="M157" t="n">
        <v>0</v>
      </c>
      <c r="N157" t="n">
        <v>0</v>
      </c>
      <c r="O157" t="n">
        <v>1</v>
      </c>
      <c r="P157" t="n">
        <v>0</v>
      </c>
      <c r="Q157" t="n">
        <v>1</v>
      </c>
      <c r="R157" s="2" t="inlineStr">
        <is>
          <t>Lunglav</t>
        </is>
      </c>
      <c r="S157">
        <f>HYPERLINK("https://klasma.github.io/Logging_2380/artfynd/A 21614-2024 artfynd.xlsx", "A 21614-2024")</f>
        <v/>
      </c>
      <c r="T157">
        <f>HYPERLINK("https://klasma.github.io/Logging_2380/kartor/A 21614-2024 karta.png", "A 21614-2024")</f>
        <v/>
      </c>
      <c r="U157">
        <f>HYPERLINK("https://klasma.github.io/Logging_2380/knärot/A 21614-2024 karta knärot.png", "A 21614-2024")</f>
        <v/>
      </c>
      <c r="V157">
        <f>HYPERLINK("https://klasma.github.io/Logging_2380/klagomål/A 21614-2024 FSC-klagomål.docx", "A 21614-2024")</f>
        <v/>
      </c>
      <c r="W157">
        <f>HYPERLINK("https://klasma.github.io/Logging_2380/klagomålsmail/A 21614-2024 FSC-klagomål mail.docx", "A 21614-2024")</f>
        <v/>
      </c>
      <c r="X157">
        <f>HYPERLINK("https://klasma.github.io/Logging_2380/tillsyn/A 21614-2024 tillsynsbegäran.docx", "A 21614-2024")</f>
        <v/>
      </c>
      <c r="Y157">
        <f>HYPERLINK("https://klasma.github.io/Logging_2380/tillsynsmail/A 21614-2024 tillsynsbegäran mail.docx", "A 21614-2024")</f>
        <v/>
      </c>
    </row>
    <row r="158" ht="15" customHeight="1">
      <c r="A158" t="inlineStr">
        <is>
          <t>A 31883-2024</t>
        </is>
      </c>
      <c r="B158" s="1" t="n">
        <v>45510</v>
      </c>
      <c r="C158" s="1" t="n">
        <v>45626</v>
      </c>
      <c r="D158" t="inlineStr">
        <is>
          <t>JÄMTLANDS LÄN</t>
        </is>
      </c>
      <c r="E158" t="inlineStr">
        <is>
          <t>ÖSTERSUND</t>
        </is>
      </c>
      <c r="F158" t="inlineStr">
        <is>
          <t>SCA</t>
        </is>
      </c>
      <c r="G158" t="n">
        <v>3.3</v>
      </c>
      <c r="H158" t="n">
        <v>1</v>
      </c>
      <c r="I158" t="n">
        <v>0</v>
      </c>
      <c r="J158" t="n">
        <v>0</v>
      </c>
      <c r="K158" t="n">
        <v>1</v>
      </c>
      <c r="L158" t="n">
        <v>0</v>
      </c>
      <c r="M158" t="n">
        <v>0</v>
      </c>
      <c r="N158" t="n">
        <v>0</v>
      </c>
      <c r="O158" t="n">
        <v>1</v>
      </c>
      <c r="P158" t="n">
        <v>1</v>
      </c>
      <c r="Q158" t="n">
        <v>1</v>
      </c>
      <c r="R158" s="2" t="inlineStr">
        <is>
          <t>Doftticka</t>
        </is>
      </c>
      <c r="S158">
        <f>HYPERLINK("https://klasma.github.io/Logging_2380/artfynd/A 31883-2024 artfynd.xlsx", "A 31883-2024")</f>
        <v/>
      </c>
      <c r="T158">
        <f>HYPERLINK("https://klasma.github.io/Logging_2380/kartor/A 31883-2024 karta.png", "A 31883-2024")</f>
        <v/>
      </c>
      <c r="V158">
        <f>HYPERLINK("https://klasma.github.io/Logging_2380/klagomål/A 31883-2024 FSC-klagomål.docx", "A 31883-2024")</f>
        <v/>
      </c>
      <c r="W158">
        <f>HYPERLINK("https://klasma.github.io/Logging_2380/klagomålsmail/A 31883-2024 FSC-klagomål mail.docx", "A 31883-2024")</f>
        <v/>
      </c>
      <c r="X158">
        <f>HYPERLINK("https://klasma.github.io/Logging_2380/tillsyn/A 31883-2024 tillsynsbegäran.docx", "A 31883-2024")</f>
        <v/>
      </c>
      <c r="Y158">
        <f>HYPERLINK("https://klasma.github.io/Logging_2380/tillsynsmail/A 31883-2024 tillsynsbegäran mail.docx", "A 31883-2024")</f>
        <v/>
      </c>
    </row>
    <row r="159" ht="15" customHeight="1">
      <c r="A159" t="inlineStr">
        <is>
          <t>A 35422-2024</t>
        </is>
      </c>
      <c r="B159" s="1" t="n">
        <v>45531</v>
      </c>
      <c r="C159" s="1" t="n">
        <v>45626</v>
      </c>
      <c r="D159" t="inlineStr">
        <is>
          <t>JÄMTLANDS LÄN</t>
        </is>
      </c>
      <c r="E159" t="inlineStr">
        <is>
          <t>ÖSTERSUND</t>
        </is>
      </c>
      <c r="F159" t="inlineStr">
        <is>
          <t>SCA</t>
        </is>
      </c>
      <c r="G159" t="n">
        <v>1.9</v>
      </c>
      <c r="H159" t="n">
        <v>0</v>
      </c>
      <c r="I159" t="n">
        <v>0</v>
      </c>
      <c r="J159" t="n">
        <v>1</v>
      </c>
      <c r="K159" t="n">
        <v>0</v>
      </c>
      <c r="L159" t="n">
        <v>0</v>
      </c>
      <c r="M159" t="n">
        <v>0</v>
      </c>
      <c r="N159" t="n">
        <v>0</v>
      </c>
      <c r="O159" t="n">
        <v>1</v>
      </c>
      <c r="P159" t="n">
        <v>0</v>
      </c>
      <c r="Q159" t="n">
        <v>1</v>
      </c>
      <c r="R159" s="2" t="inlineStr">
        <is>
          <t>Lunglav</t>
        </is>
      </c>
      <c r="S159">
        <f>HYPERLINK("https://klasma.github.io/Logging_2380/artfynd/A 35422-2024 artfynd.xlsx", "A 35422-2024")</f>
        <v/>
      </c>
      <c r="T159">
        <f>HYPERLINK("https://klasma.github.io/Logging_2380/kartor/A 35422-2024 karta.png", "A 35422-2024")</f>
        <v/>
      </c>
      <c r="V159">
        <f>HYPERLINK("https://klasma.github.io/Logging_2380/klagomål/A 35422-2024 FSC-klagomål.docx", "A 35422-2024")</f>
        <v/>
      </c>
      <c r="W159">
        <f>HYPERLINK("https://klasma.github.io/Logging_2380/klagomålsmail/A 35422-2024 FSC-klagomål mail.docx", "A 35422-2024")</f>
        <v/>
      </c>
      <c r="X159">
        <f>HYPERLINK("https://klasma.github.io/Logging_2380/tillsyn/A 35422-2024 tillsynsbegäran.docx", "A 35422-2024")</f>
        <v/>
      </c>
      <c r="Y159">
        <f>HYPERLINK("https://klasma.github.io/Logging_2380/tillsynsmail/A 35422-2024 tillsynsbegäran mail.docx", "A 35422-2024")</f>
        <v/>
      </c>
    </row>
    <row r="160" ht="15" customHeight="1">
      <c r="A160" t="inlineStr">
        <is>
          <t>A 35421-2024</t>
        </is>
      </c>
      <c r="B160" s="1" t="n">
        <v>45531</v>
      </c>
      <c r="C160" s="1" t="n">
        <v>45626</v>
      </c>
      <c r="D160" t="inlineStr">
        <is>
          <t>JÄMTLANDS LÄN</t>
        </is>
      </c>
      <c r="E160" t="inlineStr">
        <is>
          <t>ÖSTERSUND</t>
        </is>
      </c>
      <c r="F160" t="inlineStr">
        <is>
          <t>SCA</t>
        </is>
      </c>
      <c r="G160" t="n">
        <v>1.6</v>
      </c>
      <c r="H160" t="n">
        <v>0</v>
      </c>
      <c r="I160" t="n">
        <v>1</v>
      </c>
      <c r="J160" t="n">
        <v>0</v>
      </c>
      <c r="K160" t="n">
        <v>0</v>
      </c>
      <c r="L160" t="n">
        <v>0</v>
      </c>
      <c r="M160" t="n">
        <v>0</v>
      </c>
      <c r="N160" t="n">
        <v>0</v>
      </c>
      <c r="O160" t="n">
        <v>0</v>
      </c>
      <c r="P160" t="n">
        <v>0</v>
      </c>
      <c r="Q160" t="n">
        <v>1</v>
      </c>
      <c r="R160" s="2" t="inlineStr">
        <is>
          <t>Dropptaggsvamp</t>
        </is>
      </c>
      <c r="S160">
        <f>HYPERLINK("https://klasma.github.io/Logging_2380/artfynd/A 35421-2024 artfynd.xlsx", "A 35421-2024")</f>
        <v/>
      </c>
      <c r="T160">
        <f>HYPERLINK("https://klasma.github.io/Logging_2380/kartor/A 35421-2024 karta.png", "A 35421-2024")</f>
        <v/>
      </c>
      <c r="V160">
        <f>HYPERLINK("https://klasma.github.io/Logging_2380/klagomål/A 35421-2024 FSC-klagomål.docx", "A 35421-2024")</f>
        <v/>
      </c>
      <c r="W160">
        <f>HYPERLINK("https://klasma.github.io/Logging_2380/klagomålsmail/A 35421-2024 FSC-klagomål mail.docx", "A 35421-2024")</f>
        <v/>
      </c>
      <c r="X160">
        <f>HYPERLINK("https://klasma.github.io/Logging_2380/tillsyn/A 35421-2024 tillsynsbegäran.docx", "A 35421-2024")</f>
        <v/>
      </c>
      <c r="Y160">
        <f>HYPERLINK("https://klasma.github.io/Logging_2380/tillsynsmail/A 35421-2024 tillsynsbegäran mail.docx", "A 35421-2024")</f>
        <v/>
      </c>
    </row>
    <row r="161" ht="15" customHeight="1">
      <c r="A161" t="inlineStr">
        <is>
          <t>A 36472-2024</t>
        </is>
      </c>
      <c r="B161" s="1" t="n">
        <v>45537</v>
      </c>
      <c r="C161" s="1" t="n">
        <v>45626</v>
      </c>
      <c r="D161" t="inlineStr">
        <is>
          <t>JÄMTLANDS LÄN</t>
        </is>
      </c>
      <c r="E161" t="inlineStr">
        <is>
          <t>ÖSTERSUND</t>
        </is>
      </c>
      <c r="F161" t="inlineStr">
        <is>
          <t>SCA</t>
        </is>
      </c>
      <c r="G161" t="n">
        <v>2.1</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36472-2024 artfynd.xlsx", "A 36472-2024")</f>
        <v/>
      </c>
      <c r="T161">
        <f>HYPERLINK("https://klasma.github.io/Logging_2380/kartor/A 36472-2024 karta.png", "A 36472-2024")</f>
        <v/>
      </c>
      <c r="V161">
        <f>HYPERLINK("https://klasma.github.io/Logging_2380/klagomål/A 36472-2024 FSC-klagomål.docx", "A 36472-2024")</f>
        <v/>
      </c>
      <c r="W161">
        <f>HYPERLINK("https://klasma.github.io/Logging_2380/klagomålsmail/A 36472-2024 FSC-klagomål mail.docx", "A 36472-2024")</f>
        <v/>
      </c>
      <c r="X161">
        <f>HYPERLINK("https://klasma.github.io/Logging_2380/tillsyn/A 36472-2024 tillsynsbegäran.docx", "A 36472-2024")</f>
        <v/>
      </c>
      <c r="Y161">
        <f>HYPERLINK("https://klasma.github.io/Logging_2380/tillsynsmail/A 36472-2024 tillsynsbegäran mail.docx", "A 36472-2024")</f>
        <v/>
      </c>
    </row>
    <row r="162" ht="15" customHeight="1">
      <c r="A162" t="inlineStr">
        <is>
          <t>A 40694-2024</t>
        </is>
      </c>
      <c r="B162" s="1" t="n">
        <v>45558</v>
      </c>
      <c r="C162" s="1" t="n">
        <v>45626</v>
      </c>
      <c r="D162" t="inlineStr">
        <is>
          <t>JÄMTLANDS LÄN</t>
        </is>
      </c>
      <c r="E162" t="inlineStr">
        <is>
          <t>ÖSTERSUND</t>
        </is>
      </c>
      <c r="F162" t="inlineStr">
        <is>
          <t>SCA</t>
        </is>
      </c>
      <c r="G162" t="n">
        <v>6.2</v>
      </c>
      <c r="H162" t="n">
        <v>0</v>
      </c>
      <c r="I162" t="n">
        <v>0</v>
      </c>
      <c r="J162" t="n">
        <v>1</v>
      </c>
      <c r="K162" t="n">
        <v>0</v>
      </c>
      <c r="L162" t="n">
        <v>0</v>
      </c>
      <c r="M162" t="n">
        <v>0</v>
      </c>
      <c r="N162" t="n">
        <v>0</v>
      </c>
      <c r="O162" t="n">
        <v>1</v>
      </c>
      <c r="P162" t="n">
        <v>0</v>
      </c>
      <c r="Q162" t="n">
        <v>1</v>
      </c>
      <c r="R162" s="2" t="inlineStr">
        <is>
          <t>Reliktbock</t>
        </is>
      </c>
      <c r="S162">
        <f>HYPERLINK("https://klasma.github.io/Logging_2380/artfynd/A 40694-2024 artfynd.xlsx", "A 40694-2024")</f>
        <v/>
      </c>
      <c r="T162">
        <f>HYPERLINK("https://klasma.github.io/Logging_2380/kartor/A 40694-2024 karta.png", "A 40694-2024")</f>
        <v/>
      </c>
      <c r="V162">
        <f>HYPERLINK("https://klasma.github.io/Logging_2380/klagomål/A 40694-2024 FSC-klagomål.docx", "A 40694-2024")</f>
        <v/>
      </c>
      <c r="W162">
        <f>HYPERLINK("https://klasma.github.io/Logging_2380/klagomålsmail/A 40694-2024 FSC-klagomål mail.docx", "A 40694-2024")</f>
        <v/>
      </c>
      <c r="X162">
        <f>HYPERLINK("https://klasma.github.io/Logging_2380/tillsyn/A 40694-2024 tillsynsbegäran.docx", "A 40694-2024")</f>
        <v/>
      </c>
      <c r="Y162">
        <f>HYPERLINK("https://klasma.github.io/Logging_2380/tillsynsmail/A 40694-2024 tillsynsbegäran mail.docx", "A 40694-2024")</f>
        <v/>
      </c>
    </row>
    <row r="163" ht="15" customHeight="1">
      <c r="A163" t="inlineStr">
        <is>
          <t>A 40692-2024</t>
        </is>
      </c>
      <c r="B163" s="1" t="n">
        <v>45558</v>
      </c>
      <c r="C163" s="1" t="n">
        <v>45626</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40696-2024</t>
        </is>
      </c>
      <c r="B164" s="1" t="n">
        <v>45558</v>
      </c>
      <c r="C164" s="1" t="n">
        <v>45626</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41312-2024</t>
        </is>
      </c>
      <c r="B165" s="1" t="n">
        <v>45559</v>
      </c>
      <c r="C165" s="1" t="n">
        <v>45626</v>
      </c>
      <c r="D165" t="inlineStr">
        <is>
          <t>JÄMTLANDS LÄN</t>
        </is>
      </c>
      <c r="E165" t="inlineStr">
        <is>
          <t>ÖSTERSUND</t>
        </is>
      </c>
      <c r="F165" t="inlineStr">
        <is>
          <t>SCA</t>
        </is>
      </c>
      <c r="G165" t="n">
        <v>2.6</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41312-2024 artfynd.xlsx", "A 41312-2024")</f>
        <v/>
      </c>
      <c r="T165">
        <f>HYPERLINK("https://klasma.github.io/Logging_2380/kartor/A 41312-2024 karta.png", "A 41312-2024")</f>
        <v/>
      </c>
      <c r="V165">
        <f>HYPERLINK("https://klasma.github.io/Logging_2380/klagomål/A 41312-2024 FSC-klagomål.docx", "A 41312-2024")</f>
        <v/>
      </c>
      <c r="W165">
        <f>HYPERLINK("https://klasma.github.io/Logging_2380/klagomålsmail/A 41312-2024 FSC-klagomål mail.docx", "A 41312-2024")</f>
        <v/>
      </c>
      <c r="X165">
        <f>HYPERLINK("https://klasma.github.io/Logging_2380/tillsyn/A 41312-2024 tillsynsbegäran.docx", "A 41312-2024")</f>
        <v/>
      </c>
      <c r="Y165">
        <f>HYPERLINK("https://klasma.github.io/Logging_2380/tillsynsmail/A 41312-2024 tillsynsbegäran mail.docx", "A 41312-2024")</f>
        <v/>
      </c>
    </row>
    <row r="166" ht="15" customHeight="1">
      <c r="A166" t="inlineStr">
        <is>
          <t>A 41275-2024</t>
        </is>
      </c>
      <c r="B166" s="1" t="n">
        <v>45559</v>
      </c>
      <c r="C166" s="1" t="n">
        <v>45626</v>
      </c>
      <c r="D166" t="inlineStr">
        <is>
          <t>JÄMTLANDS LÄN</t>
        </is>
      </c>
      <c r="E166" t="inlineStr">
        <is>
          <t>ÖSTERSUND</t>
        </is>
      </c>
      <c r="F166" t="inlineStr">
        <is>
          <t>SCA</t>
        </is>
      </c>
      <c r="G166" t="n">
        <v>3.3</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41275-2024 artfynd.xlsx", "A 41275-2024")</f>
        <v/>
      </c>
      <c r="T166">
        <f>HYPERLINK("https://klasma.github.io/Logging_2380/kartor/A 41275-2024 karta.png", "A 41275-2024")</f>
        <v/>
      </c>
      <c r="V166">
        <f>HYPERLINK("https://klasma.github.io/Logging_2380/klagomål/A 41275-2024 FSC-klagomål.docx", "A 41275-2024")</f>
        <v/>
      </c>
      <c r="W166">
        <f>HYPERLINK("https://klasma.github.io/Logging_2380/klagomålsmail/A 41275-2024 FSC-klagomål mail.docx", "A 41275-2024")</f>
        <v/>
      </c>
      <c r="X166">
        <f>HYPERLINK("https://klasma.github.io/Logging_2380/tillsyn/A 41275-2024 tillsynsbegäran.docx", "A 41275-2024")</f>
        <v/>
      </c>
      <c r="Y166">
        <f>HYPERLINK("https://klasma.github.io/Logging_2380/tillsynsmail/A 41275-2024 tillsynsbegäran mail.docx", "A 41275-2024")</f>
        <v/>
      </c>
    </row>
    <row r="167" ht="15" customHeight="1">
      <c r="A167" t="inlineStr">
        <is>
          <t>A 41279-2024</t>
        </is>
      </c>
      <c r="B167" s="1" t="n">
        <v>45559</v>
      </c>
      <c r="C167" s="1" t="n">
        <v>45626</v>
      </c>
      <c r="D167" t="inlineStr">
        <is>
          <t>JÄMTLANDS LÄN</t>
        </is>
      </c>
      <c r="E167" t="inlineStr">
        <is>
          <t>ÖSTERSUND</t>
        </is>
      </c>
      <c r="F167" t="inlineStr">
        <is>
          <t>SCA</t>
        </is>
      </c>
      <c r="G167" t="n">
        <v>1.6</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41279-2024 artfynd.xlsx", "A 41279-2024")</f>
        <v/>
      </c>
      <c r="T167">
        <f>HYPERLINK("https://klasma.github.io/Logging_2380/kartor/A 41279-2024 karta.png", "A 41279-2024")</f>
        <v/>
      </c>
      <c r="V167">
        <f>HYPERLINK("https://klasma.github.io/Logging_2380/klagomål/A 41279-2024 FSC-klagomål.docx", "A 41279-2024")</f>
        <v/>
      </c>
      <c r="W167">
        <f>HYPERLINK("https://klasma.github.io/Logging_2380/klagomålsmail/A 41279-2024 FSC-klagomål mail.docx", "A 41279-2024")</f>
        <v/>
      </c>
      <c r="X167">
        <f>HYPERLINK("https://klasma.github.io/Logging_2380/tillsyn/A 41279-2024 tillsynsbegäran.docx", "A 41279-2024")</f>
        <v/>
      </c>
      <c r="Y167">
        <f>HYPERLINK("https://klasma.github.io/Logging_2380/tillsynsmail/A 41279-2024 tillsynsbegäran mail.docx", "A 41279-2024")</f>
        <v/>
      </c>
    </row>
    <row r="168" ht="15" customHeight="1">
      <c r="A168" t="inlineStr">
        <is>
          <t>A 41286-2024</t>
        </is>
      </c>
      <c r="B168" s="1" t="n">
        <v>45559</v>
      </c>
      <c r="C168" s="1" t="n">
        <v>45626</v>
      </c>
      <c r="D168" t="inlineStr">
        <is>
          <t>JÄMTLANDS LÄN</t>
        </is>
      </c>
      <c r="E168" t="inlineStr">
        <is>
          <t>ÖSTERSUND</t>
        </is>
      </c>
      <c r="F168" t="inlineStr">
        <is>
          <t>SCA</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41286-2024 artfynd.xlsx", "A 41286-2024")</f>
        <v/>
      </c>
      <c r="T168">
        <f>HYPERLINK("https://klasma.github.io/Logging_2380/kartor/A 41286-2024 karta.png", "A 41286-2024")</f>
        <v/>
      </c>
      <c r="V168">
        <f>HYPERLINK("https://klasma.github.io/Logging_2380/klagomål/A 41286-2024 FSC-klagomål.docx", "A 41286-2024")</f>
        <v/>
      </c>
      <c r="W168">
        <f>HYPERLINK("https://klasma.github.io/Logging_2380/klagomålsmail/A 41286-2024 FSC-klagomål mail.docx", "A 41286-2024")</f>
        <v/>
      </c>
      <c r="X168">
        <f>HYPERLINK("https://klasma.github.io/Logging_2380/tillsyn/A 41286-2024 tillsynsbegäran.docx", "A 41286-2024")</f>
        <v/>
      </c>
      <c r="Y168">
        <f>HYPERLINK("https://klasma.github.io/Logging_2380/tillsynsmail/A 41286-2024 tillsynsbegäran mail.docx", "A 41286-2024")</f>
        <v/>
      </c>
    </row>
    <row r="169" ht="15" customHeight="1">
      <c r="A169" t="inlineStr">
        <is>
          <t>A 41755-2024</t>
        </is>
      </c>
      <c r="B169" s="1" t="n">
        <v>45561</v>
      </c>
      <c r="C169" s="1" t="n">
        <v>45626</v>
      </c>
      <c r="D169" t="inlineStr">
        <is>
          <t>JÄMTLANDS LÄN</t>
        </is>
      </c>
      <c r="E169" t="inlineStr">
        <is>
          <t>ÖSTERSUND</t>
        </is>
      </c>
      <c r="F169" t="inlineStr">
        <is>
          <t>SCA</t>
        </is>
      </c>
      <c r="G169" t="n">
        <v>4.4</v>
      </c>
      <c r="H169" t="n">
        <v>0</v>
      </c>
      <c r="I169" t="n">
        <v>0</v>
      </c>
      <c r="J169" t="n">
        <v>1</v>
      </c>
      <c r="K169" t="n">
        <v>0</v>
      </c>
      <c r="L169" t="n">
        <v>0</v>
      </c>
      <c r="M169" t="n">
        <v>0</v>
      </c>
      <c r="N169" t="n">
        <v>0</v>
      </c>
      <c r="O169" t="n">
        <v>1</v>
      </c>
      <c r="P169" t="n">
        <v>0</v>
      </c>
      <c r="Q169" t="n">
        <v>1</v>
      </c>
      <c r="R169" s="2" t="inlineStr">
        <is>
          <t>Lunglav</t>
        </is>
      </c>
      <c r="S169">
        <f>HYPERLINK("https://klasma.github.io/Logging_2380/artfynd/A 41755-2024 artfynd.xlsx", "A 41755-2024")</f>
        <v/>
      </c>
      <c r="T169">
        <f>HYPERLINK("https://klasma.github.io/Logging_2380/kartor/A 41755-2024 karta.png", "A 41755-2024")</f>
        <v/>
      </c>
      <c r="V169">
        <f>HYPERLINK("https://klasma.github.io/Logging_2380/klagomål/A 41755-2024 FSC-klagomål.docx", "A 41755-2024")</f>
        <v/>
      </c>
      <c r="W169">
        <f>HYPERLINK("https://klasma.github.io/Logging_2380/klagomålsmail/A 41755-2024 FSC-klagomål mail.docx", "A 41755-2024")</f>
        <v/>
      </c>
      <c r="X169">
        <f>HYPERLINK("https://klasma.github.io/Logging_2380/tillsyn/A 41755-2024 tillsynsbegäran.docx", "A 41755-2024")</f>
        <v/>
      </c>
      <c r="Y169">
        <f>HYPERLINK("https://klasma.github.io/Logging_2380/tillsynsmail/A 41755-2024 tillsynsbegäran mail.docx", "A 41755-2024")</f>
        <v/>
      </c>
    </row>
    <row r="170" ht="15" customHeight="1">
      <c r="A170" t="inlineStr">
        <is>
          <t>A 41762-2024</t>
        </is>
      </c>
      <c r="B170" s="1" t="n">
        <v>45561</v>
      </c>
      <c r="C170" s="1" t="n">
        <v>45626</v>
      </c>
      <c r="D170" t="inlineStr">
        <is>
          <t>JÄMTLANDS LÄN</t>
        </is>
      </c>
      <c r="E170" t="inlineStr">
        <is>
          <t>ÖSTERSUND</t>
        </is>
      </c>
      <c r="F170" t="inlineStr">
        <is>
          <t>SCA</t>
        </is>
      </c>
      <c r="G170" t="n">
        <v>5.9</v>
      </c>
      <c r="H170" t="n">
        <v>0</v>
      </c>
      <c r="I170" t="n">
        <v>1</v>
      </c>
      <c r="J170" t="n">
        <v>0</v>
      </c>
      <c r="K170" t="n">
        <v>0</v>
      </c>
      <c r="L170" t="n">
        <v>0</v>
      </c>
      <c r="M170" t="n">
        <v>0</v>
      </c>
      <c r="N170" t="n">
        <v>0</v>
      </c>
      <c r="O170" t="n">
        <v>0</v>
      </c>
      <c r="P170" t="n">
        <v>0</v>
      </c>
      <c r="Q170" t="n">
        <v>1</v>
      </c>
      <c r="R170" s="2" t="inlineStr">
        <is>
          <t>Dropptaggsvamp</t>
        </is>
      </c>
      <c r="S170">
        <f>HYPERLINK("https://klasma.github.io/Logging_2380/artfynd/A 41762-2024 artfynd.xlsx", "A 41762-2024")</f>
        <v/>
      </c>
      <c r="T170">
        <f>HYPERLINK("https://klasma.github.io/Logging_2380/kartor/A 41762-2024 karta.png", "A 41762-2024")</f>
        <v/>
      </c>
      <c r="V170">
        <f>HYPERLINK("https://klasma.github.io/Logging_2380/klagomål/A 41762-2024 FSC-klagomål.docx", "A 41762-2024")</f>
        <v/>
      </c>
      <c r="W170">
        <f>HYPERLINK("https://klasma.github.io/Logging_2380/klagomålsmail/A 41762-2024 FSC-klagomål mail.docx", "A 41762-2024")</f>
        <v/>
      </c>
      <c r="X170">
        <f>HYPERLINK("https://klasma.github.io/Logging_2380/tillsyn/A 41762-2024 tillsynsbegäran.docx", "A 41762-2024")</f>
        <v/>
      </c>
      <c r="Y170">
        <f>HYPERLINK("https://klasma.github.io/Logging_2380/tillsynsmail/A 41762-2024 tillsynsbegäran mail.docx", "A 41762-2024")</f>
        <v/>
      </c>
    </row>
    <row r="171" ht="15" customHeight="1">
      <c r="A171" t="inlineStr">
        <is>
          <t>A 41770-2024</t>
        </is>
      </c>
      <c r="B171" s="1" t="n">
        <v>45561</v>
      </c>
      <c r="C171" s="1" t="n">
        <v>45626</v>
      </c>
      <c r="D171" t="inlineStr">
        <is>
          <t>JÄMTLANDS LÄN</t>
        </is>
      </c>
      <c r="E171" t="inlineStr">
        <is>
          <t>ÖSTERSUND</t>
        </is>
      </c>
      <c r="F171" t="inlineStr">
        <is>
          <t>SCA</t>
        </is>
      </c>
      <c r="G171" t="n">
        <v>4.4</v>
      </c>
      <c r="H171" t="n">
        <v>0</v>
      </c>
      <c r="I171" t="n">
        <v>1</v>
      </c>
      <c r="J171" t="n">
        <v>0</v>
      </c>
      <c r="K171" t="n">
        <v>0</v>
      </c>
      <c r="L171" t="n">
        <v>0</v>
      </c>
      <c r="M171" t="n">
        <v>0</v>
      </c>
      <c r="N171" t="n">
        <v>0</v>
      </c>
      <c r="O171" t="n">
        <v>0</v>
      </c>
      <c r="P171" t="n">
        <v>0</v>
      </c>
      <c r="Q171" t="n">
        <v>1</v>
      </c>
      <c r="R171" s="2" t="inlineStr">
        <is>
          <t>Vedticka</t>
        </is>
      </c>
      <c r="S171">
        <f>HYPERLINK("https://klasma.github.io/Logging_2380/artfynd/A 41770-2024 artfynd.xlsx", "A 41770-2024")</f>
        <v/>
      </c>
      <c r="T171">
        <f>HYPERLINK("https://klasma.github.io/Logging_2380/kartor/A 41770-2024 karta.png", "A 41770-2024")</f>
        <v/>
      </c>
      <c r="V171">
        <f>HYPERLINK("https://klasma.github.io/Logging_2380/klagomål/A 41770-2024 FSC-klagomål.docx", "A 41770-2024")</f>
        <v/>
      </c>
      <c r="W171">
        <f>HYPERLINK("https://klasma.github.io/Logging_2380/klagomålsmail/A 41770-2024 FSC-klagomål mail.docx", "A 41770-2024")</f>
        <v/>
      </c>
      <c r="X171">
        <f>HYPERLINK("https://klasma.github.io/Logging_2380/tillsyn/A 41770-2024 tillsynsbegäran.docx", "A 41770-2024")</f>
        <v/>
      </c>
      <c r="Y171">
        <f>HYPERLINK("https://klasma.github.io/Logging_2380/tillsynsmail/A 41770-2024 tillsynsbegäran mail.docx", "A 41770-2024")</f>
        <v/>
      </c>
    </row>
    <row r="172" ht="15" customHeight="1">
      <c r="A172" t="inlineStr">
        <is>
          <t>A 44049-2024</t>
        </is>
      </c>
      <c r="B172" s="1" t="n">
        <v>45572</v>
      </c>
      <c r="C172" s="1" t="n">
        <v>45626</v>
      </c>
      <c r="D172" t="inlineStr">
        <is>
          <t>JÄMTLANDS LÄN</t>
        </is>
      </c>
      <c r="E172" t="inlineStr">
        <is>
          <t>ÖSTERSUND</t>
        </is>
      </c>
      <c r="F172" t="inlineStr">
        <is>
          <t>SCA</t>
        </is>
      </c>
      <c r="G172" t="n">
        <v>4.5</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44049-2024 artfynd.xlsx", "A 44049-2024")</f>
        <v/>
      </c>
      <c r="T172">
        <f>HYPERLINK("https://klasma.github.io/Logging_2380/kartor/A 44049-2024 karta.png", "A 44049-2024")</f>
        <v/>
      </c>
      <c r="V172">
        <f>HYPERLINK("https://klasma.github.io/Logging_2380/klagomål/A 44049-2024 FSC-klagomål.docx", "A 44049-2024")</f>
        <v/>
      </c>
      <c r="W172">
        <f>HYPERLINK("https://klasma.github.io/Logging_2380/klagomålsmail/A 44049-2024 FSC-klagomål mail.docx", "A 44049-2024")</f>
        <v/>
      </c>
      <c r="X172">
        <f>HYPERLINK("https://klasma.github.io/Logging_2380/tillsyn/A 44049-2024 tillsynsbegäran.docx", "A 44049-2024")</f>
        <v/>
      </c>
      <c r="Y172">
        <f>HYPERLINK("https://klasma.github.io/Logging_2380/tillsynsmail/A 44049-2024 tillsynsbegäran mail.docx", "A 44049-2024")</f>
        <v/>
      </c>
    </row>
    <row r="173" ht="15" customHeight="1">
      <c r="A173" t="inlineStr">
        <is>
          <t>A 44737-2024</t>
        </is>
      </c>
      <c r="B173" s="1" t="n">
        <v>45574</v>
      </c>
      <c r="C173" s="1" t="n">
        <v>45626</v>
      </c>
      <c r="D173" t="inlineStr">
        <is>
          <t>JÄMTLANDS LÄN</t>
        </is>
      </c>
      <c r="E173" t="inlineStr">
        <is>
          <t>ÖSTERSUND</t>
        </is>
      </c>
      <c r="F173" t="inlineStr">
        <is>
          <t>SCA</t>
        </is>
      </c>
      <c r="G173" t="n">
        <v>6.3</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44737-2024 artfynd.xlsx", "A 44737-2024")</f>
        <v/>
      </c>
      <c r="T173">
        <f>HYPERLINK("https://klasma.github.io/Logging_2380/kartor/A 44737-2024 karta.png", "A 44737-2024")</f>
        <v/>
      </c>
      <c r="V173">
        <f>HYPERLINK("https://klasma.github.io/Logging_2380/klagomål/A 44737-2024 FSC-klagomål.docx", "A 44737-2024")</f>
        <v/>
      </c>
      <c r="W173">
        <f>HYPERLINK("https://klasma.github.io/Logging_2380/klagomålsmail/A 44737-2024 FSC-klagomål mail.docx", "A 44737-2024")</f>
        <v/>
      </c>
      <c r="X173">
        <f>HYPERLINK("https://klasma.github.io/Logging_2380/tillsyn/A 44737-2024 tillsynsbegäran.docx", "A 44737-2024")</f>
        <v/>
      </c>
      <c r="Y173">
        <f>HYPERLINK("https://klasma.github.io/Logging_2380/tillsynsmail/A 44737-2024 tillsynsbegäran mail.docx", "A 44737-2024")</f>
        <v/>
      </c>
    </row>
    <row r="174" ht="15" customHeight="1">
      <c r="A174" t="inlineStr">
        <is>
          <t>A 45267-2024</t>
        </is>
      </c>
      <c r="B174" s="1" t="n">
        <v>45576</v>
      </c>
      <c r="C174" s="1" t="n">
        <v>45626</v>
      </c>
      <c r="D174" t="inlineStr">
        <is>
          <t>JÄMTLANDS LÄN</t>
        </is>
      </c>
      <c r="E174" t="inlineStr">
        <is>
          <t>ÖSTERSUND</t>
        </is>
      </c>
      <c r="G174" t="n">
        <v>8.6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45267-2024 artfynd.xlsx", "A 45267-2024")</f>
        <v/>
      </c>
      <c r="T174">
        <f>HYPERLINK("https://klasma.github.io/Logging_2380/kartor/A 45267-2024 karta.png", "A 45267-2024")</f>
        <v/>
      </c>
      <c r="V174">
        <f>HYPERLINK("https://klasma.github.io/Logging_2380/klagomål/A 45267-2024 FSC-klagomål.docx", "A 45267-2024")</f>
        <v/>
      </c>
      <c r="W174">
        <f>HYPERLINK("https://klasma.github.io/Logging_2380/klagomålsmail/A 45267-2024 FSC-klagomål mail.docx", "A 45267-2024")</f>
        <v/>
      </c>
      <c r="X174">
        <f>HYPERLINK("https://klasma.github.io/Logging_2380/tillsyn/A 45267-2024 tillsynsbegäran.docx", "A 45267-2024")</f>
        <v/>
      </c>
      <c r="Y174">
        <f>HYPERLINK("https://klasma.github.io/Logging_2380/tillsynsmail/A 45267-2024 tillsynsbegäran mail.docx", "A 45267-2024")</f>
        <v/>
      </c>
      <c r="Z174">
        <f>HYPERLINK("https://klasma.github.io/Logging_2380/fåglar/A 45267-2024 prioriterade fågelarter.docx", "A 45267-2024")</f>
        <v/>
      </c>
    </row>
    <row r="175" ht="15" customHeight="1">
      <c r="A175" t="inlineStr">
        <is>
          <t>A 47176-2024</t>
        </is>
      </c>
      <c r="B175" s="1" t="n">
        <v>45586</v>
      </c>
      <c r="C175" s="1" t="n">
        <v>45626</v>
      </c>
      <c r="D175" t="inlineStr">
        <is>
          <t>JÄMTLANDS LÄN</t>
        </is>
      </c>
      <c r="E175" t="inlineStr">
        <is>
          <t>ÖSTERSUND</t>
        </is>
      </c>
      <c r="F175" t="inlineStr">
        <is>
          <t>SCA</t>
        </is>
      </c>
      <c r="G175" t="n">
        <v>2.9</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47176-2024 artfynd.xlsx", "A 47176-2024")</f>
        <v/>
      </c>
      <c r="T175">
        <f>HYPERLINK("https://klasma.github.io/Logging_2380/kartor/A 47176-2024 karta.png", "A 47176-2024")</f>
        <v/>
      </c>
      <c r="V175">
        <f>HYPERLINK("https://klasma.github.io/Logging_2380/klagomål/A 47176-2024 FSC-klagomål.docx", "A 47176-2024")</f>
        <v/>
      </c>
      <c r="W175">
        <f>HYPERLINK("https://klasma.github.io/Logging_2380/klagomålsmail/A 47176-2024 FSC-klagomål mail.docx", "A 47176-2024")</f>
        <v/>
      </c>
      <c r="X175">
        <f>HYPERLINK("https://klasma.github.io/Logging_2380/tillsyn/A 47176-2024 tillsynsbegäran.docx", "A 47176-2024")</f>
        <v/>
      </c>
      <c r="Y175">
        <f>HYPERLINK("https://klasma.github.io/Logging_2380/tillsynsmail/A 47176-2024 tillsynsbegäran mail.docx", "A 47176-2024")</f>
        <v/>
      </c>
    </row>
    <row r="176" ht="15" customHeight="1">
      <c r="A176" t="inlineStr">
        <is>
          <t>A 56201-2024</t>
        </is>
      </c>
      <c r="B176" s="1" t="n">
        <v>45624</v>
      </c>
      <c r="C176" s="1" t="n">
        <v>45626</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20319-2019</t>
        </is>
      </c>
      <c r="B177" s="1" t="n">
        <v>43571</v>
      </c>
      <c r="C177" s="1" t="n">
        <v>45626</v>
      </c>
      <c r="D177" t="inlineStr">
        <is>
          <t>JÄMTLANDS LÄN</t>
        </is>
      </c>
      <c r="E177" t="inlineStr">
        <is>
          <t>ÖSTERSUND</t>
        </is>
      </c>
      <c r="G177" t="n">
        <v>1.3</v>
      </c>
      <c r="H177" t="n">
        <v>0</v>
      </c>
      <c r="I177" t="n">
        <v>0</v>
      </c>
      <c r="J177" t="n">
        <v>0</v>
      </c>
      <c r="K177" t="n">
        <v>0</v>
      </c>
      <c r="L177" t="n">
        <v>0</v>
      </c>
      <c r="M177" t="n">
        <v>0</v>
      </c>
      <c r="N177" t="n">
        <v>0</v>
      </c>
      <c r="O177" t="n">
        <v>0</v>
      </c>
      <c r="P177" t="n">
        <v>0</v>
      </c>
      <c r="Q177" t="n">
        <v>0</v>
      </c>
      <c r="R177" s="2" t="inlineStr"/>
    </row>
    <row r="178" ht="15" customHeight="1">
      <c r="A178" t="inlineStr">
        <is>
          <t>A 21727-2019</t>
        </is>
      </c>
      <c r="B178" s="1" t="n">
        <v>43581</v>
      </c>
      <c r="C178" s="1" t="n">
        <v>45626</v>
      </c>
      <c r="D178" t="inlineStr">
        <is>
          <t>JÄMTLANDS LÄN</t>
        </is>
      </c>
      <c r="E178" t="inlineStr">
        <is>
          <t>ÖSTERSUND</t>
        </is>
      </c>
      <c r="G178" t="n">
        <v>0.8</v>
      </c>
      <c r="H178" t="n">
        <v>0</v>
      </c>
      <c r="I178" t="n">
        <v>0</v>
      </c>
      <c r="J178" t="n">
        <v>0</v>
      </c>
      <c r="K178" t="n">
        <v>0</v>
      </c>
      <c r="L178" t="n">
        <v>0</v>
      </c>
      <c r="M178" t="n">
        <v>0</v>
      </c>
      <c r="N178" t="n">
        <v>0</v>
      </c>
      <c r="O178" t="n">
        <v>0</v>
      </c>
      <c r="P178" t="n">
        <v>0</v>
      </c>
      <c r="Q178" t="n">
        <v>0</v>
      </c>
      <c r="R178" s="2" t="inlineStr"/>
    </row>
    <row r="179" ht="15" customHeight="1">
      <c r="A179" t="inlineStr">
        <is>
          <t>A 21793-2019</t>
        </is>
      </c>
      <c r="B179" s="1" t="n">
        <v>43581</v>
      </c>
      <c r="C179" s="1" t="n">
        <v>45626</v>
      </c>
      <c r="D179" t="inlineStr">
        <is>
          <t>JÄMTLANDS LÄN</t>
        </is>
      </c>
      <c r="E179" t="inlineStr">
        <is>
          <t>ÖSTERSUND</t>
        </is>
      </c>
      <c r="F179" t="inlineStr">
        <is>
          <t>SCA</t>
        </is>
      </c>
      <c r="G179" t="n">
        <v>3.6</v>
      </c>
      <c r="H179" t="n">
        <v>0</v>
      </c>
      <c r="I179" t="n">
        <v>0</v>
      </c>
      <c r="J179" t="n">
        <v>0</v>
      </c>
      <c r="K179" t="n">
        <v>0</v>
      </c>
      <c r="L179" t="n">
        <v>0</v>
      </c>
      <c r="M179" t="n">
        <v>0</v>
      </c>
      <c r="N179" t="n">
        <v>0</v>
      </c>
      <c r="O179" t="n">
        <v>0</v>
      </c>
      <c r="P179" t="n">
        <v>0</v>
      </c>
      <c r="Q179" t="n">
        <v>0</v>
      </c>
      <c r="R179" s="2" t="inlineStr"/>
    </row>
    <row r="180" ht="15" customHeight="1">
      <c r="A180" t="inlineStr">
        <is>
          <t>A 22119-2019</t>
        </is>
      </c>
      <c r="B180" s="1" t="n">
        <v>43584</v>
      </c>
      <c r="C180" s="1" t="n">
        <v>45626</v>
      </c>
      <c r="D180" t="inlineStr">
        <is>
          <t>JÄMTLANDS LÄN</t>
        </is>
      </c>
      <c r="E180" t="inlineStr">
        <is>
          <t>ÖSTERSUND</t>
        </is>
      </c>
      <c r="G180" t="n">
        <v>7</v>
      </c>
      <c r="H180" t="n">
        <v>0</v>
      </c>
      <c r="I180" t="n">
        <v>0</v>
      </c>
      <c r="J180" t="n">
        <v>0</v>
      </c>
      <c r="K180" t="n">
        <v>0</v>
      </c>
      <c r="L180" t="n">
        <v>0</v>
      </c>
      <c r="M180" t="n">
        <v>0</v>
      </c>
      <c r="N180" t="n">
        <v>0</v>
      </c>
      <c r="O180" t="n">
        <v>0</v>
      </c>
      <c r="P180" t="n">
        <v>0</v>
      </c>
      <c r="Q180" t="n">
        <v>0</v>
      </c>
      <c r="R180" s="2" t="inlineStr"/>
    </row>
    <row r="181" ht="15" customHeight="1">
      <c r="A181" t="inlineStr">
        <is>
          <t>A 22115-2019</t>
        </is>
      </c>
      <c r="B181" s="1" t="n">
        <v>43584</v>
      </c>
      <c r="C181" s="1" t="n">
        <v>45626</v>
      </c>
      <c r="D181" t="inlineStr">
        <is>
          <t>JÄMTLANDS LÄN</t>
        </is>
      </c>
      <c r="E181" t="inlineStr">
        <is>
          <t>ÖSTERSUND</t>
        </is>
      </c>
      <c r="G181" t="n">
        <v>15.1</v>
      </c>
      <c r="H181" t="n">
        <v>0</v>
      </c>
      <c r="I181" t="n">
        <v>0</v>
      </c>
      <c r="J181" t="n">
        <v>0</v>
      </c>
      <c r="K181" t="n">
        <v>0</v>
      </c>
      <c r="L181" t="n">
        <v>0</v>
      </c>
      <c r="M181" t="n">
        <v>0</v>
      </c>
      <c r="N181" t="n">
        <v>0</v>
      </c>
      <c r="O181" t="n">
        <v>0</v>
      </c>
      <c r="P181" t="n">
        <v>0</v>
      </c>
      <c r="Q181" t="n">
        <v>0</v>
      </c>
      <c r="R181" s="2" t="inlineStr"/>
      <c r="U181">
        <f>HYPERLINK("https://klasma.github.io/Logging_2380/knärot/A 22115-2019 karta knärot.png", "A 22115-2019")</f>
        <v/>
      </c>
      <c r="V181">
        <f>HYPERLINK("https://klasma.github.io/Logging_2380/klagomål/A 22115-2019 FSC-klagomål.docx", "A 22115-2019")</f>
        <v/>
      </c>
      <c r="W181">
        <f>HYPERLINK("https://klasma.github.io/Logging_2380/klagomålsmail/A 22115-2019 FSC-klagomål mail.docx", "A 22115-2019")</f>
        <v/>
      </c>
      <c r="X181">
        <f>HYPERLINK("https://klasma.github.io/Logging_2380/tillsyn/A 22115-2019 tillsynsbegäran.docx", "A 22115-2019")</f>
        <v/>
      </c>
      <c r="Y181">
        <f>HYPERLINK("https://klasma.github.io/Logging_2380/tillsynsmail/A 22115-2019 tillsynsbegäran mail.docx", "A 22115-2019")</f>
        <v/>
      </c>
    </row>
    <row r="182" ht="15" customHeight="1">
      <c r="A182" t="inlineStr">
        <is>
          <t>A 23609-2019</t>
        </is>
      </c>
      <c r="B182" s="1" t="n">
        <v>43594</v>
      </c>
      <c r="C182" s="1" t="n">
        <v>45626</v>
      </c>
      <c r="D182" t="inlineStr">
        <is>
          <t>JÄMTLANDS LÄN</t>
        </is>
      </c>
      <c r="E182" t="inlineStr">
        <is>
          <t>ÖSTERSUND</t>
        </is>
      </c>
      <c r="G182" t="n">
        <v>2.5</v>
      </c>
      <c r="H182" t="n">
        <v>0</v>
      </c>
      <c r="I182" t="n">
        <v>0</v>
      </c>
      <c r="J182" t="n">
        <v>0</v>
      </c>
      <c r="K182" t="n">
        <v>0</v>
      </c>
      <c r="L182" t="n">
        <v>0</v>
      </c>
      <c r="M182" t="n">
        <v>0</v>
      </c>
      <c r="N182" t="n">
        <v>0</v>
      </c>
      <c r="O182" t="n">
        <v>0</v>
      </c>
      <c r="P182" t="n">
        <v>0</v>
      </c>
      <c r="Q182" t="n">
        <v>0</v>
      </c>
      <c r="R182" s="2" t="inlineStr"/>
    </row>
    <row r="183" ht="15" customHeight="1">
      <c r="A183" t="inlineStr">
        <is>
          <t>A 23940-2019</t>
        </is>
      </c>
      <c r="B183" s="1" t="n">
        <v>43595</v>
      </c>
      <c r="C183" s="1" t="n">
        <v>45626</v>
      </c>
      <c r="D183" t="inlineStr">
        <is>
          <t>JÄMTLANDS LÄN</t>
        </is>
      </c>
      <c r="E183" t="inlineStr">
        <is>
          <t>ÖSTERSUND</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25205-2019</t>
        </is>
      </c>
      <c r="B184" s="1" t="n">
        <v>43600</v>
      </c>
      <c r="C184" s="1" t="n">
        <v>45626</v>
      </c>
      <c r="D184" t="inlineStr">
        <is>
          <t>JÄMTLANDS LÄN</t>
        </is>
      </c>
      <c r="E184" t="inlineStr">
        <is>
          <t>ÖSTERSUND</t>
        </is>
      </c>
      <c r="G184" t="n">
        <v>3.8</v>
      </c>
      <c r="H184" t="n">
        <v>0</v>
      </c>
      <c r="I184" t="n">
        <v>0</v>
      </c>
      <c r="J184" t="n">
        <v>0</v>
      </c>
      <c r="K184" t="n">
        <v>0</v>
      </c>
      <c r="L184" t="n">
        <v>0</v>
      </c>
      <c r="M184" t="n">
        <v>0</v>
      </c>
      <c r="N184" t="n">
        <v>0</v>
      </c>
      <c r="O184" t="n">
        <v>0</v>
      </c>
      <c r="P184" t="n">
        <v>0</v>
      </c>
      <c r="Q184" t="n">
        <v>0</v>
      </c>
      <c r="R184" s="2" t="inlineStr"/>
    </row>
    <row r="185" ht="15" customHeight="1">
      <c r="A185" t="inlineStr">
        <is>
          <t>A 28892-2019</t>
        </is>
      </c>
      <c r="B185" s="1" t="n">
        <v>43619</v>
      </c>
      <c r="C185" s="1" t="n">
        <v>45626</v>
      </c>
      <c r="D185" t="inlineStr">
        <is>
          <t>JÄMTLANDS LÄN</t>
        </is>
      </c>
      <c r="E185" t="inlineStr">
        <is>
          <t>ÖSTERSUND</t>
        </is>
      </c>
      <c r="G185" t="n">
        <v>0.7</v>
      </c>
      <c r="H185" t="n">
        <v>0</v>
      </c>
      <c r="I185" t="n">
        <v>0</v>
      </c>
      <c r="J185" t="n">
        <v>0</v>
      </c>
      <c r="K185" t="n">
        <v>0</v>
      </c>
      <c r="L185" t="n">
        <v>0</v>
      </c>
      <c r="M185" t="n">
        <v>0</v>
      </c>
      <c r="N185" t="n">
        <v>0</v>
      </c>
      <c r="O185" t="n">
        <v>0</v>
      </c>
      <c r="P185" t="n">
        <v>0</v>
      </c>
      <c r="Q185" t="n">
        <v>0</v>
      </c>
      <c r="R185" s="2" t="inlineStr"/>
    </row>
    <row r="186" ht="15" customHeight="1">
      <c r="A186" t="inlineStr">
        <is>
          <t>A 28899-2019</t>
        </is>
      </c>
      <c r="B186" s="1" t="n">
        <v>43619</v>
      </c>
      <c r="C186" s="1" t="n">
        <v>45626</v>
      </c>
      <c r="D186" t="inlineStr">
        <is>
          <t>JÄMTLANDS LÄN</t>
        </is>
      </c>
      <c r="E186" t="inlineStr">
        <is>
          <t>ÖSTERSUND</t>
        </is>
      </c>
      <c r="G186" t="n">
        <v>0.4</v>
      </c>
      <c r="H186" t="n">
        <v>0</v>
      </c>
      <c r="I186" t="n">
        <v>0</v>
      </c>
      <c r="J186" t="n">
        <v>0</v>
      </c>
      <c r="K186" t="n">
        <v>0</v>
      </c>
      <c r="L186" t="n">
        <v>0</v>
      </c>
      <c r="M186" t="n">
        <v>0</v>
      </c>
      <c r="N186" t="n">
        <v>0</v>
      </c>
      <c r="O186" t="n">
        <v>0</v>
      </c>
      <c r="P186" t="n">
        <v>0</v>
      </c>
      <c r="Q186" t="n">
        <v>0</v>
      </c>
      <c r="R186" s="2" t="inlineStr"/>
    </row>
    <row r="187" ht="15" customHeight="1">
      <c r="A187" t="inlineStr">
        <is>
          <t>A 28884-2019</t>
        </is>
      </c>
      <c r="B187" s="1" t="n">
        <v>43619</v>
      </c>
      <c r="C187" s="1" t="n">
        <v>45626</v>
      </c>
      <c r="D187" t="inlineStr">
        <is>
          <t>JÄMTLANDS LÄN</t>
        </is>
      </c>
      <c r="E187" t="inlineStr">
        <is>
          <t>ÖSTERSUND</t>
        </is>
      </c>
      <c r="G187" t="n">
        <v>0.3</v>
      </c>
      <c r="H187" t="n">
        <v>0</v>
      </c>
      <c r="I187" t="n">
        <v>0</v>
      </c>
      <c r="J187" t="n">
        <v>0</v>
      </c>
      <c r="K187" t="n">
        <v>0</v>
      </c>
      <c r="L187" t="n">
        <v>0</v>
      </c>
      <c r="M187" t="n">
        <v>0</v>
      </c>
      <c r="N187" t="n">
        <v>0</v>
      </c>
      <c r="O187" t="n">
        <v>0</v>
      </c>
      <c r="P187" t="n">
        <v>0</v>
      </c>
      <c r="Q187" t="n">
        <v>0</v>
      </c>
      <c r="R187" s="2" t="inlineStr"/>
    </row>
    <row r="188" ht="15" customHeight="1">
      <c r="A188" t="inlineStr">
        <is>
          <t>A 27977-2019</t>
        </is>
      </c>
      <c r="B188" s="1" t="n">
        <v>43620</v>
      </c>
      <c r="C188" s="1" t="n">
        <v>45626</v>
      </c>
      <c r="D188" t="inlineStr">
        <is>
          <t>JÄMTLANDS LÄN</t>
        </is>
      </c>
      <c r="E188" t="inlineStr">
        <is>
          <t>ÖSTERSUND</t>
        </is>
      </c>
      <c r="G188" t="n">
        <v>1</v>
      </c>
      <c r="H188" t="n">
        <v>0</v>
      </c>
      <c r="I188" t="n">
        <v>0</v>
      </c>
      <c r="J188" t="n">
        <v>0</v>
      </c>
      <c r="K188" t="n">
        <v>0</v>
      </c>
      <c r="L188" t="n">
        <v>0</v>
      </c>
      <c r="M188" t="n">
        <v>0</v>
      </c>
      <c r="N188" t="n">
        <v>0</v>
      </c>
      <c r="O188" t="n">
        <v>0</v>
      </c>
      <c r="P188" t="n">
        <v>0</v>
      </c>
      <c r="Q188" t="n">
        <v>0</v>
      </c>
      <c r="R188" s="2" t="inlineStr"/>
    </row>
    <row r="189" ht="15" customHeight="1">
      <c r="A189" t="inlineStr">
        <is>
          <t>A 29058-2019</t>
        </is>
      </c>
      <c r="B189" s="1" t="n">
        <v>43621</v>
      </c>
      <c r="C189" s="1" t="n">
        <v>45626</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31189-2019</t>
        </is>
      </c>
      <c r="B190" s="1" t="n">
        <v>43635</v>
      </c>
      <c r="C190" s="1" t="n">
        <v>45626</v>
      </c>
      <c r="D190" t="inlineStr">
        <is>
          <t>JÄMTLANDS LÄN</t>
        </is>
      </c>
      <c r="E190" t="inlineStr">
        <is>
          <t>ÖSTERSUND</t>
        </is>
      </c>
      <c r="G190" t="n">
        <v>5.5</v>
      </c>
      <c r="H190" t="n">
        <v>0</v>
      </c>
      <c r="I190" t="n">
        <v>0</v>
      </c>
      <c r="J190" t="n">
        <v>0</v>
      </c>
      <c r="K190" t="n">
        <v>0</v>
      </c>
      <c r="L190" t="n">
        <v>0</v>
      </c>
      <c r="M190" t="n">
        <v>0</v>
      </c>
      <c r="N190" t="n">
        <v>0</v>
      </c>
      <c r="O190" t="n">
        <v>0</v>
      </c>
      <c r="P190" t="n">
        <v>0</v>
      </c>
      <c r="Q190" t="n">
        <v>0</v>
      </c>
      <c r="R190" s="2" t="inlineStr"/>
    </row>
    <row r="191" ht="15" customHeight="1">
      <c r="A191" t="inlineStr">
        <is>
          <t>A 30940-2019</t>
        </is>
      </c>
      <c r="B191" s="1" t="n">
        <v>43637</v>
      </c>
      <c r="C191" s="1" t="n">
        <v>45626</v>
      </c>
      <c r="D191" t="inlineStr">
        <is>
          <t>JÄMTLANDS LÄN</t>
        </is>
      </c>
      <c r="E191" t="inlineStr">
        <is>
          <t>ÖSTERSUND</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30946-2019</t>
        </is>
      </c>
      <c r="B192" s="1" t="n">
        <v>43636</v>
      </c>
      <c r="C192" s="1" t="n">
        <v>45626</v>
      </c>
      <c r="D192" t="inlineStr">
        <is>
          <t>JÄMTLANDS LÄN</t>
        </is>
      </c>
      <c r="E192" t="inlineStr">
        <is>
          <t>ÖSTERSUND</t>
        </is>
      </c>
      <c r="F192" t="inlineStr">
        <is>
          <t>SCA</t>
        </is>
      </c>
      <c r="G192" t="n">
        <v>1.6</v>
      </c>
      <c r="H192" t="n">
        <v>0</v>
      </c>
      <c r="I192" t="n">
        <v>0</v>
      </c>
      <c r="J192" t="n">
        <v>0</v>
      </c>
      <c r="K192" t="n">
        <v>0</v>
      </c>
      <c r="L192" t="n">
        <v>0</v>
      </c>
      <c r="M192" t="n">
        <v>0</v>
      </c>
      <c r="N192" t="n">
        <v>0</v>
      </c>
      <c r="O192" t="n">
        <v>0</v>
      </c>
      <c r="P192" t="n">
        <v>0</v>
      </c>
      <c r="Q192" t="n">
        <v>0</v>
      </c>
      <c r="R192" s="2" t="inlineStr"/>
    </row>
    <row r="193" ht="15" customHeight="1">
      <c r="A193" t="inlineStr">
        <is>
          <t>A 31617-2019</t>
        </is>
      </c>
      <c r="B193" s="1" t="n">
        <v>43640</v>
      </c>
      <c r="C193" s="1" t="n">
        <v>45626</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31621-2019</t>
        </is>
      </c>
      <c r="B194" s="1" t="n">
        <v>43640</v>
      </c>
      <c r="C194" s="1" t="n">
        <v>45626</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34903-2019</t>
        </is>
      </c>
      <c r="B195" s="1" t="n">
        <v>43650</v>
      </c>
      <c r="C195" s="1" t="n">
        <v>45626</v>
      </c>
      <c r="D195" t="inlineStr">
        <is>
          <t>JÄMTLANDS LÄN</t>
        </is>
      </c>
      <c r="E195" t="inlineStr">
        <is>
          <t>ÖSTERSUND</t>
        </is>
      </c>
      <c r="G195" t="n">
        <v>1</v>
      </c>
      <c r="H195" t="n">
        <v>0</v>
      </c>
      <c r="I195" t="n">
        <v>0</v>
      </c>
      <c r="J195" t="n">
        <v>0</v>
      </c>
      <c r="K195" t="n">
        <v>0</v>
      </c>
      <c r="L195" t="n">
        <v>0</v>
      </c>
      <c r="M195" t="n">
        <v>0</v>
      </c>
      <c r="N195" t="n">
        <v>0</v>
      </c>
      <c r="O195" t="n">
        <v>0</v>
      </c>
      <c r="P195" t="n">
        <v>0</v>
      </c>
      <c r="Q195" t="n">
        <v>0</v>
      </c>
      <c r="R195" s="2" t="inlineStr"/>
    </row>
    <row r="196" ht="15" customHeight="1">
      <c r="A196" t="inlineStr">
        <is>
          <t>A 35500-2019</t>
        </is>
      </c>
      <c r="B196" s="1" t="n">
        <v>43651</v>
      </c>
      <c r="C196" s="1" t="n">
        <v>45626</v>
      </c>
      <c r="D196" t="inlineStr">
        <is>
          <t>JÄMTLANDS LÄN</t>
        </is>
      </c>
      <c r="E196" t="inlineStr">
        <is>
          <t>ÖSTERSUND</t>
        </is>
      </c>
      <c r="F196" t="inlineStr">
        <is>
          <t>SCA</t>
        </is>
      </c>
      <c r="G196" t="n">
        <v>7</v>
      </c>
      <c r="H196" t="n">
        <v>0</v>
      </c>
      <c r="I196" t="n">
        <v>0</v>
      </c>
      <c r="J196" t="n">
        <v>0</v>
      </c>
      <c r="K196" t="n">
        <v>0</v>
      </c>
      <c r="L196" t="n">
        <v>0</v>
      </c>
      <c r="M196" t="n">
        <v>0</v>
      </c>
      <c r="N196" t="n">
        <v>0</v>
      </c>
      <c r="O196" t="n">
        <v>0</v>
      </c>
      <c r="P196" t="n">
        <v>0</v>
      </c>
      <c r="Q196" t="n">
        <v>0</v>
      </c>
      <c r="R196" s="2" t="inlineStr"/>
    </row>
    <row r="197" ht="15" customHeight="1">
      <c r="A197" t="inlineStr">
        <is>
          <t>A 35535-2019</t>
        </is>
      </c>
      <c r="B197" s="1" t="n">
        <v>43654</v>
      </c>
      <c r="C197" s="1" t="n">
        <v>45626</v>
      </c>
      <c r="D197" t="inlineStr">
        <is>
          <t>JÄMTLANDS LÄN</t>
        </is>
      </c>
      <c r="E197" t="inlineStr">
        <is>
          <t>ÖSTERSUND</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34109-2019</t>
        </is>
      </c>
      <c r="B198" s="1" t="n">
        <v>43654</v>
      </c>
      <c r="C198" s="1" t="n">
        <v>45626</v>
      </c>
      <c r="D198" t="inlineStr">
        <is>
          <t>JÄMTLANDS LÄN</t>
        </is>
      </c>
      <c r="E198" t="inlineStr">
        <is>
          <t>ÖSTERSUND</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34246-2019</t>
        </is>
      </c>
      <c r="B199" s="1" t="n">
        <v>43655</v>
      </c>
      <c r="C199" s="1" t="n">
        <v>45626</v>
      </c>
      <c r="D199" t="inlineStr">
        <is>
          <t>JÄMTLANDS LÄN</t>
        </is>
      </c>
      <c r="E199" t="inlineStr">
        <is>
          <t>ÖSTERSUND</t>
        </is>
      </c>
      <c r="G199" t="n">
        <v>0.8</v>
      </c>
      <c r="H199" t="n">
        <v>0</v>
      </c>
      <c r="I199" t="n">
        <v>0</v>
      </c>
      <c r="J199" t="n">
        <v>0</v>
      </c>
      <c r="K199" t="n">
        <v>0</v>
      </c>
      <c r="L199" t="n">
        <v>0</v>
      </c>
      <c r="M199" t="n">
        <v>0</v>
      </c>
      <c r="N199" t="n">
        <v>0</v>
      </c>
      <c r="O199" t="n">
        <v>0</v>
      </c>
      <c r="P199" t="n">
        <v>0</v>
      </c>
      <c r="Q199" t="n">
        <v>0</v>
      </c>
      <c r="R199" s="2" t="inlineStr"/>
    </row>
    <row r="200" ht="15" customHeight="1">
      <c r="A200" t="inlineStr">
        <is>
          <t>A 35678-2019</t>
        </is>
      </c>
      <c r="B200" s="1" t="n">
        <v>43656</v>
      </c>
      <c r="C200" s="1" t="n">
        <v>45626</v>
      </c>
      <c r="D200" t="inlineStr">
        <is>
          <t>JÄMTLANDS LÄN</t>
        </is>
      </c>
      <c r="E200" t="inlineStr">
        <is>
          <t>ÖSTERSUND</t>
        </is>
      </c>
      <c r="G200" t="n">
        <v>2.9</v>
      </c>
      <c r="H200" t="n">
        <v>0</v>
      </c>
      <c r="I200" t="n">
        <v>0</v>
      </c>
      <c r="J200" t="n">
        <v>0</v>
      </c>
      <c r="K200" t="n">
        <v>0</v>
      </c>
      <c r="L200" t="n">
        <v>0</v>
      </c>
      <c r="M200" t="n">
        <v>0</v>
      </c>
      <c r="N200" t="n">
        <v>0</v>
      </c>
      <c r="O200" t="n">
        <v>0</v>
      </c>
      <c r="P200" t="n">
        <v>0</v>
      </c>
      <c r="Q200" t="n">
        <v>0</v>
      </c>
      <c r="R200" s="2" t="inlineStr"/>
    </row>
    <row r="201" ht="15" customHeight="1">
      <c r="A201" t="inlineStr">
        <is>
          <t>A 35688-2019</t>
        </is>
      </c>
      <c r="B201" s="1" t="n">
        <v>43656</v>
      </c>
      <c r="C201" s="1" t="n">
        <v>45626</v>
      </c>
      <c r="D201" t="inlineStr">
        <is>
          <t>JÄMTLANDS LÄN</t>
        </is>
      </c>
      <c r="E201" t="inlineStr">
        <is>
          <t>ÖSTERSUND</t>
        </is>
      </c>
      <c r="G201" t="n">
        <v>12.6</v>
      </c>
      <c r="H201" t="n">
        <v>0</v>
      </c>
      <c r="I201" t="n">
        <v>0</v>
      </c>
      <c r="J201" t="n">
        <v>0</v>
      </c>
      <c r="K201" t="n">
        <v>0</v>
      </c>
      <c r="L201" t="n">
        <v>0</v>
      </c>
      <c r="M201" t="n">
        <v>0</v>
      </c>
      <c r="N201" t="n">
        <v>0</v>
      </c>
      <c r="O201" t="n">
        <v>0</v>
      </c>
      <c r="P201" t="n">
        <v>0</v>
      </c>
      <c r="Q201" t="n">
        <v>0</v>
      </c>
      <c r="R201" s="2" t="inlineStr"/>
    </row>
    <row r="202" ht="15" customHeight="1">
      <c r="A202" t="inlineStr">
        <is>
          <t>A 36003-2019</t>
        </is>
      </c>
      <c r="B202" s="1" t="n">
        <v>43657</v>
      </c>
      <c r="C202" s="1" t="n">
        <v>45626</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36652-2019</t>
        </is>
      </c>
      <c r="B203" s="1" t="n">
        <v>43670</v>
      </c>
      <c r="C203" s="1" t="n">
        <v>45626</v>
      </c>
      <c r="D203" t="inlineStr">
        <is>
          <t>JÄMTLANDS LÄN</t>
        </is>
      </c>
      <c r="E203" t="inlineStr">
        <is>
          <t>ÖSTERSUND</t>
        </is>
      </c>
      <c r="G203" t="n">
        <v>2.9</v>
      </c>
      <c r="H203" t="n">
        <v>0</v>
      </c>
      <c r="I203" t="n">
        <v>0</v>
      </c>
      <c r="J203" t="n">
        <v>0</v>
      </c>
      <c r="K203" t="n">
        <v>0</v>
      </c>
      <c r="L203" t="n">
        <v>0</v>
      </c>
      <c r="M203" t="n">
        <v>0</v>
      </c>
      <c r="N203" t="n">
        <v>0</v>
      </c>
      <c r="O203" t="n">
        <v>0</v>
      </c>
      <c r="P203" t="n">
        <v>0</v>
      </c>
      <c r="Q203" t="n">
        <v>0</v>
      </c>
      <c r="R203" s="2" t="inlineStr"/>
    </row>
    <row r="204" ht="15" customHeight="1">
      <c r="A204" t="inlineStr">
        <is>
          <t>A 37222-2019</t>
        </is>
      </c>
      <c r="B204" s="1" t="n">
        <v>43676</v>
      </c>
      <c r="C204" s="1" t="n">
        <v>45626</v>
      </c>
      <c r="D204" t="inlineStr">
        <is>
          <t>JÄMTLANDS LÄN</t>
        </is>
      </c>
      <c r="E204" t="inlineStr">
        <is>
          <t>ÖSTERSUND</t>
        </is>
      </c>
      <c r="G204" t="n">
        <v>2.4</v>
      </c>
      <c r="H204" t="n">
        <v>0</v>
      </c>
      <c r="I204" t="n">
        <v>0</v>
      </c>
      <c r="J204" t="n">
        <v>0</v>
      </c>
      <c r="K204" t="n">
        <v>0</v>
      </c>
      <c r="L204" t="n">
        <v>0</v>
      </c>
      <c r="M204" t="n">
        <v>0</v>
      </c>
      <c r="N204" t="n">
        <v>0</v>
      </c>
      <c r="O204" t="n">
        <v>0</v>
      </c>
      <c r="P204" t="n">
        <v>0</v>
      </c>
      <c r="Q204" t="n">
        <v>0</v>
      </c>
      <c r="R204" s="2" t="inlineStr"/>
    </row>
    <row r="205" ht="15" customHeight="1">
      <c r="A205" t="inlineStr">
        <is>
          <t>A 38662-2019</t>
        </is>
      </c>
      <c r="B205" s="1" t="n">
        <v>43684</v>
      </c>
      <c r="C205" s="1" t="n">
        <v>45626</v>
      </c>
      <c r="D205" t="inlineStr">
        <is>
          <t>JÄMTLANDS LÄN</t>
        </is>
      </c>
      <c r="E205" t="inlineStr">
        <is>
          <t>ÖSTERSUND</t>
        </is>
      </c>
      <c r="G205" t="n">
        <v>2.2</v>
      </c>
      <c r="H205" t="n">
        <v>0</v>
      </c>
      <c r="I205" t="n">
        <v>0</v>
      </c>
      <c r="J205" t="n">
        <v>0</v>
      </c>
      <c r="K205" t="n">
        <v>0</v>
      </c>
      <c r="L205" t="n">
        <v>0</v>
      </c>
      <c r="M205" t="n">
        <v>0</v>
      </c>
      <c r="N205" t="n">
        <v>0</v>
      </c>
      <c r="O205" t="n">
        <v>0</v>
      </c>
      <c r="P205" t="n">
        <v>0</v>
      </c>
      <c r="Q205" t="n">
        <v>0</v>
      </c>
      <c r="R205" s="2" t="inlineStr"/>
    </row>
    <row r="206" ht="15" customHeight="1">
      <c r="A206" t="inlineStr">
        <is>
          <t>A 39459-2019</t>
        </is>
      </c>
      <c r="B206" s="1" t="n">
        <v>43686</v>
      </c>
      <c r="C206" s="1" t="n">
        <v>45626</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40530-2019</t>
        </is>
      </c>
      <c r="B207" s="1" t="n">
        <v>43696</v>
      </c>
      <c r="C207" s="1" t="n">
        <v>45626</v>
      </c>
      <c r="D207" t="inlineStr">
        <is>
          <t>JÄMTLANDS LÄN</t>
        </is>
      </c>
      <c r="E207" t="inlineStr">
        <is>
          <t>ÖSTERSUND</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41364-2019</t>
        </is>
      </c>
      <c r="B208" s="1" t="n">
        <v>43696</v>
      </c>
      <c r="C208" s="1" t="n">
        <v>45626</v>
      </c>
      <c r="D208" t="inlineStr">
        <is>
          <t>JÄMTLANDS LÄN</t>
        </is>
      </c>
      <c r="E208" t="inlineStr">
        <is>
          <t>ÖSTERSUND</t>
        </is>
      </c>
      <c r="G208" t="n">
        <v>1.2</v>
      </c>
      <c r="H208" t="n">
        <v>0</v>
      </c>
      <c r="I208" t="n">
        <v>0</v>
      </c>
      <c r="J208" t="n">
        <v>0</v>
      </c>
      <c r="K208" t="n">
        <v>0</v>
      </c>
      <c r="L208" t="n">
        <v>0</v>
      </c>
      <c r="M208" t="n">
        <v>0</v>
      </c>
      <c r="N208" t="n">
        <v>0</v>
      </c>
      <c r="O208" t="n">
        <v>0</v>
      </c>
      <c r="P208" t="n">
        <v>0</v>
      </c>
      <c r="Q208" t="n">
        <v>0</v>
      </c>
      <c r="R208" s="2" t="inlineStr"/>
    </row>
    <row r="209" ht="15" customHeight="1">
      <c r="A209" t="inlineStr">
        <is>
          <t>A 40531-2019</t>
        </is>
      </c>
      <c r="B209" s="1" t="n">
        <v>43696</v>
      </c>
      <c r="C209" s="1" t="n">
        <v>45626</v>
      </c>
      <c r="D209" t="inlineStr">
        <is>
          <t>JÄMTLANDS LÄN</t>
        </is>
      </c>
      <c r="E209" t="inlineStr">
        <is>
          <t>ÖSTERSUND</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41556-2019</t>
        </is>
      </c>
      <c r="B210" s="1" t="n">
        <v>43696</v>
      </c>
      <c r="C210" s="1" t="n">
        <v>45626</v>
      </c>
      <c r="D210" t="inlineStr">
        <is>
          <t>JÄMTLANDS LÄN</t>
        </is>
      </c>
      <c r="E210" t="inlineStr">
        <is>
          <t>ÖSTERSUND</t>
        </is>
      </c>
      <c r="F210" t="inlineStr">
        <is>
          <t>SCA</t>
        </is>
      </c>
      <c r="G210" t="n">
        <v>0.7</v>
      </c>
      <c r="H210" t="n">
        <v>0</v>
      </c>
      <c r="I210" t="n">
        <v>0</v>
      </c>
      <c r="J210" t="n">
        <v>0</v>
      </c>
      <c r="K210" t="n">
        <v>0</v>
      </c>
      <c r="L210" t="n">
        <v>0</v>
      </c>
      <c r="M210" t="n">
        <v>0</v>
      </c>
      <c r="N210" t="n">
        <v>0</v>
      </c>
      <c r="O210" t="n">
        <v>0</v>
      </c>
      <c r="P210" t="n">
        <v>0</v>
      </c>
      <c r="Q210" t="n">
        <v>0</v>
      </c>
      <c r="R210" s="2" t="inlineStr"/>
    </row>
    <row r="211" ht="15" customHeight="1">
      <c r="A211" t="inlineStr">
        <is>
          <t>A 41588-2019</t>
        </is>
      </c>
      <c r="B211" s="1" t="n">
        <v>43699</v>
      </c>
      <c r="C211" s="1" t="n">
        <v>45626</v>
      </c>
      <c r="D211" t="inlineStr">
        <is>
          <t>JÄMTLANDS LÄN</t>
        </is>
      </c>
      <c r="E211" t="inlineStr">
        <is>
          <t>ÖSTERSUND</t>
        </is>
      </c>
      <c r="G211" t="n">
        <v>26.7</v>
      </c>
      <c r="H211" t="n">
        <v>0</v>
      </c>
      <c r="I211" t="n">
        <v>0</v>
      </c>
      <c r="J211" t="n">
        <v>0</v>
      </c>
      <c r="K211" t="n">
        <v>0</v>
      </c>
      <c r="L211" t="n">
        <v>0</v>
      </c>
      <c r="M211" t="n">
        <v>0</v>
      </c>
      <c r="N211" t="n">
        <v>0</v>
      </c>
      <c r="O211" t="n">
        <v>0</v>
      </c>
      <c r="P211" t="n">
        <v>0</v>
      </c>
      <c r="Q211" t="n">
        <v>0</v>
      </c>
      <c r="R211" s="2" t="inlineStr"/>
    </row>
    <row r="212" ht="15" customHeight="1">
      <c r="A212" t="inlineStr">
        <is>
          <t>A 43249-2019</t>
        </is>
      </c>
      <c r="B212" s="1" t="n">
        <v>43703</v>
      </c>
      <c r="C212" s="1" t="n">
        <v>45626</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43425-2019</t>
        </is>
      </c>
      <c r="B213" s="1" t="n">
        <v>43703</v>
      </c>
      <c r="C213" s="1" t="n">
        <v>45626</v>
      </c>
      <c r="D213" t="inlineStr">
        <is>
          <t>JÄMTLANDS LÄN</t>
        </is>
      </c>
      <c r="E213" t="inlineStr">
        <is>
          <t>ÖSTERSUND</t>
        </is>
      </c>
      <c r="G213" t="n">
        <v>2.4</v>
      </c>
      <c r="H213" t="n">
        <v>0</v>
      </c>
      <c r="I213" t="n">
        <v>0</v>
      </c>
      <c r="J213" t="n">
        <v>0</v>
      </c>
      <c r="K213" t="n">
        <v>0</v>
      </c>
      <c r="L213" t="n">
        <v>0</v>
      </c>
      <c r="M213" t="n">
        <v>0</v>
      </c>
      <c r="N213" t="n">
        <v>0</v>
      </c>
      <c r="O213" t="n">
        <v>0</v>
      </c>
      <c r="P213" t="n">
        <v>0</v>
      </c>
      <c r="Q213" t="n">
        <v>0</v>
      </c>
      <c r="R213" s="2" t="inlineStr"/>
    </row>
    <row r="214" ht="15" customHeight="1">
      <c r="A214" t="inlineStr">
        <is>
          <t>A 46346-2019</t>
        </is>
      </c>
      <c r="B214" s="1" t="n">
        <v>43718</v>
      </c>
      <c r="C214" s="1" t="n">
        <v>45626</v>
      </c>
      <c r="D214" t="inlineStr">
        <is>
          <t>JÄMTLANDS LÄN</t>
        </is>
      </c>
      <c r="E214" t="inlineStr">
        <is>
          <t>ÖSTERSUND</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47810-2019</t>
        </is>
      </c>
      <c r="B215" s="1" t="n">
        <v>43724</v>
      </c>
      <c r="C215" s="1" t="n">
        <v>45626</v>
      </c>
      <c r="D215" t="inlineStr">
        <is>
          <t>JÄMTLANDS LÄN</t>
        </is>
      </c>
      <c r="E215" t="inlineStr">
        <is>
          <t>ÖSTERSUND</t>
        </is>
      </c>
      <c r="F215" t="inlineStr">
        <is>
          <t>SCA</t>
        </is>
      </c>
      <c r="G215" t="n">
        <v>0.5</v>
      </c>
      <c r="H215" t="n">
        <v>0</v>
      </c>
      <c r="I215" t="n">
        <v>0</v>
      </c>
      <c r="J215" t="n">
        <v>0</v>
      </c>
      <c r="K215" t="n">
        <v>0</v>
      </c>
      <c r="L215" t="n">
        <v>0</v>
      </c>
      <c r="M215" t="n">
        <v>0</v>
      </c>
      <c r="N215" t="n">
        <v>0</v>
      </c>
      <c r="O215" t="n">
        <v>0</v>
      </c>
      <c r="P215" t="n">
        <v>0</v>
      </c>
      <c r="Q215" t="n">
        <v>0</v>
      </c>
      <c r="R215" s="2" t="inlineStr"/>
    </row>
    <row r="216" ht="15" customHeight="1">
      <c r="A216" t="inlineStr">
        <is>
          <t>A 48115-2019</t>
        </is>
      </c>
      <c r="B216" s="1" t="n">
        <v>43725</v>
      </c>
      <c r="C216" s="1" t="n">
        <v>45626</v>
      </c>
      <c r="D216" t="inlineStr">
        <is>
          <t>JÄMTLANDS LÄN</t>
        </is>
      </c>
      <c r="E216" t="inlineStr">
        <is>
          <t>ÖSTERSUND</t>
        </is>
      </c>
      <c r="F216" t="inlineStr">
        <is>
          <t>SCA</t>
        </is>
      </c>
      <c r="G216" t="n">
        <v>3</v>
      </c>
      <c r="H216" t="n">
        <v>0</v>
      </c>
      <c r="I216" t="n">
        <v>0</v>
      </c>
      <c r="J216" t="n">
        <v>0</v>
      </c>
      <c r="K216" t="n">
        <v>0</v>
      </c>
      <c r="L216" t="n">
        <v>0</v>
      </c>
      <c r="M216" t="n">
        <v>0</v>
      </c>
      <c r="N216" t="n">
        <v>0</v>
      </c>
      <c r="O216" t="n">
        <v>0</v>
      </c>
      <c r="P216" t="n">
        <v>0</v>
      </c>
      <c r="Q216" t="n">
        <v>0</v>
      </c>
      <c r="R216" s="2" t="inlineStr"/>
    </row>
    <row r="217" ht="15" customHeight="1">
      <c r="A217" t="inlineStr">
        <is>
          <t>A 48680-2019</t>
        </is>
      </c>
      <c r="B217" s="1" t="n">
        <v>43727</v>
      </c>
      <c r="C217" s="1" t="n">
        <v>45626</v>
      </c>
      <c r="D217" t="inlineStr">
        <is>
          <t>JÄMTLANDS LÄN</t>
        </is>
      </c>
      <c r="E217" t="inlineStr">
        <is>
          <t>ÖSTERSUND</t>
        </is>
      </c>
      <c r="G217" t="n">
        <v>3</v>
      </c>
      <c r="H217" t="n">
        <v>0</v>
      </c>
      <c r="I217" t="n">
        <v>0</v>
      </c>
      <c r="J217" t="n">
        <v>0</v>
      </c>
      <c r="K217" t="n">
        <v>0</v>
      </c>
      <c r="L217" t="n">
        <v>0</v>
      </c>
      <c r="M217" t="n">
        <v>0</v>
      </c>
      <c r="N217" t="n">
        <v>0</v>
      </c>
      <c r="O217" t="n">
        <v>0</v>
      </c>
      <c r="P217" t="n">
        <v>0</v>
      </c>
      <c r="Q217" t="n">
        <v>0</v>
      </c>
      <c r="R217" s="2" t="inlineStr"/>
    </row>
    <row r="218" ht="15" customHeight="1">
      <c r="A218" t="inlineStr">
        <is>
          <t>A 49629-2019</t>
        </is>
      </c>
      <c r="B218" s="1" t="n">
        <v>43732</v>
      </c>
      <c r="C218" s="1" t="n">
        <v>45626</v>
      </c>
      <c r="D218" t="inlineStr">
        <is>
          <t>JÄMTLANDS LÄN</t>
        </is>
      </c>
      <c r="E218" t="inlineStr">
        <is>
          <t>ÖSTERSUND</t>
        </is>
      </c>
      <c r="F218" t="inlineStr">
        <is>
          <t>Övriga Aktiebolag</t>
        </is>
      </c>
      <c r="G218" t="n">
        <v>2.1</v>
      </c>
      <c r="H218" t="n">
        <v>0</v>
      </c>
      <c r="I218" t="n">
        <v>0</v>
      </c>
      <c r="J218" t="n">
        <v>0</v>
      </c>
      <c r="K218" t="n">
        <v>0</v>
      </c>
      <c r="L218" t="n">
        <v>0</v>
      </c>
      <c r="M218" t="n">
        <v>0</v>
      </c>
      <c r="N218" t="n">
        <v>0</v>
      </c>
      <c r="O218" t="n">
        <v>0</v>
      </c>
      <c r="P218" t="n">
        <v>0</v>
      </c>
      <c r="Q218" t="n">
        <v>0</v>
      </c>
      <c r="R218" s="2" t="inlineStr"/>
    </row>
    <row r="219" ht="15" customHeight="1">
      <c r="A219" t="inlineStr">
        <is>
          <t>A 51347-2019</t>
        </is>
      </c>
      <c r="B219" s="1" t="n">
        <v>43732</v>
      </c>
      <c r="C219" s="1" t="n">
        <v>45626</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49997-2019</t>
        </is>
      </c>
      <c r="B220" s="1" t="n">
        <v>43733</v>
      </c>
      <c r="C220" s="1" t="n">
        <v>45626</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50316-2019</t>
        </is>
      </c>
      <c r="B221" s="1" t="n">
        <v>43735</v>
      </c>
      <c r="C221" s="1" t="n">
        <v>45626</v>
      </c>
      <c r="D221" t="inlineStr">
        <is>
          <t>JÄMTLANDS LÄN</t>
        </is>
      </c>
      <c r="E221" t="inlineStr">
        <is>
          <t>ÖSTERSUND</t>
        </is>
      </c>
      <c r="G221" t="n">
        <v>9.5</v>
      </c>
      <c r="H221" t="n">
        <v>0</v>
      </c>
      <c r="I221" t="n">
        <v>0</v>
      </c>
      <c r="J221" t="n">
        <v>0</v>
      </c>
      <c r="K221" t="n">
        <v>0</v>
      </c>
      <c r="L221" t="n">
        <v>0</v>
      </c>
      <c r="M221" t="n">
        <v>0</v>
      </c>
      <c r="N221" t="n">
        <v>0</v>
      </c>
      <c r="O221" t="n">
        <v>0</v>
      </c>
      <c r="P221" t="n">
        <v>0</v>
      </c>
      <c r="Q221" t="n">
        <v>0</v>
      </c>
      <c r="R221" s="2" t="inlineStr"/>
    </row>
    <row r="222" ht="15" customHeight="1">
      <c r="A222" t="inlineStr">
        <is>
          <t>A 50779-2019</t>
        </is>
      </c>
      <c r="B222" s="1" t="n">
        <v>43738</v>
      </c>
      <c r="C222" s="1" t="n">
        <v>45626</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50968-2019</t>
        </is>
      </c>
      <c r="B223" s="1" t="n">
        <v>43738</v>
      </c>
      <c r="C223" s="1" t="n">
        <v>45626</v>
      </c>
      <c r="D223" t="inlineStr">
        <is>
          <t>JÄMTLANDS LÄN</t>
        </is>
      </c>
      <c r="E223" t="inlineStr">
        <is>
          <t>ÖSTERSUND</t>
        </is>
      </c>
      <c r="F223" t="inlineStr">
        <is>
          <t>SCA</t>
        </is>
      </c>
      <c r="G223" t="n">
        <v>2.2</v>
      </c>
      <c r="H223" t="n">
        <v>0</v>
      </c>
      <c r="I223" t="n">
        <v>0</v>
      </c>
      <c r="J223" t="n">
        <v>0</v>
      </c>
      <c r="K223" t="n">
        <v>0</v>
      </c>
      <c r="L223" t="n">
        <v>0</v>
      </c>
      <c r="M223" t="n">
        <v>0</v>
      </c>
      <c r="N223" t="n">
        <v>0</v>
      </c>
      <c r="O223" t="n">
        <v>0</v>
      </c>
      <c r="P223" t="n">
        <v>0</v>
      </c>
      <c r="Q223" t="n">
        <v>0</v>
      </c>
      <c r="R223" s="2" t="inlineStr"/>
    </row>
    <row r="224" ht="15" customHeight="1">
      <c r="A224" t="inlineStr">
        <is>
          <t>A 54498-2019</t>
        </is>
      </c>
      <c r="B224" s="1" t="n">
        <v>43747</v>
      </c>
      <c r="C224" s="1" t="n">
        <v>45626</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53297-2019</t>
        </is>
      </c>
      <c r="B225" s="1" t="n">
        <v>43748</v>
      </c>
      <c r="C225" s="1" t="n">
        <v>45626</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53533-2019</t>
        </is>
      </c>
      <c r="B226" s="1" t="n">
        <v>43749</v>
      </c>
      <c r="C226" s="1" t="n">
        <v>45626</v>
      </c>
      <c r="D226" t="inlineStr">
        <is>
          <t>JÄMTLANDS LÄN</t>
        </is>
      </c>
      <c r="E226" t="inlineStr">
        <is>
          <t>ÖSTERSUND</t>
        </is>
      </c>
      <c r="G226" t="n">
        <v>0.2</v>
      </c>
      <c r="H226" t="n">
        <v>0</v>
      </c>
      <c r="I226" t="n">
        <v>0</v>
      </c>
      <c r="J226" t="n">
        <v>0</v>
      </c>
      <c r="K226" t="n">
        <v>0</v>
      </c>
      <c r="L226" t="n">
        <v>0</v>
      </c>
      <c r="M226" t="n">
        <v>0</v>
      </c>
      <c r="N226" t="n">
        <v>0</v>
      </c>
      <c r="O226" t="n">
        <v>0</v>
      </c>
      <c r="P226" t="n">
        <v>0</v>
      </c>
      <c r="Q226" t="n">
        <v>0</v>
      </c>
      <c r="R226" s="2" t="inlineStr"/>
    </row>
    <row r="227" ht="15" customHeight="1">
      <c r="A227" t="inlineStr">
        <is>
          <t>A 53859-2019</t>
        </is>
      </c>
      <c r="B227" s="1" t="n">
        <v>43752</v>
      </c>
      <c r="C227" s="1" t="n">
        <v>45626</v>
      </c>
      <c r="D227" t="inlineStr">
        <is>
          <t>JÄMTLANDS LÄN</t>
        </is>
      </c>
      <c r="E227" t="inlineStr">
        <is>
          <t>ÖSTERSUND</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57466-2019</t>
        </is>
      </c>
      <c r="B228" s="1" t="n">
        <v>43761</v>
      </c>
      <c r="C228" s="1" t="n">
        <v>45626</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56512-2019</t>
        </is>
      </c>
      <c r="B229" s="1" t="n">
        <v>43762</v>
      </c>
      <c r="C229" s="1" t="n">
        <v>45626</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57845-2019</t>
        </is>
      </c>
      <c r="B230" s="1" t="n">
        <v>43768</v>
      </c>
      <c r="C230" s="1" t="n">
        <v>45626</v>
      </c>
      <c r="D230" t="inlineStr">
        <is>
          <t>JÄMTLANDS LÄN</t>
        </is>
      </c>
      <c r="E230" t="inlineStr">
        <is>
          <t>ÖSTERSUND</t>
        </is>
      </c>
      <c r="G230" t="n">
        <v>3.7</v>
      </c>
      <c r="H230" t="n">
        <v>0</v>
      </c>
      <c r="I230" t="n">
        <v>0</v>
      </c>
      <c r="J230" t="n">
        <v>0</v>
      </c>
      <c r="K230" t="n">
        <v>0</v>
      </c>
      <c r="L230" t="n">
        <v>0</v>
      </c>
      <c r="M230" t="n">
        <v>0</v>
      </c>
      <c r="N230" t="n">
        <v>0</v>
      </c>
      <c r="O230" t="n">
        <v>0</v>
      </c>
      <c r="P230" t="n">
        <v>0</v>
      </c>
      <c r="Q230" t="n">
        <v>0</v>
      </c>
      <c r="R230" s="2" t="inlineStr"/>
    </row>
    <row r="231" ht="15" customHeight="1">
      <c r="A231" t="inlineStr">
        <is>
          <t>A 58216-2019</t>
        </is>
      </c>
      <c r="B231" s="1" t="n">
        <v>43770</v>
      </c>
      <c r="C231" s="1" t="n">
        <v>45626</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58210-2019</t>
        </is>
      </c>
      <c r="B232" s="1" t="n">
        <v>43770</v>
      </c>
      <c r="C232" s="1" t="n">
        <v>45626</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59437-2019</t>
        </is>
      </c>
      <c r="B233" s="1" t="n">
        <v>43773</v>
      </c>
      <c r="C233" s="1" t="n">
        <v>45626</v>
      </c>
      <c r="D233" t="inlineStr">
        <is>
          <t>JÄMTLANDS LÄN</t>
        </is>
      </c>
      <c r="E233" t="inlineStr">
        <is>
          <t>ÖSTERSUND</t>
        </is>
      </c>
      <c r="G233" t="n">
        <v>6.2</v>
      </c>
      <c r="H233" t="n">
        <v>0</v>
      </c>
      <c r="I233" t="n">
        <v>0</v>
      </c>
      <c r="J233" t="n">
        <v>0</v>
      </c>
      <c r="K233" t="n">
        <v>0</v>
      </c>
      <c r="L233" t="n">
        <v>0</v>
      </c>
      <c r="M233" t="n">
        <v>0</v>
      </c>
      <c r="N233" t="n">
        <v>0</v>
      </c>
      <c r="O233" t="n">
        <v>0</v>
      </c>
      <c r="P233" t="n">
        <v>0</v>
      </c>
      <c r="Q233" t="n">
        <v>0</v>
      </c>
      <c r="R233" s="2" t="inlineStr"/>
    </row>
    <row r="234" ht="15" customHeight="1">
      <c r="A234" t="inlineStr">
        <is>
          <t>A 60240-2019</t>
        </is>
      </c>
      <c r="B234" s="1" t="n">
        <v>43776</v>
      </c>
      <c r="C234" s="1" t="n">
        <v>45626</v>
      </c>
      <c r="D234" t="inlineStr">
        <is>
          <t>JÄMTLANDS LÄN</t>
        </is>
      </c>
      <c r="E234" t="inlineStr">
        <is>
          <t>ÖSTERSUND</t>
        </is>
      </c>
      <c r="G234" t="n">
        <v>3.9</v>
      </c>
      <c r="H234" t="n">
        <v>0</v>
      </c>
      <c r="I234" t="n">
        <v>0</v>
      </c>
      <c r="J234" t="n">
        <v>0</v>
      </c>
      <c r="K234" t="n">
        <v>0</v>
      </c>
      <c r="L234" t="n">
        <v>0</v>
      </c>
      <c r="M234" t="n">
        <v>0</v>
      </c>
      <c r="N234" t="n">
        <v>0</v>
      </c>
      <c r="O234" t="n">
        <v>0</v>
      </c>
      <c r="P234" t="n">
        <v>0</v>
      </c>
      <c r="Q234" t="n">
        <v>0</v>
      </c>
      <c r="R234" s="2" t="inlineStr"/>
    </row>
    <row r="235" ht="15" customHeight="1">
      <c r="A235" t="inlineStr">
        <is>
          <t>A 60001-2019</t>
        </is>
      </c>
      <c r="B235" s="1" t="n">
        <v>43777</v>
      </c>
      <c r="C235" s="1" t="n">
        <v>45626</v>
      </c>
      <c r="D235" t="inlineStr">
        <is>
          <t>JÄMTLANDS LÄN</t>
        </is>
      </c>
      <c r="E235" t="inlineStr">
        <is>
          <t>ÖSTERSUND</t>
        </is>
      </c>
      <c r="G235" t="n">
        <v>3.2</v>
      </c>
      <c r="H235" t="n">
        <v>0</v>
      </c>
      <c r="I235" t="n">
        <v>0</v>
      </c>
      <c r="J235" t="n">
        <v>0</v>
      </c>
      <c r="K235" t="n">
        <v>0</v>
      </c>
      <c r="L235" t="n">
        <v>0</v>
      </c>
      <c r="M235" t="n">
        <v>0</v>
      </c>
      <c r="N235" t="n">
        <v>0</v>
      </c>
      <c r="O235" t="n">
        <v>0</v>
      </c>
      <c r="P235" t="n">
        <v>0</v>
      </c>
      <c r="Q235" t="n">
        <v>0</v>
      </c>
      <c r="R235" s="2" t="inlineStr"/>
    </row>
    <row r="236" ht="15" customHeight="1">
      <c r="A236" t="inlineStr">
        <is>
          <t>A 60669-2019</t>
        </is>
      </c>
      <c r="B236" s="1" t="n">
        <v>43781</v>
      </c>
      <c r="C236" s="1" t="n">
        <v>45626</v>
      </c>
      <c r="D236" t="inlineStr">
        <is>
          <t>JÄMTLANDS LÄN</t>
        </is>
      </c>
      <c r="E236" t="inlineStr">
        <is>
          <t>ÖSTERSUND</t>
        </is>
      </c>
      <c r="G236" t="n">
        <v>3.6</v>
      </c>
      <c r="H236" t="n">
        <v>0</v>
      </c>
      <c r="I236" t="n">
        <v>0</v>
      </c>
      <c r="J236" t="n">
        <v>0</v>
      </c>
      <c r="K236" t="n">
        <v>0</v>
      </c>
      <c r="L236" t="n">
        <v>0</v>
      </c>
      <c r="M236" t="n">
        <v>0</v>
      </c>
      <c r="N236" t="n">
        <v>0</v>
      </c>
      <c r="O236" t="n">
        <v>0</v>
      </c>
      <c r="P236" t="n">
        <v>0</v>
      </c>
      <c r="Q236" t="n">
        <v>0</v>
      </c>
      <c r="R236" s="2" t="inlineStr"/>
    </row>
    <row r="237" ht="15" customHeight="1">
      <c r="A237" t="inlineStr">
        <is>
          <t>A 60604-2019</t>
        </is>
      </c>
      <c r="B237" s="1" t="n">
        <v>43781</v>
      </c>
      <c r="C237" s="1" t="n">
        <v>45626</v>
      </c>
      <c r="D237" t="inlineStr">
        <is>
          <t>JÄMTLANDS LÄN</t>
        </is>
      </c>
      <c r="E237" t="inlineStr">
        <is>
          <t>ÖSTERSUND</t>
        </is>
      </c>
      <c r="G237" t="n">
        <v>8.9</v>
      </c>
      <c r="H237" t="n">
        <v>0</v>
      </c>
      <c r="I237" t="n">
        <v>0</v>
      </c>
      <c r="J237" t="n">
        <v>0</v>
      </c>
      <c r="K237" t="n">
        <v>0</v>
      </c>
      <c r="L237" t="n">
        <v>0</v>
      </c>
      <c r="M237" t="n">
        <v>0</v>
      </c>
      <c r="N237" t="n">
        <v>0</v>
      </c>
      <c r="O237" t="n">
        <v>0</v>
      </c>
      <c r="P237" t="n">
        <v>0</v>
      </c>
      <c r="Q237" t="n">
        <v>0</v>
      </c>
      <c r="R237" s="2" t="inlineStr"/>
    </row>
    <row r="238" ht="15" customHeight="1">
      <c r="A238" t="inlineStr">
        <is>
          <t>A 62234-2019</t>
        </is>
      </c>
      <c r="B238" s="1" t="n">
        <v>43784</v>
      </c>
      <c r="C238" s="1" t="n">
        <v>45626</v>
      </c>
      <c r="D238" t="inlineStr">
        <is>
          <t>JÄMTLANDS LÄN</t>
        </is>
      </c>
      <c r="E238" t="inlineStr">
        <is>
          <t>ÖSTERSUND</t>
        </is>
      </c>
      <c r="G238" t="n">
        <v>1.3</v>
      </c>
      <c r="H238" t="n">
        <v>0</v>
      </c>
      <c r="I238" t="n">
        <v>0</v>
      </c>
      <c r="J238" t="n">
        <v>0</v>
      </c>
      <c r="K238" t="n">
        <v>0</v>
      </c>
      <c r="L238" t="n">
        <v>0</v>
      </c>
      <c r="M238" t="n">
        <v>0</v>
      </c>
      <c r="N238" t="n">
        <v>0</v>
      </c>
      <c r="O238" t="n">
        <v>0</v>
      </c>
      <c r="P238" t="n">
        <v>0</v>
      </c>
      <c r="Q238" t="n">
        <v>0</v>
      </c>
      <c r="R238" s="2" t="inlineStr"/>
    </row>
    <row r="239" ht="15" customHeight="1">
      <c r="A239" t="inlineStr">
        <is>
          <t>A 62136-2019</t>
        </is>
      </c>
      <c r="B239" s="1" t="n">
        <v>43787</v>
      </c>
      <c r="C239" s="1" t="n">
        <v>45626</v>
      </c>
      <c r="D239" t="inlineStr">
        <is>
          <t>JÄMTLANDS LÄN</t>
        </is>
      </c>
      <c r="E239" t="inlineStr">
        <is>
          <t>ÖSTERSUND</t>
        </is>
      </c>
      <c r="F239" t="inlineStr">
        <is>
          <t>Övriga Aktiebolag</t>
        </is>
      </c>
      <c r="G239" t="n">
        <v>35.2</v>
      </c>
      <c r="H239" t="n">
        <v>0</v>
      </c>
      <c r="I239" t="n">
        <v>0</v>
      </c>
      <c r="J239" t="n">
        <v>0</v>
      </c>
      <c r="K239" t="n">
        <v>0</v>
      </c>
      <c r="L239" t="n">
        <v>0</v>
      </c>
      <c r="M239" t="n">
        <v>0</v>
      </c>
      <c r="N239" t="n">
        <v>0</v>
      </c>
      <c r="O239" t="n">
        <v>0</v>
      </c>
      <c r="P239" t="n">
        <v>0</v>
      </c>
      <c r="Q239" t="n">
        <v>0</v>
      </c>
      <c r="R239" s="2" t="inlineStr"/>
    </row>
    <row r="240" ht="15" customHeight="1">
      <c r="A240" t="inlineStr">
        <is>
          <t>A 64622-2019</t>
        </is>
      </c>
      <c r="B240" s="1" t="n">
        <v>43794</v>
      </c>
      <c r="C240" s="1" t="n">
        <v>45626</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65335-2019</t>
        </is>
      </c>
      <c r="B241" s="1" t="n">
        <v>43802</v>
      </c>
      <c r="C241" s="1" t="n">
        <v>45626</v>
      </c>
      <c r="D241" t="inlineStr">
        <is>
          <t>JÄMTLANDS LÄN</t>
        </is>
      </c>
      <c r="E241" t="inlineStr">
        <is>
          <t>ÖSTERSUND</t>
        </is>
      </c>
      <c r="G241" t="n">
        <v>2.8</v>
      </c>
      <c r="H241" t="n">
        <v>0</v>
      </c>
      <c r="I241" t="n">
        <v>0</v>
      </c>
      <c r="J241" t="n">
        <v>0</v>
      </c>
      <c r="K241" t="n">
        <v>0</v>
      </c>
      <c r="L241" t="n">
        <v>0</v>
      </c>
      <c r="M241" t="n">
        <v>0</v>
      </c>
      <c r="N241" t="n">
        <v>0</v>
      </c>
      <c r="O241" t="n">
        <v>0</v>
      </c>
      <c r="P241" t="n">
        <v>0</v>
      </c>
      <c r="Q241" t="n">
        <v>0</v>
      </c>
      <c r="R241" s="2" t="inlineStr"/>
    </row>
    <row r="242" ht="15" customHeight="1">
      <c r="A242" t="inlineStr">
        <is>
          <t>A 67010-2019</t>
        </is>
      </c>
      <c r="B242" s="1" t="n">
        <v>43805</v>
      </c>
      <c r="C242" s="1" t="n">
        <v>45626</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66592-2019</t>
        </is>
      </c>
      <c r="B243" s="1" t="n">
        <v>43809</v>
      </c>
      <c r="C243" s="1" t="n">
        <v>45626</v>
      </c>
      <c r="D243" t="inlineStr">
        <is>
          <t>JÄMTLANDS LÄN</t>
        </is>
      </c>
      <c r="E243" t="inlineStr">
        <is>
          <t>ÖSTERSUND</t>
        </is>
      </c>
      <c r="G243" t="n">
        <v>0.9</v>
      </c>
      <c r="H243" t="n">
        <v>0</v>
      </c>
      <c r="I243" t="n">
        <v>0</v>
      </c>
      <c r="J243" t="n">
        <v>0</v>
      </c>
      <c r="K243" t="n">
        <v>0</v>
      </c>
      <c r="L243" t="n">
        <v>0</v>
      </c>
      <c r="M243" t="n">
        <v>0</v>
      </c>
      <c r="N243" t="n">
        <v>0</v>
      </c>
      <c r="O243" t="n">
        <v>0</v>
      </c>
      <c r="P243" t="n">
        <v>0</v>
      </c>
      <c r="Q243" t="n">
        <v>0</v>
      </c>
      <c r="R243" s="2" t="inlineStr"/>
    </row>
    <row r="244" ht="15" customHeight="1">
      <c r="A244" t="inlineStr">
        <is>
          <t>A 67863-2019</t>
        </is>
      </c>
      <c r="B244" s="1" t="n">
        <v>43809</v>
      </c>
      <c r="C244" s="1" t="n">
        <v>45626</v>
      </c>
      <c r="D244" t="inlineStr">
        <is>
          <t>JÄMTLANDS LÄN</t>
        </is>
      </c>
      <c r="E244" t="inlineStr">
        <is>
          <t>ÖSTERSUND</t>
        </is>
      </c>
      <c r="G244" t="n">
        <v>2.3</v>
      </c>
      <c r="H244" t="n">
        <v>0</v>
      </c>
      <c r="I244" t="n">
        <v>0</v>
      </c>
      <c r="J244" t="n">
        <v>0</v>
      </c>
      <c r="K244" t="n">
        <v>0</v>
      </c>
      <c r="L244" t="n">
        <v>0</v>
      </c>
      <c r="M244" t="n">
        <v>0</v>
      </c>
      <c r="N244" t="n">
        <v>0</v>
      </c>
      <c r="O244" t="n">
        <v>0</v>
      </c>
      <c r="P244" t="n">
        <v>0</v>
      </c>
      <c r="Q244" t="n">
        <v>0</v>
      </c>
      <c r="R244" s="2" t="inlineStr"/>
    </row>
    <row r="245" ht="15" customHeight="1">
      <c r="A245" t="inlineStr">
        <is>
          <t>A 68238-2019</t>
        </is>
      </c>
      <c r="B245" s="1" t="n">
        <v>43817</v>
      </c>
      <c r="C245" s="1" t="n">
        <v>45626</v>
      </c>
      <c r="D245" t="inlineStr">
        <is>
          <t>JÄMTLANDS LÄN</t>
        </is>
      </c>
      <c r="E245" t="inlineStr">
        <is>
          <t>ÖSTERSUND</t>
        </is>
      </c>
      <c r="G245" t="n">
        <v>2.7</v>
      </c>
      <c r="H245" t="n">
        <v>0</v>
      </c>
      <c r="I245" t="n">
        <v>0</v>
      </c>
      <c r="J245" t="n">
        <v>0</v>
      </c>
      <c r="K245" t="n">
        <v>0</v>
      </c>
      <c r="L245" t="n">
        <v>0</v>
      </c>
      <c r="M245" t="n">
        <v>0</v>
      </c>
      <c r="N245" t="n">
        <v>0</v>
      </c>
      <c r="O245" t="n">
        <v>0</v>
      </c>
      <c r="P245" t="n">
        <v>0</v>
      </c>
      <c r="Q245" t="n">
        <v>0</v>
      </c>
      <c r="R245" s="2" t="inlineStr"/>
    </row>
    <row r="246" ht="15" customHeight="1">
      <c r="A246" t="inlineStr">
        <is>
          <t>A 745-2020</t>
        </is>
      </c>
      <c r="B246" s="1" t="n">
        <v>43838</v>
      </c>
      <c r="C246" s="1" t="n">
        <v>45626</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1088-2020</t>
        </is>
      </c>
      <c r="B247" s="1" t="n">
        <v>43840</v>
      </c>
      <c r="C247" s="1" t="n">
        <v>45626</v>
      </c>
      <c r="D247" t="inlineStr">
        <is>
          <t>JÄMTLANDS LÄN</t>
        </is>
      </c>
      <c r="E247" t="inlineStr">
        <is>
          <t>ÖSTERSUND</t>
        </is>
      </c>
      <c r="G247" t="n">
        <v>4.4</v>
      </c>
      <c r="H247" t="n">
        <v>0</v>
      </c>
      <c r="I247" t="n">
        <v>0</v>
      </c>
      <c r="J247" t="n">
        <v>0</v>
      </c>
      <c r="K247" t="n">
        <v>0</v>
      </c>
      <c r="L247" t="n">
        <v>0</v>
      </c>
      <c r="M247" t="n">
        <v>0</v>
      </c>
      <c r="N247" t="n">
        <v>0</v>
      </c>
      <c r="O247" t="n">
        <v>0</v>
      </c>
      <c r="P247" t="n">
        <v>0</v>
      </c>
      <c r="Q247" t="n">
        <v>0</v>
      </c>
      <c r="R247" s="2" t="inlineStr"/>
    </row>
    <row r="248" ht="15" customHeight="1">
      <c r="A248" t="inlineStr">
        <is>
          <t>A 1268-2020</t>
        </is>
      </c>
      <c r="B248" s="1" t="n">
        <v>43840</v>
      </c>
      <c r="C248" s="1" t="n">
        <v>45626</v>
      </c>
      <c r="D248" t="inlineStr">
        <is>
          <t>JÄMTLANDS LÄN</t>
        </is>
      </c>
      <c r="E248" t="inlineStr">
        <is>
          <t>ÖSTERSUND</t>
        </is>
      </c>
      <c r="G248" t="n">
        <v>1.6</v>
      </c>
      <c r="H248" t="n">
        <v>0</v>
      </c>
      <c r="I248" t="n">
        <v>0</v>
      </c>
      <c r="J248" t="n">
        <v>0</v>
      </c>
      <c r="K248" t="n">
        <v>0</v>
      </c>
      <c r="L248" t="n">
        <v>0</v>
      </c>
      <c r="M248" t="n">
        <v>0</v>
      </c>
      <c r="N248" t="n">
        <v>0</v>
      </c>
      <c r="O248" t="n">
        <v>0</v>
      </c>
      <c r="P248" t="n">
        <v>0</v>
      </c>
      <c r="Q248" t="n">
        <v>0</v>
      </c>
      <c r="R248" s="2" t="inlineStr"/>
    </row>
    <row r="249" ht="15" customHeight="1">
      <c r="A249" t="inlineStr">
        <is>
          <t>A 1077-2020</t>
        </is>
      </c>
      <c r="B249" s="1" t="n">
        <v>43840</v>
      </c>
      <c r="C249" s="1" t="n">
        <v>45626</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5905-2020</t>
        </is>
      </c>
      <c r="B250" s="1" t="n">
        <v>43861</v>
      </c>
      <c r="C250" s="1" t="n">
        <v>45626</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6028-2020</t>
        </is>
      </c>
      <c r="B251" s="1" t="n">
        <v>43864</v>
      </c>
      <c r="C251" s="1" t="n">
        <v>45626</v>
      </c>
      <c r="D251" t="inlineStr">
        <is>
          <t>JÄMTLANDS LÄN</t>
        </is>
      </c>
      <c r="E251" t="inlineStr">
        <is>
          <t>ÖSTERSUND</t>
        </is>
      </c>
      <c r="G251" t="n">
        <v>1.7</v>
      </c>
      <c r="H251" t="n">
        <v>0</v>
      </c>
      <c r="I251" t="n">
        <v>0</v>
      </c>
      <c r="J251" t="n">
        <v>0</v>
      </c>
      <c r="K251" t="n">
        <v>0</v>
      </c>
      <c r="L251" t="n">
        <v>0</v>
      </c>
      <c r="M251" t="n">
        <v>0</v>
      </c>
      <c r="N251" t="n">
        <v>0</v>
      </c>
      <c r="O251" t="n">
        <v>0</v>
      </c>
      <c r="P251" t="n">
        <v>0</v>
      </c>
      <c r="Q251" t="n">
        <v>0</v>
      </c>
      <c r="R251" s="2" t="inlineStr"/>
    </row>
    <row r="252" ht="15" customHeight="1">
      <c r="A252" t="inlineStr">
        <is>
          <t>A 6522-2020</t>
        </is>
      </c>
      <c r="B252" s="1" t="n">
        <v>43864</v>
      </c>
      <c r="C252" s="1" t="n">
        <v>45626</v>
      </c>
      <c r="D252" t="inlineStr">
        <is>
          <t>JÄMTLANDS LÄN</t>
        </is>
      </c>
      <c r="E252" t="inlineStr">
        <is>
          <t>ÖSTERSUND</t>
        </is>
      </c>
      <c r="G252" t="n">
        <v>1.5</v>
      </c>
      <c r="H252" t="n">
        <v>0</v>
      </c>
      <c r="I252" t="n">
        <v>0</v>
      </c>
      <c r="J252" t="n">
        <v>0</v>
      </c>
      <c r="K252" t="n">
        <v>0</v>
      </c>
      <c r="L252" t="n">
        <v>0</v>
      </c>
      <c r="M252" t="n">
        <v>0</v>
      </c>
      <c r="N252" t="n">
        <v>0</v>
      </c>
      <c r="O252" t="n">
        <v>0</v>
      </c>
      <c r="P252" t="n">
        <v>0</v>
      </c>
      <c r="Q252" t="n">
        <v>0</v>
      </c>
      <c r="R252" s="2" t="inlineStr"/>
    </row>
    <row r="253" ht="15" customHeight="1">
      <c r="A253" t="inlineStr">
        <is>
          <t>A 6566-2020</t>
        </is>
      </c>
      <c r="B253" s="1" t="n">
        <v>43865</v>
      </c>
      <c r="C253" s="1" t="n">
        <v>45626</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7255-2020</t>
        </is>
      </c>
      <c r="B254" s="1" t="n">
        <v>43871</v>
      </c>
      <c r="C254" s="1" t="n">
        <v>45626</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7570-2020</t>
        </is>
      </c>
      <c r="B255" s="1" t="n">
        <v>43871</v>
      </c>
      <c r="C255" s="1" t="n">
        <v>45626</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8401-2020</t>
        </is>
      </c>
      <c r="B256" s="1" t="n">
        <v>43875</v>
      </c>
      <c r="C256" s="1" t="n">
        <v>45626</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11566-2020</t>
        </is>
      </c>
      <c r="B257" s="1" t="n">
        <v>43893</v>
      </c>
      <c r="C257" s="1" t="n">
        <v>45626</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12202-2020</t>
        </is>
      </c>
      <c r="B258" s="1" t="n">
        <v>43895</v>
      </c>
      <c r="C258" s="1" t="n">
        <v>45626</v>
      </c>
      <c r="D258" t="inlineStr">
        <is>
          <t>JÄMTLANDS LÄN</t>
        </is>
      </c>
      <c r="E258" t="inlineStr">
        <is>
          <t>ÖSTERSUND</t>
        </is>
      </c>
      <c r="G258" t="n">
        <v>1.2</v>
      </c>
      <c r="H258" t="n">
        <v>0</v>
      </c>
      <c r="I258" t="n">
        <v>0</v>
      </c>
      <c r="J258" t="n">
        <v>0</v>
      </c>
      <c r="K258" t="n">
        <v>0</v>
      </c>
      <c r="L258" t="n">
        <v>0</v>
      </c>
      <c r="M258" t="n">
        <v>0</v>
      </c>
      <c r="N258" t="n">
        <v>0</v>
      </c>
      <c r="O258" t="n">
        <v>0</v>
      </c>
      <c r="P258" t="n">
        <v>0</v>
      </c>
      <c r="Q258" t="n">
        <v>0</v>
      </c>
      <c r="R258" s="2" t="inlineStr"/>
    </row>
    <row r="259" ht="15" customHeight="1">
      <c r="A259" t="inlineStr">
        <is>
          <t>A 13264-2020</t>
        </is>
      </c>
      <c r="B259" s="1" t="n">
        <v>43901</v>
      </c>
      <c r="C259" s="1" t="n">
        <v>45626</v>
      </c>
      <c r="D259" t="inlineStr">
        <is>
          <t>JÄMTLANDS LÄN</t>
        </is>
      </c>
      <c r="E259" t="inlineStr">
        <is>
          <t>ÖSTERSUND</t>
        </is>
      </c>
      <c r="G259" t="n">
        <v>4.4</v>
      </c>
      <c r="H259" t="n">
        <v>0</v>
      </c>
      <c r="I259" t="n">
        <v>0</v>
      </c>
      <c r="J259" t="n">
        <v>0</v>
      </c>
      <c r="K259" t="n">
        <v>0</v>
      </c>
      <c r="L259" t="n">
        <v>0</v>
      </c>
      <c r="M259" t="n">
        <v>0</v>
      </c>
      <c r="N259" t="n">
        <v>0</v>
      </c>
      <c r="O259" t="n">
        <v>0</v>
      </c>
      <c r="P259" t="n">
        <v>0</v>
      </c>
      <c r="Q259" t="n">
        <v>0</v>
      </c>
      <c r="R259" s="2" t="inlineStr"/>
    </row>
    <row r="260" ht="15" customHeight="1">
      <c r="A260" t="inlineStr">
        <is>
          <t>A 14917-2020</t>
        </is>
      </c>
      <c r="B260" s="1" t="n">
        <v>43906</v>
      </c>
      <c r="C260" s="1" t="n">
        <v>45626</v>
      </c>
      <c r="D260" t="inlineStr">
        <is>
          <t>JÄMTLANDS LÄN</t>
        </is>
      </c>
      <c r="E260" t="inlineStr">
        <is>
          <t>ÖSTERSUND</t>
        </is>
      </c>
      <c r="G260" t="n">
        <v>12.9</v>
      </c>
      <c r="H260" t="n">
        <v>0</v>
      </c>
      <c r="I260" t="n">
        <v>0</v>
      </c>
      <c r="J260" t="n">
        <v>0</v>
      </c>
      <c r="K260" t="n">
        <v>0</v>
      </c>
      <c r="L260" t="n">
        <v>0</v>
      </c>
      <c r="M260" t="n">
        <v>0</v>
      </c>
      <c r="N260" t="n">
        <v>0</v>
      </c>
      <c r="O260" t="n">
        <v>0</v>
      </c>
      <c r="P260" t="n">
        <v>0</v>
      </c>
      <c r="Q260" t="n">
        <v>0</v>
      </c>
      <c r="R260" s="2" t="inlineStr"/>
    </row>
    <row r="261" ht="15" customHeight="1">
      <c r="A261" t="inlineStr">
        <is>
          <t>A 15797-2020</t>
        </is>
      </c>
      <c r="B261" s="1" t="n">
        <v>43909</v>
      </c>
      <c r="C261" s="1" t="n">
        <v>45626</v>
      </c>
      <c r="D261" t="inlineStr">
        <is>
          <t>JÄMTLANDS LÄN</t>
        </is>
      </c>
      <c r="E261" t="inlineStr">
        <is>
          <t>ÖSTERSUND</t>
        </is>
      </c>
      <c r="G261" t="n">
        <v>3.5</v>
      </c>
      <c r="H261" t="n">
        <v>0</v>
      </c>
      <c r="I261" t="n">
        <v>0</v>
      </c>
      <c r="J261" t="n">
        <v>0</v>
      </c>
      <c r="K261" t="n">
        <v>0</v>
      </c>
      <c r="L261" t="n">
        <v>0</v>
      </c>
      <c r="M261" t="n">
        <v>0</v>
      </c>
      <c r="N261" t="n">
        <v>0</v>
      </c>
      <c r="O261" t="n">
        <v>0</v>
      </c>
      <c r="P261" t="n">
        <v>0</v>
      </c>
      <c r="Q261" t="n">
        <v>0</v>
      </c>
      <c r="R261" s="2" t="inlineStr"/>
    </row>
    <row r="262" ht="15" customHeight="1">
      <c r="A262" t="inlineStr">
        <is>
          <t>A 14903-2020</t>
        </is>
      </c>
      <c r="B262" s="1" t="n">
        <v>43910</v>
      </c>
      <c r="C262" s="1" t="n">
        <v>45626</v>
      </c>
      <c r="D262" t="inlineStr">
        <is>
          <t>JÄMTLANDS LÄN</t>
        </is>
      </c>
      <c r="E262" t="inlineStr">
        <is>
          <t>ÖSTERSUND</t>
        </is>
      </c>
      <c r="F262" t="inlineStr">
        <is>
          <t>Kyrkan</t>
        </is>
      </c>
      <c r="G262" t="n">
        <v>2.3</v>
      </c>
      <c r="H262" t="n">
        <v>0</v>
      </c>
      <c r="I262" t="n">
        <v>0</v>
      </c>
      <c r="J262" t="n">
        <v>0</v>
      </c>
      <c r="K262" t="n">
        <v>0</v>
      </c>
      <c r="L262" t="n">
        <v>0</v>
      </c>
      <c r="M262" t="n">
        <v>0</v>
      </c>
      <c r="N262" t="n">
        <v>0</v>
      </c>
      <c r="O262" t="n">
        <v>0</v>
      </c>
      <c r="P262" t="n">
        <v>0</v>
      </c>
      <c r="Q262" t="n">
        <v>0</v>
      </c>
      <c r="R262" s="2" t="inlineStr"/>
    </row>
    <row r="263" ht="15" customHeight="1">
      <c r="A263" t="inlineStr">
        <is>
          <t>A 17464-2020</t>
        </is>
      </c>
      <c r="B263" s="1" t="n">
        <v>43917</v>
      </c>
      <c r="C263" s="1" t="n">
        <v>45626</v>
      </c>
      <c r="D263" t="inlineStr">
        <is>
          <t>JÄMTLANDS LÄN</t>
        </is>
      </c>
      <c r="E263" t="inlineStr">
        <is>
          <t>ÖSTERSUND</t>
        </is>
      </c>
      <c r="G263" t="n">
        <v>3.8</v>
      </c>
      <c r="H263" t="n">
        <v>0</v>
      </c>
      <c r="I263" t="n">
        <v>0</v>
      </c>
      <c r="J263" t="n">
        <v>0</v>
      </c>
      <c r="K263" t="n">
        <v>0</v>
      </c>
      <c r="L263" t="n">
        <v>0</v>
      </c>
      <c r="M263" t="n">
        <v>0</v>
      </c>
      <c r="N263" t="n">
        <v>0</v>
      </c>
      <c r="O263" t="n">
        <v>0</v>
      </c>
      <c r="P263" t="n">
        <v>0</v>
      </c>
      <c r="Q263" t="n">
        <v>0</v>
      </c>
      <c r="R263" s="2" t="inlineStr"/>
    </row>
    <row r="264" ht="15" customHeight="1">
      <c r="A264" t="inlineStr">
        <is>
          <t>A 18339-2020</t>
        </is>
      </c>
      <c r="B264" s="1" t="n">
        <v>43928</v>
      </c>
      <c r="C264" s="1" t="n">
        <v>45626</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18683-2020</t>
        </is>
      </c>
      <c r="B265" s="1" t="n">
        <v>43930</v>
      </c>
      <c r="C265" s="1" t="n">
        <v>45626</v>
      </c>
      <c r="D265" t="inlineStr">
        <is>
          <t>JÄMTLANDS LÄN</t>
        </is>
      </c>
      <c r="E265" t="inlineStr">
        <is>
          <t>ÖSTERSUND</t>
        </is>
      </c>
      <c r="G265" t="n">
        <v>1.7</v>
      </c>
      <c r="H265" t="n">
        <v>0</v>
      </c>
      <c r="I265" t="n">
        <v>0</v>
      </c>
      <c r="J265" t="n">
        <v>0</v>
      </c>
      <c r="K265" t="n">
        <v>0</v>
      </c>
      <c r="L265" t="n">
        <v>0</v>
      </c>
      <c r="M265" t="n">
        <v>0</v>
      </c>
      <c r="N265" t="n">
        <v>0</v>
      </c>
      <c r="O265" t="n">
        <v>0</v>
      </c>
      <c r="P265" t="n">
        <v>0</v>
      </c>
      <c r="Q265" t="n">
        <v>0</v>
      </c>
      <c r="R265" s="2" t="inlineStr"/>
    </row>
    <row r="266" ht="15" customHeight="1">
      <c r="A266" t="inlineStr">
        <is>
          <t>A 19631-2020</t>
        </is>
      </c>
      <c r="B266" s="1" t="n">
        <v>43936</v>
      </c>
      <c r="C266" s="1" t="n">
        <v>45626</v>
      </c>
      <c r="D266" t="inlineStr">
        <is>
          <t>JÄMTLANDS LÄN</t>
        </is>
      </c>
      <c r="E266" t="inlineStr">
        <is>
          <t>ÖSTERSUND</t>
        </is>
      </c>
      <c r="G266" t="n">
        <v>5.5</v>
      </c>
      <c r="H266" t="n">
        <v>0</v>
      </c>
      <c r="I266" t="n">
        <v>0</v>
      </c>
      <c r="J266" t="n">
        <v>0</v>
      </c>
      <c r="K266" t="n">
        <v>0</v>
      </c>
      <c r="L266" t="n">
        <v>0</v>
      </c>
      <c r="M266" t="n">
        <v>0</v>
      </c>
      <c r="N266" t="n">
        <v>0</v>
      </c>
      <c r="O266" t="n">
        <v>0</v>
      </c>
      <c r="P266" t="n">
        <v>0</v>
      </c>
      <c r="Q266" t="n">
        <v>0</v>
      </c>
      <c r="R266" s="2" t="inlineStr"/>
    </row>
    <row r="267" ht="15" customHeight="1">
      <c r="A267" t="inlineStr">
        <is>
          <t>A 19923-2020</t>
        </is>
      </c>
      <c r="B267" s="1" t="n">
        <v>43943</v>
      </c>
      <c r="C267" s="1" t="n">
        <v>45626</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20198-2020</t>
        </is>
      </c>
      <c r="B268" s="1" t="n">
        <v>43944</v>
      </c>
      <c r="C268" s="1" t="n">
        <v>45626</v>
      </c>
      <c r="D268" t="inlineStr">
        <is>
          <t>JÄMTLANDS LÄN</t>
        </is>
      </c>
      <c r="E268" t="inlineStr">
        <is>
          <t>ÖSTERSUND</t>
        </is>
      </c>
      <c r="G268" t="n">
        <v>2</v>
      </c>
      <c r="H268" t="n">
        <v>0</v>
      </c>
      <c r="I268" t="n">
        <v>0</v>
      </c>
      <c r="J268" t="n">
        <v>0</v>
      </c>
      <c r="K268" t="n">
        <v>0</v>
      </c>
      <c r="L268" t="n">
        <v>0</v>
      </c>
      <c r="M268" t="n">
        <v>0</v>
      </c>
      <c r="N268" t="n">
        <v>0</v>
      </c>
      <c r="O268" t="n">
        <v>0</v>
      </c>
      <c r="P268" t="n">
        <v>0</v>
      </c>
      <c r="Q268" t="n">
        <v>0</v>
      </c>
      <c r="R268" s="2" t="inlineStr"/>
    </row>
    <row r="269" ht="15" customHeight="1">
      <c r="A269" t="inlineStr">
        <is>
          <t>A 23507-2020</t>
        </is>
      </c>
      <c r="B269" s="1" t="n">
        <v>43969</v>
      </c>
      <c r="C269" s="1" t="n">
        <v>45626</v>
      </c>
      <c r="D269" t="inlineStr">
        <is>
          <t>JÄMTLANDS LÄN</t>
        </is>
      </c>
      <c r="E269" t="inlineStr">
        <is>
          <t>ÖSTERSUND</t>
        </is>
      </c>
      <c r="G269" t="n">
        <v>5.8</v>
      </c>
      <c r="H269" t="n">
        <v>0</v>
      </c>
      <c r="I269" t="n">
        <v>0</v>
      </c>
      <c r="J269" t="n">
        <v>0</v>
      </c>
      <c r="K269" t="n">
        <v>0</v>
      </c>
      <c r="L269" t="n">
        <v>0</v>
      </c>
      <c r="M269" t="n">
        <v>0</v>
      </c>
      <c r="N269" t="n">
        <v>0</v>
      </c>
      <c r="O269" t="n">
        <v>0</v>
      </c>
      <c r="P269" t="n">
        <v>0</v>
      </c>
      <c r="Q269" t="n">
        <v>0</v>
      </c>
      <c r="R269" s="2" t="inlineStr"/>
    </row>
    <row r="270" ht="15" customHeight="1">
      <c r="A270" t="inlineStr">
        <is>
          <t>A 23445-2020</t>
        </is>
      </c>
      <c r="B270" s="1" t="n">
        <v>43969</v>
      </c>
      <c r="C270" s="1" t="n">
        <v>45626</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24259-2020</t>
        </is>
      </c>
      <c r="B271" s="1" t="n">
        <v>43970</v>
      </c>
      <c r="C271" s="1" t="n">
        <v>45626</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24253-2020</t>
        </is>
      </c>
      <c r="B272" s="1" t="n">
        <v>43970</v>
      </c>
      <c r="C272" s="1" t="n">
        <v>45626</v>
      </c>
      <c r="D272" t="inlineStr">
        <is>
          <t>JÄMTLANDS LÄN</t>
        </is>
      </c>
      <c r="E272" t="inlineStr">
        <is>
          <t>ÖSTERSUND</t>
        </is>
      </c>
      <c r="G272" t="n">
        <v>1.2</v>
      </c>
      <c r="H272" t="n">
        <v>0</v>
      </c>
      <c r="I272" t="n">
        <v>0</v>
      </c>
      <c r="J272" t="n">
        <v>0</v>
      </c>
      <c r="K272" t="n">
        <v>0</v>
      </c>
      <c r="L272" t="n">
        <v>0</v>
      </c>
      <c r="M272" t="n">
        <v>0</v>
      </c>
      <c r="N272" t="n">
        <v>0</v>
      </c>
      <c r="O272" t="n">
        <v>0</v>
      </c>
      <c r="P272" t="n">
        <v>0</v>
      </c>
      <c r="Q272" t="n">
        <v>0</v>
      </c>
      <c r="R272" s="2" t="inlineStr"/>
    </row>
    <row r="273" ht="15" customHeight="1">
      <c r="A273" t="inlineStr">
        <is>
          <t>A 25148-2020</t>
        </is>
      </c>
      <c r="B273" s="1" t="n">
        <v>43978</v>
      </c>
      <c r="C273" s="1" t="n">
        <v>45626</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26410-2020</t>
        </is>
      </c>
      <c r="B274" s="1" t="n">
        <v>43986</v>
      </c>
      <c r="C274" s="1" t="n">
        <v>45626</v>
      </c>
      <c r="D274" t="inlineStr">
        <is>
          <t>JÄMTLANDS LÄN</t>
        </is>
      </c>
      <c r="E274" t="inlineStr">
        <is>
          <t>ÖSTERSUND</t>
        </is>
      </c>
      <c r="G274" t="n">
        <v>2.1</v>
      </c>
      <c r="H274" t="n">
        <v>0</v>
      </c>
      <c r="I274" t="n">
        <v>0</v>
      </c>
      <c r="J274" t="n">
        <v>0</v>
      </c>
      <c r="K274" t="n">
        <v>0</v>
      </c>
      <c r="L274" t="n">
        <v>0</v>
      </c>
      <c r="M274" t="n">
        <v>0</v>
      </c>
      <c r="N274" t="n">
        <v>0</v>
      </c>
      <c r="O274" t="n">
        <v>0</v>
      </c>
      <c r="P274" t="n">
        <v>0</v>
      </c>
      <c r="Q274" t="n">
        <v>0</v>
      </c>
      <c r="R274" s="2" t="inlineStr"/>
    </row>
    <row r="275" ht="15" customHeight="1">
      <c r="A275" t="inlineStr">
        <is>
          <t>A 27576-2020</t>
        </is>
      </c>
      <c r="B275" s="1" t="n">
        <v>43992</v>
      </c>
      <c r="C275" s="1" t="n">
        <v>45626</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29635-2020</t>
        </is>
      </c>
      <c r="B276" s="1" t="n">
        <v>44000</v>
      </c>
      <c r="C276" s="1" t="n">
        <v>45626</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29435-2020</t>
        </is>
      </c>
      <c r="B277" s="1" t="n">
        <v>44004</v>
      </c>
      <c r="C277" s="1" t="n">
        <v>45626</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29479-2020</t>
        </is>
      </c>
      <c r="B278" s="1" t="n">
        <v>44005</v>
      </c>
      <c r="C278" s="1" t="n">
        <v>45626</v>
      </c>
      <c r="D278" t="inlineStr">
        <is>
          <t>JÄMTLANDS LÄN</t>
        </is>
      </c>
      <c r="E278" t="inlineStr">
        <is>
          <t>ÖSTERSUND</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29581-2020</t>
        </is>
      </c>
      <c r="B279" s="1" t="n">
        <v>44004</v>
      </c>
      <c r="C279" s="1" t="n">
        <v>45626</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30676-2020</t>
        </is>
      </c>
      <c r="B280" s="1" t="n">
        <v>44008</v>
      </c>
      <c r="C280" s="1" t="n">
        <v>45626</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33945-2020</t>
        </is>
      </c>
      <c r="B281" s="1" t="n">
        <v>44027</v>
      </c>
      <c r="C281" s="1" t="n">
        <v>45626</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34703-2020</t>
        </is>
      </c>
      <c r="B282" s="1" t="n">
        <v>44035</v>
      </c>
      <c r="C282" s="1" t="n">
        <v>45626</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37500-2020</t>
        </is>
      </c>
      <c r="B283" s="1" t="n">
        <v>44055</v>
      </c>
      <c r="C283" s="1" t="n">
        <v>45626</v>
      </c>
      <c r="D283" t="inlineStr">
        <is>
          <t>JÄMTLANDS LÄN</t>
        </is>
      </c>
      <c r="E283" t="inlineStr">
        <is>
          <t>ÖSTERSUND</t>
        </is>
      </c>
      <c r="G283" t="n">
        <v>4.8</v>
      </c>
      <c r="H283" t="n">
        <v>0</v>
      </c>
      <c r="I283" t="n">
        <v>0</v>
      </c>
      <c r="J283" t="n">
        <v>0</v>
      </c>
      <c r="K283" t="n">
        <v>0</v>
      </c>
      <c r="L283" t="n">
        <v>0</v>
      </c>
      <c r="M283" t="n">
        <v>0</v>
      </c>
      <c r="N283" t="n">
        <v>0</v>
      </c>
      <c r="O283" t="n">
        <v>0</v>
      </c>
      <c r="P283" t="n">
        <v>0</v>
      </c>
      <c r="Q283" t="n">
        <v>0</v>
      </c>
      <c r="R283" s="2" t="inlineStr"/>
    </row>
    <row r="284" ht="15" customHeight="1">
      <c r="A284" t="inlineStr">
        <is>
          <t>A 38099-2020</t>
        </is>
      </c>
      <c r="B284" s="1" t="n">
        <v>44057</v>
      </c>
      <c r="C284" s="1" t="n">
        <v>45626</v>
      </c>
      <c r="D284" t="inlineStr">
        <is>
          <t>JÄMTLANDS LÄN</t>
        </is>
      </c>
      <c r="E284" t="inlineStr">
        <is>
          <t>ÖSTERSUND</t>
        </is>
      </c>
      <c r="F284" t="inlineStr">
        <is>
          <t>SCA</t>
        </is>
      </c>
      <c r="G284" t="n">
        <v>5.5</v>
      </c>
      <c r="H284" t="n">
        <v>0</v>
      </c>
      <c r="I284" t="n">
        <v>0</v>
      </c>
      <c r="J284" t="n">
        <v>0</v>
      </c>
      <c r="K284" t="n">
        <v>0</v>
      </c>
      <c r="L284" t="n">
        <v>0</v>
      </c>
      <c r="M284" t="n">
        <v>0</v>
      </c>
      <c r="N284" t="n">
        <v>0</v>
      </c>
      <c r="O284" t="n">
        <v>0</v>
      </c>
      <c r="P284" t="n">
        <v>0</v>
      </c>
      <c r="Q284" t="n">
        <v>0</v>
      </c>
      <c r="R284" s="2" t="inlineStr"/>
    </row>
    <row r="285" ht="15" customHeight="1">
      <c r="A285" t="inlineStr">
        <is>
          <t>A 41354-2020</t>
        </is>
      </c>
      <c r="B285" s="1" t="n">
        <v>44072</v>
      </c>
      <c r="C285" s="1" t="n">
        <v>45626</v>
      </c>
      <c r="D285" t="inlineStr">
        <is>
          <t>JÄMTLANDS LÄN</t>
        </is>
      </c>
      <c r="E285" t="inlineStr">
        <is>
          <t>ÖSTERSUND</t>
        </is>
      </c>
      <c r="F285" t="inlineStr">
        <is>
          <t>SCA</t>
        </is>
      </c>
      <c r="G285" t="n">
        <v>0.6</v>
      </c>
      <c r="H285" t="n">
        <v>0</v>
      </c>
      <c r="I285" t="n">
        <v>0</v>
      </c>
      <c r="J285" t="n">
        <v>0</v>
      </c>
      <c r="K285" t="n">
        <v>0</v>
      </c>
      <c r="L285" t="n">
        <v>0</v>
      </c>
      <c r="M285" t="n">
        <v>0</v>
      </c>
      <c r="N285" t="n">
        <v>0</v>
      </c>
      <c r="O285" t="n">
        <v>0</v>
      </c>
      <c r="P285" t="n">
        <v>0</v>
      </c>
      <c r="Q285" t="n">
        <v>0</v>
      </c>
      <c r="R285" s="2" t="inlineStr"/>
    </row>
    <row r="286" ht="15" customHeight="1">
      <c r="A286" t="inlineStr">
        <is>
          <t>A 42712-2020</t>
        </is>
      </c>
      <c r="B286" s="1" t="n">
        <v>44076</v>
      </c>
      <c r="C286" s="1" t="n">
        <v>45626</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42749-2020</t>
        </is>
      </c>
      <c r="B287" s="1" t="n">
        <v>44078</v>
      </c>
      <c r="C287" s="1" t="n">
        <v>45626</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42765-2020</t>
        </is>
      </c>
      <c r="B288" s="1" t="n">
        <v>44077</v>
      </c>
      <c r="C288" s="1" t="n">
        <v>45626</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42766-2020</t>
        </is>
      </c>
      <c r="B289" s="1" t="n">
        <v>44077</v>
      </c>
      <c r="C289" s="1" t="n">
        <v>45626</v>
      </c>
      <c r="D289" t="inlineStr">
        <is>
          <t>JÄMTLANDS LÄN</t>
        </is>
      </c>
      <c r="E289" t="inlineStr">
        <is>
          <t>ÖSTERSUND</t>
        </is>
      </c>
      <c r="F289" t="inlineStr">
        <is>
          <t>SCA</t>
        </is>
      </c>
      <c r="G289" t="n">
        <v>2.1</v>
      </c>
      <c r="H289" t="n">
        <v>0</v>
      </c>
      <c r="I289" t="n">
        <v>0</v>
      </c>
      <c r="J289" t="n">
        <v>0</v>
      </c>
      <c r="K289" t="n">
        <v>0</v>
      </c>
      <c r="L289" t="n">
        <v>0</v>
      </c>
      <c r="M289" t="n">
        <v>0</v>
      </c>
      <c r="N289" t="n">
        <v>0</v>
      </c>
      <c r="O289" t="n">
        <v>0</v>
      </c>
      <c r="P289" t="n">
        <v>0</v>
      </c>
      <c r="Q289" t="n">
        <v>0</v>
      </c>
      <c r="R289" s="2" t="inlineStr"/>
    </row>
    <row r="290" ht="15" customHeight="1">
      <c r="A290" t="inlineStr">
        <is>
          <t>A 43796-2020</t>
        </is>
      </c>
      <c r="B290" s="1" t="n">
        <v>44082</v>
      </c>
      <c r="C290" s="1" t="n">
        <v>45626</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45820-2020</t>
        </is>
      </c>
      <c r="B291" s="1" t="n">
        <v>44090</v>
      </c>
      <c r="C291" s="1" t="n">
        <v>45626</v>
      </c>
      <c r="D291" t="inlineStr">
        <is>
          <t>JÄMTLANDS LÄN</t>
        </is>
      </c>
      <c r="E291" t="inlineStr">
        <is>
          <t>ÖSTERSUND</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50121-2020</t>
        </is>
      </c>
      <c r="B292" s="1" t="n">
        <v>44106</v>
      </c>
      <c r="C292" s="1" t="n">
        <v>45626</v>
      </c>
      <c r="D292" t="inlineStr">
        <is>
          <t>JÄMTLANDS LÄN</t>
        </is>
      </c>
      <c r="E292" t="inlineStr">
        <is>
          <t>ÖSTERSUND</t>
        </is>
      </c>
      <c r="F292" t="inlineStr">
        <is>
          <t>Övriga statliga verk och myndigheter</t>
        </is>
      </c>
      <c r="G292" t="n">
        <v>5.2</v>
      </c>
      <c r="H292" t="n">
        <v>0</v>
      </c>
      <c r="I292" t="n">
        <v>0</v>
      </c>
      <c r="J292" t="n">
        <v>0</v>
      </c>
      <c r="K292" t="n">
        <v>0</v>
      </c>
      <c r="L292" t="n">
        <v>0</v>
      </c>
      <c r="M292" t="n">
        <v>0</v>
      </c>
      <c r="N292" t="n">
        <v>0</v>
      </c>
      <c r="O292" t="n">
        <v>0</v>
      </c>
      <c r="P292" t="n">
        <v>0</v>
      </c>
      <c r="Q292" t="n">
        <v>0</v>
      </c>
      <c r="R292" s="2" t="inlineStr"/>
    </row>
    <row r="293" ht="15" customHeight="1">
      <c r="A293" t="inlineStr">
        <is>
          <t>A 50153-2020</t>
        </is>
      </c>
      <c r="B293" s="1" t="n">
        <v>44106</v>
      </c>
      <c r="C293" s="1" t="n">
        <v>45626</v>
      </c>
      <c r="D293" t="inlineStr">
        <is>
          <t>JÄMTLANDS LÄN</t>
        </is>
      </c>
      <c r="E293" t="inlineStr">
        <is>
          <t>ÖSTERSUND</t>
        </is>
      </c>
      <c r="F293" t="inlineStr">
        <is>
          <t>Övriga statliga verk och myndigheter</t>
        </is>
      </c>
      <c r="G293" t="n">
        <v>4.6</v>
      </c>
      <c r="H293" t="n">
        <v>0</v>
      </c>
      <c r="I293" t="n">
        <v>0</v>
      </c>
      <c r="J293" t="n">
        <v>0</v>
      </c>
      <c r="K293" t="n">
        <v>0</v>
      </c>
      <c r="L293" t="n">
        <v>0</v>
      </c>
      <c r="M293" t="n">
        <v>0</v>
      </c>
      <c r="N293" t="n">
        <v>0</v>
      </c>
      <c r="O293" t="n">
        <v>0</v>
      </c>
      <c r="P293" t="n">
        <v>0</v>
      </c>
      <c r="Q293" t="n">
        <v>0</v>
      </c>
      <c r="R293" s="2" t="inlineStr"/>
    </row>
    <row r="294" ht="15" customHeight="1">
      <c r="A294" t="inlineStr">
        <is>
          <t>A 50144-2020</t>
        </is>
      </c>
      <c r="B294" s="1" t="n">
        <v>44106</v>
      </c>
      <c r="C294" s="1" t="n">
        <v>45626</v>
      </c>
      <c r="D294" t="inlineStr">
        <is>
          <t>JÄMTLANDS LÄN</t>
        </is>
      </c>
      <c r="E294" t="inlineStr">
        <is>
          <t>ÖSTERSUND</t>
        </is>
      </c>
      <c r="F294" t="inlineStr">
        <is>
          <t>Övriga statliga verk och myndigheter</t>
        </is>
      </c>
      <c r="G294" t="n">
        <v>2.2</v>
      </c>
      <c r="H294" t="n">
        <v>0</v>
      </c>
      <c r="I294" t="n">
        <v>0</v>
      </c>
      <c r="J294" t="n">
        <v>0</v>
      </c>
      <c r="K294" t="n">
        <v>0</v>
      </c>
      <c r="L294" t="n">
        <v>0</v>
      </c>
      <c r="M294" t="n">
        <v>0</v>
      </c>
      <c r="N294" t="n">
        <v>0</v>
      </c>
      <c r="O294" t="n">
        <v>0</v>
      </c>
      <c r="P294" t="n">
        <v>0</v>
      </c>
      <c r="Q294" t="n">
        <v>0</v>
      </c>
      <c r="R294" s="2" t="inlineStr"/>
    </row>
    <row r="295" ht="15" customHeight="1">
      <c r="A295" t="inlineStr">
        <is>
          <t>A 50632-2020</t>
        </is>
      </c>
      <c r="B295" s="1" t="n">
        <v>44110</v>
      </c>
      <c r="C295" s="1" t="n">
        <v>45626</v>
      </c>
      <c r="D295" t="inlineStr">
        <is>
          <t>JÄMTLANDS LÄN</t>
        </is>
      </c>
      <c r="E295" t="inlineStr">
        <is>
          <t>ÖSTERSUND</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52478-2020</t>
        </is>
      </c>
      <c r="B296" s="1" t="n">
        <v>44113</v>
      </c>
      <c r="C296" s="1" t="n">
        <v>45626</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52535-2020</t>
        </is>
      </c>
      <c r="B297" s="1" t="n">
        <v>44118</v>
      </c>
      <c r="C297" s="1" t="n">
        <v>45626</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52777-2020</t>
        </is>
      </c>
      <c r="B298" s="1" t="n">
        <v>44118</v>
      </c>
      <c r="C298" s="1" t="n">
        <v>45626</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52791-2020</t>
        </is>
      </c>
      <c r="B299" s="1" t="n">
        <v>44118</v>
      </c>
      <c r="C299" s="1" t="n">
        <v>45626</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53323-2020</t>
        </is>
      </c>
      <c r="B300" s="1" t="n">
        <v>44123</v>
      </c>
      <c r="C300" s="1" t="n">
        <v>45626</v>
      </c>
      <c r="D300" t="inlineStr">
        <is>
          <t>JÄMTLANDS LÄN</t>
        </is>
      </c>
      <c r="E300" t="inlineStr">
        <is>
          <t>ÖSTERSUND</t>
        </is>
      </c>
      <c r="F300" t="inlineStr">
        <is>
          <t>Övriga Aktiebolag</t>
        </is>
      </c>
      <c r="G300" t="n">
        <v>2.2</v>
      </c>
      <c r="H300" t="n">
        <v>0</v>
      </c>
      <c r="I300" t="n">
        <v>0</v>
      </c>
      <c r="J300" t="n">
        <v>0</v>
      </c>
      <c r="K300" t="n">
        <v>0</v>
      </c>
      <c r="L300" t="n">
        <v>0</v>
      </c>
      <c r="M300" t="n">
        <v>0</v>
      </c>
      <c r="N300" t="n">
        <v>0</v>
      </c>
      <c r="O300" t="n">
        <v>0</v>
      </c>
      <c r="P300" t="n">
        <v>0</v>
      </c>
      <c r="Q300" t="n">
        <v>0</v>
      </c>
      <c r="R300" s="2" t="inlineStr"/>
    </row>
    <row r="301" ht="15" customHeight="1">
      <c r="A301" t="inlineStr">
        <is>
          <t>A 53967-2020</t>
        </is>
      </c>
      <c r="B301" s="1" t="n">
        <v>44125</v>
      </c>
      <c r="C301" s="1" t="n">
        <v>45626</v>
      </c>
      <c r="D301" t="inlineStr">
        <is>
          <t>JÄMTLANDS LÄN</t>
        </is>
      </c>
      <c r="E301" t="inlineStr">
        <is>
          <t>ÖSTERSUND</t>
        </is>
      </c>
      <c r="G301" t="n">
        <v>25.8</v>
      </c>
      <c r="H301" t="n">
        <v>0</v>
      </c>
      <c r="I301" t="n">
        <v>0</v>
      </c>
      <c r="J301" t="n">
        <v>0</v>
      </c>
      <c r="K301" t="n">
        <v>0</v>
      </c>
      <c r="L301" t="n">
        <v>0</v>
      </c>
      <c r="M301" t="n">
        <v>0</v>
      </c>
      <c r="N301" t="n">
        <v>0</v>
      </c>
      <c r="O301" t="n">
        <v>0</v>
      </c>
      <c r="P301" t="n">
        <v>0</v>
      </c>
      <c r="Q301" t="n">
        <v>0</v>
      </c>
      <c r="R301" s="2" t="inlineStr"/>
    </row>
    <row r="302" ht="15" customHeight="1">
      <c r="A302" t="inlineStr">
        <is>
          <t>A 54539-2020</t>
        </is>
      </c>
      <c r="B302" s="1" t="n">
        <v>44126</v>
      </c>
      <c r="C302" s="1" t="n">
        <v>45626</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54844-2020</t>
        </is>
      </c>
      <c r="B303" s="1" t="n">
        <v>44126</v>
      </c>
      <c r="C303" s="1" t="n">
        <v>45626</v>
      </c>
      <c r="D303" t="inlineStr">
        <is>
          <t>JÄMTLANDS LÄN</t>
        </is>
      </c>
      <c r="E303" t="inlineStr">
        <is>
          <t>ÖSTERSUND</t>
        </is>
      </c>
      <c r="G303" t="n">
        <v>6.9</v>
      </c>
      <c r="H303" t="n">
        <v>0</v>
      </c>
      <c r="I303" t="n">
        <v>0</v>
      </c>
      <c r="J303" t="n">
        <v>0</v>
      </c>
      <c r="K303" t="n">
        <v>0</v>
      </c>
      <c r="L303" t="n">
        <v>0</v>
      </c>
      <c r="M303" t="n">
        <v>0</v>
      </c>
      <c r="N303" t="n">
        <v>0</v>
      </c>
      <c r="O303" t="n">
        <v>0</v>
      </c>
      <c r="P303" t="n">
        <v>0</v>
      </c>
      <c r="Q303" t="n">
        <v>0</v>
      </c>
      <c r="R303" s="2" t="inlineStr"/>
    </row>
    <row r="304" ht="15" customHeight="1">
      <c r="A304" t="inlineStr">
        <is>
          <t>A 56220-2020</t>
        </is>
      </c>
      <c r="B304" s="1" t="n">
        <v>44133</v>
      </c>
      <c r="C304" s="1" t="n">
        <v>45626</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56486-2020</t>
        </is>
      </c>
      <c r="B305" s="1" t="n">
        <v>44137</v>
      </c>
      <c r="C305" s="1" t="n">
        <v>45626</v>
      </c>
      <c r="D305" t="inlineStr">
        <is>
          <t>JÄMTLANDS LÄN</t>
        </is>
      </c>
      <c r="E305" t="inlineStr">
        <is>
          <t>ÖSTERSUND</t>
        </is>
      </c>
      <c r="G305" t="n">
        <v>5.8</v>
      </c>
      <c r="H305" t="n">
        <v>0</v>
      </c>
      <c r="I305" t="n">
        <v>0</v>
      </c>
      <c r="J305" t="n">
        <v>0</v>
      </c>
      <c r="K305" t="n">
        <v>0</v>
      </c>
      <c r="L305" t="n">
        <v>0</v>
      </c>
      <c r="M305" t="n">
        <v>0</v>
      </c>
      <c r="N305" t="n">
        <v>0</v>
      </c>
      <c r="O305" t="n">
        <v>0</v>
      </c>
      <c r="P305" t="n">
        <v>0</v>
      </c>
      <c r="Q305" t="n">
        <v>0</v>
      </c>
      <c r="R305" s="2" t="inlineStr"/>
    </row>
    <row r="306" ht="15" customHeight="1">
      <c r="A306" t="inlineStr">
        <is>
          <t>A 56636-2020</t>
        </is>
      </c>
      <c r="B306" s="1" t="n">
        <v>44137</v>
      </c>
      <c r="C306" s="1" t="n">
        <v>45626</v>
      </c>
      <c r="D306" t="inlineStr">
        <is>
          <t>JÄMTLANDS LÄN</t>
        </is>
      </c>
      <c r="E306" t="inlineStr">
        <is>
          <t>ÖSTERSUND</t>
        </is>
      </c>
      <c r="F306" t="inlineStr">
        <is>
          <t>Övriga Aktiebolag</t>
        </is>
      </c>
      <c r="G306" t="n">
        <v>16.2</v>
      </c>
      <c r="H306" t="n">
        <v>0</v>
      </c>
      <c r="I306" t="n">
        <v>0</v>
      </c>
      <c r="J306" t="n">
        <v>0</v>
      </c>
      <c r="K306" t="n">
        <v>0</v>
      </c>
      <c r="L306" t="n">
        <v>0</v>
      </c>
      <c r="M306" t="n">
        <v>0</v>
      </c>
      <c r="N306" t="n">
        <v>0</v>
      </c>
      <c r="O306" t="n">
        <v>0</v>
      </c>
      <c r="P306" t="n">
        <v>0</v>
      </c>
      <c r="Q306" t="n">
        <v>0</v>
      </c>
      <c r="R306" s="2" t="inlineStr"/>
    </row>
    <row r="307" ht="15" customHeight="1">
      <c r="A307" t="inlineStr">
        <is>
          <t>A 56642-2020</t>
        </is>
      </c>
      <c r="B307" s="1" t="n">
        <v>44137</v>
      </c>
      <c r="C307" s="1" t="n">
        <v>45626</v>
      </c>
      <c r="D307" t="inlineStr">
        <is>
          <t>JÄMTLANDS LÄN</t>
        </is>
      </c>
      <c r="E307" t="inlineStr">
        <is>
          <t>ÖSTERSUND</t>
        </is>
      </c>
      <c r="F307" t="inlineStr">
        <is>
          <t>Övriga Aktiebolag</t>
        </is>
      </c>
      <c r="G307" t="n">
        <v>6</v>
      </c>
      <c r="H307" t="n">
        <v>0</v>
      </c>
      <c r="I307" t="n">
        <v>0</v>
      </c>
      <c r="J307" t="n">
        <v>0</v>
      </c>
      <c r="K307" t="n">
        <v>0</v>
      </c>
      <c r="L307" t="n">
        <v>0</v>
      </c>
      <c r="M307" t="n">
        <v>0</v>
      </c>
      <c r="N307" t="n">
        <v>0</v>
      </c>
      <c r="O307" t="n">
        <v>0</v>
      </c>
      <c r="P307" t="n">
        <v>0</v>
      </c>
      <c r="Q307" t="n">
        <v>0</v>
      </c>
      <c r="R307" s="2" t="inlineStr"/>
    </row>
    <row r="308" ht="15" customHeight="1">
      <c r="A308" t="inlineStr">
        <is>
          <t>A 57616-2020</t>
        </is>
      </c>
      <c r="B308" s="1" t="n">
        <v>44140</v>
      </c>
      <c r="C308" s="1" t="n">
        <v>45626</v>
      </c>
      <c r="D308" t="inlineStr">
        <is>
          <t>JÄMTLANDS LÄN</t>
        </is>
      </c>
      <c r="E308" t="inlineStr">
        <is>
          <t>ÖSTERSUND</t>
        </is>
      </c>
      <c r="F308" t="inlineStr">
        <is>
          <t>Övriga Aktiebolag</t>
        </is>
      </c>
      <c r="G308" t="n">
        <v>1.8</v>
      </c>
      <c r="H308" t="n">
        <v>0</v>
      </c>
      <c r="I308" t="n">
        <v>0</v>
      </c>
      <c r="J308" t="n">
        <v>0</v>
      </c>
      <c r="K308" t="n">
        <v>0</v>
      </c>
      <c r="L308" t="n">
        <v>0</v>
      </c>
      <c r="M308" t="n">
        <v>0</v>
      </c>
      <c r="N308" t="n">
        <v>0</v>
      </c>
      <c r="O308" t="n">
        <v>0</v>
      </c>
      <c r="P308" t="n">
        <v>0</v>
      </c>
      <c r="Q308" t="n">
        <v>0</v>
      </c>
      <c r="R308" s="2" t="inlineStr"/>
    </row>
    <row r="309" ht="15" customHeight="1">
      <c r="A309" t="inlineStr">
        <is>
          <t>A 57624-2020</t>
        </is>
      </c>
      <c r="B309" s="1" t="n">
        <v>44140</v>
      </c>
      <c r="C309" s="1" t="n">
        <v>45626</v>
      </c>
      <c r="D309" t="inlineStr">
        <is>
          <t>JÄMTLANDS LÄN</t>
        </is>
      </c>
      <c r="E309" t="inlineStr">
        <is>
          <t>ÖSTERSUND</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57791-2020</t>
        </is>
      </c>
      <c r="B310" s="1" t="n">
        <v>44141</v>
      </c>
      <c r="C310" s="1" t="n">
        <v>45626</v>
      </c>
      <c r="D310" t="inlineStr">
        <is>
          <t>JÄMTLANDS LÄN</t>
        </is>
      </c>
      <c r="E310" t="inlineStr">
        <is>
          <t>ÖSTERSUND</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57771-2020</t>
        </is>
      </c>
      <c r="B311" s="1" t="n">
        <v>44141</v>
      </c>
      <c r="C311" s="1" t="n">
        <v>45626</v>
      </c>
      <c r="D311" t="inlineStr">
        <is>
          <t>JÄMTLANDS LÄN</t>
        </is>
      </c>
      <c r="E311" t="inlineStr">
        <is>
          <t>ÖSTERSUND</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60050-2020</t>
        </is>
      </c>
      <c r="B312" s="1" t="n">
        <v>44151</v>
      </c>
      <c r="C312" s="1" t="n">
        <v>45626</v>
      </c>
      <c r="D312" t="inlineStr">
        <is>
          <t>JÄMTLANDS LÄN</t>
        </is>
      </c>
      <c r="E312" t="inlineStr">
        <is>
          <t>ÖSTERSUND</t>
        </is>
      </c>
      <c r="F312" t="inlineStr">
        <is>
          <t>SCA</t>
        </is>
      </c>
      <c r="G312" t="n">
        <v>2.2</v>
      </c>
      <c r="H312" t="n">
        <v>0</v>
      </c>
      <c r="I312" t="n">
        <v>0</v>
      </c>
      <c r="J312" t="n">
        <v>0</v>
      </c>
      <c r="K312" t="n">
        <v>0</v>
      </c>
      <c r="L312" t="n">
        <v>0</v>
      </c>
      <c r="M312" t="n">
        <v>0</v>
      </c>
      <c r="N312" t="n">
        <v>0</v>
      </c>
      <c r="O312" t="n">
        <v>0</v>
      </c>
      <c r="P312" t="n">
        <v>0</v>
      </c>
      <c r="Q312" t="n">
        <v>0</v>
      </c>
      <c r="R312" s="2" t="inlineStr"/>
    </row>
    <row r="313" ht="15" customHeight="1">
      <c r="A313" t="inlineStr">
        <is>
          <t>A 60126-2020</t>
        </is>
      </c>
      <c r="B313" s="1" t="n">
        <v>44152</v>
      </c>
      <c r="C313" s="1" t="n">
        <v>45626</v>
      </c>
      <c r="D313" t="inlineStr">
        <is>
          <t>JÄMTLANDS LÄN</t>
        </is>
      </c>
      <c r="E313" t="inlineStr">
        <is>
          <t>ÖSTERSUND</t>
        </is>
      </c>
      <c r="G313" t="n">
        <v>1</v>
      </c>
      <c r="H313" t="n">
        <v>0</v>
      </c>
      <c r="I313" t="n">
        <v>0</v>
      </c>
      <c r="J313" t="n">
        <v>0</v>
      </c>
      <c r="K313" t="n">
        <v>0</v>
      </c>
      <c r="L313" t="n">
        <v>0</v>
      </c>
      <c r="M313" t="n">
        <v>0</v>
      </c>
      <c r="N313" t="n">
        <v>0</v>
      </c>
      <c r="O313" t="n">
        <v>0</v>
      </c>
      <c r="P313" t="n">
        <v>0</v>
      </c>
      <c r="Q313" t="n">
        <v>0</v>
      </c>
      <c r="R313" s="2" t="inlineStr"/>
    </row>
    <row r="314" ht="15" customHeight="1">
      <c r="A314" t="inlineStr">
        <is>
          <t>A 63171-2020</t>
        </is>
      </c>
      <c r="B314" s="1" t="n">
        <v>44162</v>
      </c>
      <c r="C314" s="1" t="n">
        <v>45626</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65410-2020</t>
        </is>
      </c>
      <c r="B315" s="1" t="n">
        <v>44173</v>
      </c>
      <c r="C315" s="1" t="n">
        <v>45626</v>
      </c>
      <c r="D315" t="inlineStr">
        <is>
          <t>JÄMTLANDS LÄN</t>
        </is>
      </c>
      <c r="E315" t="inlineStr">
        <is>
          <t>ÖSTERSUND</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66269-2020</t>
        </is>
      </c>
      <c r="B316" s="1" t="n">
        <v>44174</v>
      </c>
      <c r="C316" s="1" t="n">
        <v>45626</v>
      </c>
      <c r="D316" t="inlineStr">
        <is>
          <t>JÄMTLANDS LÄN</t>
        </is>
      </c>
      <c r="E316" t="inlineStr">
        <is>
          <t>ÖSTERSUND</t>
        </is>
      </c>
      <c r="F316" t="inlineStr">
        <is>
          <t>Övriga statliga verk och myndigheter</t>
        </is>
      </c>
      <c r="G316" t="n">
        <v>10</v>
      </c>
      <c r="H316" t="n">
        <v>0</v>
      </c>
      <c r="I316" t="n">
        <v>0</v>
      </c>
      <c r="J316" t="n">
        <v>0</v>
      </c>
      <c r="K316" t="n">
        <v>0</v>
      </c>
      <c r="L316" t="n">
        <v>0</v>
      </c>
      <c r="M316" t="n">
        <v>0</v>
      </c>
      <c r="N316" t="n">
        <v>0</v>
      </c>
      <c r="O316" t="n">
        <v>0</v>
      </c>
      <c r="P316" t="n">
        <v>0</v>
      </c>
      <c r="Q316" t="n">
        <v>0</v>
      </c>
      <c r="R316" s="2" t="inlineStr"/>
    </row>
    <row r="317" ht="15" customHeight="1">
      <c r="A317" t="inlineStr">
        <is>
          <t>A 66288-2020</t>
        </is>
      </c>
      <c r="B317" s="1" t="n">
        <v>44174</v>
      </c>
      <c r="C317" s="1" t="n">
        <v>45626</v>
      </c>
      <c r="D317" t="inlineStr">
        <is>
          <t>JÄMTLANDS LÄN</t>
        </is>
      </c>
      <c r="E317" t="inlineStr">
        <is>
          <t>ÖSTERSUND</t>
        </is>
      </c>
      <c r="F317" t="inlineStr">
        <is>
          <t>Övriga statliga verk och myndigheter</t>
        </is>
      </c>
      <c r="G317" t="n">
        <v>1.2</v>
      </c>
      <c r="H317" t="n">
        <v>0</v>
      </c>
      <c r="I317" t="n">
        <v>0</v>
      </c>
      <c r="J317" t="n">
        <v>0</v>
      </c>
      <c r="K317" t="n">
        <v>0</v>
      </c>
      <c r="L317" t="n">
        <v>0</v>
      </c>
      <c r="M317" t="n">
        <v>0</v>
      </c>
      <c r="N317" t="n">
        <v>0</v>
      </c>
      <c r="O317" t="n">
        <v>0</v>
      </c>
      <c r="P317" t="n">
        <v>0</v>
      </c>
      <c r="Q317" t="n">
        <v>0</v>
      </c>
      <c r="R317" s="2" t="inlineStr"/>
    </row>
    <row r="318" ht="15" customHeight="1">
      <c r="A318" t="inlineStr">
        <is>
          <t>A 66286-2020</t>
        </is>
      </c>
      <c r="B318" s="1" t="n">
        <v>44174</v>
      </c>
      <c r="C318" s="1" t="n">
        <v>45626</v>
      </c>
      <c r="D318" t="inlineStr">
        <is>
          <t>JÄMTLANDS LÄN</t>
        </is>
      </c>
      <c r="E318" t="inlineStr">
        <is>
          <t>ÖSTERSUND</t>
        </is>
      </c>
      <c r="F318" t="inlineStr">
        <is>
          <t>Övriga statliga verk och myndigheter</t>
        </is>
      </c>
      <c r="G318" t="n">
        <v>1.1</v>
      </c>
      <c r="H318" t="n">
        <v>0</v>
      </c>
      <c r="I318" t="n">
        <v>0</v>
      </c>
      <c r="J318" t="n">
        <v>0</v>
      </c>
      <c r="K318" t="n">
        <v>0</v>
      </c>
      <c r="L318" t="n">
        <v>0</v>
      </c>
      <c r="M318" t="n">
        <v>0</v>
      </c>
      <c r="N318" t="n">
        <v>0</v>
      </c>
      <c r="O318" t="n">
        <v>0</v>
      </c>
      <c r="P318" t="n">
        <v>0</v>
      </c>
      <c r="Q318" t="n">
        <v>0</v>
      </c>
      <c r="R318" s="2" t="inlineStr"/>
    </row>
    <row r="319" ht="15" customHeight="1">
      <c r="A319" t="inlineStr">
        <is>
          <t>A 67646-2020</t>
        </is>
      </c>
      <c r="B319" s="1" t="n">
        <v>44180</v>
      </c>
      <c r="C319" s="1" t="n">
        <v>45626</v>
      </c>
      <c r="D319" t="inlineStr">
        <is>
          <t>JÄMTLANDS LÄN</t>
        </is>
      </c>
      <c r="E319" t="inlineStr">
        <is>
          <t>ÖSTERSUND</t>
        </is>
      </c>
      <c r="G319" t="n">
        <v>1.9</v>
      </c>
      <c r="H319" t="n">
        <v>0</v>
      </c>
      <c r="I319" t="n">
        <v>0</v>
      </c>
      <c r="J319" t="n">
        <v>0</v>
      </c>
      <c r="K319" t="n">
        <v>0</v>
      </c>
      <c r="L319" t="n">
        <v>0</v>
      </c>
      <c r="M319" t="n">
        <v>0</v>
      </c>
      <c r="N319" t="n">
        <v>0</v>
      </c>
      <c r="O319" t="n">
        <v>0</v>
      </c>
      <c r="P319" t="n">
        <v>0</v>
      </c>
      <c r="Q319" t="n">
        <v>0</v>
      </c>
      <c r="R319" s="2" t="inlineStr"/>
    </row>
    <row r="320" ht="15" customHeight="1">
      <c r="A320" t="inlineStr">
        <is>
          <t>A 67643-2020</t>
        </is>
      </c>
      <c r="B320" s="1" t="n">
        <v>44180</v>
      </c>
      <c r="C320" s="1" t="n">
        <v>45626</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68408-2020</t>
        </is>
      </c>
      <c r="B321" s="1" t="n">
        <v>44186</v>
      </c>
      <c r="C321" s="1" t="n">
        <v>45626</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68937-2020</t>
        </is>
      </c>
      <c r="B322" s="1" t="n">
        <v>44187</v>
      </c>
      <c r="C322" s="1" t="n">
        <v>45626</v>
      </c>
      <c r="D322" t="inlineStr">
        <is>
          <t>JÄMTLANDS LÄN</t>
        </is>
      </c>
      <c r="E322" t="inlineStr">
        <is>
          <t>ÖSTERSUND</t>
        </is>
      </c>
      <c r="G322" t="n">
        <v>4.7</v>
      </c>
      <c r="H322" t="n">
        <v>0</v>
      </c>
      <c r="I322" t="n">
        <v>0</v>
      </c>
      <c r="J322" t="n">
        <v>0</v>
      </c>
      <c r="K322" t="n">
        <v>0</v>
      </c>
      <c r="L322" t="n">
        <v>0</v>
      </c>
      <c r="M322" t="n">
        <v>0</v>
      </c>
      <c r="N322" t="n">
        <v>0</v>
      </c>
      <c r="O322" t="n">
        <v>0</v>
      </c>
      <c r="P322" t="n">
        <v>0</v>
      </c>
      <c r="Q322" t="n">
        <v>0</v>
      </c>
      <c r="R322" s="2" t="inlineStr"/>
    </row>
    <row r="323" ht="15" customHeight="1">
      <c r="A323" t="inlineStr">
        <is>
          <t>A 126-2021</t>
        </is>
      </c>
      <c r="B323" s="1" t="n">
        <v>44200</v>
      </c>
      <c r="C323" s="1" t="n">
        <v>45626</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501-2021</t>
        </is>
      </c>
      <c r="B324" s="1" t="n">
        <v>44200</v>
      </c>
      <c r="C324" s="1" t="n">
        <v>45626</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1322-2021</t>
        </is>
      </c>
      <c r="B325" s="1" t="n">
        <v>44208</v>
      </c>
      <c r="C325" s="1" t="n">
        <v>45626</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2686-2021</t>
        </is>
      </c>
      <c r="B326" s="1" t="n">
        <v>44214</v>
      </c>
      <c r="C326" s="1" t="n">
        <v>45626</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5460-2021</t>
        </is>
      </c>
      <c r="B327" s="1" t="n">
        <v>44229</v>
      </c>
      <c r="C327" s="1" t="n">
        <v>45626</v>
      </c>
      <c r="D327" t="inlineStr">
        <is>
          <t>JÄMTLANDS LÄN</t>
        </is>
      </c>
      <c r="E327" t="inlineStr">
        <is>
          <t>ÖSTERSUND</t>
        </is>
      </c>
      <c r="G327" t="n">
        <v>14.2</v>
      </c>
      <c r="H327" t="n">
        <v>0</v>
      </c>
      <c r="I327" t="n">
        <v>0</v>
      </c>
      <c r="J327" t="n">
        <v>0</v>
      </c>
      <c r="K327" t="n">
        <v>0</v>
      </c>
      <c r="L327" t="n">
        <v>0</v>
      </c>
      <c r="M327" t="n">
        <v>0</v>
      </c>
      <c r="N327" t="n">
        <v>0</v>
      </c>
      <c r="O327" t="n">
        <v>0</v>
      </c>
      <c r="P327" t="n">
        <v>0</v>
      </c>
      <c r="Q327" t="n">
        <v>0</v>
      </c>
      <c r="R327" s="2" t="inlineStr"/>
    </row>
    <row r="328" ht="15" customHeight="1">
      <c r="A328" t="inlineStr">
        <is>
          <t>A 6578-2021</t>
        </is>
      </c>
      <c r="B328" s="1" t="n">
        <v>44236</v>
      </c>
      <c r="C328" s="1" t="n">
        <v>45626</v>
      </c>
      <c r="D328" t="inlineStr">
        <is>
          <t>JÄMTLANDS LÄN</t>
        </is>
      </c>
      <c r="E328" t="inlineStr">
        <is>
          <t>ÖSTERSUND</t>
        </is>
      </c>
      <c r="G328" t="n">
        <v>1.4</v>
      </c>
      <c r="H328" t="n">
        <v>0</v>
      </c>
      <c r="I328" t="n">
        <v>0</v>
      </c>
      <c r="J328" t="n">
        <v>0</v>
      </c>
      <c r="K328" t="n">
        <v>0</v>
      </c>
      <c r="L328" t="n">
        <v>0</v>
      </c>
      <c r="M328" t="n">
        <v>0</v>
      </c>
      <c r="N328" t="n">
        <v>0</v>
      </c>
      <c r="O328" t="n">
        <v>0</v>
      </c>
      <c r="P328" t="n">
        <v>0</v>
      </c>
      <c r="Q328" t="n">
        <v>0</v>
      </c>
      <c r="R328" s="2" t="inlineStr"/>
    </row>
    <row r="329" ht="15" customHeight="1">
      <c r="A329" t="inlineStr">
        <is>
          <t>A 8396-2021</t>
        </is>
      </c>
      <c r="B329" s="1" t="n">
        <v>44238</v>
      </c>
      <c r="C329" s="1" t="n">
        <v>45626</v>
      </c>
      <c r="D329" t="inlineStr">
        <is>
          <t>JÄMTLANDS LÄN</t>
        </is>
      </c>
      <c r="E329" t="inlineStr">
        <is>
          <t>ÖSTERSUND</t>
        </is>
      </c>
      <c r="G329" t="n">
        <v>1.1</v>
      </c>
      <c r="H329" t="n">
        <v>0</v>
      </c>
      <c r="I329" t="n">
        <v>0</v>
      </c>
      <c r="J329" t="n">
        <v>0</v>
      </c>
      <c r="K329" t="n">
        <v>0</v>
      </c>
      <c r="L329" t="n">
        <v>0</v>
      </c>
      <c r="M329" t="n">
        <v>0</v>
      </c>
      <c r="N329" t="n">
        <v>0</v>
      </c>
      <c r="O329" t="n">
        <v>0</v>
      </c>
      <c r="P329" t="n">
        <v>0</v>
      </c>
      <c r="Q329" t="n">
        <v>0</v>
      </c>
      <c r="R329" s="2" t="inlineStr"/>
    </row>
    <row r="330" ht="15" customHeight="1">
      <c r="A330" t="inlineStr">
        <is>
          <t>A 10590-2021</t>
        </is>
      </c>
      <c r="B330" s="1" t="n">
        <v>44258</v>
      </c>
      <c r="C330" s="1" t="n">
        <v>45626</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10911-2021</t>
        </is>
      </c>
      <c r="B331" s="1" t="n">
        <v>44259</v>
      </c>
      <c r="C331" s="1" t="n">
        <v>45626</v>
      </c>
      <c r="D331" t="inlineStr">
        <is>
          <t>JÄMTLANDS LÄN</t>
        </is>
      </c>
      <c r="E331" t="inlineStr">
        <is>
          <t>ÖSTERSUND</t>
        </is>
      </c>
      <c r="F331" t="inlineStr">
        <is>
          <t>Kyrkan</t>
        </is>
      </c>
      <c r="G331" t="n">
        <v>0.9</v>
      </c>
      <c r="H331" t="n">
        <v>0</v>
      </c>
      <c r="I331" t="n">
        <v>0</v>
      </c>
      <c r="J331" t="n">
        <v>0</v>
      </c>
      <c r="K331" t="n">
        <v>0</v>
      </c>
      <c r="L331" t="n">
        <v>0</v>
      </c>
      <c r="M331" t="n">
        <v>0</v>
      </c>
      <c r="N331" t="n">
        <v>0</v>
      </c>
      <c r="O331" t="n">
        <v>0</v>
      </c>
      <c r="P331" t="n">
        <v>0</v>
      </c>
      <c r="Q331" t="n">
        <v>0</v>
      </c>
      <c r="R331" s="2" t="inlineStr"/>
    </row>
    <row r="332" ht="15" customHeight="1">
      <c r="A332" t="inlineStr">
        <is>
          <t>A 10834-2021</t>
        </is>
      </c>
      <c r="B332" s="1" t="n">
        <v>44259</v>
      </c>
      <c r="C332" s="1" t="n">
        <v>45626</v>
      </c>
      <c r="D332" t="inlineStr">
        <is>
          <t>JÄMTLANDS LÄN</t>
        </is>
      </c>
      <c r="E332" t="inlineStr">
        <is>
          <t>ÖSTERSUND</t>
        </is>
      </c>
      <c r="G332" t="n">
        <v>12.2</v>
      </c>
      <c r="H332" t="n">
        <v>0</v>
      </c>
      <c r="I332" t="n">
        <v>0</v>
      </c>
      <c r="J332" t="n">
        <v>0</v>
      </c>
      <c r="K332" t="n">
        <v>0</v>
      </c>
      <c r="L332" t="n">
        <v>0</v>
      </c>
      <c r="M332" t="n">
        <v>0</v>
      </c>
      <c r="N332" t="n">
        <v>0</v>
      </c>
      <c r="O332" t="n">
        <v>0</v>
      </c>
      <c r="P332" t="n">
        <v>0</v>
      </c>
      <c r="Q332" t="n">
        <v>0</v>
      </c>
      <c r="R332" s="2" t="inlineStr"/>
    </row>
    <row r="333" ht="15" customHeight="1">
      <c r="A333" t="inlineStr">
        <is>
          <t>A 12710-2021</t>
        </is>
      </c>
      <c r="B333" s="1" t="n">
        <v>44270</v>
      </c>
      <c r="C333" s="1" t="n">
        <v>45626</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12705-2021</t>
        </is>
      </c>
      <c r="B334" s="1" t="n">
        <v>44270</v>
      </c>
      <c r="C334" s="1" t="n">
        <v>45626</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14155-2021</t>
        </is>
      </c>
      <c r="B335" s="1" t="n">
        <v>44278</v>
      </c>
      <c r="C335" s="1" t="n">
        <v>45626</v>
      </c>
      <c r="D335" t="inlineStr">
        <is>
          <t>JÄMTLANDS LÄN</t>
        </is>
      </c>
      <c r="E335" t="inlineStr">
        <is>
          <t>ÖSTERSUND</t>
        </is>
      </c>
      <c r="G335" t="n">
        <v>2.6</v>
      </c>
      <c r="H335" t="n">
        <v>0</v>
      </c>
      <c r="I335" t="n">
        <v>0</v>
      </c>
      <c r="J335" t="n">
        <v>0</v>
      </c>
      <c r="K335" t="n">
        <v>0</v>
      </c>
      <c r="L335" t="n">
        <v>0</v>
      </c>
      <c r="M335" t="n">
        <v>0</v>
      </c>
      <c r="N335" t="n">
        <v>0</v>
      </c>
      <c r="O335" t="n">
        <v>0</v>
      </c>
      <c r="P335" t="n">
        <v>0</v>
      </c>
      <c r="Q335" t="n">
        <v>0</v>
      </c>
      <c r="R335" s="2" t="inlineStr"/>
    </row>
    <row r="336" ht="15" customHeight="1">
      <c r="A336" t="inlineStr">
        <is>
          <t>A 15659-2021</t>
        </is>
      </c>
      <c r="B336" s="1" t="n">
        <v>44298</v>
      </c>
      <c r="C336" s="1" t="n">
        <v>45626</v>
      </c>
      <c r="D336" t="inlineStr">
        <is>
          <t>JÄMTLANDS LÄN</t>
        </is>
      </c>
      <c r="E336" t="inlineStr">
        <is>
          <t>ÖSTERSUND</t>
        </is>
      </c>
      <c r="G336" t="n">
        <v>13.3</v>
      </c>
      <c r="H336" t="n">
        <v>0</v>
      </c>
      <c r="I336" t="n">
        <v>0</v>
      </c>
      <c r="J336" t="n">
        <v>0</v>
      </c>
      <c r="K336" t="n">
        <v>0</v>
      </c>
      <c r="L336" t="n">
        <v>0</v>
      </c>
      <c r="M336" t="n">
        <v>0</v>
      </c>
      <c r="N336" t="n">
        <v>0</v>
      </c>
      <c r="O336" t="n">
        <v>0</v>
      </c>
      <c r="P336" t="n">
        <v>0</v>
      </c>
      <c r="Q336" t="n">
        <v>0</v>
      </c>
      <c r="R336" s="2" t="inlineStr"/>
    </row>
    <row r="337" ht="15" customHeight="1">
      <c r="A337" t="inlineStr">
        <is>
          <t>A 17362-2021</t>
        </is>
      </c>
      <c r="B337" s="1" t="n">
        <v>44298</v>
      </c>
      <c r="C337" s="1" t="n">
        <v>45626</v>
      </c>
      <c r="D337" t="inlineStr">
        <is>
          <t>JÄMTLANDS LÄN</t>
        </is>
      </c>
      <c r="E337" t="inlineStr">
        <is>
          <t>ÖSTERSUND</t>
        </is>
      </c>
      <c r="G337" t="n">
        <v>3.7</v>
      </c>
      <c r="H337" t="n">
        <v>0</v>
      </c>
      <c r="I337" t="n">
        <v>0</v>
      </c>
      <c r="J337" t="n">
        <v>0</v>
      </c>
      <c r="K337" t="n">
        <v>0</v>
      </c>
      <c r="L337" t="n">
        <v>0</v>
      </c>
      <c r="M337" t="n">
        <v>0</v>
      </c>
      <c r="N337" t="n">
        <v>0</v>
      </c>
      <c r="O337" t="n">
        <v>0</v>
      </c>
      <c r="P337" t="n">
        <v>0</v>
      </c>
      <c r="Q337" t="n">
        <v>0</v>
      </c>
      <c r="R337" s="2" t="inlineStr"/>
    </row>
    <row r="338" ht="15" customHeight="1">
      <c r="A338" t="inlineStr">
        <is>
          <t>A 17596-2021</t>
        </is>
      </c>
      <c r="B338" s="1" t="n">
        <v>44299</v>
      </c>
      <c r="C338" s="1" t="n">
        <v>45626</v>
      </c>
      <c r="D338" t="inlineStr">
        <is>
          <t>JÄMTLANDS LÄN</t>
        </is>
      </c>
      <c r="E338" t="inlineStr">
        <is>
          <t>ÖSTERSUND</t>
        </is>
      </c>
      <c r="G338" t="n">
        <v>3.7</v>
      </c>
      <c r="H338" t="n">
        <v>0</v>
      </c>
      <c r="I338" t="n">
        <v>0</v>
      </c>
      <c r="J338" t="n">
        <v>0</v>
      </c>
      <c r="K338" t="n">
        <v>0</v>
      </c>
      <c r="L338" t="n">
        <v>0</v>
      </c>
      <c r="M338" t="n">
        <v>0</v>
      </c>
      <c r="N338" t="n">
        <v>0</v>
      </c>
      <c r="O338" t="n">
        <v>0</v>
      </c>
      <c r="P338" t="n">
        <v>0</v>
      </c>
      <c r="Q338" t="n">
        <v>0</v>
      </c>
      <c r="R338" s="2" t="inlineStr"/>
    </row>
    <row r="339" ht="15" customHeight="1">
      <c r="A339" t="inlineStr">
        <is>
          <t>A 19541-2021</t>
        </is>
      </c>
      <c r="B339" s="1" t="n">
        <v>44312</v>
      </c>
      <c r="C339" s="1" t="n">
        <v>45626</v>
      </c>
      <c r="D339" t="inlineStr">
        <is>
          <t>JÄMTLANDS LÄN</t>
        </is>
      </c>
      <c r="E339" t="inlineStr">
        <is>
          <t>ÖSTERSUND</t>
        </is>
      </c>
      <c r="G339" t="n">
        <v>0.7</v>
      </c>
      <c r="H339" t="n">
        <v>0</v>
      </c>
      <c r="I339" t="n">
        <v>0</v>
      </c>
      <c r="J339" t="n">
        <v>0</v>
      </c>
      <c r="K339" t="n">
        <v>0</v>
      </c>
      <c r="L339" t="n">
        <v>0</v>
      </c>
      <c r="M339" t="n">
        <v>0</v>
      </c>
      <c r="N339" t="n">
        <v>0</v>
      </c>
      <c r="O339" t="n">
        <v>0</v>
      </c>
      <c r="P339" t="n">
        <v>0</v>
      </c>
      <c r="Q339" t="n">
        <v>0</v>
      </c>
      <c r="R339" s="2" t="inlineStr"/>
    </row>
    <row r="340" ht="15" customHeight="1">
      <c r="A340" t="inlineStr">
        <is>
          <t>A 20290-2021</t>
        </is>
      </c>
      <c r="B340" s="1" t="n">
        <v>44314</v>
      </c>
      <c r="C340" s="1" t="n">
        <v>45626</v>
      </c>
      <c r="D340" t="inlineStr">
        <is>
          <t>JÄMTLANDS LÄN</t>
        </is>
      </c>
      <c r="E340" t="inlineStr">
        <is>
          <t>ÖSTERSUND</t>
        </is>
      </c>
      <c r="F340" t="inlineStr">
        <is>
          <t>SCA</t>
        </is>
      </c>
      <c r="G340" t="n">
        <v>8.1</v>
      </c>
      <c r="H340" t="n">
        <v>0</v>
      </c>
      <c r="I340" t="n">
        <v>0</v>
      </c>
      <c r="J340" t="n">
        <v>0</v>
      </c>
      <c r="K340" t="n">
        <v>0</v>
      </c>
      <c r="L340" t="n">
        <v>0</v>
      </c>
      <c r="M340" t="n">
        <v>0</v>
      </c>
      <c r="N340" t="n">
        <v>0</v>
      </c>
      <c r="O340" t="n">
        <v>0</v>
      </c>
      <c r="P340" t="n">
        <v>0</v>
      </c>
      <c r="Q340" t="n">
        <v>0</v>
      </c>
      <c r="R340" s="2" t="inlineStr"/>
    </row>
    <row r="341" ht="15" customHeight="1">
      <c r="A341" t="inlineStr">
        <is>
          <t>A 20620-2021</t>
        </is>
      </c>
      <c r="B341" s="1" t="n">
        <v>44316</v>
      </c>
      <c r="C341" s="1" t="n">
        <v>45626</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21306-2021</t>
        </is>
      </c>
      <c r="B342" s="1" t="n">
        <v>44320</v>
      </c>
      <c r="C342" s="1" t="n">
        <v>45626</v>
      </c>
      <c r="D342" t="inlineStr">
        <is>
          <t>JÄMTLANDS LÄN</t>
        </is>
      </c>
      <c r="E342" t="inlineStr">
        <is>
          <t>ÖSTERSUND</t>
        </is>
      </c>
      <c r="G342" t="n">
        <v>4.5</v>
      </c>
      <c r="H342" t="n">
        <v>0</v>
      </c>
      <c r="I342" t="n">
        <v>0</v>
      </c>
      <c r="J342" t="n">
        <v>0</v>
      </c>
      <c r="K342" t="n">
        <v>0</v>
      </c>
      <c r="L342" t="n">
        <v>0</v>
      </c>
      <c r="M342" t="n">
        <v>0</v>
      </c>
      <c r="N342" t="n">
        <v>0</v>
      </c>
      <c r="O342" t="n">
        <v>0</v>
      </c>
      <c r="P342" t="n">
        <v>0</v>
      </c>
      <c r="Q342" t="n">
        <v>0</v>
      </c>
      <c r="R342" s="2" t="inlineStr"/>
    </row>
    <row r="343" ht="15" customHeight="1">
      <c r="A343" t="inlineStr">
        <is>
          <t>A 21849-2021</t>
        </is>
      </c>
      <c r="B343" s="1" t="n">
        <v>44322</v>
      </c>
      <c r="C343" s="1" t="n">
        <v>45626</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22126-2021</t>
        </is>
      </c>
      <c r="B344" s="1" t="n">
        <v>44323</v>
      </c>
      <c r="C344" s="1" t="n">
        <v>45626</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23187-2021</t>
        </is>
      </c>
      <c r="B345" s="1" t="n">
        <v>44328</v>
      </c>
      <c r="C345" s="1" t="n">
        <v>45626</v>
      </c>
      <c r="D345" t="inlineStr">
        <is>
          <t>JÄMTLANDS LÄN</t>
        </is>
      </c>
      <c r="E345" t="inlineStr">
        <is>
          <t>ÖSTERSUND</t>
        </is>
      </c>
      <c r="G345" t="n">
        <v>1.8</v>
      </c>
      <c r="H345" t="n">
        <v>0</v>
      </c>
      <c r="I345" t="n">
        <v>0</v>
      </c>
      <c r="J345" t="n">
        <v>0</v>
      </c>
      <c r="K345" t="n">
        <v>0</v>
      </c>
      <c r="L345" t="n">
        <v>0</v>
      </c>
      <c r="M345" t="n">
        <v>0</v>
      </c>
      <c r="N345" t="n">
        <v>0</v>
      </c>
      <c r="O345" t="n">
        <v>0</v>
      </c>
      <c r="P345" t="n">
        <v>0</v>
      </c>
      <c r="Q345" t="n">
        <v>0</v>
      </c>
      <c r="R345" s="2" t="inlineStr"/>
    </row>
    <row r="346" ht="15" customHeight="1">
      <c r="A346" t="inlineStr">
        <is>
          <t>A 23895-2021</t>
        </is>
      </c>
      <c r="B346" s="1" t="n">
        <v>44335</v>
      </c>
      <c r="C346" s="1" t="n">
        <v>45626</v>
      </c>
      <c r="D346" t="inlineStr">
        <is>
          <t>JÄMTLANDS LÄN</t>
        </is>
      </c>
      <c r="E346" t="inlineStr">
        <is>
          <t>ÖSTERSUND</t>
        </is>
      </c>
      <c r="G346" t="n">
        <v>0.6</v>
      </c>
      <c r="H346" t="n">
        <v>0</v>
      </c>
      <c r="I346" t="n">
        <v>0</v>
      </c>
      <c r="J346" t="n">
        <v>0</v>
      </c>
      <c r="K346" t="n">
        <v>0</v>
      </c>
      <c r="L346" t="n">
        <v>0</v>
      </c>
      <c r="M346" t="n">
        <v>0</v>
      </c>
      <c r="N346" t="n">
        <v>0</v>
      </c>
      <c r="O346" t="n">
        <v>0</v>
      </c>
      <c r="P346" t="n">
        <v>0</v>
      </c>
      <c r="Q346" t="n">
        <v>0</v>
      </c>
      <c r="R346" s="2" t="inlineStr"/>
    </row>
    <row r="347" ht="15" customHeight="1">
      <c r="A347" t="inlineStr">
        <is>
          <t>A 24312-2021</t>
        </is>
      </c>
      <c r="B347" s="1" t="n">
        <v>44336</v>
      </c>
      <c r="C347" s="1" t="n">
        <v>45626</v>
      </c>
      <c r="D347" t="inlineStr">
        <is>
          <t>JÄMTLANDS LÄN</t>
        </is>
      </c>
      <c r="E347" t="inlineStr">
        <is>
          <t>ÖSTERSUND</t>
        </is>
      </c>
      <c r="G347" t="n">
        <v>10.6</v>
      </c>
      <c r="H347" t="n">
        <v>0</v>
      </c>
      <c r="I347" t="n">
        <v>0</v>
      </c>
      <c r="J347" t="n">
        <v>0</v>
      </c>
      <c r="K347" t="n">
        <v>0</v>
      </c>
      <c r="L347" t="n">
        <v>0</v>
      </c>
      <c r="M347" t="n">
        <v>0</v>
      </c>
      <c r="N347" t="n">
        <v>0</v>
      </c>
      <c r="O347" t="n">
        <v>0</v>
      </c>
      <c r="P347" t="n">
        <v>0</v>
      </c>
      <c r="Q347" t="n">
        <v>0</v>
      </c>
      <c r="R347" s="2" t="inlineStr"/>
    </row>
    <row r="348" ht="15" customHeight="1">
      <c r="A348" t="inlineStr">
        <is>
          <t>A 24706-2021</t>
        </is>
      </c>
      <c r="B348" s="1" t="n">
        <v>44340</v>
      </c>
      <c r="C348" s="1" t="n">
        <v>45626</v>
      </c>
      <c r="D348" t="inlineStr">
        <is>
          <t>JÄMTLANDS LÄN</t>
        </is>
      </c>
      <c r="E348" t="inlineStr">
        <is>
          <t>ÖSTERSUND</t>
        </is>
      </c>
      <c r="G348" t="n">
        <v>5.6</v>
      </c>
      <c r="H348" t="n">
        <v>0</v>
      </c>
      <c r="I348" t="n">
        <v>0</v>
      </c>
      <c r="J348" t="n">
        <v>0</v>
      </c>
      <c r="K348" t="n">
        <v>0</v>
      </c>
      <c r="L348" t="n">
        <v>0</v>
      </c>
      <c r="M348" t="n">
        <v>0</v>
      </c>
      <c r="N348" t="n">
        <v>0</v>
      </c>
      <c r="O348" t="n">
        <v>0</v>
      </c>
      <c r="P348" t="n">
        <v>0</v>
      </c>
      <c r="Q348" t="n">
        <v>0</v>
      </c>
      <c r="R348" s="2" t="inlineStr"/>
    </row>
    <row r="349" ht="15" customHeight="1">
      <c r="A349" t="inlineStr">
        <is>
          <t>A 24721-2021</t>
        </is>
      </c>
      <c r="B349" s="1" t="n">
        <v>44340</v>
      </c>
      <c r="C349" s="1" t="n">
        <v>45626</v>
      </c>
      <c r="D349" t="inlineStr">
        <is>
          <t>JÄMTLANDS LÄN</t>
        </is>
      </c>
      <c r="E349" t="inlineStr">
        <is>
          <t>ÖSTERSUND</t>
        </is>
      </c>
      <c r="G349" t="n">
        <v>2.7</v>
      </c>
      <c r="H349" t="n">
        <v>0</v>
      </c>
      <c r="I349" t="n">
        <v>0</v>
      </c>
      <c r="J349" t="n">
        <v>0</v>
      </c>
      <c r="K349" t="n">
        <v>0</v>
      </c>
      <c r="L349" t="n">
        <v>0</v>
      </c>
      <c r="M349" t="n">
        <v>0</v>
      </c>
      <c r="N349" t="n">
        <v>0</v>
      </c>
      <c r="O349" t="n">
        <v>0</v>
      </c>
      <c r="P349" t="n">
        <v>0</v>
      </c>
      <c r="Q349" t="n">
        <v>0</v>
      </c>
      <c r="R349" s="2" t="inlineStr"/>
    </row>
    <row r="350" ht="15" customHeight="1">
      <c r="A350" t="inlineStr">
        <is>
          <t>A 26254-2021</t>
        </is>
      </c>
      <c r="B350" s="1" t="n">
        <v>44347</v>
      </c>
      <c r="C350" s="1" t="n">
        <v>45626</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26259-2021</t>
        </is>
      </c>
      <c r="B351" s="1" t="n">
        <v>44347</v>
      </c>
      <c r="C351" s="1" t="n">
        <v>45626</v>
      </c>
      <c r="D351" t="inlineStr">
        <is>
          <t>JÄMTLANDS LÄN</t>
        </is>
      </c>
      <c r="E351" t="inlineStr">
        <is>
          <t>ÖSTERSUND</t>
        </is>
      </c>
      <c r="G351" t="n">
        <v>4.3</v>
      </c>
      <c r="H351" t="n">
        <v>0</v>
      </c>
      <c r="I351" t="n">
        <v>0</v>
      </c>
      <c r="J351" t="n">
        <v>0</v>
      </c>
      <c r="K351" t="n">
        <v>0</v>
      </c>
      <c r="L351" t="n">
        <v>0</v>
      </c>
      <c r="M351" t="n">
        <v>0</v>
      </c>
      <c r="N351" t="n">
        <v>0</v>
      </c>
      <c r="O351" t="n">
        <v>0</v>
      </c>
      <c r="P351" t="n">
        <v>0</v>
      </c>
      <c r="Q351" t="n">
        <v>0</v>
      </c>
      <c r="R351" s="2" t="inlineStr"/>
    </row>
    <row r="352" ht="15" customHeight="1">
      <c r="A352" t="inlineStr">
        <is>
          <t>A 27061-2021</t>
        </is>
      </c>
      <c r="B352" s="1" t="n">
        <v>44349</v>
      </c>
      <c r="C352" s="1" t="n">
        <v>45626</v>
      </c>
      <c r="D352" t="inlineStr">
        <is>
          <t>JÄMTLANDS LÄN</t>
        </is>
      </c>
      <c r="E352" t="inlineStr">
        <is>
          <t>ÖSTERSUND</t>
        </is>
      </c>
      <c r="G352" t="n">
        <v>3.2</v>
      </c>
      <c r="H352" t="n">
        <v>0</v>
      </c>
      <c r="I352" t="n">
        <v>0</v>
      </c>
      <c r="J352" t="n">
        <v>0</v>
      </c>
      <c r="K352" t="n">
        <v>0</v>
      </c>
      <c r="L352" t="n">
        <v>0</v>
      </c>
      <c r="M352" t="n">
        <v>0</v>
      </c>
      <c r="N352" t="n">
        <v>0</v>
      </c>
      <c r="O352" t="n">
        <v>0</v>
      </c>
      <c r="P352" t="n">
        <v>0</v>
      </c>
      <c r="Q352" t="n">
        <v>0</v>
      </c>
      <c r="R352" s="2" t="inlineStr"/>
    </row>
    <row r="353" ht="15" customHeight="1">
      <c r="A353" t="inlineStr">
        <is>
          <t>A 27004-2021</t>
        </is>
      </c>
      <c r="B353" s="1" t="n">
        <v>44349</v>
      </c>
      <c r="C353" s="1" t="n">
        <v>45626</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29582-2021</t>
        </is>
      </c>
      <c r="B354" s="1" t="n">
        <v>44362</v>
      </c>
      <c r="C354" s="1" t="n">
        <v>45626</v>
      </c>
      <c r="D354" t="inlineStr">
        <is>
          <t>JÄMTLANDS LÄN</t>
        </is>
      </c>
      <c r="E354" t="inlineStr">
        <is>
          <t>ÖSTERSUND</t>
        </is>
      </c>
      <c r="G354" t="n">
        <v>31.5</v>
      </c>
      <c r="H354" t="n">
        <v>0</v>
      </c>
      <c r="I354" t="n">
        <v>0</v>
      </c>
      <c r="J354" t="n">
        <v>0</v>
      </c>
      <c r="K354" t="n">
        <v>0</v>
      </c>
      <c r="L354" t="n">
        <v>0</v>
      </c>
      <c r="M354" t="n">
        <v>0</v>
      </c>
      <c r="N354" t="n">
        <v>0</v>
      </c>
      <c r="O354" t="n">
        <v>0</v>
      </c>
      <c r="P354" t="n">
        <v>0</v>
      </c>
      <c r="Q354" t="n">
        <v>0</v>
      </c>
      <c r="R354" s="2" t="inlineStr"/>
    </row>
    <row r="355" ht="15" customHeight="1">
      <c r="A355" t="inlineStr">
        <is>
          <t>A 29707-2021</t>
        </is>
      </c>
      <c r="B355" s="1" t="n">
        <v>44362</v>
      </c>
      <c r="C355" s="1" t="n">
        <v>45626</v>
      </c>
      <c r="D355" t="inlineStr">
        <is>
          <t>JÄMTLANDS LÄN</t>
        </is>
      </c>
      <c r="E355" t="inlineStr">
        <is>
          <t>ÖSTERSUND</t>
        </is>
      </c>
      <c r="G355" t="n">
        <v>4</v>
      </c>
      <c r="H355" t="n">
        <v>0</v>
      </c>
      <c r="I355" t="n">
        <v>0</v>
      </c>
      <c r="J355" t="n">
        <v>0</v>
      </c>
      <c r="K355" t="n">
        <v>0</v>
      </c>
      <c r="L355" t="n">
        <v>0</v>
      </c>
      <c r="M355" t="n">
        <v>0</v>
      </c>
      <c r="N355" t="n">
        <v>0</v>
      </c>
      <c r="O355" t="n">
        <v>0</v>
      </c>
      <c r="P355" t="n">
        <v>0</v>
      </c>
      <c r="Q355" t="n">
        <v>0</v>
      </c>
      <c r="R355" s="2" t="inlineStr"/>
    </row>
    <row r="356" ht="15" customHeight="1">
      <c r="A356" t="inlineStr">
        <is>
          <t>A 31040-2021</t>
        </is>
      </c>
      <c r="B356" s="1" t="n">
        <v>44368</v>
      </c>
      <c r="C356" s="1" t="n">
        <v>45626</v>
      </c>
      <c r="D356" t="inlineStr">
        <is>
          <t>JÄMTLANDS LÄN</t>
        </is>
      </c>
      <c r="E356" t="inlineStr">
        <is>
          <t>ÖSTERSUND</t>
        </is>
      </c>
      <c r="G356" t="n">
        <v>4.3</v>
      </c>
      <c r="H356" t="n">
        <v>0</v>
      </c>
      <c r="I356" t="n">
        <v>0</v>
      </c>
      <c r="J356" t="n">
        <v>0</v>
      </c>
      <c r="K356" t="n">
        <v>0</v>
      </c>
      <c r="L356" t="n">
        <v>0</v>
      </c>
      <c r="M356" t="n">
        <v>0</v>
      </c>
      <c r="N356" t="n">
        <v>0</v>
      </c>
      <c r="O356" t="n">
        <v>0</v>
      </c>
      <c r="P356" t="n">
        <v>0</v>
      </c>
      <c r="Q356" t="n">
        <v>0</v>
      </c>
      <c r="R356" s="2" t="inlineStr"/>
    </row>
    <row r="357" ht="15" customHeight="1">
      <c r="A357" t="inlineStr">
        <is>
          <t>A 32994-2021</t>
        </is>
      </c>
      <c r="B357" s="1" t="n">
        <v>44375</v>
      </c>
      <c r="C357" s="1" t="n">
        <v>45626</v>
      </c>
      <c r="D357" t="inlineStr">
        <is>
          <t>JÄMTLANDS LÄN</t>
        </is>
      </c>
      <c r="E357" t="inlineStr">
        <is>
          <t>ÖSTERSUND</t>
        </is>
      </c>
      <c r="G357" t="n">
        <v>0.1</v>
      </c>
      <c r="H357" t="n">
        <v>0</v>
      </c>
      <c r="I357" t="n">
        <v>0</v>
      </c>
      <c r="J357" t="n">
        <v>0</v>
      </c>
      <c r="K357" t="n">
        <v>0</v>
      </c>
      <c r="L357" t="n">
        <v>0</v>
      </c>
      <c r="M357" t="n">
        <v>0</v>
      </c>
      <c r="N357" t="n">
        <v>0</v>
      </c>
      <c r="O357" t="n">
        <v>0</v>
      </c>
      <c r="P357" t="n">
        <v>0</v>
      </c>
      <c r="Q357" t="n">
        <v>0</v>
      </c>
      <c r="R357" s="2" t="inlineStr"/>
    </row>
    <row r="358" ht="15" customHeight="1">
      <c r="A358" t="inlineStr">
        <is>
          <t>A 33004-2021</t>
        </is>
      </c>
      <c r="B358" s="1" t="n">
        <v>44375</v>
      </c>
      <c r="C358" s="1" t="n">
        <v>45626</v>
      </c>
      <c r="D358" t="inlineStr">
        <is>
          <t>JÄMTLANDS LÄN</t>
        </is>
      </c>
      <c r="E358" t="inlineStr">
        <is>
          <t>ÖSTERSUND</t>
        </is>
      </c>
      <c r="G358" t="n">
        <v>0.6</v>
      </c>
      <c r="H358" t="n">
        <v>0</v>
      </c>
      <c r="I358" t="n">
        <v>0</v>
      </c>
      <c r="J358" t="n">
        <v>0</v>
      </c>
      <c r="K358" t="n">
        <v>0</v>
      </c>
      <c r="L358" t="n">
        <v>0</v>
      </c>
      <c r="M358" t="n">
        <v>0</v>
      </c>
      <c r="N358" t="n">
        <v>0</v>
      </c>
      <c r="O358" t="n">
        <v>0</v>
      </c>
      <c r="P358" t="n">
        <v>0</v>
      </c>
      <c r="Q358" t="n">
        <v>0</v>
      </c>
      <c r="R358" s="2" t="inlineStr"/>
    </row>
    <row r="359" ht="15" customHeight="1">
      <c r="A359" t="inlineStr">
        <is>
          <t>A 32998-2021</t>
        </is>
      </c>
      <c r="B359" s="1" t="n">
        <v>44375</v>
      </c>
      <c r="C359" s="1" t="n">
        <v>45626</v>
      </c>
      <c r="D359" t="inlineStr">
        <is>
          <t>JÄMTLANDS LÄN</t>
        </is>
      </c>
      <c r="E359" t="inlineStr">
        <is>
          <t>ÖSTERSUND</t>
        </is>
      </c>
      <c r="G359" t="n">
        <v>0.1</v>
      </c>
      <c r="H359" t="n">
        <v>0</v>
      </c>
      <c r="I359" t="n">
        <v>0</v>
      </c>
      <c r="J359" t="n">
        <v>0</v>
      </c>
      <c r="K359" t="n">
        <v>0</v>
      </c>
      <c r="L359" t="n">
        <v>0</v>
      </c>
      <c r="M359" t="n">
        <v>0</v>
      </c>
      <c r="N359" t="n">
        <v>0</v>
      </c>
      <c r="O359" t="n">
        <v>0</v>
      </c>
      <c r="P359" t="n">
        <v>0</v>
      </c>
      <c r="Q359" t="n">
        <v>0</v>
      </c>
      <c r="R359" s="2" t="inlineStr"/>
    </row>
    <row r="360" ht="15" customHeight="1">
      <c r="A360" t="inlineStr">
        <is>
          <t>A 32986-2021</t>
        </is>
      </c>
      <c r="B360" s="1" t="n">
        <v>44375</v>
      </c>
      <c r="C360" s="1" t="n">
        <v>45626</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33002-2021</t>
        </is>
      </c>
      <c r="B361" s="1" t="n">
        <v>44375</v>
      </c>
      <c r="C361" s="1" t="n">
        <v>45626</v>
      </c>
      <c r="D361" t="inlineStr">
        <is>
          <t>JÄMTLANDS LÄN</t>
        </is>
      </c>
      <c r="E361" t="inlineStr">
        <is>
          <t>ÖSTERSUND</t>
        </is>
      </c>
      <c r="G361" t="n">
        <v>0.2</v>
      </c>
      <c r="H361" t="n">
        <v>0</v>
      </c>
      <c r="I361" t="n">
        <v>0</v>
      </c>
      <c r="J361" t="n">
        <v>0</v>
      </c>
      <c r="K361" t="n">
        <v>0</v>
      </c>
      <c r="L361" t="n">
        <v>0</v>
      </c>
      <c r="M361" t="n">
        <v>0</v>
      </c>
      <c r="N361" t="n">
        <v>0</v>
      </c>
      <c r="O361" t="n">
        <v>0</v>
      </c>
      <c r="P361" t="n">
        <v>0</v>
      </c>
      <c r="Q361" t="n">
        <v>0</v>
      </c>
      <c r="R361" s="2" t="inlineStr"/>
    </row>
    <row r="362" ht="15" customHeight="1">
      <c r="A362" t="inlineStr">
        <is>
          <t>A 32990-2021</t>
        </is>
      </c>
      <c r="B362" s="1" t="n">
        <v>44375</v>
      </c>
      <c r="C362" s="1" t="n">
        <v>45626</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33831-2021</t>
        </is>
      </c>
      <c r="B363" s="1" t="n">
        <v>44378</v>
      </c>
      <c r="C363" s="1" t="n">
        <v>45626</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35032-2021</t>
        </is>
      </c>
      <c r="B364" s="1" t="n">
        <v>44383</v>
      </c>
      <c r="C364" s="1" t="n">
        <v>45626</v>
      </c>
      <c r="D364" t="inlineStr">
        <is>
          <t>JÄMTLANDS LÄN</t>
        </is>
      </c>
      <c r="E364" t="inlineStr">
        <is>
          <t>ÖSTERSUND</t>
        </is>
      </c>
      <c r="G364" t="n">
        <v>0.9</v>
      </c>
      <c r="H364" t="n">
        <v>0</v>
      </c>
      <c r="I364" t="n">
        <v>0</v>
      </c>
      <c r="J364" t="n">
        <v>0</v>
      </c>
      <c r="K364" t="n">
        <v>0</v>
      </c>
      <c r="L364" t="n">
        <v>0</v>
      </c>
      <c r="M364" t="n">
        <v>0</v>
      </c>
      <c r="N364" t="n">
        <v>0</v>
      </c>
      <c r="O364" t="n">
        <v>0</v>
      </c>
      <c r="P364" t="n">
        <v>0</v>
      </c>
      <c r="Q364" t="n">
        <v>0</v>
      </c>
      <c r="R364" s="2" t="inlineStr"/>
    </row>
    <row r="365" ht="15" customHeight="1">
      <c r="A365" t="inlineStr">
        <is>
          <t>A 35755-2021</t>
        </is>
      </c>
      <c r="B365" s="1" t="n">
        <v>44385</v>
      </c>
      <c r="C365" s="1" t="n">
        <v>45626</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38142-2021</t>
        </is>
      </c>
      <c r="B366" s="1" t="n">
        <v>44405</v>
      </c>
      <c r="C366" s="1" t="n">
        <v>45626</v>
      </c>
      <c r="D366" t="inlineStr">
        <is>
          <t>JÄMTLANDS LÄN</t>
        </is>
      </c>
      <c r="E366" t="inlineStr">
        <is>
          <t>ÖSTERSUND</t>
        </is>
      </c>
      <c r="G366" t="n">
        <v>1.7</v>
      </c>
      <c r="H366" t="n">
        <v>0</v>
      </c>
      <c r="I366" t="n">
        <v>0</v>
      </c>
      <c r="J366" t="n">
        <v>0</v>
      </c>
      <c r="K366" t="n">
        <v>0</v>
      </c>
      <c r="L366" t="n">
        <v>0</v>
      </c>
      <c r="M366" t="n">
        <v>0</v>
      </c>
      <c r="N366" t="n">
        <v>0</v>
      </c>
      <c r="O366" t="n">
        <v>0</v>
      </c>
      <c r="P366" t="n">
        <v>0</v>
      </c>
      <c r="Q366" t="n">
        <v>0</v>
      </c>
      <c r="R366" s="2" t="inlineStr"/>
    </row>
    <row r="367" ht="15" customHeight="1">
      <c r="A367" t="inlineStr">
        <is>
          <t>A 38647-2021</t>
        </is>
      </c>
      <c r="B367" s="1" t="n">
        <v>44410</v>
      </c>
      <c r="C367" s="1" t="n">
        <v>45626</v>
      </c>
      <c r="D367" t="inlineStr">
        <is>
          <t>JÄMTLANDS LÄN</t>
        </is>
      </c>
      <c r="E367" t="inlineStr">
        <is>
          <t>ÖSTERSUND</t>
        </is>
      </c>
      <c r="G367" t="n">
        <v>1.7</v>
      </c>
      <c r="H367" t="n">
        <v>0</v>
      </c>
      <c r="I367" t="n">
        <v>0</v>
      </c>
      <c r="J367" t="n">
        <v>0</v>
      </c>
      <c r="K367" t="n">
        <v>0</v>
      </c>
      <c r="L367" t="n">
        <v>0</v>
      </c>
      <c r="M367" t="n">
        <v>0</v>
      </c>
      <c r="N367" t="n">
        <v>0</v>
      </c>
      <c r="O367" t="n">
        <v>0</v>
      </c>
      <c r="P367" t="n">
        <v>0</v>
      </c>
      <c r="Q367" t="n">
        <v>0</v>
      </c>
      <c r="R367" s="2" t="inlineStr"/>
    </row>
    <row r="368" ht="15" customHeight="1">
      <c r="A368" t="inlineStr">
        <is>
          <t>A 38644-2021</t>
        </is>
      </c>
      <c r="B368" s="1" t="n">
        <v>44410</v>
      </c>
      <c r="C368" s="1" t="n">
        <v>45626</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39735-2021</t>
        </is>
      </c>
      <c r="B369" s="1" t="n">
        <v>44414</v>
      </c>
      <c r="C369" s="1" t="n">
        <v>45626</v>
      </c>
      <c r="D369" t="inlineStr">
        <is>
          <t>JÄMTLANDS LÄN</t>
        </is>
      </c>
      <c r="E369" t="inlineStr">
        <is>
          <t>ÖSTERSUND</t>
        </is>
      </c>
      <c r="G369" t="n">
        <v>4.5</v>
      </c>
      <c r="H369" t="n">
        <v>0</v>
      </c>
      <c r="I369" t="n">
        <v>0</v>
      </c>
      <c r="J369" t="n">
        <v>0</v>
      </c>
      <c r="K369" t="n">
        <v>0</v>
      </c>
      <c r="L369" t="n">
        <v>0</v>
      </c>
      <c r="M369" t="n">
        <v>0</v>
      </c>
      <c r="N369" t="n">
        <v>0</v>
      </c>
      <c r="O369" t="n">
        <v>0</v>
      </c>
      <c r="P369" t="n">
        <v>0</v>
      </c>
      <c r="Q369" t="n">
        <v>0</v>
      </c>
      <c r="R369" s="2" t="inlineStr"/>
    </row>
    <row r="370" ht="15" customHeight="1">
      <c r="A370" t="inlineStr">
        <is>
          <t>A 40038-2021</t>
        </is>
      </c>
      <c r="B370" s="1" t="n">
        <v>44418</v>
      </c>
      <c r="C370" s="1" t="n">
        <v>45626</v>
      </c>
      <c r="D370" t="inlineStr">
        <is>
          <t>JÄMTLANDS LÄN</t>
        </is>
      </c>
      <c r="E370" t="inlineStr">
        <is>
          <t>ÖSTERSUND</t>
        </is>
      </c>
      <c r="G370" t="n">
        <v>7</v>
      </c>
      <c r="H370" t="n">
        <v>0</v>
      </c>
      <c r="I370" t="n">
        <v>0</v>
      </c>
      <c r="J370" t="n">
        <v>0</v>
      </c>
      <c r="K370" t="n">
        <v>0</v>
      </c>
      <c r="L370" t="n">
        <v>0</v>
      </c>
      <c r="M370" t="n">
        <v>0</v>
      </c>
      <c r="N370" t="n">
        <v>0</v>
      </c>
      <c r="O370" t="n">
        <v>0</v>
      </c>
      <c r="P370" t="n">
        <v>0</v>
      </c>
      <c r="Q370" t="n">
        <v>0</v>
      </c>
      <c r="R370" s="2" t="inlineStr"/>
    </row>
    <row r="371" ht="15" customHeight="1">
      <c r="A371" t="inlineStr">
        <is>
          <t>A 41802-2021</t>
        </is>
      </c>
      <c r="B371" s="1" t="n">
        <v>44425</v>
      </c>
      <c r="C371" s="1" t="n">
        <v>45626</v>
      </c>
      <c r="D371" t="inlineStr">
        <is>
          <t>JÄMTLANDS LÄN</t>
        </is>
      </c>
      <c r="E371" t="inlineStr">
        <is>
          <t>ÖSTERSUND</t>
        </is>
      </c>
      <c r="G371" t="n">
        <v>1.7</v>
      </c>
      <c r="H371" t="n">
        <v>0</v>
      </c>
      <c r="I371" t="n">
        <v>0</v>
      </c>
      <c r="J371" t="n">
        <v>0</v>
      </c>
      <c r="K371" t="n">
        <v>0</v>
      </c>
      <c r="L371" t="n">
        <v>0</v>
      </c>
      <c r="M371" t="n">
        <v>0</v>
      </c>
      <c r="N371" t="n">
        <v>0</v>
      </c>
      <c r="O371" t="n">
        <v>0</v>
      </c>
      <c r="P371" t="n">
        <v>0</v>
      </c>
      <c r="Q371" t="n">
        <v>0</v>
      </c>
      <c r="R371" s="2" t="inlineStr"/>
    </row>
    <row r="372" ht="15" customHeight="1">
      <c r="A372" t="inlineStr">
        <is>
          <t>A 42469-2021</t>
        </is>
      </c>
      <c r="B372" s="1" t="n">
        <v>44427</v>
      </c>
      <c r="C372" s="1" t="n">
        <v>45626</v>
      </c>
      <c r="D372" t="inlineStr">
        <is>
          <t>JÄMTLANDS LÄN</t>
        </is>
      </c>
      <c r="E372" t="inlineStr">
        <is>
          <t>ÖSTERSUND</t>
        </is>
      </c>
      <c r="G372" t="n">
        <v>1.5</v>
      </c>
      <c r="H372" t="n">
        <v>0</v>
      </c>
      <c r="I372" t="n">
        <v>0</v>
      </c>
      <c r="J372" t="n">
        <v>0</v>
      </c>
      <c r="K372" t="n">
        <v>0</v>
      </c>
      <c r="L372" t="n">
        <v>0</v>
      </c>
      <c r="M372" t="n">
        <v>0</v>
      </c>
      <c r="N372" t="n">
        <v>0</v>
      </c>
      <c r="O372" t="n">
        <v>0</v>
      </c>
      <c r="P372" t="n">
        <v>0</v>
      </c>
      <c r="Q372" t="n">
        <v>0</v>
      </c>
      <c r="R372" s="2" t="inlineStr"/>
    </row>
    <row r="373" ht="15" customHeight="1">
      <c r="A373" t="inlineStr">
        <is>
          <t>A 42793-2021</t>
        </is>
      </c>
      <c r="B373" s="1" t="n">
        <v>44428</v>
      </c>
      <c r="C373" s="1" t="n">
        <v>45626</v>
      </c>
      <c r="D373" t="inlineStr">
        <is>
          <t>JÄMTLANDS LÄN</t>
        </is>
      </c>
      <c r="E373" t="inlineStr">
        <is>
          <t>ÖSTERSUND</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42832-2021</t>
        </is>
      </c>
      <c r="B374" s="1" t="n">
        <v>44430</v>
      </c>
      <c r="C374" s="1" t="n">
        <v>45626</v>
      </c>
      <c r="D374" t="inlineStr">
        <is>
          <t>JÄMTLANDS LÄN</t>
        </is>
      </c>
      <c r="E374" t="inlineStr">
        <is>
          <t>ÖSTERSUND</t>
        </is>
      </c>
      <c r="G374" t="n">
        <v>9</v>
      </c>
      <c r="H374" t="n">
        <v>0</v>
      </c>
      <c r="I374" t="n">
        <v>0</v>
      </c>
      <c r="J374" t="n">
        <v>0</v>
      </c>
      <c r="K374" t="n">
        <v>0</v>
      </c>
      <c r="L374" t="n">
        <v>0</v>
      </c>
      <c r="M374" t="n">
        <v>0</v>
      </c>
      <c r="N374" t="n">
        <v>0</v>
      </c>
      <c r="O374" t="n">
        <v>0</v>
      </c>
      <c r="P374" t="n">
        <v>0</v>
      </c>
      <c r="Q374" t="n">
        <v>0</v>
      </c>
      <c r="R374" s="2" t="inlineStr"/>
    </row>
    <row r="375" ht="15" customHeight="1">
      <c r="A375" t="inlineStr">
        <is>
          <t>A 43310-2021</t>
        </is>
      </c>
      <c r="B375" s="1" t="n">
        <v>44432</v>
      </c>
      <c r="C375" s="1" t="n">
        <v>45626</v>
      </c>
      <c r="D375" t="inlineStr">
        <is>
          <t>JÄMTLANDS LÄN</t>
        </is>
      </c>
      <c r="E375" t="inlineStr">
        <is>
          <t>ÖSTERSUND</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45626</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44051-2021</t>
        </is>
      </c>
      <c r="B377" s="1" t="n">
        <v>44434</v>
      </c>
      <c r="C377" s="1" t="n">
        <v>45626</v>
      </c>
      <c r="D377" t="inlineStr">
        <is>
          <t>JÄMTLANDS LÄN</t>
        </is>
      </c>
      <c r="E377" t="inlineStr">
        <is>
          <t>ÖSTERSUND</t>
        </is>
      </c>
      <c r="G377" t="n">
        <v>2.9</v>
      </c>
      <c r="H377" t="n">
        <v>0</v>
      </c>
      <c r="I377" t="n">
        <v>0</v>
      </c>
      <c r="J377" t="n">
        <v>0</v>
      </c>
      <c r="K377" t="n">
        <v>0</v>
      </c>
      <c r="L377" t="n">
        <v>0</v>
      </c>
      <c r="M377" t="n">
        <v>0</v>
      </c>
      <c r="N377" t="n">
        <v>0</v>
      </c>
      <c r="O377" t="n">
        <v>0</v>
      </c>
      <c r="P377" t="n">
        <v>0</v>
      </c>
      <c r="Q377" t="n">
        <v>0</v>
      </c>
      <c r="R377" s="2" t="inlineStr"/>
    </row>
    <row r="378" ht="15" customHeight="1">
      <c r="A378" t="inlineStr">
        <is>
          <t>A 44267-2021</t>
        </is>
      </c>
      <c r="B378" s="1" t="n">
        <v>44434</v>
      </c>
      <c r="C378" s="1" t="n">
        <v>45626</v>
      </c>
      <c r="D378" t="inlineStr">
        <is>
          <t>JÄMTLANDS LÄN</t>
        </is>
      </c>
      <c r="E378" t="inlineStr">
        <is>
          <t>ÖSTERSUND</t>
        </is>
      </c>
      <c r="G378" t="n">
        <v>1.1</v>
      </c>
      <c r="H378" t="n">
        <v>0</v>
      </c>
      <c r="I378" t="n">
        <v>0</v>
      </c>
      <c r="J378" t="n">
        <v>0</v>
      </c>
      <c r="K378" t="n">
        <v>0</v>
      </c>
      <c r="L378" t="n">
        <v>0</v>
      </c>
      <c r="M378" t="n">
        <v>0</v>
      </c>
      <c r="N378" t="n">
        <v>0</v>
      </c>
      <c r="O378" t="n">
        <v>0</v>
      </c>
      <c r="P378" t="n">
        <v>0</v>
      </c>
      <c r="Q378" t="n">
        <v>0</v>
      </c>
      <c r="R378" s="2" t="inlineStr"/>
    </row>
    <row r="379" ht="15" customHeight="1">
      <c r="A379" t="inlineStr">
        <is>
          <t>A 46002-2021</t>
        </is>
      </c>
      <c r="B379" s="1" t="n">
        <v>44441</v>
      </c>
      <c r="C379" s="1" t="n">
        <v>45626</v>
      </c>
      <c r="D379" t="inlineStr">
        <is>
          <t>JÄMTLANDS LÄN</t>
        </is>
      </c>
      <c r="E379" t="inlineStr">
        <is>
          <t>ÖSTERSUND</t>
        </is>
      </c>
      <c r="G379" t="n">
        <v>3.6</v>
      </c>
      <c r="H379" t="n">
        <v>0</v>
      </c>
      <c r="I379" t="n">
        <v>0</v>
      </c>
      <c r="J379" t="n">
        <v>0</v>
      </c>
      <c r="K379" t="n">
        <v>0</v>
      </c>
      <c r="L379" t="n">
        <v>0</v>
      </c>
      <c r="M379" t="n">
        <v>0</v>
      </c>
      <c r="N379" t="n">
        <v>0</v>
      </c>
      <c r="O379" t="n">
        <v>0</v>
      </c>
      <c r="P379" t="n">
        <v>0</v>
      </c>
      <c r="Q379" t="n">
        <v>0</v>
      </c>
      <c r="R379" s="2" t="inlineStr"/>
    </row>
    <row r="380" ht="15" customHeight="1">
      <c r="A380" t="inlineStr">
        <is>
          <t>A 46004-2021</t>
        </is>
      </c>
      <c r="B380" s="1" t="n">
        <v>44441</v>
      </c>
      <c r="C380" s="1" t="n">
        <v>45626</v>
      </c>
      <c r="D380" t="inlineStr">
        <is>
          <t>JÄMTLANDS LÄN</t>
        </is>
      </c>
      <c r="E380" t="inlineStr">
        <is>
          <t>ÖSTERSUND</t>
        </is>
      </c>
      <c r="G380" t="n">
        <v>2.1</v>
      </c>
      <c r="H380" t="n">
        <v>0</v>
      </c>
      <c r="I380" t="n">
        <v>0</v>
      </c>
      <c r="J380" t="n">
        <v>0</v>
      </c>
      <c r="K380" t="n">
        <v>0</v>
      </c>
      <c r="L380" t="n">
        <v>0</v>
      </c>
      <c r="M380" t="n">
        <v>0</v>
      </c>
      <c r="N380" t="n">
        <v>0</v>
      </c>
      <c r="O380" t="n">
        <v>0</v>
      </c>
      <c r="P380" t="n">
        <v>0</v>
      </c>
      <c r="Q380" t="n">
        <v>0</v>
      </c>
      <c r="R380" s="2" t="inlineStr"/>
    </row>
    <row r="381" ht="15" customHeight="1">
      <c r="A381" t="inlineStr">
        <is>
          <t>A 46111-2021</t>
        </is>
      </c>
      <c r="B381" s="1" t="n">
        <v>44441</v>
      </c>
      <c r="C381" s="1" t="n">
        <v>45626</v>
      </c>
      <c r="D381" t="inlineStr">
        <is>
          <t>JÄMTLANDS LÄN</t>
        </is>
      </c>
      <c r="E381" t="inlineStr">
        <is>
          <t>ÖSTERSUND</t>
        </is>
      </c>
      <c r="G381" t="n">
        <v>4.6</v>
      </c>
      <c r="H381" t="n">
        <v>0</v>
      </c>
      <c r="I381" t="n">
        <v>0</v>
      </c>
      <c r="J381" t="n">
        <v>0</v>
      </c>
      <c r="K381" t="n">
        <v>0</v>
      </c>
      <c r="L381" t="n">
        <v>0</v>
      </c>
      <c r="M381" t="n">
        <v>0</v>
      </c>
      <c r="N381" t="n">
        <v>0</v>
      </c>
      <c r="O381" t="n">
        <v>0</v>
      </c>
      <c r="P381" t="n">
        <v>0</v>
      </c>
      <c r="Q381" t="n">
        <v>0</v>
      </c>
      <c r="R381" s="2" t="inlineStr"/>
    </row>
    <row r="382" ht="15" customHeight="1">
      <c r="A382" t="inlineStr">
        <is>
          <t>A 46139-2021</t>
        </is>
      </c>
      <c r="B382" s="1" t="n">
        <v>44441</v>
      </c>
      <c r="C382" s="1" t="n">
        <v>45626</v>
      </c>
      <c r="D382" t="inlineStr">
        <is>
          <t>JÄMTLANDS LÄN</t>
        </is>
      </c>
      <c r="E382" t="inlineStr">
        <is>
          <t>ÖSTERSUND</t>
        </is>
      </c>
      <c r="G382" t="n">
        <v>12.8</v>
      </c>
      <c r="H382" t="n">
        <v>0</v>
      </c>
      <c r="I382" t="n">
        <v>0</v>
      </c>
      <c r="J382" t="n">
        <v>0</v>
      </c>
      <c r="K382" t="n">
        <v>0</v>
      </c>
      <c r="L382" t="n">
        <v>0</v>
      </c>
      <c r="M382" t="n">
        <v>0</v>
      </c>
      <c r="N382" t="n">
        <v>0</v>
      </c>
      <c r="O382" t="n">
        <v>0</v>
      </c>
      <c r="P382" t="n">
        <v>0</v>
      </c>
      <c r="Q382" t="n">
        <v>0</v>
      </c>
      <c r="R382" s="2" t="inlineStr"/>
    </row>
    <row r="383" ht="15" customHeight="1">
      <c r="A383" t="inlineStr">
        <is>
          <t>A 48947-2021</t>
        </is>
      </c>
      <c r="B383" s="1" t="n">
        <v>44453</v>
      </c>
      <c r="C383" s="1" t="n">
        <v>45626</v>
      </c>
      <c r="D383" t="inlineStr">
        <is>
          <t>JÄMTLANDS LÄN</t>
        </is>
      </c>
      <c r="E383" t="inlineStr">
        <is>
          <t>ÖSTERSUND</t>
        </is>
      </c>
      <c r="G383" t="n">
        <v>22.3</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45626</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55302-2021</t>
        </is>
      </c>
      <c r="B385" s="1" t="n">
        <v>44475</v>
      </c>
      <c r="C385" s="1" t="n">
        <v>45626</v>
      </c>
      <c r="D385" t="inlineStr">
        <is>
          <t>JÄMTLANDS LÄN</t>
        </is>
      </c>
      <c r="E385" t="inlineStr">
        <is>
          <t>ÖSTERSUND</t>
        </is>
      </c>
      <c r="G385" t="n">
        <v>0.3</v>
      </c>
      <c r="H385" t="n">
        <v>0</v>
      </c>
      <c r="I385" t="n">
        <v>0</v>
      </c>
      <c r="J385" t="n">
        <v>0</v>
      </c>
      <c r="K385" t="n">
        <v>0</v>
      </c>
      <c r="L385" t="n">
        <v>0</v>
      </c>
      <c r="M385" t="n">
        <v>0</v>
      </c>
      <c r="N385" t="n">
        <v>0</v>
      </c>
      <c r="O385" t="n">
        <v>0</v>
      </c>
      <c r="P385" t="n">
        <v>0</v>
      </c>
      <c r="Q385" t="n">
        <v>0</v>
      </c>
      <c r="R385" s="2" t="inlineStr"/>
    </row>
    <row r="386" ht="15" customHeight="1">
      <c r="A386" t="inlineStr">
        <is>
          <t>A 61631-2021</t>
        </is>
      </c>
      <c r="B386" s="1" t="n">
        <v>44501</v>
      </c>
      <c r="C386" s="1" t="n">
        <v>45626</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64092-2021</t>
        </is>
      </c>
      <c r="B387" s="1" t="n">
        <v>44510</v>
      </c>
      <c r="C387" s="1" t="n">
        <v>45626</v>
      </c>
      <c r="D387" t="inlineStr">
        <is>
          <t>JÄMTLANDS LÄN</t>
        </is>
      </c>
      <c r="E387" t="inlineStr">
        <is>
          <t>ÖSTERSUND</t>
        </is>
      </c>
      <c r="G387" t="n">
        <v>5.6</v>
      </c>
      <c r="H387" t="n">
        <v>0</v>
      </c>
      <c r="I387" t="n">
        <v>0</v>
      </c>
      <c r="J387" t="n">
        <v>0</v>
      </c>
      <c r="K387" t="n">
        <v>0</v>
      </c>
      <c r="L387" t="n">
        <v>0</v>
      </c>
      <c r="M387" t="n">
        <v>0</v>
      </c>
      <c r="N387" t="n">
        <v>0</v>
      </c>
      <c r="O387" t="n">
        <v>0</v>
      </c>
      <c r="P387" t="n">
        <v>0</v>
      </c>
      <c r="Q387" t="n">
        <v>0</v>
      </c>
      <c r="R387" s="2" t="inlineStr"/>
    </row>
    <row r="388" ht="15" customHeight="1">
      <c r="A388" t="inlineStr">
        <is>
          <t>A 64645-2021</t>
        </is>
      </c>
      <c r="B388" s="1" t="n">
        <v>44511</v>
      </c>
      <c r="C388" s="1" t="n">
        <v>45626</v>
      </c>
      <c r="D388" t="inlineStr">
        <is>
          <t>JÄMTLANDS LÄN</t>
        </is>
      </c>
      <c r="E388" t="inlineStr">
        <is>
          <t>ÖSTERSUND</t>
        </is>
      </c>
      <c r="G388" t="n">
        <v>3.2</v>
      </c>
      <c r="H388" t="n">
        <v>0</v>
      </c>
      <c r="I388" t="n">
        <v>0</v>
      </c>
      <c r="J388" t="n">
        <v>0</v>
      </c>
      <c r="K388" t="n">
        <v>0</v>
      </c>
      <c r="L388" t="n">
        <v>0</v>
      </c>
      <c r="M388" t="n">
        <v>0</v>
      </c>
      <c r="N388" t="n">
        <v>0</v>
      </c>
      <c r="O388" t="n">
        <v>0</v>
      </c>
      <c r="P388" t="n">
        <v>0</v>
      </c>
      <c r="Q388" t="n">
        <v>0</v>
      </c>
      <c r="R388" s="2" t="inlineStr"/>
    </row>
    <row r="389" ht="15" customHeight="1">
      <c r="A389" t="inlineStr">
        <is>
          <t>A 65428-2021</t>
        </is>
      </c>
      <c r="B389" s="1" t="n">
        <v>44515</v>
      </c>
      <c r="C389" s="1" t="n">
        <v>45626</v>
      </c>
      <c r="D389" t="inlineStr">
        <is>
          <t>JÄMTLANDS LÄN</t>
        </is>
      </c>
      <c r="E389" t="inlineStr">
        <is>
          <t>ÖSTERSUND</t>
        </is>
      </c>
      <c r="F389" t="inlineStr">
        <is>
          <t>SCA</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65866-2021</t>
        </is>
      </c>
      <c r="B390" s="1" t="n">
        <v>44516</v>
      </c>
      <c r="C390" s="1" t="n">
        <v>45626</v>
      </c>
      <c r="D390" t="inlineStr">
        <is>
          <t>JÄMTLANDS LÄN</t>
        </is>
      </c>
      <c r="E390" t="inlineStr">
        <is>
          <t>ÖSTERSUND</t>
        </is>
      </c>
      <c r="G390" t="n">
        <v>2.6</v>
      </c>
      <c r="H390" t="n">
        <v>0</v>
      </c>
      <c r="I390" t="n">
        <v>0</v>
      </c>
      <c r="J390" t="n">
        <v>0</v>
      </c>
      <c r="K390" t="n">
        <v>0</v>
      </c>
      <c r="L390" t="n">
        <v>0</v>
      </c>
      <c r="M390" t="n">
        <v>0</v>
      </c>
      <c r="N390" t="n">
        <v>0</v>
      </c>
      <c r="O390" t="n">
        <v>0</v>
      </c>
      <c r="P390" t="n">
        <v>0</v>
      </c>
      <c r="Q390" t="n">
        <v>0</v>
      </c>
      <c r="R390" s="2" t="inlineStr"/>
    </row>
    <row r="391" ht="15" customHeight="1">
      <c r="A391" t="inlineStr">
        <is>
          <t>A 65991-2021</t>
        </is>
      </c>
      <c r="B391" s="1" t="n">
        <v>44517</v>
      </c>
      <c r="C391" s="1" t="n">
        <v>45626</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66940-2021</t>
        </is>
      </c>
      <c r="B392" s="1" t="n">
        <v>44522</v>
      </c>
      <c r="C392" s="1" t="n">
        <v>45626</v>
      </c>
      <c r="D392" t="inlineStr">
        <is>
          <t>JÄMTLANDS LÄN</t>
        </is>
      </c>
      <c r="E392" t="inlineStr">
        <is>
          <t>ÖSTERSUND</t>
        </is>
      </c>
      <c r="G392" t="n">
        <v>3.6</v>
      </c>
      <c r="H392" t="n">
        <v>0</v>
      </c>
      <c r="I392" t="n">
        <v>0</v>
      </c>
      <c r="J392" t="n">
        <v>0</v>
      </c>
      <c r="K392" t="n">
        <v>0</v>
      </c>
      <c r="L392" t="n">
        <v>0</v>
      </c>
      <c r="M392" t="n">
        <v>0</v>
      </c>
      <c r="N392" t="n">
        <v>0</v>
      </c>
      <c r="O392" t="n">
        <v>0</v>
      </c>
      <c r="P392" t="n">
        <v>0</v>
      </c>
      <c r="Q392" t="n">
        <v>0</v>
      </c>
      <c r="R392" s="2" t="inlineStr"/>
    </row>
    <row r="393" ht="15" customHeight="1">
      <c r="A393" t="inlineStr">
        <is>
          <t>A 67695-2021</t>
        </is>
      </c>
      <c r="B393" s="1" t="n">
        <v>44524</v>
      </c>
      <c r="C393" s="1" t="n">
        <v>45626</v>
      </c>
      <c r="D393" t="inlineStr">
        <is>
          <t>JÄMTLANDS LÄN</t>
        </is>
      </c>
      <c r="E393" t="inlineStr">
        <is>
          <t>ÖSTERSUND</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67694-2021</t>
        </is>
      </c>
      <c r="B394" s="1" t="n">
        <v>44524</v>
      </c>
      <c r="C394" s="1" t="n">
        <v>45626</v>
      </c>
      <c r="D394" t="inlineStr">
        <is>
          <t>JÄMTLANDS LÄN</t>
        </is>
      </c>
      <c r="E394" t="inlineStr">
        <is>
          <t>ÖSTERSUND</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69190-2021</t>
        </is>
      </c>
      <c r="B395" s="1" t="n">
        <v>44529</v>
      </c>
      <c r="C395" s="1" t="n">
        <v>45626</v>
      </c>
      <c r="D395" t="inlineStr">
        <is>
          <t>JÄMTLANDS LÄN</t>
        </is>
      </c>
      <c r="E395" t="inlineStr">
        <is>
          <t>ÖSTERSUND</t>
        </is>
      </c>
      <c r="G395" t="n">
        <v>4.2</v>
      </c>
      <c r="H395" t="n">
        <v>0</v>
      </c>
      <c r="I395" t="n">
        <v>0</v>
      </c>
      <c r="J395" t="n">
        <v>0</v>
      </c>
      <c r="K395" t="n">
        <v>0</v>
      </c>
      <c r="L395" t="n">
        <v>0</v>
      </c>
      <c r="M395" t="n">
        <v>0</v>
      </c>
      <c r="N395" t="n">
        <v>0</v>
      </c>
      <c r="O395" t="n">
        <v>0</v>
      </c>
      <c r="P395" t="n">
        <v>0</v>
      </c>
      <c r="Q395" t="n">
        <v>0</v>
      </c>
      <c r="R395" s="2" t="inlineStr"/>
    </row>
    <row r="396" ht="15" customHeight="1">
      <c r="A396" t="inlineStr">
        <is>
          <t>A 70256-2021</t>
        </is>
      </c>
      <c r="B396" s="1" t="n">
        <v>44533</v>
      </c>
      <c r="C396" s="1" t="n">
        <v>45626</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70678-2021</t>
        </is>
      </c>
      <c r="B397" s="1" t="n">
        <v>44537</v>
      </c>
      <c r="C397" s="1" t="n">
        <v>45626</v>
      </c>
      <c r="D397" t="inlineStr">
        <is>
          <t>JÄMTLANDS LÄN</t>
        </is>
      </c>
      <c r="E397" t="inlineStr">
        <is>
          <t>ÖSTERSUND</t>
        </is>
      </c>
      <c r="G397" t="n">
        <v>21</v>
      </c>
      <c r="H397" t="n">
        <v>0</v>
      </c>
      <c r="I397" t="n">
        <v>0</v>
      </c>
      <c r="J397" t="n">
        <v>0</v>
      </c>
      <c r="K397" t="n">
        <v>0</v>
      </c>
      <c r="L397" t="n">
        <v>0</v>
      </c>
      <c r="M397" t="n">
        <v>0</v>
      </c>
      <c r="N397" t="n">
        <v>0</v>
      </c>
      <c r="O397" t="n">
        <v>0</v>
      </c>
      <c r="P397" t="n">
        <v>0</v>
      </c>
      <c r="Q397" t="n">
        <v>0</v>
      </c>
      <c r="R397" s="2" t="inlineStr"/>
    </row>
    <row r="398" ht="15" customHeight="1">
      <c r="A398" t="inlineStr">
        <is>
          <t>A 70816-2021</t>
        </is>
      </c>
      <c r="B398" s="1" t="n">
        <v>44537</v>
      </c>
      <c r="C398" s="1" t="n">
        <v>45626</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71823-2021</t>
        </is>
      </c>
      <c r="B399" s="1" t="n">
        <v>44539</v>
      </c>
      <c r="C399" s="1" t="n">
        <v>45626</v>
      </c>
      <c r="D399" t="inlineStr">
        <is>
          <t>JÄMTLANDS LÄN</t>
        </is>
      </c>
      <c r="E399" t="inlineStr">
        <is>
          <t>ÖSTERSUND</t>
        </is>
      </c>
      <c r="G399" t="n">
        <v>10.5</v>
      </c>
      <c r="H399" t="n">
        <v>0</v>
      </c>
      <c r="I399" t="n">
        <v>0</v>
      </c>
      <c r="J399" t="n">
        <v>0</v>
      </c>
      <c r="K399" t="n">
        <v>0</v>
      </c>
      <c r="L399" t="n">
        <v>0</v>
      </c>
      <c r="M399" t="n">
        <v>0</v>
      </c>
      <c r="N399" t="n">
        <v>0</v>
      </c>
      <c r="O399" t="n">
        <v>0</v>
      </c>
      <c r="P399" t="n">
        <v>0</v>
      </c>
      <c r="Q399" t="n">
        <v>0</v>
      </c>
      <c r="R399" s="2" t="inlineStr"/>
    </row>
    <row r="400" ht="15" customHeight="1">
      <c r="A400" t="inlineStr">
        <is>
          <t>A 72089-2021</t>
        </is>
      </c>
      <c r="B400" s="1" t="n">
        <v>44540</v>
      </c>
      <c r="C400" s="1" t="n">
        <v>45626</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72041-2021</t>
        </is>
      </c>
      <c r="B401" s="1" t="n">
        <v>44540</v>
      </c>
      <c r="C401" s="1" t="n">
        <v>45626</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72258-2021</t>
        </is>
      </c>
      <c r="B402" s="1" t="n">
        <v>44540</v>
      </c>
      <c r="C402" s="1" t="n">
        <v>45626</v>
      </c>
      <c r="D402" t="inlineStr">
        <is>
          <t>JÄMTLANDS LÄN</t>
        </is>
      </c>
      <c r="E402" t="inlineStr">
        <is>
          <t>ÖSTERSUND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72061-2021</t>
        </is>
      </c>
      <c r="B403" s="1" t="n">
        <v>44540</v>
      </c>
      <c r="C403" s="1" t="n">
        <v>45626</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71956-2021</t>
        </is>
      </c>
      <c r="B404" s="1" t="n">
        <v>44544</v>
      </c>
      <c r="C404" s="1" t="n">
        <v>45626</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72938-2021</t>
        </is>
      </c>
      <c r="B405" s="1" t="n">
        <v>44547</v>
      </c>
      <c r="C405" s="1" t="n">
        <v>45626</v>
      </c>
      <c r="D405" t="inlineStr">
        <is>
          <t>JÄMTLANDS LÄN</t>
        </is>
      </c>
      <c r="E405" t="inlineStr">
        <is>
          <t>ÖSTERSUND</t>
        </is>
      </c>
      <c r="G405" t="n">
        <v>4.5</v>
      </c>
      <c r="H405" t="n">
        <v>0</v>
      </c>
      <c r="I405" t="n">
        <v>0</v>
      </c>
      <c r="J405" t="n">
        <v>0</v>
      </c>
      <c r="K405" t="n">
        <v>0</v>
      </c>
      <c r="L405" t="n">
        <v>0</v>
      </c>
      <c r="M405" t="n">
        <v>0</v>
      </c>
      <c r="N405" t="n">
        <v>0</v>
      </c>
      <c r="O405" t="n">
        <v>0</v>
      </c>
      <c r="P405" t="n">
        <v>0</v>
      </c>
      <c r="Q405" t="n">
        <v>0</v>
      </c>
      <c r="R405" s="2" t="inlineStr"/>
    </row>
    <row r="406" ht="15" customHeight="1">
      <c r="A406" t="inlineStr">
        <is>
          <t>A 73078-2021</t>
        </is>
      </c>
      <c r="B406" s="1" t="n">
        <v>44550</v>
      </c>
      <c r="C406" s="1" t="n">
        <v>45626</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73066-2021</t>
        </is>
      </c>
      <c r="B407" s="1" t="n">
        <v>44550</v>
      </c>
      <c r="C407" s="1" t="n">
        <v>45626</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73875-2021</t>
        </is>
      </c>
      <c r="B408" s="1" t="n">
        <v>44553</v>
      </c>
      <c r="C408" s="1" t="n">
        <v>45626</v>
      </c>
      <c r="D408" t="inlineStr">
        <is>
          <t>JÄMTLANDS LÄN</t>
        </is>
      </c>
      <c r="E408" t="inlineStr">
        <is>
          <t>ÖSTERSUND</t>
        </is>
      </c>
      <c r="G408" t="n">
        <v>1.3</v>
      </c>
      <c r="H408" t="n">
        <v>0</v>
      </c>
      <c r="I408" t="n">
        <v>0</v>
      </c>
      <c r="J408" t="n">
        <v>0</v>
      </c>
      <c r="K408" t="n">
        <v>0</v>
      </c>
      <c r="L408" t="n">
        <v>0</v>
      </c>
      <c r="M408" t="n">
        <v>0</v>
      </c>
      <c r="N408" t="n">
        <v>0</v>
      </c>
      <c r="O408" t="n">
        <v>0</v>
      </c>
      <c r="P408" t="n">
        <v>0</v>
      </c>
      <c r="Q408" t="n">
        <v>0</v>
      </c>
      <c r="R408" s="2" t="inlineStr"/>
    </row>
    <row r="409" ht="15" customHeight="1">
      <c r="A409" t="inlineStr">
        <is>
          <t>A 73870-2021</t>
        </is>
      </c>
      <c r="B409" s="1" t="n">
        <v>44553</v>
      </c>
      <c r="C409" s="1" t="n">
        <v>45626</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154-2022</t>
        </is>
      </c>
      <c r="B410" s="1" t="n">
        <v>44561</v>
      </c>
      <c r="C410" s="1" t="n">
        <v>45626</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231-2022</t>
        </is>
      </c>
      <c r="B411" s="1" t="n">
        <v>44564</v>
      </c>
      <c r="C411" s="1" t="n">
        <v>45626</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681-2022</t>
        </is>
      </c>
      <c r="B412" s="1" t="n">
        <v>44566</v>
      </c>
      <c r="C412" s="1" t="n">
        <v>45626</v>
      </c>
      <c r="D412" t="inlineStr">
        <is>
          <t>JÄMTLANDS LÄN</t>
        </is>
      </c>
      <c r="E412" t="inlineStr">
        <is>
          <t>ÖSTERSUND</t>
        </is>
      </c>
      <c r="G412" t="n">
        <v>2.3</v>
      </c>
      <c r="H412" t="n">
        <v>0</v>
      </c>
      <c r="I412" t="n">
        <v>0</v>
      </c>
      <c r="J412" t="n">
        <v>0</v>
      </c>
      <c r="K412" t="n">
        <v>0</v>
      </c>
      <c r="L412" t="n">
        <v>0</v>
      </c>
      <c r="M412" t="n">
        <v>0</v>
      </c>
      <c r="N412" t="n">
        <v>0</v>
      </c>
      <c r="O412" t="n">
        <v>0</v>
      </c>
      <c r="P412" t="n">
        <v>0</v>
      </c>
      <c r="Q412" t="n">
        <v>0</v>
      </c>
      <c r="R412" s="2" t="inlineStr"/>
    </row>
    <row r="413" ht="15" customHeight="1">
      <c r="A413" t="inlineStr">
        <is>
          <t>A 695-2022</t>
        </is>
      </c>
      <c r="B413" s="1" t="n">
        <v>44566</v>
      </c>
      <c r="C413" s="1" t="n">
        <v>45626</v>
      </c>
      <c r="D413" t="inlineStr">
        <is>
          <t>JÄMTLANDS LÄN</t>
        </is>
      </c>
      <c r="E413" t="inlineStr">
        <is>
          <t>ÖSTERSUND</t>
        </is>
      </c>
      <c r="G413" t="n">
        <v>14.9</v>
      </c>
      <c r="H413" t="n">
        <v>0</v>
      </c>
      <c r="I413" t="n">
        <v>0</v>
      </c>
      <c r="J413" t="n">
        <v>0</v>
      </c>
      <c r="K413" t="n">
        <v>0</v>
      </c>
      <c r="L413" t="n">
        <v>0</v>
      </c>
      <c r="M413" t="n">
        <v>0</v>
      </c>
      <c r="N413" t="n">
        <v>0</v>
      </c>
      <c r="O413" t="n">
        <v>0</v>
      </c>
      <c r="P413" t="n">
        <v>0</v>
      </c>
      <c r="Q413" t="n">
        <v>0</v>
      </c>
      <c r="R413" s="2" t="inlineStr"/>
    </row>
    <row r="414" ht="15" customHeight="1">
      <c r="A414" t="inlineStr">
        <is>
          <t>A 2431-2022</t>
        </is>
      </c>
      <c r="B414" s="1" t="n">
        <v>44579</v>
      </c>
      <c r="C414" s="1" t="n">
        <v>45626</v>
      </c>
      <c r="D414" t="inlineStr">
        <is>
          <t>JÄMTLANDS LÄN</t>
        </is>
      </c>
      <c r="E414" t="inlineStr">
        <is>
          <t>ÖSTERSUND</t>
        </is>
      </c>
      <c r="G414" t="n">
        <v>1</v>
      </c>
      <c r="H414" t="n">
        <v>0</v>
      </c>
      <c r="I414" t="n">
        <v>0</v>
      </c>
      <c r="J414" t="n">
        <v>0</v>
      </c>
      <c r="K414" t="n">
        <v>0</v>
      </c>
      <c r="L414" t="n">
        <v>0</v>
      </c>
      <c r="M414" t="n">
        <v>0</v>
      </c>
      <c r="N414" t="n">
        <v>0</v>
      </c>
      <c r="O414" t="n">
        <v>0</v>
      </c>
      <c r="P414" t="n">
        <v>0</v>
      </c>
      <c r="Q414" t="n">
        <v>0</v>
      </c>
      <c r="R414" s="2" t="inlineStr"/>
    </row>
    <row r="415" ht="15" customHeight="1">
      <c r="A415" t="inlineStr">
        <is>
          <t>A 2763-2022</t>
        </is>
      </c>
      <c r="B415" s="1" t="n">
        <v>44580</v>
      </c>
      <c r="C415" s="1" t="n">
        <v>45626</v>
      </c>
      <c r="D415" t="inlineStr">
        <is>
          <t>JÄMTLANDS LÄN</t>
        </is>
      </c>
      <c r="E415" t="inlineStr">
        <is>
          <t>ÖSTERSUND</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2880-2022</t>
        </is>
      </c>
      <c r="B416" s="1" t="n">
        <v>44581</v>
      </c>
      <c r="C416" s="1" t="n">
        <v>45626</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3016-2022</t>
        </is>
      </c>
      <c r="B417" s="1" t="n">
        <v>44581</v>
      </c>
      <c r="C417" s="1" t="n">
        <v>45626</v>
      </c>
      <c r="D417" t="inlineStr">
        <is>
          <t>JÄMTLANDS LÄN</t>
        </is>
      </c>
      <c r="E417" t="inlineStr">
        <is>
          <t>ÖSTERSUND</t>
        </is>
      </c>
      <c r="G417" t="n">
        <v>3.3</v>
      </c>
      <c r="H417" t="n">
        <v>0</v>
      </c>
      <c r="I417" t="n">
        <v>0</v>
      </c>
      <c r="J417" t="n">
        <v>0</v>
      </c>
      <c r="K417" t="n">
        <v>0</v>
      </c>
      <c r="L417" t="n">
        <v>0</v>
      </c>
      <c r="M417" t="n">
        <v>0</v>
      </c>
      <c r="N417" t="n">
        <v>0</v>
      </c>
      <c r="O417" t="n">
        <v>0</v>
      </c>
      <c r="P417" t="n">
        <v>0</v>
      </c>
      <c r="Q417" t="n">
        <v>0</v>
      </c>
      <c r="R417" s="2" t="inlineStr"/>
    </row>
    <row r="418" ht="15" customHeight="1">
      <c r="A418" t="inlineStr">
        <is>
          <t>A 5145-2022</t>
        </is>
      </c>
      <c r="B418" s="1" t="n">
        <v>44594</v>
      </c>
      <c r="C418" s="1" t="n">
        <v>45626</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5670-2022</t>
        </is>
      </c>
      <c r="B419" s="1" t="n">
        <v>44595</v>
      </c>
      <c r="C419" s="1" t="n">
        <v>45626</v>
      </c>
      <c r="D419" t="inlineStr">
        <is>
          <t>JÄMTLANDS LÄN</t>
        </is>
      </c>
      <c r="E419" t="inlineStr">
        <is>
          <t>ÖSTERSUND</t>
        </is>
      </c>
      <c r="G419" t="n">
        <v>2.7</v>
      </c>
      <c r="H419" t="n">
        <v>0</v>
      </c>
      <c r="I419" t="n">
        <v>0</v>
      </c>
      <c r="J419" t="n">
        <v>0</v>
      </c>
      <c r="K419" t="n">
        <v>0</v>
      </c>
      <c r="L419" t="n">
        <v>0</v>
      </c>
      <c r="M419" t="n">
        <v>0</v>
      </c>
      <c r="N419" t="n">
        <v>0</v>
      </c>
      <c r="O419" t="n">
        <v>0</v>
      </c>
      <c r="P419" t="n">
        <v>0</v>
      </c>
      <c r="Q419" t="n">
        <v>0</v>
      </c>
      <c r="R419" s="2" t="inlineStr"/>
    </row>
    <row r="420" ht="15" customHeight="1">
      <c r="A420" t="inlineStr">
        <is>
          <t>A 6013-2022</t>
        </is>
      </c>
      <c r="B420" s="1" t="n">
        <v>44599</v>
      </c>
      <c r="C420" s="1" t="n">
        <v>45626</v>
      </c>
      <c r="D420" t="inlineStr">
        <is>
          <t>JÄMTLANDS LÄN</t>
        </is>
      </c>
      <c r="E420" t="inlineStr">
        <is>
          <t>ÖSTERSUND</t>
        </is>
      </c>
      <c r="G420" t="n">
        <v>2.5</v>
      </c>
      <c r="H420" t="n">
        <v>0</v>
      </c>
      <c r="I420" t="n">
        <v>0</v>
      </c>
      <c r="J420" t="n">
        <v>0</v>
      </c>
      <c r="K420" t="n">
        <v>0</v>
      </c>
      <c r="L420" t="n">
        <v>0</v>
      </c>
      <c r="M420" t="n">
        <v>0</v>
      </c>
      <c r="N420" t="n">
        <v>0</v>
      </c>
      <c r="O420" t="n">
        <v>0</v>
      </c>
      <c r="P420" t="n">
        <v>0</v>
      </c>
      <c r="Q420" t="n">
        <v>0</v>
      </c>
      <c r="R420" s="2" t="inlineStr"/>
    </row>
    <row r="421" ht="15" customHeight="1">
      <c r="A421" t="inlineStr">
        <is>
          <t>A 6458-2022</t>
        </is>
      </c>
      <c r="B421" s="1" t="n">
        <v>44601</v>
      </c>
      <c r="C421" s="1" t="n">
        <v>45626</v>
      </c>
      <c r="D421" t="inlineStr">
        <is>
          <t>JÄMTLANDS LÄN</t>
        </is>
      </c>
      <c r="E421" t="inlineStr">
        <is>
          <t>ÖSTERSUND</t>
        </is>
      </c>
      <c r="G421" t="n">
        <v>3.1</v>
      </c>
      <c r="H421" t="n">
        <v>0</v>
      </c>
      <c r="I421" t="n">
        <v>0</v>
      </c>
      <c r="J421" t="n">
        <v>0</v>
      </c>
      <c r="K421" t="n">
        <v>0</v>
      </c>
      <c r="L421" t="n">
        <v>0</v>
      </c>
      <c r="M421" t="n">
        <v>0</v>
      </c>
      <c r="N421" t="n">
        <v>0</v>
      </c>
      <c r="O421" t="n">
        <v>0</v>
      </c>
      <c r="P421" t="n">
        <v>0</v>
      </c>
      <c r="Q421" t="n">
        <v>0</v>
      </c>
      <c r="R421" s="2" t="inlineStr"/>
    </row>
    <row r="422" ht="15" customHeight="1">
      <c r="A422" t="inlineStr">
        <is>
          <t>A 7573-2022</t>
        </is>
      </c>
      <c r="B422" s="1" t="n">
        <v>44607</v>
      </c>
      <c r="C422" s="1" t="n">
        <v>45626</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8027-2022</t>
        </is>
      </c>
      <c r="B423" s="1" t="n">
        <v>44609</v>
      </c>
      <c r="C423" s="1" t="n">
        <v>45626</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8227-2022</t>
        </is>
      </c>
      <c r="B424" s="1" t="n">
        <v>44609</v>
      </c>
      <c r="C424" s="1" t="n">
        <v>45626</v>
      </c>
      <c r="D424" t="inlineStr">
        <is>
          <t>JÄMTLANDS LÄN</t>
        </is>
      </c>
      <c r="E424" t="inlineStr">
        <is>
          <t>ÖSTERSUND</t>
        </is>
      </c>
      <c r="G424" t="n">
        <v>6.6</v>
      </c>
      <c r="H424" t="n">
        <v>0</v>
      </c>
      <c r="I424" t="n">
        <v>0</v>
      </c>
      <c r="J424" t="n">
        <v>0</v>
      </c>
      <c r="K424" t="n">
        <v>0</v>
      </c>
      <c r="L424" t="n">
        <v>0</v>
      </c>
      <c r="M424" t="n">
        <v>0</v>
      </c>
      <c r="N424" t="n">
        <v>0</v>
      </c>
      <c r="O424" t="n">
        <v>0</v>
      </c>
      <c r="P424" t="n">
        <v>0</v>
      </c>
      <c r="Q424" t="n">
        <v>0</v>
      </c>
      <c r="R424" s="2" t="inlineStr"/>
    </row>
    <row r="425" ht="15" customHeight="1">
      <c r="A425" t="inlineStr">
        <is>
          <t>A 8647-2022</t>
        </is>
      </c>
      <c r="B425" s="1" t="n">
        <v>44613</v>
      </c>
      <c r="C425" s="1" t="n">
        <v>45626</v>
      </c>
      <c r="D425" t="inlineStr">
        <is>
          <t>JÄMTLANDS LÄN</t>
        </is>
      </c>
      <c r="E425" t="inlineStr">
        <is>
          <t>ÖSTERSUND</t>
        </is>
      </c>
      <c r="G425" t="n">
        <v>1.1</v>
      </c>
      <c r="H425" t="n">
        <v>0</v>
      </c>
      <c r="I425" t="n">
        <v>0</v>
      </c>
      <c r="J425" t="n">
        <v>0</v>
      </c>
      <c r="K425" t="n">
        <v>0</v>
      </c>
      <c r="L425" t="n">
        <v>0</v>
      </c>
      <c r="M425" t="n">
        <v>0</v>
      </c>
      <c r="N425" t="n">
        <v>0</v>
      </c>
      <c r="O425" t="n">
        <v>0</v>
      </c>
      <c r="P425" t="n">
        <v>0</v>
      </c>
      <c r="Q425" t="n">
        <v>0</v>
      </c>
      <c r="R425" s="2" t="inlineStr"/>
    </row>
    <row r="426" ht="15" customHeight="1">
      <c r="A426" t="inlineStr">
        <is>
          <t>A 8972-2022</t>
        </is>
      </c>
      <c r="B426" s="1" t="n">
        <v>44614</v>
      </c>
      <c r="C426" s="1" t="n">
        <v>45626</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11740-2022</t>
        </is>
      </c>
      <c r="B427" s="1" t="n">
        <v>44634</v>
      </c>
      <c r="C427" s="1" t="n">
        <v>45626</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11933-2022</t>
        </is>
      </c>
      <c r="B428" s="1" t="n">
        <v>44635</v>
      </c>
      <c r="C428" s="1" t="n">
        <v>45626</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12301-2022</t>
        </is>
      </c>
      <c r="B429" s="1" t="n">
        <v>44637</v>
      </c>
      <c r="C429" s="1" t="n">
        <v>45626</v>
      </c>
      <c r="D429" t="inlineStr">
        <is>
          <t>JÄMTLANDS LÄN</t>
        </is>
      </c>
      <c r="E429" t="inlineStr">
        <is>
          <t>ÖSTERSUND</t>
        </is>
      </c>
      <c r="G429" t="n">
        <v>5.8</v>
      </c>
      <c r="H429" t="n">
        <v>0</v>
      </c>
      <c r="I429" t="n">
        <v>0</v>
      </c>
      <c r="J429" t="n">
        <v>0</v>
      </c>
      <c r="K429" t="n">
        <v>0</v>
      </c>
      <c r="L429" t="n">
        <v>0</v>
      </c>
      <c r="M429" t="n">
        <v>0</v>
      </c>
      <c r="N429" t="n">
        <v>0</v>
      </c>
      <c r="O429" t="n">
        <v>0</v>
      </c>
      <c r="P429" t="n">
        <v>0</v>
      </c>
      <c r="Q429" t="n">
        <v>0</v>
      </c>
      <c r="R429" s="2" t="inlineStr"/>
    </row>
    <row r="430" ht="15" customHeight="1">
      <c r="A430" t="inlineStr">
        <is>
          <t>A 12285-2022</t>
        </is>
      </c>
      <c r="B430" s="1" t="n">
        <v>44637</v>
      </c>
      <c r="C430" s="1" t="n">
        <v>45626</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12946-2022</t>
        </is>
      </c>
      <c r="B431" s="1" t="n">
        <v>44642</v>
      </c>
      <c r="C431" s="1" t="n">
        <v>45626</v>
      </c>
      <c r="D431" t="inlineStr">
        <is>
          <t>JÄMTLANDS LÄN</t>
        </is>
      </c>
      <c r="E431" t="inlineStr">
        <is>
          <t>ÖSTERSUND</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13024-2022</t>
        </is>
      </c>
      <c r="B432" s="1" t="n">
        <v>44643</v>
      </c>
      <c r="C432" s="1" t="n">
        <v>45626</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14653-2022</t>
        </is>
      </c>
      <c r="B433" s="1" t="n">
        <v>44655</v>
      </c>
      <c r="C433" s="1" t="n">
        <v>45626</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14657-2022</t>
        </is>
      </c>
      <c r="B434" s="1" t="n">
        <v>44655</v>
      </c>
      <c r="C434" s="1" t="n">
        <v>45626</v>
      </c>
      <c r="D434" t="inlineStr">
        <is>
          <t>JÄMTLANDS LÄN</t>
        </is>
      </c>
      <c r="E434" t="inlineStr">
        <is>
          <t>ÖSTERSUND</t>
        </is>
      </c>
      <c r="G434" t="n">
        <v>1.1</v>
      </c>
      <c r="H434" t="n">
        <v>0</v>
      </c>
      <c r="I434" t="n">
        <v>0</v>
      </c>
      <c r="J434" t="n">
        <v>0</v>
      </c>
      <c r="K434" t="n">
        <v>0</v>
      </c>
      <c r="L434" t="n">
        <v>0</v>
      </c>
      <c r="M434" t="n">
        <v>0</v>
      </c>
      <c r="N434" t="n">
        <v>0</v>
      </c>
      <c r="O434" t="n">
        <v>0</v>
      </c>
      <c r="P434" t="n">
        <v>0</v>
      </c>
      <c r="Q434" t="n">
        <v>0</v>
      </c>
      <c r="R434" s="2" t="inlineStr"/>
    </row>
    <row r="435" ht="15" customHeight="1">
      <c r="A435" t="inlineStr">
        <is>
          <t>A 14658-2022</t>
        </is>
      </c>
      <c r="B435" s="1" t="n">
        <v>44655</v>
      </c>
      <c r="C435" s="1" t="n">
        <v>45626</v>
      </c>
      <c r="D435" t="inlineStr">
        <is>
          <t>JÄMTLANDS LÄN</t>
        </is>
      </c>
      <c r="E435" t="inlineStr">
        <is>
          <t>ÖSTERSUND</t>
        </is>
      </c>
      <c r="G435" t="n">
        <v>1.3</v>
      </c>
      <c r="H435" t="n">
        <v>0</v>
      </c>
      <c r="I435" t="n">
        <v>0</v>
      </c>
      <c r="J435" t="n">
        <v>0</v>
      </c>
      <c r="K435" t="n">
        <v>0</v>
      </c>
      <c r="L435" t="n">
        <v>0</v>
      </c>
      <c r="M435" t="n">
        <v>0</v>
      </c>
      <c r="N435" t="n">
        <v>0</v>
      </c>
      <c r="O435" t="n">
        <v>0</v>
      </c>
      <c r="P435" t="n">
        <v>0</v>
      </c>
      <c r="Q435" t="n">
        <v>0</v>
      </c>
      <c r="R435" s="2" t="inlineStr"/>
    </row>
    <row r="436" ht="15" customHeight="1">
      <c r="A436" t="inlineStr">
        <is>
          <t>A 16025-2022</t>
        </is>
      </c>
      <c r="B436" s="1" t="n">
        <v>44665</v>
      </c>
      <c r="C436" s="1" t="n">
        <v>45626</v>
      </c>
      <c r="D436" t="inlineStr">
        <is>
          <t>JÄMTLANDS LÄN</t>
        </is>
      </c>
      <c r="E436" t="inlineStr">
        <is>
          <t>ÖSTERSUND</t>
        </is>
      </c>
      <c r="G436" t="n">
        <v>6</v>
      </c>
      <c r="H436" t="n">
        <v>0</v>
      </c>
      <c r="I436" t="n">
        <v>0</v>
      </c>
      <c r="J436" t="n">
        <v>0</v>
      </c>
      <c r="K436" t="n">
        <v>0</v>
      </c>
      <c r="L436" t="n">
        <v>0</v>
      </c>
      <c r="M436" t="n">
        <v>0</v>
      </c>
      <c r="N436" t="n">
        <v>0</v>
      </c>
      <c r="O436" t="n">
        <v>0</v>
      </c>
      <c r="P436" t="n">
        <v>0</v>
      </c>
      <c r="Q436" t="n">
        <v>0</v>
      </c>
      <c r="R436" s="2" t="inlineStr"/>
    </row>
    <row r="437" ht="15" customHeight="1">
      <c r="A437" t="inlineStr">
        <is>
          <t>A 16034-2022</t>
        </is>
      </c>
      <c r="B437" s="1" t="n">
        <v>44665</v>
      </c>
      <c r="C437" s="1" t="n">
        <v>45626</v>
      </c>
      <c r="D437" t="inlineStr">
        <is>
          <t>JÄMTLANDS LÄN</t>
        </is>
      </c>
      <c r="E437" t="inlineStr">
        <is>
          <t>ÖSTERSUND</t>
        </is>
      </c>
      <c r="G437" t="n">
        <v>5.2</v>
      </c>
      <c r="H437" t="n">
        <v>0</v>
      </c>
      <c r="I437" t="n">
        <v>0</v>
      </c>
      <c r="J437" t="n">
        <v>0</v>
      </c>
      <c r="K437" t="n">
        <v>0</v>
      </c>
      <c r="L437" t="n">
        <v>0</v>
      </c>
      <c r="M437" t="n">
        <v>0</v>
      </c>
      <c r="N437" t="n">
        <v>0</v>
      </c>
      <c r="O437" t="n">
        <v>0</v>
      </c>
      <c r="P437" t="n">
        <v>0</v>
      </c>
      <c r="Q437" t="n">
        <v>0</v>
      </c>
      <c r="R437" s="2" t="inlineStr"/>
    </row>
    <row r="438" ht="15" customHeight="1">
      <c r="A438" t="inlineStr">
        <is>
          <t>A 17574-2022</t>
        </is>
      </c>
      <c r="B438" s="1" t="n">
        <v>44680</v>
      </c>
      <c r="C438" s="1" t="n">
        <v>45626</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17732-2022</t>
        </is>
      </c>
      <c r="B439" s="1" t="n">
        <v>44681</v>
      </c>
      <c r="C439" s="1" t="n">
        <v>45626</v>
      </c>
      <c r="D439" t="inlineStr">
        <is>
          <t>JÄMTLANDS LÄN</t>
        </is>
      </c>
      <c r="E439" t="inlineStr">
        <is>
          <t>ÖSTERSUND</t>
        </is>
      </c>
      <c r="G439" t="n">
        <v>5.4</v>
      </c>
      <c r="H439" t="n">
        <v>0</v>
      </c>
      <c r="I439" t="n">
        <v>0</v>
      </c>
      <c r="J439" t="n">
        <v>0</v>
      </c>
      <c r="K439" t="n">
        <v>0</v>
      </c>
      <c r="L439" t="n">
        <v>0</v>
      </c>
      <c r="M439" t="n">
        <v>0</v>
      </c>
      <c r="N439" t="n">
        <v>0</v>
      </c>
      <c r="O439" t="n">
        <v>0</v>
      </c>
      <c r="P439" t="n">
        <v>0</v>
      </c>
      <c r="Q439" t="n">
        <v>0</v>
      </c>
      <c r="R439" s="2" t="inlineStr"/>
    </row>
    <row r="440" ht="15" customHeight="1">
      <c r="A440" t="inlineStr">
        <is>
          <t>A 17734-2022</t>
        </is>
      </c>
      <c r="B440" s="1" t="n">
        <v>44680</v>
      </c>
      <c r="C440" s="1" t="n">
        <v>45626</v>
      </c>
      <c r="D440" t="inlineStr">
        <is>
          <t>JÄMTLANDS LÄN</t>
        </is>
      </c>
      <c r="E440" t="inlineStr">
        <is>
          <t>ÖSTERSUND</t>
        </is>
      </c>
      <c r="G440" t="n">
        <v>26.4</v>
      </c>
      <c r="H440" t="n">
        <v>0</v>
      </c>
      <c r="I440" t="n">
        <v>0</v>
      </c>
      <c r="J440" t="n">
        <v>0</v>
      </c>
      <c r="K440" t="n">
        <v>0</v>
      </c>
      <c r="L440" t="n">
        <v>0</v>
      </c>
      <c r="M440" t="n">
        <v>0</v>
      </c>
      <c r="N440" t="n">
        <v>0</v>
      </c>
      <c r="O440" t="n">
        <v>0</v>
      </c>
      <c r="P440" t="n">
        <v>0</v>
      </c>
      <c r="Q440" t="n">
        <v>0</v>
      </c>
      <c r="R440" s="2" t="inlineStr"/>
    </row>
    <row r="441" ht="15" customHeight="1">
      <c r="A441" t="inlineStr">
        <is>
          <t>A 19022-2022</t>
        </is>
      </c>
      <c r="B441" s="1" t="n">
        <v>44690</v>
      </c>
      <c r="C441" s="1" t="n">
        <v>45626</v>
      </c>
      <c r="D441" t="inlineStr">
        <is>
          <t>JÄMTLANDS LÄN</t>
        </is>
      </c>
      <c r="E441" t="inlineStr">
        <is>
          <t>ÖSTERSUND</t>
        </is>
      </c>
      <c r="G441" t="n">
        <v>17.9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44702</v>
      </c>
      <c r="C442" s="1" t="n">
        <v>45626</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20983-2022</t>
        </is>
      </c>
      <c r="B443" s="1" t="n">
        <v>44703</v>
      </c>
      <c r="C443" s="1" t="n">
        <v>45626</v>
      </c>
      <c r="D443" t="inlineStr">
        <is>
          <t>JÄMTLANDS LÄN</t>
        </is>
      </c>
      <c r="E443" t="inlineStr">
        <is>
          <t>ÖSTERSUND</t>
        </is>
      </c>
      <c r="G443" t="n">
        <v>2.2</v>
      </c>
      <c r="H443" t="n">
        <v>0</v>
      </c>
      <c r="I443" t="n">
        <v>0</v>
      </c>
      <c r="J443" t="n">
        <v>0</v>
      </c>
      <c r="K443" t="n">
        <v>0</v>
      </c>
      <c r="L443" t="n">
        <v>0</v>
      </c>
      <c r="M443" t="n">
        <v>0</v>
      </c>
      <c r="N443" t="n">
        <v>0</v>
      </c>
      <c r="O443" t="n">
        <v>0</v>
      </c>
      <c r="P443" t="n">
        <v>0</v>
      </c>
      <c r="Q443" t="n">
        <v>0</v>
      </c>
      <c r="R443" s="2" t="inlineStr"/>
    </row>
    <row r="444" ht="15" customHeight="1">
      <c r="A444" t="inlineStr">
        <is>
          <t>A 21211-2022</t>
        </is>
      </c>
      <c r="B444" s="1" t="n">
        <v>44705</v>
      </c>
      <c r="C444" s="1" t="n">
        <v>45626</v>
      </c>
      <c r="D444" t="inlineStr">
        <is>
          <t>JÄMTLANDS LÄN</t>
        </is>
      </c>
      <c r="E444" t="inlineStr">
        <is>
          <t>ÖSTERSUND</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21495-2022</t>
        </is>
      </c>
      <c r="B445" s="1" t="n">
        <v>44706</v>
      </c>
      <c r="C445" s="1" t="n">
        <v>45626</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22083-2022</t>
        </is>
      </c>
      <c r="B446" s="1" t="n">
        <v>44711</v>
      </c>
      <c r="C446" s="1" t="n">
        <v>45626</v>
      </c>
      <c r="D446" t="inlineStr">
        <is>
          <t>JÄMTLANDS LÄN</t>
        </is>
      </c>
      <c r="E446" t="inlineStr">
        <is>
          <t>ÖSTERSUND</t>
        </is>
      </c>
      <c r="G446" t="n">
        <v>2.1</v>
      </c>
      <c r="H446" t="n">
        <v>0</v>
      </c>
      <c r="I446" t="n">
        <v>0</v>
      </c>
      <c r="J446" t="n">
        <v>0</v>
      </c>
      <c r="K446" t="n">
        <v>0</v>
      </c>
      <c r="L446" t="n">
        <v>0</v>
      </c>
      <c r="M446" t="n">
        <v>0</v>
      </c>
      <c r="N446" t="n">
        <v>0</v>
      </c>
      <c r="O446" t="n">
        <v>0</v>
      </c>
      <c r="P446" t="n">
        <v>0</v>
      </c>
      <c r="Q446" t="n">
        <v>0</v>
      </c>
      <c r="R446" s="2" t="inlineStr"/>
    </row>
    <row r="447" ht="15" customHeight="1">
      <c r="A447" t="inlineStr">
        <is>
          <t>A 22085-2022</t>
        </is>
      </c>
      <c r="B447" s="1" t="n">
        <v>44711</v>
      </c>
      <c r="C447" s="1" t="n">
        <v>45626</v>
      </c>
      <c r="D447" t="inlineStr">
        <is>
          <t>JÄMTLANDS LÄN</t>
        </is>
      </c>
      <c r="E447" t="inlineStr">
        <is>
          <t>ÖSTERSUND</t>
        </is>
      </c>
      <c r="G447" t="n">
        <v>0.9</v>
      </c>
      <c r="H447" t="n">
        <v>0</v>
      </c>
      <c r="I447" t="n">
        <v>0</v>
      </c>
      <c r="J447" t="n">
        <v>0</v>
      </c>
      <c r="K447" t="n">
        <v>0</v>
      </c>
      <c r="L447" t="n">
        <v>0</v>
      </c>
      <c r="M447" t="n">
        <v>0</v>
      </c>
      <c r="N447" t="n">
        <v>0</v>
      </c>
      <c r="O447" t="n">
        <v>0</v>
      </c>
      <c r="P447" t="n">
        <v>0</v>
      </c>
      <c r="Q447" t="n">
        <v>0</v>
      </c>
      <c r="R447" s="2" t="inlineStr"/>
    </row>
    <row r="448" ht="15" customHeight="1">
      <c r="A448" t="inlineStr">
        <is>
          <t>A 22084-2022</t>
        </is>
      </c>
      <c r="B448" s="1" t="n">
        <v>44711</v>
      </c>
      <c r="C448" s="1" t="n">
        <v>45626</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22082-2022</t>
        </is>
      </c>
      <c r="B449" s="1" t="n">
        <v>44712</v>
      </c>
      <c r="C449" s="1" t="n">
        <v>45626</v>
      </c>
      <c r="D449" t="inlineStr">
        <is>
          <t>JÄMTLANDS LÄN</t>
        </is>
      </c>
      <c r="E449" t="inlineStr">
        <is>
          <t>ÖSTERSUND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23555-2022</t>
        </is>
      </c>
      <c r="B450" s="1" t="n">
        <v>44721</v>
      </c>
      <c r="C450" s="1" t="n">
        <v>45626</v>
      </c>
      <c r="D450" t="inlineStr">
        <is>
          <t>JÄMTLANDS LÄN</t>
        </is>
      </c>
      <c r="E450" t="inlineStr">
        <is>
          <t>ÖSTERSUND</t>
        </is>
      </c>
      <c r="G450" t="n">
        <v>1.2</v>
      </c>
      <c r="H450" t="n">
        <v>0</v>
      </c>
      <c r="I450" t="n">
        <v>0</v>
      </c>
      <c r="J450" t="n">
        <v>0</v>
      </c>
      <c r="K450" t="n">
        <v>0</v>
      </c>
      <c r="L450" t="n">
        <v>0</v>
      </c>
      <c r="M450" t="n">
        <v>0</v>
      </c>
      <c r="N450" t="n">
        <v>0</v>
      </c>
      <c r="O450" t="n">
        <v>0</v>
      </c>
      <c r="P450" t="n">
        <v>0</v>
      </c>
      <c r="Q450" t="n">
        <v>0</v>
      </c>
      <c r="R450" s="2" t="inlineStr"/>
    </row>
    <row r="451" ht="15" customHeight="1">
      <c r="A451" t="inlineStr">
        <is>
          <t>A 23563-2022</t>
        </is>
      </c>
      <c r="B451" s="1" t="n">
        <v>44721</v>
      </c>
      <c r="C451" s="1" t="n">
        <v>45626</v>
      </c>
      <c r="D451" t="inlineStr">
        <is>
          <t>JÄMTLANDS LÄN</t>
        </is>
      </c>
      <c r="E451" t="inlineStr">
        <is>
          <t>ÖSTERSUND</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23551-2022</t>
        </is>
      </c>
      <c r="B452" s="1" t="n">
        <v>44721</v>
      </c>
      <c r="C452" s="1" t="n">
        <v>45626</v>
      </c>
      <c r="D452" t="inlineStr">
        <is>
          <t>JÄMTLANDS LÄN</t>
        </is>
      </c>
      <c r="E452" t="inlineStr">
        <is>
          <t>ÖSTERSUND</t>
        </is>
      </c>
      <c r="G452" t="n">
        <v>0.3</v>
      </c>
      <c r="H452" t="n">
        <v>0</v>
      </c>
      <c r="I452" t="n">
        <v>0</v>
      </c>
      <c r="J452" t="n">
        <v>0</v>
      </c>
      <c r="K452" t="n">
        <v>0</v>
      </c>
      <c r="L452" t="n">
        <v>0</v>
      </c>
      <c r="M452" t="n">
        <v>0</v>
      </c>
      <c r="N452" t="n">
        <v>0</v>
      </c>
      <c r="O452" t="n">
        <v>0</v>
      </c>
      <c r="P452" t="n">
        <v>0</v>
      </c>
      <c r="Q452" t="n">
        <v>0</v>
      </c>
      <c r="R452" s="2" t="inlineStr"/>
    </row>
    <row r="453" ht="15" customHeight="1">
      <c r="A453" t="inlineStr">
        <is>
          <t>A 23992-2022</t>
        </is>
      </c>
      <c r="B453" s="1" t="n">
        <v>44722</v>
      </c>
      <c r="C453" s="1" t="n">
        <v>45626</v>
      </c>
      <c r="D453" t="inlineStr">
        <is>
          <t>JÄMTLANDS LÄN</t>
        </is>
      </c>
      <c r="E453" t="inlineStr">
        <is>
          <t>ÖSTERSUND</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23993-2022</t>
        </is>
      </c>
      <c r="B454" s="1" t="n">
        <v>44723</v>
      </c>
      <c r="C454" s="1" t="n">
        <v>45626</v>
      </c>
      <c r="D454" t="inlineStr">
        <is>
          <t>JÄMTLANDS LÄN</t>
        </is>
      </c>
      <c r="E454" t="inlineStr">
        <is>
          <t>ÖSTERSUND</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26321-2022</t>
        </is>
      </c>
      <c r="B455" s="1" t="n">
        <v>44735</v>
      </c>
      <c r="C455" s="1" t="n">
        <v>45626</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26731-2022</t>
        </is>
      </c>
      <c r="B456" s="1" t="n">
        <v>44740</v>
      </c>
      <c r="C456" s="1" t="n">
        <v>45626</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27343-2022</t>
        </is>
      </c>
      <c r="B457" s="1" t="n">
        <v>44742</v>
      </c>
      <c r="C457" s="1" t="n">
        <v>45626</v>
      </c>
      <c r="D457" t="inlineStr">
        <is>
          <t>JÄMTLANDS LÄN</t>
        </is>
      </c>
      <c r="E457" t="inlineStr">
        <is>
          <t>ÖSTERSUND</t>
        </is>
      </c>
      <c r="G457" t="n">
        <v>1.5</v>
      </c>
      <c r="H457" t="n">
        <v>0</v>
      </c>
      <c r="I457" t="n">
        <v>0</v>
      </c>
      <c r="J457" t="n">
        <v>0</v>
      </c>
      <c r="K457" t="n">
        <v>0</v>
      </c>
      <c r="L457" t="n">
        <v>0</v>
      </c>
      <c r="M457" t="n">
        <v>0</v>
      </c>
      <c r="N457" t="n">
        <v>0</v>
      </c>
      <c r="O457" t="n">
        <v>0</v>
      </c>
      <c r="P457" t="n">
        <v>0</v>
      </c>
      <c r="Q457" t="n">
        <v>0</v>
      </c>
      <c r="R457" s="2" t="inlineStr"/>
    </row>
    <row r="458" ht="15" customHeight="1">
      <c r="A458" t="inlineStr">
        <is>
          <t>A 27582-2022</t>
        </is>
      </c>
      <c r="B458" s="1" t="n">
        <v>44743</v>
      </c>
      <c r="C458" s="1" t="n">
        <v>45626</v>
      </c>
      <c r="D458" t="inlineStr">
        <is>
          <t>JÄMTLANDS LÄN</t>
        </is>
      </c>
      <c r="E458" t="inlineStr">
        <is>
          <t>ÖSTERSUND</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27575-2022</t>
        </is>
      </c>
      <c r="B459" s="1" t="n">
        <v>44742</v>
      </c>
      <c r="C459" s="1" t="n">
        <v>45626</v>
      </c>
      <c r="D459" t="inlineStr">
        <is>
          <t>JÄMTLANDS LÄN</t>
        </is>
      </c>
      <c r="E459" t="inlineStr">
        <is>
          <t>ÖSTERSUND</t>
        </is>
      </c>
      <c r="F459" t="inlineStr">
        <is>
          <t>SCA</t>
        </is>
      </c>
      <c r="G459" t="n">
        <v>2.4</v>
      </c>
      <c r="H459" t="n">
        <v>0</v>
      </c>
      <c r="I459" t="n">
        <v>0</v>
      </c>
      <c r="J459" t="n">
        <v>0</v>
      </c>
      <c r="K459" t="n">
        <v>0</v>
      </c>
      <c r="L459" t="n">
        <v>0</v>
      </c>
      <c r="M459" t="n">
        <v>0</v>
      </c>
      <c r="N459" t="n">
        <v>0</v>
      </c>
      <c r="O459" t="n">
        <v>0</v>
      </c>
      <c r="P459" t="n">
        <v>0</v>
      </c>
      <c r="Q459" t="n">
        <v>0</v>
      </c>
      <c r="R459" s="2" t="inlineStr"/>
      <c r="U459">
        <f>HYPERLINK("https://klasma.github.io/Logging_2380/knärot/A 27575-2022 karta knärot.png", "A 27575-2022")</f>
        <v/>
      </c>
      <c r="V459">
        <f>HYPERLINK("https://klasma.github.io/Logging_2380/klagomål/A 27575-2022 FSC-klagomål.docx", "A 27575-2022")</f>
        <v/>
      </c>
      <c r="W459">
        <f>HYPERLINK("https://klasma.github.io/Logging_2380/klagomålsmail/A 27575-2022 FSC-klagomål mail.docx", "A 27575-2022")</f>
        <v/>
      </c>
      <c r="X459">
        <f>HYPERLINK("https://klasma.github.io/Logging_2380/tillsyn/A 27575-2022 tillsynsbegäran.docx", "A 27575-2022")</f>
        <v/>
      </c>
      <c r="Y459">
        <f>HYPERLINK("https://klasma.github.io/Logging_2380/tillsynsmail/A 27575-2022 tillsynsbegäran mail.docx", "A 27575-2022")</f>
        <v/>
      </c>
    </row>
    <row r="460" ht="15" customHeight="1">
      <c r="A460" t="inlineStr">
        <is>
          <t>A 27581-2022</t>
        </is>
      </c>
      <c r="B460" s="1" t="n">
        <v>44742</v>
      </c>
      <c r="C460" s="1" t="n">
        <v>45626</v>
      </c>
      <c r="D460" t="inlineStr">
        <is>
          <t>JÄMTLANDS LÄN</t>
        </is>
      </c>
      <c r="E460" t="inlineStr">
        <is>
          <t>ÖSTERSUND</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27780-2022</t>
        </is>
      </c>
      <c r="B461" s="1" t="n">
        <v>44743</v>
      </c>
      <c r="C461" s="1" t="n">
        <v>45626</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29094-2022</t>
        </is>
      </c>
      <c r="B462" s="1" t="n">
        <v>44750</v>
      </c>
      <c r="C462" s="1" t="n">
        <v>45626</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29128-2022</t>
        </is>
      </c>
      <c r="B463" s="1" t="n">
        <v>44750</v>
      </c>
      <c r="C463" s="1" t="n">
        <v>45626</v>
      </c>
      <c r="D463" t="inlineStr">
        <is>
          <t>JÄMTLANDS LÄN</t>
        </is>
      </c>
      <c r="E463" t="inlineStr">
        <is>
          <t>ÖSTERSUND</t>
        </is>
      </c>
      <c r="G463" t="n">
        <v>3</v>
      </c>
      <c r="H463" t="n">
        <v>0</v>
      </c>
      <c r="I463" t="n">
        <v>0</v>
      </c>
      <c r="J463" t="n">
        <v>0</v>
      </c>
      <c r="K463" t="n">
        <v>0</v>
      </c>
      <c r="L463" t="n">
        <v>0</v>
      </c>
      <c r="M463" t="n">
        <v>0</v>
      </c>
      <c r="N463" t="n">
        <v>0</v>
      </c>
      <c r="O463" t="n">
        <v>0</v>
      </c>
      <c r="P463" t="n">
        <v>0</v>
      </c>
      <c r="Q463" t="n">
        <v>0</v>
      </c>
      <c r="R463" s="2" t="inlineStr"/>
    </row>
    <row r="464" ht="15" customHeight="1">
      <c r="A464" t="inlineStr">
        <is>
          <t>A 29829-2022</t>
        </is>
      </c>
      <c r="B464" s="1" t="n">
        <v>44755</v>
      </c>
      <c r="C464" s="1" t="n">
        <v>45626</v>
      </c>
      <c r="D464" t="inlineStr">
        <is>
          <t>JÄMTLANDS LÄN</t>
        </is>
      </c>
      <c r="E464" t="inlineStr">
        <is>
          <t>ÖSTERSUND</t>
        </is>
      </c>
      <c r="F464" t="inlineStr">
        <is>
          <t>SCA</t>
        </is>
      </c>
      <c r="G464" t="n">
        <v>1.4</v>
      </c>
      <c r="H464" t="n">
        <v>0</v>
      </c>
      <c r="I464" t="n">
        <v>0</v>
      </c>
      <c r="J464" t="n">
        <v>0</v>
      </c>
      <c r="K464" t="n">
        <v>0</v>
      </c>
      <c r="L464" t="n">
        <v>0</v>
      </c>
      <c r="M464" t="n">
        <v>0</v>
      </c>
      <c r="N464" t="n">
        <v>0</v>
      </c>
      <c r="O464" t="n">
        <v>0</v>
      </c>
      <c r="P464" t="n">
        <v>0</v>
      </c>
      <c r="Q464" t="n">
        <v>0</v>
      </c>
      <c r="R464" s="2" t="inlineStr"/>
    </row>
    <row r="465" ht="15" customHeight="1">
      <c r="A465" t="inlineStr">
        <is>
          <t>A 29828-2022</t>
        </is>
      </c>
      <c r="B465" s="1" t="n">
        <v>44755</v>
      </c>
      <c r="C465" s="1" t="n">
        <v>45626</v>
      </c>
      <c r="D465" t="inlineStr">
        <is>
          <t>JÄMTLANDS LÄN</t>
        </is>
      </c>
      <c r="E465" t="inlineStr">
        <is>
          <t>ÖSTERSUND</t>
        </is>
      </c>
      <c r="F465" t="inlineStr">
        <is>
          <t>SCA</t>
        </is>
      </c>
      <c r="G465" t="n">
        <v>0.8</v>
      </c>
      <c r="H465" t="n">
        <v>0</v>
      </c>
      <c r="I465" t="n">
        <v>0</v>
      </c>
      <c r="J465" t="n">
        <v>0</v>
      </c>
      <c r="K465" t="n">
        <v>0</v>
      </c>
      <c r="L465" t="n">
        <v>0</v>
      </c>
      <c r="M465" t="n">
        <v>0</v>
      </c>
      <c r="N465" t="n">
        <v>0</v>
      </c>
      <c r="O465" t="n">
        <v>0</v>
      </c>
      <c r="P465" t="n">
        <v>0</v>
      </c>
      <c r="Q465" t="n">
        <v>0</v>
      </c>
      <c r="R465" s="2" t="inlineStr"/>
    </row>
    <row r="466" ht="15" customHeight="1">
      <c r="A466" t="inlineStr">
        <is>
          <t>A 30217-2022</t>
        </is>
      </c>
      <c r="B466" s="1" t="n">
        <v>44758</v>
      </c>
      <c r="C466" s="1" t="n">
        <v>45626</v>
      </c>
      <c r="D466" t="inlineStr">
        <is>
          <t>JÄMTLANDS LÄN</t>
        </is>
      </c>
      <c r="E466" t="inlineStr">
        <is>
          <t>ÖSTERSUND</t>
        </is>
      </c>
      <c r="G466" t="n">
        <v>2.9</v>
      </c>
      <c r="H466" t="n">
        <v>0</v>
      </c>
      <c r="I466" t="n">
        <v>0</v>
      </c>
      <c r="J466" t="n">
        <v>0</v>
      </c>
      <c r="K466" t="n">
        <v>0</v>
      </c>
      <c r="L466" t="n">
        <v>0</v>
      </c>
      <c r="M466" t="n">
        <v>0</v>
      </c>
      <c r="N466" t="n">
        <v>0</v>
      </c>
      <c r="O466" t="n">
        <v>0</v>
      </c>
      <c r="P466" t="n">
        <v>0</v>
      </c>
      <c r="Q466" t="n">
        <v>0</v>
      </c>
      <c r="R466" s="2" t="inlineStr"/>
    </row>
    <row r="467" ht="15" customHeight="1">
      <c r="A467" t="inlineStr">
        <is>
          <t>A 33804-2022</t>
        </is>
      </c>
      <c r="B467" s="1" t="n">
        <v>44790</v>
      </c>
      <c r="C467" s="1" t="n">
        <v>45626</v>
      </c>
      <c r="D467" t="inlineStr">
        <is>
          <t>JÄMTLANDS LÄN</t>
        </is>
      </c>
      <c r="E467" t="inlineStr">
        <is>
          <t>ÖSTERSUND</t>
        </is>
      </c>
      <c r="G467" t="n">
        <v>1.8</v>
      </c>
      <c r="H467" t="n">
        <v>0</v>
      </c>
      <c r="I467" t="n">
        <v>0</v>
      </c>
      <c r="J467" t="n">
        <v>0</v>
      </c>
      <c r="K467" t="n">
        <v>0</v>
      </c>
      <c r="L467" t="n">
        <v>0</v>
      </c>
      <c r="M467" t="n">
        <v>0</v>
      </c>
      <c r="N467" t="n">
        <v>0</v>
      </c>
      <c r="O467" t="n">
        <v>0</v>
      </c>
      <c r="P467" t="n">
        <v>0</v>
      </c>
      <c r="Q467" t="n">
        <v>0</v>
      </c>
      <c r="R467" s="2" t="inlineStr"/>
    </row>
    <row r="468" ht="15" customHeight="1">
      <c r="A468" t="inlineStr">
        <is>
          <t>A 33808-2022</t>
        </is>
      </c>
      <c r="B468" s="1" t="n">
        <v>44790</v>
      </c>
      <c r="C468" s="1" t="n">
        <v>45626</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33813-2022</t>
        </is>
      </c>
      <c r="B469" s="1" t="n">
        <v>44790</v>
      </c>
      <c r="C469" s="1" t="n">
        <v>45626</v>
      </c>
      <c r="D469" t="inlineStr">
        <is>
          <t>JÄMTLANDS LÄN</t>
        </is>
      </c>
      <c r="E469" t="inlineStr">
        <is>
          <t>ÖSTERSUND</t>
        </is>
      </c>
      <c r="G469" t="n">
        <v>7.9</v>
      </c>
      <c r="H469" t="n">
        <v>0</v>
      </c>
      <c r="I469" t="n">
        <v>0</v>
      </c>
      <c r="J469" t="n">
        <v>0</v>
      </c>
      <c r="K469" t="n">
        <v>0</v>
      </c>
      <c r="L469" t="n">
        <v>0</v>
      </c>
      <c r="M469" t="n">
        <v>0</v>
      </c>
      <c r="N469" t="n">
        <v>0</v>
      </c>
      <c r="O469" t="n">
        <v>0</v>
      </c>
      <c r="P469" t="n">
        <v>0</v>
      </c>
      <c r="Q469" t="n">
        <v>0</v>
      </c>
      <c r="R469" s="2" t="inlineStr"/>
    </row>
    <row r="470" ht="15" customHeight="1">
      <c r="A470" t="inlineStr">
        <is>
          <t>A 33786-2022</t>
        </is>
      </c>
      <c r="B470" s="1" t="n">
        <v>44790</v>
      </c>
      <c r="C470" s="1" t="n">
        <v>45626</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33801-2022</t>
        </is>
      </c>
      <c r="B471" s="1" t="n">
        <v>44790</v>
      </c>
      <c r="C471" s="1" t="n">
        <v>45626</v>
      </c>
      <c r="D471" t="inlineStr">
        <is>
          <t>JÄMTLANDS LÄN</t>
        </is>
      </c>
      <c r="E471" t="inlineStr">
        <is>
          <t>ÖSTERSUND</t>
        </is>
      </c>
      <c r="G471" t="n">
        <v>7.6</v>
      </c>
      <c r="H471" t="n">
        <v>0</v>
      </c>
      <c r="I471" t="n">
        <v>0</v>
      </c>
      <c r="J471" t="n">
        <v>0</v>
      </c>
      <c r="K471" t="n">
        <v>0</v>
      </c>
      <c r="L471" t="n">
        <v>0</v>
      </c>
      <c r="M471" t="n">
        <v>0</v>
      </c>
      <c r="N471" t="n">
        <v>0</v>
      </c>
      <c r="O471" t="n">
        <v>0</v>
      </c>
      <c r="P471" t="n">
        <v>0</v>
      </c>
      <c r="Q471" t="n">
        <v>0</v>
      </c>
      <c r="R471" s="2" t="inlineStr"/>
    </row>
    <row r="472" ht="15" customHeight="1">
      <c r="A472" t="inlineStr">
        <is>
          <t>A 35556-2022</t>
        </is>
      </c>
      <c r="B472" s="1" t="n">
        <v>44799</v>
      </c>
      <c r="C472" s="1" t="n">
        <v>45626</v>
      </c>
      <c r="D472" t="inlineStr">
        <is>
          <t>JÄMTLANDS LÄN</t>
        </is>
      </c>
      <c r="E472" t="inlineStr">
        <is>
          <t>ÖSTERSUND</t>
        </is>
      </c>
      <c r="G472" t="n">
        <v>3.6</v>
      </c>
      <c r="H472" t="n">
        <v>0</v>
      </c>
      <c r="I472" t="n">
        <v>0</v>
      </c>
      <c r="J472" t="n">
        <v>0</v>
      </c>
      <c r="K472" t="n">
        <v>0</v>
      </c>
      <c r="L472" t="n">
        <v>0</v>
      </c>
      <c r="M472" t="n">
        <v>0</v>
      </c>
      <c r="N472" t="n">
        <v>0</v>
      </c>
      <c r="O472" t="n">
        <v>0</v>
      </c>
      <c r="P472" t="n">
        <v>0</v>
      </c>
      <c r="Q472" t="n">
        <v>0</v>
      </c>
      <c r="R472" s="2" t="inlineStr"/>
    </row>
    <row r="473" ht="15" customHeight="1">
      <c r="A473" t="inlineStr">
        <is>
          <t>A 39828-2022</t>
        </is>
      </c>
      <c r="B473" s="1" t="n">
        <v>44817</v>
      </c>
      <c r="C473" s="1" t="n">
        <v>45626</v>
      </c>
      <c r="D473" t="inlineStr">
        <is>
          <t>JÄMTLANDS LÄN</t>
        </is>
      </c>
      <c r="E473" t="inlineStr">
        <is>
          <t>ÖSTERSUND</t>
        </is>
      </c>
      <c r="G473" t="n">
        <v>1.1</v>
      </c>
      <c r="H473" t="n">
        <v>0</v>
      </c>
      <c r="I473" t="n">
        <v>0</v>
      </c>
      <c r="J473" t="n">
        <v>0</v>
      </c>
      <c r="K473" t="n">
        <v>0</v>
      </c>
      <c r="L473" t="n">
        <v>0</v>
      </c>
      <c r="M473" t="n">
        <v>0</v>
      </c>
      <c r="N473" t="n">
        <v>0</v>
      </c>
      <c r="O473" t="n">
        <v>0</v>
      </c>
      <c r="P473" t="n">
        <v>0</v>
      </c>
      <c r="Q473" t="n">
        <v>0</v>
      </c>
      <c r="R473" s="2" t="inlineStr"/>
    </row>
    <row r="474" ht="15" customHeight="1">
      <c r="A474" t="inlineStr">
        <is>
          <t>A 39928-2022</t>
        </is>
      </c>
      <c r="B474" s="1" t="n">
        <v>44819</v>
      </c>
      <c r="C474" s="1" t="n">
        <v>45626</v>
      </c>
      <c r="D474" t="inlineStr">
        <is>
          <t>JÄMTLANDS LÄN</t>
        </is>
      </c>
      <c r="E474" t="inlineStr">
        <is>
          <t>ÖSTERSUND</t>
        </is>
      </c>
      <c r="F474" t="inlineStr">
        <is>
          <t>SCA</t>
        </is>
      </c>
      <c r="G474" t="n">
        <v>8.9</v>
      </c>
      <c r="H474" t="n">
        <v>0</v>
      </c>
      <c r="I474" t="n">
        <v>0</v>
      </c>
      <c r="J474" t="n">
        <v>0</v>
      </c>
      <c r="K474" t="n">
        <v>0</v>
      </c>
      <c r="L474" t="n">
        <v>0</v>
      </c>
      <c r="M474" t="n">
        <v>0</v>
      </c>
      <c r="N474" t="n">
        <v>0</v>
      </c>
      <c r="O474" t="n">
        <v>0</v>
      </c>
      <c r="P474" t="n">
        <v>0</v>
      </c>
      <c r="Q474" t="n">
        <v>0</v>
      </c>
      <c r="R474" s="2" t="inlineStr"/>
    </row>
    <row r="475" ht="15" customHeight="1">
      <c r="A475" t="inlineStr">
        <is>
          <t>A 40885-2022</t>
        </is>
      </c>
      <c r="B475" s="1" t="n">
        <v>44820</v>
      </c>
      <c r="C475" s="1" t="n">
        <v>45626</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43511-2022</t>
        </is>
      </c>
      <c r="B476" s="1" t="n">
        <v>44837</v>
      </c>
      <c r="C476" s="1" t="n">
        <v>45626</v>
      </c>
      <c r="D476" t="inlineStr">
        <is>
          <t>JÄMTLANDS LÄN</t>
        </is>
      </c>
      <c r="E476" t="inlineStr">
        <is>
          <t>ÖSTERSUND</t>
        </is>
      </c>
      <c r="G476" t="n">
        <v>3.7</v>
      </c>
      <c r="H476" t="n">
        <v>0</v>
      </c>
      <c r="I476" t="n">
        <v>0</v>
      </c>
      <c r="J476" t="n">
        <v>0</v>
      </c>
      <c r="K476" t="n">
        <v>0</v>
      </c>
      <c r="L476" t="n">
        <v>0</v>
      </c>
      <c r="M476" t="n">
        <v>0</v>
      </c>
      <c r="N476" t="n">
        <v>0</v>
      </c>
      <c r="O476" t="n">
        <v>0</v>
      </c>
      <c r="P476" t="n">
        <v>0</v>
      </c>
      <c r="Q476" t="n">
        <v>0</v>
      </c>
      <c r="R476" s="2" t="inlineStr"/>
    </row>
    <row r="477" ht="15" customHeight="1">
      <c r="A477" t="inlineStr">
        <is>
          <t>A 43951-2022</t>
        </is>
      </c>
      <c r="B477" s="1" t="n">
        <v>44838</v>
      </c>
      <c r="C477" s="1" t="n">
        <v>45626</v>
      </c>
      <c r="D477" t="inlineStr">
        <is>
          <t>JÄMTLANDS LÄN</t>
        </is>
      </c>
      <c r="E477" t="inlineStr">
        <is>
          <t>ÖSTERSUND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44909-2022</t>
        </is>
      </c>
      <c r="B478" s="1" t="n">
        <v>44840</v>
      </c>
      <c r="C478" s="1" t="n">
        <v>45626</v>
      </c>
      <c r="D478" t="inlineStr">
        <is>
          <t>JÄMTLANDS LÄN</t>
        </is>
      </c>
      <c r="E478" t="inlineStr">
        <is>
          <t>ÖSTERSUND</t>
        </is>
      </c>
      <c r="G478" t="n">
        <v>1.5</v>
      </c>
      <c r="H478" t="n">
        <v>0</v>
      </c>
      <c r="I478" t="n">
        <v>0</v>
      </c>
      <c r="J478" t="n">
        <v>0</v>
      </c>
      <c r="K478" t="n">
        <v>0</v>
      </c>
      <c r="L478" t="n">
        <v>0</v>
      </c>
      <c r="M478" t="n">
        <v>0</v>
      </c>
      <c r="N478" t="n">
        <v>0</v>
      </c>
      <c r="O478" t="n">
        <v>0</v>
      </c>
      <c r="P478" t="n">
        <v>0</v>
      </c>
      <c r="Q478" t="n">
        <v>0</v>
      </c>
      <c r="R478" s="2" t="inlineStr"/>
    </row>
    <row r="479" ht="15" customHeight="1">
      <c r="A479" t="inlineStr">
        <is>
          <t>A 45004-2022</t>
        </is>
      </c>
      <c r="B479" s="1" t="n">
        <v>44840</v>
      </c>
      <c r="C479" s="1" t="n">
        <v>45626</v>
      </c>
      <c r="D479" t="inlineStr">
        <is>
          <t>JÄMTLANDS LÄN</t>
        </is>
      </c>
      <c r="E479" t="inlineStr">
        <is>
          <t>ÖSTERSUND</t>
        </is>
      </c>
      <c r="G479" t="n">
        <v>2.5</v>
      </c>
      <c r="H479" t="n">
        <v>0</v>
      </c>
      <c r="I479" t="n">
        <v>0</v>
      </c>
      <c r="J479" t="n">
        <v>0</v>
      </c>
      <c r="K479" t="n">
        <v>0</v>
      </c>
      <c r="L479" t="n">
        <v>0</v>
      </c>
      <c r="M479" t="n">
        <v>0</v>
      </c>
      <c r="N479" t="n">
        <v>0</v>
      </c>
      <c r="O479" t="n">
        <v>0</v>
      </c>
      <c r="P479" t="n">
        <v>0</v>
      </c>
      <c r="Q479" t="n">
        <v>0</v>
      </c>
      <c r="R479" s="2" t="inlineStr"/>
    </row>
    <row r="480" ht="15" customHeight="1">
      <c r="A480" t="inlineStr">
        <is>
          <t>A 45654-2022</t>
        </is>
      </c>
      <c r="B480" s="1" t="n">
        <v>44845</v>
      </c>
      <c r="C480" s="1" t="n">
        <v>45626</v>
      </c>
      <c r="D480" t="inlineStr">
        <is>
          <t>JÄMTLANDS LÄN</t>
        </is>
      </c>
      <c r="E480" t="inlineStr">
        <is>
          <t>ÖSTERSUND</t>
        </is>
      </c>
      <c r="G480" t="n">
        <v>0.4</v>
      </c>
      <c r="H480" t="n">
        <v>0</v>
      </c>
      <c r="I480" t="n">
        <v>0</v>
      </c>
      <c r="J480" t="n">
        <v>0</v>
      </c>
      <c r="K480" t="n">
        <v>0</v>
      </c>
      <c r="L480" t="n">
        <v>0</v>
      </c>
      <c r="M480" t="n">
        <v>0</v>
      </c>
      <c r="N480" t="n">
        <v>0</v>
      </c>
      <c r="O480" t="n">
        <v>0</v>
      </c>
      <c r="P480" t="n">
        <v>0</v>
      </c>
      <c r="Q480" t="n">
        <v>0</v>
      </c>
      <c r="R480" s="2" t="inlineStr"/>
    </row>
    <row r="481" ht="15" customHeight="1">
      <c r="A481" t="inlineStr">
        <is>
          <t>A 46913-2022</t>
        </is>
      </c>
      <c r="B481" s="1" t="n">
        <v>44851</v>
      </c>
      <c r="C481" s="1" t="n">
        <v>45626</v>
      </c>
      <c r="D481" t="inlineStr">
        <is>
          <t>JÄMTLANDS LÄN</t>
        </is>
      </c>
      <c r="E481" t="inlineStr">
        <is>
          <t>ÖSTERSUND</t>
        </is>
      </c>
      <c r="G481" t="n">
        <v>2.5</v>
      </c>
      <c r="H481" t="n">
        <v>0</v>
      </c>
      <c r="I481" t="n">
        <v>0</v>
      </c>
      <c r="J481" t="n">
        <v>0</v>
      </c>
      <c r="K481" t="n">
        <v>0</v>
      </c>
      <c r="L481" t="n">
        <v>0</v>
      </c>
      <c r="M481" t="n">
        <v>0</v>
      </c>
      <c r="N481" t="n">
        <v>0</v>
      </c>
      <c r="O481" t="n">
        <v>0</v>
      </c>
      <c r="P481" t="n">
        <v>0</v>
      </c>
      <c r="Q481" t="n">
        <v>0</v>
      </c>
      <c r="R481" s="2" t="inlineStr"/>
    </row>
    <row r="482" ht="15" customHeight="1">
      <c r="A482" t="inlineStr">
        <is>
          <t>A 47296-2022</t>
        </is>
      </c>
      <c r="B482" s="1" t="n">
        <v>44853</v>
      </c>
      <c r="C482" s="1" t="n">
        <v>45626</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47294-2022</t>
        </is>
      </c>
      <c r="B483" s="1" t="n">
        <v>44852</v>
      </c>
      <c r="C483" s="1" t="n">
        <v>45626</v>
      </c>
      <c r="D483" t="inlineStr">
        <is>
          <t>JÄMTLANDS LÄN</t>
        </is>
      </c>
      <c r="E483" t="inlineStr">
        <is>
          <t>ÖSTERSUND</t>
        </is>
      </c>
      <c r="G483" t="n">
        <v>1.7</v>
      </c>
      <c r="H483" t="n">
        <v>0</v>
      </c>
      <c r="I483" t="n">
        <v>0</v>
      </c>
      <c r="J483" t="n">
        <v>0</v>
      </c>
      <c r="K483" t="n">
        <v>0</v>
      </c>
      <c r="L483" t="n">
        <v>0</v>
      </c>
      <c r="M483" t="n">
        <v>0</v>
      </c>
      <c r="N483" t="n">
        <v>0</v>
      </c>
      <c r="O483" t="n">
        <v>0</v>
      </c>
      <c r="P483" t="n">
        <v>0</v>
      </c>
      <c r="Q483" t="n">
        <v>0</v>
      </c>
      <c r="R483" s="2" t="inlineStr"/>
    </row>
    <row r="484" ht="15" customHeight="1">
      <c r="A484" t="inlineStr">
        <is>
          <t>A 47295-2022</t>
        </is>
      </c>
      <c r="B484" s="1" t="n">
        <v>44852</v>
      </c>
      <c r="C484" s="1" t="n">
        <v>45626</v>
      </c>
      <c r="D484" t="inlineStr">
        <is>
          <t>JÄMTLANDS LÄN</t>
        </is>
      </c>
      <c r="E484" t="inlineStr">
        <is>
          <t>ÖSTERSUND</t>
        </is>
      </c>
      <c r="G484" t="n">
        <v>1.1</v>
      </c>
      <c r="H484" t="n">
        <v>0</v>
      </c>
      <c r="I484" t="n">
        <v>0</v>
      </c>
      <c r="J484" t="n">
        <v>0</v>
      </c>
      <c r="K484" t="n">
        <v>0</v>
      </c>
      <c r="L484" t="n">
        <v>0</v>
      </c>
      <c r="M484" t="n">
        <v>0</v>
      </c>
      <c r="N484" t="n">
        <v>0</v>
      </c>
      <c r="O484" t="n">
        <v>0</v>
      </c>
      <c r="P484" t="n">
        <v>0</v>
      </c>
      <c r="Q484" t="n">
        <v>0</v>
      </c>
      <c r="R484" s="2" t="inlineStr"/>
    </row>
    <row r="485" ht="15" customHeight="1">
      <c r="A485" t="inlineStr">
        <is>
          <t>A 49389-2022</t>
        </is>
      </c>
      <c r="B485" s="1" t="n">
        <v>44861</v>
      </c>
      <c r="C485" s="1" t="n">
        <v>45626</v>
      </c>
      <c r="D485" t="inlineStr">
        <is>
          <t>JÄMTLANDS LÄN</t>
        </is>
      </c>
      <c r="E485" t="inlineStr">
        <is>
          <t>ÖSTERSUND</t>
        </is>
      </c>
      <c r="F485" t="inlineStr">
        <is>
          <t>Övriga Aktiebolag</t>
        </is>
      </c>
      <c r="G485" t="n">
        <v>19.2</v>
      </c>
      <c r="H485" t="n">
        <v>0</v>
      </c>
      <c r="I485" t="n">
        <v>0</v>
      </c>
      <c r="J485" t="n">
        <v>0</v>
      </c>
      <c r="K485" t="n">
        <v>0</v>
      </c>
      <c r="L485" t="n">
        <v>0</v>
      </c>
      <c r="M485" t="n">
        <v>0</v>
      </c>
      <c r="N485" t="n">
        <v>0</v>
      </c>
      <c r="O485" t="n">
        <v>0</v>
      </c>
      <c r="P485" t="n">
        <v>0</v>
      </c>
      <c r="Q485" t="n">
        <v>0</v>
      </c>
      <c r="R485" s="2" t="inlineStr"/>
    </row>
    <row r="486" ht="15" customHeight="1">
      <c r="A486" t="inlineStr">
        <is>
          <t>A 50932-2022</t>
        </is>
      </c>
      <c r="B486" s="1" t="n">
        <v>44867</v>
      </c>
      <c r="C486" s="1" t="n">
        <v>45626</v>
      </c>
      <c r="D486" t="inlineStr">
        <is>
          <t>JÄMTLANDS LÄN</t>
        </is>
      </c>
      <c r="E486" t="inlineStr">
        <is>
          <t>ÖSTERSUND</t>
        </is>
      </c>
      <c r="F486" t="inlineStr">
        <is>
          <t>Övriga Aktiebolag</t>
        </is>
      </c>
      <c r="G486" t="n">
        <v>3.9</v>
      </c>
      <c r="H486" t="n">
        <v>0</v>
      </c>
      <c r="I486" t="n">
        <v>0</v>
      </c>
      <c r="J486" t="n">
        <v>0</v>
      </c>
      <c r="K486" t="n">
        <v>0</v>
      </c>
      <c r="L486" t="n">
        <v>0</v>
      </c>
      <c r="M486" t="n">
        <v>0</v>
      </c>
      <c r="N486" t="n">
        <v>0</v>
      </c>
      <c r="O486" t="n">
        <v>0</v>
      </c>
      <c r="P486" t="n">
        <v>0</v>
      </c>
      <c r="Q486" t="n">
        <v>0</v>
      </c>
      <c r="R486" s="2" t="inlineStr"/>
    </row>
    <row r="487" ht="15" customHeight="1">
      <c r="A487" t="inlineStr">
        <is>
          <t>A 51164-2022</t>
        </is>
      </c>
      <c r="B487" s="1" t="n">
        <v>44868</v>
      </c>
      <c r="C487" s="1" t="n">
        <v>45626</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52155-2022</t>
        </is>
      </c>
      <c r="B488" s="1" t="n">
        <v>44873</v>
      </c>
      <c r="C488" s="1" t="n">
        <v>45626</v>
      </c>
      <c r="D488" t="inlineStr">
        <is>
          <t>JÄMTLANDS LÄN</t>
        </is>
      </c>
      <c r="E488" t="inlineStr">
        <is>
          <t>ÖSTERSUND</t>
        </is>
      </c>
      <c r="F488" t="inlineStr">
        <is>
          <t>Övriga Aktiebolag</t>
        </is>
      </c>
      <c r="G488" t="n">
        <v>3.4</v>
      </c>
      <c r="H488" t="n">
        <v>0</v>
      </c>
      <c r="I488" t="n">
        <v>0</v>
      </c>
      <c r="J488" t="n">
        <v>0</v>
      </c>
      <c r="K488" t="n">
        <v>0</v>
      </c>
      <c r="L488" t="n">
        <v>0</v>
      </c>
      <c r="M488" t="n">
        <v>0</v>
      </c>
      <c r="N488" t="n">
        <v>0</v>
      </c>
      <c r="O488" t="n">
        <v>0</v>
      </c>
      <c r="P488" t="n">
        <v>0</v>
      </c>
      <c r="Q488" t="n">
        <v>0</v>
      </c>
      <c r="R488" s="2" t="inlineStr"/>
    </row>
    <row r="489" ht="15" customHeight="1">
      <c r="A489" t="inlineStr">
        <is>
          <t>A 52898-2022</t>
        </is>
      </c>
      <c r="B489" s="1" t="n">
        <v>44875</v>
      </c>
      <c r="C489" s="1" t="n">
        <v>45626</v>
      </c>
      <c r="D489" t="inlineStr">
        <is>
          <t>JÄMTLANDS LÄN</t>
        </is>
      </c>
      <c r="E489" t="inlineStr">
        <is>
          <t>ÖSTERSUND</t>
        </is>
      </c>
      <c r="F489" t="inlineStr">
        <is>
          <t>Övriga Aktiebolag</t>
        </is>
      </c>
      <c r="G489" t="n">
        <v>12.1</v>
      </c>
      <c r="H489" t="n">
        <v>0</v>
      </c>
      <c r="I489" t="n">
        <v>0</v>
      </c>
      <c r="J489" t="n">
        <v>0</v>
      </c>
      <c r="K489" t="n">
        <v>0</v>
      </c>
      <c r="L489" t="n">
        <v>0</v>
      </c>
      <c r="M489" t="n">
        <v>0</v>
      </c>
      <c r="N489" t="n">
        <v>0</v>
      </c>
      <c r="O489" t="n">
        <v>0</v>
      </c>
      <c r="P489" t="n">
        <v>0</v>
      </c>
      <c r="Q489" t="n">
        <v>0</v>
      </c>
      <c r="R489" s="2" t="inlineStr"/>
    </row>
    <row r="490" ht="15" customHeight="1">
      <c r="A490" t="inlineStr">
        <is>
          <t>A 53802-2022</t>
        </is>
      </c>
      <c r="B490" s="1" t="n">
        <v>44875</v>
      </c>
      <c r="C490" s="1" t="n">
        <v>45626</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53764-2022</t>
        </is>
      </c>
      <c r="B491" s="1" t="n">
        <v>44875</v>
      </c>
      <c r="C491" s="1" t="n">
        <v>45626</v>
      </c>
      <c r="D491" t="inlineStr">
        <is>
          <t>JÄMTLANDS LÄN</t>
        </is>
      </c>
      <c r="E491" t="inlineStr">
        <is>
          <t>ÖSTERSUND</t>
        </is>
      </c>
      <c r="G491" t="n">
        <v>0.2</v>
      </c>
      <c r="H491" t="n">
        <v>0</v>
      </c>
      <c r="I491" t="n">
        <v>0</v>
      </c>
      <c r="J491" t="n">
        <v>0</v>
      </c>
      <c r="K491" t="n">
        <v>0</v>
      </c>
      <c r="L491" t="n">
        <v>0</v>
      </c>
      <c r="M491" t="n">
        <v>0</v>
      </c>
      <c r="N491" t="n">
        <v>0</v>
      </c>
      <c r="O491" t="n">
        <v>0</v>
      </c>
      <c r="P491" t="n">
        <v>0</v>
      </c>
      <c r="Q491" t="n">
        <v>0</v>
      </c>
      <c r="R491" s="2" t="inlineStr"/>
    </row>
    <row r="492" ht="15" customHeight="1">
      <c r="A492" t="inlineStr">
        <is>
          <t>A 53807-2022</t>
        </is>
      </c>
      <c r="B492" s="1" t="n">
        <v>44875</v>
      </c>
      <c r="C492" s="1" t="n">
        <v>45626</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53453-2022</t>
        </is>
      </c>
      <c r="B493" s="1" t="n">
        <v>44879</v>
      </c>
      <c r="C493" s="1" t="n">
        <v>45626</v>
      </c>
      <c r="D493" t="inlineStr">
        <is>
          <t>JÄMTLANDS LÄN</t>
        </is>
      </c>
      <c r="E493" t="inlineStr">
        <is>
          <t>ÖSTERSUND</t>
        </is>
      </c>
      <c r="G493" t="n">
        <v>22.2</v>
      </c>
      <c r="H493" t="n">
        <v>0</v>
      </c>
      <c r="I493" t="n">
        <v>0</v>
      </c>
      <c r="J493" t="n">
        <v>0</v>
      </c>
      <c r="K493" t="n">
        <v>0</v>
      </c>
      <c r="L493" t="n">
        <v>0</v>
      </c>
      <c r="M493" t="n">
        <v>0</v>
      </c>
      <c r="N493" t="n">
        <v>0</v>
      </c>
      <c r="O493" t="n">
        <v>0</v>
      </c>
      <c r="P493" t="n">
        <v>0</v>
      </c>
      <c r="Q493" t="n">
        <v>0</v>
      </c>
      <c r="R493" s="2" t="inlineStr"/>
    </row>
    <row r="494" ht="15" customHeight="1">
      <c r="A494" t="inlineStr">
        <is>
          <t>A 53556-2022</t>
        </is>
      </c>
      <c r="B494" s="1" t="n">
        <v>44879</v>
      </c>
      <c r="C494" s="1" t="n">
        <v>45626</v>
      </c>
      <c r="D494" t="inlineStr">
        <is>
          <t>JÄMTLANDS LÄN</t>
        </is>
      </c>
      <c r="E494" t="inlineStr">
        <is>
          <t>ÖSTERSUND</t>
        </is>
      </c>
      <c r="F494" t="inlineStr">
        <is>
          <t>Övriga Aktiebolag</t>
        </is>
      </c>
      <c r="G494" t="n">
        <v>3.5</v>
      </c>
      <c r="H494" t="n">
        <v>0</v>
      </c>
      <c r="I494" t="n">
        <v>0</v>
      </c>
      <c r="J494" t="n">
        <v>0</v>
      </c>
      <c r="K494" t="n">
        <v>0</v>
      </c>
      <c r="L494" t="n">
        <v>0</v>
      </c>
      <c r="M494" t="n">
        <v>0</v>
      </c>
      <c r="N494" t="n">
        <v>0</v>
      </c>
      <c r="O494" t="n">
        <v>0</v>
      </c>
      <c r="P494" t="n">
        <v>0</v>
      </c>
      <c r="Q494" t="n">
        <v>0</v>
      </c>
      <c r="R494" s="2" t="inlineStr"/>
    </row>
    <row r="495" ht="15" customHeight="1">
      <c r="A495" t="inlineStr">
        <is>
          <t>A 53714-2022</t>
        </is>
      </c>
      <c r="B495" s="1" t="n">
        <v>44880</v>
      </c>
      <c r="C495" s="1" t="n">
        <v>45626</v>
      </c>
      <c r="D495" t="inlineStr">
        <is>
          <t>JÄMTLANDS LÄN</t>
        </is>
      </c>
      <c r="E495" t="inlineStr">
        <is>
          <t>ÖSTERSUND</t>
        </is>
      </c>
      <c r="G495" t="n">
        <v>1.3</v>
      </c>
      <c r="H495" t="n">
        <v>0</v>
      </c>
      <c r="I495" t="n">
        <v>0</v>
      </c>
      <c r="J495" t="n">
        <v>0</v>
      </c>
      <c r="K495" t="n">
        <v>0</v>
      </c>
      <c r="L495" t="n">
        <v>0</v>
      </c>
      <c r="M495" t="n">
        <v>0</v>
      </c>
      <c r="N495" t="n">
        <v>0</v>
      </c>
      <c r="O495" t="n">
        <v>0</v>
      </c>
      <c r="P495" t="n">
        <v>0</v>
      </c>
      <c r="Q495" t="n">
        <v>0</v>
      </c>
      <c r="R495" s="2" t="inlineStr"/>
    </row>
    <row r="496" ht="15" customHeight="1">
      <c r="A496" t="inlineStr">
        <is>
          <t>A 54712-2022</t>
        </is>
      </c>
      <c r="B496" s="1" t="n">
        <v>44883</v>
      </c>
      <c r="C496" s="1" t="n">
        <v>45626</v>
      </c>
      <c r="D496" t="inlineStr">
        <is>
          <t>JÄMTLANDS LÄN</t>
        </is>
      </c>
      <c r="E496" t="inlineStr">
        <is>
          <t>ÖSTERSUND</t>
        </is>
      </c>
      <c r="F496" t="inlineStr">
        <is>
          <t>Övriga Aktiebolag</t>
        </is>
      </c>
      <c r="G496" t="n">
        <v>1.3</v>
      </c>
      <c r="H496" t="n">
        <v>0</v>
      </c>
      <c r="I496" t="n">
        <v>0</v>
      </c>
      <c r="J496" t="n">
        <v>0</v>
      </c>
      <c r="K496" t="n">
        <v>0</v>
      </c>
      <c r="L496" t="n">
        <v>0</v>
      </c>
      <c r="M496" t="n">
        <v>0</v>
      </c>
      <c r="N496" t="n">
        <v>0</v>
      </c>
      <c r="O496" t="n">
        <v>0</v>
      </c>
      <c r="P496" t="n">
        <v>0</v>
      </c>
      <c r="Q496" t="n">
        <v>0</v>
      </c>
      <c r="R496" s="2" t="inlineStr"/>
    </row>
    <row r="497" ht="15" customHeight="1">
      <c r="A497" t="inlineStr">
        <is>
          <t>A 54663-2022</t>
        </is>
      </c>
      <c r="B497" s="1" t="n">
        <v>44883</v>
      </c>
      <c r="C497" s="1" t="n">
        <v>45626</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55102-2022</t>
        </is>
      </c>
      <c r="B498" s="1" t="n">
        <v>44886</v>
      </c>
      <c r="C498" s="1" t="n">
        <v>45626</v>
      </c>
      <c r="D498" t="inlineStr">
        <is>
          <t>JÄMTLANDS LÄN</t>
        </is>
      </c>
      <c r="E498" t="inlineStr">
        <is>
          <t>ÖSTERSUND</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55008-2022</t>
        </is>
      </c>
      <c r="B499" s="1" t="n">
        <v>44886</v>
      </c>
      <c r="C499" s="1" t="n">
        <v>45626</v>
      </c>
      <c r="D499" t="inlineStr">
        <is>
          <t>JÄMTLANDS LÄN</t>
        </is>
      </c>
      <c r="E499" t="inlineStr">
        <is>
          <t>ÖSTERSUND</t>
        </is>
      </c>
      <c r="G499" t="n">
        <v>1.2</v>
      </c>
      <c r="H499" t="n">
        <v>0</v>
      </c>
      <c r="I499" t="n">
        <v>0</v>
      </c>
      <c r="J499" t="n">
        <v>0</v>
      </c>
      <c r="K499" t="n">
        <v>0</v>
      </c>
      <c r="L499" t="n">
        <v>0</v>
      </c>
      <c r="M499" t="n">
        <v>0</v>
      </c>
      <c r="N499" t="n">
        <v>0</v>
      </c>
      <c r="O499" t="n">
        <v>0</v>
      </c>
      <c r="P499" t="n">
        <v>0</v>
      </c>
      <c r="Q499" t="n">
        <v>0</v>
      </c>
      <c r="R499" s="2" t="inlineStr"/>
    </row>
    <row r="500" ht="15" customHeight="1">
      <c r="A500" t="inlineStr">
        <is>
          <t>A 55105-2022</t>
        </is>
      </c>
      <c r="B500" s="1" t="n">
        <v>44886</v>
      </c>
      <c r="C500" s="1" t="n">
        <v>45626</v>
      </c>
      <c r="D500" t="inlineStr">
        <is>
          <t>JÄMTLANDS LÄN</t>
        </is>
      </c>
      <c r="E500" t="inlineStr">
        <is>
          <t>ÖSTERSUND</t>
        </is>
      </c>
      <c r="F500" t="inlineStr">
        <is>
          <t>Övriga Aktiebolag</t>
        </is>
      </c>
      <c r="G500" t="n">
        <v>2.4</v>
      </c>
      <c r="H500" t="n">
        <v>0</v>
      </c>
      <c r="I500" t="n">
        <v>0</v>
      </c>
      <c r="J500" t="n">
        <v>0</v>
      </c>
      <c r="K500" t="n">
        <v>0</v>
      </c>
      <c r="L500" t="n">
        <v>0</v>
      </c>
      <c r="M500" t="n">
        <v>0</v>
      </c>
      <c r="N500" t="n">
        <v>0</v>
      </c>
      <c r="O500" t="n">
        <v>0</v>
      </c>
      <c r="P500" t="n">
        <v>0</v>
      </c>
      <c r="Q500" t="n">
        <v>0</v>
      </c>
      <c r="R500" s="2" t="inlineStr"/>
      <c r="U500">
        <f>HYPERLINK("https://klasma.github.io/Logging_2380/knärot/A 55105-2022 karta knärot.png", "A 55105-2022")</f>
        <v/>
      </c>
      <c r="V500">
        <f>HYPERLINK("https://klasma.github.io/Logging_2380/klagomål/A 55105-2022 FSC-klagomål.docx", "A 55105-2022")</f>
        <v/>
      </c>
      <c r="W500">
        <f>HYPERLINK("https://klasma.github.io/Logging_2380/klagomålsmail/A 55105-2022 FSC-klagomål mail.docx", "A 55105-2022")</f>
        <v/>
      </c>
      <c r="X500">
        <f>HYPERLINK("https://klasma.github.io/Logging_2380/tillsyn/A 55105-2022 tillsynsbegäran.docx", "A 55105-2022")</f>
        <v/>
      </c>
      <c r="Y500">
        <f>HYPERLINK("https://klasma.github.io/Logging_2380/tillsynsmail/A 55105-2022 tillsynsbegäran mail.docx", "A 55105-2022")</f>
        <v/>
      </c>
    </row>
    <row r="501" ht="15" customHeight="1">
      <c r="A501" t="inlineStr">
        <is>
          <t>A 55371-2022</t>
        </is>
      </c>
      <c r="B501" s="1" t="n">
        <v>44887</v>
      </c>
      <c r="C501" s="1" t="n">
        <v>45626</v>
      </c>
      <c r="D501" t="inlineStr">
        <is>
          <t>JÄMTLANDS LÄN</t>
        </is>
      </c>
      <c r="E501" t="inlineStr">
        <is>
          <t>ÖSTERSUND</t>
        </is>
      </c>
      <c r="F501" t="inlineStr">
        <is>
          <t>Övriga Aktiebolag</t>
        </is>
      </c>
      <c r="G501" t="n">
        <v>15.4</v>
      </c>
      <c r="H501" t="n">
        <v>0</v>
      </c>
      <c r="I501" t="n">
        <v>0</v>
      </c>
      <c r="J501" t="n">
        <v>0</v>
      </c>
      <c r="K501" t="n">
        <v>0</v>
      </c>
      <c r="L501" t="n">
        <v>0</v>
      </c>
      <c r="M501" t="n">
        <v>0</v>
      </c>
      <c r="N501" t="n">
        <v>0</v>
      </c>
      <c r="O501" t="n">
        <v>0</v>
      </c>
      <c r="P501" t="n">
        <v>0</v>
      </c>
      <c r="Q501" t="n">
        <v>0</v>
      </c>
      <c r="R501" s="2" t="inlineStr"/>
    </row>
    <row r="502" ht="15" customHeight="1">
      <c r="A502" t="inlineStr">
        <is>
          <t>A 55448-2022</t>
        </is>
      </c>
      <c r="B502" s="1" t="n">
        <v>44887</v>
      </c>
      <c r="C502" s="1" t="n">
        <v>45626</v>
      </c>
      <c r="D502" t="inlineStr">
        <is>
          <t>JÄMTLANDS LÄN</t>
        </is>
      </c>
      <c r="E502" t="inlineStr">
        <is>
          <t>ÖSTERSUND</t>
        </is>
      </c>
      <c r="G502" t="n">
        <v>5.2</v>
      </c>
      <c r="H502" t="n">
        <v>0</v>
      </c>
      <c r="I502" t="n">
        <v>0</v>
      </c>
      <c r="J502" t="n">
        <v>0</v>
      </c>
      <c r="K502" t="n">
        <v>0</v>
      </c>
      <c r="L502" t="n">
        <v>0</v>
      </c>
      <c r="M502" t="n">
        <v>0</v>
      </c>
      <c r="N502" t="n">
        <v>0</v>
      </c>
      <c r="O502" t="n">
        <v>0</v>
      </c>
      <c r="P502" t="n">
        <v>0</v>
      </c>
      <c r="Q502" t="n">
        <v>0</v>
      </c>
      <c r="R502" s="2" t="inlineStr"/>
    </row>
    <row r="503" ht="15" customHeight="1">
      <c r="A503" t="inlineStr">
        <is>
          <t>A 56067-2022</t>
        </is>
      </c>
      <c r="B503" s="1" t="n">
        <v>44889</v>
      </c>
      <c r="C503" s="1" t="n">
        <v>45626</v>
      </c>
      <c r="D503" t="inlineStr">
        <is>
          <t>JÄMTLANDS LÄN</t>
        </is>
      </c>
      <c r="E503" t="inlineStr">
        <is>
          <t>ÖSTERSUND</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56148-2022</t>
        </is>
      </c>
      <c r="B504" s="1" t="n">
        <v>44889</v>
      </c>
      <c r="C504" s="1" t="n">
        <v>45626</v>
      </c>
      <c r="D504" t="inlineStr">
        <is>
          <t>JÄMTLANDS LÄN</t>
        </is>
      </c>
      <c r="E504" t="inlineStr">
        <is>
          <t>ÖSTERSUND</t>
        </is>
      </c>
      <c r="G504" t="n">
        <v>1.4</v>
      </c>
      <c r="H504" t="n">
        <v>0</v>
      </c>
      <c r="I504" t="n">
        <v>0</v>
      </c>
      <c r="J504" t="n">
        <v>0</v>
      </c>
      <c r="K504" t="n">
        <v>0</v>
      </c>
      <c r="L504" t="n">
        <v>0</v>
      </c>
      <c r="M504" t="n">
        <v>0</v>
      </c>
      <c r="N504" t="n">
        <v>0</v>
      </c>
      <c r="O504" t="n">
        <v>0</v>
      </c>
      <c r="P504" t="n">
        <v>0</v>
      </c>
      <c r="Q504" t="n">
        <v>0</v>
      </c>
      <c r="R504" s="2" t="inlineStr"/>
    </row>
    <row r="505" ht="15" customHeight="1">
      <c r="A505" t="inlineStr">
        <is>
          <t>A 56111-2022</t>
        </is>
      </c>
      <c r="B505" s="1" t="n">
        <v>44889</v>
      </c>
      <c r="C505" s="1" t="n">
        <v>45626</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57009-2022</t>
        </is>
      </c>
      <c r="B506" s="1" t="n">
        <v>44894</v>
      </c>
      <c r="C506" s="1" t="n">
        <v>45626</v>
      </c>
      <c r="D506" t="inlineStr">
        <is>
          <t>JÄMTLANDS LÄN</t>
        </is>
      </c>
      <c r="E506" t="inlineStr">
        <is>
          <t>ÖSTERSUND</t>
        </is>
      </c>
      <c r="G506" t="n">
        <v>1.4</v>
      </c>
      <c r="H506" t="n">
        <v>0</v>
      </c>
      <c r="I506" t="n">
        <v>0</v>
      </c>
      <c r="J506" t="n">
        <v>0</v>
      </c>
      <c r="K506" t="n">
        <v>0</v>
      </c>
      <c r="L506" t="n">
        <v>0</v>
      </c>
      <c r="M506" t="n">
        <v>0</v>
      </c>
      <c r="N506" t="n">
        <v>0</v>
      </c>
      <c r="O506" t="n">
        <v>0</v>
      </c>
      <c r="P506" t="n">
        <v>0</v>
      </c>
      <c r="Q506" t="n">
        <v>0</v>
      </c>
      <c r="R506" s="2" t="inlineStr"/>
    </row>
    <row r="507" ht="15" customHeight="1">
      <c r="A507" t="inlineStr">
        <is>
          <t>A 59266-2022</t>
        </is>
      </c>
      <c r="B507" s="1" t="n">
        <v>44904</v>
      </c>
      <c r="C507" s="1" t="n">
        <v>45626</v>
      </c>
      <c r="D507" t="inlineStr">
        <is>
          <t>JÄMTLANDS LÄN</t>
        </is>
      </c>
      <c r="E507" t="inlineStr">
        <is>
          <t>ÖSTERSUND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59648-2022</t>
        </is>
      </c>
      <c r="B508" s="1" t="n">
        <v>44907</v>
      </c>
      <c r="C508" s="1" t="n">
        <v>45626</v>
      </c>
      <c r="D508" t="inlineStr">
        <is>
          <t>JÄMTLANDS LÄN</t>
        </is>
      </c>
      <c r="E508" t="inlineStr">
        <is>
          <t>ÖSTERSUND</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59649-2022</t>
        </is>
      </c>
      <c r="B509" s="1" t="n">
        <v>44908</v>
      </c>
      <c r="C509" s="1" t="n">
        <v>45626</v>
      </c>
      <c r="D509" t="inlineStr">
        <is>
          <t>JÄMTLANDS LÄN</t>
        </is>
      </c>
      <c r="E509" t="inlineStr">
        <is>
          <t>ÖSTERSUND</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60174-2022</t>
        </is>
      </c>
      <c r="B510" s="1" t="n">
        <v>44910</v>
      </c>
      <c r="C510" s="1" t="n">
        <v>45626</v>
      </c>
      <c r="D510" t="inlineStr">
        <is>
          <t>JÄMTLANDS LÄN</t>
        </is>
      </c>
      <c r="E510" t="inlineStr">
        <is>
          <t>ÖSTERSUND</t>
        </is>
      </c>
      <c r="F510" t="inlineStr">
        <is>
          <t>SCA</t>
        </is>
      </c>
      <c r="G510" t="n">
        <v>0.5</v>
      </c>
      <c r="H510" t="n">
        <v>0</v>
      </c>
      <c r="I510" t="n">
        <v>0</v>
      </c>
      <c r="J510" t="n">
        <v>0</v>
      </c>
      <c r="K510" t="n">
        <v>0</v>
      </c>
      <c r="L510" t="n">
        <v>0</v>
      </c>
      <c r="M510" t="n">
        <v>0</v>
      </c>
      <c r="N510" t="n">
        <v>0</v>
      </c>
      <c r="O510" t="n">
        <v>0</v>
      </c>
      <c r="P510" t="n">
        <v>0</v>
      </c>
      <c r="Q510" t="n">
        <v>0</v>
      </c>
      <c r="R510" s="2" t="inlineStr"/>
    </row>
    <row r="511" ht="15" customHeight="1">
      <c r="A511" t="inlineStr">
        <is>
          <t>A 61256-2022</t>
        </is>
      </c>
      <c r="B511" s="1" t="n">
        <v>44909</v>
      </c>
      <c r="C511" s="1" t="n">
        <v>45626</v>
      </c>
      <c r="D511" t="inlineStr">
        <is>
          <t>JÄMTLANDS LÄN</t>
        </is>
      </c>
      <c r="E511" t="inlineStr">
        <is>
          <t>ÖSTERSUND</t>
        </is>
      </c>
      <c r="G511" t="n">
        <v>3.9</v>
      </c>
      <c r="H511" t="n">
        <v>0</v>
      </c>
      <c r="I511" t="n">
        <v>0</v>
      </c>
      <c r="J511" t="n">
        <v>0</v>
      </c>
      <c r="K511" t="n">
        <v>0</v>
      </c>
      <c r="L511" t="n">
        <v>0</v>
      </c>
      <c r="M511" t="n">
        <v>0</v>
      </c>
      <c r="N511" t="n">
        <v>0</v>
      </c>
      <c r="O511" t="n">
        <v>0</v>
      </c>
      <c r="P511" t="n">
        <v>0</v>
      </c>
      <c r="Q511" t="n">
        <v>0</v>
      </c>
      <c r="R511" s="2" t="inlineStr"/>
    </row>
    <row r="512" ht="15" customHeight="1">
      <c r="A512" t="inlineStr">
        <is>
          <t>A 60430-2022</t>
        </is>
      </c>
      <c r="B512" s="1" t="n">
        <v>44911</v>
      </c>
      <c r="C512" s="1" t="n">
        <v>45626</v>
      </c>
      <c r="D512" t="inlineStr">
        <is>
          <t>JÄMTLANDS LÄN</t>
        </is>
      </c>
      <c r="E512" t="inlineStr">
        <is>
          <t>ÖSTERSUND</t>
        </is>
      </c>
      <c r="F512" t="inlineStr">
        <is>
          <t>Övriga Aktiebolag</t>
        </is>
      </c>
      <c r="G512" t="n">
        <v>24.2</v>
      </c>
      <c r="H512" t="n">
        <v>0</v>
      </c>
      <c r="I512" t="n">
        <v>0</v>
      </c>
      <c r="J512" t="n">
        <v>0</v>
      </c>
      <c r="K512" t="n">
        <v>0</v>
      </c>
      <c r="L512" t="n">
        <v>0</v>
      </c>
      <c r="M512" t="n">
        <v>0</v>
      </c>
      <c r="N512" t="n">
        <v>0</v>
      </c>
      <c r="O512" t="n">
        <v>0</v>
      </c>
      <c r="P512" t="n">
        <v>0</v>
      </c>
      <c r="Q512" t="n">
        <v>0</v>
      </c>
      <c r="R512" s="2" t="inlineStr"/>
    </row>
    <row r="513" ht="15" customHeight="1">
      <c r="A513" t="inlineStr">
        <is>
          <t>A 60575-2022</t>
        </is>
      </c>
      <c r="B513" s="1" t="n">
        <v>44911</v>
      </c>
      <c r="C513" s="1" t="n">
        <v>45626</v>
      </c>
      <c r="D513" t="inlineStr">
        <is>
          <t>JÄMTLANDS LÄN</t>
        </is>
      </c>
      <c r="E513" t="inlineStr">
        <is>
          <t>ÖSTERSUND</t>
        </is>
      </c>
      <c r="G513" t="n">
        <v>1</v>
      </c>
      <c r="H513" t="n">
        <v>0</v>
      </c>
      <c r="I513" t="n">
        <v>0</v>
      </c>
      <c r="J513" t="n">
        <v>0</v>
      </c>
      <c r="K513" t="n">
        <v>0</v>
      </c>
      <c r="L513" t="n">
        <v>0</v>
      </c>
      <c r="M513" t="n">
        <v>0</v>
      </c>
      <c r="N513" t="n">
        <v>0</v>
      </c>
      <c r="O513" t="n">
        <v>0</v>
      </c>
      <c r="P513" t="n">
        <v>0</v>
      </c>
      <c r="Q513" t="n">
        <v>0</v>
      </c>
      <c r="R513" s="2" t="inlineStr"/>
    </row>
    <row r="514" ht="15" customHeight="1">
      <c r="A514" t="inlineStr">
        <is>
          <t>A 60674-2022</t>
        </is>
      </c>
      <c r="B514" s="1" t="n">
        <v>44911</v>
      </c>
      <c r="C514" s="1" t="n">
        <v>45626</v>
      </c>
      <c r="D514" t="inlineStr">
        <is>
          <t>JÄMTLANDS LÄN</t>
        </is>
      </c>
      <c r="E514" t="inlineStr">
        <is>
          <t>ÖSTERSUND</t>
        </is>
      </c>
      <c r="G514" t="n">
        <v>4.1</v>
      </c>
      <c r="H514" t="n">
        <v>0</v>
      </c>
      <c r="I514" t="n">
        <v>0</v>
      </c>
      <c r="J514" t="n">
        <v>0</v>
      </c>
      <c r="K514" t="n">
        <v>0</v>
      </c>
      <c r="L514" t="n">
        <v>0</v>
      </c>
      <c r="M514" t="n">
        <v>0</v>
      </c>
      <c r="N514" t="n">
        <v>0</v>
      </c>
      <c r="O514" t="n">
        <v>0</v>
      </c>
      <c r="P514" t="n">
        <v>0</v>
      </c>
      <c r="Q514" t="n">
        <v>0</v>
      </c>
      <c r="R514" s="2" t="inlineStr"/>
    </row>
    <row r="515" ht="15" customHeight="1">
      <c r="A515" t="inlineStr">
        <is>
          <t>A 60677-2022</t>
        </is>
      </c>
      <c r="B515" s="1" t="n">
        <v>44911</v>
      </c>
      <c r="C515" s="1" t="n">
        <v>45626</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60681-2022</t>
        </is>
      </c>
      <c r="B516" s="1" t="n">
        <v>44911</v>
      </c>
      <c r="C516" s="1" t="n">
        <v>45626</v>
      </c>
      <c r="D516" t="inlineStr">
        <is>
          <t>JÄMTLANDS LÄN</t>
        </is>
      </c>
      <c r="E516" t="inlineStr">
        <is>
          <t>ÖSTERSUND</t>
        </is>
      </c>
      <c r="G516" t="n">
        <v>0.7</v>
      </c>
      <c r="H516" t="n">
        <v>0</v>
      </c>
      <c r="I516" t="n">
        <v>0</v>
      </c>
      <c r="J516" t="n">
        <v>0</v>
      </c>
      <c r="K516" t="n">
        <v>0</v>
      </c>
      <c r="L516" t="n">
        <v>0</v>
      </c>
      <c r="M516" t="n">
        <v>0</v>
      </c>
      <c r="N516" t="n">
        <v>0</v>
      </c>
      <c r="O516" t="n">
        <v>0</v>
      </c>
      <c r="P516" t="n">
        <v>0</v>
      </c>
      <c r="Q516" t="n">
        <v>0</v>
      </c>
      <c r="R516" s="2" t="inlineStr"/>
    </row>
    <row r="517" ht="15" customHeight="1">
      <c r="A517" t="inlineStr">
        <is>
          <t>A 60678-2022</t>
        </is>
      </c>
      <c r="B517" s="1" t="n">
        <v>44911</v>
      </c>
      <c r="C517" s="1" t="n">
        <v>45626</v>
      </c>
      <c r="D517" t="inlineStr">
        <is>
          <t>JÄMTLANDS LÄN</t>
        </is>
      </c>
      <c r="E517" t="inlineStr">
        <is>
          <t>ÖSTERSUND</t>
        </is>
      </c>
      <c r="G517" t="n">
        <v>4.1</v>
      </c>
      <c r="H517" t="n">
        <v>0</v>
      </c>
      <c r="I517" t="n">
        <v>0</v>
      </c>
      <c r="J517" t="n">
        <v>0</v>
      </c>
      <c r="K517" t="n">
        <v>0</v>
      </c>
      <c r="L517" t="n">
        <v>0</v>
      </c>
      <c r="M517" t="n">
        <v>0</v>
      </c>
      <c r="N517" t="n">
        <v>0</v>
      </c>
      <c r="O517" t="n">
        <v>0</v>
      </c>
      <c r="P517" t="n">
        <v>0</v>
      </c>
      <c r="Q517" t="n">
        <v>0</v>
      </c>
      <c r="R517" s="2" t="inlineStr"/>
    </row>
    <row r="518" ht="15" customHeight="1">
      <c r="A518" t="inlineStr">
        <is>
          <t>A 60560-2022</t>
        </is>
      </c>
      <c r="B518" s="1" t="n">
        <v>44911</v>
      </c>
      <c r="C518" s="1" t="n">
        <v>45626</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60676-2022</t>
        </is>
      </c>
      <c r="B519" s="1" t="n">
        <v>44911</v>
      </c>
      <c r="C519" s="1" t="n">
        <v>45626</v>
      </c>
      <c r="D519" t="inlineStr">
        <is>
          <t>JÄMTLANDS LÄN</t>
        </is>
      </c>
      <c r="E519" t="inlineStr">
        <is>
          <t>ÖSTERSUND</t>
        </is>
      </c>
      <c r="G519" t="n">
        <v>4.1</v>
      </c>
      <c r="H519" t="n">
        <v>0</v>
      </c>
      <c r="I519" t="n">
        <v>0</v>
      </c>
      <c r="J519" t="n">
        <v>0</v>
      </c>
      <c r="K519" t="n">
        <v>0</v>
      </c>
      <c r="L519" t="n">
        <v>0</v>
      </c>
      <c r="M519" t="n">
        <v>0</v>
      </c>
      <c r="N519" t="n">
        <v>0</v>
      </c>
      <c r="O519" t="n">
        <v>0</v>
      </c>
      <c r="P519" t="n">
        <v>0</v>
      </c>
      <c r="Q519" t="n">
        <v>0</v>
      </c>
      <c r="R519" s="2" t="inlineStr"/>
    </row>
    <row r="520" ht="15" customHeight="1">
      <c r="A520" t="inlineStr">
        <is>
          <t>A 60680-2022</t>
        </is>
      </c>
      <c r="B520" s="1" t="n">
        <v>44911</v>
      </c>
      <c r="C520" s="1" t="n">
        <v>45626</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60623-2022</t>
        </is>
      </c>
      <c r="B521" s="1" t="n">
        <v>44911</v>
      </c>
      <c r="C521" s="1" t="n">
        <v>45626</v>
      </c>
      <c r="D521" t="inlineStr">
        <is>
          <t>JÄMTLANDS LÄN</t>
        </is>
      </c>
      <c r="E521" t="inlineStr">
        <is>
          <t>ÖSTERSUND</t>
        </is>
      </c>
      <c r="G521" t="n">
        <v>10.9</v>
      </c>
      <c r="H521" t="n">
        <v>0</v>
      </c>
      <c r="I521" t="n">
        <v>0</v>
      </c>
      <c r="J521" t="n">
        <v>0</v>
      </c>
      <c r="K521" t="n">
        <v>0</v>
      </c>
      <c r="L521" t="n">
        <v>0</v>
      </c>
      <c r="M521" t="n">
        <v>0</v>
      </c>
      <c r="N521" t="n">
        <v>0</v>
      </c>
      <c r="O521" t="n">
        <v>0</v>
      </c>
      <c r="P521" t="n">
        <v>0</v>
      </c>
      <c r="Q521" t="n">
        <v>0</v>
      </c>
      <c r="R521" s="2" t="inlineStr"/>
    </row>
    <row r="522" ht="15" customHeight="1">
      <c r="A522" t="inlineStr">
        <is>
          <t>A 60675-2022</t>
        </is>
      </c>
      <c r="B522" s="1" t="n">
        <v>44911</v>
      </c>
      <c r="C522" s="1" t="n">
        <v>45626</v>
      </c>
      <c r="D522" t="inlineStr">
        <is>
          <t>JÄMTLANDS LÄN</t>
        </is>
      </c>
      <c r="E522" t="inlineStr">
        <is>
          <t>ÖSTERSUND</t>
        </is>
      </c>
      <c r="G522" t="n">
        <v>4.3</v>
      </c>
      <c r="H522" t="n">
        <v>0</v>
      </c>
      <c r="I522" t="n">
        <v>0</v>
      </c>
      <c r="J522" t="n">
        <v>0</v>
      </c>
      <c r="K522" t="n">
        <v>0</v>
      </c>
      <c r="L522" t="n">
        <v>0</v>
      </c>
      <c r="M522" t="n">
        <v>0</v>
      </c>
      <c r="N522" t="n">
        <v>0</v>
      </c>
      <c r="O522" t="n">
        <v>0</v>
      </c>
      <c r="P522" t="n">
        <v>0</v>
      </c>
      <c r="Q522" t="n">
        <v>0</v>
      </c>
      <c r="R522" s="2" t="inlineStr"/>
    </row>
    <row r="523" ht="15" customHeight="1">
      <c r="A523" t="inlineStr">
        <is>
          <t>A 60679-2022</t>
        </is>
      </c>
      <c r="B523" s="1" t="n">
        <v>44911</v>
      </c>
      <c r="C523" s="1" t="n">
        <v>45626</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60767-2022</t>
        </is>
      </c>
      <c r="B524" s="1" t="n">
        <v>44914</v>
      </c>
      <c r="C524" s="1" t="n">
        <v>45626</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61653-2022</t>
        </is>
      </c>
      <c r="B525" s="1" t="n">
        <v>44916</v>
      </c>
      <c r="C525" s="1" t="n">
        <v>45626</v>
      </c>
      <c r="D525" t="inlineStr">
        <is>
          <t>JÄMTLANDS LÄN</t>
        </is>
      </c>
      <c r="E525" t="inlineStr">
        <is>
          <t>ÖSTERSUND</t>
        </is>
      </c>
      <c r="G525" t="n">
        <v>7.6</v>
      </c>
      <c r="H525" t="n">
        <v>0</v>
      </c>
      <c r="I525" t="n">
        <v>0</v>
      </c>
      <c r="J525" t="n">
        <v>0</v>
      </c>
      <c r="K525" t="n">
        <v>0</v>
      </c>
      <c r="L525" t="n">
        <v>0</v>
      </c>
      <c r="M525" t="n">
        <v>0</v>
      </c>
      <c r="N525" t="n">
        <v>0</v>
      </c>
      <c r="O525" t="n">
        <v>0</v>
      </c>
      <c r="P525" t="n">
        <v>0</v>
      </c>
      <c r="Q525" t="n">
        <v>0</v>
      </c>
      <c r="R525" s="2" t="inlineStr"/>
    </row>
    <row r="526" ht="15" customHeight="1">
      <c r="A526" t="inlineStr">
        <is>
          <t>A 62040-2022</t>
        </is>
      </c>
      <c r="B526" s="1" t="n">
        <v>44918</v>
      </c>
      <c r="C526" s="1" t="n">
        <v>45626</v>
      </c>
      <c r="D526" t="inlineStr">
        <is>
          <t>JÄMTLANDS LÄN</t>
        </is>
      </c>
      <c r="E526" t="inlineStr">
        <is>
          <t>ÖSTERSUND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62043-2022</t>
        </is>
      </c>
      <c r="B527" s="1" t="n">
        <v>44918</v>
      </c>
      <c r="C527" s="1" t="n">
        <v>45626</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62227-2022</t>
        </is>
      </c>
      <c r="B528" s="1" t="n">
        <v>44922</v>
      </c>
      <c r="C528" s="1" t="n">
        <v>45626</v>
      </c>
      <c r="D528" t="inlineStr">
        <is>
          <t>JÄMTLANDS LÄN</t>
        </is>
      </c>
      <c r="E528" t="inlineStr">
        <is>
          <t>ÖSTERSUND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62225-2022</t>
        </is>
      </c>
      <c r="B529" s="1" t="n">
        <v>44922</v>
      </c>
      <c r="C529" s="1" t="n">
        <v>45626</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62222-2022</t>
        </is>
      </c>
      <c r="B530" s="1" t="n">
        <v>44922</v>
      </c>
      <c r="C530" s="1" t="n">
        <v>45626</v>
      </c>
      <c r="D530" t="inlineStr">
        <is>
          <t>JÄMTLANDS LÄN</t>
        </is>
      </c>
      <c r="E530" t="inlineStr">
        <is>
          <t>ÖSTERSUND</t>
        </is>
      </c>
      <c r="G530" t="n">
        <v>4.1</v>
      </c>
      <c r="H530" t="n">
        <v>0</v>
      </c>
      <c r="I530" t="n">
        <v>0</v>
      </c>
      <c r="J530" t="n">
        <v>0</v>
      </c>
      <c r="K530" t="n">
        <v>0</v>
      </c>
      <c r="L530" t="n">
        <v>0</v>
      </c>
      <c r="M530" t="n">
        <v>0</v>
      </c>
      <c r="N530" t="n">
        <v>0</v>
      </c>
      <c r="O530" t="n">
        <v>0</v>
      </c>
      <c r="P530" t="n">
        <v>0</v>
      </c>
      <c r="Q530" t="n">
        <v>0</v>
      </c>
      <c r="R530" s="2" t="inlineStr"/>
    </row>
    <row r="531" ht="15" customHeight="1">
      <c r="A531" t="inlineStr">
        <is>
          <t>A 296-2023</t>
        </is>
      </c>
      <c r="B531" s="1" t="n">
        <v>44922</v>
      </c>
      <c r="C531" s="1" t="n">
        <v>45626</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12-2023</t>
        </is>
      </c>
      <c r="B532" s="1" t="n">
        <v>44927</v>
      </c>
      <c r="C532" s="1" t="n">
        <v>45626</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257-2023</t>
        </is>
      </c>
      <c r="B533" s="1" t="n">
        <v>44928</v>
      </c>
      <c r="C533" s="1" t="n">
        <v>45626</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55-2023</t>
        </is>
      </c>
      <c r="B534" s="1" t="n">
        <v>44928</v>
      </c>
      <c r="C534" s="1" t="n">
        <v>45626</v>
      </c>
      <c r="D534" t="inlineStr">
        <is>
          <t>JÄMTLANDS LÄN</t>
        </is>
      </c>
      <c r="E534" t="inlineStr">
        <is>
          <t>ÖSTERSUND</t>
        </is>
      </c>
      <c r="G534" t="n">
        <v>4</v>
      </c>
      <c r="H534" t="n">
        <v>0</v>
      </c>
      <c r="I534" t="n">
        <v>0</v>
      </c>
      <c r="J534" t="n">
        <v>0</v>
      </c>
      <c r="K534" t="n">
        <v>0</v>
      </c>
      <c r="L534" t="n">
        <v>0</v>
      </c>
      <c r="M534" t="n">
        <v>0</v>
      </c>
      <c r="N534" t="n">
        <v>0</v>
      </c>
      <c r="O534" t="n">
        <v>0</v>
      </c>
      <c r="P534" t="n">
        <v>0</v>
      </c>
      <c r="Q534" t="n">
        <v>0</v>
      </c>
      <c r="R534" s="2" t="inlineStr"/>
    </row>
    <row r="535" ht="15" customHeight="1">
      <c r="A535" t="inlineStr">
        <is>
          <t>A 1234-2023</t>
        </is>
      </c>
      <c r="B535" s="1" t="n">
        <v>44936</v>
      </c>
      <c r="C535" s="1" t="n">
        <v>45626</v>
      </c>
      <c r="D535" t="inlineStr">
        <is>
          <t>JÄMTLANDS LÄN</t>
        </is>
      </c>
      <c r="E535" t="inlineStr">
        <is>
          <t>ÖSTERSUND</t>
        </is>
      </c>
      <c r="G535" t="n">
        <v>2.3</v>
      </c>
      <c r="H535" t="n">
        <v>0</v>
      </c>
      <c r="I535" t="n">
        <v>0</v>
      </c>
      <c r="J535" t="n">
        <v>0</v>
      </c>
      <c r="K535" t="n">
        <v>0</v>
      </c>
      <c r="L535" t="n">
        <v>0</v>
      </c>
      <c r="M535" t="n">
        <v>0</v>
      </c>
      <c r="N535" t="n">
        <v>0</v>
      </c>
      <c r="O535" t="n">
        <v>0</v>
      </c>
      <c r="P535" t="n">
        <v>0</v>
      </c>
      <c r="Q535" t="n">
        <v>0</v>
      </c>
      <c r="R535" s="2" t="inlineStr"/>
    </row>
    <row r="536" ht="15" customHeight="1">
      <c r="A536" t="inlineStr">
        <is>
          <t>A 1893-2023</t>
        </is>
      </c>
      <c r="B536" s="1" t="n">
        <v>44937</v>
      </c>
      <c r="C536" s="1" t="n">
        <v>45626</v>
      </c>
      <c r="D536" t="inlineStr">
        <is>
          <t>JÄMTLANDS LÄN</t>
        </is>
      </c>
      <c r="E536" t="inlineStr">
        <is>
          <t>ÖSTERSUND</t>
        </is>
      </c>
      <c r="G536" t="n">
        <v>11</v>
      </c>
      <c r="H536" t="n">
        <v>0</v>
      </c>
      <c r="I536" t="n">
        <v>0</v>
      </c>
      <c r="J536" t="n">
        <v>0</v>
      </c>
      <c r="K536" t="n">
        <v>0</v>
      </c>
      <c r="L536" t="n">
        <v>0</v>
      </c>
      <c r="M536" t="n">
        <v>0</v>
      </c>
      <c r="N536" t="n">
        <v>0</v>
      </c>
      <c r="O536" t="n">
        <v>0</v>
      </c>
      <c r="P536" t="n">
        <v>0</v>
      </c>
      <c r="Q536" t="n">
        <v>0</v>
      </c>
      <c r="R536" s="2" t="inlineStr"/>
    </row>
    <row r="537" ht="15" customHeight="1">
      <c r="A537" t="inlineStr">
        <is>
          <t>A 2420-2023</t>
        </is>
      </c>
      <c r="B537" s="1" t="n">
        <v>44943</v>
      </c>
      <c r="C537" s="1" t="n">
        <v>45626</v>
      </c>
      <c r="D537" t="inlineStr">
        <is>
          <t>JÄMTLANDS LÄN</t>
        </is>
      </c>
      <c r="E537" t="inlineStr">
        <is>
          <t>ÖSTERSUND</t>
        </is>
      </c>
      <c r="G537" t="n">
        <v>0.9</v>
      </c>
      <c r="H537" t="n">
        <v>0</v>
      </c>
      <c r="I537" t="n">
        <v>0</v>
      </c>
      <c r="J537" t="n">
        <v>0</v>
      </c>
      <c r="K537" t="n">
        <v>0</v>
      </c>
      <c r="L537" t="n">
        <v>0</v>
      </c>
      <c r="M537" t="n">
        <v>0</v>
      </c>
      <c r="N537" t="n">
        <v>0</v>
      </c>
      <c r="O537" t="n">
        <v>0</v>
      </c>
      <c r="P537" t="n">
        <v>0</v>
      </c>
      <c r="Q537" t="n">
        <v>0</v>
      </c>
      <c r="R537" s="2" t="inlineStr"/>
    </row>
    <row r="538" ht="15" customHeight="1">
      <c r="A538" t="inlineStr">
        <is>
          <t>A 3339-2023</t>
        </is>
      </c>
      <c r="B538" s="1" t="n">
        <v>44949</v>
      </c>
      <c r="C538" s="1" t="n">
        <v>45626</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3749-2023</t>
        </is>
      </c>
      <c r="B539" s="1" t="n">
        <v>44949</v>
      </c>
      <c r="C539" s="1" t="n">
        <v>45626</v>
      </c>
      <c r="D539" t="inlineStr">
        <is>
          <t>JÄMTLANDS LÄN</t>
        </is>
      </c>
      <c r="E539" t="inlineStr">
        <is>
          <t>ÖSTERSUND</t>
        </is>
      </c>
      <c r="G539" t="n">
        <v>0.2</v>
      </c>
      <c r="H539" t="n">
        <v>0</v>
      </c>
      <c r="I539" t="n">
        <v>0</v>
      </c>
      <c r="J539" t="n">
        <v>0</v>
      </c>
      <c r="K539" t="n">
        <v>0</v>
      </c>
      <c r="L539" t="n">
        <v>0</v>
      </c>
      <c r="M539" t="n">
        <v>0</v>
      </c>
      <c r="N539" t="n">
        <v>0</v>
      </c>
      <c r="O539" t="n">
        <v>0</v>
      </c>
      <c r="P539" t="n">
        <v>0</v>
      </c>
      <c r="Q539" t="n">
        <v>0</v>
      </c>
      <c r="R539" s="2" t="inlineStr"/>
    </row>
    <row r="540" ht="15" customHeight="1">
      <c r="A540" t="inlineStr">
        <is>
          <t>A 3949-2023</t>
        </is>
      </c>
      <c r="B540" s="1" t="n">
        <v>44950</v>
      </c>
      <c r="C540" s="1" t="n">
        <v>45626</v>
      </c>
      <c r="D540" t="inlineStr">
        <is>
          <t>JÄMTLANDS LÄN</t>
        </is>
      </c>
      <c r="E540" t="inlineStr">
        <is>
          <t>ÖSTERSUND</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4134-2023</t>
        </is>
      </c>
      <c r="B541" s="1" t="n">
        <v>44952</v>
      </c>
      <c r="C541" s="1" t="n">
        <v>45626</v>
      </c>
      <c r="D541" t="inlineStr">
        <is>
          <t>JÄMTLANDS LÄN</t>
        </is>
      </c>
      <c r="E541" t="inlineStr">
        <is>
          <t>ÖSTERSUND</t>
        </is>
      </c>
      <c r="G541" t="n">
        <v>1.2</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45626</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4136-2023</t>
        </is>
      </c>
      <c r="B543" s="1" t="n">
        <v>44952</v>
      </c>
      <c r="C543" s="1" t="n">
        <v>45626</v>
      </c>
      <c r="D543" t="inlineStr">
        <is>
          <t>JÄMTLANDS LÄN</t>
        </is>
      </c>
      <c r="E543" t="inlineStr">
        <is>
          <t>ÖSTERSUND</t>
        </is>
      </c>
      <c r="G543" t="n">
        <v>0.7</v>
      </c>
      <c r="H543" t="n">
        <v>0</v>
      </c>
      <c r="I543" t="n">
        <v>0</v>
      </c>
      <c r="J543" t="n">
        <v>0</v>
      </c>
      <c r="K543" t="n">
        <v>0</v>
      </c>
      <c r="L543" t="n">
        <v>0</v>
      </c>
      <c r="M543" t="n">
        <v>0</v>
      </c>
      <c r="N543" t="n">
        <v>0</v>
      </c>
      <c r="O543" t="n">
        <v>0</v>
      </c>
      <c r="P543" t="n">
        <v>0</v>
      </c>
      <c r="Q543" t="n">
        <v>0</v>
      </c>
      <c r="R543" s="2" t="inlineStr"/>
    </row>
    <row r="544" ht="15" customHeight="1">
      <c r="A544" t="inlineStr">
        <is>
          <t>A 4345-2023</t>
        </is>
      </c>
      <c r="B544" s="1" t="n">
        <v>44954</v>
      </c>
      <c r="C544" s="1" t="n">
        <v>45626</v>
      </c>
      <c r="D544" t="inlineStr">
        <is>
          <t>JÄMTLANDS LÄN</t>
        </is>
      </c>
      <c r="E544" t="inlineStr">
        <is>
          <t>ÖSTERSUND</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5197-2023</t>
        </is>
      </c>
      <c r="B545" s="1" t="n">
        <v>44953</v>
      </c>
      <c r="C545" s="1" t="n">
        <v>45626</v>
      </c>
      <c r="D545" t="inlineStr">
        <is>
          <t>JÄMTLANDS LÄN</t>
        </is>
      </c>
      <c r="E545" t="inlineStr">
        <is>
          <t>ÖSTERSUND</t>
        </is>
      </c>
      <c r="G545" t="n">
        <v>1.5</v>
      </c>
      <c r="H545" t="n">
        <v>0</v>
      </c>
      <c r="I545" t="n">
        <v>0</v>
      </c>
      <c r="J545" t="n">
        <v>0</v>
      </c>
      <c r="K545" t="n">
        <v>0</v>
      </c>
      <c r="L545" t="n">
        <v>0</v>
      </c>
      <c r="M545" t="n">
        <v>0</v>
      </c>
      <c r="N545" t="n">
        <v>0</v>
      </c>
      <c r="O545" t="n">
        <v>0</v>
      </c>
      <c r="P545" t="n">
        <v>0</v>
      </c>
      <c r="Q545" t="n">
        <v>0</v>
      </c>
      <c r="R545" s="2" t="inlineStr"/>
    </row>
    <row r="546" ht="15" customHeight="1">
      <c r="A546" t="inlineStr">
        <is>
          <t>A 4872-2023</t>
        </is>
      </c>
      <c r="B546" s="1" t="n">
        <v>44957</v>
      </c>
      <c r="C546" s="1" t="n">
        <v>45626</v>
      </c>
      <c r="D546" t="inlineStr">
        <is>
          <t>JÄMTLANDS LÄN</t>
        </is>
      </c>
      <c r="E546" t="inlineStr">
        <is>
          <t>ÖSTERSUND</t>
        </is>
      </c>
      <c r="G546" t="n">
        <v>10.7</v>
      </c>
      <c r="H546" t="n">
        <v>0</v>
      </c>
      <c r="I546" t="n">
        <v>0</v>
      </c>
      <c r="J546" t="n">
        <v>0</v>
      </c>
      <c r="K546" t="n">
        <v>0</v>
      </c>
      <c r="L546" t="n">
        <v>0</v>
      </c>
      <c r="M546" t="n">
        <v>0</v>
      </c>
      <c r="N546" t="n">
        <v>0</v>
      </c>
      <c r="O546" t="n">
        <v>0</v>
      </c>
      <c r="P546" t="n">
        <v>0</v>
      </c>
      <c r="Q546" t="n">
        <v>0</v>
      </c>
      <c r="R546" s="2" t="inlineStr"/>
    </row>
    <row r="547" ht="15" customHeight="1">
      <c r="A547" t="inlineStr">
        <is>
          <t>A 5951-2023</t>
        </is>
      </c>
      <c r="B547" s="1" t="n">
        <v>44963</v>
      </c>
      <c r="C547" s="1" t="n">
        <v>45626</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5950-2023</t>
        </is>
      </c>
      <c r="B548" s="1" t="n">
        <v>44963</v>
      </c>
      <c r="C548" s="1" t="n">
        <v>45626</v>
      </c>
      <c r="D548" t="inlineStr">
        <is>
          <t>JÄMTLANDS LÄN</t>
        </is>
      </c>
      <c r="E548" t="inlineStr">
        <is>
          <t>ÖSTERSUND</t>
        </is>
      </c>
      <c r="F548" t="inlineStr">
        <is>
          <t>SCA</t>
        </is>
      </c>
      <c r="G548" t="n">
        <v>3.9</v>
      </c>
      <c r="H548" t="n">
        <v>0</v>
      </c>
      <c r="I548" t="n">
        <v>0</v>
      </c>
      <c r="J548" t="n">
        <v>0</v>
      </c>
      <c r="K548" t="n">
        <v>0</v>
      </c>
      <c r="L548" t="n">
        <v>0</v>
      </c>
      <c r="M548" t="n">
        <v>0</v>
      </c>
      <c r="N548" t="n">
        <v>0</v>
      </c>
      <c r="O548" t="n">
        <v>0</v>
      </c>
      <c r="P548" t="n">
        <v>0</v>
      </c>
      <c r="Q548" t="n">
        <v>0</v>
      </c>
      <c r="R548" s="2" t="inlineStr"/>
    </row>
    <row r="549" ht="15" customHeight="1">
      <c r="A549" t="inlineStr">
        <is>
          <t>A 6341-2023</t>
        </is>
      </c>
      <c r="B549" s="1" t="n">
        <v>44965</v>
      </c>
      <c r="C549" s="1" t="n">
        <v>45626</v>
      </c>
      <c r="D549" t="inlineStr">
        <is>
          <t>JÄMTLANDS LÄN</t>
        </is>
      </c>
      <c r="E549" t="inlineStr">
        <is>
          <t>ÖSTERSUND</t>
        </is>
      </c>
      <c r="G549" t="n">
        <v>6</v>
      </c>
      <c r="H549" t="n">
        <v>0</v>
      </c>
      <c r="I549" t="n">
        <v>0</v>
      </c>
      <c r="J549" t="n">
        <v>0</v>
      </c>
      <c r="K549" t="n">
        <v>0</v>
      </c>
      <c r="L549" t="n">
        <v>0</v>
      </c>
      <c r="M549" t="n">
        <v>0</v>
      </c>
      <c r="N549" t="n">
        <v>0</v>
      </c>
      <c r="O549" t="n">
        <v>0</v>
      </c>
      <c r="P549" t="n">
        <v>0</v>
      </c>
      <c r="Q549" t="n">
        <v>0</v>
      </c>
      <c r="R549" s="2" t="inlineStr"/>
    </row>
    <row r="550" ht="15" customHeight="1">
      <c r="A550" t="inlineStr">
        <is>
          <t>A 7327-2023</t>
        </is>
      </c>
      <c r="B550" s="1" t="n">
        <v>44971</v>
      </c>
      <c r="C550" s="1" t="n">
        <v>45626</v>
      </c>
      <c r="D550" t="inlineStr">
        <is>
          <t>JÄMTLANDS LÄN</t>
        </is>
      </c>
      <c r="E550" t="inlineStr">
        <is>
          <t>ÖSTERSUND</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7983-2023</t>
        </is>
      </c>
      <c r="B551" s="1" t="n">
        <v>44970</v>
      </c>
      <c r="C551" s="1" t="n">
        <v>45626</v>
      </c>
      <c r="D551" t="inlineStr">
        <is>
          <t>JÄMTLANDS LÄN</t>
        </is>
      </c>
      <c r="E551" t="inlineStr">
        <is>
          <t>ÖSTERSUND</t>
        </is>
      </c>
      <c r="G551" t="n">
        <v>1.8</v>
      </c>
      <c r="H551" t="n">
        <v>0</v>
      </c>
      <c r="I551" t="n">
        <v>0</v>
      </c>
      <c r="J551" t="n">
        <v>0</v>
      </c>
      <c r="K551" t="n">
        <v>0</v>
      </c>
      <c r="L551" t="n">
        <v>0</v>
      </c>
      <c r="M551" t="n">
        <v>0</v>
      </c>
      <c r="N551" t="n">
        <v>0</v>
      </c>
      <c r="O551" t="n">
        <v>0</v>
      </c>
      <c r="P551" t="n">
        <v>0</v>
      </c>
      <c r="Q551" t="n">
        <v>0</v>
      </c>
      <c r="R551" s="2" t="inlineStr"/>
    </row>
    <row r="552" ht="15" customHeight="1">
      <c r="A552" t="inlineStr">
        <is>
          <t>A 8223-2023</t>
        </is>
      </c>
      <c r="B552" s="1" t="n">
        <v>44971</v>
      </c>
      <c r="C552" s="1" t="n">
        <v>45626</v>
      </c>
      <c r="D552" t="inlineStr">
        <is>
          <t>JÄMTLANDS LÄN</t>
        </is>
      </c>
      <c r="E552" t="inlineStr">
        <is>
          <t>ÖSTERSUND</t>
        </is>
      </c>
      <c r="G552" t="n">
        <v>7.6</v>
      </c>
      <c r="H552" t="n">
        <v>0</v>
      </c>
      <c r="I552" t="n">
        <v>0</v>
      </c>
      <c r="J552" t="n">
        <v>0</v>
      </c>
      <c r="K552" t="n">
        <v>0</v>
      </c>
      <c r="L552" t="n">
        <v>0</v>
      </c>
      <c r="M552" t="n">
        <v>0</v>
      </c>
      <c r="N552" t="n">
        <v>0</v>
      </c>
      <c r="O552" t="n">
        <v>0</v>
      </c>
      <c r="P552" t="n">
        <v>0</v>
      </c>
      <c r="Q552" t="n">
        <v>0</v>
      </c>
      <c r="R552" s="2" t="inlineStr"/>
    </row>
    <row r="553" ht="15" customHeight="1">
      <c r="A553" t="inlineStr">
        <is>
          <t>A 8423-2023</t>
        </is>
      </c>
      <c r="B553" s="1" t="n">
        <v>44977</v>
      </c>
      <c r="C553" s="1" t="n">
        <v>45626</v>
      </c>
      <c r="D553" t="inlineStr">
        <is>
          <t>JÄMTLANDS LÄN</t>
        </is>
      </c>
      <c r="E553" t="inlineStr">
        <is>
          <t>ÖSTERSUND</t>
        </is>
      </c>
      <c r="F553" t="inlineStr">
        <is>
          <t>Övriga Aktiebolag</t>
        </is>
      </c>
      <c r="G553" t="n">
        <v>53.1</v>
      </c>
      <c r="H553" t="n">
        <v>0</v>
      </c>
      <c r="I553" t="n">
        <v>0</v>
      </c>
      <c r="J553" t="n">
        <v>0</v>
      </c>
      <c r="K553" t="n">
        <v>0</v>
      </c>
      <c r="L553" t="n">
        <v>0</v>
      </c>
      <c r="M553" t="n">
        <v>0</v>
      </c>
      <c r="N553" t="n">
        <v>0</v>
      </c>
      <c r="O553" t="n">
        <v>0</v>
      </c>
      <c r="P553" t="n">
        <v>0</v>
      </c>
      <c r="Q553" t="n">
        <v>0</v>
      </c>
      <c r="R553" s="2" t="inlineStr"/>
    </row>
    <row r="554" ht="15" customHeight="1">
      <c r="A554" t="inlineStr">
        <is>
          <t>A 8675-2023</t>
        </is>
      </c>
      <c r="B554" s="1" t="n">
        <v>44978</v>
      </c>
      <c r="C554" s="1" t="n">
        <v>45626</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10306-2023</t>
        </is>
      </c>
      <c r="B555" s="1" t="n">
        <v>44986</v>
      </c>
      <c r="C555" s="1" t="n">
        <v>45626</v>
      </c>
      <c r="D555" t="inlineStr">
        <is>
          <t>JÄMTLANDS LÄN</t>
        </is>
      </c>
      <c r="E555" t="inlineStr">
        <is>
          <t>ÖSTERSUND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10308-2023</t>
        </is>
      </c>
      <c r="B556" s="1" t="n">
        <v>44986</v>
      </c>
      <c r="C556" s="1" t="n">
        <v>45626</v>
      </c>
      <c r="D556" t="inlineStr">
        <is>
          <t>JÄMTLANDS LÄN</t>
        </is>
      </c>
      <c r="E556" t="inlineStr">
        <is>
          <t>ÖSTERSUND</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10307-2023</t>
        </is>
      </c>
      <c r="B557" s="1" t="n">
        <v>44986</v>
      </c>
      <c r="C557" s="1" t="n">
        <v>45626</v>
      </c>
      <c r="D557" t="inlineStr">
        <is>
          <t>JÄMTLANDS LÄN</t>
        </is>
      </c>
      <c r="E557" t="inlineStr">
        <is>
          <t>ÖSTERSUND</t>
        </is>
      </c>
      <c r="F557" t="inlineStr">
        <is>
          <t>SCA</t>
        </is>
      </c>
      <c r="G557" t="n">
        <v>4.6</v>
      </c>
      <c r="H557" t="n">
        <v>0</v>
      </c>
      <c r="I557" t="n">
        <v>0</v>
      </c>
      <c r="J557" t="n">
        <v>0</v>
      </c>
      <c r="K557" t="n">
        <v>0</v>
      </c>
      <c r="L557" t="n">
        <v>0</v>
      </c>
      <c r="M557" t="n">
        <v>0</v>
      </c>
      <c r="N557" t="n">
        <v>0</v>
      </c>
      <c r="O557" t="n">
        <v>0</v>
      </c>
      <c r="P557" t="n">
        <v>0</v>
      </c>
      <c r="Q557" t="n">
        <v>0</v>
      </c>
      <c r="R557" s="2" t="inlineStr"/>
    </row>
    <row r="558" ht="15" customHeight="1">
      <c r="A558" t="inlineStr">
        <is>
          <t>A 10315-2023</t>
        </is>
      </c>
      <c r="B558" s="1" t="n">
        <v>44986</v>
      </c>
      <c r="C558" s="1" t="n">
        <v>45626</v>
      </c>
      <c r="D558" t="inlineStr">
        <is>
          <t>JÄMTLANDS LÄN</t>
        </is>
      </c>
      <c r="E558" t="inlineStr">
        <is>
          <t>ÖSTERSUND</t>
        </is>
      </c>
      <c r="F558" t="inlineStr">
        <is>
          <t>SCA</t>
        </is>
      </c>
      <c r="G558" t="n">
        <v>6.7</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45626</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11356-2023</t>
        </is>
      </c>
      <c r="B560" s="1" t="n">
        <v>44993</v>
      </c>
      <c r="C560" s="1" t="n">
        <v>45626</v>
      </c>
      <c r="D560" t="inlineStr">
        <is>
          <t>JÄMTLANDS LÄN</t>
        </is>
      </c>
      <c r="E560" t="inlineStr">
        <is>
          <t>ÖSTERSUND</t>
        </is>
      </c>
      <c r="G560" t="n">
        <v>8.1</v>
      </c>
      <c r="H560" t="n">
        <v>0</v>
      </c>
      <c r="I560" t="n">
        <v>0</v>
      </c>
      <c r="J560" t="n">
        <v>0</v>
      </c>
      <c r="K560" t="n">
        <v>0</v>
      </c>
      <c r="L560" t="n">
        <v>0</v>
      </c>
      <c r="M560" t="n">
        <v>0</v>
      </c>
      <c r="N560" t="n">
        <v>0</v>
      </c>
      <c r="O560" t="n">
        <v>0</v>
      </c>
      <c r="P560" t="n">
        <v>0</v>
      </c>
      <c r="Q560" t="n">
        <v>0</v>
      </c>
      <c r="R560" s="2" t="inlineStr"/>
    </row>
    <row r="561" ht="15" customHeight="1">
      <c r="A561" t="inlineStr">
        <is>
          <t>A 12821-2023</t>
        </is>
      </c>
      <c r="B561" s="1" t="n">
        <v>45000</v>
      </c>
      <c r="C561" s="1" t="n">
        <v>45626</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13166-2023</t>
        </is>
      </c>
      <c r="B562" s="1" t="n">
        <v>45002</v>
      </c>
      <c r="C562" s="1" t="n">
        <v>45626</v>
      </c>
      <c r="D562" t="inlineStr">
        <is>
          <t>JÄMTLANDS LÄN</t>
        </is>
      </c>
      <c r="E562" t="inlineStr">
        <is>
          <t>ÖSTERSUND</t>
        </is>
      </c>
      <c r="F562" t="inlineStr">
        <is>
          <t>Övriga statliga verk och myndigheter</t>
        </is>
      </c>
      <c r="G562" t="n">
        <v>1</v>
      </c>
      <c r="H562" t="n">
        <v>0</v>
      </c>
      <c r="I562" t="n">
        <v>0</v>
      </c>
      <c r="J562" t="n">
        <v>0</v>
      </c>
      <c r="K562" t="n">
        <v>0</v>
      </c>
      <c r="L562" t="n">
        <v>0</v>
      </c>
      <c r="M562" t="n">
        <v>0</v>
      </c>
      <c r="N562" t="n">
        <v>0</v>
      </c>
      <c r="O562" t="n">
        <v>0</v>
      </c>
      <c r="P562" t="n">
        <v>0</v>
      </c>
      <c r="Q562" t="n">
        <v>0</v>
      </c>
      <c r="R562" s="2" t="inlineStr"/>
    </row>
    <row r="563" ht="15" customHeight="1">
      <c r="A563" t="inlineStr">
        <is>
          <t>A 13148-2023</t>
        </is>
      </c>
      <c r="B563" s="1" t="n">
        <v>45002</v>
      </c>
      <c r="C563" s="1" t="n">
        <v>45626</v>
      </c>
      <c r="D563" t="inlineStr">
        <is>
          <t>JÄMTLANDS LÄN</t>
        </is>
      </c>
      <c r="E563" t="inlineStr">
        <is>
          <t>ÖSTERSUND</t>
        </is>
      </c>
      <c r="G563" t="n">
        <v>1.8</v>
      </c>
      <c r="H563" t="n">
        <v>0</v>
      </c>
      <c r="I563" t="n">
        <v>0</v>
      </c>
      <c r="J563" t="n">
        <v>0</v>
      </c>
      <c r="K563" t="n">
        <v>0</v>
      </c>
      <c r="L563" t="n">
        <v>0</v>
      </c>
      <c r="M563" t="n">
        <v>0</v>
      </c>
      <c r="N563" t="n">
        <v>0</v>
      </c>
      <c r="O563" t="n">
        <v>0</v>
      </c>
      <c r="P563" t="n">
        <v>0</v>
      </c>
      <c r="Q563" t="n">
        <v>0</v>
      </c>
      <c r="R563" s="2" t="inlineStr"/>
    </row>
    <row r="564" ht="15" customHeight="1">
      <c r="A564" t="inlineStr">
        <is>
          <t>A 13152-2023</t>
        </is>
      </c>
      <c r="B564" s="1" t="n">
        <v>45002</v>
      </c>
      <c r="C564" s="1" t="n">
        <v>45626</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13282-2023</t>
        </is>
      </c>
      <c r="B565" s="1" t="n">
        <v>45004</v>
      </c>
      <c r="C565" s="1" t="n">
        <v>45626</v>
      </c>
      <c r="D565" t="inlineStr">
        <is>
          <t>JÄMTLANDS LÄN</t>
        </is>
      </c>
      <c r="E565" t="inlineStr">
        <is>
          <t>ÖSTERSUND</t>
        </is>
      </c>
      <c r="G565" t="n">
        <v>28.5</v>
      </c>
      <c r="H565" t="n">
        <v>0</v>
      </c>
      <c r="I565" t="n">
        <v>0</v>
      </c>
      <c r="J565" t="n">
        <v>0</v>
      </c>
      <c r="K565" t="n">
        <v>0</v>
      </c>
      <c r="L565" t="n">
        <v>0</v>
      </c>
      <c r="M565" t="n">
        <v>0</v>
      </c>
      <c r="N565" t="n">
        <v>0</v>
      </c>
      <c r="O565" t="n">
        <v>0</v>
      </c>
      <c r="P565" t="n">
        <v>0</v>
      </c>
      <c r="Q565" t="n">
        <v>0</v>
      </c>
      <c r="R565" s="2" t="inlineStr"/>
    </row>
    <row r="566" ht="15" customHeight="1">
      <c r="A566" t="inlineStr">
        <is>
          <t>A 13921-2023</t>
        </is>
      </c>
      <c r="B566" s="1" t="n">
        <v>45008</v>
      </c>
      <c r="C566" s="1" t="n">
        <v>45626</v>
      </c>
      <c r="D566" t="inlineStr">
        <is>
          <t>JÄMTLANDS LÄN</t>
        </is>
      </c>
      <c r="E566" t="inlineStr">
        <is>
          <t>ÖSTERSUND</t>
        </is>
      </c>
      <c r="G566" t="n">
        <v>0.3</v>
      </c>
      <c r="H566" t="n">
        <v>0</v>
      </c>
      <c r="I566" t="n">
        <v>0</v>
      </c>
      <c r="J566" t="n">
        <v>0</v>
      </c>
      <c r="K566" t="n">
        <v>0</v>
      </c>
      <c r="L566" t="n">
        <v>0</v>
      </c>
      <c r="M566" t="n">
        <v>0</v>
      </c>
      <c r="N566" t="n">
        <v>0</v>
      </c>
      <c r="O566" t="n">
        <v>0</v>
      </c>
      <c r="P566" t="n">
        <v>0</v>
      </c>
      <c r="Q566" t="n">
        <v>0</v>
      </c>
      <c r="R566" s="2" t="inlineStr"/>
    </row>
    <row r="567" ht="15" customHeight="1">
      <c r="A567" t="inlineStr">
        <is>
          <t>A 14520-2023</t>
        </is>
      </c>
      <c r="B567" s="1" t="n">
        <v>45012</v>
      </c>
      <c r="C567" s="1" t="n">
        <v>45626</v>
      </c>
      <c r="D567" t="inlineStr">
        <is>
          <t>JÄMTLANDS LÄN</t>
        </is>
      </c>
      <c r="E567" t="inlineStr">
        <is>
          <t>ÖSTERSUND</t>
        </is>
      </c>
      <c r="G567" t="n">
        <v>1.4</v>
      </c>
      <c r="H567" t="n">
        <v>0</v>
      </c>
      <c r="I567" t="n">
        <v>0</v>
      </c>
      <c r="J567" t="n">
        <v>0</v>
      </c>
      <c r="K567" t="n">
        <v>0</v>
      </c>
      <c r="L567" t="n">
        <v>0</v>
      </c>
      <c r="M567" t="n">
        <v>0</v>
      </c>
      <c r="N567" t="n">
        <v>0</v>
      </c>
      <c r="O567" t="n">
        <v>0</v>
      </c>
      <c r="P567" t="n">
        <v>0</v>
      </c>
      <c r="Q567" t="n">
        <v>0</v>
      </c>
      <c r="R567" s="2" t="inlineStr"/>
    </row>
    <row r="568" ht="15" customHeight="1">
      <c r="A568" t="inlineStr">
        <is>
          <t>A 14523-2023</t>
        </is>
      </c>
      <c r="B568" s="1" t="n">
        <v>45012</v>
      </c>
      <c r="C568" s="1" t="n">
        <v>45626</v>
      </c>
      <c r="D568" t="inlineStr">
        <is>
          <t>JÄMTLANDS LÄN</t>
        </is>
      </c>
      <c r="E568" t="inlineStr">
        <is>
          <t>ÖSTERSUND</t>
        </is>
      </c>
      <c r="G568" t="n">
        <v>4.5</v>
      </c>
      <c r="H568" t="n">
        <v>0</v>
      </c>
      <c r="I568" t="n">
        <v>0</v>
      </c>
      <c r="J568" t="n">
        <v>0</v>
      </c>
      <c r="K568" t="n">
        <v>0</v>
      </c>
      <c r="L568" t="n">
        <v>0</v>
      </c>
      <c r="M568" t="n">
        <v>0</v>
      </c>
      <c r="N568" t="n">
        <v>0</v>
      </c>
      <c r="O568" t="n">
        <v>0</v>
      </c>
      <c r="P568" t="n">
        <v>0</v>
      </c>
      <c r="Q568" t="n">
        <v>0</v>
      </c>
      <c r="R568" s="2" t="inlineStr"/>
    </row>
    <row r="569" ht="15" customHeight="1">
      <c r="A569" t="inlineStr">
        <is>
          <t>A 14521-2023</t>
        </is>
      </c>
      <c r="B569" s="1" t="n">
        <v>45013</v>
      </c>
      <c r="C569" s="1" t="n">
        <v>45626</v>
      </c>
      <c r="D569" t="inlineStr">
        <is>
          <t>JÄMTLANDS LÄN</t>
        </is>
      </c>
      <c r="E569" t="inlineStr">
        <is>
          <t>ÖSTERSUND</t>
        </is>
      </c>
      <c r="G569" t="n">
        <v>1.6</v>
      </c>
      <c r="H569" t="n">
        <v>0</v>
      </c>
      <c r="I569" t="n">
        <v>0</v>
      </c>
      <c r="J569" t="n">
        <v>0</v>
      </c>
      <c r="K569" t="n">
        <v>0</v>
      </c>
      <c r="L569" t="n">
        <v>0</v>
      </c>
      <c r="M569" t="n">
        <v>0</v>
      </c>
      <c r="N569" t="n">
        <v>0</v>
      </c>
      <c r="O569" t="n">
        <v>0</v>
      </c>
      <c r="P569" t="n">
        <v>0</v>
      </c>
      <c r="Q569" t="n">
        <v>0</v>
      </c>
      <c r="R569" s="2" t="inlineStr"/>
    </row>
    <row r="570" ht="15" customHeight="1">
      <c r="A570" t="inlineStr">
        <is>
          <t>A 14518-2023</t>
        </is>
      </c>
      <c r="B570" s="1" t="n">
        <v>45012</v>
      </c>
      <c r="C570" s="1" t="n">
        <v>45626</v>
      </c>
      <c r="D570" t="inlineStr">
        <is>
          <t>JÄMTLANDS LÄN</t>
        </is>
      </c>
      <c r="E570" t="inlineStr">
        <is>
          <t>ÖSTERSUND</t>
        </is>
      </c>
      <c r="G570" t="n">
        <v>14.4</v>
      </c>
      <c r="H570" t="n">
        <v>0</v>
      </c>
      <c r="I570" t="n">
        <v>0</v>
      </c>
      <c r="J570" t="n">
        <v>0</v>
      </c>
      <c r="K570" t="n">
        <v>0</v>
      </c>
      <c r="L570" t="n">
        <v>0</v>
      </c>
      <c r="M570" t="n">
        <v>0</v>
      </c>
      <c r="N570" t="n">
        <v>0</v>
      </c>
      <c r="O570" t="n">
        <v>0</v>
      </c>
      <c r="P570" t="n">
        <v>0</v>
      </c>
      <c r="Q570" t="n">
        <v>0</v>
      </c>
      <c r="R570" s="2" t="inlineStr"/>
    </row>
    <row r="571" ht="15" customHeight="1">
      <c r="A571" t="inlineStr">
        <is>
          <t>A 15984-2023</t>
        </is>
      </c>
      <c r="B571" s="1" t="n">
        <v>45022</v>
      </c>
      <c r="C571" s="1" t="n">
        <v>45626</v>
      </c>
      <c r="D571" t="inlineStr">
        <is>
          <t>JÄMTLANDS LÄN</t>
        </is>
      </c>
      <c r="E571" t="inlineStr">
        <is>
          <t>ÖSTERSUND</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16666-2023</t>
        </is>
      </c>
      <c r="B572" s="1" t="n">
        <v>45028</v>
      </c>
      <c r="C572" s="1" t="n">
        <v>45626</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16682-2023</t>
        </is>
      </c>
      <c r="B573" s="1" t="n">
        <v>45028</v>
      </c>
      <c r="C573" s="1" t="n">
        <v>45626</v>
      </c>
      <c r="D573" t="inlineStr">
        <is>
          <t>JÄMTLANDS LÄN</t>
        </is>
      </c>
      <c r="E573" t="inlineStr">
        <is>
          <t>ÖSTERSUND</t>
        </is>
      </c>
      <c r="G573" t="n">
        <v>7.9</v>
      </c>
      <c r="H573" t="n">
        <v>0</v>
      </c>
      <c r="I573" t="n">
        <v>0</v>
      </c>
      <c r="J573" t="n">
        <v>0</v>
      </c>
      <c r="K573" t="n">
        <v>0</v>
      </c>
      <c r="L573" t="n">
        <v>0</v>
      </c>
      <c r="M573" t="n">
        <v>0</v>
      </c>
      <c r="N573" t="n">
        <v>0</v>
      </c>
      <c r="O573" t="n">
        <v>0</v>
      </c>
      <c r="P573" t="n">
        <v>0</v>
      </c>
      <c r="Q573" t="n">
        <v>0</v>
      </c>
      <c r="R573" s="2" t="inlineStr"/>
    </row>
    <row r="574" ht="15" customHeight="1">
      <c r="A574" t="inlineStr">
        <is>
          <t>A 17225-2023</t>
        </is>
      </c>
      <c r="B574" s="1" t="n">
        <v>45035</v>
      </c>
      <c r="C574" s="1" t="n">
        <v>45626</v>
      </c>
      <c r="D574" t="inlineStr">
        <is>
          <t>JÄMTLANDS LÄN</t>
        </is>
      </c>
      <c r="E574" t="inlineStr">
        <is>
          <t>ÖSTERSUND</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19573-2023</t>
        </is>
      </c>
      <c r="B575" s="1" t="n">
        <v>45049</v>
      </c>
      <c r="C575" s="1" t="n">
        <v>45626</v>
      </c>
      <c r="D575" t="inlineStr">
        <is>
          <t>JÄMTLANDS LÄN</t>
        </is>
      </c>
      <c r="E575" t="inlineStr">
        <is>
          <t>ÖSTERSUND</t>
        </is>
      </c>
      <c r="G575" t="n">
        <v>4.6</v>
      </c>
      <c r="H575" t="n">
        <v>0</v>
      </c>
      <c r="I575" t="n">
        <v>0</v>
      </c>
      <c r="J575" t="n">
        <v>0</v>
      </c>
      <c r="K575" t="n">
        <v>0</v>
      </c>
      <c r="L575" t="n">
        <v>0</v>
      </c>
      <c r="M575" t="n">
        <v>0</v>
      </c>
      <c r="N575" t="n">
        <v>0</v>
      </c>
      <c r="O575" t="n">
        <v>0</v>
      </c>
      <c r="P575" t="n">
        <v>0</v>
      </c>
      <c r="Q575" t="n">
        <v>0</v>
      </c>
      <c r="R575" s="2" t="inlineStr"/>
    </row>
    <row r="576" ht="15" customHeight="1">
      <c r="A576" t="inlineStr">
        <is>
          <t>A 19750-2023</t>
        </is>
      </c>
      <c r="B576" s="1" t="n">
        <v>45050</v>
      </c>
      <c r="C576" s="1" t="n">
        <v>45626</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20606-2023</t>
        </is>
      </c>
      <c r="B577" s="1" t="n">
        <v>45057</v>
      </c>
      <c r="C577" s="1" t="n">
        <v>45626</v>
      </c>
      <c r="D577" t="inlineStr">
        <is>
          <t>JÄMTLANDS LÄN</t>
        </is>
      </c>
      <c r="E577" t="inlineStr">
        <is>
          <t>ÖSTERSUND</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20634-2023</t>
        </is>
      </c>
      <c r="B578" s="1" t="n">
        <v>45058</v>
      </c>
      <c r="C578" s="1" t="n">
        <v>45626</v>
      </c>
      <c r="D578" t="inlineStr">
        <is>
          <t>JÄMTLANDS LÄN</t>
        </is>
      </c>
      <c r="E578" t="inlineStr">
        <is>
          <t>ÖSTERSUND</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20588-2023</t>
        </is>
      </c>
      <c r="B579" s="1" t="n">
        <v>45057</v>
      </c>
      <c r="C579" s="1" t="n">
        <v>45626</v>
      </c>
      <c r="D579" t="inlineStr">
        <is>
          <t>JÄMTLANDS LÄN</t>
        </is>
      </c>
      <c r="E579" t="inlineStr">
        <is>
          <t>ÖSTERSUND</t>
        </is>
      </c>
      <c r="G579" t="n">
        <v>0.9</v>
      </c>
      <c r="H579" t="n">
        <v>0</v>
      </c>
      <c r="I579" t="n">
        <v>0</v>
      </c>
      <c r="J579" t="n">
        <v>0</v>
      </c>
      <c r="K579" t="n">
        <v>0</v>
      </c>
      <c r="L579" t="n">
        <v>0</v>
      </c>
      <c r="M579" t="n">
        <v>0</v>
      </c>
      <c r="N579" t="n">
        <v>0</v>
      </c>
      <c r="O579" t="n">
        <v>0</v>
      </c>
      <c r="P579" t="n">
        <v>0</v>
      </c>
      <c r="Q579" t="n">
        <v>0</v>
      </c>
      <c r="R579" s="2" t="inlineStr"/>
    </row>
    <row r="580" ht="15" customHeight="1">
      <c r="A580" t="inlineStr">
        <is>
          <t>A 20635-2023</t>
        </is>
      </c>
      <c r="B580" s="1" t="n">
        <v>45058</v>
      </c>
      <c r="C580" s="1" t="n">
        <v>45626</v>
      </c>
      <c r="D580" t="inlineStr">
        <is>
          <t>JÄMTLANDS LÄN</t>
        </is>
      </c>
      <c r="E580" t="inlineStr">
        <is>
          <t>ÖSTERSUND</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20633-2023</t>
        </is>
      </c>
      <c r="B581" s="1" t="n">
        <v>45058</v>
      </c>
      <c r="C581" s="1" t="n">
        <v>45626</v>
      </c>
      <c r="D581" t="inlineStr">
        <is>
          <t>JÄMTLANDS LÄN</t>
        </is>
      </c>
      <c r="E581" t="inlineStr">
        <is>
          <t>ÖSTERSUND</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20636-2023</t>
        </is>
      </c>
      <c r="B582" s="1" t="n">
        <v>45058</v>
      </c>
      <c r="C582" s="1" t="n">
        <v>45626</v>
      </c>
      <c r="D582" t="inlineStr">
        <is>
          <t>JÄMTLANDS LÄN</t>
        </is>
      </c>
      <c r="E582" t="inlineStr">
        <is>
          <t>ÖSTERSUND</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24515-2023</t>
        </is>
      </c>
      <c r="B583" s="1" t="n">
        <v>45077</v>
      </c>
      <c r="C583" s="1" t="n">
        <v>45626</v>
      </c>
      <c r="D583" t="inlineStr">
        <is>
          <t>JÄMTLANDS LÄN</t>
        </is>
      </c>
      <c r="E583" t="inlineStr">
        <is>
          <t>ÖSTERSUND</t>
        </is>
      </c>
      <c r="G583" t="n">
        <v>27.8</v>
      </c>
      <c r="H583" t="n">
        <v>0</v>
      </c>
      <c r="I583" t="n">
        <v>0</v>
      </c>
      <c r="J583" t="n">
        <v>0</v>
      </c>
      <c r="K583" t="n">
        <v>0</v>
      </c>
      <c r="L583" t="n">
        <v>0</v>
      </c>
      <c r="M583" t="n">
        <v>0</v>
      </c>
      <c r="N583" t="n">
        <v>0</v>
      </c>
      <c r="O583" t="n">
        <v>0</v>
      </c>
      <c r="P583" t="n">
        <v>0</v>
      </c>
      <c r="Q583" t="n">
        <v>0</v>
      </c>
      <c r="R583" s="2" t="inlineStr"/>
    </row>
    <row r="584" ht="15" customHeight="1">
      <c r="A584" t="inlineStr">
        <is>
          <t>A 24396-2023</t>
        </is>
      </c>
      <c r="B584" s="1" t="n">
        <v>45082</v>
      </c>
      <c r="C584" s="1" t="n">
        <v>45626</v>
      </c>
      <c r="D584" t="inlineStr">
        <is>
          <t>JÄMTLANDS LÄN</t>
        </is>
      </c>
      <c r="E584" t="inlineStr">
        <is>
          <t>ÖSTERSUND</t>
        </is>
      </c>
      <c r="F584" t="inlineStr">
        <is>
          <t>Kyrkan</t>
        </is>
      </c>
      <c r="G584" t="n">
        <v>9.300000000000001</v>
      </c>
      <c r="H584" t="n">
        <v>0</v>
      </c>
      <c r="I584" t="n">
        <v>0</v>
      </c>
      <c r="J584" t="n">
        <v>0</v>
      </c>
      <c r="K584" t="n">
        <v>0</v>
      </c>
      <c r="L584" t="n">
        <v>0</v>
      </c>
      <c r="M584" t="n">
        <v>0</v>
      </c>
      <c r="N584" t="n">
        <v>0</v>
      </c>
      <c r="O584" t="n">
        <v>0</v>
      </c>
      <c r="P584" t="n">
        <v>0</v>
      </c>
      <c r="Q584" t="n">
        <v>0</v>
      </c>
      <c r="R584" s="2" t="inlineStr"/>
    </row>
    <row r="585" ht="15" customHeight="1">
      <c r="A585" t="inlineStr">
        <is>
          <t>A 25727-2023</t>
        </is>
      </c>
      <c r="B585" s="1" t="n">
        <v>45084</v>
      </c>
      <c r="C585" s="1" t="n">
        <v>45626</v>
      </c>
      <c r="D585" t="inlineStr">
        <is>
          <t>JÄMTLANDS LÄN</t>
        </is>
      </c>
      <c r="E585" t="inlineStr">
        <is>
          <t>ÖSTERSUND</t>
        </is>
      </c>
      <c r="G585" t="n">
        <v>1.1</v>
      </c>
      <c r="H585" t="n">
        <v>0</v>
      </c>
      <c r="I585" t="n">
        <v>0</v>
      </c>
      <c r="J585" t="n">
        <v>0</v>
      </c>
      <c r="K585" t="n">
        <v>0</v>
      </c>
      <c r="L585" t="n">
        <v>0</v>
      </c>
      <c r="M585" t="n">
        <v>0</v>
      </c>
      <c r="N585" t="n">
        <v>0</v>
      </c>
      <c r="O585" t="n">
        <v>0</v>
      </c>
      <c r="P585" t="n">
        <v>0</v>
      </c>
      <c r="Q585" t="n">
        <v>0</v>
      </c>
      <c r="R585" s="2" t="inlineStr"/>
    </row>
    <row r="586" ht="15" customHeight="1">
      <c r="A586" t="inlineStr">
        <is>
          <t>A 25866-2023</t>
        </is>
      </c>
      <c r="B586" s="1" t="n">
        <v>45084</v>
      </c>
      <c r="C586" s="1" t="n">
        <v>45626</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25496-2023</t>
        </is>
      </c>
      <c r="B587" s="1" t="n">
        <v>45089</v>
      </c>
      <c r="C587" s="1" t="n">
        <v>45626</v>
      </c>
      <c r="D587" t="inlineStr">
        <is>
          <t>JÄMTLANDS LÄN</t>
        </is>
      </c>
      <c r="E587" t="inlineStr">
        <is>
          <t>ÖSTERSUND</t>
        </is>
      </c>
      <c r="F587" t="inlineStr">
        <is>
          <t>Kyrkan</t>
        </is>
      </c>
      <c r="G587" t="n">
        <v>5.7</v>
      </c>
      <c r="H587" t="n">
        <v>0</v>
      </c>
      <c r="I587" t="n">
        <v>0</v>
      </c>
      <c r="J587" t="n">
        <v>0</v>
      </c>
      <c r="K587" t="n">
        <v>0</v>
      </c>
      <c r="L587" t="n">
        <v>0</v>
      </c>
      <c r="M587" t="n">
        <v>0</v>
      </c>
      <c r="N587" t="n">
        <v>0</v>
      </c>
      <c r="O587" t="n">
        <v>0</v>
      </c>
      <c r="P587" t="n">
        <v>0</v>
      </c>
      <c r="Q587" t="n">
        <v>0</v>
      </c>
      <c r="R587" s="2" t="inlineStr"/>
    </row>
    <row r="588" ht="15" customHeight="1">
      <c r="A588" t="inlineStr">
        <is>
          <t>A 25535-2023</t>
        </is>
      </c>
      <c r="B588" s="1" t="n">
        <v>45089</v>
      </c>
      <c r="C588" s="1" t="n">
        <v>45626</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25514-2023</t>
        </is>
      </c>
      <c r="B589" s="1" t="n">
        <v>45089</v>
      </c>
      <c r="C589" s="1" t="n">
        <v>45626</v>
      </c>
      <c r="D589" t="inlineStr">
        <is>
          <t>JÄMTLANDS LÄN</t>
        </is>
      </c>
      <c r="E589" t="inlineStr">
        <is>
          <t>ÖSTERSUND</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26565-2023</t>
        </is>
      </c>
      <c r="B590" s="1" t="n">
        <v>45089</v>
      </c>
      <c r="C590" s="1" t="n">
        <v>45626</v>
      </c>
      <c r="D590" t="inlineStr">
        <is>
          <t>JÄMTLANDS LÄN</t>
        </is>
      </c>
      <c r="E590" t="inlineStr">
        <is>
          <t>ÖSTERSUND</t>
        </is>
      </c>
      <c r="G590" t="n">
        <v>5.2</v>
      </c>
      <c r="H590" t="n">
        <v>0</v>
      </c>
      <c r="I590" t="n">
        <v>0</v>
      </c>
      <c r="J590" t="n">
        <v>0</v>
      </c>
      <c r="K590" t="n">
        <v>0</v>
      </c>
      <c r="L590" t="n">
        <v>0</v>
      </c>
      <c r="M590" t="n">
        <v>0</v>
      </c>
      <c r="N590" t="n">
        <v>0</v>
      </c>
      <c r="O590" t="n">
        <v>0</v>
      </c>
      <c r="P590" t="n">
        <v>0</v>
      </c>
      <c r="Q590" t="n">
        <v>0</v>
      </c>
      <c r="R590" s="2" t="inlineStr"/>
    </row>
    <row r="591" ht="15" customHeight="1">
      <c r="A591" t="inlineStr">
        <is>
          <t>A 26521-2023</t>
        </is>
      </c>
      <c r="B591" s="1" t="n">
        <v>45089</v>
      </c>
      <c r="C591" s="1" t="n">
        <v>45626</v>
      </c>
      <c r="D591" t="inlineStr">
        <is>
          <t>JÄMTLANDS LÄN</t>
        </is>
      </c>
      <c r="E591" t="inlineStr">
        <is>
          <t>ÖSTERSUND</t>
        </is>
      </c>
      <c r="G591" t="n">
        <v>11.7</v>
      </c>
      <c r="H591" t="n">
        <v>0</v>
      </c>
      <c r="I591" t="n">
        <v>0</v>
      </c>
      <c r="J591" t="n">
        <v>0</v>
      </c>
      <c r="K591" t="n">
        <v>0</v>
      </c>
      <c r="L591" t="n">
        <v>0</v>
      </c>
      <c r="M591" t="n">
        <v>0</v>
      </c>
      <c r="N591" t="n">
        <v>0</v>
      </c>
      <c r="O591" t="n">
        <v>0</v>
      </c>
      <c r="P591" t="n">
        <v>0</v>
      </c>
      <c r="Q591" t="n">
        <v>0</v>
      </c>
      <c r="R591" s="2" t="inlineStr"/>
    </row>
    <row r="592" ht="15" customHeight="1">
      <c r="A592" t="inlineStr">
        <is>
          <t>A 25789-2023</t>
        </is>
      </c>
      <c r="B592" s="1" t="n">
        <v>45090</v>
      </c>
      <c r="C592" s="1" t="n">
        <v>45626</v>
      </c>
      <c r="D592" t="inlineStr">
        <is>
          <t>JÄMTLANDS LÄN</t>
        </is>
      </c>
      <c r="E592" t="inlineStr">
        <is>
          <t>ÖSTERSUND</t>
        </is>
      </c>
      <c r="G592" t="n">
        <v>3.1</v>
      </c>
      <c r="H592" t="n">
        <v>0</v>
      </c>
      <c r="I592" t="n">
        <v>0</v>
      </c>
      <c r="J592" t="n">
        <v>0</v>
      </c>
      <c r="K592" t="n">
        <v>0</v>
      </c>
      <c r="L592" t="n">
        <v>0</v>
      </c>
      <c r="M592" t="n">
        <v>0</v>
      </c>
      <c r="N592" t="n">
        <v>0</v>
      </c>
      <c r="O592" t="n">
        <v>0</v>
      </c>
      <c r="P592" t="n">
        <v>0</v>
      </c>
      <c r="Q592" t="n">
        <v>0</v>
      </c>
      <c r="R592" s="2" t="inlineStr"/>
    </row>
    <row r="593" ht="15" customHeight="1">
      <c r="A593" t="inlineStr">
        <is>
          <t>A 26012-2023</t>
        </is>
      </c>
      <c r="B593" s="1" t="n">
        <v>45091</v>
      </c>
      <c r="C593" s="1" t="n">
        <v>45626</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27294-2023</t>
        </is>
      </c>
      <c r="B594" s="1" t="n">
        <v>45092</v>
      </c>
      <c r="C594" s="1" t="n">
        <v>45626</v>
      </c>
      <c r="D594" t="inlineStr">
        <is>
          <t>JÄMTLANDS LÄN</t>
        </is>
      </c>
      <c r="E594" t="inlineStr">
        <is>
          <t>ÖSTERSUND</t>
        </is>
      </c>
      <c r="G594" t="n">
        <v>2.8</v>
      </c>
      <c r="H594" t="n">
        <v>0</v>
      </c>
      <c r="I594" t="n">
        <v>0</v>
      </c>
      <c r="J594" t="n">
        <v>0</v>
      </c>
      <c r="K594" t="n">
        <v>0</v>
      </c>
      <c r="L594" t="n">
        <v>0</v>
      </c>
      <c r="M594" t="n">
        <v>0</v>
      </c>
      <c r="N594" t="n">
        <v>0</v>
      </c>
      <c r="O594" t="n">
        <v>0</v>
      </c>
      <c r="P594" t="n">
        <v>0</v>
      </c>
      <c r="Q594" t="n">
        <v>0</v>
      </c>
      <c r="R594" s="2" t="inlineStr"/>
    </row>
    <row r="595" ht="15" customHeight="1">
      <c r="A595" t="inlineStr">
        <is>
          <t>A 27004-2023</t>
        </is>
      </c>
      <c r="B595" s="1" t="n">
        <v>45094</v>
      </c>
      <c r="C595" s="1" t="n">
        <v>45626</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27124-2023</t>
        </is>
      </c>
      <c r="B596" s="1" t="n">
        <v>45096</v>
      </c>
      <c r="C596" s="1" t="n">
        <v>45626</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27118-2023</t>
        </is>
      </c>
      <c r="B597" s="1" t="n">
        <v>45096</v>
      </c>
      <c r="C597" s="1" t="n">
        <v>45626</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27130-2023</t>
        </is>
      </c>
      <c r="B598" s="1" t="n">
        <v>45096</v>
      </c>
      <c r="C598" s="1" t="n">
        <v>45626</v>
      </c>
      <c r="D598" t="inlineStr">
        <is>
          <t>JÄMTLANDS LÄN</t>
        </is>
      </c>
      <c r="E598" t="inlineStr">
        <is>
          <t>ÖSTERSUND</t>
        </is>
      </c>
      <c r="G598" t="n">
        <v>1.1</v>
      </c>
      <c r="H598" t="n">
        <v>0</v>
      </c>
      <c r="I598" t="n">
        <v>0</v>
      </c>
      <c r="J598" t="n">
        <v>0</v>
      </c>
      <c r="K598" t="n">
        <v>0</v>
      </c>
      <c r="L598" t="n">
        <v>0</v>
      </c>
      <c r="M598" t="n">
        <v>0</v>
      </c>
      <c r="N598" t="n">
        <v>0</v>
      </c>
      <c r="O598" t="n">
        <v>0</v>
      </c>
      <c r="P598" t="n">
        <v>0</v>
      </c>
      <c r="Q598" t="n">
        <v>0</v>
      </c>
      <c r="R598" s="2" t="inlineStr"/>
    </row>
    <row r="599" ht="15" customHeight="1">
      <c r="A599" t="inlineStr">
        <is>
          <t>A 29548-2023</t>
        </is>
      </c>
      <c r="B599" s="1" t="n">
        <v>45098</v>
      </c>
      <c r="C599" s="1" t="n">
        <v>45626</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30244-2023</t>
        </is>
      </c>
      <c r="B600" s="1" t="n">
        <v>45099</v>
      </c>
      <c r="C600" s="1" t="n">
        <v>45626</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30262-2023</t>
        </is>
      </c>
      <c r="B601" s="1" t="n">
        <v>45099</v>
      </c>
      <c r="C601" s="1" t="n">
        <v>45626</v>
      </c>
      <c r="D601" t="inlineStr">
        <is>
          <t>JÄMTLANDS LÄN</t>
        </is>
      </c>
      <c r="E601" t="inlineStr">
        <is>
          <t>ÖSTERSUND</t>
        </is>
      </c>
      <c r="G601" t="n">
        <v>5.2</v>
      </c>
      <c r="H601" t="n">
        <v>0</v>
      </c>
      <c r="I601" t="n">
        <v>0</v>
      </c>
      <c r="J601" t="n">
        <v>0</v>
      </c>
      <c r="K601" t="n">
        <v>0</v>
      </c>
      <c r="L601" t="n">
        <v>0</v>
      </c>
      <c r="M601" t="n">
        <v>0</v>
      </c>
      <c r="N601" t="n">
        <v>0</v>
      </c>
      <c r="O601" t="n">
        <v>0</v>
      </c>
      <c r="P601" t="n">
        <v>0</v>
      </c>
      <c r="Q601" t="n">
        <v>0</v>
      </c>
      <c r="R601" s="2" t="inlineStr"/>
    </row>
    <row r="602" ht="15" customHeight="1">
      <c r="A602" t="inlineStr">
        <is>
          <t>A 30255-2023</t>
        </is>
      </c>
      <c r="B602" s="1" t="n">
        <v>45099</v>
      </c>
      <c r="C602" s="1" t="n">
        <v>45626</v>
      </c>
      <c r="D602" t="inlineStr">
        <is>
          <t>JÄMTLANDS LÄN</t>
        </is>
      </c>
      <c r="E602" t="inlineStr">
        <is>
          <t>ÖSTERSUND</t>
        </is>
      </c>
      <c r="G602" t="n">
        <v>20.2</v>
      </c>
      <c r="H602" t="n">
        <v>0</v>
      </c>
      <c r="I602" t="n">
        <v>0</v>
      </c>
      <c r="J602" t="n">
        <v>0</v>
      </c>
      <c r="K602" t="n">
        <v>0</v>
      </c>
      <c r="L602" t="n">
        <v>0</v>
      </c>
      <c r="M602" t="n">
        <v>0</v>
      </c>
      <c r="N602" t="n">
        <v>0</v>
      </c>
      <c r="O602" t="n">
        <v>0</v>
      </c>
      <c r="P602" t="n">
        <v>0</v>
      </c>
      <c r="Q602" t="n">
        <v>0</v>
      </c>
      <c r="R602" s="2" t="inlineStr"/>
    </row>
    <row r="603" ht="15" customHeight="1">
      <c r="A603" t="inlineStr">
        <is>
          <t>A 30264-2023</t>
        </is>
      </c>
      <c r="B603" s="1" t="n">
        <v>45099</v>
      </c>
      <c r="C603" s="1" t="n">
        <v>45626</v>
      </c>
      <c r="D603" t="inlineStr">
        <is>
          <t>JÄMTLANDS LÄN</t>
        </is>
      </c>
      <c r="E603" t="inlineStr">
        <is>
          <t>ÖSTERSUND</t>
        </is>
      </c>
      <c r="G603" t="n">
        <v>10</v>
      </c>
      <c r="H603" t="n">
        <v>0</v>
      </c>
      <c r="I603" t="n">
        <v>0</v>
      </c>
      <c r="J603" t="n">
        <v>0</v>
      </c>
      <c r="K603" t="n">
        <v>0</v>
      </c>
      <c r="L603" t="n">
        <v>0</v>
      </c>
      <c r="M603" t="n">
        <v>0</v>
      </c>
      <c r="N603" t="n">
        <v>0</v>
      </c>
      <c r="O603" t="n">
        <v>0</v>
      </c>
      <c r="P603" t="n">
        <v>0</v>
      </c>
      <c r="Q603" t="n">
        <v>0</v>
      </c>
      <c r="R603" s="2" t="inlineStr"/>
    </row>
    <row r="604" ht="15" customHeight="1">
      <c r="A604" t="inlineStr">
        <is>
          <t>A 30206-2023</t>
        </is>
      </c>
      <c r="B604" s="1" t="n">
        <v>45099</v>
      </c>
      <c r="C604" s="1" t="n">
        <v>45626</v>
      </c>
      <c r="D604" t="inlineStr">
        <is>
          <t>JÄMTLANDS LÄN</t>
        </is>
      </c>
      <c r="E604" t="inlineStr">
        <is>
          <t>ÖSTERSUND</t>
        </is>
      </c>
      <c r="G604" t="n">
        <v>3.9</v>
      </c>
      <c r="H604" t="n">
        <v>0</v>
      </c>
      <c r="I604" t="n">
        <v>0</v>
      </c>
      <c r="J604" t="n">
        <v>0</v>
      </c>
      <c r="K604" t="n">
        <v>0</v>
      </c>
      <c r="L604" t="n">
        <v>0</v>
      </c>
      <c r="M604" t="n">
        <v>0</v>
      </c>
      <c r="N604" t="n">
        <v>0</v>
      </c>
      <c r="O604" t="n">
        <v>0</v>
      </c>
      <c r="P604" t="n">
        <v>0</v>
      </c>
      <c r="Q604" t="n">
        <v>0</v>
      </c>
      <c r="R604" s="2" t="inlineStr"/>
    </row>
    <row r="605" ht="15" customHeight="1">
      <c r="A605" t="inlineStr">
        <is>
          <t>A 30236-2023</t>
        </is>
      </c>
      <c r="B605" s="1" t="n">
        <v>45099</v>
      </c>
      <c r="C605" s="1" t="n">
        <v>45626</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28747-2023</t>
        </is>
      </c>
      <c r="B606" s="1" t="n">
        <v>45103</v>
      </c>
      <c r="C606" s="1" t="n">
        <v>45626</v>
      </c>
      <c r="D606" t="inlineStr">
        <is>
          <t>JÄMTLANDS LÄN</t>
        </is>
      </c>
      <c r="E606" t="inlineStr">
        <is>
          <t>ÖSTERSUND</t>
        </is>
      </c>
      <c r="F606" t="inlineStr">
        <is>
          <t>SCA</t>
        </is>
      </c>
      <c r="G606" t="n">
        <v>8</v>
      </c>
      <c r="H606" t="n">
        <v>0</v>
      </c>
      <c r="I606" t="n">
        <v>0</v>
      </c>
      <c r="J606" t="n">
        <v>0</v>
      </c>
      <c r="K606" t="n">
        <v>0</v>
      </c>
      <c r="L606" t="n">
        <v>0</v>
      </c>
      <c r="M606" t="n">
        <v>0</v>
      </c>
      <c r="N606" t="n">
        <v>0</v>
      </c>
      <c r="O606" t="n">
        <v>0</v>
      </c>
      <c r="P606" t="n">
        <v>0</v>
      </c>
      <c r="Q606" t="n">
        <v>0</v>
      </c>
      <c r="R606" s="2" t="inlineStr"/>
    </row>
    <row r="607" ht="15" customHeight="1">
      <c r="A607" t="inlineStr">
        <is>
          <t>A 31870-2023</t>
        </is>
      </c>
      <c r="B607" s="1" t="n">
        <v>45106</v>
      </c>
      <c r="C607" s="1" t="n">
        <v>45626</v>
      </c>
      <c r="D607" t="inlineStr">
        <is>
          <t>JÄMTLANDS LÄN</t>
        </is>
      </c>
      <c r="E607" t="inlineStr">
        <is>
          <t>ÖSTERSUND</t>
        </is>
      </c>
      <c r="G607" t="n">
        <v>2.4</v>
      </c>
      <c r="H607" t="n">
        <v>0</v>
      </c>
      <c r="I607" t="n">
        <v>0</v>
      </c>
      <c r="J607" t="n">
        <v>0</v>
      </c>
      <c r="K607" t="n">
        <v>0</v>
      </c>
      <c r="L607" t="n">
        <v>0</v>
      </c>
      <c r="M607" t="n">
        <v>0</v>
      </c>
      <c r="N607" t="n">
        <v>0</v>
      </c>
      <c r="O607" t="n">
        <v>0</v>
      </c>
      <c r="P607" t="n">
        <v>0</v>
      </c>
      <c r="Q607" t="n">
        <v>0</v>
      </c>
      <c r="R607" s="2" t="inlineStr"/>
    </row>
    <row r="608" ht="15" customHeight="1">
      <c r="A608" t="inlineStr">
        <is>
          <t>A 29703-2023</t>
        </is>
      </c>
      <c r="B608" s="1" t="n">
        <v>45107</v>
      </c>
      <c r="C608" s="1" t="n">
        <v>45626</v>
      </c>
      <c r="D608" t="inlineStr">
        <is>
          <t>JÄMTLANDS LÄN</t>
        </is>
      </c>
      <c r="E608" t="inlineStr">
        <is>
          <t>ÖSTERSUND</t>
        </is>
      </c>
      <c r="G608" t="n">
        <v>0.3</v>
      </c>
      <c r="H608" t="n">
        <v>0</v>
      </c>
      <c r="I608" t="n">
        <v>0</v>
      </c>
      <c r="J608" t="n">
        <v>0</v>
      </c>
      <c r="K608" t="n">
        <v>0</v>
      </c>
      <c r="L608" t="n">
        <v>0</v>
      </c>
      <c r="M608" t="n">
        <v>0</v>
      </c>
      <c r="N608" t="n">
        <v>0</v>
      </c>
      <c r="O608" t="n">
        <v>0</v>
      </c>
      <c r="P608" t="n">
        <v>0</v>
      </c>
      <c r="Q608" t="n">
        <v>0</v>
      </c>
      <c r="R608" s="2" t="inlineStr"/>
    </row>
    <row r="609" ht="15" customHeight="1">
      <c r="A609" t="inlineStr">
        <is>
          <t>A 29682-2023</t>
        </is>
      </c>
      <c r="B609" s="1" t="n">
        <v>45107</v>
      </c>
      <c r="C609" s="1" t="n">
        <v>45626</v>
      </c>
      <c r="D609" t="inlineStr">
        <is>
          <t>JÄMTLANDS LÄN</t>
        </is>
      </c>
      <c r="E609" t="inlineStr">
        <is>
          <t>ÖSTERSUND</t>
        </is>
      </c>
      <c r="G609" t="n">
        <v>1.2</v>
      </c>
      <c r="H609" t="n">
        <v>0</v>
      </c>
      <c r="I609" t="n">
        <v>0</v>
      </c>
      <c r="J609" t="n">
        <v>0</v>
      </c>
      <c r="K609" t="n">
        <v>0</v>
      </c>
      <c r="L609" t="n">
        <v>0</v>
      </c>
      <c r="M609" t="n">
        <v>0</v>
      </c>
      <c r="N609" t="n">
        <v>0</v>
      </c>
      <c r="O609" t="n">
        <v>0</v>
      </c>
      <c r="P609" t="n">
        <v>0</v>
      </c>
      <c r="Q609" t="n">
        <v>0</v>
      </c>
      <c r="R609" s="2" t="inlineStr"/>
    </row>
    <row r="610" ht="15" customHeight="1">
      <c r="A610" t="inlineStr">
        <is>
          <t>A 30602-2023</t>
        </is>
      </c>
      <c r="B610" s="1" t="n">
        <v>45112</v>
      </c>
      <c r="C610" s="1" t="n">
        <v>45626</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31551-2023</t>
        </is>
      </c>
      <c r="B611" s="1" t="n">
        <v>45117</v>
      </c>
      <c r="C611" s="1" t="n">
        <v>45626</v>
      </c>
      <c r="D611" t="inlineStr">
        <is>
          <t>JÄMTLANDS LÄN</t>
        </is>
      </c>
      <c r="E611" t="inlineStr">
        <is>
          <t>ÖSTERSUND</t>
        </is>
      </c>
      <c r="G611" t="n">
        <v>0.6</v>
      </c>
      <c r="H611" t="n">
        <v>0</v>
      </c>
      <c r="I611" t="n">
        <v>0</v>
      </c>
      <c r="J611" t="n">
        <v>0</v>
      </c>
      <c r="K611" t="n">
        <v>0</v>
      </c>
      <c r="L611" t="n">
        <v>0</v>
      </c>
      <c r="M611" t="n">
        <v>0</v>
      </c>
      <c r="N611" t="n">
        <v>0</v>
      </c>
      <c r="O611" t="n">
        <v>0</v>
      </c>
      <c r="P611" t="n">
        <v>0</v>
      </c>
      <c r="Q611" t="n">
        <v>0</v>
      </c>
      <c r="R611" s="2" t="inlineStr"/>
    </row>
    <row r="612" ht="15" customHeight="1">
      <c r="A612" t="inlineStr">
        <is>
          <t>A 31600-2023</t>
        </is>
      </c>
      <c r="B612" s="1" t="n">
        <v>45117</v>
      </c>
      <c r="C612" s="1" t="n">
        <v>45626</v>
      </c>
      <c r="D612" t="inlineStr">
        <is>
          <t>JÄMTLANDS LÄN</t>
        </is>
      </c>
      <c r="E612" t="inlineStr">
        <is>
          <t>ÖSTERSUND</t>
        </is>
      </c>
      <c r="F612" t="inlineStr">
        <is>
          <t>Övriga Aktiebolag</t>
        </is>
      </c>
      <c r="G612" t="n">
        <v>2.7</v>
      </c>
      <c r="H612" t="n">
        <v>0</v>
      </c>
      <c r="I612" t="n">
        <v>0</v>
      </c>
      <c r="J612" t="n">
        <v>0</v>
      </c>
      <c r="K612" t="n">
        <v>0</v>
      </c>
      <c r="L612" t="n">
        <v>0</v>
      </c>
      <c r="M612" t="n">
        <v>0</v>
      </c>
      <c r="N612" t="n">
        <v>0</v>
      </c>
      <c r="O612" t="n">
        <v>0</v>
      </c>
      <c r="P612" t="n">
        <v>0</v>
      </c>
      <c r="Q612" t="n">
        <v>0</v>
      </c>
      <c r="R612" s="2" t="inlineStr"/>
    </row>
    <row r="613" ht="15" customHeight="1">
      <c r="A613" t="inlineStr">
        <is>
          <t>A 31549-2023</t>
        </is>
      </c>
      <c r="B613" s="1" t="n">
        <v>45117</v>
      </c>
      <c r="C613" s="1" t="n">
        <v>45626</v>
      </c>
      <c r="D613" t="inlineStr">
        <is>
          <t>JÄMTLANDS LÄN</t>
        </is>
      </c>
      <c r="E613" t="inlineStr">
        <is>
          <t>ÖSTERSUND</t>
        </is>
      </c>
      <c r="G613" t="n">
        <v>1.2</v>
      </c>
      <c r="H613" t="n">
        <v>0</v>
      </c>
      <c r="I613" t="n">
        <v>0</v>
      </c>
      <c r="J613" t="n">
        <v>0</v>
      </c>
      <c r="K613" t="n">
        <v>0</v>
      </c>
      <c r="L613" t="n">
        <v>0</v>
      </c>
      <c r="M613" t="n">
        <v>0</v>
      </c>
      <c r="N613" t="n">
        <v>0</v>
      </c>
      <c r="O613" t="n">
        <v>0</v>
      </c>
      <c r="P613" t="n">
        <v>0</v>
      </c>
      <c r="Q613" t="n">
        <v>0</v>
      </c>
      <c r="R613" s="2" t="inlineStr"/>
    </row>
    <row r="614" ht="15" customHeight="1">
      <c r="A614" t="inlineStr">
        <is>
          <t>A 33501-2023</t>
        </is>
      </c>
      <c r="B614" s="1" t="n">
        <v>45118</v>
      </c>
      <c r="C614" s="1" t="n">
        <v>45626</v>
      </c>
      <c r="D614" t="inlineStr">
        <is>
          <t>JÄMTLANDS LÄN</t>
        </is>
      </c>
      <c r="E614" t="inlineStr">
        <is>
          <t>ÖSTERSUND</t>
        </is>
      </c>
      <c r="G614" t="n">
        <v>5.8</v>
      </c>
      <c r="H614" t="n">
        <v>0</v>
      </c>
      <c r="I614" t="n">
        <v>0</v>
      </c>
      <c r="J614" t="n">
        <v>0</v>
      </c>
      <c r="K614" t="n">
        <v>0</v>
      </c>
      <c r="L614" t="n">
        <v>0</v>
      </c>
      <c r="M614" t="n">
        <v>0</v>
      </c>
      <c r="N614" t="n">
        <v>0</v>
      </c>
      <c r="O614" t="n">
        <v>0</v>
      </c>
      <c r="P614" t="n">
        <v>0</v>
      </c>
      <c r="Q614" t="n">
        <v>0</v>
      </c>
      <c r="R614" s="2" t="inlineStr"/>
    </row>
    <row r="615" ht="15" customHeight="1">
      <c r="A615" t="inlineStr">
        <is>
          <t>A 33502-2023</t>
        </is>
      </c>
      <c r="B615" s="1" t="n">
        <v>45118</v>
      </c>
      <c r="C615" s="1" t="n">
        <v>45626</v>
      </c>
      <c r="D615" t="inlineStr">
        <is>
          <t>JÄMTLANDS LÄN</t>
        </is>
      </c>
      <c r="E615" t="inlineStr">
        <is>
          <t>ÖSTERSUND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32568-2023</t>
        </is>
      </c>
      <c r="B616" s="1" t="n">
        <v>45121</v>
      </c>
      <c r="C616" s="1" t="n">
        <v>45626</v>
      </c>
      <c r="D616" t="inlineStr">
        <is>
          <t>JÄMTLANDS LÄN</t>
        </is>
      </c>
      <c r="E616" t="inlineStr">
        <is>
          <t>ÖSTERSUND</t>
        </is>
      </c>
      <c r="G616" t="n">
        <v>14.9</v>
      </c>
      <c r="H616" t="n">
        <v>0</v>
      </c>
      <c r="I616" t="n">
        <v>0</v>
      </c>
      <c r="J616" t="n">
        <v>0</v>
      </c>
      <c r="K616" t="n">
        <v>0</v>
      </c>
      <c r="L616" t="n">
        <v>0</v>
      </c>
      <c r="M616" t="n">
        <v>0</v>
      </c>
      <c r="N616" t="n">
        <v>0</v>
      </c>
      <c r="O616" t="n">
        <v>0</v>
      </c>
      <c r="P616" t="n">
        <v>0</v>
      </c>
      <c r="Q616" t="n">
        <v>0</v>
      </c>
      <c r="R616" s="2" t="inlineStr"/>
    </row>
    <row r="617" ht="15" customHeight="1">
      <c r="A617" t="inlineStr">
        <is>
          <t>A 34052-2023</t>
        </is>
      </c>
      <c r="B617" s="1" t="n">
        <v>45125</v>
      </c>
      <c r="C617" s="1" t="n">
        <v>45626</v>
      </c>
      <c r="D617" t="inlineStr">
        <is>
          <t>JÄMTLANDS LÄN</t>
        </is>
      </c>
      <c r="E617" t="inlineStr">
        <is>
          <t>ÖSTERSUND</t>
        </is>
      </c>
      <c r="G617" t="n">
        <v>4</v>
      </c>
      <c r="H617" t="n">
        <v>0</v>
      </c>
      <c r="I617" t="n">
        <v>0</v>
      </c>
      <c r="J617" t="n">
        <v>0</v>
      </c>
      <c r="K617" t="n">
        <v>0</v>
      </c>
      <c r="L617" t="n">
        <v>0</v>
      </c>
      <c r="M617" t="n">
        <v>0</v>
      </c>
      <c r="N617" t="n">
        <v>0</v>
      </c>
      <c r="O617" t="n">
        <v>0</v>
      </c>
      <c r="P617" t="n">
        <v>0</v>
      </c>
      <c r="Q617" t="n">
        <v>0</v>
      </c>
      <c r="R617" s="2" t="inlineStr"/>
    </row>
    <row r="618" ht="15" customHeight="1">
      <c r="A618" t="inlineStr">
        <is>
          <t>A 33875-2023</t>
        </is>
      </c>
      <c r="B618" s="1" t="n">
        <v>45134</v>
      </c>
      <c r="C618" s="1" t="n">
        <v>45626</v>
      </c>
      <c r="D618" t="inlineStr">
        <is>
          <t>JÄMTLANDS LÄN</t>
        </is>
      </c>
      <c r="E618" t="inlineStr">
        <is>
          <t>ÖSTERSUND</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34482-2023</t>
        </is>
      </c>
      <c r="B619" s="1" t="n">
        <v>45140</v>
      </c>
      <c r="C619" s="1" t="n">
        <v>45626</v>
      </c>
      <c r="D619" t="inlineStr">
        <is>
          <t>JÄMTLANDS LÄN</t>
        </is>
      </c>
      <c r="E619" t="inlineStr">
        <is>
          <t>ÖSTERSUND</t>
        </is>
      </c>
      <c r="F619" t="inlineStr">
        <is>
          <t>SCA</t>
        </is>
      </c>
      <c r="G619" t="n">
        <v>50</v>
      </c>
      <c r="H619" t="n">
        <v>0</v>
      </c>
      <c r="I619" t="n">
        <v>0</v>
      </c>
      <c r="J619" t="n">
        <v>0</v>
      </c>
      <c r="K619" t="n">
        <v>0</v>
      </c>
      <c r="L619" t="n">
        <v>0</v>
      </c>
      <c r="M619" t="n">
        <v>0</v>
      </c>
      <c r="N619" t="n">
        <v>0</v>
      </c>
      <c r="O619" t="n">
        <v>0</v>
      </c>
      <c r="P619" t="n">
        <v>0</v>
      </c>
      <c r="Q619" t="n">
        <v>0</v>
      </c>
      <c r="R619" s="2" t="inlineStr"/>
    </row>
    <row r="620" ht="15" customHeight="1">
      <c r="A620" t="inlineStr">
        <is>
          <t>A 34688-2023</t>
        </is>
      </c>
      <c r="B620" s="1" t="n">
        <v>45141</v>
      </c>
      <c r="C620" s="1" t="n">
        <v>45626</v>
      </c>
      <c r="D620" t="inlineStr">
        <is>
          <t>JÄMTLANDS LÄN</t>
        </is>
      </c>
      <c r="E620" t="inlineStr">
        <is>
          <t>ÖSTERSUND</t>
        </is>
      </c>
      <c r="G620" t="n">
        <v>7.4</v>
      </c>
      <c r="H620" t="n">
        <v>0</v>
      </c>
      <c r="I620" t="n">
        <v>0</v>
      </c>
      <c r="J620" t="n">
        <v>0</v>
      </c>
      <c r="K620" t="n">
        <v>0</v>
      </c>
      <c r="L620" t="n">
        <v>0</v>
      </c>
      <c r="M620" t="n">
        <v>0</v>
      </c>
      <c r="N620" t="n">
        <v>0</v>
      </c>
      <c r="O620" t="n">
        <v>0</v>
      </c>
      <c r="P620" t="n">
        <v>0</v>
      </c>
      <c r="Q620" t="n">
        <v>0</v>
      </c>
      <c r="R620" s="2" t="inlineStr"/>
    </row>
    <row r="621" ht="15" customHeight="1">
      <c r="A621" t="inlineStr">
        <is>
          <t>A 36406-2023</t>
        </is>
      </c>
      <c r="B621" s="1" t="n">
        <v>45149</v>
      </c>
      <c r="C621" s="1" t="n">
        <v>45626</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37140-2023</t>
        </is>
      </c>
      <c r="B622" s="1" t="n">
        <v>45154</v>
      </c>
      <c r="C622" s="1" t="n">
        <v>45626</v>
      </c>
      <c r="D622" t="inlineStr">
        <is>
          <t>JÄMTLANDS LÄN</t>
        </is>
      </c>
      <c r="E622" t="inlineStr">
        <is>
          <t>ÖSTERSUND</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37597-2023</t>
        </is>
      </c>
      <c r="B623" s="1" t="n">
        <v>45159</v>
      </c>
      <c r="C623" s="1" t="n">
        <v>45626</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37645-2023</t>
        </is>
      </c>
      <c r="B624" s="1" t="n">
        <v>45159</v>
      </c>
      <c r="C624" s="1" t="n">
        <v>45626</v>
      </c>
      <c r="D624" t="inlineStr">
        <is>
          <t>JÄMTLANDS LÄN</t>
        </is>
      </c>
      <c r="E624" t="inlineStr">
        <is>
          <t>ÖSTERSUND</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38335-2023</t>
        </is>
      </c>
      <c r="B625" s="1" t="n">
        <v>45161</v>
      </c>
      <c r="C625" s="1" t="n">
        <v>45626</v>
      </c>
      <c r="D625" t="inlineStr">
        <is>
          <t>JÄMTLANDS LÄN</t>
        </is>
      </c>
      <c r="E625" t="inlineStr">
        <is>
          <t>ÖSTERSUND</t>
        </is>
      </c>
      <c r="G625" t="n">
        <v>15.1</v>
      </c>
      <c r="H625" t="n">
        <v>0</v>
      </c>
      <c r="I625" t="n">
        <v>0</v>
      </c>
      <c r="J625" t="n">
        <v>0</v>
      </c>
      <c r="K625" t="n">
        <v>0</v>
      </c>
      <c r="L625" t="n">
        <v>0</v>
      </c>
      <c r="M625" t="n">
        <v>0</v>
      </c>
      <c r="N625" t="n">
        <v>0</v>
      </c>
      <c r="O625" t="n">
        <v>0</v>
      </c>
      <c r="P625" t="n">
        <v>0</v>
      </c>
      <c r="Q625" t="n">
        <v>0</v>
      </c>
      <c r="R625" s="2" t="inlineStr"/>
    </row>
    <row r="626" ht="15" customHeight="1">
      <c r="A626" t="inlineStr">
        <is>
          <t>A 38713-2023</t>
        </is>
      </c>
      <c r="B626" s="1" t="n">
        <v>45163</v>
      </c>
      <c r="C626" s="1" t="n">
        <v>45626</v>
      </c>
      <c r="D626" t="inlineStr">
        <is>
          <t>JÄMTLANDS LÄN</t>
        </is>
      </c>
      <c r="E626" t="inlineStr">
        <is>
          <t>ÖSTERSUND</t>
        </is>
      </c>
      <c r="G626" t="n">
        <v>6</v>
      </c>
      <c r="H626" t="n">
        <v>0</v>
      </c>
      <c r="I626" t="n">
        <v>0</v>
      </c>
      <c r="J626" t="n">
        <v>0</v>
      </c>
      <c r="K626" t="n">
        <v>0</v>
      </c>
      <c r="L626" t="n">
        <v>0</v>
      </c>
      <c r="M626" t="n">
        <v>0</v>
      </c>
      <c r="N626" t="n">
        <v>0</v>
      </c>
      <c r="O626" t="n">
        <v>0</v>
      </c>
      <c r="P626" t="n">
        <v>0</v>
      </c>
      <c r="Q626" t="n">
        <v>0</v>
      </c>
      <c r="R626" s="2" t="inlineStr"/>
    </row>
    <row r="627" ht="15" customHeight="1">
      <c r="A627" t="inlineStr">
        <is>
          <t>A 39494-2023</t>
        </is>
      </c>
      <c r="B627" s="1" t="n">
        <v>45166</v>
      </c>
      <c r="C627" s="1" t="n">
        <v>45626</v>
      </c>
      <c r="D627" t="inlineStr">
        <is>
          <t>JÄMTLANDS LÄN</t>
        </is>
      </c>
      <c r="E627" t="inlineStr">
        <is>
          <t>ÖSTERSUND</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39493-2023</t>
        </is>
      </c>
      <c r="B628" s="1" t="n">
        <v>45167</v>
      </c>
      <c r="C628" s="1" t="n">
        <v>45626</v>
      </c>
      <c r="D628" t="inlineStr">
        <is>
          <t>JÄMTLANDS LÄN</t>
        </is>
      </c>
      <c r="E628" t="inlineStr">
        <is>
          <t>ÖSTERSUND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39647-2023</t>
        </is>
      </c>
      <c r="B629" s="1" t="n">
        <v>45167</v>
      </c>
      <c r="C629" s="1" t="n">
        <v>45626</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39652-2023</t>
        </is>
      </c>
      <c r="B630" s="1" t="n">
        <v>45167</v>
      </c>
      <c r="C630" s="1" t="n">
        <v>45626</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39805-2023</t>
        </is>
      </c>
      <c r="B631" s="1" t="n">
        <v>45168</v>
      </c>
      <c r="C631" s="1" t="n">
        <v>45626</v>
      </c>
      <c r="D631" t="inlineStr">
        <is>
          <t>JÄMTLANDS LÄN</t>
        </is>
      </c>
      <c r="E631" t="inlineStr">
        <is>
          <t>ÖSTERSUND</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40423-2023</t>
        </is>
      </c>
      <c r="B632" s="1" t="n">
        <v>45169</v>
      </c>
      <c r="C632" s="1" t="n">
        <v>45626</v>
      </c>
      <c r="D632" t="inlineStr">
        <is>
          <t>JÄMTLANDS LÄN</t>
        </is>
      </c>
      <c r="E632" t="inlineStr">
        <is>
          <t>ÖSTERSUND</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40422-2023</t>
        </is>
      </c>
      <c r="B633" s="1" t="n">
        <v>45170</v>
      </c>
      <c r="C633" s="1" t="n">
        <v>45626</v>
      </c>
      <c r="D633" t="inlineStr">
        <is>
          <t>JÄMTLANDS LÄN</t>
        </is>
      </c>
      <c r="E633" t="inlineStr">
        <is>
          <t>ÖSTERSUND</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40792-2023</t>
        </is>
      </c>
      <c r="B634" s="1" t="n">
        <v>45170</v>
      </c>
      <c r="C634" s="1" t="n">
        <v>45626</v>
      </c>
      <c r="D634" t="inlineStr">
        <is>
          <t>JÄMTLANDS LÄN</t>
        </is>
      </c>
      <c r="E634" t="inlineStr">
        <is>
          <t>ÖSTERSUND</t>
        </is>
      </c>
      <c r="G634" t="n">
        <v>22.4</v>
      </c>
      <c r="H634" t="n">
        <v>0</v>
      </c>
      <c r="I634" t="n">
        <v>0</v>
      </c>
      <c r="J634" t="n">
        <v>0</v>
      </c>
      <c r="K634" t="n">
        <v>0</v>
      </c>
      <c r="L634" t="n">
        <v>0</v>
      </c>
      <c r="M634" t="n">
        <v>0</v>
      </c>
      <c r="N634" t="n">
        <v>0</v>
      </c>
      <c r="O634" t="n">
        <v>0</v>
      </c>
      <c r="P634" t="n">
        <v>0</v>
      </c>
      <c r="Q634" t="n">
        <v>0</v>
      </c>
      <c r="R634" s="2" t="inlineStr"/>
    </row>
    <row r="635" ht="15" customHeight="1">
      <c r="A635" t="inlineStr">
        <is>
          <t>A 40772-2023</t>
        </is>
      </c>
      <c r="B635" s="1" t="n">
        <v>45171</v>
      </c>
      <c r="C635" s="1" t="n">
        <v>45626</v>
      </c>
      <c r="D635" t="inlineStr">
        <is>
          <t>JÄMTLANDS LÄN</t>
        </is>
      </c>
      <c r="E635" t="inlineStr">
        <is>
          <t>ÖSTERSUND</t>
        </is>
      </c>
      <c r="F635" t="inlineStr">
        <is>
          <t>SCA</t>
        </is>
      </c>
      <c r="G635" t="n">
        <v>17.6</v>
      </c>
      <c r="H635" t="n">
        <v>0</v>
      </c>
      <c r="I635" t="n">
        <v>0</v>
      </c>
      <c r="J635" t="n">
        <v>0</v>
      </c>
      <c r="K635" t="n">
        <v>0</v>
      </c>
      <c r="L635" t="n">
        <v>0</v>
      </c>
      <c r="M635" t="n">
        <v>0</v>
      </c>
      <c r="N635" t="n">
        <v>0</v>
      </c>
      <c r="O635" t="n">
        <v>0</v>
      </c>
      <c r="P635" t="n">
        <v>0</v>
      </c>
      <c r="Q635" t="n">
        <v>0</v>
      </c>
      <c r="R635" s="2" t="inlineStr"/>
    </row>
    <row r="636" ht="15" customHeight="1">
      <c r="A636" t="inlineStr">
        <is>
          <t>A 41224-2023</t>
        </is>
      </c>
      <c r="B636" s="1" t="n">
        <v>45174</v>
      </c>
      <c r="C636" s="1" t="n">
        <v>45626</v>
      </c>
      <c r="D636" t="inlineStr">
        <is>
          <t>JÄMTLANDS LÄN</t>
        </is>
      </c>
      <c r="E636" t="inlineStr">
        <is>
          <t>ÖSTERSUND</t>
        </is>
      </c>
      <c r="G636" t="n">
        <v>13.3</v>
      </c>
      <c r="H636" t="n">
        <v>0</v>
      </c>
      <c r="I636" t="n">
        <v>0</v>
      </c>
      <c r="J636" t="n">
        <v>0</v>
      </c>
      <c r="K636" t="n">
        <v>0</v>
      </c>
      <c r="L636" t="n">
        <v>0</v>
      </c>
      <c r="M636" t="n">
        <v>0</v>
      </c>
      <c r="N636" t="n">
        <v>0</v>
      </c>
      <c r="O636" t="n">
        <v>0</v>
      </c>
      <c r="P636" t="n">
        <v>0</v>
      </c>
      <c r="Q636" t="n">
        <v>0</v>
      </c>
      <c r="R636" s="2" t="inlineStr"/>
    </row>
    <row r="637" ht="15" customHeight="1">
      <c r="A637" t="inlineStr">
        <is>
          <t>A 41649-2023</t>
        </is>
      </c>
      <c r="B637" s="1" t="n">
        <v>45176</v>
      </c>
      <c r="C637" s="1" t="n">
        <v>45626</v>
      </c>
      <c r="D637" t="inlineStr">
        <is>
          <t>JÄMTLANDS LÄN</t>
        </is>
      </c>
      <c r="E637" t="inlineStr">
        <is>
          <t>ÖSTERSUND</t>
        </is>
      </c>
      <c r="F637" t="inlineStr">
        <is>
          <t>SCA</t>
        </is>
      </c>
      <c r="G637" t="n">
        <v>2.6</v>
      </c>
      <c r="H637" t="n">
        <v>0</v>
      </c>
      <c r="I637" t="n">
        <v>0</v>
      </c>
      <c r="J637" t="n">
        <v>0</v>
      </c>
      <c r="K637" t="n">
        <v>0</v>
      </c>
      <c r="L637" t="n">
        <v>0</v>
      </c>
      <c r="M637" t="n">
        <v>0</v>
      </c>
      <c r="N637" t="n">
        <v>0</v>
      </c>
      <c r="O637" t="n">
        <v>0</v>
      </c>
      <c r="P637" t="n">
        <v>0</v>
      </c>
      <c r="Q637" t="n">
        <v>0</v>
      </c>
      <c r="R637" s="2" t="inlineStr"/>
    </row>
    <row r="638" ht="15" customHeight="1">
      <c r="A638" t="inlineStr">
        <is>
          <t>A 41919-2023</t>
        </is>
      </c>
      <c r="B638" s="1" t="n">
        <v>45177</v>
      </c>
      <c r="C638" s="1" t="n">
        <v>45626</v>
      </c>
      <c r="D638" t="inlineStr">
        <is>
          <t>JÄMTLANDS LÄN</t>
        </is>
      </c>
      <c r="E638" t="inlineStr">
        <is>
          <t>ÖSTERSUND</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41918-2023</t>
        </is>
      </c>
      <c r="B639" s="1" t="n">
        <v>45177</v>
      </c>
      <c r="C639" s="1" t="n">
        <v>45626</v>
      </c>
      <c r="D639" t="inlineStr">
        <is>
          <t>JÄMTLANDS LÄN</t>
        </is>
      </c>
      <c r="E639" t="inlineStr">
        <is>
          <t>ÖSTERSUND</t>
        </is>
      </c>
      <c r="F639" t="inlineStr">
        <is>
          <t>SCA</t>
        </is>
      </c>
      <c r="G639" t="n">
        <v>10.5</v>
      </c>
      <c r="H639" t="n">
        <v>0</v>
      </c>
      <c r="I639" t="n">
        <v>0</v>
      </c>
      <c r="J639" t="n">
        <v>0</v>
      </c>
      <c r="K639" t="n">
        <v>0</v>
      </c>
      <c r="L639" t="n">
        <v>0</v>
      </c>
      <c r="M639" t="n">
        <v>0</v>
      </c>
      <c r="N639" t="n">
        <v>0</v>
      </c>
      <c r="O639" t="n">
        <v>0</v>
      </c>
      <c r="P639" t="n">
        <v>0</v>
      </c>
      <c r="Q639" t="n">
        <v>0</v>
      </c>
      <c r="R639" s="2" t="inlineStr"/>
    </row>
    <row r="640" ht="15" customHeight="1">
      <c r="A640" t="inlineStr">
        <is>
          <t>A 41900-2023</t>
        </is>
      </c>
      <c r="B640" s="1" t="n">
        <v>45176</v>
      </c>
      <c r="C640" s="1" t="n">
        <v>45626</v>
      </c>
      <c r="D640" t="inlineStr">
        <is>
          <t>JÄMTLANDS LÄN</t>
        </is>
      </c>
      <c r="E640" t="inlineStr">
        <is>
          <t>ÖSTERSUND</t>
        </is>
      </c>
      <c r="G640" t="n">
        <v>24.4</v>
      </c>
      <c r="H640" t="n">
        <v>0</v>
      </c>
      <c r="I640" t="n">
        <v>0</v>
      </c>
      <c r="J640" t="n">
        <v>0</v>
      </c>
      <c r="K640" t="n">
        <v>0</v>
      </c>
      <c r="L640" t="n">
        <v>0</v>
      </c>
      <c r="M640" t="n">
        <v>0</v>
      </c>
      <c r="N640" t="n">
        <v>0</v>
      </c>
      <c r="O640" t="n">
        <v>0</v>
      </c>
      <c r="P640" t="n">
        <v>0</v>
      </c>
      <c r="Q640" t="n">
        <v>0</v>
      </c>
      <c r="R640" s="2" t="inlineStr"/>
    </row>
    <row r="641" ht="15" customHeight="1">
      <c r="A641" t="inlineStr">
        <is>
          <t>A 42151-2023</t>
        </is>
      </c>
      <c r="B641" s="1" t="n">
        <v>45178</v>
      </c>
      <c r="C641" s="1" t="n">
        <v>45626</v>
      </c>
      <c r="D641" t="inlineStr">
        <is>
          <t>JÄMTLANDS LÄN</t>
        </is>
      </c>
      <c r="E641" t="inlineStr">
        <is>
          <t>ÖSTERSUND</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43557-2023</t>
        </is>
      </c>
      <c r="B642" s="1" t="n">
        <v>45181</v>
      </c>
      <c r="C642" s="1" t="n">
        <v>45626</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42664-2023</t>
        </is>
      </c>
      <c r="B643" s="1" t="n">
        <v>45181</v>
      </c>
      <c r="C643" s="1" t="n">
        <v>45626</v>
      </c>
      <c r="D643" t="inlineStr">
        <is>
          <t>JÄMTLANDS LÄN</t>
        </is>
      </c>
      <c r="E643" t="inlineStr">
        <is>
          <t>ÖSTERSUND</t>
        </is>
      </c>
      <c r="F643" t="inlineStr">
        <is>
          <t>Övriga Aktiebolag</t>
        </is>
      </c>
      <c r="G643" t="n">
        <v>3.7</v>
      </c>
      <c r="H643" t="n">
        <v>0</v>
      </c>
      <c r="I643" t="n">
        <v>0</v>
      </c>
      <c r="J643" t="n">
        <v>0</v>
      </c>
      <c r="K643" t="n">
        <v>0</v>
      </c>
      <c r="L643" t="n">
        <v>0</v>
      </c>
      <c r="M643" t="n">
        <v>0</v>
      </c>
      <c r="N643" t="n">
        <v>0</v>
      </c>
      <c r="O643" t="n">
        <v>0</v>
      </c>
      <c r="P643" t="n">
        <v>0</v>
      </c>
      <c r="Q643" t="n">
        <v>0</v>
      </c>
      <c r="R643" s="2" t="inlineStr"/>
    </row>
    <row r="644" ht="15" customHeight="1">
      <c r="A644" t="inlineStr">
        <is>
          <t>A 42679-2023</t>
        </is>
      </c>
      <c r="B644" s="1" t="n">
        <v>45181</v>
      </c>
      <c r="C644" s="1" t="n">
        <v>45626</v>
      </c>
      <c r="D644" t="inlineStr">
        <is>
          <t>JÄMTLANDS LÄN</t>
        </is>
      </c>
      <c r="E644" t="inlineStr">
        <is>
          <t>ÖSTERSUND</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43740-2023</t>
        </is>
      </c>
      <c r="B645" s="1" t="n">
        <v>45182</v>
      </c>
      <c r="C645" s="1" t="n">
        <v>45626</v>
      </c>
      <c r="D645" t="inlineStr">
        <is>
          <t>JÄMTLANDS LÄN</t>
        </is>
      </c>
      <c r="E645" t="inlineStr">
        <is>
          <t>ÖSTERSUND</t>
        </is>
      </c>
      <c r="G645" t="n">
        <v>10.2</v>
      </c>
      <c r="H645" t="n">
        <v>0</v>
      </c>
      <c r="I645" t="n">
        <v>0</v>
      </c>
      <c r="J645" t="n">
        <v>0</v>
      </c>
      <c r="K645" t="n">
        <v>0</v>
      </c>
      <c r="L645" t="n">
        <v>0</v>
      </c>
      <c r="M645" t="n">
        <v>0</v>
      </c>
      <c r="N645" t="n">
        <v>0</v>
      </c>
      <c r="O645" t="n">
        <v>0</v>
      </c>
      <c r="P645" t="n">
        <v>0</v>
      </c>
      <c r="Q645" t="n">
        <v>0</v>
      </c>
      <c r="R645" s="2" t="inlineStr"/>
    </row>
    <row r="646" ht="15" customHeight="1">
      <c r="A646" t="inlineStr">
        <is>
          <t>A 43135-2023</t>
        </is>
      </c>
      <c r="B646" s="1" t="n">
        <v>45183</v>
      </c>
      <c r="C646" s="1" t="n">
        <v>45626</v>
      </c>
      <c r="D646" t="inlineStr">
        <is>
          <t>JÄMTLANDS LÄN</t>
        </is>
      </c>
      <c r="E646" t="inlineStr">
        <is>
          <t>ÖSTERSUND</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43252-2023</t>
        </is>
      </c>
      <c r="B647" s="1" t="n">
        <v>45183</v>
      </c>
      <c r="C647" s="1" t="n">
        <v>45626</v>
      </c>
      <c r="D647" t="inlineStr">
        <is>
          <t>JÄMTLANDS LÄN</t>
        </is>
      </c>
      <c r="E647" t="inlineStr">
        <is>
          <t>ÖSTERSUND</t>
        </is>
      </c>
      <c r="G647" t="n">
        <v>2.9</v>
      </c>
      <c r="H647" t="n">
        <v>0</v>
      </c>
      <c r="I647" t="n">
        <v>0</v>
      </c>
      <c r="J647" t="n">
        <v>0</v>
      </c>
      <c r="K647" t="n">
        <v>0</v>
      </c>
      <c r="L647" t="n">
        <v>0</v>
      </c>
      <c r="M647" t="n">
        <v>0</v>
      </c>
      <c r="N647" t="n">
        <v>0</v>
      </c>
      <c r="O647" t="n">
        <v>0</v>
      </c>
      <c r="P647" t="n">
        <v>0</v>
      </c>
      <c r="Q647" t="n">
        <v>0</v>
      </c>
      <c r="R647" s="2" t="inlineStr"/>
    </row>
    <row r="648" ht="15" customHeight="1">
      <c r="A648" t="inlineStr">
        <is>
          <t>A 44327-2023</t>
        </is>
      </c>
      <c r="B648" s="1" t="n">
        <v>45188</v>
      </c>
      <c r="C648" s="1" t="n">
        <v>45626</v>
      </c>
      <c r="D648" t="inlineStr">
        <is>
          <t>JÄMTLANDS LÄN</t>
        </is>
      </c>
      <c r="E648" t="inlineStr">
        <is>
          <t>ÖSTERSUND</t>
        </is>
      </c>
      <c r="G648" t="n">
        <v>1.5</v>
      </c>
      <c r="H648" t="n">
        <v>0</v>
      </c>
      <c r="I648" t="n">
        <v>0</v>
      </c>
      <c r="J648" t="n">
        <v>0</v>
      </c>
      <c r="K648" t="n">
        <v>0</v>
      </c>
      <c r="L648" t="n">
        <v>0</v>
      </c>
      <c r="M648" t="n">
        <v>0</v>
      </c>
      <c r="N648" t="n">
        <v>0</v>
      </c>
      <c r="O648" t="n">
        <v>0</v>
      </c>
      <c r="P648" t="n">
        <v>0</v>
      </c>
      <c r="Q648" t="n">
        <v>0</v>
      </c>
      <c r="R648" s="2" t="inlineStr"/>
    </row>
    <row r="649" ht="15" customHeight="1">
      <c r="A649" t="inlineStr">
        <is>
          <t>A 44359-2023</t>
        </is>
      </c>
      <c r="B649" s="1" t="n">
        <v>45188</v>
      </c>
      <c r="C649" s="1" t="n">
        <v>45626</v>
      </c>
      <c r="D649" t="inlineStr">
        <is>
          <t>JÄMTLANDS LÄN</t>
        </is>
      </c>
      <c r="E649" t="inlineStr">
        <is>
          <t>ÖSTERSUND</t>
        </is>
      </c>
      <c r="G649" t="n">
        <v>8.1</v>
      </c>
      <c r="H649" t="n">
        <v>0</v>
      </c>
      <c r="I649" t="n">
        <v>0</v>
      </c>
      <c r="J649" t="n">
        <v>0</v>
      </c>
      <c r="K649" t="n">
        <v>0</v>
      </c>
      <c r="L649" t="n">
        <v>0</v>
      </c>
      <c r="M649" t="n">
        <v>0</v>
      </c>
      <c r="N649" t="n">
        <v>0</v>
      </c>
      <c r="O649" t="n">
        <v>0</v>
      </c>
      <c r="P649" t="n">
        <v>0</v>
      </c>
      <c r="Q649" t="n">
        <v>0</v>
      </c>
      <c r="R649" s="2" t="inlineStr"/>
    </row>
    <row r="650" ht="15" customHeight="1">
      <c r="A650" t="inlineStr">
        <is>
          <t>A 45980-2023</t>
        </is>
      </c>
      <c r="B650" s="1" t="n">
        <v>45189</v>
      </c>
      <c r="C650" s="1" t="n">
        <v>45626</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44719-2023</t>
        </is>
      </c>
      <c r="B651" s="1" t="n">
        <v>45190</v>
      </c>
      <c r="C651" s="1" t="n">
        <v>45626</v>
      </c>
      <c r="D651" t="inlineStr">
        <is>
          <t>JÄMTLANDS LÄN</t>
        </is>
      </c>
      <c r="E651" t="inlineStr">
        <is>
          <t>ÖSTERSUND</t>
        </is>
      </c>
      <c r="G651" t="n">
        <v>17.5</v>
      </c>
      <c r="H651" t="n">
        <v>0</v>
      </c>
      <c r="I651" t="n">
        <v>0</v>
      </c>
      <c r="J651" t="n">
        <v>0</v>
      </c>
      <c r="K651" t="n">
        <v>0</v>
      </c>
      <c r="L651" t="n">
        <v>0</v>
      </c>
      <c r="M651" t="n">
        <v>0</v>
      </c>
      <c r="N651" t="n">
        <v>0</v>
      </c>
      <c r="O651" t="n">
        <v>0</v>
      </c>
      <c r="P651" t="n">
        <v>0</v>
      </c>
      <c r="Q651" t="n">
        <v>0</v>
      </c>
      <c r="R651" s="2" t="inlineStr"/>
    </row>
    <row r="652" ht="15" customHeight="1">
      <c r="A652" t="inlineStr">
        <is>
          <t>A 44798-2023</t>
        </is>
      </c>
      <c r="B652" s="1" t="n">
        <v>45190</v>
      </c>
      <c r="C652" s="1" t="n">
        <v>45626</v>
      </c>
      <c r="D652" t="inlineStr">
        <is>
          <t>JÄMTLANDS LÄN</t>
        </is>
      </c>
      <c r="E652" t="inlineStr">
        <is>
          <t>ÖSTERSUND</t>
        </is>
      </c>
      <c r="G652" t="n">
        <v>1.1</v>
      </c>
      <c r="H652" t="n">
        <v>0</v>
      </c>
      <c r="I652" t="n">
        <v>0</v>
      </c>
      <c r="J652" t="n">
        <v>0</v>
      </c>
      <c r="K652" t="n">
        <v>0</v>
      </c>
      <c r="L652" t="n">
        <v>0</v>
      </c>
      <c r="M652" t="n">
        <v>0</v>
      </c>
      <c r="N652" t="n">
        <v>0</v>
      </c>
      <c r="O652" t="n">
        <v>0</v>
      </c>
      <c r="P652" t="n">
        <v>0</v>
      </c>
      <c r="Q652" t="n">
        <v>0</v>
      </c>
      <c r="R652" s="2" t="inlineStr"/>
    </row>
    <row r="653" ht="15" customHeight="1">
      <c r="A653" t="inlineStr">
        <is>
          <t>A 46375-2023</t>
        </is>
      </c>
      <c r="B653" s="1" t="n">
        <v>45197</v>
      </c>
      <c r="C653" s="1" t="n">
        <v>45626</v>
      </c>
      <c r="D653" t="inlineStr">
        <is>
          <t>JÄMTLANDS LÄN</t>
        </is>
      </c>
      <c r="E653" t="inlineStr">
        <is>
          <t>ÖSTERSUND</t>
        </is>
      </c>
      <c r="G653" t="n">
        <v>2.5</v>
      </c>
      <c r="H653" t="n">
        <v>0</v>
      </c>
      <c r="I653" t="n">
        <v>0</v>
      </c>
      <c r="J653" t="n">
        <v>0</v>
      </c>
      <c r="K653" t="n">
        <v>0</v>
      </c>
      <c r="L653" t="n">
        <v>0</v>
      </c>
      <c r="M653" t="n">
        <v>0</v>
      </c>
      <c r="N653" t="n">
        <v>0</v>
      </c>
      <c r="O653" t="n">
        <v>0</v>
      </c>
      <c r="P653" t="n">
        <v>0</v>
      </c>
      <c r="Q653" t="n">
        <v>0</v>
      </c>
      <c r="R653" s="2" t="inlineStr"/>
    </row>
    <row r="654" ht="15" customHeight="1">
      <c r="A654" t="inlineStr">
        <is>
          <t>A 46763-2023</t>
        </is>
      </c>
      <c r="B654" s="1" t="n">
        <v>45198</v>
      </c>
      <c r="C654" s="1" t="n">
        <v>45626</v>
      </c>
      <c r="D654" t="inlineStr">
        <is>
          <t>JÄMTLANDS LÄN</t>
        </is>
      </c>
      <c r="E654" t="inlineStr">
        <is>
          <t>ÖSTERSUND</t>
        </is>
      </c>
      <c r="F654" t="inlineStr">
        <is>
          <t>Sveaskog</t>
        </is>
      </c>
      <c r="G654" t="n">
        <v>13.3</v>
      </c>
      <c r="H654" t="n">
        <v>0</v>
      </c>
      <c r="I654" t="n">
        <v>0</v>
      </c>
      <c r="J654" t="n">
        <v>0</v>
      </c>
      <c r="K654" t="n">
        <v>0</v>
      </c>
      <c r="L654" t="n">
        <v>0</v>
      </c>
      <c r="M654" t="n">
        <v>0</v>
      </c>
      <c r="N654" t="n">
        <v>0</v>
      </c>
      <c r="O654" t="n">
        <v>0</v>
      </c>
      <c r="P654" t="n">
        <v>0</v>
      </c>
      <c r="Q654" t="n">
        <v>0</v>
      </c>
      <c r="R654" s="2" t="inlineStr"/>
    </row>
    <row r="655" ht="15" customHeight="1">
      <c r="A655" t="inlineStr">
        <is>
          <t>A 46748-2023</t>
        </is>
      </c>
      <c r="B655" s="1" t="n">
        <v>45198</v>
      </c>
      <c r="C655" s="1" t="n">
        <v>45626</v>
      </c>
      <c r="D655" t="inlineStr">
        <is>
          <t>JÄMTLANDS LÄN</t>
        </is>
      </c>
      <c r="E655" t="inlineStr">
        <is>
          <t>ÖSTERSUND</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47086-2023</t>
        </is>
      </c>
      <c r="B656" s="1" t="n">
        <v>45201</v>
      </c>
      <c r="C656" s="1" t="n">
        <v>45626</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47252-2023</t>
        </is>
      </c>
      <c r="B657" s="1" t="n">
        <v>45202</v>
      </c>
      <c r="C657" s="1" t="n">
        <v>45626</v>
      </c>
      <c r="D657" t="inlineStr">
        <is>
          <t>JÄMTLANDS LÄN</t>
        </is>
      </c>
      <c r="E657" t="inlineStr">
        <is>
          <t>ÖSTERSUND</t>
        </is>
      </c>
      <c r="G657" t="n">
        <v>1.3</v>
      </c>
      <c r="H657" t="n">
        <v>0</v>
      </c>
      <c r="I657" t="n">
        <v>0</v>
      </c>
      <c r="J657" t="n">
        <v>0</v>
      </c>
      <c r="K657" t="n">
        <v>0</v>
      </c>
      <c r="L657" t="n">
        <v>0</v>
      </c>
      <c r="M657" t="n">
        <v>0</v>
      </c>
      <c r="N657" t="n">
        <v>0</v>
      </c>
      <c r="O657" t="n">
        <v>0</v>
      </c>
      <c r="P657" t="n">
        <v>0</v>
      </c>
      <c r="Q657" t="n">
        <v>0</v>
      </c>
      <c r="R657" s="2" t="inlineStr"/>
    </row>
    <row r="658" ht="15" customHeight="1">
      <c r="A658" t="inlineStr">
        <is>
          <t>A 47727-2023</t>
        </is>
      </c>
      <c r="B658" s="1" t="n">
        <v>45203</v>
      </c>
      <c r="C658" s="1" t="n">
        <v>45626</v>
      </c>
      <c r="D658" t="inlineStr">
        <is>
          <t>JÄMTLANDS LÄN</t>
        </is>
      </c>
      <c r="E658" t="inlineStr">
        <is>
          <t>ÖSTERSUND</t>
        </is>
      </c>
      <c r="G658" t="n">
        <v>2.6</v>
      </c>
      <c r="H658" t="n">
        <v>0</v>
      </c>
      <c r="I658" t="n">
        <v>0</v>
      </c>
      <c r="J658" t="n">
        <v>0</v>
      </c>
      <c r="K658" t="n">
        <v>0</v>
      </c>
      <c r="L658" t="n">
        <v>0</v>
      </c>
      <c r="M658" t="n">
        <v>0</v>
      </c>
      <c r="N658" t="n">
        <v>0</v>
      </c>
      <c r="O658" t="n">
        <v>0</v>
      </c>
      <c r="P658" t="n">
        <v>0</v>
      </c>
      <c r="Q658" t="n">
        <v>0</v>
      </c>
      <c r="R658" s="2" t="inlineStr"/>
    </row>
    <row r="659" ht="15" customHeight="1">
      <c r="A659" t="inlineStr">
        <is>
          <t>A 48374-2023</t>
        </is>
      </c>
      <c r="B659" s="1" t="n">
        <v>45205</v>
      </c>
      <c r="C659" s="1" t="n">
        <v>45626</v>
      </c>
      <c r="D659" t="inlineStr">
        <is>
          <t>JÄMTLANDS LÄN</t>
        </is>
      </c>
      <c r="E659" t="inlineStr">
        <is>
          <t>ÖSTERSUND</t>
        </is>
      </c>
      <c r="G659" t="n">
        <v>5.6</v>
      </c>
      <c r="H659" t="n">
        <v>0</v>
      </c>
      <c r="I659" t="n">
        <v>0</v>
      </c>
      <c r="J659" t="n">
        <v>0</v>
      </c>
      <c r="K659" t="n">
        <v>0</v>
      </c>
      <c r="L659" t="n">
        <v>0</v>
      </c>
      <c r="M659" t="n">
        <v>0</v>
      </c>
      <c r="N659" t="n">
        <v>0</v>
      </c>
      <c r="O659" t="n">
        <v>0</v>
      </c>
      <c r="P659" t="n">
        <v>0</v>
      </c>
      <c r="Q659" t="n">
        <v>0</v>
      </c>
      <c r="R659" s="2" t="inlineStr"/>
    </row>
    <row r="660" ht="15" customHeight="1">
      <c r="A660" t="inlineStr">
        <is>
          <t>A 50753-2023</t>
        </is>
      </c>
      <c r="B660" s="1" t="n">
        <v>45210</v>
      </c>
      <c r="C660" s="1" t="n">
        <v>45626</v>
      </c>
      <c r="D660" t="inlineStr">
        <is>
          <t>JÄMTLANDS LÄN</t>
        </is>
      </c>
      <c r="E660" t="inlineStr">
        <is>
          <t>ÖSTERSUND</t>
        </is>
      </c>
      <c r="G660" t="n">
        <v>29.3</v>
      </c>
      <c r="H660" t="n">
        <v>0</v>
      </c>
      <c r="I660" t="n">
        <v>0</v>
      </c>
      <c r="J660" t="n">
        <v>0</v>
      </c>
      <c r="K660" t="n">
        <v>0</v>
      </c>
      <c r="L660" t="n">
        <v>0</v>
      </c>
      <c r="M660" t="n">
        <v>0</v>
      </c>
      <c r="N660" t="n">
        <v>0</v>
      </c>
      <c r="O660" t="n">
        <v>0</v>
      </c>
      <c r="P660" t="n">
        <v>0</v>
      </c>
      <c r="Q660" t="n">
        <v>0</v>
      </c>
      <c r="R660" s="2" t="inlineStr"/>
    </row>
    <row r="661" ht="15" customHeight="1">
      <c r="A661" t="inlineStr">
        <is>
          <t>A 50953-2023</t>
        </is>
      </c>
      <c r="B661" s="1" t="n">
        <v>45211</v>
      </c>
      <c r="C661" s="1" t="n">
        <v>45626</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51701-2023</t>
        </is>
      </c>
      <c r="B662" s="1" t="n">
        <v>45215</v>
      </c>
      <c r="C662" s="1" t="n">
        <v>45626</v>
      </c>
      <c r="D662" t="inlineStr">
        <is>
          <t>JÄMTLANDS LÄN</t>
        </is>
      </c>
      <c r="E662" t="inlineStr">
        <is>
          <t>ÖSTERSUND</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52209-2023</t>
        </is>
      </c>
      <c r="B663" s="1" t="n">
        <v>45217</v>
      </c>
      <c r="C663" s="1" t="n">
        <v>45626</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50965-2023</t>
        </is>
      </c>
      <c r="B664" s="1" t="n">
        <v>45218</v>
      </c>
      <c r="C664" s="1" t="n">
        <v>45626</v>
      </c>
      <c r="D664" t="inlineStr">
        <is>
          <t>JÄMTLANDS LÄN</t>
        </is>
      </c>
      <c r="E664" t="inlineStr">
        <is>
          <t>ÖSTERSUND</t>
        </is>
      </c>
      <c r="G664" t="n">
        <v>3.5</v>
      </c>
      <c r="H664" t="n">
        <v>0</v>
      </c>
      <c r="I664" t="n">
        <v>0</v>
      </c>
      <c r="J664" t="n">
        <v>0</v>
      </c>
      <c r="K664" t="n">
        <v>0</v>
      </c>
      <c r="L664" t="n">
        <v>0</v>
      </c>
      <c r="M664" t="n">
        <v>0</v>
      </c>
      <c r="N664" t="n">
        <v>0</v>
      </c>
      <c r="O664" t="n">
        <v>0</v>
      </c>
      <c r="P664" t="n">
        <v>0</v>
      </c>
      <c r="Q664" t="n">
        <v>0</v>
      </c>
      <c r="R664" s="2" t="inlineStr"/>
    </row>
    <row r="665" ht="15" customHeight="1">
      <c r="A665" t="inlineStr">
        <is>
          <t>A 51480-2023</t>
        </is>
      </c>
      <c r="B665" s="1" t="n">
        <v>45222</v>
      </c>
      <c r="C665" s="1" t="n">
        <v>45626</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51482-2023</t>
        </is>
      </c>
      <c r="B666" s="1" t="n">
        <v>45222</v>
      </c>
      <c r="C666" s="1" t="n">
        <v>45626</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51481-2023</t>
        </is>
      </c>
      <c r="B667" s="1" t="n">
        <v>45222</v>
      </c>
      <c r="C667" s="1" t="n">
        <v>45626</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51479-2023</t>
        </is>
      </c>
      <c r="B668" s="1" t="n">
        <v>45222</v>
      </c>
      <c r="C668" s="1" t="n">
        <v>45626</v>
      </c>
      <c r="D668" t="inlineStr">
        <is>
          <t>JÄMTLANDS LÄN</t>
        </is>
      </c>
      <c r="E668" t="inlineStr">
        <is>
          <t>ÖSTERSUND</t>
        </is>
      </c>
      <c r="G668" t="n">
        <v>1.9</v>
      </c>
      <c r="H668" t="n">
        <v>0</v>
      </c>
      <c r="I668" t="n">
        <v>0</v>
      </c>
      <c r="J668" t="n">
        <v>0</v>
      </c>
      <c r="K668" t="n">
        <v>0</v>
      </c>
      <c r="L668" t="n">
        <v>0</v>
      </c>
      <c r="M668" t="n">
        <v>0</v>
      </c>
      <c r="N668" t="n">
        <v>0</v>
      </c>
      <c r="O668" t="n">
        <v>0</v>
      </c>
      <c r="P668" t="n">
        <v>0</v>
      </c>
      <c r="Q668" t="n">
        <v>0</v>
      </c>
      <c r="R668" s="2" t="inlineStr"/>
    </row>
    <row r="669" ht="15" customHeight="1">
      <c r="A669" t="inlineStr">
        <is>
          <t>A 53152-2023</t>
        </is>
      </c>
      <c r="B669" s="1" t="n">
        <v>45222</v>
      </c>
      <c r="C669" s="1" t="n">
        <v>45626</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51818-2023</t>
        </is>
      </c>
      <c r="B670" s="1" t="n">
        <v>45223</v>
      </c>
      <c r="C670" s="1" t="n">
        <v>45626</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51913-2023</t>
        </is>
      </c>
      <c r="B671" s="1" t="n">
        <v>45223</v>
      </c>
      <c r="C671" s="1" t="n">
        <v>45626</v>
      </c>
      <c r="D671" t="inlineStr">
        <is>
          <t>JÄMTLANDS LÄN</t>
        </is>
      </c>
      <c r="E671" t="inlineStr">
        <is>
          <t>ÖSTERSUND</t>
        </is>
      </c>
      <c r="F671" t="inlineStr">
        <is>
          <t>Övriga Aktiebolag</t>
        </is>
      </c>
      <c r="G671" t="n">
        <v>3.4</v>
      </c>
      <c r="H671" t="n">
        <v>0</v>
      </c>
      <c r="I671" t="n">
        <v>0</v>
      </c>
      <c r="J671" t="n">
        <v>0</v>
      </c>
      <c r="K671" t="n">
        <v>0</v>
      </c>
      <c r="L671" t="n">
        <v>0</v>
      </c>
      <c r="M671" t="n">
        <v>0</v>
      </c>
      <c r="N671" t="n">
        <v>0</v>
      </c>
      <c r="O671" t="n">
        <v>0</v>
      </c>
      <c r="P671" t="n">
        <v>0</v>
      </c>
      <c r="Q671" t="n">
        <v>0</v>
      </c>
      <c r="R671" s="2" t="inlineStr"/>
    </row>
    <row r="672" ht="15" customHeight="1">
      <c r="A672" t="inlineStr">
        <is>
          <t>A 51942-2023</t>
        </is>
      </c>
      <c r="B672" s="1" t="n">
        <v>45223</v>
      </c>
      <c r="C672" s="1" t="n">
        <v>45626</v>
      </c>
      <c r="D672" t="inlineStr">
        <is>
          <t>JÄMTLANDS LÄN</t>
        </is>
      </c>
      <c r="E672" t="inlineStr">
        <is>
          <t>ÖSTERSUND</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52128-2023</t>
        </is>
      </c>
      <c r="B673" s="1" t="n">
        <v>45223</v>
      </c>
      <c r="C673" s="1" t="n">
        <v>45626</v>
      </c>
      <c r="D673" t="inlineStr">
        <is>
          <t>JÄMTLANDS LÄN</t>
        </is>
      </c>
      <c r="E673" t="inlineStr">
        <is>
          <t>ÖSTERSUND</t>
        </is>
      </c>
      <c r="F673" t="inlineStr">
        <is>
          <t>SCA</t>
        </is>
      </c>
      <c r="G673" t="n">
        <v>11.9</v>
      </c>
      <c r="H673" t="n">
        <v>0</v>
      </c>
      <c r="I673" t="n">
        <v>0</v>
      </c>
      <c r="J673" t="n">
        <v>0</v>
      </c>
      <c r="K673" t="n">
        <v>0</v>
      </c>
      <c r="L673" t="n">
        <v>0</v>
      </c>
      <c r="M673" t="n">
        <v>0</v>
      </c>
      <c r="N673" t="n">
        <v>0</v>
      </c>
      <c r="O673" t="n">
        <v>0</v>
      </c>
      <c r="P673" t="n">
        <v>0</v>
      </c>
      <c r="Q673" t="n">
        <v>0</v>
      </c>
      <c r="R673" s="2" t="inlineStr"/>
    </row>
    <row r="674" ht="15" customHeight="1">
      <c r="A674" t="inlineStr">
        <is>
          <t>A 51936-2023</t>
        </is>
      </c>
      <c r="B674" s="1" t="n">
        <v>45223</v>
      </c>
      <c r="C674" s="1" t="n">
        <v>45626</v>
      </c>
      <c r="D674" t="inlineStr">
        <is>
          <t>JÄMTLANDS LÄN</t>
        </is>
      </c>
      <c r="E674" t="inlineStr">
        <is>
          <t>ÖSTERSUND</t>
        </is>
      </c>
      <c r="G674" t="n">
        <v>8.4</v>
      </c>
      <c r="H674" t="n">
        <v>0</v>
      </c>
      <c r="I674" t="n">
        <v>0</v>
      </c>
      <c r="J674" t="n">
        <v>0</v>
      </c>
      <c r="K674" t="n">
        <v>0</v>
      </c>
      <c r="L674" t="n">
        <v>0</v>
      </c>
      <c r="M674" t="n">
        <v>0</v>
      </c>
      <c r="N674" t="n">
        <v>0</v>
      </c>
      <c r="O674" t="n">
        <v>0</v>
      </c>
      <c r="P674" t="n">
        <v>0</v>
      </c>
      <c r="Q674" t="n">
        <v>0</v>
      </c>
      <c r="R674" s="2" t="inlineStr"/>
    </row>
    <row r="675" ht="15" customHeight="1">
      <c r="A675" t="inlineStr">
        <is>
          <t>A 51941-2023</t>
        </is>
      </c>
      <c r="B675" s="1" t="n">
        <v>45223</v>
      </c>
      <c r="C675" s="1" t="n">
        <v>45626</v>
      </c>
      <c r="D675" t="inlineStr">
        <is>
          <t>JÄMTLANDS LÄN</t>
        </is>
      </c>
      <c r="E675" t="inlineStr">
        <is>
          <t>ÖSTERSUND</t>
        </is>
      </c>
      <c r="G675" t="n">
        <v>4.6</v>
      </c>
      <c r="H675" t="n">
        <v>0</v>
      </c>
      <c r="I675" t="n">
        <v>0</v>
      </c>
      <c r="J675" t="n">
        <v>0</v>
      </c>
      <c r="K675" t="n">
        <v>0</v>
      </c>
      <c r="L675" t="n">
        <v>0</v>
      </c>
      <c r="M675" t="n">
        <v>0</v>
      </c>
      <c r="N675" t="n">
        <v>0</v>
      </c>
      <c r="O675" t="n">
        <v>0</v>
      </c>
      <c r="P675" t="n">
        <v>0</v>
      </c>
      <c r="Q675" t="n">
        <v>0</v>
      </c>
      <c r="R675" s="2" t="inlineStr"/>
    </row>
    <row r="676" ht="15" customHeight="1">
      <c r="A676" t="inlineStr">
        <is>
          <t>A 53378-2023</t>
        </is>
      </c>
      <c r="B676" s="1" t="n">
        <v>45223</v>
      </c>
      <c r="C676" s="1" t="n">
        <v>45626</v>
      </c>
      <c r="D676" t="inlineStr">
        <is>
          <t>JÄMTLANDS LÄN</t>
        </is>
      </c>
      <c r="E676" t="inlineStr">
        <is>
          <t>ÖSTERSUND</t>
        </is>
      </c>
      <c r="G676" t="n">
        <v>1.5</v>
      </c>
      <c r="H676" t="n">
        <v>0</v>
      </c>
      <c r="I676" t="n">
        <v>0</v>
      </c>
      <c r="J676" t="n">
        <v>0</v>
      </c>
      <c r="K676" t="n">
        <v>0</v>
      </c>
      <c r="L676" t="n">
        <v>0</v>
      </c>
      <c r="M676" t="n">
        <v>0</v>
      </c>
      <c r="N676" t="n">
        <v>0</v>
      </c>
      <c r="O676" t="n">
        <v>0</v>
      </c>
      <c r="P676" t="n">
        <v>0</v>
      </c>
      <c r="Q676" t="n">
        <v>0</v>
      </c>
      <c r="R676" s="2" t="inlineStr"/>
    </row>
    <row r="677" ht="15" customHeight="1">
      <c r="A677" t="inlineStr">
        <is>
          <t>A 53380-2023</t>
        </is>
      </c>
      <c r="B677" s="1" t="n">
        <v>45223</v>
      </c>
      <c r="C677" s="1" t="n">
        <v>45626</v>
      </c>
      <c r="D677" t="inlineStr">
        <is>
          <t>JÄMTLANDS LÄN</t>
        </is>
      </c>
      <c r="E677" t="inlineStr">
        <is>
          <t>ÖSTERSUND</t>
        </is>
      </c>
      <c r="G677" t="n">
        <v>1.7</v>
      </c>
      <c r="H677" t="n">
        <v>0</v>
      </c>
      <c r="I677" t="n">
        <v>0</v>
      </c>
      <c r="J677" t="n">
        <v>0</v>
      </c>
      <c r="K677" t="n">
        <v>0</v>
      </c>
      <c r="L677" t="n">
        <v>0</v>
      </c>
      <c r="M677" t="n">
        <v>0</v>
      </c>
      <c r="N677" t="n">
        <v>0</v>
      </c>
      <c r="O677" t="n">
        <v>0</v>
      </c>
      <c r="P677" t="n">
        <v>0</v>
      </c>
      <c r="Q677" t="n">
        <v>0</v>
      </c>
      <c r="R677" s="2" t="inlineStr"/>
    </row>
    <row r="678" ht="15" customHeight="1">
      <c r="A678" t="inlineStr">
        <is>
          <t>A 52553-2023</t>
        </is>
      </c>
      <c r="B678" s="1" t="n">
        <v>45225</v>
      </c>
      <c r="C678" s="1" t="n">
        <v>45626</v>
      </c>
      <c r="D678" t="inlineStr">
        <is>
          <t>JÄMTLANDS LÄN</t>
        </is>
      </c>
      <c r="E678" t="inlineStr">
        <is>
          <t>ÖSTERSUND</t>
        </is>
      </c>
      <c r="G678" t="n">
        <v>19.9</v>
      </c>
      <c r="H678" t="n">
        <v>0</v>
      </c>
      <c r="I678" t="n">
        <v>0</v>
      </c>
      <c r="J678" t="n">
        <v>0</v>
      </c>
      <c r="K678" t="n">
        <v>0</v>
      </c>
      <c r="L678" t="n">
        <v>0</v>
      </c>
      <c r="M678" t="n">
        <v>0</v>
      </c>
      <c r="N678" t="n">
        <v>0</v>
      </c>
      <c r="O678" t="n">
        <v>0</v>
      </c>
      <c r="P678" t="n">
        <v>0</v>
      </c>
      <c r="Q678" t="n">
        <v>0</v>
      </c>
      <c r="R678" s="2" t="inlineStr"/>
    </row>
    <row r="679" ht="15" customHeight="1">
      <c r="A679" t="inlineStr">
        <is>
          <t>A 55235-2023</t>
        </is>
      </c>
      <c r="B679" s="1" t="n">
        <v>45231</v>
      </c>
      <c r="C679" s="1" t="n">
        <v>45626</v>
      </c>
      <c r="D679" t="inlineStr">
        <is>
          <t>JÄMTLANDS LÄN</t>
        </is>
      </c>
      <c r="E679" t="inlineStr">
        <is>
          <t>ÖSTERSUND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55251-2023</t>
        </is>
      </c>
      <c r="B680" s="1" t="n">
        <v>45231</v>
      </c>
      <c r="C680" s="1" t="n">
        <v>45626</v>
      </c>
      <c r="D680" t="inlineStr">
        <is>
          <t>JÄMTLANDS LÄN</t>
        </is>
      </c>
      <c r="E680" t="inlineStr">
        <is>
          <t>ÖSTERSUND</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55400-2023</t>
        </is>
      </c>
      <c r="B681" s="1" t="n">
        <v>45231</v>
      </c>
      <c r="C681" s="1" t="n">
        <v>45626</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54131-2023</t>
        </is>
      </c>
      <c r="B682" s="1" t="n">
        <v>45232</v>
      </c>
      <c r="C682" s="1" t="n">
        <v>45626</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54608-2023</t>
        </is>
      </c>
      <c r="B683" s="1" t="n">
        <v>45233</v>
      </c>
      <c r="C683" s="1" t="n">
        <v>45626</v>
      </c>
      <c r="D683" t="inlineStr">
        <is>
          <t>JÄMTLANDS LÄN</t>
        </is>
      </c>
      <c r="E683" t="inlineStr">
        <is>
          <t>ÖSTERSUND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55996-2023</t>
        </is>
      </c>
      <c r="B684" s="1" t="n">
        <v>45233</v>
      </c>
      <c r="C684" s="1" t="n">
        <v>45626</v>
      </c>
      <c r="D684" t="inlineStr">
        <is>
          <t>JÄMTLANDS LÄN</t>
        </is>
      </c>
      <c r="E684" t="inlineStr">
        <is>
          <t>ÖSTERSUND</t>
        </is>
      </c>
      <c r="G684" t="n">
        <v>2.4</v>
      </c>
      <c r="H684" t="n">
        <v>0</v>
      </c>
      <c r="I684" t="n">
        <v>0</v>
      </c>
      <c r="J684" t="n">
        <v>0</v>
      </c>
      <c r="K684" t="n">
        <v>0</v>
      </c>
      <c r="L684" t="n">
        <v>0</v>
      </c>
      <c r="M684" t="n">
        <v>0</v>
      </c>
      <c r="N684" t="n">
        <v>0</v>
      </c>
      <c r="O684" t="n">
        <v>0</v>
      </c>
      <c r="P684" t="n">
        <v>0</v>
      </c>
      <c r="Q684" t="n">
        <v>0</v>
      </c>
      <c r="R684" s="2" t="inlineStr"/>
    </row>
    <row r="685" ht="15" customHeight="1">
      <c r="A685" t="inlineStr">
        <is>
          <t>A 56043-2023</t>
        </is>
      </c>
      <c r="B685" s="1" t="n">
        <v>45233</v>
      </c>
      <c r="C685" s="1" t="n">
        <v>45626</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54576-2023</t>
        </is>
      </c>
      <c r="B686" s="1" t="n">
        <v>45233</v>
      </c>
      <c r="C686" s="1" t="n">
        <v>45626</v>
      </c>
      <c r="D686" t="inlineStr">
        <is>
          <t>JÄMTLANDS LÄN</t>
        </is>
      </c>
      <c r="E686" t="inlineStr">
        <is>
          <t>ÖSTERSUND</t>
        </is>
      </c>
      <c r="F686" t="inlineStr">
        <is>
          <t>Övriga Aktiebolag</t>
        </is>
      </c>
      <c r="G686" t="n">
        <v>7.3</v>
      </c>
      <c r="H686" t="n">
        <v>0</v>
      </c>
      <c r="I686" t="n">
        <v>0</v>
      </c>
      <c r="J686" t="n">
        <v>0</v>
      </c>
      <c r="K686" t="n">
        <v>0</v>
      </c>
      <c r="L686" t="n">
        <v>0</v>
      </c>
      <c r="M686" t="n">
        <v>0</v>
      </c>
      <c r="N686" t="n">
        <v>0</v>
      </c>
      <c r="O686" t="n">
        <v>0</v>
      </c>
      <c r="P686" t="n">
        <v>0</v>
      </c>
      <c r="Q686" t="n">
        <v>0</v>
      </c>
      <c r="R686" s="2" t="inlineStr"/>
    </row>
    <row r="687" ht="15" customHeight="1">
      <c r="A687" t="inlineStr">
        <is>
          <t>A 54762-2023</t>
        </is>
      </c>
      <c r="B687" s="1" t="n">
        <v>45236</v>
      </c>
      <c r="C687" s="1" t="n">
        <v>45626</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54883-2023</t>
        </is>
      </c>
      <c r="B688" s="1" t="n">
        <v>45236</v>
      </c>
      <c r="C688" s="1" t="n">
        <v>45626</v>
      </c>
      <c r="D688" t="inlineStr">
        <is>
          <t>JÄMTLANDS LÄN</t>
        </is>
      </c>
      <c r="E688" t="inlineStr">
        <is>
          <t>ÖSTERSUND</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54973-2023</t>
        </is>
      </c>
      <c r="B689" s="1" t="n">
        <v>45236</v>
      </c>
      <c r="C689" s="1" t="n">
        <v>45626</v>
      </c>
      <c r="D689" t="inlineStr">
        <is>
          <t>JÄMTLANDS LÄN</t>
        </is>
      </c>
      <c r="E689" t="inlineStr">
        <is>
          <t>ÖSTERSUND</t>
        </is>
      </c>
      <c r="G689" t="n">
        <v>15.4</v>
      </c>
      <c r="H689" t="n">
        <v>0</v>
      </c>
      <c r="I689" t="n">
        <v>0</v>
      </c>
      <c r="J689" t="n">
        <v>0</v>
      </c>
      <c r="K689" t="n">
        <v>0</v>
      </c>
      <c r="L689" t="n">
        <v>0</v>
      </c>
      <c r="M689" t="n">
        <v>0</v>
      </c>
      <c r="N689" t="n">
        <v>0</v>
      </c>
      <c r="O689" t="n">
        <v>0</v>
      </c>
      <c r="P689" t="n">
        <v>0</v>
      </c>
      <c r="Q689" t="n">
        <v>0</v>
      </c>
      <c r="R689" s="2" t="inlineStr"/>
    </row>
    <row r="690" ht="15" customHeight="1">
      <c r="A690" t="inlineStr">
        <is>
          <t>A 55140-2023</t>
        </is>
      </c>
      <c r="B690" s="1" t="n">
        <v>45237</v>
      </c>
      <c r="C690" s="1" t="n">
        <v>45626</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55237-2023</t>
        </is>
      </c>
      <c r="B691" s="1" t="n">
        <v>45237</v>
      </c>
      <c r="C691" s="1" t="n">
        <v>45626</v>
      </c>
      <c r="D691" t="inlineStr">
        <is>
          <t>JÄMTLANDS LÄN</t>
        </is>
      </c>
      <c r="E691" t="inlineStr">
        <is>
          <t>ÖSTERSUND</t>
        </is>
      </c>
      <c r="G691" t="n">
        <v>2.7</v>
      </c>
      <c r="H691" t="n">
        <v>0</v>
      </c>
      <c r="I691" t="n">
        <v>0</v>
      </c>
      <c r="J691" t="n">
        <v>0</v>
      </c>
      <c r="K691" t="n">
        <v>0</v>
      </c>
      <c r="L691" t="n">
        <v>0</v>
      </c>
      <c r="M691" t="n">
        <v>0</v>
      </c>
      <c r="N691" t="n">
        <v>0</v>
      </c>
      <c r="O691" t="n">
        <v>0</v>
      </c>
      <c r="P691" t="n">
        <v>0</v>
      </c>
      <c r="Q691" t="n">
        <v>0</v>
      </c>
      <c r="R691" s="2" t="inlineStr"/>
    </row>
    <row r="692" ht="15" customHeight="1">
      <c r="A692" t="inlineStr">
        <is>
          <t>A 55233-2023</t>
        </is>
      </c>
      <c r="B692" s="1" t="n">
        <v>45237</v>
      </c>
      <c r="C692" s="1" t="n">
        <v>45626</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56440-2023</t>
        </is>
      </c>
      <c r="B693" s="1" t="n">
        <v>45237</v>
      </c>
      <c r="C693" s="1" t="n">
        <v>45626</v>
      </c>
      <c r="D693" t="inlineStr">
        <is>
          <t>JÄMTLANDS LÄN</t>
        </is>
      </c>
      <c r="E693" t="inlineStr">
        <is>
          <t>ÖSTERSUND</t>
        </is>
      </c>
      <c r="G693" t="n">
        <v>10.2</v>
      </c>
      <c r="H693" t="n">
        <v>0</v>
      </c>
      <c r="I693" t="n">
        <v>0</v>
      </c>
      <c r="J693" t="n">
        <v>0</v>
      </c>
      <c r="K693" t="n">
        <v>0</v>
      </c>
      <c r="L693" t="n">
        <v>0</v>
      </c>
      <c r="M693" t="n">
        <v>0</v>
      </c>
      <c r="N693" t="n">
        <v>0</v>
      </c>
      <c r="O693" t="n">
        <v>0</v>
      </c>
      <c r="P693" t="n">
        <v>0</v>
      </c>
      <c r="Q693" t="n">
        <v>0</v>
      </c>
      <c r="R693" s="2" t="inlineStr"/>
    </row>
    <row r="694" ht="15" customHeight="1">
      <c r="A694" t="inlineStr">
        <is>
          <t>A 55666-2023</t>
        </is>
      </c>
      <c r="B694" s="1" t="n">
        <v>45239</v>
      </c>
      <c r="C694" s="1" t="n">
        <v>45626</v>
      </c>
      <c r="D694" t="inlineStr">
        <is>
          <t>JÄMTLANDS LÄN</t>
        </is>
      </c>
      <c r="E694" t="inlineStr">
        <is>
          <t>ÖSTERSUND</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56597-2023</t>
        </is>
      </c>
      <c r="B695" s="1" t="n">
        <v>45238</v>
      </c>
      <c r="C695" s="1" t="n">
        <v>45626</v>
      </c>
      <c r="D695" t="inlineStr">
        <is>
          <t>JÄMTLANDS LÄN</t>
        </is>
      </c>
      <c r="E695" t="inlineStr">
        <is>
          <t>ÖSTERSUND</t>
        </is>
      </c>
      <c r="G695" t="n">
        <v>5.1</v>
      </c>
      <c r="H695" t="n">
        <v>0</v>
      </c>
      <c r="I695" t="n">
        <v>0</v>
      </c>
      <c r="J695" t="n">
        <v>0</v>
      </c>
      <c r="K695" t="n">
        <v>0</v>
      </c>
      <c r="L695" t="n">
        <v>0</v>
      </c>
      <c r="M695" t="n">
        <v>0</v>
      </c>
      <c r="N695" t="n">
        <v>0</v>
      </c>
      <c r="O695" t="n">
        <v>0</v>
      </c>
      <c r="P695" t="n">
        <v>0</v>
      </c>
      <c r="Q695" t="n">
        <v>0</v>
      </c>
      <c r="R695" s="2" t="inlineStr"/>
    </row>
    <row r="696" ht="15" customHeight="1">
      <c r="A696" t="inlineStr">
        <is>
          <t>A 55678-2023</t>
        </is>
      </c>
      <c r="B696" s="1" t="n">
        <v>45239</v>
      </c>
      <c r="C696" s="1" t="n">
        <v>45626</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55785-2023</t>
        </is>
      </c>
      <c r="B697" s="1" t="n">
        <v>45239</v>
      </c>
      <c r="C697" s="1" t="n">
        <v>45626</v>
      </c>
      <c r="D697" t="inlineStr">
        <is>
          <t>JÄMTLANDS LÄN</t>
        </is>
      </c>
      <c r="E697" t="inlineStr">
        <is>
          <t>ÖSTERSUND</t>
        </is>
      </c>
      <c r="F697" t="inlineStr">
        <is>
          <t>Övriga Aktiebolag</t>
        </is>
      </c>
      <c r="G697" t="n">
        <v>16.4</v>
      </c>
      <c r="H697" t="n">
        <v>0</v>
      </c>
      <c r="I697" t="n">
        <v>0</v>
      </c>
      <c r="J697" t="n">
        <v>0</v>
      </c>
      <c r="K697" t="n">
        <v>0</v>
      </c>
      <c r="L697" t="n">
        <v>0</v>
      </c>
      <c r="M697" t="n">
        <v>0</v>
      </c>
      <c r="N697" t="n">
        <v>0</v>
      </c>
      <c r="O697" t="n">
        <v>0</v>
      </c>
      <c r="P697" t="n">
        <v>0</v>
      </c>
      <c r="Q697" t="n">
        <v>0</v>
      </c>
      <c r="R697" s="2" t="inlineStr"/>
    </row>
    <row r="698" ht="15" customHeight="1">
      <c r="A698" t="inlineStr">
        <is>
          <t>A 55827-2023</t>
        </is>
      </c>
      <c r="B698" s="1" t="n">
        <v>45239</v>
      </c>
      <c r="C698" s="1" t="n">
        <v>45626</v>
      </c>
      <c r="D698" t="inlineStr">
        <is>
          <t>JÄMTLANDS LÄN</t>
        </is>
      </c>
      <c r="E698" t="inlineStr">
        <is>
          <t>ÖSTERSUND</t>
        </is>
      </c>
      <c r="F698" t="inlineStr">
        <is>
          <t>Övriga Aktiebolag</t>
        </is>
      </c>
      <c r="G698" t="n">
        <v>9.1</v>
      </c>
      <c r="H698" t="n">
        <v>0</v>
      </c>
      <c r="I698" t="n">
        <v>0</v>
      </c>
      <c r="J698" t="n">
        <v>0</v>
      </c>
      <c r="K698" t="n">
        <v>0</v>
      </c>
      <c r="L698" t="n">
        <v>0</v>
      </c>
      <c r="M698" t="n">
        <v>0</v>
      </c>
      <c r="N698" t="n">
        <v>0</v>
      </c>
      <c r="O698" t="n">
        <v>0</v>
      </c>
      <c r="P698" t="n">
        <v>0</v>
      </c>
      <c r="Q698" t="n">
        <v>0</v>
      </c>
      <c r="R698" s="2" t="inlineStr"/>
    </row>
    <row r="699" ht="15" customHeight="1">
      <c r="A699" t="inlineStr">
        <is>
          <t>A 56465-2023</t>
        </is>
      </c>
      <c r="B699" s="1" t="n">
        <v>45243</v>
      </c>
      <c r="C699" s="1" t="n">
        <v>45626</v>
      </c>
      <c r="D699" t="inlineStr">
        <is>
          <t>JÄMTLANDS LÄN</t>
        </is>
      </c>
      <c r="E699" t="inlineStr">
        <is>
          <t>ÖSTERSUND</t>
        </is>
      </c>
      <c r="G699" t="n">
        <v>0.8</v>
      </c>
      <c r="H699" t="n">
        <v>0</v>
      </c>
      <c r="I699" t="n">
        <v>0</v>
      </c>
      <c r="J699" t="n">
        <v>0</v>
      </c>
      <c r="K699" t="n">
        <v>0</v>
      </c>
      <c r="L699" t="n">
        <v>0</v>
      </c>
      <c r="M699" t="n">
        <v>0</v>
      </c>
      <c r="N699" t="n">
        <v>0</v>
      </c>
      <c r="O699" t="n">
        <v>0</v>
      </c>
      <c r="P699" t="n">
        <v>0</v>
      </c>
      <c r="Q699" t="n">
        <v>0</v>
      </c>
      <c r="R699" s="2" t="inlineStr"/>
    </row>
    <row r="700" ht="15" customHeight="1">
      <c r="A700" t="inlineStr">
        <is>
          <t>A 56478-2023</t>
        </is>
      </c>
      <c r="B700" s="1" t="n">
        <v>45243</v>
      </c>
      <c r="C700" s="1" t="n">
        <v>45626</v>
      </c>
      <c r="D700" t="inlineStr">
        <is>
          <t>JÄMTLANDS LÄN</t>
        </is>
      </c>
      <c r="E700" t="inlineStr">
        <is>
          <t>ÖSTERSUND</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57863-2023</t>
        </is>
      </c>
      <c r="B701" s="1" t="n">
        <v>45244</v>
      </c>
      <c r="C701" s="1" t="n">
        <v>45626</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57398-2023</t>
        </is>
      </c>
      <c r="B702" s="1" t="n">
        <v>45245</v>
      </c>
      <c r="C702" s="1" t="n">
        <v>45626</v>
      </c>
      <c r="D702" t="inlineStr">
        <is>
          <t>JÄMTLANDS LÄN</t>
        </is>
      </c>
      <c r="E702" t="inlineStr">
        <is>
          <t>ÖSTERSUND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58809-2023</t>
        </is>
      </c>
      <c r="B703" s="1" t="n">
        <v>45247</v>
      </c>
      <c r="C703" s="1" t="n">
        <v>45626</v>
      </c>
      <c r="D703" t="inlineStr">
        <is>
          <t>JÄMTLANDS LÄN</t>
        </is>
      </c>
      <c r="E703" t="inlineStr">
        <is>
          <t>ÖSTERSUND</t>
        </is>
      </c>
      <c r="G703" t="n">
        <v>8.800000000000001</v>
      </c>
      <c r="H703" t="n">
        <v>0</v>
      </c>
      <c r="I703" t="n">
        <v>0</v>
      </c>
      <c r="J703" t="n">
        <v>0</v>
      </c>
      <c r="K703" t="n">
        <v>0</v>
      </c>
      <c r="L703" t="n">
        <v>0</v>
      </c>
      <c r="M703" t="n">
        <v>0</v>
      </c>
      <c r="N703" t="n">
        <v>0</v>
      </c>
      <c r="O703" t="n">
        <v>0</v>
      </c>
      <c r="P703" t="n">
        <v>0</v>
      </c>
      <c r="Q703" t="n">
        <v>0</v>
      </c>
      <c r="R703" s="2" t="inlineStr"/>
    </row>
    <row r="704" ht="15" customHeight="1">
      <c r="A704" t="inlineStr">
        <is>
          <t>A 58818-2023</t>
        </is>
      </c>
      <c r="B704" s="1" t="n">
        <v>45247</v>
      </c>
      <c r="C704" s="1" t="n">
        <v>45626</v>
      </c>
      <c r="D704" t="inlineStr">
        <is>
          <t>JÄMTLANDS LÄN</t>
        </is>
      </c>
      <c r="E704" t="inlineStr">
        <is>
          <t>ÖSTERSUND</t>
        </is>
      </c>
      <c r="G704" t="n">
        <v>6.7</v>
      </c>
      <c r="H704" t="n">
        <v>0</v>
      </c>
      <c r="I704" t="n">
        <v>0</v>
      </c>
      <c r="J704" t="n">
        <v>0</v>
      </c>
      <c r="K704" t="n">
        <v>0</v>
      </c>
      <c r="L704" t="n">
        <v>0</v>
      </c>
      <c r="M704" t="n">
        <v>0</v>
      </c>
      <c r="N704" t="n">
        <v>0</v>
      </c>
      <c r="O704" t="n">
        <v>0</v>
      </c>
      <c r="P704" t="n">
        <v>0</v>
      </c>
      <c r="Q704" t="n">
        <v>0</v>
      </c>
      <c r="R704" s="2" t="inlineStr"/>
    </row>
    <row r="705" ht="15" customHeight="1">
      <c r="A705" t="inlineStr">
        <is>
          <t>A 57839-2023</t>
        </is>
      </c>
      <c r="B705" s="1" t="n">
        <v>45247</v>
      </c>
      <c r="C705" s="1" t="n">
        <v>45626</v>
      </c>
      <c r="D705" t="inlineStr">
        <is>
          <t>JÄMTLANDS LÄN</t>
        </is>
      </c>
      <c r="E705" t="inlineStr">
        <is>
          <t>ÖSTERSUND</t>
        </is>
      </c>
      <c r="G705" t="n">
        <v>6.1</v>
      </c>
      <c r="H705" t="n">
        <v>0</v>
      </c>
      <c r="I705" t="n">
        <v>0</v>
      </c>
      <c r="J705" t="n">
        <v>0</v>
      </c>
      <c r="K705" t="n">
        <v>0</v>
      </c>
      <c r="L705" t="n">
        <v>0</v>
      </c>
      <c r="M705" t="n">
        <v>0</v>
      </c>
      <c r="N705" t="n">
        <v>0</v>
      </c>
      <c r="O705" t="n">
        <v>0</v>
      </c>
      <c r="P705" t="n">
        <v>0</v>
      </c>
      <c r="Q705" t="n">
        <v>0</v>
      </c>
      <c r="R705" s="2" t="inlineStr"/>
    </row>
    <row r="706" ht="15" customHeight="1">
      <c r="A706" t="inlineStr">
        <is>
          <t>A 59021-2023</t>
        </is>
      </c>
      <c r="B706" s="1" t="n">
        <v>45250</v>
      </c>
      <c r="C706" s="1" t="n">
        <v>45626</v>
      </c>
      <c r="D706" t="inlineStr">
        <is>
          <t>JÄMTLANDS LÄN</t>
        </is>
      </c>
      <c r="E706" t="inlineStr">
        <is>
          <t>ÖSTERSUND</t>
        </is>
      </c>
      <c r="G706" t="n">
        <v>7</v>
      </c>
      <c r="H706" t="n">
        <v>0</v>
      </c>
      <c r="I706" t="n">
        <v>0</v>
      </c>
      <c r="J706" t="n">
        <v>0</v>
      </c>
      <c r="K706" t="n">
        <v>0</v>
      </c>
      <c r="L706" t="n">
        <v>0</v>
      </c>
      <c r="M706" t="n">
        <v>0</v>
      </c>
      <c r="N706" t="n">
        <v>0</v>
      </c>
      <c r="O706" t="n">
        <v>0</v>
      </c>
      <c r="P706" t="n">
        <v>0</v>
      </c>
      <c r="Q706" t="n">
        <v>0</v>
      </c>
      <c r="R706" s="2" t="inlineStr"/>
    </row>
    <row r="707" ht="15" customHeight="1">
      <c r="A707" t="inlineStr">
        <is>
          <t>A 59094-2023</t>
        </is>
      </c>
      <c r="B707" s="1" t="n">
        <v>45253</v>
      </c>
      <c r="C707" s="1" t="n">
        <v>45626</v>
      </c>
      <c r="D707" t="inlineStr">
        <is>
          <t>JÄMTLANDS LÄN</t>
        </is>
      </c>
      <c r="E707" t="inlineStr">
        <is>
          <t>ÖSTERSUND</t>
        </is>
      </c>
      <c r="G707" t="n">
        <v>0.8</v>
      </c>
      <c r="H707" t="n">
        <v>0</v>
      </c>
      <c r="I707" t="n">
        <v>0</v>
      </c>
      <c r="J707" t="n">
        <v>0</v>
      </c>
      <c r="K707" t="n">
        <v>0</v>
      </c>
      <c r="L707" t="n">
        <v>0</v>
      </c>
      <c r="M707" t="n">
        <v>0</v>
      </c>
      <c r="N707" t="n">
        <v>0</v>
      </c>
      <c r="O707" t="n">
        <v>0</v>
      </c>
      <c r="P707" t="n">
        <v>0</v>
      </c>
      <c r="Q707" t="n">
        <v>0</v>
      </c>
      <c r="R707" s="2" t="inlineStr"/>
    </row>
    <row r="708" ht="15" customHeight="1">
      <c r="A708" t="inlineStr">
        <is>
          <t>A 59095-2023</t>
        </is>
      </c>
      <c r="B708" s="1" t="n">
        <v>45253</v>
      </c>
      <c r="C708" s="1" t="n">
        <v>45626</v>
      </c>
      <c r="D708" t="inlineStr">
        <is>
          <t>JÄMTLANDS LÄN</t>
        </is>
      </c>
      <c r="E708" t="inlineStr">
        <is>
          <t>ÖSTERSUND</t>
        </is>
      </c>
      <c r="G708" t="n">
        <v>0.8</v>
      </c>
      <c r="H708" t="n">
        <v>0</v>
      </c>
      <c r="I708" t="n">
        <v>0</v>
      </c>
      <c r="J708" t="n">
        <v>0</v>
      </c>
      <c r="K708" t="n">
        <v>0</v>
      </c>
      <c r="L708" t="n">
        <v>0</v>
      </c>
      <c r="M708" t="n">
        <v>0</v>
      </c>
      <c r="N708" t="n">
        <v>0</v>
      </c>
      <c r="O708" t="n">
        <v>0</v>
      </c>
      <c r="P708" t="n">
        <v>0</v>
      </c>
      <c r="Q708" t="n">
        <v>0</v>
      </c>
      <c r="R708" s="2" t="inlineStr"/>
    </row>
    <row r="709" ht="15" customHeight="1">
      <c r="A709" t="inlineStr">
        <is>
          <t>A 59611-2023</t>
        </is>
      </c>
      <c r="B709" s="1" t="n">
        <v>45254</v>
      </c>
      <c r="C709" s="1" t="n">
        <v>45626</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59953-2023</t>
        </is>
      </c>
      <c r="B710" s="1" t="n">
        <v>45254</v>
      </c>
      <c r="C710" s="1" t="n">
        <v>45626</v>
      </c>
      <c r="D710" t="inlineStr">
        <is>
          <t>JÄMTLANDS LÄN</t>
        </is>
      </c>
      <c r="E710" t="inlineStr">
        <is>
          <t>ÖSTERSUND</t>
        </is>
      </c>
      <c r="G710" t="n">
        <v>4.6</v>
      </c>
      <c r="H710" t="n">
        <v>0</v>
      </c>
      <c r="I710" t="n">
        <v>0</v>
      </c>
      <c r="J710" t="n">
        <v>0</v>
      </c>
      <c r="K710" t="n">
        <v>0</v>
      </c>
      <c r="L710" t="n">
        <v>0</v>
      </c>
      <c r="M710" t="n">
        <v>0</v>
      </c>
      <c r="N710" t="n">
        <v>0</v>
      </c>
      <c r="O710" t="n">
        <v>0</v>
      </c>
      <c r="P710" t="n">
        <v>0</v>
      </c>
      <c r="Q710" t="n">
        <v>0</v>
      </c>
      <c r="R710" s="2" t="inlineStr"/>
    </row>
    <row r="711" ht="15" customHeight="1">
      <c r="A711" t="inlineStr">
        <is>
          <t>A 59694-2023</t>
        </is>
      </c>
      <c r="B711" s="1" t="n">
        <v>45256</v>
      </c>
      <c r="C711" s="1" t="n">
        <v>45626</v>
      </c>
      <c r="D711" t="inlineStr">
        <is>
          <t>JÄMTLANDS LÄN</t>
        </is>
      </c>
      <c r="E711" t="inlineStr">
        <is>
          <t>ÖSTERSUND</t>
        </is>
      </c>
      <c r="G711" t="n">
        <v>4.1</v>
      </c>
      <c r="H711" t="n">
        <v>0</v>
      </c>
      <c r="I711" t="n">
        <v>0</v>
      </c>
      <c r="J711" t="n">
        <v>0</v>
      </c>
      <c r="K711" t="n">
        <v>0</v>
      </c>
      <c r="L711" t="n">
        <v>0</v>
      </c>
      <c r="M711" t="n">
        <v>0</v>
      </c>
      <c r="N711" t="n">
        <v>0</v>
      </c>
      <c r="O711" t="n">
        <v>0</v>
      </c>
      <c r="P711" t="n">
        <v>0</v>
      </c>
      <c r="Q711" t="n">
        <v>0</v>
      </c>
      <c r="R711" s="2" t="inlineStr"/>
    </row>
    <row r="712" ht="15" customHeight="1">
      <c r="A712" t="inlineStr">
        <is>
          <t>A 59813-2023</t>
        </is>
      </c>
      <c r="B712" s="1" t="n">
        <v>45257</v>
      </c>
      <c r="C712" s="1" t="n">
        <v>45626</v>
      </c>
      <c r="D712" t="inlineStr">
        <is>
          <t>JÄMTLANDS LÄN</t>
        </is>
      </c>
      <c r="E712" t="inlineStr">
        <is>
          <t>ÖSTERSUND</t>
        </is>
      </c>
      <c r="G712" t="n">
        <v>3.8</v>
      </c>
      <c r="H712" t="n">
        <v>0</v>
      </c>
      <c r="I712" t="n">
        <v>0</v>
      </c>
      <c r="J712" t="n">
        <v>0</v>
      </c>
      <c r="K712" t="n">
        <v>0</v>
      </c>
      <c r="L712" t="n">
        <v>0</v>
      </c>
      <c r="M712" t="n">
        <v>0</v>
      </c>
      <c r="N712" t="n">
        <v>0</v>
      </c>
      <c r="O712" t="n">
        <v>0</v>
      </c>
      <c r="P712" t="n">
        <v>0</v>
      </c>
      <c r="Q712" t="n">
        <v>0</v>
      </c>
      <c r="R712" s="2" t="inlineStr"/>
    </row>
    <row r="713" ht="15" customHeight="1">
      <c r="A713" t="inlineStr">
        <is>
          <t>A 60029-2023</t>
        </is>
      </c>
      <c r="B713" s="1" t="n">
        <v>45258</v>
      </c>
      <c r="C713" s="1" t="n">
        <v>45626</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60477-2023</t>
        </is>
      </c>
      <c r="B714" s="1" t="n">
        <v>45258</v>
      </c>
      <c r="C714" s="1" t="n">
        <v>45626</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60794-2023</t>
        </is>
      </c>
      <c r="B715" s="1" t="n">
        <v>45260</v>
      </c>
      <c r="C715" s="1" t="n">
        <v>45626</v>
      </c>
      <c r="D715" t="inlineStr">
        <is>
          <t>JÄMTLANDS LÄN</t>
        </is>
      </c>
      <c r="E715" t="inlineStr">
        <is>
          <t>ÖSTERSUND</t>
        </is>
      </c>
      <c r="G715" t="n">
        <v>3.6</v>
      </c>
      <c r="H715" t="n">
        <v>0</v>
      </c>
      <c r="I715" t="n">
        <v>0</v>
      </c>
      <c r="J715" t="n">
        <v>0</v>
      </c>
      <c r="K715" t="n">
        <v>0</v>
      </c>
      <c r="L715" t="n">
        <v>0</v>
      </c>
      <c r="M715" t="n">
        <v>0</v>
      </c>
      <c r="N715" t="n">
        <v>0</v>
      </c>
      <c r="O715" t="n">
        <v>0</v>
      </c>
      <c r="P715" t="n">
        <v>0</v>
      </c>
      <c r="Q715" t="n">
        <v>0</v>
      </c>
      <c r="R715" s="2" t="inlineStr"/>
    </row>
    <row r="716" ht="15" customHeight="1">
      <c r="A716" t="inlineStr">
        <is>
          <t>A 60780-2023</t>
        </is>
      </c>
      <c r="B716" s="1" t="n">
        <v>45260</v>
      </c>
      <c r="C716" s="1" t="n">
        <v>45626</v>
      </c>
      <c r="D716" t="inlineStr">
        <is>
          <t>JÄMTLANDS LÄN</t>
        </is>
      </c>
      <c r="E716" t="inlineStr">
        <is>
          <t>ÖSTERSUND</t>
        </is>
      </c>
      <c r="G716" t="n">
        <v>3.7</v>
      </c>
      <c r="H716" t="n">
        <v>0</v>
      </c>
      <c r="I716" t="n">
        <v>0</v>
      </c>
      <c r="J716" t="n">
        <v>0</v>
      </c>
      <c r="K716" t="n">
        <v>0</v>
      </c>
      <c r="L716" t="n">
        <v>0</v>
      </c>
      <c r="M716" t="n">
        <v>0</v>
      </c>
      <c r="N716" t="n">
        <v>0</v>
      </c>
      <c r="O716" t="n">
        <v>0</v>
      </c>
      <c r="P716" t="n">
        <v>0</v>
      </c>
      <c r="Q716" t="n">
        <v>0</v>
      </c>
      <c r="R716" s="2" t="inlineStr"/>
    </row>
    <row r="717" ht="15" customHeight="1">
      <c r="A717" t="inlineStr">
        <is>
          <t>A 61135-2023</t>
        </is>
      </c>
      <c r="B717" s="1" t="n">
        <v>45261</v>
      </c>
      <c r="C717" s="1" t="n">
        <v>45626</v>
      </c>
      <c r="D717" t="inlineStr">
        <is>
          <t>JÄMTLANDS LÄN</t>
        </is>
      </c>
      <c r="E717" t="inlineStr">
        <is>
          <t>ÖSTERSUND</t>
        </is>
      </c>
      <c r="G717" t="n">
        <v>7.3</v>
      </c>
      <c r="H717" t="n">
        <v>0</v>
      </c>
      <c r="I717" t="n">
        <v>0</v>
      </c>
      <c r="J717" t="n">
        <v>0</v>
      </c>
      <c r="K717" t="n">
        <v>0</v>
      </c>
      <c r="L717" t="n">
        <v>0</v>
      </c>
      <c r="M717" t="n">
        <v>0</v>
      </c>
      <c r="N717" t="n">
        <v>0</v>
      </c>
      <c r="O717" t="n">
        <v>0</v>
      </c>
      <c r="P717" t="n">
        <v>0</v>
      </c>
      <c r="Q717" t="n">
        <v>0</v>
      </c>
      <c r="R717" s="2" t="inlineStr"/>
    </row>
    <row r="718" ht="15" customHeight="1">
      <c r="A718" t="inlineStr">
        <is>
          <t>A 61535-2023</t>
        </is>
      </c>
      <c r="B718" s="1" t="n">
        <v>45261</v>
      </c>
      <c r="C718" s="1" t="n">
        <v>45626</v>
      </c>
      <c r="D718" t="inlineStr">
        <is>
          <t>JÄMTLANDS LÄN</t>
        </is>
      </c>
      <c r="E718" t="inlineStr">
        <is>
          <t>ÖSTERSUND</t>
        </is>
      </c>
      <c r="F718" t="inlineStr">
        <is>
          <t>Övriga statliga verk och myndigheter</t>
        </is>
      </c>
      <c r="G718" t="n">
        <v>2.6</v>
      </c>
      <c r="H718" t="n">
        <v>0</v>
      </c>
      <c r="I718" t="n">
        <v>0</v>
      </c>
      <c r="J718" t="n">
        <v>0</v>
      </c>
      <c r="K718" t="n">
        <v>0</v>
      </c>
      <c r="L718" t="n">
        <v>0</v>
      </c>
      <c r="M718" t="n">
        <v>0</v>
      </c>
      <c r="N718" t="n">
        <v>0</v>
      </c>
      <c r="O718" t="n">
        <v>0</v>
      </c>
      <c r="P718" t="n">
        <v>0</v>
      </c>
      <c r="Q718" t="n">
        <v>0</v>
      </c>
      <c r="R718" s="2" t="inlineStr"/>
    </row>
    <row r="719" ht="15" customHeight="1">
      <c r="A719" t="inlineStr">
        <is>
          <t>A 61530-2023</t>
        </is>
      </c>
      <c r="B719" s="1" t="n">
        <v>45261</v>
      </c>
      <c r="C719" s="1" t="n">
        <v>45626</v>
      </c>
      <c r="D719" t="inlineStr">
        <is>
          <t>JÄMTLANDS LÄN</t>
        </is>
      </c>
      <c r="E719" t="inlineStr">
        <is>
          <t>ÖSTERSUND</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61635-2023</t>
        </is>
      </c>
      <c r="B720" s="1" t="n">
        <v>45261</v>
      </c>
      <c r="C720" s="1" t="n">
        <v>45626</v>
      </c>
      <c r="D720" t="inlineStr">
        <is>
          <t>JÄMTLANDS LÄN</t>
        </is>
      </c>
      <c r="E720" t="inlineStr">
        <is>
          <t>ÖSTERSUND</t>
        </is>
      </c>
      <c r="G720" t="n">
        <v>2.2</v>
      </c>
      <c r="H720" t="n">
        <v>0</v>
      </c>
      <c r="I720" t="n">
        <v>0</v>
      </c>
      <c r="J720" t="n">
        <v>0</v>
      </c>
      <c r="K720" t="n">
        <v>0</v>
      </c>
      <c r="L720" t="n">
        <v>0</v>
      </c>
      <c r="M720" t="n">
        <v>0</v>
      </c>
      <c r="N720" t="n">
        <v>0</v>
      </c>
      <c r="O720" t="n">
        <v>0</v>
      </c>
      <c r="P720" t="n">
        <v>0</v>
      </c>
      <c r="Q720" t="n">
        <v>0</v>
      </c>
      <c r="R720" s="2" t="inlineStr"/>
    </row>
    <row r="721" ht="15" customHeight="1">
      <c r="A721" t="inlineStr">
        <is>
          <t>A 61506-2023</t>
        </is>
      </c>
      <c r="B721" s="1" t="n">
        <v>45264</v>
      </c>
      <c r="C721" s="1" t="n">
        <v>45626</v>
      </c>
      <c r="D721" t="inlineStr">
        <is>
          <t>JÄMTLANDS LÄN</t>
        </is>
      </c>
      <c r="E721" t="inlineStr">
        <is>
          <t>ÖSTERSUND</t>
        </is>
      </c>
      <c r="G721" t="n">
        <v>3</v>
      </c>
      <c r="H721" t="n">
        <v>0</v>
      </c>
      <c r="I721" t="n">
        <v>0</v>
      </c>
      <c r="J721" t="n">
        <v>0</v>
      </c>
      <c r="K721" t="n">
        <v>0</v>
      </c>
      <c r="L721" t="n">
        <v>0</v>
      </c>
      <c r="M721" t="n">
        <v>0</v>
      </c>
      <c r="N721" t="n">
        <v>0</v>
      </c>
      <c r="O721" t="n">
        <v>0</v>
      </c>
      <c r="P721" t="n">
        <v>0</v>
      </c>
      <c r="Q721" t="n">
        <v>0</v>
      </c>
      <c r="R721" s="2" t="inlineStr"/>
    </row>
    <row r="722" ht="15" customHeight="1">
      <c r="A722" t="inlineStr">
        <is>
          <t>A 61499-2023</t>
        </is>
      </c>
      <c r="B722" s="1" t="n">
        <v>45264</v>
      </c>
      <c r="C722" s="1" t="n">
        <v>45626</v>
      </c>
      <c r="D722" t="inlineStr">
        <is>
          <t>JÄMTLANDS LÄN</t>
        </is>
      </c>
      <c r="E722" t="inlineStr">
        <is>
          <t>ÖSTERSUND</t>
        </is>
      </c>
      <c r="F722" t="inlineStr">
        <is>
          <t>SCA</t>
        </is>
      </c>
      <c r="G722" t="n">
        <v>7</v>
      </c>
      <c r="H722" t="n">
        <v>0</v>
      </c>
      <c r="I722" t="n">
        <v>0</v>
      </c>
      <c r="J722" t="n">
        <v>0</v>
      </c>
      <c r="K722" t="n">
        <v>0</v>
      </c>
      <c r="L722" t="n">
        <v>0</v>
      </c>
      <c r="M722" t="n">
        <v>0</v>
      </c>
      <c r="N722" t="n">
        <v>0</v>
      </c>
      <c r="O722" t="n">
        <v>0</v>
      </c>
      <c r="P722" t="n">
        <v>0</v>
      </c>
      <c r="Q722" t="n">
        <v>0</v>
      </c>
      <c r="R722" s="2" t="inlineStr"/>
    </row>
    <row r="723" ht="15" customHeight="1">
      <c r="A723" t="inlineStr">
        <is>
          <t>A 62052-2023</t>
        </is>
      </c>
      <c r="B723" s="1" t="n">
        <v>45265</v>
      </c>
      <c r="C723" s="1" t="n">
        <v>45626</v>
      </c>
      <c r="D723" t="inlineStr">
        <is>
          <t>JÄMTLANDS LÄN</t>
        </is>
      </c>
      <c r="E723" t="inlineStr">
        <is>
          <t>ÖSTERSUND</t>
        </is>
      </c>
      <c r="G723" t="n">
        <v>3.3</v>
      </c>
      <c r="H723" t="n">
        <v>0</v>
      </c>
      <c r="I723" t="n">
        <v>0</v>
      </c>
      <c r="J723" t="n">
        <v>0</v>
      </c>
      <c r="K723" t="n">
        <v>0</v>
      </c>
      <c r="L723" t="n">
        <v>0</v>
      </c>
      <c r="M723" t="n">
        <v>0</v>
      </c>
      <c r="N723" t="n">
        <v>0</v>
      </c>
      <c r="O723" t="n">
        <v>0</v>
      </c>
      <c r="P723" t="n">
        <v>0</v>
      </c>
      <c r="Q723" t="n">
        <v>0</v>
      </c>
      <c r="R723" s="2" t="inlineStr"/>
    </row>
    <row r="724" ht="15" customHeight="1">
      <c r="A724" t="inlineStr">
        <is>
          <t>A 61791-2023</t>
        </is>
      </c>
      <c r="B724" s="1" t="n">
        <v>45265</v>
      </c>
      <c r="C724" s="1" t="n">
        <v>45626</v>
      </c>
      <c r="D724" t="inlineStr">
        <is>
          <t>JÄMTLANDS LÄN</t>
        </is>
      </c>
      <c r="E724" t="inlineStr">
        <is>
          <t>ÖSTERSUND</t>
        </is>
      </c>
      <c r="F724" t="inlineStr">
        <is>
          <t>SCA</t>
        </is>
      </c>
      <c r="G724" t="n">
        <v>11.4</v>
      </c>
      <c r="H724" t="n">
        <v>0</v>
      </c>
      <c r="I724" t="n">
        <v>0</v>
      </c>
      <c r="J724" t="n">
        <v>0</v>
      </c>
      <c r="K724" t="n">
        <v>0</v>
      </c>
      <c r="L724" t="n">
        <v>0</v>
      </c>
      <c r="M724" t="n">
        <v>0</v>
      </c>
      <c r="N724" t="n">
        <v>0</v>
      </c>
      <c r="O724" t="n">
        <v>0</v>
      </c>
      <c r="P724" t="n">
        <v>0</v>
      </c>
      <c r="Q724" t="n">
        <v>0</v>
      </c>
      <c r="R724" s="2" t="inlineStr"/>
    </row>
    <row r="725" ht="15" customHeight="1">
      <c r="A725" t="inlineStr">
        <is>
          <t>A 62835-2023</t>
        </is>
      </c>
      <c r="B725" s="1" t="n">
        <v>45271</v>
      </c>
      <c r="C725" s="1" t="n">
        <v>45626</v>
      </c>
      <c r="D725" t="inlineStr">
        <is>
          <t>JÄMTLANDS LÄN</t>
        </is>
      </c>
      <c r="E725" t="inlineStr">
        <is>
          <t>ÖSTERSUND</t>
        </is>
      </c>
      <c r="F725" t="inlineStr">
        <is>
          <t>SCA</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62834-2023</t>
        </is>
      </c>
      <c r="B726" s="1" t="n">
        <v>45271</v>
      </c>
      <c r="C726" s="1" t="n">
        <v>45626</v>
      </c>
      <c r="D726" t="inlineStr">
        <is>
          <t>JÄMTLANDS LÄN</t>
        </is>
      </c>
      <c r="E726" t="inlineStr">
        <is>
          <t>ÖSTERSUND</t>
        </is>
      </c>
      <c r="F726" t="inlineStr">
        <is>
          <t>SCA</t>
        </is>
      </c>
      <c r="G726" t="n">
        <v>12.2</v>
      </c>
      <c r="H726" t="n">
        <v>0</v>
      </c>
      <c r="I726" t="n">
        <v>0</v>
      </c>
      <c r="J726" t="n">
        <v>0</v>
      </c>
      <c r="K726" t="n">
        <v>0</v>
      </c>
      <c r="L726" t="n">
        <v>0</v>
      </c>
      <c r="M726" t="n">
        <v>0</v>
      </c>
      <c r="N726" t="n">
        <v>0</v>
      </c>
      <c r="O726" t="n">
        <v>0</v>
      </c>
      <c r="P726" t="n">
        <v>0</v>
      </c>
      <c r="Q726" t="n">
        <v>0</v>
      </c>
      <c r="R726" s="2" t="inlineStr"/>
    </row>
    <row r="727" ht="15" customHeight="1">
      <c r="A727" t="inlineStr">
        <is>
          <t>A 63086-2023</t>
        </is>
      </c>
      <c r="B727" s="1" t="n">
        <v>45272</v>
      </c>
      <c r="C727" s="1" t="n">
        <v>45626</v>
      </c>
      <c r="D727" t="inlineStr">
        <is>
          <t>JÄMTLANDS LÄN</t>
        </is>
      </c>
      <c r="E727" t="inlineStr">
        <is>
          <t>ÖSTERSUND</t>
        </is>
      </c>
      <c r="F727" t="inlineStr">
        <is>
          <t>Övriga statliga verk och myndigheter</t>
        </is>
      </c>
      <c r="G727" t="n">
        <v>2.9</v>
      </c>
      <c r="H727" t="n">
        <v>0</v>
      </c>
      <c r="I727" t="n">
        <v>0</v>
      </c>
      <c r="J727" t="n">
        <v>0</v>
      </c>
      <c r="K727" t="n">
        <v>0</v>
      </c>
      <c r="L727" t="n">
        <v>0</v>
      </c>
      <c r="M727" t="n">
        <v>0</v>
      </c>
      <c r="N727" t="n">
        <v>0</v>
      </c>
      <c r="O727" t="n">
        <v>0</v>
      </c>
      <c r="P727" t="n">
        <v>0</v>
      </c>
      <c r="Q727" t="n">
        <v>0</v>
      </c>
      <c r="R727" s="2" t="inlineStr"/>
    </row>
    <row r="728" ht="15" customHeight="1">
      <c r="A728" t="inlineStr">
        <is>
          <t>A 63101-2023</t>
        </is>
      </c>
      <c r="B728" s="1" t="n">
        <v>45273</v>
      </c>
      <c r="C728" s="1" t="n">
        <v>45626</v>
      </c>
      <c r="D728" t="inlineStr">
        <is>
          <t>JÄMTLANDS LÄN</t>
        </is>
      </c>
      <c r="E728" t="inlineStr">
        <is>
          <t>ÖSTERSUND</t>
        </is>
      </c>
      <c r="G728" t="n">
        <v>2.1</v>
      </c>
      <c r="H728" t="n">
        <v>0</v>
      </c>
      <c r="I728" t="n">
        <v>0</v>
      </c>
      <c r="J728" t="n">
        <v>0</v>
      </c>
      <c r="K728" t="n">
        <v>0</v>
      </c>
      <c r="L728" t="n">
        <v>0</v>
      </c>
      <c r="M728" t="n">
        <v>0</v>
      </c>
      <c r="N728" t="n">
        <v>0</v>
      </c>
      <c r="O728" t="n">
        <v>0</v>
      </c>
      <c r="P728" t="n">
        <v>0</v>
      </c>
      <c r="Q728" t="n">
        <v>0</v>
      </c>
      <c r="R728" s="2" t="inlineStr"/>
    </row>
    <row r="729" ht="15" customHeight="1">
      <c r="A729" t="inlineStr">
        <is>
          <t>A 63099-2023</t>
        </is>
      </c>
      <c r="B729" s="1" t="n">
        <v>45273</v>
      </c>
      <c r="C729" s="1" t="n">
        <v>45626</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63320-2023</t>
        </is>
      </c>
      <c r="B730" s="1" t="n">
        <v>45273</v>
      </c>
      <c r="C730" s="1" t="n">
        <v>45626</v>
      </c>
      <c r="D730" t="inlineStr">
        <is>
          <t>JÄMTLANDS LÄN</t>
        </is>
      </c>
      <c r="E730" t="inlineStr">
        <is>
          <t>ÖSTERSUND</t>
        </is>
      </c>
      <c r="G730" t="n">
        <v>11.3</v>
      </c>
      <c r="H730" t="n">
        <v>0</v>
      </c>
      <c r="I730" t="n">
        <v>0</v>
      </c>
      <c r="J730" t="n">
        <v>0</v>
      </c>
      <c r="K730" t="n">
        <v>0</v>
      </c>
      <c r="L730" t="n">
        <v>0</v>
      </c>
      <c r="M730" t="n">
        <v>0</v>
      </c>
      <c r="N730" t="n">
        <v>0</v>
      </c>
      <c r="O730" t="n">
        <v>0</v>
      </c>
      <c r="P730" t="n">
        <v>0</v>
      </c>
      <c r="Q730" t="n">
        <v>0</v>
      </c>
      <c r="R730" s="2" t="inlineStr"/>
    </row>
    <row r="731" ht="15" customHeight="1">
      <c r="A731" t="inlineStr">
        <is>
          <t>A 63739-2023</t>
        </is>
      </c>
      <c r="B731" s="1" t="n">
        <v>45277</v>
      </c>
      <c r="C731" s="1" t="n">
        <v>45626</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63740-2023</t>
        </is>
      </c>
      <c r="B732" s="1" t="n">
        <v>45277</v>
      </c>
      <c r="C732" s="1" t="n">
        <v>45626</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64233-2023</t>
        </is>
      </c>
      <c r="B733" s="1" t="n">
        <v>45279</v>
      </c>
      <c r="C733" s="1" t="n">
        <v>45626</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64267-2023</t>
        </is>
      </c>
      <c r="B734" s="1" t="n">
        <v>45279</v>
      </c>
      <c r="C734" s="1" t="n">
        <v>45626</v>
      </c>
      <c r="D734" t="inlineStr">
        <is>
          <t>JÄMTLANDS LÄN</t>
        </is>
      </c>
      <c r="E734" t="inlineStr">
        <is>
          <t>ÖSTERSUND</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45626</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64309-2023</t>
        </is>
      </c>
      <c r="B736" s="1" t="n">
        <v>45280</v>
      </c>
      <c r="C736" s="1" t="n">
        <v>45626</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64811-2023</t>
        </is>
      </c>
      <c r="B737" s="1" t="n">
        <v>45281</v>
      </c>
      <c r="C737" s="1" t="n">
        <v>45626</v>
      </c>
      <c r="D737" t="inlineStr">
        <is>
          <t>JÄMTLANDS LÄN</t>
        </is>
      </c>
      <c r="E737" t="inlineStr">
        <is>
          <t>ÖSTERSUND</t>
        </is>
      </c>
      <c r="G737" t="n">
        <v>7.6</v>
      </c>
      <c r="H737" t="n">
        <v>0</v>
      </c>
      <c r="I737" t="n">
        <v>0</v>
      </c>
      <c r="J737" t="n">
        <v>0</v>
      </c>
      <c r="K737" t="n">
        <v>0</v>
      </c>
      <c r="L737" t="n">
        <v>0</v>
      </c>
      <c r="M737" t="n">
        <v>0</v>
      </c>
      <c r="N737" t="n">
        <v>0</v>
      </c>
      <c r="O737" t="n">
        <v>0</v>
      </c>
      <c r="P737" t="n">
        <v>0</v>
      </c>
      <c r="Q737" t="n">
        <v>0</v>
      </c>
      <c r="R737" s="2" t="inlineStr"/>
    </row>
    <row r="738" ht="15" customHeight="1">
      <c r="A738" t="inlineStr">
        <is>
          <t>A 64954-2023</t>
        </is>
      </c>
      <c r="B738" s="1" t="n">
        <v>45282</v>
      </c>
      <c r="C738" s="1" t="n">
        <v>45626</v>
      </c>
      <c r="D738" t="inlineStr">
        <is>
          <t>JÄMTLANDS LÄN</t>
        </is>
      </c>
      <c r="E738" t="inlineStr">
        <is>
          <t>ÖSTERSUND</t>
        </is>
      </c>
      <c r="G738" t="n">
        <v>0.9</v>
      </c>
      <c r="H738" t="n">
        <v>0</v>
      </c>
      <c r="I738" t="n">
        <v>0</v>
      </c>
      <c r="J738" t="n">
        <v>0</v>
      </c>
      <c r="K738" t="n">
        <v>0</v>
      </c>
      <c r="L738" t="n">
        <v>0</v>
      </c>
      <c r="M738" t="n">
        <v>0</v>
      </c>
      <c r="N738" t="n">
        <v>0</v>
      </c>
      <c r="O738" t="n">
        <v>0</v>
      </c>
      <c r="P738" t="n">
        <v>0</v>
      </c>
      <c r="Q738" t="n">
        <v>0</v>
      </c>
      <c r="R738" s="2" t="inlineStr"/>
    </row>
    <row r="739" ht="15" customHeight="1">
      <c r="A739" t="inlineStr">
        <is>
          <t>A 64953-2023</t>
        </is>
      </c>
      <c r="B739" s="1" t="n">
        <v>45282</v>
      </c>
      <c r="C739" s="1" t="n">
        <v>45626</v>
      </c>
      <c r="D739" t="inlineStr">
        <is>
          <t>JÄMTLANDS LÄN</t>
        </is>
      </c>
      <c r="E739" t="inlineStr">
        <is>
          <t>ÖSTERSUND</t>
        </is>
      </c>
      <c r="G739" t="n">
        <v>0.6</v>
      </c>
      <c r="H739" t="n">
        <v>0</v>
      </c>
      <c r="I739" t="n">
        <v>0</v>
      </c>
      <c r="J739" t="n">
        <v>0</v>
      </c>
      <c r="K739" t="n">
        <v>0</v>
      </c>
      <c r="L739" t="n">
        <v>0</v>
      </c>
      <c r="M739" t="n">
        <v>0</v>
      </c>
      <c r="N739" t="n">
        <v>0</v>
      </c>
      <c r="O739" t="n">
        <v>0</v>
      </c>
      <c r="P739" t="n">
        <v>0</v>
      </c>
      <c r="Q739" t="n">
        <v>0</v>
      </c>
      <c r="R739" s="2" t="inlineStr"/>
    </row>
    <row r="740" ht="15" customHeight="1">
      <c r="A740" t="inlineStr">
        <is>
          <t>A 440-2024</t>
        </is>
      </c>
      <c r="B740" s="1" t="n">
        <v>45296</v>
      </c>
      <c r="C740" s="1" t="n">
        <v>45626</v>
      </c>
      <c r="D740" t="inlineStr">
        <is>
          <t>JÄMTLANDS LÄN</t>
        </is>
      </c>
      <c r="E740" t="inlineStr">
        <is>
          <t>ÖSTERSUND</t>
        </is>
      </c>
      <c r="F740" t="inlineStr">
        <is>
          <t>Kommuner</t>
        </is>
      </c>
      <c r="G740" t="n">
        <v>10.1</v>
      </c>
      <c r="H740" t="n">
        <v>0</v>
      </c>
      <c r="I740" t="n">
        <v>0</v>
      </c>
      <c r="J740" t="n">
        <v>0</v>
      </c>
      <c r="K740" t="n">
        <v>0</v>
      </c>
      <c r="L740" t="n">
        <v>0</v>
      </c>
      <c r="M740" t="n">
        <v>0</v>
      </c>
      <c r="N740" t="n">
        <v>0</v>
      </c>
      <c r="O740" t="n">
        <v>0</v>
      </c>
      <c r="P740" t="n">
        <v>0</v>
      </c>
      <c r="Q740" t="n">
        <v>0</v>
      </c>
      <c r="R740" s="2" t="inlineStr"/>
    </row>
    <row r="741" ht="15" customHeight="1">
      <c r="A741" t="inlineStr">
        <is>
          <t>A 484-2024</t>
        </is>
      </c>
      <c r="B741" s="1" t="n">
        <v>45298</v>
      </c>
      <c r="C741" s="1" t="n">
        <v>45626</v>
      </c>
      <c r="D741" t="inlineStr">
        <is>
          <t>JÄMTLANDS LÄN</t>
        </is>
      </c>
      <c r="E741" t="inlineStr">
        <is>
          <t>ÖSTERSUND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485-2024</t>
        </is>
      </c>
      <c r="B742" s="1" t="n">
        <v>45298</v>
      </c>
      <c r="C742" s="1" t="n">
        <v>45626</v>
      </c>
      <c r="D742" t="inlineStr">
        <is>
          <t>JÄMTLANDS LÄN</t>
        </is>
      </c>
      <c r="E742" t="inlineStr">
        <is>
          <t>ÖSTERSUND</t>
        </is>
      </c>
      <c r="G742" t="n">
        <v>0.6</v>
      </c>
      <c r="H742" t="n">
        <v>0</v>
      </c>
      <c r="I742" t="n">
        <v>0</v>
      </c>
      <c r="J742" t="n">
        <v>0</v>
      </c>
      <c r="K742" t="n">
        <v>0</v>
      </c>
      <c r="L742" t="n">
        <v>0</v>
      </c>
      <c r="M742" t="n">
        <v>0</v>
      </c>
      <c r="N742" t="n">
        <v>0</v>
      </c>
      <c r="O742" t="n">
        <v>0</v>
      </c>
      <c r="P742" t="n">
        <v>0</v>
      </c>
      <c r="Q742" t="n">
        <v>0</v>
      </c>
      <c r="R742" s="2" t="inlineStr"/>
    </row>
    <row r="743" ht="15" customHeight="1">
      <c r="A743" t="inlineStr">
        <is>
          <t>A 846-2024</t>
        </is>
      </c>
      <c r="B743" s="1" t="n">
        <v>45300</v>
      </c>
      <c r="C743" s="1" t="n">
        <v>45626</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748-2024</t>
        </is>
      </c>
      <c r="B744" s="1" t="n">
        <v>45300</v>
      </c>
      <c r="C744" s="1" t="n">
        <v>45626</v>
      </c>
      <c r="D744" t="inlineStr">
        <is>
          <t>JÄMTLANDS LÄN</t>
        </is>
      </c>
      <c r="E744" t="inlineStr">
        <is>
          <t>ÖSTERSUND</t>
        </is>
      </c>
      <c r="G744" t="n">
        <v>3.3</v>
      </c>
      <c r="H744" t="n">
        <v>0</v>
      </c>
      <c r="I744" t="n">
        <v>0</v>
      </c>
      <c r="J744" t="n">
        <v>0</v>
      </c>
      <c r="K744" t="n">
        <v>0</v>
      </c>
      <c r="L744" t="n">
        <v>0</v>
      </c>
      <c r="M744" t="n">
        <v>0</v>
      </c>
      <c r="N744" t="n">
        <v>0</v>
      </c>
      <c r="O744" t="n">
        <v>0</v>
      </c>
      <c r="P744" t="n">
        <v>0</v>
      </c>
      <c r="Q744" t="n">
        <v>0</v>
      </c>
      <c r="R744" s="2" t="inlineStr"/>
    </row>
    <row r="745" ht="15" customHeight="1">
      <c r="A745" t="inlineStr">
        <is>
          <t>A 1159-2024</t>
        </is>
      </c>
      <c r="B745" s="1" t="n">
        <v>45302</v>
      </c>
      <c r="C745" s="1" t="n">
        <v>45626</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1669-2024</t>
        </is>
      </c>
      <c r="B746" s="1" t="n">
        <v>45306</v>
      </c>
      <c r="C746" s="1" t="n">
        <v>45626</v>
      </c>
      <c r="D746" t="inlineStr">
        <is>
          <t>JÄMTLANDS LÄN</t>
        </is>
      </c>
      <c r="E746" t="inlineStr">
        <is>
          <t>ÖSTERSUND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1670-2024</t>
        </is>
      </c>
      <c r="B747" s="1" t="n">
        <v>45306</v>
      </c>
      <c r="C747" s="1" t="n">
        <v>45626</v>
      </c>
      <c r="D747" t="inlineStr">
        <is>
          <t>JÄMTLANDS LÄN</t>
        </is>
      </c>
      <c r="E747" t="inlineStr">
        <is>
          <t>ÖSTERSUND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1873-2024</t>
        </is>
      </c>
      <c r="B748" s="1" t="n">
        <v>45307</v>
      </c>
      <c r="C748" s="1" t="n">
        <v>45626</v>
      </c>
      <c r="D748" t="inlineStr">
        <is>
          <t>JÄMTLANDS LÄN</t>
        </is>
      </c>
      <c r="E748" t="inlineStr">
        <is>
          <t>ÖSTERSUND</t>
        </is>
      </c>
      <c r="G748" t="n">
        <v>4.3</v>
      </c>
      <c r="H748" t="n">
        <v>0</v>
      </c>
      <c r="I748" t="n">
        <v>0</v>
      </c>
      <c r="J748" t="n">
        <v>0</v>
      </c>
      <c r="K748" t="n">
        <v>0</v>
      </c>
      <c r="L748" t="n">
        <v>0</v>
      </c>
      <c r="M748" t="n">
        <v>0</v>
      </c>
      <c r="N748" t="n">
        <v>0</v>
      </c>
      <c r="O748" t="n">
        <v>0</v>
      </c>
      <c r="P748" t="n">
        <v>0</v>
      </c>
      <c r="Q748" t="n">
        <v>0</v>
      </c>
      <c r="R748" s="2" t="inlineStr"/>
    </row>
    <row r="749" ht="15" customHeight="1">
      <c r="A749" t="inlineStr">
        <is>
          <t>A 2228-2024</t>
        </is>
      </c>
      <c r="B749" s="1" t="n">
        <v>45309</v>
      </c>
      <c r="C749" s="1" t="n">
        <v>45626</v>
      </c>
      <c r="D749" t="inlineStr">
        <is>
          <t>JÄMTLANDS LÄN</t>
        </is>
      </c>
      <c r="E749" t="inlineStr">
        <is>
          <t>ÖSTERSUND</t>
        </is>
      </c>
      <c r="G749" t="n">
        <v>2.5</v>
      </c>
      <c r="H749" t="n">
        <v>0</v>
      </c>
      <c r="I749" t="n">
        <v>0</v>
      </c>
      <c r="J749" t="n">
        <v>0</v>
      </c>
      <c r="K749" t="n">
        <v>0</v>
      </c>
      <c r="L749" t="n">
        <v>0</v>
      </c>
      <c r="M749" t="n">
        <v>0</v>
      </c>
      <c r="N749" t="n">
        <v>0</v>
      </c>
      <c r="O749" t="n">
        <v>0</v>
      </c>
      <c r="P749" t="n">
        <v>0</v>
      </c>
      <c r="Q749" t="n">
        <v>0</v>
      </c>
      <c r="R749" s="2" t="inlineStr"/>
    </row>
    <row r="750" ht="15" customHeight="1">
      <c r="A750" t="inlineStr">
        <is>
          <t>A 2615-2024</t>
        </is>
      </c>
      <c r="B750" s="1" t="n">
        <v>45313</v>
      </c>
      <c r="C750" s="1" t="n">
        <v>45626</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2627-2024</t>
        </is>
      </c>
      <c r="B751" s="1" t="n">
        <v>45313</v>
      </c>
      <c r="C751" s="1" t="n">
        <v>45626</v>
      </c>
      <c r="D751" t="inlineStr">
        <is>
          <t>JÄMTLANDS LÄN</t>
        </is>
      </c>
      <c r="E751" t="inlineStr">
        <is>
          <t>ÖSTERSUND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2756-2024</t>
        </is>
      </c>
      <c r="B752" s="1" t="n">
        <v>45314</v>
      </c>
      <c r="C752" s="1" t="n">
        <v>45626</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2984-2024</t>
        </is>
      </c>
      <c r="B753" s="1" t="n">
        <v>45315</v>
      </c>
      <c r="C753" s="1" t="n">
        <v>45626</v>
      </c>
      <c r="D753" t="inlineStr">
        <is>
          <t>JÄMTLANDS LÄN</t>
        </is>
      </c>
      <c r="E753" t="inlineStr">
        <is>
          <t>ÖSTERSUND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2978-2024</t>
        </is>
      </c>
      <c r="B754" s="1" t="n">
        <v>45315</v>
      </c>
      <c r="C754" s="1" t="n">
        <v>45626</v>
      </c>
      <c r="D754" t="inlineStr">
        <is>
          <t>JÄMTLANDS LÄN</t>
        </is>
      </c>
      <c r="E754" t="inlineStr">
        <is>
          <t>ÖSTERSUND</t>
        </is>
      </c>
      <c r="G754" t="n">
        <v>1.7</v>
      </c>
      <c r="H754" t="n">
        <v>0</v>
      </c>
      <c r="I754" t="n">
        <v>0</v>
      </c>
      <c r="J754" t="n">
        <v>0</v>
      </c>
      <c r="K754" t="n">
        <v>0</v>
      </c>
      <c r="L754" t="n">
        <v>0</v>
      </c>
      <c r="M754" t="n">
        <v>0</v>
      </c>
      <c r="N754" t="n">
        <v>0</v>
      </c>
      <c r="O754" t="n">
        <v>0</v>
      </c>
      <c r="P754" t="n">
        <v>0</v>
      </c>
      <c r="Q754" t="n">
        <v>0</v>
      </c>
      <c r="R754" s="2" t="inlineStr"/>
    </row>
    <row r="755" ht="15" customHeight="1">
      <c r="A755" t="inlineStr">
        <is>
          <t>A 3186-2024</t>
        </is>
      </c>
      <c r="B755" s="1" t="n">
        <v>45316</v>
      </c>
      <c r="C755" s="1" t="n">
        <v>45626</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3230-2024</t>
        </is>
      </c>
      <c r="B756" s="1" t="n">
        <v>45316</v>
      </c>
      <c r="C756" s="1" t="n">
        <v>45626</v>
      </c>
      <c r="D756" t="inlineStr">
        <is>
          <t>JÄMTLANDS LÄN</t>
        </is>
      </c>
      <c r="E756" t="inlineStr">
        <is>
          <t>ÖSTERSUND</t>
        </is>
      </c>
      <c r="G756" t="n">
        <v>4.4</v>
      </c>
      <c r="H756" t="n">
        <v>0</v>
      </c>
      <c r="I756" t="n">
        <v>0</v>
      </c>
      <c r="J756" t="n">
        <v>0</v>
      </c>
      <c r="K756" t="n">
        <v>0</v>
      </c>
      <c r="L756" t="n">
        <v>0</v>
      </c>
      <c r="M756" t="n">
        <v>0</v>
      </c>
      <c r="N756" t="n">
        <v>0</v>
      </c>
      <c r="O756" t="n">
        <v>0</v>
      </c>
      <c r="P756" t="n">
        <v>0</v>
      </c>
      <c r="Q756" t="n">
        <v>0</v>
      </c>
      <c r="R756" s="2" t="inlineStr"/>
    </row>
    <row r="757" ht="15" customHeight="1">
      <c r="A757" t="inlineStr">
        <is>
          <t>A 3270-2024</t>
        </is>
      </c>
      <c r="B757" s="1" t="n">
        <v>45316</v>
      </c>
      <c r="C757" s="1" t="n">
        <v>45626</v>
      </c>
      <c r="D757" t="inlineStr">
        <is>
          <t>JÄMTLANDS LÄN</t>
        </is>
      </c>
      <c r="E757" t="inlineStr">
        <is>
          <t>ÖSTERSUND</t>
        </is>
      </c>
      <c r="G757" t="n">
        <v>7.5</v>
      </c>
      <c r="H757" t="n">
        <v>0</v>
      </c>
      <c r="I757" t="n">
        <v>0</v>
      </c>
      <c r="J757" t="n">
        <v>0</v>
      </c>
      <c r="K757" t="n">
        <v>0</v>
      </c>
      <c r="L757" t="n">
        <v>0</v>
      </c>
      <c r="M757" t="n">
        <v>0</v>
      </c>
      <c r="N757" t="n">
        <v>0</v>
      </c>
      <c r="O757" t="n">
        <v>0</v>
      </c>
      <c r="P757" t="n">
        <v>0</v>
      </c>
      <c r="Q757" t="n">
        <v>0</v>
      </c>
      <c r="R757" s="2" t="inlineStr"/>
    </row>
    <row r="758" ht="15" customHeight="1">
      <c r="A758" t="inlineStr">
        <is>
          <t>A 3610-2024</t>
        </is>
      </c>
      <c r="B758" s="1" t="n">
        <v>45320</v>
      </c>
      <c r="C758" s="1" t="n">
        <v>45626</v>
      </c>
      <c r="D758" t="inlineStr">
        <is>
          <t>JÄMTLANDS LÄN</t>
        </is>
      </c>
      <c r="E758" t="inlineStr">
        <is>
          <t>ÖSTERSUND</t>
        </is>
      </c>
      <c r="G758" t="n">
        <v>6.2</v>
      </c>
      <c r="H758" t="n">
        <v>0</v>
      </c>
      <c r="I758" t="n">
        <v>0</v>
      </c>
      <c r="J758" t="n">
        <v>0</v>
      </c>
      <c r="K758" t="n">
        <v>0</v>
      </c>
      <c r="L758" t="n">
        <v>0</v>
      </c>
      <c r="M758" t="n">
        <v>0</v>
      </c>
      <c r="N758" t="n">
        <v>0</v>
      </c>
      <c r="O758" t="n">
        <v>0</v>
      </c>
      <c r="P758" t="n">
        <v>0</v>
      </c>
      <c r="Q758" t="n">
        <v>0</v>
      </c>
      <c r="R758" s="2" t="inlineStr"/>
    </row>
    <row r="759" ht="15" customHeight="1">
      <c r="A759" t="inlineStr">
        <is>
          <t>A 3844-2024</t>
        </is>
      </c>
      <c r="B759" s="1" t="n">
        <v>45321</v>
      </c>
      <c r="C759" s="1" t="n">
        <v>45626</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4176-2024</t>
        </is>
      </c>
      <c r="B760" s="1" t="n">
        <v>45323</v>
      </c>
      <c r="C760" s="1" t="n">
        <v>45626</v>
      </c>
      <c r="D760" t="inlineStr">
        <is>
          <t>JÄMTLANDS LÄN</t>
        </is>
      </c>
      <c r="E760" t="inlineStr">
        <is>
          <t>ÖSTERSUND</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v>
      </c>
      <c r="C761" s="1" t="n">
        <v>45626</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4707-2024</t>
        </is>
      </c>
      <c r="B762" s="1" t="n">
        <v>45328</v>
      </c>
      <c r="C762" s="1" t="n">
        <v>45626</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5455-2024</t>
        </is>
      </c>
      <c r="B763" s="1" t="n">
        <v>45331</v>
      </c>
      <c r="C763" s="1" t="n">
        <v>45626</v>
      </c>
      <c r="D763" t="inlineStr">
        <is>
          <t>JÄMTLANDS LÄN</t>
        </is>
      </c>
      <c r="E763" t="inlineStr">
        <is>
          <t>ÖSTERSUND</t>
        </is>
      </c>
      <c r="G763" t="n">
        <v>4.8</v>
      </c>
      <c r="H763" t="n">
        <v>0</v>
      </c>
      <c r="I763" t="n">
        <v>0</v>
      </c>
      <c r="J763" t="n">
        <v>0</v>
      </c>
      <c r="K763" t="n">
        <v>0</v>
      </c>
      <c r="L763" t="n">
        <v>0</v>
      </c>
      <c r="M763" t="n">
        <v>0</v>
      </c>
      <c r="N763" t="n">
        <v>0</v>
      </c>
      <c r="O763" t="n">
        <v>0</v>
      </c>
      <c r="P763" t="n">
        <v>0</v>
      </c>
      <c r="Q763" t="n">
        <v>0</v>
      </c>
      <c r="R763" s="2" t="inlineStr"/>
    </row>
    <row r="764" ht="15" customHeight="1">
      <c r="A764" t="inlineStr">
        <is>
          <t>A 5920-2024</t>
        </is>
      </c>
      <c r="B764" s="1" t="n">
        <v>45335</v>
      </c>
      <c r="C764" s="1" t="n">
        <v>45626</v>
      </c>
      <c r="D764" t="inlineStr">
        <is>
          <t>JÄMTLANDS LÄN</t>
        </is>
      </c>
      <c r="E764" t="inlineStr">
        <is>
          <t>ÖSTERSUND</t>
        </is>
      </c>
      <c r="F764" t="inlineStr">
        <is>
          <t>SCA</t>
        </is>
      </c>
      <c r="G764" t="n">
        <v>17.8</v>
      </c>
      <c r="H764" t="n">
        <v>0</v>
      </c>
      <c r="I764" t="n">
        <v>0</v>
      </c>
      <c r="J764" t="n">
        <v>0</v>
      </c>
      <c r="K764" t="n">
        <v>0</v>
      </c>
      <c r="L764" t="n">
        <v>0</v>
      </c>
      <c r="M764" t="n">
        <v>0</v>
      </c>
      <c r="N764" t="n">
        <v>0</v>
      </c>
      <c r="O764" t="n">
        <v>0</v>
      </c>
      <c r="P764" t="n">
        <v>0</v>
      </c>
      <c r="Q764" t="n">
        <v>0</v>
      </c>
      <c r="R764" s="2" t="inlineStr"/>
    </row>
    <row r="765" ht="15" customHeight="1">
      <c r="A765" t="inlineStr">
        <is>
          <t>A 6048-2024</t>
        </is>
      </c>
      <c r="B765" s="1" t="n">
        <v>45336</v>
      </c>
      <c r="C765" s="1" t="n">
        <v>45626</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6056-2024</t>
        </is>
      </c>
      <c r="B766" s="1" t="n">
        <v>45336</v>
      </c>
      <c r="C766" s="1" t="n">
        <v>45626</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6053-2024</t>
        </is>
      </c>
      <c r="B767" s="1" t="n">
        <v>45336</v>
      </c>
      <c r="C767" s="1" t="n">
        <v>45626</v>
      </c>
      <c r="D767" t="inlineStr">
        <is>
          <t>JÄMTLANDS LÄN</t>
        </is>
      </c>
      <c r="E767" t="inlineStr">
        <is>
          <t>ÖSTERSUND</t>
        </is>
      </c>
      <c r="G767" t="n">
        <v>1.4</v>
      </c>
      <c r="H767" t="n">
        <v>0</v>
      </c>
      <c r="I767" t="n">
        <v>0</v>
      </c>
      <c r="J767" t="n">
        <v>0</v>
      </c>
      <c r="K767" t="n">
        <v>0</v>
      </c>
      <c r="L767" t="n">
        <v>0</v>
      </c>
      <c r="M767" t="n">
        <v>0</v>
      </c>
      <c r="N767" t="n">
        <v>0</v>
      </c>
      <c r="O767" t="n">
        <v>0</v>
      </c>
      <c r="P767" t="n">
        <v>0</v>
      </c>
      <c r="Q767" t="n">
        <v>0</v>
      </c>
      <c r="R767" s="2" t="inlineStr"/>
    </row>
    <row r="768" ht="15" customHeight="1">
      <c r="A768" t="inlineStr">
        <is>
          <t>A 6351-2024</t>
        </is>
      </c>
      <c r="B768" s="1" t="n">
        <v>45338</v>
      </c>
      <c r="C768" s="1" t="n">
        <v>45626</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6353-2024</t>
        </is>
      </c>
      <c r="B769" s="1" t="n">
        <v>45338</v>
      </c>
      <c r="C769" s="1" t="n">
        <v>45626</v>
      </c>
      <c r="D769" t="inlineStr">
        <is>
          <t>JÄMTLANDS LÄN</t>
        </is>
      </c>
      <c r="E769" t="inlineStr">
        <is>
          <t>ÖSTERSUND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6376-2024</t>
        </is>
      </c>
      <c r="B770" s="1" t="n">
        <v>45338</v>
      </c>
      <c r="C770" s="1" t="n">
        <v>45626</v>
      </c>
      <c r="D770" t="inlineStr">
        <is>
          <t>JÄMTLANDS LÄN</t>
        </is>
      </c>
      <c r="E770" t="inlineStr">
        <is>
          <t>ÖSTERSUND</t>
        </is>
      </c>
      <c r="G770" t="n">
        <v>4.6</v>
      </c>
      <c r="H770" t="n">
        <v>0</v>
      </c>
      <c r="I770" t="n">
        <v>0</v>
      </c>
      <c r="J770" t="n">
        <v>0</v>
      </c>
      <c r="K770" t="n">
        <v>0</v>
      </c>
      <c r="L770" t="n">
        <v>0</v>
      </c>
      <c r="M770" t="n">
        <v>0</v>
      </c>
      <c r="N770" t="n">
        <v>0</v>
      </c>
      <c r="O770" t="n">
        <v>0</v>
      </c>
      <c r="P770" t="n">
        <v>0</v>
      </c>
      <c r="Q770" t="n">
        <v>0</v>
      </c>
      <c r="R770" s="2" t="inlineStr"/>
    </row>
    <row r="771" ht="15" customHeight="1">
      <c r="A771" t="inlineStr">
        <is>
          <t>A 6402-2024</t>
        </is>
      </c>
      <c r="B771" s="1" t="n">
        <v>45338</v>
      </c>
      <c r="C771" s="1" t="n">
        <v>45626</v>
      </c>
      <c r="D771" t="inlineStr">
        <is>
          <t>JÄMTLANDS LÄN</t>
        </is>
      </c>
      <c r="E771" t="inlineStr">
        <is>
          <t>ÖSTERSUND</t>
        </is>
      </c>
      <c r="G771" t="n">
        <v>4.4</v>
      </c>
      <c r="H771" t="n">
        <v>0</v>
      </c>
      <c r="I771" t="n">
        <v>0</v>
      </c>
      <c r="J771" t="n">
        <v>0</v>
      </c>
      <c r="K771" t="n">
        <v>0</v>
      </c>
      <c r="L771" t="n">
        <v>0</v>
      </c>
      <c r="M771" t="n">
        <v>0</v>
      </c>
      <c r="N771" t="n">
        <v>0</v>
      </c>
      <c r="O771" t="n">
        <v>0</v>
      </c>
      <c r="P771" t="n">
        <v>0</v>
      </c>
      <c r="Q771" t="n">
        <v>0</v>
      </c>
      <c r="R771" s="2" t="inlineStr"/>
    </row>
    <row r="772" ht="15" customHeight="1">
      <c r="A772" t="inlineStr">
        <is>
          <t>A 6481-2024</t>
        </is>
      </c>
      <c r="B772" s="1" t="n">
        <v>45338</v>
      </c>
      <c r="C772" s="1" t="n">
        <v>45626</v>
      </c>
      <c r="D772" t="inlineStr">
        <is>
          <t>JÄMTLANDS LÄN</t>
        </is>
      </c>
      <c r="E772" t="inlineStr">
        <is>
          <t>ÖSTERSUND</t>
        </is>
      </c>
      <c r="F772" t="inlineStr">
        <is>
          <t>SCA</t>
        </is>
      </c>
      <c r="G772" t="n">
        <v>21.3</v>
      </c>
      <c r="H772" t="n">
        <v>0</v>
      </c>
      <c r="I772" t="n">
        <v>0</v>
      </c>
      <c r="J772" t="n">
        <v>0</v>
      </c>
      <c r="K772" t="n">
        <v>0</v>
      </c>
      <c r="L772" t="n">
        <v>0</v>
      </c>
      <c r="M772" t="n">
        <v>0</v>
      </c>
      <c r="N772" t="n">
        <v>0</v>
      </c>
      <c r="O772" t="n">
        <v>0</v>
      </c>
      <c r="P772" t="n">
        <v>0</v>
      </c>
      <c r="Q772" t="n">
        <v>0</v>
      </c>
      <c r="R772" s="2" t="inlineStr"/>
    </row>
    <row r="773" ht="15" customHeight="1">
      <c r="A773" t="inlineStr">
        <is>
          <t>A 6877-2024</t>
        </is>
      </c>
      <c r="B773" s="1" t="n">
        <v>45342</v>
      </c>
      <c r="C773" s="1" t="n">
        <v>45626</v>
      </c>
      <c r="D773" t="inlineStr">
        <is>
          <t>JÄMTLANDS LÄN</t>
        </is>
      </c>
      <c r="E773" t="inlineStr">
        <is>
          <t>ÖSTERSUND</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7233-2024</t>
        </is>
      </c>
      <c r="B774" s="1" t="n">
        <v>45344</v>
      </c>
      <c r="C774" s="1" t="n">
        <v>45626</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7224-2024</t>
        </is>
      </c>
      <c r="B775" s="1" t="n">
        <v>45344</v>
      </c>
      <c r="C775" s="1" t="n">
        <v>45626</v>
      </c>
      <c r="D775" t="inlineStr">
        <is>
          <t>JÄMTLANDS LÄN</t>
        </is>
      </c>
      <c r="E775" t="inlineStr">
        <is>
          <t>ÖSTERSUND</t>
        </is>
      </c>
      <c r="G775" t="n">
        <v>2.9</v>
      </c>
      <c r="H775" t="n">
        <v>0</v>
      </c>
      <c r="I775" t="n">
        <v>0</v>
      </c>
      <c r="J775" t="n">
        <v>0</v>
      </c>
      <c r="K775" t="n">
        <v>0</v>
      </c>
      <c r="L775" t="n">
        <v>0</v>
      </c>
      <c r="M775" t="n">
        <v>0</v>
      </c>
      <c r="N775" t="n">
        <v>0</v>
      </c>
      <c r="O775" t="n">
        <v>0</v>
      </c>
      <c r="P775" t="n">
        <v>0</v>
      </c>
      <c r="Q775" t="n">
        <v>0</v>
      </c>
      <c r="R775" s="2" t="inlineStr"/>
    </row>
    <row r="776" ht="15" customHeight="1">
      <c r="A776" t="inlineStr">
        <is>
          <t>A 7228-2024</t>
        </is>
      </c>
      <c r="B776" s="1" t="n">
        <v>45344</v>
      </c>
      <c r="C776" s="1" t="n">
        <v>45626</v>
      </c>
      <c r="D776" t="inlineStr">
        <is>
          <t>JÄMTLANDS LÄN</t>
        </is>
      </c>
      <c r="E776" t="inlineStr">
        <is>
          <t>ÖSTERSUND</t>
        </is>
      </c>
      <c r="G776" t="n">
        <v>3</v>
      </c>
      <c r="H776" t="n">
        <v>0</v>
      </c>
      <c r="I776" t="n">
        <v>0</v>
      </c>
      <c r="J776" t="n">
        <v>0</v>
      </c>
      <c r="K776" t="n">
        <v>0</v>
      </c>
      <c r="L776" t="n">
        <v>0</v>
      </c>
      <c r="M776" t="n">
        <v>0</v>
      </c>
      <c r="N776" t="n">
        <v>0</v>
      </c>
      <c r="O776" t="n">
        <v>0</v>
      </c>
      <c r="P776" t="n">
        <v>0</v>
      </c>
      <c r="Q776" t="n">
        <v>0</v>
      </c>
      <c r="R776" s="2" t="inlineStr"/>
    </row>
    <row r="777" ht="15" customHeight="1">
      <c r="A777" t="inlineStr">
        <is>
          <t>A 7484-2024</t>
        </is>
      </c>
      <c r="B777" s="1" t="n">
        <v>45346</v>
      </c>
      <c r="C777" s="1" t="n">
        <v>45626</v>
      </c>
      <c r="D777" t="inlineStr">
        <is>
          <t>JÄMTLANDS LÄN</t>
        </is>
      </c>
      <c r="E777" t="inlineStr">
        <is>
          <t>ÖSTERSUND</t>
        </is>
      </c>
      <c r="G777" t="n">
        <v>5.4</v>
      </c>
      <c r="H777" t="n">
        <v>0</v>
      </c>
      <c r="I777" t="n">
        <v>0</v>
      </c>
      <c r="J777" t="n">
        <v>0</v>
      </c>
      <c r="K777" t="n">
        <v>0</v>
      </c>
      <c r="L777" t="n">
        <v>0</v>
      </c>
      <c r="M777" t="n">
        <v>0</v>
      </c>
      <c r="N777" t="n">
        <v>0</v>
      </c>
      <c r="O777" t="n">
        <v>0</v>
      </c>
      <c r="P777" t="n">
        <v>0</v>
      </c>
      <c r="Q777" t="n">
        <v>0</v>
      </c>
      <c r="R777" s="2" t="inlineStr"/>
    </row>
    <row r="778" ht="15" customHeight="1">
      <c r="A778" t="inlineStr">
        <is>
          <t>A 8166-2024</t>
        </is>
      </c>
      <c r="B778" s="1" t="n">
        <v>45349</v>
      </c>
      <c r="C778" s="1" t="n">
        <v>45626</v>
      </c>
      <c r="D778" t="inlineStr">
        <is>
          <t>JÄMTLANDS LÄN</t>
        </is>
      </c>
      <c r="E778" t="inlineStr">
        <is>
          <t>ÖSTERSUND</t>
        </is>
      </c>
      <c r="G778" t="n">
        <v>2.7</v>
      </c>
      <c r="H778" t="n">
        <v>0</v>
      </c>
      <c r="I778" t="n">
        <v>0</v>
      </c>
      <c r="J778" t="n">
        <v>0</v>
      </c>
      <c r="K778" t="n">
        <v>0</v>
      </c>
      <c r="L778" t="n">
        <v>0</v>
      </c>
      <c r="M778" t="n">
        <v>0</v>
      </c>
      <c r="N778" t="n">
        <v>0</v>
      </c>
      <c r="O778" t="n">
        <v>0</v>
      </c>
      <c r="P778" t="n">
        <v>0</v>
      </c>
      <c r="Q778" t="n">
        <v>0</v>
      </c>
      <c r="R778" s="2" t="inlineStr"/>
    </row>
    <row r="779" ht="15" customHeight="1">
      <c r="A779" t="inlineStr">
        <is>
          <t>A 9109-2024</t>
        </is>
      </c>
      <c r="B779" s="1" t="n">
        <v>45358</v>
      </c>
      <c r="C779" s="1" t="n">
        <v>45626</v>
      </c>
      <c r="D779" t="inlineStr">
        <is>
          <t>JÄMTLANDS LÄN</t>
        </is>
      </c>
      <c r="E779" t="inlineStr">
        <is>
          <t>ÖSTERSUND</t>
        </is>
      </c>
      <c r="G779" t="n">
        <v>17.1</v>
      </c>
      <c r="H779" t="n">
        <v>0</v>
      </c>
      <c r="I779" t="n">
        <v>0</v>
      </c>
      <c r="J779" t="n">
        <v>0</v>
      </c>
      <c r="K779" t="n">
        <v>0</v>
      </c>
      <c r="L779" t="n">
        <v>0</v>
      </c>
      <c r="M779" t="n">
        <v>0</v>
      </c>
      <c r="N779" t="n">
        <v>0</v>
      </c>
      <c r="O779" t="n">
        <v>0</v>
      </c>
      <c r="P779" t="n">
        <v>0</v>
      </c>
      <c r="Q779" t="n">
        <v>0</v>
      </c>
      <c r="R779" s="2" t="inlineStr"/>
    </row>
    <row r="780" ht="15" customHeight="1">
      <c r="A780" t="inlineStr">
        <is>
          <t>A 9151-2024</t>
        </is>
      </c>
      <c r="B780" s="1" t="n">
        <v>45358</v>
      </c>
      <c r="C780" s="1" t="n">
        <v>45626</v>
      </c>
      <c r="D780" t="inlineStr">
        <is>
          <t>JÄMTLANDS LÄN</t>
        </is>
      </c>
      <c r="E780" t="inlineStr">
        <is>
          <t>ÖSTERSUND</t>
        </is>
      </c>
      <c r="G780" t="n">
        <v>2.6</v>
      </c>
      <c r="H780" t="n">
        <v>0</v>
      </c>
      <c r="I780" t="n">
        <v>0</v>
      </c>
      <c r="J780" t="n">
        <v>0</v>
      </c>
      <c r="K780" t="n">
        <v>0</v>
      </c>
      <c r="L780" t="n">
        <v>0</v>
      </c>
      <c r="M780" t="n">
        <v>0</v>
      </c>
      <c r="N780" t="n">
        <v>0</v>
      </c>
      <c r="O780" t="n">
        <v>0</v>
      </c>
      <c r="P780" t="n">
        <v>0</v>
      </c>
      <c r="Q780" t="n">
        <v>0</v>
      </c>
      <c r="R780" s="2" t="inlineStr"/>
    </row>
    <row r="781" ht="15" customHeight="1">
      <c r="A781" t="inlineStr">
        <is>
          <t>A 9859-2024</t>
        </is>
      </c>
      <c r="B781" s="1" t="n">
        <v>45363</v>
      </c>
      <c r="C781" s="1" t="n">
        <v>45626</v>
      </c>
      <c r="D781" t="inlineStr">
        <is>
          <t>JÄMTLANDS LÄN</t>
        </is>
      </c>
      <c r="E781" t="inlineStr">
        <is>
          <t>ÖSTERSUND</t>
        </is>
      </c>
      <c r="G781" t="n">
        <v>5.5</v>
      </c>
      <c r="H781" t="n">
        <v>0</v>
      </c>
      <c r="I781" t="n">
        <v>0</v>
      </c>
      <c r="J781" t="n">
        <v>0</v>
      </c>
      <c r="K781" t="n">
        <v>0</v>
      </c>
      <c r="L781" t="n">
        <v>0</v>
      </c>
      <c r="M781" t="n">
        <v>0</v>
      </c>
      <c r="N781" t="n">
        <v>0</v>
      </c>
      <c r="O781" t="n">
        <v>0</v>
      </c>
      <c r="P781" t="n">
        <v>0</v>
      </c>
      <c r="Q781" t="n">
        <v>0</v>
      </c>
      <c r="R781" s="2" t="inlineStr"/>
    </row>
    <row r="782" ht="15" customHeight="1">
      <c r="A782" t="inlineStr">
        <is>
          <t>A 10064-2024</t>
        </is>
      </c>
      <c r="B782" s="1" t="n">
        <v>45364</v>
      </c>
      <c r="C782" s="1" t="n">
        <v>45626</v>
      </c>
      <c r="D782" t="inlineStr">
        <is>
          <t>JÄMTLANDS LÄN</t>
        </is>
      </c>
      <c r="E782" t="inlineStr">
        <is>
          <t>ÖSTERSUND</t>
        </is>
      </c>
      <c r="G782" t="n">
        <v>13.9</v>
      </c>
      <c r="H782" t="n">
        <v>0</v>
      </c>
      <c r="I782" t="n">
        <v>0</v>
      </c>
      <c r="J782" t="n">
        <v>0</v>
      </c>
      <c r="K782" t="n">
        <v>0</v>
      </c>
      <c r="L782" t="n">
        <v>0</v>
      </c>
      <c r="M782" t="n">
        <v>0</v>
      </c>
      <c r="N782" t="n">
        <v>0</v>
      </c>
      <c r="O782" t="n">
        <v>0</v>
      </c>
      <c r="P782" t="n">
        <v>0</v>
      </c>
      <c r="Q782" t="n">
        <v>0</v>
      </c>
      <c r="R782" s="2" t="inlineStr"/>
    </row>
    <row r="783" ht="15" customHeight="1">
      <c r="A783" t="inlineStr">
        <is>
          <t>A 10619-2024</t>
        </is>
      </c>
      <c r="B783" s="1" t="n">
        <v>45367</v>
      </c>
      <c r="C783" s="1" t="n">
        <v>45626</v>
      </c>
      <c r="D783" t="inlineStr">
        <is>
          <t>JÄMTLANDS LÄN</t>
        </is>
      </c>
      <c r="E783" t="inlineStr">
        <is>
          <t>ÖSTERSUND</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11052-2024</t>
        </is>
      </c>
      <c r="B784" s="1" t="n">
        <v>45370</v>
      </c>
      <c r="C784" s="1" t="n">
        <v>45626</v>
      </c>
      <c r="D784" t="inlineStr">
        <is>
          <t>JÄMTLANDS LÄN</t>
        </is>
      </c>
      <c r="E784" t="inlineStr">
        <is>
          <t>ÖSTERSUND</t>
        </is>
      </c>
      <c r="G784" t="n">
        <v>2.3</v>
      </c>
      <c r="H784" t="n">
        <v>0</v>
      </c>
      <c r="I784" t="n">
        <v>0</v>
      </c>
      <c r="J784" t="n">
        <v>0</v>
      </c>
      <c r="K784" t="n">
        <v>0</v>
      </c>
      <c r="L784" t="n">
        <v>0</v>
      </c>
      <c r="M784" t="n">
        <v>0</v>
      </c>
      <c r="N784" t="n">
        <v>0</v>
      </c>
      <c r="O784" t="n">
        <v>0</v>
      </c>
      <c r="P784" t="n">
        <v>0</v>
      </c>
      <c r="Q784" t="n">
        <v>0</v>
      </c>
      <c r="R784" s="2" t="inlineStr"/>
    </row>
    <row r="785" ht="15" customHeight="1">
      <c r="A785" t="inlineStr">
        <is>
          <t>A 11768-2024</t>
        </is>
      </c>
      <c r="B785" s="1" t="n">
        <v>45373</v>
      </c>
      <c r="C785" s="1" t="n">
        <v>45626</v>
      </c>
      <c r="D785" t="inlineStr">
        <is>
          <t>JÄMTLANDS LÄN</t>
        </is>
      </c>
      <c r="E785" t="inlineStr">
        <is>
          <t>ÖSTERSUND</t>
        </is>
      </c>
      <c r="F785" t="inlineStr">
        <is>
          <t>SCA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11877-2024</t>
        </is>
      </c>
      <c r="B786" s="1" t="n">
        <v>45376</v>
      </c>
      <c r="C786" s="1" t="n">
        <v>45626</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11931-2024</t>
        </is>
      </c>
      <c r="B787" s="1" t="n">
        <v>45376</v>
      </c>
      <c r="C787" s="1" t="n">
        <v>45626</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14142-2024</t>
        </is>
      </c>
      <c r="B788" s="1" t="n">
        <v>45392</v>
      </c>
      <c r="C788" s="1" t="n">
        <v>45626</v>
      </c>
      <c r="D788" t="inlineStr">
        <is>
          <t>JÄMTLANDS LÄN</t>
        </is>
      </c>
      <c r="E788" t="inlineStr">
        <is>
          <t>ÖSTERSUND</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16068-2024</t>
        </is>
      </c>
      <c r="B789" s="1" t="n">
        <v>45406</v>
      </c>
      <c r="C789" s="1" t="n">
        <v>45626</v>
      </c>
      <c r="D789" t="inlineStr">
        <is>
          <t>JÄMTLANDS LÄN</t>
        </is>
      </c>
      <c r="E789" t="inlineStr">
        <is>
          <t>ÖSTERSUND</t>
        </is>
      </c>
      <c r="F789" t="inlineStr">
        <is>
          <t>SCA</t>
        </is>
      </c>
      <c r="G789" t="n">
        <v>35.6</v>
      </c>
      <c r="H789" t="n">
        <v>0</v>
      </c>
      <c r="I789" t="n">
        <v>0</v>
      </c>
      <c r="J789" t="n">
        <v>0</v>
      </c>
      <c r="K789" t="n">
        <v>0</v>
      </c>
      <c r="L789" t="n">
        <v>0</v>
      </c>
      <c r="M789" t="n">
        <v>0</v>
      </c>
      <c r="N789" t="n">
        <v>0</v>
      </c>
      <c r="O789" t="n">
        <v>0</v>
      </c>
      <c r="P789" t="n">
        <v>0</v>
      </c>
      <c r="Q789" t="n">
        <v>0</v>
      </c>
      <c r="R789" s="2" t="inlineStr"/>
    </row>
    <row r="790" ht="15" customHeight="1">
      <c r="A790" t="inlineStr">
        <is>
          <t>A 16065-2024</t>
        </is>
      </c>
      <c r="B790" s="1" t="n">
        <v>45406</v>
      </c>
      <c r="C790" s="1" t="n">
        <v>45626</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16459-2024</t>
        </is>
      </c>
      <c r="B791" s="1" t="n">
        <v>45407</v>
      </c>
      <c r="C791" s="1" t="n">
        <v>45626</v>
      </c>
      <c r="D791" t="inlineStr">
        <is>
          <t>JÄMTLANDS LÄN</t>
        </is>
      </c>
      <c r="E791" t="inlineStr">
        <is>
          <t>ÖSTERSUND</t>
        </is>
      </c>
      <c r="G791" t="n">
        <v>24</v>
      </c>
      <c r="H791" t="n">
        <v>0</v>
      </c>
      <c r="I791" t="n">
        <v>0</v>
      </c>
      <c r="J791" t="n">
        <v>0</v>
      </c>
      <c r="K791" t="n">
        <v>0</v>
      </c>
      <c r="L791" t="n">
        <v>0</v>
      </c>
      <c r="M791" t="n">
        <v>0</v>
      </c>
      <c r="N791" t="n">
        <v>0</v>
      </c>
      <c r="O791" t="n">
        <v>0</v>
      </c>
      <c r="P791" t="n">
        <v>0</v>
      </c>
      <c r="Q791" t="n">
        <v>0</v>
      </c>
      <c r="R791" s="2" t="inlineStr"/>
    </row>
    <row r="792" ht="15" customHeight="1">
      <c r="A792" t="inlineStr">
        <is>
          <t>A 16689-2024</t>
        </is>
      </c>
      <c r="B792" s="1" t="n">
        <v>45408</v>
      </c>
      <c r="C792" s="1" t="n">
        <v>45626</v>
      </c>
      <c r="D792" t="inlineStr">
        <is>
          <t>JÄMTLANDS LÄN</t>
        </is>
      </c>
      <c r="E792" t="inlineStr">
        <is>
          <t>ÖSTERSUND</t>
        </is>
      </c>
      <c r="G792" t="n">
        <v>0.6</v>
      </c>
      <c r="H792" t="n">
        <v>0</v>
      </c>
      <c r="I792" t="n">
        <v>0</v>
      </c>
      <c r="J792" t="n">
        <v>0</v>
      </c>
      <c r="K792" t="n">
        <v>0</v>
      </c>
      <c r="L792" t="n">
        <v>0</v>
      </c>
      <c r="M792" t="n">
        <v>0</v>
      </c>
      <c r="N792" t="n">
        <v>0</v>
      </c>
      <c r="O792" t="n">
        <v>0</v>
      </c>
      <c r="P792" t="n">
        <v>0</v>
      </c>
      <c r="Q792" t="n">
        <v>0</v>
      </c>
      <c r="R792" s="2" t="inlineStr"/>
    </row>
    <row r="793" ht="15" customHeight="1">
      <c r="A793" t="inlineStr">
        <is>
          <t>A 17188-2024</t>
        </is>
      </c>
      <c r="B793" s="1" t="n">
        <v>45413</v>
      </c>
      <c r="C793" s="1" t="n">
        <v>45626</v>
      </c>
      <c r="D793" t="inlineStr">
        <is>
          <t>JÄMTLANDS LÄN</t>
        </is>
      </c>
      <c r="E793" t="inlineStr">
        <is>
          <t>ÖSTERSUND</t>
        </is>
      </c>
      <c r="F793" t="inlineStr">
        <is>
          <t>SCA</t>
        </is>
      </c>
      <c r="G793" t="n">
        <v>14.6</v>
      </c>
      <c r="H793" t="n">
        <v>0</v>
      </c>
      <c r="I793" t="n">
        <v>0</v>
      </c>
      <c r="J793" t="n">
        <v>0</v>
      </c>
      <c r="K793" t="n">
        <v>0</v>
      </c>
      <c r="L793" t="n">
        <v>0</v>
      </c>
      <c r="M793" t="n">
        <v>0</v>
      </c>
      <c r="N793" t="n">
        <v>0</v>
      </c>
      <c r="O793" t="n">
        <v>0</v>
      </c>
      <c r="P793" t="n">
        <v>0</v>
      </c>
      <c r="Q793" t="n">
        <v>0</v>
      </c>
      <c r="R793" s="2" t="inlineStr"/>
    </row>
    <row r="794" ht="15" customHeight="1">
      <c r="A794" t="inlineStr">
        <is>
          <t>A 17062-2024</t>
        </is>
      </c>
      <c r="B794" s="1" t="n">
        <v>45412</v>
      </c>
      <c r="C794" s="1" t="n">
        <v>45626</v>
      </c>
      <c r="D794" t="inlineStr">
        <is>
          <t>JÄMTLANDS LÄN</t>
        </is>
      </c>
      <c r="E794" t="inlineStr">
        <is>
          <t>ÖSTERSUND</t>
        </is>
      </c>
      <c r="G794" t="n">
        <v>8</v>
      </c>
      <c r="H794" t="n">
        <v>0</v>
      </c>
      <c r="I794" t="n">
        <v>0</v>
      </c>
      <c r="J794" t="n">
        <v>0</v>
      </c>
      <c r="K794" t="n">
        <v>0</v>
      </c>
      <c r="L794" t="n">
        <v>0</v>
      </c>
      <c r="M794" t="n">
        <v>0</v>
      </c>
      <c r="N794" t="n">
        <v>0</v>
      </c>
      <c r="O794" t="n">
        <v>0</v>
      </c>
      <c r="P794" t="n">
        <v>0</v>
      </c>
      <c r="Q794" t="n">
        <v>0</v>
      </c>
      <c r="R794" s="2" t="inlineStr"/>
    </row>
    <row r="795" ht="15" customHeight="1">
      <c r="A795" t="inlineStr">
        <is>
          <t>A 17066-2024</t>
        </is>
      </c>
      <c r="B795" s="1" t="n">
        <v>45412</v>
      </c>
      <c r="C795" s="1" t="n">
        <v>45626</v>
      </c>
      <c r="D795" t="inlineStr">
        <is>
          <t>JÄMTLANDS LÄN</t>
        </is>
      </c>
      <c r="E795" t="inlineStr">
        <is>
          <t>ÖSTERSUND</t>
        </is>
      </c>
      <c r="G795" t="n">
        <v>4.2</v>
      </c>
      <c r="H795" t="n">
        <v>0</v>
      </c>
      <c r="I795" t="n">
        <v>0</v>
      </c>
      <c r="J795" t="n">
        <v>0</v>
      </c>
      <c r="K795" t="n">
        <v>0</v>
      </c>
      <c r="L795" t="n">
        <v>0</v>
      </c>
      <c r="M795" t="n">
        <v>0</v>
      </c>
      <c r="N795" t="n">
        <v>0</v>
      </c>
      <c r="O795" t="n">
        <v>0</v>
      </c>
      <c r="P795" t="n">
        <v>0</v>
      </c>
      <c r="Q795" t="n">
        <v>0</v>
      </c>
      <c r="R795" s="2" t="inlineStr"/>
    </row>
    <row r="796" ht="15" customHeight="1">
      <c r="A796" t="inlineStr">
        <is>
          <t>A 17547-2024</t>
        </is>
      </c>
      <c r="B796" s="1" t="n">
        <v>45415</v>
      </c>
      <c r="C796" s="1" t="n">
        <v>45626</v>
      </c>
      <c r="D796" t="inlineStr">
        <is>
          <t>JÄMTLANDS LÄN</t>
        </is>
      </c>
      <c r="E796" t="inlineStr">
        <is>
          <t>ÖSTERSUND</t>
        </is>
      </c>
      <c r="G796" t="n">
        <v>2.1</v>
      </c>
      <c r="H796" t="n">
        <v>0</v>
      </c>
      <c r="I796" t="n">
        <v>0</v>
      </c>
      <c r="J796" t="n">
        <v>0</v>
      </c>
      <c r="K796" t="n">
        <v>0</v>
      </c>
      <c r="L796" t="n">
        <v>0</v>
      </c>
      <c r="M796" t="n">
        <v>0</v>
      </c>
      <c r="N796" t="n">
        <v>0</v>
      </c>
      <c r="O796" t="n">
        <v>0</v>
      </c>
      <c r="P796" t="n">
        <v>0</v>
      </c>
      <c r="Q796" t="n">
        <v>0</v>
      </c>
      <c r="R796" s="2" t="inlineStr"/>
    </row>
    <row r="797" ht="15" customHeight="1">
      <c r="A797" t="inlineStr">
        <is>
          <t>A 17760-2024</t>
        </is>
      </c>
      <c r="B797" s="1" t="n">
        <v>45418</v>
      </c>
      <c r="C797" s="1" t="n">
        <v>45626</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17709-2024</t>
        </is>
      </c>
      <c r="B798" s="1" t="n">
        <v>45418</v>
      </c>
      <c r="C798" s="1" t="n">
        <v>45626</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18627-2024</t>
        </is>
      </c>
      <c r="B799" s="1" t="n">
        <v>45426</v>
      </c>
      <c r="C799" s="1" t="n">
        <v>45626</v>
      </c>
      <c r="D799" t="inlineStr">
        <is>
          <t>JÄMTLANDS LÄN</t>
        </is>
      </c>
      <c r="E799" t="inlineStr">
        <is>
          <t>ÖSTERSUND</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18643-2024</t>
        </is>
      </c>
      <c r="B800" s="1" t="n">
        <v>45426</v>
      </c>
      <c r="C800" s="1" t="n">
        <v>45626</v>
      </c>
      <c r="D800" t="inlineStr">
        <is>
          <t>JÄMTLANDS LÄN</t>
        </is>
      </c>
      <c r="E800" t="inlineStr">
        <is>
          <t>ÖSTERSUND</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18624-2024</t>
        </is>
      </c>
      <c r="B801" s="1" t="n">
        <v>45426</v>
      </c>
      <c r="C801" s="1" t="n">
        <v>45626</v>
      </c>
      <c r="D801" t="inlineStr">
        <is>
          <t>JÄMTLANDS LÄN</t>
        </is>
      </c>
      <c r="E801" t="inlineStr">
        <is>
          <t>ÖSTERSUND</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19112-2024</t>
        </is>
      </c>
      <c r="B802" s="1" t="n">
        <v>45427</v>
      </c>
      <c r="C802" s="1" t="n">
        <v>45626</v>
      </c>
      <c r="D802" t="inlineStr">
        <is>
          <t>JÄMTLANDS LÄN</t>
        </is>
      </c>
      <c r="E802" t="inlineStr">
        <is>
          <t>ÖSTERSUND</t>
        </is>
      </c>
      <c r="G802" t="n">
        <v>3.6</v>
      </c>
      <c r="H802" t="n">
        <v>0</v>
      </c>
      <c r="I802" t="n">
        <v>0</v>
      </c>
      <c r="J802" t="n">
        <v>0</v>
      </c>
      <c r="K802" t="n">
        <v>0</v>
      </c>
      <c r="L802" t="n">
        <v>0</v>
      </c>
      <c r="M802" t="n">
        <v>0</v>
      </c>
      <c r="N802" t="n">
        <v>0</v>
      </c>
      <c r="O802" t="n">
        <v>0</v>
      </c>
      <c r="P802" t="n">
        <v>0</v>
      </c>
      <c r="Q802" t="n">
        <v>0</v>
      </c>
      <c r="R802" s="2" t="inlineStr"/>
    </row>
    <row r="803" ht="15" customHeight="1">
      <c r="A803" t="inlineStr">
        <is>
          <t>A 19037-2024</t>
        </is>
      </c>
      <c r="B803" s="1" t="n">
        <v>45427</v>
      </c>
      <c r="C803" s="1" t="n">
        <v>45626</v>
      </c>
      <c r="D803" t="inlineStr">
        <is>
          <t>JÄMTLANDS LÄN</t>
        </is>
      </c>
      <c r="E803" t="inlineStr">
        <is>
          <t>ÖSTERSUND</t>
        </is>
      </c>
      <c r="G803" t="n">
        <v>2</v>
      </c>
      <c r="H803" t="n">
        <v>0</v>
      </c>
      <c r="I803" t="n">
        <v>0</v>
      </c>
      <c r="J803" t="n">
        <v>0</v>
      </c>
      <c r="K803" t="n">
        <v>0</v>
      </c>
      <c r="L803" t="n">
        <v>0</v>
      </c>
      <c r="M803" t="n">
        <v>0</v>
      </c>
      <c r="N803" t="n">
        <v>0</v>
      </c>
      <c r="O803" t="n">
        <v>0</v>
      </c>
      <c r="P803" t="n">
        <v>0</v>
      </c>
      <c r="Q803" t="n">
        <v>0</v>
      </c>
      <c r="R803" s="2" t="inlineStr"/>
    </row>
    <row r="804" ht="15" customHeight="1">
      <c r="A804" t="inlineStr">
        <is>
          <t>A 19138-2024</t>
        </is>
      </c>
      <c r="B804" s="1" t="n">
        <v>45428</v>
      </c>
      <c r="C804" s="1" t="n">
        <v>45626</v>
      </c>
      <c r="D804" t="inlineStr">
        <is>
          <t>JÄMTLANDS LÄN</t>
        </is>
      </c>
      <c r="E804" t="inlineStr">
        <is>
          <t>ÖSTERSUND</t>
        </is>
      </c>
      <c r="G804" t="n">
        <v>13.6</v>
      </c>
      <c r="H804" t="n">
        <v>0</v>
      </c>
      <c r="I804" t="n">
        <v>0</v>
      </c>
      <c r="J804" t="n">
        <v>0</v>
      </c>
      <c r="K804" t="n">
        <v>0</v>
      </c>
      <c r="L804" t="n">
        <v>0</v>
      </c>
      <c r="M804" t="n">
        <v>0</v>
      </c>
      <c r="N804" t="n">
        <v>0</v>
      </c>
      <c r="O804" t="n">
        <v>0</v>
      </c>
      <c r="P804" t="n">
        <v>0</v>
      </c>
      <c r="Q804" t="n">
        <v>0</v>
      </c>
      <c r="R804" s="2" t="inlineStr"/>
    </row>
    <row r="805" ht="15" customHeight="1">
      <c r="A805" t="inlineStr">
        <is>
          <t>A 19233-2024</t>
        </is>
      </c>
      <c r="B805" s="1" t="n">
        <v>45428</v>
      </c>
      <c r="C805" s="1" t="n">
        <v>45626</v>
      </c>
      <c r="D805" t="inlineStr">
        <is>
          <t>JÄMTLANDS LÄN</t>
        </is>
      </c>
      <c r="E805" t="inlineStr">
        <is>
          <t>ÖSTERSUND</t>
        </is>
      </c>
      <c r="G805" t="n">
        <v>2.2</v>
      </c>
      <c r="H805" t="n">
        <v>0</v>
      </c>
      <c r="I805" t="n">
        <v>0</v>
      </c>
      <c r="J805" t="n">
        <v>0</v>
      </c>
      <c r="K805" t="n">
        <v>0</v>
      </c>
      <c r="L805" t="n">
        <v>0</v>
      </c>
      <c r="M805" t="n">
        <v>0</v>
      </c>
      <c r="N805" t="n">
        <v>0</v>
      </c>
      <c r="O805" t="n">
        <v>0</v>
      </c>
      <c r="P805" t="n">
        <v>0</v>
      </c>
      <c r="Q805" t="n">
        <v>0</v>
      </c>
      <c r="R805" s="2" t="inlineStr"/>
    </row>
    <row r="806" ht="15" customHeight="1">
      <c r="A806" t="inlineStr">
        <is>
          <t>A 19408-2024</t>
        </is>
      </c>
      <c r="B806" s="1" t="n">
        <v>45428</v>
      </c>
      <c r="C806" s="1" t="n">
        <v>45626</v>
      </c>
      <c r="D806" t="inlineStr">
        <is>
          <t>JÄMTLANDS LÄN</t>
        </is>
      </c>
      <c r="E806" t="inlineStr">
        <is>
          <t>ÖSTERSUND</t>
        </is>
      </c>
      <c r="G806" t="n">
        <v>11.1</v>
      </c>
      <c r="H806" t="n">
        <v>0</v>
      </c>
      <c r="I806" t="n">
        <v>0</v>
      </c>
      <c r="J806" t="n">
        <v>0</v>
      </c>
      <c r="K806" t="n">
        <v>0</v>
      </c>
      <c r="L806" t="n">
        <v>0</v>
      </c>
      <c r="M806" t="n">
        <v>0</v>
      </c>
      <c r="N806" t="n">
        <v>0</v>
      </c>
      <c r="O806" t="n">
        <v>0</v>
      </c>
      <c r="P806" t="n">
        <v>0</v>
      </c>
      <c r="Q806" t="n">
        <v>0</v>
      </c>
      <c r="R806" s="2" t="inlineStr"/>
    </row>
    <row r="807" ht="15" customHeight="1">
      <c r="A807" t="inlineStr">
        <is>
          <t>A 19323-2024</t>
        </is>
      </c>
      <c r="B807" s="1" t="n">
        <v>45429</v>
      </c>
      <c r="C807" s="1" t="n">
        <v>45626</v>
      </c>
      <c r="D807" t="inlineStr">
        <is>
          <t>JÄMTLANDS LÄN</t>
        </is>
      </c>
      <c r="E807" t="inlineStr">
        <is>
          <t>ÖSTERSUND</t>
        </is>
      </c>
      <c r="F807" t="inlineStr">
        <is>
          <t>Kommuner</t>
        </is>
      </c>
      <c r="G807" t="n">
        <v>0.2</v>
      </c>
      <c r="H807" t="n">
        <v>0</v>
      </c>
      <c r="I807" t="n">
        <v>0</v>
      </c>
      <c r="J807" t="n">
        <v>0</v>
      </c>
      <c r="K807" t="n">
        <v>0</v>
      </c>
      <c r="L807" t="n">
        <v>0</v>
      </c>
      <c r="M807" t="n">
        <v>0</v>
      </c>
      <c r="N807" t="n">
        <v>0</v>
      </c>
      <c r="O807" t="n">
        <v>0</v>
      </c>
      <c r="P807" t="n">
        <v>0</v>
      </c>
      <c r="Q807" t="n">
        <v>0</v>
      </c>
      <c r="R807" s="2" t="inlineStr"/>
    </row>
    <row r="808" ht="15" customHeight="1">
      <c r="A808" t="inlineStr">
        <is>
          <t>A 19566-2024</t>
        </is>
      </c>
      <c r="B808" s="1" t="n">
        <v>45430</v>
      </c>
      <c r="C808" s="1" t="n">
        <v>45626</v>
      </c>
      <c r="D808" t="inlineStr">
        <is>
          <t>JÄMTLANDS LÄN</t>
        </is>
      </c>
      <c r="E808" t="inlineStr">
        <is>
          <t>ÖSTERSUND</t>
        </is>
      </c>
      <c r="G808" t="n">
        <v>0</v>
      </c>
      <c r="H808" t="n">
        <v>0</v>
      </c>
      <c r="I808" t="n">
        <v>0</v>
      </c>
      <c r="J808" t="n">
        <v>0</v>
      </c>
      <c r="K808" t="n">
        <v>0</v>
      </c>
      <c r="L808" t="n">
        <v>0</v>
      </c>
      <c r="M808" t="n">
        <v>0</v>
      </c>
      <c r="N808" t="n">
        <v>0</v>
      </c>
      <c r="O808" t="n">
        <v>0</v>
      </c>
      <c r="P808" t="n">
        <v>0</v>
      </c>
      <c r="Q808" t="n">
        <v>0</v>
      </c>
      <c r="R808" s="2" t="inlineStr"/>
    </row>
    <row r="809" ht="15" customHeight="1">
      <c r="A809" t="inlineStr">
        <is>
          <t>A 19570-2024</t>
        </is>
      </c>
      <c r="B809" s="1" t="n">
        <v>45430</v>
      </c>
      <c r="C809" s="1" t="n">
        <v>45626</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19725-2024</t>
        </is>
      </c>
      <c r="B810" s="1" t="n">
        <v>45432</v>
      </c>
      <c r="C810" s="1" t="n">
        <v>45626</v>
      </c>
      <c r="D810" t="inlineStr">
        <is>
          <t>JÄMTLANDS LÄN</t>
        </is>
      </c>
      <c r="E810" t="inlineStr">
        <is>
          <t>ÖSTERSUND</t>
        </is>
      </c>
      <c r="G810" t="n">
        <v>7.2</v>
      </c>
      <c r="H810" t="n">
        <v>0</v>
      </c>
      <c r="I810" t="n">
        <v>0</v>
      </c>
      <c r="J810" t="n">
        <v>0</v>
      </c>
      <c r="K810" t="n">
        <v>0</v>
      </c>
      <c r="L810" t="n">
        <v>0</v>
      </c>
      <c r="M810" t="n">
        <v>0</v>
      </c>
      <c r="N810" t="n">
        <v>0</v>
      </c>
      <c r="O810" t="n">
        <v>0</v>
      </c>
      <c r="P810" t="n">
        <v>0</v>
      </c>
      <c r="Q810" t="n">
        <v>0</v>
      </c>
      <c r="R810" s="2" t="inlineStr"/>
    </row>
    <row r="811" ht="15" customHeight="1">
      <c r="A811" t="inlineStr">
        <is>
          <t>A 20068-2024</t>
        </is>
      </c>
      <c r="B811" s="1" t="n">
        <v>45434</v>
      </c>
      <c r="C811" s="1" t="n">
        <v>45626</v>
      </c>
      <c r="D811" t="inlineStr">
        <is>
          <t>JÄMTLANDS LÄN</t>
        </is>
      </c>
      <c r="E811" t="inlineStr">
        <is>
          <t>ÖSTERSUND</t>
        </is>
      </c>
      <c r="G811" t="n">
        <v>10.2</v>
      </c>
      <c r="H811" t="n">
        <v>0</v>
      </c>
      <c r="I811" t="n">
        <v>0</v>
      </c>
      <c r="J811" t="n">
        <v>0</v>
      </c>
      <c r="K811" t="n">
        <v>0</v>
      </c>
      <c r="L811" t="n">
        <v>0</v>
      </c>
      <c r="M811" t="n">
        <v>0</v>
      </c>
      <c r="N811" t="n">
        <v>0</v>
      </c>
      <c r="O811" t="n">
        <v>0</v>
      </c>
      <c r="P811" t="n">
        <v>0</v>
      </c>
      <c r="Q811" t="n">
        <v>0</v>
      </c>
      <c r="R811" s="2" t="inlineStr"/>
    </row>
    <row r="812" ht="15" customHeight="1">
      <c r="A812" t="inlineStr">
        <is>
          <t>A 20400-2024</t>
        </is>
      </c>
      <c r="B812" s="1" t="n">
        <v>45435</v>
      </c>
      <c r="C812" s="1" t="n">
        <v>45626</v>
      </c>
      <c r="D812" t="inlineStr">
        <is>
          <t>JÄMTLANDS LÄN</t>
        </is>
      </c>
      <c r="E812" t="inlineStr">
        <is>
          <t>ÖSTERSUND</t>
        </is>
      </c>
      <c r="G812" t="n">
        <v>0.9</v>
      </c>
      <c r="H812" t="n">
        <v>0</v>
      </c>
      <c r="I812" t="n">
        <v>0</v>
      </c>
      <c r="J812" t="n">
        <v>0</v>
      </c>
      <c r="K812" t="n">
        <v>0</v>
      </c>
      <c r="L812" t="n">
        <v>0</v>
      </c>
      <c r="M812" t="n">
        <v>0</v>
      </c>
      <c r="N812" t="n">
        <v>0</v>
      </c>
      <c r="O812" t="n">
        <v>0</v>
      </c>
      <c r="P812" t="n">
        <v>0</v>
      </c>
      <c r="Q812" t="n">
        <v>0</v>
      </c>
      <c r="R812" s="2" t="inlineStr"/>
    </row>
    <row r="813" ht="15" customHeight="1">
      <c r="A813" t="inlineStr">
        <is>
          <t>A 20632-2024</t>
        </is>
      </c>
      <c r="B813" s="1" t="n">
        <v>45436</v>
      </c>
      <c r="C813" s="1" t="n">
        <v>45626</v>
      </c>
      <c r="D813" t="inlineStr">
        <is>
          <t>JÄMTLANDS LÄN</t>
        </is>
      </c>
      <c r="E813" t="inlineStr">
        <is>
          <t>ÖSTERSUND</t>
        </is>
      </c>
      <c r="G813" t="n">
        <v>5.6</v>
      </c>
      <c r="H813" t="n">
        <v>0</v>
      </c>
      <c r="I813" t="n">
        <v>0</v>
      </c>
      <c r="J813" t="n">
        <v>0</v>
      </c>
      <c r="K813" t="n">
        <v>0</v>
      </c>
      <c r="L813" t="n">
        <v>0</v>
      </c>
      <c r="M813" t="n">
        <v>0</v>
      </c>
      <c r="N813" t="n">
        <v>0</v>
      </c>
      <c r="O813" t="n">
        <v>0</v>
      </c>
      <c r="P813" t="n">
        <v>0</v>
      </c>
      <c r="Q813" t="n">
        <v>0</v>
      </c>
      <c r="R813" s="2" t="inlineStr"/>
    </row>
    <row r="814" ht="15" customHeight="1">
      <c r="A814" t="inlineStr">
        <is>
          <t>A 20629-2024</t>
        </is>
      </c>
      <c r="B814" s="1" t="n">
        <v>45436</v>
      </c>
      <c r="C814" s="1" t="n">
        <v>45626</v>
      </c>
      <c r="D814" t="inlineStr">
        <is>
          <t>JÄMTLANDS LÄN</t>
        </is>
      </c>
      <c r="E814" t="inlineStr">
        <is>
          <t>ÖSTERSUND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20736-2024</t>
        </is>
      </c>
      <c r="B815" s="1" t="n">
        <v>45436</v>
      </c>
      <c r="C815" s="1" t="n">
        <v>45626</v>
      </c>
      <c r="D815" t="inlineStr">
        <is>
          <t>JÄMTLANDS LÄN</t>
        </is>
      </c>
      <c r="E815" t="inlineStr">
        <is>
          <t>ÖSTERSUND</t>
        </is>
      </c>
      <c r="G815" t="n">
        <v>5.3</v>
      </c>
      <c r="H815" t="n">
        <v>0</v>
      </c>
      <c r="I815" t="n">
        <v>0</v>
      </c>
      <c r="J815" t="n">
        <v>0</v>
      </c>
      <c r="K815" t="n">
        <v>0</v>
      </c>
      <c r="L815" t="n">
        <v>0</v>
      </c>
      <c r="M815" t="n">
        <v>0</v>
      </c>
      <c r="N815" t="n">
        <v>0</v>
      </c>
      <c r="O815" t="n">
        <v>0</v>
      </c>
      <c r="P815" t="n">
        <v>0</v>
      </c>
      <c r="Q815" t="n">
        <v>0</v>
      </c>
      <c r="R815" s="2" t="inlineStr"/>
    </row>
    <row r="816" ht="15" customHeight="1">
      <c r="A816" t="inlineStr">
        <is>
          <t>A 21094-2024</t>
        </is>
      </c>
      <c r="B816" s="1" t="n">
        <v>45440</v>
      </c>
      <c r="C816" s="1" t="n">
        <v>45626</v>
      </c>
      <c r="D816" t="inlineStr">
        <is>
          <t>JÄMTLANDS LÄN</t>
        </is>
      </c>
      <c r="E816" t="inlineStr">
        <is>
          <t>ÖSTERSUND</t>
        </is>
      </c>
      <c r="F816" t="inlineStr">
        <is>
          <t>SCA</t>
        </is>
      </c>
      <c r="G816" t="n">
        <v>7.6</v>
      </c>
      <c r="H816" t="n">
        <v>0</v>
      </c>
      <c r="I816" t="n">
        <v>0</v>
      </c>
      <c r="J816" t="n">
        <v>0</v>
      </c>
      <c r="K816" t="n">
        <v>0</v>
      </c>
      <c r="L816" t="n">
        <v>0</v>
      </c>
      <c r="M816" t="n">
        <v>0</v>
      </c>
      <c r="N816" t="n">
        <v>0</v>
      </c>
      <c r="O816" t="n">
        <v>0</v>
      </c>
      <c r="P816" t="n">
        <v>0</v>
      </c>
      <c r="Q816" t="n">
        <v>0</v>
      </c>
      <c r="R816" s="2" t="inlineStr"/>
    </row>
    <row r="817" ht="15" customHeight="1">
      <c r="A817" t="inlineStr">
        <is>
          <t>A 21093-2024</t>
        </is>
      </c>
      <c r="B817" s="1" t="n">
        <v>45440</v>
      </c>
      <c r="C817" s="1" t="n">
        <v>45626</v>
      </c>
      <c r="D817" t="inlineStr">
        <is>
          <t>JÄMTLANDS LÄN</t>
        </is>
      </c>
      <c r="E817" t="inlineStr">
        <is>
          <t>ÖSTERSUND</t>
        </is>
      </c>
      <c r="F817" t="inlineStr">
        <is>
          <t>SCA</t>
        </is>
      </c>
      <c r="G817" t="n">
        <v>9.300000000000001</v>
      </c>
      <c r="H817" t="n">
        <v>0</v>
      </c>
      <c r="I817" t="n">
        <v>0</v>
      </c>
      <c r="J817" t="n">
        <v>0</v>
      </c>
      <c r="K817" t="n">
        <v>0</v>
      </c>
      <c r="L817" t="n">
        <v>0</v>
      </c>
      <c r="M817" t="n">
        <v>0</v>
      </c>
      <c r="N817" t="n">
        <v>0</v>
      </c>
      <c r="O817" t="n">
        <v>0</v>
      </c>
      <c r="P817" t="n">
        <v>0</v>
      </c>
      <c r="Q817" t="n">
        <v>0</v>
      </c>
      <c r="R817" s="2" t="inlineStr"/>
    </row>
    <row r="818" ht="15" customHeight="1">
      <c r="A818" t="inlineStr">
        <is>
          <t>A 21373-2024</t>
        </is>
      </c>
      <c r="B818" s="1" t="n">
        <v>45441</v>
      </c>
      <c r="C818" s="1" t="n">
        <v>45626</v>
      </c>
      <c r="D818" t="inlineStr">
        <is>
          <t>JÄMTLANDS LÄN</t>
        </is>
      </c>
      <c r="E818" t="inlineStr">
        <is>
          <t>ÖSTERSUND</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21822-2024</t>
        </is>
      </c>
      <c r="B819" s="1" t="n">
        <v>45442</v>
      </c>
      <c r="C819" s="1" t="n">
        <v>45626</v>
      </c>
      <c r="D819" t="inlineStr">
        <is>
          <t>JÄMTLANDS LÄN</t>
        </is>
      </c>
      <c r="E819" t="inlineStr">
        <is>
          <t>ÖSTERSUND</t>
        </is>
      </c>
      <c r="G819" t="n">
        <v>5.1</v>
      </c>
      <c r="H819" t="n">
        <v>0</v>
      </c>
      <c r="I819" t="n">
        <v>0</v>
      </c>
      <c r="J819" t="n">
        <v>0</v>
      </c>
      <c r="K819" t="n">
        <v>0</v>
      </c>
      <c r="L819" t="n">
        <v>0</v>
      </c>
      <c r="M819" t="n">
        <v>0</v>
      </c>
      <c r="N819" t="n">
        <v>0</v>
      </c>
      <c r="O819" t="n">
        <v>0</v>
      </c>
      <c r="P819" t="n">
        <v>0</v>
      </c>
      <c r="Q819" t="n">
        <v>0</v>
      </c>
      <c r="R819" s="2" t="inlineStr"/>
    </row>
    <row r="820" ht="15" customHeight="1">
      <c r="A820" t="inlineStr">
        <is>
          <t>A 21667-2024</t>
        </is>
      </c>
      <c r="B820" s="1" t="n">
        <v>45442</v>
      </c>
      <c r="C820" s="1" t="n">
        <v>45626</v>
      </c>
      <c r="D820" t="inlineStr">
        <is>
          <t>JÄMTLANDS LÄN</t>
        </is>
      </c>
      <c r="E820" t="inlineStr">
        <is>
          <t>ÖSTERSUND</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22123-2024</t>
        </is>
      </c>
      <c r="B821" s="1" t="n">
        <v>45444</v>
      </c>
      <c r="C821" s="1" t="n">
        <v>45626</v>
      </c>
      <c r="D821" t="inlineStr">
        <is>
          <t>JÄMTLANDS LÄN</t>
        </is>
      </c>
      <c r="E821" t="inlineStr">
        <is>
          <t>ÖSTERSUND</t>
        </is>
      </c>
      <c r="G821" t="n">
        <v>5.1</v>
      </c>
      <c r="H821" t="n">
        <v>0</v>
      </c>
      <c r="I821" t="n">
        <v>0</v>
      </c>
      <c r="J821" t="n">
        <v>0</v>
      </c>
      <c r="K821" t="n">
        <v>0</v>
      </c>
      <c r="L821" t="n">
        <v>0</v>
      </c>
      <c r="M821" t="n">
        <v>0</v>
      </c>
      <c r="N821" t="n">
        <v>0</v>
      </c>
      <c r="O821" t="n">
        <v>0</v>
      </c>
      <c r="P821" t="n">
        <v>0</v>
      </c>
      <c r="Q821" t="n">
        <v>0</v>
      </c>
      <c r="R821" s="2" t="inlineStr"/>
    </row>
    <row r="822" ht="15" customHeight="1">
      <c r="A822" t="inlineStr">
        <is>
          <t>A 22478-2024</t>
        </is>
      </c>
      <c r="B822" s="1" t="n">
        <v>45447</v>
      </c>
      <c r="C822" s="1" t="n">
        <v>45626</v>
      </c>
      <c r="D822" t="inlineStr">
        <is>
          <t>JÄMTLANDS LÄN</t>
        </is>
      </c>
      <c r="E822" t="inlineStr">
        <is>
          <t>ÖSTERSUND</t>
        </is>
      </c>
      <c r="F822" t="inlineStr">
        <is>
          <t>SCA</t>
        </is>
      </c>
      <c r="G822" t="n">
        <v>5.8</v>
      </c>
      <c r="H822" t="n">
        <v>0</v>
      </c>
      <c r="I822" t="n">
        <v>0</v>
      </c>
      <c r="J822" t="n">
        <v>0</v>
      </c>
      <c r="K822" t="n">
        <v>0</v>
      </c>
      <c r="L822" t="n">
        <v>0</v>
      </c>
      <c r="M822" t="n">
        <v>0</v>
      </c>
      <c r="N822" t="n">
        <v>0</v>
      </c>
      <c r="O822" t="n">
        <v>0</v>
      </c>
      <c r="P822" t="n">
        <v>0</v>
      </c>
      <c r="Q822" t="n">
        <v>0</v>
      </c>
      <c r="R822" s="2" t="inlineStr"/>
    </row>
    <row r="823" ht="15" customHeight="1">
      <c r="A823" t="inlineStr">
        <is>
          <t>A 23124-2024</t>
        </is>
      </c>
      <c r="B823" s="1" t="n">
        <v>45450</v>
      </c>
      <c r="C823" s="1" t="n">
        <v>45626</v>
      </c>
      <c r="D823" t="inlineStr">
        <is>
          <t>JÄMTLANDS LÄN</t>
        </is>
      </c>
      <c r="E823" t="inlineStr">
        <is>
          <t>ÖSTERSUND</t>
        </is>
      </c>
      <c r="G823" t="n">
        <v>5.8</v>
      </c>
      <c r="H823" t="n">
        <v>0</v>
      </c>
      <c r="I823" t="n">
        <v>0</v>
      </c>
      <c r="J823" t="n">
        <v>0</v>
      </c>
      <c r="K823" t="n">
        <v>0</v>
      </c>
      <c r="L823" t="n">
        <v>0</v>
      </c>
      <c r="M823" t="n">
        <v>0</v>
      </c>
      <c r="N823" t="n">
        <v>0</v>
      </c>
      <c r="O823" t="n">
        <v>0</v>
      </c>
      <c r="P823" t="n">
        <v>0</v>
      </c>
      <c r="Q823" t="n">
        <v>0</v>
      </c>
      <c r="R823" s="2" t="inlineStr"/>
    </row>
    <row r="824" ht="15" customHeight="1">
      <c r="A824" t="inlineStr">
        <is>
          <t>A 23191-2024</t>
        </is>
      </c>
      <c r="B824" s="1" t="n">
        <v>45450</v>
      </c>
      <c r="C824" s="1" t="n">
        <v>45626</v>
      </c>
      <c r="D824" t="inlineStr">
        <is>
          <t>JÄMTLANDS LÄN</t>
        </is>
      </c>
      <c r="E824" t="inlineStr">
        <is>
          <t>ÖSTERSUND</t>
        </is>
      </c>
      <c r="G824" t="n">
        <v>7</v>
      </c>
      <c r="H824" t="n">
        <v>0</v>
      </c>
      <c r="I824" t="n">
        <v>0</v>
      </c>
      <c r="J824" t="n">
        <v>0</v>
      </c>
      <c r="K824" t="n">
        <v>0</v>
      </c>
      <c r="L824" t="n">
        <v>0</v>
      </c>
      <c r="M824" t="n">
        <v>0</v>
      </c>
      <c r="N824" t="n">
        <v>0</v>
      </c>
      <c r="O824" t="n">
        <v>0</v>
      </c>
      <c r="P824" t="n">
        <v>0</v>
      </c>
      <c r="Q824" t="n">
        <v>0</v>
      </c>
      <c r="R824" s="2" t="inlineStr"/>
    </row>
    <row r="825" ht="15" customHeight="1">
      <c r="A825" t="inlineStr">
        <is>
          <t>A 23492-2024</t>
        </is>
      </c>
      <c r="B825" s="1" t="n">
        <v>45453</v>
      </c>
      <c r="C825" s="1" t="n">
        <v>45626</v>
      </c>
      <c r="D825" t="inlineStr">
        <is>
          <t>JÄMTLANDS LÄN</t>
        </is>
      </c>
      <c r="E825" t="inlineStr">
        <is>
          <t>ÖSTERSUND</t>
        </is>
      </c>
      <c r="G825" t="n">
        <v>9.1</v>
      </c>
      <c r="H825" t="n">
        <v>0</v>
      </c>
      <c r="I825" t="n">
        <v>0</v>
      </c>
      <c r="J825" t="n">
        <v>0</v>
      </c>
      <c r="K825" t="n">
        <v>0</v>
      </c>
      <c r="L825" t="n">
        <v>0</v>
      </c>
      <c r="M825" t="n">
        <v>0</v>
      </c>
      <c r="N825" t="n">
        <v>0</v>
      </c>
      <c r="O825" t="n">
        <v>0</v>
      </c>
      <c r="P825" t="n">
        <v>0</v>
      </c>
      <c r="Q825" t="n">
        <v>0</v>
      </c>
      <c r="R825" s="2" t="inlineStr"/>
    </row>
    <row r="826" ht="15" customHeight="1">
      <c r="A826" t="inlineStr">
        <is>
          <t>A 24246-2024</t>
        </is>
      </c>
      <c r="B826" s="1" t="n">
        <v>45457</v>
      </c>
      <c r="C826" s="1" t="n">
        <v>45626</v>
      </c>
      <c r="D826" t="inlineStr">
        <is>
          <t>JÄMTLANDS LÄN</t>
        </is>
      </c>
      <c r="E826" t="inlineStr">
        <is>
          <t>ÖSTERSUND</t>
        </is>
      </c>
      <c r="G826" t="n">
        <v>5.3</v>
      </c>
      <c r="H826" t="n">
        <v>0</v>
      </c>
      <c r="I826" t="n">
        <v>0</v>
      </c>
      <c r="J826" t="n">
        <v>0</v>
      </c>
      <c r="K826" t="n">
        <v>0</v>
      </c>
      <c r="L826" t="n">
        <v>0</v>
      </c>
      <c r="M826" t="n">
        <v>0</v>
      </c>
      <c r="N826" t="n">
        <v>0</v>
      </c>
      <c r="O826" t="n">
        <v>0</v>
      </c>
      <c r="P826" t="n">
        <v>0</v>
      </c>
      <c r="Q826" t="n">
        <v>0</v>
      </c>
      <c r="R826" s="2" t="inlineStr"/>
    </row>
    <row r="827" ht="15" customHeight="1">
      <c r="A827" t="inlineStr">
        <is>
          <t>A 24781-2024</t>
        </is>
      </c>
      <c r="B827" s="1" t="n">
        <v>45460</v>
      </c>
      <c r="C827" s="1" t="n">
        <v>45626</v>
      </c>
      <c r="D827" t="inlineStr">
        <is>
          <t>JÄMTLANDS LÄN</t>
        </is>
      </c>
      <c r="E827" t="inlineStr">
        <is>
          <t>ÖSTERSUND</t>
        </is>
      </c>
      <c r="G827" t="n">
        <v>2.2</v>
      </c>
      <c r="H827" t="n">
        <v>0</v>
      </c>
      <c r="I827" t="n">
        <v>0</v>
      </c>
      <c r="J827" t="n">
        <v>0</v>
      </c>
      <c r="K827" t="n">
        <v>0</v>
      </c>
      <c r="L827" t="n">
        <v>0</v>
      </c>
      <c r="M827" t="n">
        <v>0</v>
      </c>
      <c r="N827" t="n">
        <v>0</v>
      </c>
      <c r="O827" t="n">
        <v>0</v>
      </c>
      <c r="P827" t="n">
        <v>0</v>
      </c>
      <c r="Q827" t="n">
        <v>0</v>
      </c>
      <c r="R827" s="2" t="inlineStr"/>
    </row>
    <row r="828" ht="15" customHeight="1">
      <c r="A828" t="inlineStr">
        <is>
          <t>A 24786-2024</t>
        </is>
      </c>
      <c r="B828" s="1" t="n">
        <v>45460</v>
      </c>
      <c r="C828" s="1" t="n">
        <v>45626</v>
      </c>
      <c r="D828" t="inlineStr">
        <is>
          <t>JÄMTLANDS LÄN</t>
        </is>
      </c>
      <c r="E828" t="inlineStr">
        <is>
          <t>ÖSTERSUND</t>
        </is>
      </c>
      <c r="G828" t="n">
        <v>0.1</v>
      </c>
      <c r="H828" t="n">
        <v>0</v>
      </c>
      <c r="I828" t="n">
        <v>0</v>
      </c>
      <c r="J828" t="n">
        <v>0</v>
      </c>
      <c r="K828" t="n">
        <v>0</v>
      </c>
      <c r="L828" t="n">
        <v>0</v>
      </c>
      <c r="M828" t="n">
        <v>0</v>
      </c>
      <c r="N828" t="n">
        <v>0</v>
      </c>
      <c r="O828" t="n">
        <v>0</v>
      </c>
      <c r="P828" t="n">
        <v>0</v>
      </c>
      <c r="Q828" t="n">
        <v>0</v>
      </c>
      <c r="R828" s="2" t="inlineStr"/>
    </row>
    <row r="829" ht="15" customHeight="1">
      <c r="A829" t="inlineStr">
        <is>
          <t>A 24605-2024</t>
        </is>
      </c>
      <c r="B829" s="1" t="n">
        <v>45460</v>
      </c>
      <c r="C829" s="1" t="n">
        <v>45626</v>
      </c>
      <c r="D829" t="inlineStr">
        <is>
          <t>JÄMTLANDS LÄN</t>
        </is>
      </c>
      <c r="E829" t="inlineStr">
        <is>
          <t>ÖSTERSUND</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25388-2024</t>
        </is>
      </c>
      <c r="B830" s="1" t="n">
        <v>45463</v>
      </c>
      <c r="C830" s="1" t="n">
        <v>45626</v>
      </c>
      <c r="D830" t="inlineStr">
        <is>
          <t>JÄMTLANDS LÄN</t>
        </is>
      </c>
      <c r="E830" t="inlineStr">
        <is>
          <t>ÖSTERSUND</t>
        </is>
      </c>
      <c r="G830" t="n">
        <v>2.7</v>
      </c>
      <c r="H830" t="n">
        <v>0</v>
      </c>
      <c r="I830" t="n">
        <v>0</v>
      </c>
      <c r="J830" t="n">
        <v>0</v>
      </c>
      <c r="K830" t="n">
        <v>0</v>
      </c>
      <c r="L830" t="n">
        <v>0</v>
      </c>
      <c r="M830" t="n">
        <v>0</v>
      </c>
      <c r="N830" t="n">
        <v>0</v>
      </c>
      <c r="O830" t="n">
        <v>0</v>
      </c>
      <c r="P830" t="n">
        <v>0</v>
      </c>
      <c r="Q830" t="n">
        <v>0</v>
      </c>
      <c r="R830" s="2" t="inlineStr"/>
    </row>
    <row r="831" ht="15" customHeight="1">
      <c r="A831" t="inlineStr">
        <is>
          <t>A 25385-2024</t>
        </is>
      </c>
      <c r="B831" s="1" t="n">
        <v>45463</v>
      </c>
      <c r="C831" s="1" t="n">
        <v>45626</v>
      </c>
      <c r="D831" t="inlineStr">
        <is>
          <t>JÄMTLANDS LÄN</t>
        </is>
      </c>
      <c r="E831" t="inlineStr">
        <is>
          <t>ÖSTERSUND</t>
        </is>
      </c>
      <c r="F831" t="inlineStr">
        <is>
          <t>SCA</t>
        </is>
      </c>
      <c r="G831" t="n">
        <v>5.2</v>
      </c>
      <c r="H831" t="n">
        <v>0</v>
      </c>
      <c r="I831" t="n">
        <v>0</v>
      </c>
      <c r="J831" t="n">
        <v>0</v>
      </c>
      <c r="K831" t="n">
        <v>0</v>
      </c>
      <c r="L831" t="n">
        <v>0</v>
      </c>
      <c r="M831" t="n">
        <v>0</v>
      </c>
      <c r="N831" t="n">
        <v>0</v>
      </c>
      <c r="O831" t="n">
        <v>0</v>
      </c>
      <c r="P831" t="n">
        <v>0</v>
      </c>
      <c r="Q831" t="n">
        <v>0</v>
      </c>
      <c r="R831" s="2" t="inlineStr"/>
    </row>
    <row r="832" ht="15" customHeight="1">
      <c r="A832" t="inlineStr">
        <is>
          <t>A 25187-2024</t>
        </is>
      </c>
      <c r="B832" s="1" t="n">
        <v>45462</v>
      </c>
      <c r="C832" s="1" t="n">
        <v>45626</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26202-2024</t>
        </is>
      </c>
      <c r="B833" s="1" t="n">
        <v>45468</v>
      </c>
      <c r="C833" s="1" t="n">
        <v>45626</v>
      </c>
      <c r="D833" t="inlineStr">
        <is>
          <t>JÄMTLANDS LÄN</t>
        </is>
      </c>
      <c r="E833" t="inlineStr">
        <is>
          <t>ÖSTERSUND</t>
        </is>
      </c>
      <c r="G833" t="n">
        <v>6.7</v>
      </c>
      <c r="H833" t="n">
        <v>0</v>
      </c>
      <c r="I833" t="n">
        <v>0</v>
      </c>
      <c r="J833" t="n">
        <v>0</v>
      </c>
      <c r="K833" t="n">
        <v>0</v>
      </c>
      <c r="L833" t="n">
        <v>0</v>
      </c>
      <c r="M833" t="n">
        <v>0</v>
      </c>
      <c r="N833" t="n">
        <v>0</v>
      </c>
      <c r="O833" t="n">
        <v>0</v>
      </c>
      <c r="P833" t="n">
        <v>0</v>
      </c>
      <c r="Q833" t="n">
        <v>0</v>
      </c>
      <c r="R833" s="2" t="inlineStr"/>
    </row>
    <row r="834" ht="15" customHeight="1">
      <c r="A834" t="inlineStr">
        <is>
          <t>A 27906-2024</t>
        </is>
      </c>
      <c r="B834" s="1" t="n">
        <v>45476</v>
      </c>
      <c r="C834" s="1" t="n">
        <v>45626</v>
      </c>
      <c r="D834" t="inlineStr">
        <is>
          <t>JÄMTLANDS LÄN</t>
        </is>
      </c>
      <c r="E834" t="inlineStr">
        <is>
          <t>ÖSTERSUND</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27689-2024</t>
        </is>
      </c>
      <c r="B835" s="1" t="n">
        <v>45475</v>
      </c>
      <c r="C835" s="1" t="n">
        <v>45626</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27764-2024</t>
        </is>
      </c>
      <c r="B836" s="1" t="n">
        <v>45475</v>
      </c>
      <c r="C836" s="1" t="n">
        <v>45626</v>
      </c>
      <c r="D836" t="inlineStr">
        <is>
          <t>JÄMTLANDS LÄN</t>
        </is>
      </c>
      <c r="E836" t="inlineStr">
        <is>
          <t>ÖSTERSUND</t>
        </is>
      </c>
      <c r="G836" t="n">
        <v>2.8</v>
      </c>
      <c r="H836" t="n">
        <v>0</v>
      </c>
      <c r="I836" t="n">
        <v>0</v>
      </c>
      <c r="J836" t="n">
        <v>0</v>
      </c>
      <c r="K836" t="n">
        <v>0</v>
      </c>
      <c r="L836" t="n">
        <v>0</v>
      </c>
      <c r="M836" t="n">
        <v>0</v>
      </c>
      <c r="N836" t="n">
        <v>0</v>
      </c>
      <c r="O836" t="n">
        <v>0</v>
      </c>
      <c r="P836" t="n">
        <v>0</v>
      </c>
      <c r="Q836" t="n">
        <v>0</v>
      </c>
      <c r="R836" s="2" t="inlineStr"/>
    </row>
    <row r="837" ht="15" customHeight="1">
      <c r="A837" t="inlineStr">
        <is>
          <t>A 27779-2024</t>
        </is>
      </c>
      <c r="B837" s="1" t="n">
        <v>45475</v>
      </c>
      <c r="C837" s="1" t="n">
        <v>45626</v>
      </c>
      <c r="D837" t="inlineStr">
        <is>
          <t>JÄMTLANDS LÄN</t>
        </is>
      </c>
      <c r="E837" t="inlineStr">
        <is>
          <t>ÖSTERSUND</t>
        </is>
      </c>
      <c r="G837" t="n">
        <v>4.3</v>
      </c>
      <c r="H837" t="n">
        <v>0</v>
      </c>
      <c r="I837" t="n">
        <v>0</v>
      </c>
      <c r="J837" t="n">
        <v>0</v>
      </c>
      <c r="K837" t="n">
        <v>0</v>
      </c>
      <c r="L837" t="n">
        <v>0</v>
      </c>
      <c r="M837" t="n">
        <v>0</v>
      </c>
      <c r="N837" t="n">
        <v>0</v>
      </c>
      <c r="O837" t="n">
        <v>0</v>
      </c>
      <c r="P837" t="n">
        <v>0</v>
      </c>
      <c r="Q837" t="n">
        <v>0</v>
      </c>
      <c r="R837" s="2" t="inlineStr"/>
    </row>
    <row r="838" ht="15" customHeight="1">
      <c r="A838" t="inlineStr">
        <is>
          <t>A 28277-2024</t>
        </is>
      </c>
      <c r="B838" s="1" t="n">
        <v>45477</v>
      </c>
      <c r="C838" s="1" t="n">
        <v>45626</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28179-2024</t>
        </is>
      </c>
      <c r="B839" s="1" t="n">
        <v>45477</v>
      </c>
      <c r="C839" s="1" t="n">
        <v>45626</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28180-2024</t>
        </is>
      </c>
      <c r="B840" s="1" t="n">
        <v>45477</v>
      </c>
      <c r="C840" s="1" t="n">
        <v>45626</v>
      </c>
      <c r="D840" t="inlineStr">
        <is>
          <t>JÄMTLANDS LÄN</t>
        </is>
      </c>
      <c r="E840" t="inlineStr">
        <is>
          <t>ÖSTERSUND</t>
        </is>
      </c>
      <c r="G840" t="n">
        <v>2.6</v>
      </c>
      <c r="H840" t="n">
        <v>0</v>
      </c>
      <c r="I840" t="n">
        <v>0</v>
      </c>
      <c r="J840" t="n">
        <v>0</v>
      </c>
      <c r="K840" t="n">
        <v>0</v>
      </c>
      <c r="L840" t="n">
        <v>0</v>
      </c>
      <c r="M840" t="n">
        <v>0</v>
      </c>
      <c r="N840" t="n">
        <v>0</v>
      </c>
      <c r="O840" t="n">
        <v>0</v>
      </c>
      <c r="P840" t="n">
        <v>0</v>
      </c>
      <c r="Q840" t="n">
        <v>0</v>
      </c>
      <c r="R840" s="2" t="inlineStr"/>
    </row>
    <row r="841" ht="15" customHeight="1">
      <c r="A841" t="inlineStr">
        <is>
          <t>A 28181-2024</t>
        </is>
      </c>
      <c r="B841" s="1" t="n">
        <v>45477</v>
      </c>
      <c r="C841" s="1" t="n">
        <v>45626</v>
      </c>
      <c r="D841" t="inlineStr">
        <is>
          <t>JÄMTLANDS LÄN</t>
        </is>
      </c>
      <c r="E841" t="inlineStr">
        <is>
          <t>ÖSTERSUND</t>
        </is>
      </c>
      <c r="G841" t="n">
        <v>0.7</v>
      </c>
      <c r="H841" t="n">
        <v>0</v>
      </c>
      <c r="I841" t="n">
        <v>0</v>
      </c>
      <c r="J841" t="n">
        <v>0</v>
      </c>
      <c r="K841" t="n">
        <v>0</v>
      </c>
      <c r="L841" t="n">
        <v>0</v>
      </c>
      <c r="M841" t="n">
        <v>0</v>
      </c>
      <c r="N841" t="n">
        <v>0</v>
      </c>
      <c r="O841" t="n">
        <v>0</v>
      </c>
      <c r="P841" t="n">
        <v>0</v>
      </c>
      <c r="Q841" t="n">
        <v>0</v>
      </c>
      <c r="R841" s="2" t="inlineStr"/>
    </row>
    <row r="842" ht="15" customHeight="1">
      <c r="A842" t="inlineStr">
        <is>
          <t>A 28543-2024</t>
        </is>
      </c>
      <c r="B842" s="1" t="n">
        <v>45478</v>
      </c>
      <c r="C842" s="1" t="n">
        <v>45626</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29496-2024</t>
        </is>
      </c>
      <c r="B843" s="1" t="n">
        <v>45484</v>
      </c>
      <c r="C843" s="1" t="n">
        <v>45626</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30539-2024</t>
        </is>
      </c>
      <c r="B844" s="1" t="n">
        <v>45492</v>
      </c>
      <c r="C844" s="1" t="n">
        <v>45626</v>
      </c>
      <c r="D844" t="inlineStr">
        <is>
          <t>JÄMTLANDS LÄN</t>
        </is>
      </c>
      <c r="E844" t="inlineStr">
        <is>
          <t>ÖSTERSUND</t>
        </is>
      </c>
      <c r="G844" t="n">
        <v>4.9</v>
      </c>
      <c r="H844" t="n">
        <v>0</v>
      </c>
      <c r="I844" t="n">
        <v>0</v>
      </c>
      <c r="J844" t="n">
        <v>0</v>
      </c>
      <c r="K844" t="n">
        <v>0</v>
      </c>
      <c r="L844" t="n">
        <v>0</v>
      </c>
      <c r="M844" t="n">
        <v>0</v>
      </c>
      <c r="N844" t="n">
        <v>0</v>
      </c>
      <c r="O844" t="n">
        <v>0</v>
      </c>
      <c r="P844" t="n">
        <v>0</v>
      </c>
      <c r="Q844" t="n">
        <v>0</v>
      </c>
      <c r="R844" s="2" t="inlineStr"/>
    </row>
    <row r="845" ht="15" customHeight="1">
      <c r="A845" t="inlineStr">
        <is>
          <t>A 30821-2024</t>
        </is>
      </c>
      <c r="B845" s="1" t="n">
        <v>45497</v>
      </c>
      <c r="C845" s="1" t="n">
        <v>45626</v>
      </c>
      <c r="D845" t="inlineStr">
        <is>
          <t>JÄMTLANDS LÄN</t>
        </is>
      </c>
      <c r="E845" t="inlineStr">
        <is>
          <t>ÖSTERSUND</t>
        </is>
      </c>
      <c r="G845" t="n">
        <v>3.4</v>
      </c>
      <c r="H845" t="n">
        <v>0</v>
      </c>
      <c r="I845" t="n">
        <v>0</v>
      </c>
      <c r="J845" t="n">
        <v>0</v>
      </c>
      <c r="K845" t="n">
        <v>0</v>
      </c>
      <c r="L845" t="n">
        <v>0</v>
      </c>
      <c r="M845" t="n">
        <v>0</v>
      </c>
      <c r="N845" t="n">
        <v>0</v>
      </c>
      <c r="O845" t="n">
        <v>0</v>
      </c>
      <c r="P845" t="n">
        <v>0</v>
      </c>
      <c r="Q845" t="n">
        <v>0</v>
      </c>
      <c r="R845" s="2" t="inlineStr"/>
    </row>
    <row r="846" ht="15" customHeight="1">
      <c r="A846" t="inlineStr">
        <is>
          <t>A 31448-2024</t>
        </is>
      </c>
      <c r="B846" s="1" t="n">
        <v>45506</v>
      </c>
      <c r="C846" s="1" t="n">
        <v>45626</v>
      </c>
      <c r="D846" t="inlineStr">
        <is>
          <t>JÄMTLANDS LÄN</t>
        </is>
      </c>
      <c r="E846" t="inlineStr">
        <is>
          <t>ÖSTERSUND</t>
        </is>
      </c>
      <c r="G846" t="n">
        <v>10</v>
      </c>
      <c r="H846" t="n">
        <v>0</v>
      </c>
      <c r="I846" t="n">
        <v>0</v>
      </c>
      <c r="J846" t="n">
        <v>0</v>
      </c>
      <c r="K846" t="n">
        <v>0</v>
      </c>
      <c r="L846" t="n">
        <v>0</v>
      </c>
      <c r="M846" t="n">
        <v>0</v>
      </c>
      <c r="N846" t="n">
        <v>0</v>
      </c>
      <c r="O846" t="n">
        <v>0</v>
      </c>
      <c r="P846" t="n">
        <v>0</v>
      </c>
      <c r="Q846" t="n">
        <v>0</v>
      </c>
      <c r="R846" s="2" t="inlineStr"/>
    </row>
    <row r="847" ht="15" customHeight="1">
      <c r="A847" t="inlineStr">
        <is>
          <t>A 31464-2024</t>
        </is>
      </c>
      <c r="B847" s="1" t="n">
        <v>45506</v>
      </c>
      <c r="C847" s="1" t="n">
        <v>45626</v>
      </c>
      <c r="D847" t="inlineStr">
        <is>
          <t>JÄMTLANDS LÄN</t>
        </is>
      </c>
      <c r="E847" t="inlineStr">
        <is>
          <t>ÖSTERSUND</t>
        </is>
      </c>
      <c r="F847" t="inlineStr">
        <is>
          <t>SCA</t>
        </is>
      </c>
      <c r="G847" t="n">
        <v>8.1</v>
      </c>
      <c r="H847" t="n">
        <v>0</v>
      </c>
      <c r="I847" t="n">
        <v>0</v>
      </c>
      <c r="J847" t="n">
        <v>0</v>
      </c>
      <c r="K847" t="n">
        <v>0</v>
      </c>
      <c r="L847" t="n">
        <v>0</v>
      </c>
      <c r="M847" t="n">
        <v>0</v>
      </c>
      <c r="N847" t="n">
        <v>0</v>
      </c>
      <c r="O847" t="n">
        <v>0</v>
      </c>
      <c r="P847" t="n">
        <v>0</v>
      </c>
      <c r="Q847" t="n">
        <v>0</v>
      </c>
      <c r="R847" s="2" t="inlineStr"/>
    </row>
    <row r="848" ht="15" customHeight="1">
      <c r="A848" t="inlineStr">
        <is>
          <t>A 31446-2024</t>
        </is>
      </c>
      <c r="B848" s="1" t="n">
        <v>45506</v>
      </c>
      <c r="C848" s="1" t="n">
        <v>45626</v>
      </c>
      <c r="D848" t="inlineStr">
        <is>
          <t>JÄMTLANDS LÄN</t>
        </is>
      </c>
      <c r="E848" t="inlineStr">
        <is>
          <t>ÖSTERSUND</t>
        </is>
      </c>
      <c r="G848" t="n">
        <v>5.5</v>
      </c>
      <c r="H848" t="n">
        <v>0</v>
      </c>
      <c r="I848" t="n">
        <v>0</v>
      </c>
      <c r="J848" t="n">
        <v>0</v>
      </c>
      <c r="K848" t="n">
        <v>0</v>
      </c>
      <c r="L848" t="n">
        <v>0</v>
      </c>
      <c r="M848" t="n">
        <v>0</v>
      </c>
      <c r="N848" t="n">
        <v>0</v>
      </c>
      <c r="O848" t="n">
        <v>0</v>
      </c>
      <c r="P848" t="n">
        <v>0</v>
      </c>
      <c r="Q848" t="n">
        <v>0</v>
      </c>
      <c r="R848" s="2" t="inlineStr"/>
    </row>
    <row r="849" ht="15" customHeight="1">
      <c r="A849" t="inlineStr">
        <is>
          <t>A 31445-2024</t>
        </is>
      </c>
      <c r="B849" s="1" t="n">
        <v>45506</v>
      </c>
      <c r="C849" s="1" t="n">
        <v>45626</v>
      </c>
      <c r="D849" t="inlineStr">
        <is>
          <t>JÄMTLANDS LÄN</t>
        </is>
      </c>
      <c r="E849" t="inlineStr">
        <is>
          <t>ÖSTERSUND</t>
        </is>
      </c>
      <c r="G849" t="n">
        <v>0.8</v>
      </c>
      <c r="H849" t="n">
        <v>0</v>
      </c>
      <c r="I849" t="n">
        <v>0</v>
      </c>
      <c r="J849" t="n">
        <v>0</v>
      </c>
      <c r="K849" t="n">
        <v>0</v>
      </c>
      <c r="L849" t="n">
        <v>0</v>
      </c>
      <c r="M849" t="n">
        <v>0</v>
      </c>
      <c r="N849" t="n">
        <v>0</v>
      </c>
      <c r="O849" t="n">
        <v>0</v>
      </c>
      <c r="P849" t="n">
        <v>0</v>
      </c>
      <c r="Q849" t="n">
        <v>0</v>
      </c>
      <c r="R849" s="2" t="inlineStr"/>
    </row>
    <row r="850" ht="15" customHeight="1">
      <c r="A850" t="inlineStr">
        <is>
          <t>A 32224-2024</t>
        </is>
      </c>
      <c r="B850" s="1" t="n">
        <v>45512</v>
      </c>
      <c r="C850" s="1" t="n">
        <v>45626</v>
      </c>
      <c r="D850" t="inlineStr">
        <is>
          <t>JÄMTLANDS LÄN</t>
        </is>
      </c>
      <c r="E850" t="inlineStr">
        <is>
          <t>ÖSTERSUND</t>
        </is>
      </c>
      <c r="G850" t="n">
        <v>1</v>
      </c>
      <c r="H850" t="n">
        <v>0</v>
      </c>
      <c r="I850" t="n">
        <v>0</v>
      </c>
      <c r="J850" t="n">
        <v>0</v>
      </c>
      <c r="K850" t="n">
        <v>0</v>
      </c>
      <c r="L850" t="n">
        <v>0</v>
      </c>
      <c r="M850" t="n">
        <v>0</v>
      </c>
      <c r="N850" t="n">
        <v>0</v>
      </c>
      <c r="O850" t="n">
        <v>0</v>
      </c>
      <c r="P850" t="n">
        <v>0</v>
      </c>
      <c r="Q850" t="n">
        <v>0</v>
      </c>
      <c r="R850" s="2" t="inlineStr"/>
    </row>
    <row r="851" ht="15" customHeight="1">
      <c r="A851" t="inlineStr">
        <is>
          <t>A 32225-2024</t>
        </is>
      </c>
      <c r="B851" s="1" t="n">
        <v>45512</v>
      </c>
      <c r="C851" s="1" t="n">
        <v>45626</v>
      </c>
      <c r="D851" t="inlineStr">
        <is>
          <t>JÄMTLANDS LÄN</t>
        </is>
      </c>
      <c r="E851" t="inlineStr">
        <is>
          <t>ÖSTERSUND</t>
        </is>
      </c>
      <c r="G851" t="n">
        <v>2</v>
      </c>
      <c r="H851" t="n">
        <v>0</v>
      </c>
      <c r="I851" t="n">
        <v>0</v>
      </c>
      <c r="J851" t="n">
        <v>0</v>
      </c>
      <c r="K851" t="n">
        <v>0</v>
      </c>
      <c r="L851" t="n">
        <v>0</v>
      </c>
      <c r="M851" t="n">
        <v>0</v>
      </c>
      <c r="N851" t="n">
        <v>0</v>
      </c>
      <c r="O851" t="n">
        <v>0</v>
      </c>
      <c r="P851" t="n">
        <v>0</v>
      </c>
      <c r="Q851" t="n">
        <v>0</v>
      </c>
      <c r="R851" s="2" t="inlineStr"/>
    </row>
    <row r="852" ht="15" customHeight="1">
      <c r="A852" t="inlineStr">
        <is>
          <t>A 33091-2024</t>
        </is>
      </c>
      <c r="B852" s="1" t="n">
        <v>45517</v>
      </c>
      <c r="C852" s="1" t="n">
        <v>45626</v>
      </c>
      <c r="D852" t="inlineStr">
        <is>
          <t>JÄMTLANDS LÄN</t>
        </is>
      </c>
      <c r="E852" t="inlineStr">
        <is>
          <t>ÖSTERSUND</t>
        </is>
      </c>
      <c r="G852" t="n">
        <v>1</v>
      </c>
      <c r="H852" t="n">
        <v>0</v>
      </c>
      <c r="I852" t="n">
        <v>0</v>
      </c>
      <c r="J852" t="n">
        <v>0</v>
      </c>
      <c r="K852" t="n">
        <v>0</v>
      </c>
      <c r="L852" t="n">
        <v>0</v>
      </c>
      <c r="M852" t="n">
        <v>0</v>
      </c>
      <c r="N852" t="n">
        <v>0</v>
      </c>
      <c r="O852" t="n">
        <v>0</v>
      </c>
      <c r="P852" t="n">
        <v>0</v>
      </c>
      <c r="Q852" t="n">
        <v>0</v>
      </c>
      <c r="R852" s="2" t="inlineStr"/>
    </row>
    <row r="853" ht="15" customHeight="1">
      <c r="A853" t="inlineStr">
        <is>
          <t>A 33015-2024</t>
        </is>
      </c>
      <c r="B853" s="1" t="n">
        <v>45517</v>
      </c>
      <c r="C853" s="1" t="n">
        <v>45626</v>
      </c>
      <c r="D853" t="inlineStr">
        <is>
          <t>JÄMTLANDS LÄN</t>
        </is>
      </c>
      <c r="E853" t="inlineStr">
        <is>
          <t>ÖSTERSUND</t>
        </is>
      </c>
      <c r="G853" t="n">
        <v>2.6</v>
      </c>
      <c r="H853" t="n">
        <v>0</v>
      </c>
      <c r="I853" t="n">
        <v>0</v>
      </c>
      <c r="J853" t="n">
        <v>0</v>
      </c>
      <c r="K853" t="n">
        <v>0</v>
      </c>
      <c r="L853" t="n">
        <v>0</v>
      </c>
      <c r="M853" t="n">
        <v>0</v>
      </c>
      <c r="N853" t="n">
        <v>0</v>
      </c>
      <c r="O853" t="n">
        <v>0</v>
      </c>
      <c r="P853" t="n">
        <v>0</v>
      </c>
      <c r="Q853" t="n">
        <v>0</v>
      </c>
      <c r="R853" s="2" t="inlineStr"/>
    </row>
    <row r="854" ht="15" customHeight="1">
      <c r="A854" t="inlineStr">
        <is>
          <t>A 33621-2024</t>
        </is>
      </c>
      <c r="B854" s="1" t="n">
        <v>45520</v>
      </c>
      <c r="C854" s="1" t="n">
        <v>45626</v>
      </c>
      <c r="D854" t="inlineStr">
        <is>
          <t>JÄMTLANDS LÄN</t>
        </is>
      </c>
      <c r="E854" t="inlineStr">
        <is>
          <t>ÖSTERSUND</t>
        </is>
      </c>
      <c r="G854" t="n">
        <v>2.1</v>
      </c>
      <c r="H854" t="n">
        <v>0</v>
      </c>
      <c r="I854" t="n">
        <v>0</v>
      </c>
      <c r="J854" t="n">
        <v>0</v>
      </c>
      <c r="K854" t="n">
        <v>0</v>
      </c>
      <c r="L854" t="n">
        <v>0</v>
      </c>
      <c r="M854" t="n">
        <v>0</v>
      </c>
      <c r="N854" t="n">
        <v>0</v>
      </c>
      <c r="O854" t="n">
        <v>0</v>
      </c>
      <c r="P854" t="n">
        <v>0</v>
      </c>
      <c r="Q854" t="n">
        <v>0</v>
      </c>
      <c r="R854" s="2" t="inlineStr"/>
    </row>
    <row r="855" ht="15" customHeight="1">
      <c r="A855" t="inlineStr">
        <is>
          <t>A 33779-2024</t>
        </is>
      </c>
      <c r="B855" s="1" t="n">
        <v>45520</v>
      </c>
      <c r="C855" s="1" t="n">
        <v>45626</v>
      </c>
      <c r="D855" t="inlineStr">
        <is>
          <t>JÄMTLANDS LÄN</t>
        </is>
      </c>
      <c r="E855" t="inlineStr">
        <is>
          <t>ÖSTERSUND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34112-2024</t>
        </is>
      </c>
      <c r="B856" s="1" t="n">
        <v>45524</v>
      </c>
      <c r="C856" s="1" t="n">
        <v>45626</v>
      </c>
      <c r="D856" t="inlineStr">
        <is>
          <t>JÄMTLANDS LÄN</t>
        </is>
      </c>
      <c r="E856" t="inlineStr">
        <is>
          <t>ÖSTERSUND</t>
        </is>
      </c>
      <c r="G856" t="n">
        <v>1.2</v>
      </c>
      <c r="H856" t="n">
        <v>0</v>
      </c>
      <c r="I856" t="n">
        <v>0</v>
      </c>
      <c r="J856" t="n">
        <v>0</v>
      </c>
      <c r="K856" t="n">
        <v>0</v>
      </c>
      <c r="L856" t="n">
        <v>0</v>
      </c>
      <c r="M856" t="n">
        <v>0</v>
      </c>
      <c r="N856" t="n">
        <v>0</v>
      </c>
      <c r="O856" t="n">
        <v>0</v>
      </c>
      <c r="P856" t="n">
        <v>0</v>
      </c>
      <c r="Q856" t="n">
        <v>0</v>
      </c>
      <c r="R856" s="2" t="inlineStr"/>
    </row>
    <row r="857" ht="15" customHeight="1">
      <c r="A857" t="inlineStr">
        <is>
          <t>A 34118-2024</t>
        </is>
      </c>
      <c r="B857" s="1" t="n">
        <v>45524</v>
      </c>
      <c r="C857" s="1" t="n">
        <v>45626</v>
      </c>
      <c r="D857" t="inlineStr">
        <is>
          <t>JÄMTLANDS LÄN</t>
        </is>
      </c>
      <c r="E857" t="inlineStr">
        <is>
          <t>ÖSTERSUND</t>
        </is>
      </c>
      <c r="G857" t="n">
        <v>1.5</v>
      </c>
      <c r="H857" t="n">
        <v>0</v>
      </c>
      <c r="I857" t="n">
        <v>0</v>
      </c>
      <c r="J857" t="n">
        <v>0</v>
      </c>
      <c r="K857" t="n">
        <v>0</v>
      </c>
      <c r="L857" t="n">
        <v>0</v>
      </c>
      <c r="M857" t="n">
        <v>0</v>
      </c>
      <c r="N857" t="n">
        <v>0</v>
      </c>
      <c r="O857" t="n">
        <v>0</v>
      </c>
      <c r="P857" t="n">
        <v>0</v>
      </c>
      <c r="Q857" t="n">
        <v>0</v>
      </c>
      <c r="R857" s="2" t="inlineStr"/>
    </row>
    <row r="858" ht="15" customHeight="1">
      <c r="A858" t="inlineStr">
        <is>
          <t>A 34470-2024</t>
        </is>
      </c>
      <c r="B858" s="1" t="n">
        <v>45525</v>
      </c>
      <c r="C858" s="1" t="n">
        <v>45626</v>
      </c>
      <c r="D858" t="inlineStr">
        <is>
          <t>JÄMTLANDS LÄN</t>
        </is>
      </c>
      <c r="E858" t="inlineStr">
        <is>
          <t>ÖSTERSUND</t>
        </is>
      </c>
      <c r="G858" t="n">
        <v>7.6</v>
      </c>
      <c r="H858" t="n">
        <v>0</v>
      </c>
      <c r="I858" t="n">
        <v>0</v>
      </c>
      <c r="J858" t="n">
        <v>0</v>
      </c>
      <c r="K858" t="n">
        <v>0</v>
      </c>
      <c r="L858" t="n">
        <v>0</v>
      </c>
      <c r="M858" t="n">
        <v>0</v>
      </c>
      <c r="N858" t="n">
        <v>0</v>
      </c>
      <c r="O858" t="n">
        <v>0</v>
      </c>
      <c r="P858" t="n">
        <v>0</v>
      </c>
      <c r="Q858" t="n">
        <v>0</v>
      </c>
      <c r="R858" s="2" t="inlineStr"/>
    </row>
    <row r="859" ht="15" customHeight="1">
      <c r="A859" t="inlineStr">
        <is>
          <t>A 34507-2024</t>
        </is>
      </c>
      <c r="B859" s="1" t="n">
        <v>45525</v>
      </c>
      <c r="C859" s="1" t="n">
        <v>45626</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35984-2024</t>
        </is>
      </c>
      <c r="B860" s="1" t="n">
        <v>45533</v>
      </c>
      <c r="C860" s="1" t="n">
        <v>45626</v>
      </c>
      <c r="D860" t="inlineStr">
        <is>
          <t>JÄMTLANDS LÄN</t>
        </is>
      </c>
      <c r="E860" t="inlineStr">
        <is>
          <t>ÖSTERSUND</t>
        </is>
      </c>
      <c r="G860" t="n">
        <v>2.9</v>
      </c>
      <c r="H860" t="n">
        <v>0</v>
      </c>
      <c r="I860" t="n">
        <v>0</v>
      </c>
      <c r="J860" t="n">
        <v>0</v>
      </c>
      <c r="K860" t="n">
        <v>0</v>
      </c>
      <c r="L860" t="n">
        <v>0</v>
      </c>
      <c r="M860" t="n">
        <v>0</v>
      </c>
      <c r="N860" t="n">
        <v>0</v>
      </c>
      <c r="O860" t="n">
        <v>0</v>
      </c>
      <c r="P860" t="n">
        <v>0</v>
      </c>
      <c r="Q860" t="n">
        <v>0</v>
      </c>
      <c r="R860" s="2" t="inlineStr"/>
    </row>
    <row r="861" ht="15" customHeight="1">
      <c r="A861" t="inlineStr">
        <is>
          <t>A 36465-2024</t>
        </is>
      </c>
      <c r="B861" s="1" t="n">
        <v>45537</v>
      </c>
      <c r="C861" s="1" t="n">
        <v>45626</v>
      </c>
      <c r="D861" t="inlineStr">
        <is>
          <t>JÄMTLANDS LÄN</t>
        </is>
      </c>
      <c r="E861" t="inlineStr">
        <is>
          <t>ÖSTERSUND</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36469-2024</t>
        </is>
      </c>
      <c r="B862" s="1" t="n">
        <v>45537</v>
      </c>
      <c r="C862" s="1" t="n">
        <v>45626</v>
      </c>
      <c r="D862" t="inlineStr">
        <is>
          <t>JÄMTLANDS LÄN</t>
        </is>
      </c>
      <c r="E862" t="inlineStr">
        <is>
          <t>ÖSTERSUND</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37270-2024</t>
        </is>
      </c>
      <c r="B863" s="1" t="n">
        <v>45540</v>
      </c>
      <c r="C863" s="1" t="n">
        <v>45626</v>
      </c>
      <c r="D863" t="inlineStr">
        <is>
          <t>JÄMTLANDS LÄN</t>
        </is>
      </c>
      <c r="E863" t="inlineStr">
        <is>
          <t>ÖSTERSUND</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37685-2024</t>
        </is>
      </c>
      <c r="B864" s="1" t="n">
        <v>45541</v>
      </c>
      <c r="C864" s="1" t="n">
        <v>45626</v>
      </c>
      <c r="D864" t="inlineStr">
        <is>
          <t>JÄMTLANDS LÄN</t>
        </is>
      </c>
      <c r="E864" t="inlineStr">
        <is>
          <t>ÖSTERSUND</t>
        </is>
      </c>
      <c r="F864" t="inlineStr">
        <is>
          <t>SCA</t>
        </is>
      </c>
      <c r="G864" t="n">
        <v>11.2</v>
      </c>
      <c r="H864" t="n">
        <v>0</v>
      </c>
      <c r="I864" t="n">
        <v>0</v>
      </c>
      <c r="J864" t="n">
        <v>0</v>
      </c>
      <c r="K864" t="n">
        <v>0</v>
      </c>
      <c r="L864" t="n">
        <v>0</v>
      </c>
      <c r="M864" t="n">
        <v>0</v>
      </c>
      <c r="N864" t="n">
        <v>0</v>
      </c>
      <c r="O864" t="n">
        <v>0</v>
      </c>
      <c r="P864" t="n">
        <v>0</v>
      </c>
      <c r="Q864" t="n">
        <v>0</v>
      </c>
      <c r="R864" s="2" t="inlineStr"/>
    </row>
    <row r="865" ht="15" customHeight="1">
      <c r="A865" t="inlineStr">
        <is>
          <t>A 38926-2024</t>
        </is>
      </c>
      <c r="B865" s="1" t="n">
        <v>45547</v>
      </c>
      <c r="C865" s="1" t="n">
        <v>45626</v>
      </c>
      <c r="D865" t="inlineStr">
        <is>
          <t>JÄMTLANDS LÄN</t>
        </is>
      </c>
      <c r="E865" t="inlineStr">
        <is>
          <t>ÖSTERSUND</t>
        </is>
      </c>
      <c r="G865" t="n">
        <v>0.4</v>
      </c>
      <c r="H865" t="n">
        <v>0</v>
      </c>
      <c r="I865" t="n">
        <v>0</v>
      </c>
      <c r="J865" t="n">
        <v>0</v>
      </c>
      <c r="K865" t="n">
        <v>0</v>
      </c>
      <c r="L865" t="n">
        <v>0</v>
      </c>
      <c r="M865" t="n">
        <v>0</v>
      </c>
      <c r="N865" t="n">
        <v>0</v>
      </c>
      <c r="O865" t="n">
        <v>0</v>
      </c>
      <c r="P865" t="n">
        <v>0</v>
      </c>
      <c r="Q865" t="n">
        <v>0</v>
      </c>
      <c r="R865" s="2" t="inlineStr"/>
    </row>
    <row r="866" ht="15" customHeight="1">
      <c r="A866" t="inlineStr">
        <is>
          <t>A 38920-2024</t>
        </is>
      </c>
      <c r="B866" s="1" t="n">
        <v>45547</v>
      </c>
      <c r="C866" s="1" t="n">
        <v>45626</v>
      </c>
      <c r="D866" t="inlineStr">
        <is>
          <t>JÄMTLANDS LÄN</t>
        </is>
      </c>
      <c r="E866" t="inlineStr">
        <is>
          <t>ÖSTERSUND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38924-2024</t>
        </is>
      </c>
      <c r="B867" s="1" t="n">
        <v>45547</v>
      </c>
      <c r="C867" s="1" t="n">
        <v>45626</v>
      </c>
      <c r="D867" t="inlineStr">
        <is>
          <t>JÄMTLANDS LÄN</t>
        </is>
      </c>
      <c r="E867" t="inlineStr">
        <is>
          <t>ÖSTERSUND</t>
        </is>
      </c>
      <c r="G867" t="n">
        <v>3.5</v>
      </c>
      <c r="H867" t="n">
        <v>0</v>
      </c>
      <c r="I867" t="n">
        <v>0</v>
      </c>
      <c r="J867" t="n">
        <v>0</v>
      </c>
      <c r="K867" t="n">
        <v>0</v>
      </c>
      <c r="L867" t="n">
        <v>0</v>
      </c>
      <c r="M867" t="n">
        <v>0</v>
      </c>
      <c r="N867" t="n">
        <v>0</v>
      </c>
      <c r="O867" t="n">
        <v>0</v>
      </c>
      <c r="P867" t="n">
        <v>0</v>
      </c>
      <c r="Q867" t="n">
        <v>0</v>
      </c>
      <c r="R867" s="2" t="inlineStr"/>
    </row>
    <row r="868" ht="15" customHeight="1">
      <c r="A868" t="inlineStr">
        <is>
          <t>A 39065-2024</t>
        </is>
      </c>
      <c r="B868" s="1" t="n">
        <v>45548</v>
      </c>
      <c r="C868" s="1" t="n">
        <v>45626</v>
      </c>
      <c r="D868" t="inlineStr">
        <is>
          <t>JÄMTLANDS LÄN</t>
        </is>
      </c>
      <c r="E868" t="inlineStr">
        <is>
          <t>ÖSTERSUND</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39510-2024</t>
        </is>
      </c>
      <c r="B869" s="1" t="n">
        <v>45551</v>
      </c>
      <c r="C869" s="1" t="n">
        <v>45626</v>
      </c>
      <c r="D869" t="inlineStr">
        <is>
          <t>JÄMTLANDS LÄN</t>
        </is>
      </c>
      <c r="E869" t="inlineStr">
        <is>
          <t>ÖSTERSUND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39509-2024</t>
        </is>
      </c>
      <c r="B870" s="1" t="n">
        <v>45551</v>
      </c>
      <c r="C870" s="1" t="n">
        <v>45626</v>
      </c>
      <c r="D870" t="inlineStr">
        <is>
          <t>JÄMTLANDS LÄN</t>
        </is>
      </c>
      <c r="E870" t="inlineStr">
        <is>
          <t>ÖSTERSUND</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39915-2024</t>
        </is>
      </c>
      <c r="B871" s="1" t="n">
        <v>45553</v>
      </c>
      <c r="C871" s="1" t="n">
        <v>45626</v>
      </c>
      <c r="D871" t="inlineStr">
        <is>
          <t>JÄMTLANDS LÄN</t>
        </is>
      </c>
      <c r="E871" t="inlineStr">
        <is>
          <t>ÖSTERSUND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39975-2024</t>
        </is>
      </c>
      <c r="B872" s="1" t="n">
        <v>45553</v>
      </c>
      <c r="C872" s="1" t="n">
        <v>45626</v>
      </c>
      <c r="D872" t="inlineStr">
        <is>
          <t>JÄMTLANDS LÄN</t>
        </is>
      </c>
      <c r="E872" t="inlineStr">
        <is>
          <t>ÖSTERSUND</t>
        </is>
      </c>
      <c r="G872" t="n">
        <v>3.8</v>
      </c>
      <c r="H872" t="n">
        <v>0</v>
      </c>
      <c r="I872" t="n">
        <v>0</v>
      </c>
      <c r="J872" t="n">
        <v>0</v>
      </c>
      <c r="K872" t="n">
        <v>0</v>
      </c>
      <c r="L872" t="n">
        <v>0</v>
      </c>
      <c r="M872" t="n">
        <v>0</v>
      </c>
      <c r="N872" t="n">
        <v>0</v>
      </c>
      <c r="O872" t="n">
        <v>0</v>
      </c>
      <c r="P872" t="n">
        <v>0</v>
      </c>
      <c r="Q872" t="n">
        <v>0</v>
      </c>
      <c r="R872" s="2" t="inlineStr"/>
    </row>
    <row r="873" ht="15" customHeight="1">
      <c r="A873" t="inlineStr">
        <is>
          <t>A 40672-2024</t>
        </is>
      </c>
      <c r="B873" s="1" t="n">
        <v>45557</v>
      </c>
      <c r="C873" s="1" t="n">
        <v>45626</v>
      </c>
      <c r="D873" t="inlineStr">
        <is>
          <t>JÄMTLANDS LÄN</t>
        </is>
      </c>
      <c r="E873" t="inlineStr">
        <is>
          <t>ÖSTERSUND</t>
        </is>
      </c>
      <c r="G873" t="n">
        <v>5.2</v>
      </c>
      <c r="H873" t="n">
        <v>0</v>
      </c>
      <c r="I873" t="n">
        <v>0</v>
      </c>
      <c r="J873" t="n">
        <v>0</v>
      </c>
      <c r="K873" t="n">
        <v>0</v>
      </c>
      <c r="L873" t="n">
        <v>0</v>
      </c>
      <c r="M873" t="n">
        <v>0</v>
      </c>
      <c r="N873" t="n">
        <v>0</v>
      </c>
      <c r="O873" t="n">
        <v>0</v>
      </c>
      <c r="P873" t="n">
        <v>0</v>
      </c>
      <c r="Q873" t="n">
        <v>0</v>
      </c>
      <c r="R873" s="2" t="inlineStr"/>
    </row>
    <row r="874" ht="15" customHeight="1">
      <c r="A874" t="inlineStr">
        <is>
          <t>A 40983-2024</t>
        </is>
      </c>
      <c r="B874" s="1" t="n">
        <v>45558</v>
      </c>
      <c r="C874" s="1" t="n">
        <v>45626</v>
      </c>
      <c r="D874" t="inlineStr">
        <is>
          <t>JÄMTLANDS LÄN</t>
        </is>
      </c>
      <c r="E874" t="inlineStr">
        <is>
          <t>ÖSTERSUND</t>
        </is>
      </c>
      <c r="F874" t="inlineStr">
        <is>
          <t>SCA</t>
        </is>
      </c>
      <c r="G874" t="n">
        <v>10.6</v>
      </c>
      <c r="H874" t="n">
        <v>0</v>
      </c>
      <c r="I874" t="n">
        <v>0</v>
      </c>
      <c r="J874" t="n">
        <v>0</v>
      </c>
      <c r="K874" t="n">
        <v>0</v>
      </c>
      <c r="L874" t="n">
        <v>0</v>
      </c>
      <c r="M874" t="n">
        <v>0</v>
      </c>
      <c r="N874" t="n">
        <v>0</v>
      </c>
      <c r="O874" t="n">
        <v>0</v>
      </c>
      <c r="P874" t="n">
        <v>0</v>
      </c>
      <c r="Q874" t="n">
        <v>0</v>
      </c>
      <c r="R874" s="2" t="inlineStr"/>
    </row>
    <row r="875" ht="15" customHeight="1">
      <c r="A875" t="inlineStr">
        <is>
          <t>A 41280-2024</t>
        </is>
      </c>
      <c r="B875" s="1" t="n">
        <v>45559</v>
      </c>
      <c r="C875" s="1" t="n">
        <v>45626</v>
      </c>
      <c r="D875" t="inlineStr">
        <is>
          <t>JÄMTLANDS LÄN</t>
        </is>
      </c>
      <c r="E875" t="inlineStr">
        <is>
          <t>ÖSTERSUND</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41483-2024</t>
        </is>
      </c>
      <c r="B876" s="1" t="n">
        <v>45560</v>
      </c>
      <c r="C876" s="1" t="n">
        <v>45626</v>
      </c>
      <c r="D876" t="inlineStr">
        <is>
          <t>JÄMTLANDS LÄN</t>
        </is>
      </c>
      <c r="E876" t="inlineStr">
        <is>
          <t>ÖSTERSUND</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41780-2024</t>
        </is>
      </c>
      <c r="B877" s="1" t="n">
        <v>45561</v>
      </c>
      <c r="C877" s="1" t="n">
        <v>45626</v>
      </c>
      <c r="D877" t="inlineStr">
        <is>
          <t>JÄMTLANDS LÄN</t>
        </is>
      </c>
      <c r="E877" t="inlineStr">
        <is>
          <t>ÖSTERSUND</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42550-2024</t>
        </is>
      </c>
      <c r="B878" s="1" t="n">
        <v>45565</v>
      </c>
      <c r="C878" s="1" t="n">
        <v>45626</v>
      </c>
      <c r="D878" t="inlineStr">
        <is>
          <t>JÄMTLANDS LÄN</t>
        </is>
      </c>
      <c r="E878" t="inlineStr">
        <is>
          <t>ÖSTERSUND</t>
        </is>
      </c>
      <c r="F878" t="inlineStr">
        <is>
          <t>Övriga Aktiebolag</t>
        </is>
      </c>
      <c r="G878" t="n">
        <v>0.9</v>
      </c>
      <c r="H878" t="n">
        <v>0</v>
      </c>
      <c r="I878" t="n">
        <v>0</v>
      </c>
      <c r="J878" t="n">
        <v>0</v>
      </c>
      <c r="K878" t="n">
        <v>0</v>
      </c>
      <c r="L878" t="n">
        <v>0</v>
      </c>
      <c r="M878" t="n">
        <v>0</v>
      </c>
      <c r="N878" t="n">
        <v>0</v>
      </c>
      <c r="O878" t="n">
        <v>0</v>
      </c>
      <c r="P878" t="n">
        <v>0</v>
      </c>
      <c r="Q878" t="n">
        <v>0</v>
      </c>
      <c r="R878" s="2" t="inlineStr"/>
    </row>
    <row r="879" ht="15" customHeight="1">
      <c r="A879" t="inlineStr">
        <is>
          <t>A 42547-2024</t>
        </is>
      </c>
      <c r="B879" s="1" t="n">
        <v>45565</v>
      </c>
      <c r="C879" s="1" t="n">
        <v>45626</v>
      </c>
      <c r="D879" t="inlineStr">
        <is>
          <t>JÄMTLANDS LÄN</t>
        </is>
      </c>
      <c r="E879" t="inlineStr">
        <is>
          <t>ÖSTERSUND</t>
        </is>
      </c>
      <c r="F879" t="inlineStr">
        <is>
          <t>Övriga Aktiebolag</t>
        </is>
      </c>
      <c r="G879" t="n">
        <v>7.1</v>
      </c>
      <c r="H879" t="n">
        <v>0</v>
      </c>
      <c r="I879" t="n">
        <v>0</v>
      </c>
      <c r="J879" t="n">
        <v>0</v>
      </c>
      <c r="K879" t="n">
        <v>0</v>
      </c>
      <c r="L879" t="n">
        <v>0</v>
      </c>
      <c r="M879" t="n">
        <v>0</v>
      </c>
      <c r="N879" t="n">
        <v>0</v>
      </c>
      <c r="O879" t="n">
        <v>0</v>
      </c>
      <c r="P879" t="n">
        <v>0</v>
      </c>
      <c r="Q879" t="n">
        <v>0</v>
      </c>
      <c r="R879" s="2" t="inlineStr"/>
    </row>
    <row r="880" ht="15" customHeight="1">
      <c r="A880" t="inlineStr">
        <is>
          <t>A 43082-2024</t>
        </is>
      </c>
      <c r="B880" s="1" t="n">
        <v>45567</v>
      </c>
      <c r="C880" s="1" t="n">
        <v>45626</v>
      </c>
      <c r="D880" t="inlineStr">
        <is>
          <t>JÄMTLANDS LÄN</t>
        </is>
      </c>
      <c r="E880" t="inlineStr">
        <is>
          <t>ÖSTERSUND</t>
        </is>
      </c>
      <c r="F880" t="inlineStr">
        <is>
          <t>SCA</t>
        </is>
      </c>
      <c r="G880" t="n">
        <v>2.7</v>
      </c>
      <c r="H880" t="n">
        <v>0</v>
      </c>
      <c r="I880" t="n">
        <v>0</v>
      </c>
      <c r="J880" t="n">
        <v>0</v>
      </c>
      <c r="K880" t="n">
        <v>0</v>
      </c>
      <c r="L880" t="n">
        <v>0</v>
      </c>
      <c r="M880" t="n">
        <v>0</v>
      </c>
      <c r="N880" t="n">
        <v>0</v>
      </c>
      <c r="O880" t="n">
        <v>0</v>
      </c>
      <c r="P880" t="n">
        <v>0</v>
      </c>
      <c r="Q880" t="n">
        <v>0</v>
      </c>
      <c r="R880" s="2" t="inlineStr"/>
    </row>
    <row r="881" ht="15" customHeight="1">
      <c r="A881" t="inlineStr">
        <is>
          <t>A 43118-2024</t>
        </is>
      </c>
      <c r="B881" s="1" t="n">
        <v>45567</v>
      </c>
      <c r="C881" s="1" t="n">
        <v>45626</v>
      </c>
      <c r="D881" t="inlineStr">
        <is>
          <t>JÄMTLANDS LÄN</t>
        </is>
      </c>
      <c r="E881" t="inlineStr">
        <is>
          <t>ÖSTERSUND</t>
        </is>
      </c>
      <c r="G881" t="n">
        <v>5.1</v>
      </c>
      <c r="H881" t="n">
        <v>0</v>
      </c>
      <c r="I881" t="n">
        <v>0</v>
      </c>
      <c r="J881" t="n">
        <v>0</v>
      </c>
      <c r="K881" t="n">
        <v>0</v>
      </c>
      <c r="L881" t="n">
        <v>0</v>
      </c>
      <c r="M881" t="n">
        <v>0</v>
      </c>
      <c r="N881" t="n">
        <v>0</v>
      </c>
      <c r="O881" t="n">
        <v>0</v>
      </c>
      <c r="P881" t="n">
        <v>0</v>
      </c>
      <c r="Q881" t="n">
        <v>0</v>
      </c>
      <c r="R881" s="2" t="inlineStr"/>
    </row>
    <row r="882" ht="15" customHeight="1">
      <c r="A882" t="inlineStr">
        <is>
          <t>A 43016-2024</t>
        </is>
      </c>
      <c r="B882" s="1" t="n">
        <v>45567</v>
      </c>
      <c r="C882" s="1" t="n">
        <v>45626</v>
      </c>
      <c r="D882" t="inlineStr">
        <is>
          <t>JÄMTLANDS LÄN</t>
        </is>
      </c>
      <c r="E882" t="inlineStr">
        <is>
          <t>ÖSTERSUND</t>
        </is>
      </c>
      <c r="G882" t="n">
        <v>5.3</v>
      </c>
      <c r="H882" t="n">
        <v>0</v>
      </c>
      <c r="I882" t="n">
        <v>0</v>
      </c>
      <c r="J882" t="n">
        <v>0</v>
      </c>
      <c r="K882" t="n">
        <v>0</v>
      </c>
      <c r="L882" t="n">
        <v>0</v>
      </c>
      <c r="M882" t="n">
        <v>0</v>
      </c>
      <c r="N882" t="n">
        <v>0</v>
      </c>
      <c r="O882" t="n">
        <v>0</v>
      </c>
      <c r="P882" t="n">
        <v>0</v>
      </c>
      <c r="Q882" t="n">
        <v>0</v>
      </c>
      <c r="R882" s="2" t="inlineStr"/>
    </row>
    <row r="883" ht="15" customHeight="1">
      <c r="A883" t="inlineStr">
        <is>
          <t>A 43148-2024</t>
        </is>
      </c>
      <c r="B883" s="1" t="n">
        <v>45567</v>
      </c>
      <c r="C883" s="1" t="n">
        <v>45626</v>
      </c>
      <c r="D883" t="inlineStr">
        <is>
          <t>JÄMTLANDS LÄN</t>
        </is>
      </c>
      <c r="E883" t="inlineStr">
        <is>
          <t>ÖSTERSUND</t>
        </is>
      </c>
      <c r="G883" t="n">
        <v>3</v>
      </c>
      <c r="H883" t="n">
        <v>0</v>
      </c>
      <c r="I883" t="n">
        <v>0</v>
      </c>
      <c r="J883" t="n">
        <v>0</v>
      </c>
      <c r="K883" t="n">
        <v>0</v>
      </c>
      <c r="L883" t="n">
        <v>0</v>
      </c>
      <c r="M883" t="n">
        <v>0</v>
      </c>
      <c r="N883" t="n">
        <v>0</v>
      </c>
      <c r="O883" t="n">
        <v>0</v>
      </c>
      <c r="P883" t="n">
        <v>0</v>
      </c>
      <c r="Q883" t="n">
        <v>0</v>
      </c>
      <c r="R883" s="2" t="inlineStr"/>
    </row>
    <row r="884" ht="15" customHeight="1">
      <c r="A884" t="inlineStr">
        <is>
          <t>A 43557-2024</t>
        </is>
      </c>
      <c r="B884" s="1" t="n">
        <v>45569</v>
      </c>
      <c r="C884" s="1" t="n">
        <v>45626</v>
      </c>
      <c r="D884" t="inlineStr">
        <is>
          <t>JÄMTLANDS LÄN</t>
        </is>
      </c>
      <c r="E884" t="inlineStr">
        <is>
          <t>ÖSTERSUND</t>
        </is>
      </c>
      <c r="G884" t="n">
        <v>3.6</v>
      </c>
      <c r="H884" t="n">
        <v>0</v>
      </c>
      <c r="I884" t="n">
        <v>0</v>
      </c>
      <c r="J884" t="n">
        <v>0</v>
      </c>
      <c r="K884" t="n">
        <v>0</v>
      </c>
      <c r="L884" t="n">
        <v>0</v>
      </c>
      <c r="M884" t="n">
        <v>0</v>
      </c>
      <c r="N884" t="n">
        <v>0</v>
      </c>
      <c r="O884" t="n">
        <v>0</v>
      </c>
      <c r="P884" t="n">
        <v>0</v>
      </c>
      <c r="Q884" t="n">
        <v>0</v>
      </c>
      <c r="R884" s="2" t="inlineStr"/>
    </row>
    <row r="885" ht="15" customHeight="1">
      <c r="A885" t="inlineStr">
        <is>
          <t>A 43560-2024</t>
        </is>
      </c>
      <c r="B885" s="1" t="n">
        <v>45569</v>
      </c>
      <c r="C885" s="1" t="n">
        <v>45626</v>
      </c>
      <c r="D885" t="inlineStr">
        <is>
          <t>JÄMTLANDS LÄN</t>
        </is>
      </c>
      <c r="E885" t="inlineStr">
        <is>
          <t>ÖSTERSUND</t>
        </is>
      </c>
      <c r="G885" t="n">
        <v>2.7</v>
      </c>
      <c r="H885" t="n">
        <v>0</v>
      </c>
      <c r="I885" t="n">
        <v>0</v>
      </c>
      <c r="J885" t="n">
        <v>0</v>
      </c>
      <c r="K885" t="n">
        <v>0</v>
      </c>
      <c r="L885" t="n">
        <v>0</v>
      </c>
      <c r="M885" t="n">
        <v>0</v>
      </c>
      <c r="N885" t="n">
        <v>0</v>
      </c>
      <c r="O885" t="n">
        <v>0</v>
      </c>
      <c r="P885" t="n">
        <v>0</v>
      </c>
      <c r="Q885" t="n">
        <v>0</v>
      </c>
      <c r="R885" s="2" t="inlineStr"/>
    </row>
    <row r="886" ht="15" customHeight="1">
      <c r="A886" t="inlineStr">
        <is>
          <t>A 44048-2024</t>
        </is>
      </c>
      <c r="B886" s="1" t="n">
        <v>45572</v>
      </c>
      <c r="C886" s="1" t="n">
        <v>45626</v>
      </c>
      <c r="D886" t="inlineStr">
        <is>
          <t>JÄMTLANDS LÄN</t>
        </is>
      </c>
      <c r="E886" t="inlineStr">
        <is>
          <t>ÖSTERSUND</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44489-2024</t>
        </is>
      </c>
      <c r="B887" s="1" t="n">
        <v>45574</v>
      </c>
      <c r="C887" s="1" t="n">
        <v>45626</v>
      </c>
      <c r="D887" t="inlineStr">
        <is>
          <t>JÄMTLANDS LÄN</t>
        </is>
      </c>
      <c r="E887" t="inlineStr">
        <is>
          <t>ÖSTERSUND</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44707-2024</t>
        </is>
      </c>
      <c r="B888" s="1" t="n">
        <v>45574</v>
      </c>
      <c r="C888" s="1" t="n">
        <v>45626</v>
      </c>
      <c r="D888" t="inlineStr">
        <is>
          <t>JÄMTLANDS LÄN</t>
        </is>
      </c>
      <c r="E888" t="inlineStr">
        <is>
          <t>ÖSTERSUND</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45341-2024</t>
        </is>
      </c>
      <c r="B889" s="1" t="n">
        <v>45576</v>
      </c>
      <c r="C889" s="1" t="n">
        <v>45626</v>
      </c>
      <c r="D889" t="inlineStr">
        <is>
          <t>JÄMTLANDS LÄN</t>
        </is>
      </c>
      <c r="E889" t="inlineStr">
        <is>
          <t>ÖSTERSUND</t>
        </is>
      </c>
      <c r="G889" t="n">
        <v>5.9</v>
      </c>
      <c r="H889" t="n">
        <v>0</v>
      </c>
      <c r="I889" t="n">
        <v>0</v>
      </c>
      <c r="J889" t="n">
        <v>0</v>
      </c>
      <c r="K889" t="n">
        <v>0</v>
      </c>
      <c r="L889" t="n">
        <v>0</v>
      </c>
      <c r="M889" t="n">
        <v>0</v>
      </c>
      <c r="N889" t="n">
        <v>0</v>
      </c>
      <c r="O889" t="n">
        <v>0</v>
      </c>
      <c r="P889" t="n">
        <v>0</v>
      </c>
      <c r="Q889" t="n">
        <v>0</v>
      </c>
      <c r="R889" s="2" t="inlineStr"/>
    </row>
    <row r="890" ht="15" customHeight="1">
      <c r="A890" t="inlineStr">
        <is>
          <t>A 45338-2024</t>
        </is>
      </c>
      <c r="B890" s="1" t="n">
        <v>45576</v>
      </c>
      <c r="C890" s="1" t="n">
        <v>45626</v>
      </c>
      <c r="D890" t="inlineStr">
        <is>
          <t>JÄMTLANDS LÄN</t>
        </is>
      </c>
      <c r="E890" t="inlineStr">
        <is>
          <t>ÖSTERSUND</t>
        </is>
      </c>
      <c r="G890" t="n">
        <v>1.4</v>
      </c>
      <c r="H890" t="n">
        <v>0</v>
      </c>
      <c r="I890" t="n">
        <v>0</v>
      </c>
      <c r="J890" t="n">
        <v>0</v>
      </c>
      <c r="K890" t="n">
        <v>0</v>
      </c>
      <c r="L890" t="n">
        <v>0</v>
      </c>
      <c r="M890" t="n">
        <v>0</v>
      </c>
      <c r="N890" t="n">
        <v>0</v>
      </c>
      <c r="O890" t="n">
        <v>0</v>
      </c>
      <c r="P890" t="n">
        <v>0</v>
      </c>
      <c r="Q890" t="n">
        <v>0</v>
      </c>
      <c r="R890" s="2" t="inlineStr"/>
    </row>
    <row r="891" ht="15" customHeight="1">
      <c r="A891" t="inlineStr">
        <is>
          <t>A 45340-2024</t>
        </is>
      </c>
      <c r="B891" s="1" t="n">
        <v>45576</v>
      </c>
      <c r="C891" s="1" t="n">
        <v>45626</v>
      </c>
      <c r="D891" t="inlineStr">
        <is>
          <t>JÄMTLANDS LÄN</t>
        </is>
      </c>
      <c r="E891" t="inlineStr">
        <is>
          <t>ÖSTERSUND</t>
        </is>
      </c>
      <c r="G891" t="n">
        <v>1.6</v>
      </c>
      <c r="H891" t="n">
        <v>0</v>
      </c>
      <c r="I891" t="n">
        <v>0</v>
      </c>
      <c r="J891" t="n">
        <v>0</v>
      </c>
      <c r="K891" t="n">
        <v>0</v>
      </c>
      <c r="L891" t="n">
        <v>0</v>
      </c>
      <c r="M891" t="n">
        <v>0</v>
      </c>
      <c r="N891" t="n">
        <v>0</v>
      </c>
      <c r="O891" t="n">
        <v>0</v>
      </c>
      <c r="P891" t="n">
        <v>0</v>
      </c>
      <c r="Q891" t="n">
        <v>0</v>
      </c>
      <c r="R891" s="2" t="inlineStr"/>
    </row>
    <row r="892" ht="15" customHeight="1">
      <c r="A892" t="inlineStr">
        <is>
          <t>A 45610-2024</t>
        </is>
      </c>
      <c r="B892" s="1" t="n">
        <v>45579</v>
      </c>
      <c r="C892" s="1" t="n">
        <v>45626</v>
      </c>
      <c r="D892" t="inlineStr">
        <is>
          <t>JÄMTLANDS LÄN</t>
        </is>
      </c>
      <c r="E892" t="inlineStr">
        <is>
          <t>ÖSTERSUND</t>
        </is>
      </c>
      <c r="F892" t="inlineStr">
        <is>
          <t>SCA</t>
        </is>
      </c>
      <c r="G892" t="n">
        <v>3.7</v>
      </c>
      <c r="H892" t="n">
        <v>0</v>
      </c>
      <c r="I892" t="n">
        <v>0</v>
      </c>
      <c r="J892" t="n">
        <v>0</v>
      </c>
      <c r="K892" t="n">
        <v>0</v>
      </c>
      <c r="L892" t="n">
        <v>0</v>
      </c>
      <c r="M892" t="n">
        <v>0</v>
      </c>
      <c r="N892" t="n">
        <v>0</v>
      </c>
      <c r="O892" t="n">
        <v>0</v>
      </c>
      <c r="P892" t="n">
        <v>0</v>
      </c>
      <c r="Q892" t="n">
        <v>0</v>
      </c>
      <c r="R892" s="2" t="inlineStr"/>
    </row>
    <row r="893" ht="15" customHeight="1">
      <c r="A893" t="inlineStr">
        <is>
          <t>A 45742-2024</t>
        </is>
      </c>
      <c r="B893" s="1" t="n">
        <v>45579</v>
      </c>
      <c r="C893" s="1" t="n">
        <v>45626</v>
      </c>
      <c r="D893" t="inlineStr">
        <is>
          <t>JÄMTLANDS LÄN</t>
        </is>
      </c>
      <c r="E893" t="inlineStr">
        <is>
          <t>ÖSTERSUND</t>
        </is>
      </c>
      <c r="G893" t="n">
        <v>2.4</v>
      </c>
      <c r="H893" t="n">
        <v>0</v>
      </c>
      <c r="I893" t="n">
        <v>0</v>
      </c>
      <c r="J893" t="n">
        <v>0</v>
      </c>
      <c r="K893" t="n">
        <v>0</v>
      </c>
      <c r="L893" t="n">
        <v>0</v>
      </c>
      <c r="M893" t="n">
        <v>0</v>
      </c>
      <c r="N893" t="n">
        <v>0</v>
      </c>
      <c r="O893" t="n">
        <v>0</v>
      </c>
      <c r="P893" t="n">
        <v>0</v>
      </c>
      <c r="Q893" t="n">
        <v>0</v>
      </c>
      <c r="R893" s="2" t="inlineStr"/>
    </row>
    <row r="894" ht="15" customHeight="1">
      <c r="A894" t="inlineStr">
        <is>
          <t>A 45895-2024</t>
        </is>
      </c>
      <c r="B894" s="1" t="n">
        <v>45580</v>
      </c>
      <c r="C894" s="1" t="n">
        <v>45626</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45856-2024</t>
        </is>
      </c>
      <c r="B895" s="1" t="n">
        <v>45580</v>
      </c>
      <c r="C895" s="1" t="n">
        <v>45626</v>
      </c>
      <c r="D895" t="inlineStr">
        <is>
          <t>JÄMTLANDS LÄN</t>
        </is>
      </c>
      <c r="E895" t="inlineStr">
        <is>
          <t>ÖSTERSUND</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46732-2024</t>
        </is>
      </c>
      <c r="B896" s="1" t="n">
        <v>45583</v>
      </c>
      <c r="C896" s="1" t="n">
        <v>45626</v>
      </c>
      <c r="D896" t="inlineStr">
        <is>
          <t>JÄMTLANDS LÄN</t>
        </is>
      </c>
      <c r="E896" t="inlineStr">
        <is>
          <t>ÖSTERSUND</t>
        </is>
      </c>
      <c r="G896" t="n">
        <v>3.3</v>
      </c>
      <c r="H896" t="n">
        <v>0</v>
      </c>
      <c r="I896" t="n">
        <v>0</v>
      </c>
      <c r="J896" t="n">
        <v>0</v>
      </c>
      <c r="K896" t="n">
        <v>0</v>
      </c>
      <c r="L896" t="n">
        <v>0</v>
      </c>
      <c r="M896" t="n">
        <v>0</v>
      </c>
      <c r="N896" t="n">
        <v>0</v>
      </c>
      <c r="O896" t="n">
        <v>0</v>
      </c>
      <c r="P896" t="n">
        <v>0</v>
      </c>
      <c r="Q896" t="n">
        <v>0</v>
      </c>
      <c r="R896" s="2" t="inlineStr"/>
    </row>
    <row r="897" ht="15" customHeight="1">
      <c r="A897" t="inlineStr">
        <is>
          <t>A 47245-2024</t>
        </is>
      </c>
      <c r="B897" s="1" t="n">
        <v>45586</v>
      </c>
      <c r="C897" s="1" t="n">
        <v>45626</v>
      </c>
      <c r="D897" t="inlineStr">
        <is>
          <t>JÄMTLANDS LÄN</t>
        </is>
      </c>
      <c r="E897" t="inlineStr">
        <is>
          <t>ÖSTERSUND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47022-2024</t>
        </is>
      </c>
      <c r="B898" s="1" t="n">
        <v>45586</v>
      </c>
      <c r="C898" s="1" t="n">
        <v>45626</v>
      </c>
      <c r="D898" t="inlineStr">
        <is>
          <t>JÄMTLANDS LÄN</t>
        </is>
      </c>
      <c r="E898" t="inlineStr">
        <is>
          <t>ÖSTERSUND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47357-2024</t>
        </is>
      </c>
      <c r="B899" s="1" t="n">
        <v>45587</v>
      </c>
      <c r="C899" s="1" t="n">
        <v>45626</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47804-2024</t>
        </is>
      </c>
      <c r="B900" s="1" t="n">
        <v>45588</v>
      </c>
      <c r="C900" s="1" t="n">
        <v>45626</v>
      </c>
      <c r="D900" t="inlineStr">
        <is>
          <t>JÄMTLANDS LÄN</t>
        </is>
      </c>
      <c r="E900" t="inlineStr">
        <is>
          <t>ÖSTERSUND</t>
        </is>
      </c>
      <c r="F900" t="inlineStr">
        <is>
          <t>SCA</t>
        </is>
      </c>
      <c r="G900" t="n">
        <v>7.3</v>
      </c>
      <c r="H900" t="n">
        <v>0</v>
      </c>
      <c r="I900" t="n">
        <v>0</v>
      </c>
      <c r="J900" t="n">
        <v>0</v>
      </c>
      <c r="K900" t="n">
        <v>0</v>
      </c>
      <c r="L900" t="n">
        <v>0</v>
      </c>
      <c r="M900" t="n">
        <v>0</v>
      </c>
      <c r="N900" t="n">
        <v>0</v>
      </c>
      <c r="O900" t="n">
        <v>0</v>
      </c>
      <c r="P900" t="n">
        <v>0</v>
      </c>
      <c r="Q900" t="n">
        <v>0</v>
      </c>
      <c r="R900" s="2" t="inlineStr"/>
    </row>
    <row r="901" ht="15" customHeight="1">
      <c r="A901" t="inlineStr">
        <is>
          <t>A 47630-2024</t>
        </is>
      </c>
      <c r="B901" s="1" t="n">
        <v>45588</v>
      </c>
      <c r="C901" s="1" t="n">
        <v>45626</v>
      </c>
      <c r="D901" t="inlineStr">
        <is>
          <t>JÄMTLANDS LÄN</t>
        </is>
      </c>
      <c r="E901" t="inlineStr">
        <is>
          <t>ÖSTERSUND</t>
        </is>
      </c>
      <c r="G901" t="n">
        <v>0.9</v>
      </c>
      <c r="H901" t="n">
        <v>0</v>
      </c>
      <c r="I901" t="n">
        <v>0</v>
      </c>
      <c r="J901" t="n">
        <v>0</v>
      </c>
      <c r="K901" t="n">
        <v>0</v>
      </c>
      <c r="L901" t="n">
        <v>0</v>
      </c>
      <c r="M901" t="n">
        <v>0</v>
      </c>
      <c r="N901" t="n">
        <v>0</v>
      </c>
      <c r="O901" t="n">
        <v>0</v>
      </c>
      <c r="P901" t="n">
        <v>0</v>
      </c>
      <c r="Q901" t="n">
        <v>0</v>
      </c>
      <c r="R901" s="2" t="inlineStr"/>
    </row>
    <row r="902" ht="15" customHeight="1">
      <c r="A902" t="inlineStr">
        <is>
          <t>A 47628-2024</t>
        </is>
      </c>
      <c r="B902" s="1" t="n">
        <v>45588</v>
      </c>
      <c r="C902" s="1" t="n">
        <v>45626</v>
      </c>
      <c r="D902" t="inlineStr">
        <is>
          <t>JÄMTLANDS LÄN</t>
        </is>
      </c>
      <c r="E902" t="inlineStr">
        <is>
          <t>ÖSTERSUND</t>
        </is>
      </c>
      <c r="G902" t="n">
        <v>1.9</v>
      </c>
      <c r="H902" t="n">
        <v>0</v>
      </c>
      <c r="I902" t="n">
        <v>0</v>
      </c>
      <c r="J902" t="n">
        <v>0</v>
      </c>
      <c r="K902" t="n">
        <v>0</v>
      </c>
      <c r="L902" t="n">
        <v>0</v>
      </c>
      <c r="M902" t="n">
        <v>0</v>
      </c>
      <c r="N902" t="n">
        <v>0</v>
      </c>
      <c r="O902" t="n">
        <v>0</v>
      </c>
      <c r="P902" t="n">
        <v>0</v>
      </c>
      <c r="Q902" t="n">
        <v>0</v>
      </c>
      <c r="R902" s="2" t="inlineStr"/>
    </row>
    <row r="903" ht="15" customHeight="1">
      <c r="A903" t="inlineStr">
        <is>
          <t>A 47789-2024</t>
        </is>
      </c>
      <c r="B903" s="1" t="n">
        <v>45588</v>
      </c>
      <c r="C903" s="1" t="n">
        <v>45626</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47805-2024</t>
        </is>
      </c>
      <c r="B904" s="1" t="n">
        <v>45588</v>
      </c>
      <c r="C904" s="1" t="n">
        <v>45626</v>
      </c>
      <c r="D904" t="inlineStr">
        <is>
          <t>JÄMTLANDS LÄN</t>
        </is>
      </c>
      <c r="E904" t="inlineStr">
        <is>
          <t>ÖSTERSUND</t>
        </is>
      </c>
      <c r="G904" t="n">
        <v>7.4</v>
      </c>
      <c r="H904" t="n">
        <v>0</v>
      </c>
      <c r="I904" t="n">
        <v>0</v>
      </c>
      <c r="J904" t="n">
        <v>0</v>
      </c>
      <c r="K904" t="n">
        <v>0</v>
      </c>
      <c r="L904" t="n">
        <v>0</v>
      </c>
      <c r="M904" t="n">
        <v>0</v>
      </c>
      <c r="N904" t="n">
        <v>0</v>
      </c>
      <c r="O904" t="n">
        <v>0</v>
      </c>
      <c r="P904" t="n">
        <v>0</v>
      </c>
      <c r="Q904" t="n">
        <v>0</v>
      </c>
      <c r="R904" s="2" t="inlineStr"/>
    </row>
    <row r="905" ht="15" customHeight="1">
      <c r="A905" t="inlineStr">
        <is>
          <t>A 47627-2024</t>
        </is>
      </c>
      <c r="B905" s="1" t="n">
        <v>45588</v>
      </c>
      <c r="C905" s="1" t="n">
        <v>45626</v>
      </c>
      <c r="D905" t="inlineStr">
        <is>
          <t>JÄMTLANDS LÄN</t>
        </is>
      </c>
      <c r="E905" t="inlineStr">
        <is>
          <t>ÖSTERSUND</t>
        </is>
      </c>
      <c r="G905" t="n">
        <v>0.8</v>
      </c>
      <c r="H905" t="n">
        <v>0</v>
      </c>
      <c r="I905" t="n">
        <v>0</v>
      </c>
      <c r="J905" t="n">
        <v>0</v>
      </c>
      <c r="K905" t="n">
        <v>0</v>
      </c>
      <c r="L905" t="n">
        <v>0</v>
      </c>
      <c r="M905" t="n">
        <v>0</v>
      </c>
      <c r="N905" t="n">
        <v>0</v>
      </c>
      <c r="O905" t="n">
        <v>0</v>
      </c>
      <c r="P905" t="n">
        <v>0</v>
      </c>
      <c r="Q905" t="n">
        <v>0</v>
      </c>
      <c r="R905" s="2" t="inlineStr"/>
    </row>
    <row r="906" ht="15" customHeight="1">
      <c r="A906" t="inlineStr">
        <is>
          <t>A 48131-2024</t>
        </is>
      </c>
      <c r="B906" s="1" t="n">
        <v>45589</v>
      </c>
      <c r="C906" s="1" t="n">
        <v>45626</v>
      </c>
      <c r="D906" t="inlineStr">
        <is>
          <t>JÄMTLANDS LÄN</t>
        </is>
      </c>
      <c r="E906" t="inlineStr">
        <is>
          <t>ÖSTERSUND</t>
        </is>
      </c>
      <c r="G906" t="n">
        <v>2.6</v>
      </c>
      <c r="H906" t="n">
        <v>0</v>
      </c>
      <c r="I906" t="n">
        <v>0</v>
      </c>
      <c r="J906" t="n">
        <v>0</v>
      </c>
      <c r="K906" t="n">
        <v>0</v>
      </c>
      <c r="L906" t="n">
        <v>0</v>
      </c>
      <c r="M906" t="n">
        <v>0</v>
      </c>
      <c r="N906" t="n">
        <v>0</v>
      </c>
      <c r="O906" t="n">
        <v>0</v>
      </c>
      <c r="P906" t="n">
        <v>0</v>
      </c>
      <c r="Q906" t="n">
        <v>0</v>
      </c>
      <c r="R906" s="2" t="inlineStr"/>
    </row>
    <row r="907" ht="15" customHeight="1">
      <c r="A907" t="inlineStr">
        <is>
          <t>A 48106-2024</t>
        </is>
      </c>
      <c r="B907" s="1" t="n">
        <v>45589</v>
      </c>
      <c r="C907" s="1" t="n">
        <v>45626</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48421-2024</t>
        </is>
      </c>
      <c r="B908" s="1" t="n">
        <v>45590</v>
      </c>
      <c r="C908" s="1" t="n">
        <v>45626</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48422-2024</t>
        </is>
      </c>
      <c r="B909" s="1" t="n">
        <v>45590</v>
      </c>
      <c r="C909" s="1" t="n">
        <v>45626</v>
      </c>
      <c r="D909" t="inlineStr">
        <is>
          <t>JÄMTLANDS LÄN</t>
        </is>
      </c>
      <c r="E909" t="inlineStr">
        <is>
          <t>ÖSTERSUND</t>
        </is>
      </c>
      <c r="G909" t="n">
        <v>14.6</v>
      </c>
      <c r="H909" t="n">
        <v>0</v>
      </c>
      <c r="I909" t="n">
        <v>0</v>
      </c>
      <c r="J909" t="n">
        <v>0</v>
      </c>
      <c r="K909" t="n">
        <v>0</v>
      </c>
      <c r="L909" t="n">
        <v>0</v>
      </c>
      <c r="M909" t="n">
        <v>0</v>
      </c>
      <c r="N909" t="n">
        <v>0</v>
      </c>
      <c r="O909" t="n">
        <v>0</v>
      </c>
      <c r="P909" t="n">
        <v>0</v>
      </c>
      <c r="Q909" t="n">
        <v>0</v>
      </c>
      <c r="R909" s="2" t="inlineStr"/>
    </row>
    <row r="910" ht="15" customHeight="1">
      <c r="A910" t="inlineStr">
        <is>
          <t>A 48696-2024</t>
        </is>
      </c>
      <c r="B910" s="1" t="n">
        <v>45593</v>
      </c>
      <c r="C910" s="1" t="n">
        <v>45626</v>
      </c>
      <c r="D910" t="inlineStr">
        <is>
          <t>JÄMTLANDS LÄN</t>
        </is>
      </c>
      <c r="E910" t="inlineStr">
        <is>
          <t>ÖSTERSUND</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48737-2024</t>
        </is>
      </c>
      <c r="B911" s="1" t="n">
        <v>45593</v>
      </c>
      <c r="C911" s="1" t="n">
        <v>45626</v>
      </c>
      <c r="D911" t="inlineStr">
        <is>
          <t>JÄMTLANDS LÄN</t>
        </is>
      </c>
      <c r="E911" t="inlineStr">
        <is>
          <t>ÖSTERSUND</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49192-2024</t>
        </is>
      </c>
      <c r="B912" s="1" t="n">
        <v>45595</v>
      </c>
      <c r="C912" s="1" t="n">
        <v>45626</v>
      </c>
      <c r="D912" t="inlineStr">
        <is>
          <t>JÄMTLANDS LÄN</t>
        </is>
      </c>
      <c r="E912" t="inlineStr">
        <is>
          <t>ÖSTERSUND</t>
        </is>
      </c>
      <c r="G912" t="n">
        <v>1.1</v>
      </c>
      <c r="H912" t="n">
        <v>0</v>
      </c>
      <c r="I912" t="n">
        <v>0</v>
      </c>
      <c r="J912" t="n">
        <v>0</v>
      </c>
      <c r="K912" t="n">
        <v>0</v>
      </c>
      <c r="L912" t="n">
        <v>0</v>
      </c>
      <c r="M912" t="n">
        <v>0</v>
      </c>
      <c r="N912" t="n">
        <v>0</v>
      </c>
      <c r="O912" t="n">
        <v>0</v>
      </c>
      <c r="P912" t="n">
        <v>0</v>
      </c>
      <c r="Q912" t="n">
        <v>0</v>
      </c>
      <c r="R912" s="2" t="inlineStr"/>
    </row>
    <row r="913" ht="15" customHeight="1">
      <c r="A913" t="inlineStr">
        <is>
          <t>A 49240-2024</t>
        </is>
      </c>
      <c r="B913" s="1" t="n">
        <v>45595</v>
      </c>
      <c r="C913" s="1" t="n">
        <v>45626</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49546-2024</t>
        </is>
      </c>
      <c r="B914" s="1" t="n">
        <v>45596</v>
      </c>
      <c r="C914" s="1" t="n">
        <v>45626</v>
      </c>
      <c r="D914" t="inlineStr">
        <is>
          <t>JÄMTLANDS LÄN</t>
        </is>
      </c>
      <c r="E914" t="inlineStr">
        <is>
          <t>ÖSTERSUND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49592-2024</t>
        </is>
      </c>
      <c r="B915" s="1" t="n">
        <v>45596</v>
      </c>
      <c r="C915" s="1" t="n">
        <v>45626</v>
      </c>
      <c r="D915" t="inlineStr">
        <is>
          <t>JÄMTLANDS LÄN</t>
        </is>
      </c>
      <c r="E915" t="inlineStr">
        <is>
          <t>ÖSTERSUND</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49788-2024</t>
        </is>
      </c>
      <c r="B916" s="1" t="n">
        <v>45597</v>
      </c>
      <c r="C916" s="1" t="n">
        <v>45626</v>
      </c>
      <c r="D916" t="inlineStr">
        <is>
          <t>JÄMTLANDS LÄN</t>
        </is>
      </c>
      <c r="E916" t="inlineStr">
        <is>
          <t>ÖSTERSUND</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50088-2024</t>
        </is>
      </c>
      <c r="B917" s="1" t="n">
        <v>45600</v>
      </c>
      <c r="C917" s="1" t="n">
        <v>45626</v>
      </c>
      <c r="D917" t="inlineStr">
        <is>
          <t>JÄMTLANDS LÄN</t>
        </is>
      </c>
      <c r="E917" t="inlineStr">
        <is>
          <t>ÖSTERSUND</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50218-2024</t>
        </is>
      </c>
      <c r="B918" s="1" t="n">
        <v>45600</v>
      </c>
      <c r="C918" s="1" t="n">
        <v>45626</v>
      </c>
      <c r="D918" t="inlineStr">
        <is>
          <t>JÄMTLANDS LÄN</t>
        </is>
      </c>
      <c r="E918" t="inlineStr">
        <is>
          <t>ÖSTERSUND</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50560-2024</t>
        </is>
      </c>
      <c r="B919" s="1" t="n">
        <v>45601</v>
      </c>
      <c r="C919" s="1" t="n">
        <v>45626</v>
      </c>
      <c r="D919" t="inlineStr">
        <is>
          <t>JÄMTLANDS LÄN</t>
        </is>
      </c>
      <c r="E919" t="inlineStr">
        <is>
          <t>ÖSTERSUND</t>
        </is>
      </c>
      <c r="G919" t="n">
        <v>2.3</v>
      </c>
      <c r="H919" t="n">
        <v>0</v>
      </c>
      <c r="I919" t="n">
        <v>0</v>
      </c>
      <c r="J919" t="n">
        <v>0</v>
      </c>
      <c r="K919" t="n">
        <v>0</v>
      </c>
      <c r="L919" t="n">
        <v>0</v>
      </c>
      <c r="M919" t="n">
        <v>0</v>
      </c>
      <c r="N919" t="n">
        <v>0</v>
      </c>
      <c r="O919" t="n">
        <v>0</v>
      </c>
      <c r="P919" t="n">
        <v>0</v>
      </c>
      <c r="Q919" t="n">
        <v>0</v>
      </c>
      <c r="R919" s="2" t="inlineStr"/>
    </row>
    <row r="920" ht="15" customHeight="1">
      <c r="A920" t="inlineStr">
        <is>
          <t>A 50861-2024</t>
        </is>
      </c>
      <c r="B920" s="1" t="n">
        <v>45602</v>
      </c>
      <c r="C920" s="1" t="n">
        <v>45626</v>
      </c>
      <c r="D920" t="inlineStr">
        <is>
          <t>JÄMTLANDS LÄN</t>
        </is>
      </c>
      <c r="E920" t="inlineStr">
        <is>
          <t>ÖSTERSUND</t>
        </is>
      </c>
      <c r="G920" t="n">
        <v>5</v>
      </c>
      <c r="H920" t="n">
        <v>0</v>
      </c>
      <c r="I920" t="n">
        <v>0</v>
      </c>
      <c r="J920" t="n">
        <v>0</v>
      </c>
      <c r="K920" t="n">
        <v>0</v>
      </c>
      <c r="L920" t="n">
        <v>0</v>
      </c>
      <c r="M920" t="n">
        <v>0</v>
      </c>
      <c r="N920" t="n">
        <v>0</v>
      </c>
      <c r="O920" t="n">
        <v>0</v>
      </c>
      <c r="P920" t="n">
        <v>0</v>
      </c>
      <c r="Q920" t="n">
        <v>0</v>
      </c>
      <c r="R920" s="2" t="inlineStr"/>
    </row>
    <row r="921" ht="15" customHeight="1">
      <c r="A921" t="inlineStr">
        <is>
          <t>A 50860-2024</t>
        </is>
      </c>
      <c r="B921" s="1" t="n">
        <v>45602</v>
      </c>
      <c r="C921" s="1" t="n">
        <v>45626</v>
      </c>
      <c r="D921" t="inlineStr">
        <is>
          <t>JÄMTLANDS LÄN</t>
        </is>
      </c>
      <c r="E921" t="inlineStr">
        <is>
          <t>ÖSTERSUND</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50971-2024</t>
        </is>
      </c>
      <c r="B922" s="1" t="n">
        <v>45603</v>
      </c>
      <c r="C922" s="1" t="n">
        <v>45626</v>
      </c>
      <c r="D922" t="inlineStr">
        <is>
          <t>JÄMTLANDS LÄN</t>
        </is>
      </c>
      <c r="E922" t="inlineStr">
        <is>
          <t>ÖSTERSUND</t>
        </is>
      </c>
      <c r="G922" t="n">
        <v>3.2</v>
      </c>
      <c r="H922" t="n">
        <v>0</v>
      </c>
      <c r="I922" t="n">
        <v>0</v>
      </c>
      <c r="J922" t="n">
        <v>0</v>
      </c>
      <c r="K922" t="n">
        <v>0</v>
      </c>
      <c r="L922" t="n">
        <v>0</v>
      </c>
      <c r="M922" t="n">
        <v>0</v>
      </c>
      <c r="N922" t="n">
        <v>0</v>
      </c>
      <c r="O922" t="n">
        <v>0</v>
      </c>
      <c r="P922" t="n">
        <v>0</v>
      </c>
      <c r="Q922" t="n">
        <v>0</v>
      </c>
      <c r="R922" s="2" t="inlineStr"/>
    </row>
    <row r="923" ht="15" customHeight="1">
      <c r="A923" t="inlineStr">
        <is>
          <t>A 51379-2024</t>
        </is>
      </c>
      <c r="B923" s="1" t="n">
        <v>45604</v>
      </c>
      <c r="C923" s="1" t="n">
        <v>45626</v>
      </c>
      <c r="D923" t="inlineStr">
        <is>
          <t>JÄMTLANDS LÄN</t>
        </is>
      </c>
      <c r="E923" t="inlineStr">
        <is>
          <t>ÖSTERSUND</t>
        </is>
      </c>
      <c r="G923" t="n">
        <v>2</v>
      </c>
      <c r="H923" t="n">
        <v>0</v>
      </c>
      <c r="I923" t="n">
        <v>0</v>
      </c>
      <c r="J923" t="n">
        <v>0</v>
      </c>
      <c r="K923" t="n">
        <v>0</v>
      </c>
      <c r="L923" t="n">
        <v>0</v>
      </c>
      <c r="M923" t="n">
        <v>0</v>
      </c>
      <c r="N923" t="n">
        <v>0</v>
      </c>
      <c r="O923" t="n">
        <v>0</v>
      </c>
      <c r="P923" t="n">
        <v>0</v>
      </c>
      <c r="Q923" t="n">
        <v>0</v>
      </c>
      <c r="R923" s="2" t="inlineStr"/>
    </row>
    <row r="924" ht="15" customHeight="1">
      <c r="A924" t="inlineStr">
        <is>
          <t>A 51818-2024</t>
        </is>
      </c>
      <c r="B924" s="1" t="n">
        <v>45607</v>
      </c>
      <c r="C924" s="1" t="n">
        <v>45626</v>
      </c>
      <c r="D924" t="inlineStr">
        <is>
          <t>JÄMTLANDS LÄN</t>
        </is>
      </c>
      <c r="E924" t="inlineStr">
        <is>
          <t>ÖSTERSUND</t>
        </is>
      </c>
      <c r="G924" t="n">
        <v>4.6</v>
      </c>
      <c r="H924" t="n">
        <v>0</v>
      </c>
      <c r="I924" t="n">
        <v>0</v>
      </c>
      <c r="J924" t="n">
        <v>0</v>
      </c>
      <c r="K924" t="n">
        <v>0</v>
      </c>
      <c r="L924" t="n">
        <v>0</v>
      </c>
      <c r="M924" t="n">
        <v>0</v>
      </c>
      <c r="N924" t="n">
        <v>0</v>
      </c>
      <c r="O924" t="n">
        <v>0</v>
      </c>
      <c r="P924" t="n">
        <v>0</v>
      </c>
      <c r="Q924" t="n">
        <v>0</v>
      </c>
      <c r="R924" s="2" t="inlineStr"/>
    </row>
    <row r="925" ht="15" customHeight="1">
      <c r="A925" t="inlineStr">
        <is>
          <t>A 51826-2024</t>
        </is>
      </c>
      <c r="B925" s="1" t="n">
        <v>45607</v>
      </c>
      <c r="C925" s="1" t="n">
        <v>45626</v>
      </c>
      <c r="D925" t="inlineStr">
        <is>
          <t>JÄMTLANDS LÄN</t>
        </is>
      </c>
      <c r="E925" t="inlineStr">
        <is>
          <t>ÖSTERSUND</t>
        </is>
      </c>
      <c r="G925" t="n">
        <v>1.1</v>
      </c>
      <c r="H925" t="n">
        <v>0</v>
      </c>
      <c r="I925" t="n">
        <v>0</v>
      </c>
      <c r="J925" t="n">
        <v>0</v>
      </c>
      <c r="K925" t="n">
        <v>0</v>
      </c>
      <c r="L925" t="n">
        <v>0</v>
      </c>
      <c r="M925" t="n">
        <v>0</v>
      </c>
      <c r="N925" t="n">
        <v>0</v>
      </c>
      <c r="O925" t="n">
        <v>0</v>
      </c>
      <c r="P925" t="n">
        <v>0</v>
      </c>
      <c r="Q925" t="n">
        <v>0</v>
      </c>
      <c r="R925" s="2" t="inlineStr"/>
    </row>
    <row r="926" ht="15" customHeight="1">
      <c r="A926" t="inlineStr">
        <is>
          <t>A 51865-2024</t>
        </is>
      </c>
      <c r="B926" s="1" t="n">
        <v>45607</v>
      </c>
      <c r="C926" s="1" t="n">
        <v>45626</v>
      </c>
      <c r="D926" t="inlineStr">
        <is>
          <t>JÄMTLANDS LÄN</t>
        </is>
      </c>
      <c r="E926" t="inlineStr">
        <is>
          <t>ÖSTERSUND</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51856-2024</t>
        </is>
      </c>
      <c r="B927" s="1" t="n">
        <v>45607</v>
      </c>
      <c r="C927" s="1" t="n">
        <v>45626</v>
      </c>
      <c r="D927" t="inlineStr">
        <is>
          <t>JÄMTLANDS LÄN</t>
        </is>
      </c>
      <c r="E927" t="inlineStr">
        <is>
          <t>ÖSTERSUND</t>
        </is>
      </c>
      <c r="G927" t="n">
        <v>13.5</v>
      </c>
      <c r="H927" t="n">
        <v>0</v>
      </c>
      <c r="I927" t="n">
        <v>0</v>
      </c>
      <c r="J927" t="n">
        <v>0</v>
      </c>
      <c r="K927" t="n">
        <v>0</v>
      </c>
      <c r="L927" t="n">
        <v>0</v>
      </c>
      <c r="M927" t="n">
        <v>0</v>
      </c>
      <c r="N927" t="n">
        <v>0</v>
      </c>
      <c r="O927" t="n">
        <v>0</v>
      </c>
      <c r="P927" t="n">
        <v>0</v>
      </c>
      <c r="Q927" t="n">
        <v>0</v>
      </c>
      <c r="R927" s="2" t="inlineStr"/>
    </row>
    <row r="928" ht="15" customHeight="1">
      <c r="A928" t="inlineStr">
        <is>
          <t>A 52405-2024</t>
        </is>
      </c>
      <c r="B928" s="1" t="n">
        <v>45609</v>
      </c>
      <c r="C928" s="1" t="n">
        <v>45626</v>
      </c>
      <c r="D928" t="inlineStr">
        <is>
          <t>JÄMTLANDS LÄN</t>
        </is>
      </c>
      <c r="E928" t="inlineStr">
        <is>
          <t>ÖSTERSUND</t>
        </is>
      </c>
      <c r="G928" t="n">
        <v>4.3</v>
      </c>
      <c r="H928" t="n">
        <v>0</v>
      </c>
      <c r="I928" t="n">
        <v>0</v>
      </c>
      <c r="J928" t="n">
        <v>0</v>
      </c>
      <c r="K928" t="n">
        <v>0</v>
      </c>
      <c r="L928" t="n">
        <v>0</v>
      </c>
      <c r="M928" t="n">
        <v>0</v>
      </c>
      <c r="N928" t="n">
        <v>0</v>
      </c>
      <c r="O928" t="n">
        <v>0</v>
      </c>
      <c r="P928" t="n">
        <v>0</v>
      </c>
      <c r="Q928" t="n">
        <v>0</v>
      </c>
      <c r="R928" s="2" t="inlineStr"/>
    </row>
    <row r="929" ht="15" customHeight="1">
      <c r="A929" t="inlineStr">
        <is>
          <t>A 52483-2024</t>
        </is>
      </c>
      <c r="B929" s="1" t="n">
        <v>45609</v>
      </c>
      <c r="C929" s="1" t="n">
        <v>45626</v>
      </c>
      <c r="D929" t="inlineStr">
        <is>
          <t>JÄMTLANDS LÄN</t>
        </is>
      </c>
      <c r="E929" t="inlineStr">
        <is>
          <t>ÖSTERSUND</t>
        </is>
      </c>
      <c r="G929" t="n">
        <v>3</v>
      </c>
      <c r="H929" t="n">
        <v>0</v>
      </c>
      <c r="I929" t="n">
        <v>0</v>
      </c>
      <c r="J929" t="n">
        <v>0</v>
      </c>
      <c r="K929" t="n">
        <v>0</v>
      </c>
      <c r="L929" t="n">
        <v>0</v>
      </c>
      <c r="M929" t="n">
        <v>0</v>
      </c>
      <c r="N929" t="n">
        <v>0</v>
      </c>
      <c r="O929" t="n">
        <v>0</v>
      </c>
      <c r="P929" t="n">
        <v>0</v>
      </c>
      <c r="Q929" t="n">
        <v>0</v>
      </c>
      <c r="R929" s="2" t="inlineStr"/>
    </row>
    <row r="930" ht="15" customHeight="1">
      <c r="A930" t="inlineStr">
        <is>
          <t>A 52480-2024</t>
        </is>
      </c>
      <c r="B930" s="1" t="n">
        <v>45609</v>
      </c>
      <c r="C930" s="1" t="n">
        <v>45626</v>
      </c>
      <c r="D930" t="inlineStr">
        <is>
          <t>JÄMTLANDS LÄN</t>
        </is>
      </c>
      <c r="E930" t="inlineStr">
        <is>
          <t>ÖSTERSUND</t>
        </is>
      </c>
      <c r="G930" t="n">
        <v>20.2</v>
      </c>
      <c r="H930" t="n">
        <v>0</v>
      </c>
      <c r="I930" t="n">
        <v>0</v>
      </c>
      <c r="J930" t="n">
        <v>0</v>
      </c>
      <c r="K930" t="n">
        <v>0</v>
      </c>
      <c r="L930" t="n">
        <v>0</v>
      </c>
      <c r="M930" t="n">
        <v>0</v>
      </c>
      <c r="N930" t="n">
        <v>0</v>
      </c>
      <c r="O930" t="n">
        <v>0</v>
      </c>
      <c r="P930" t="n">
        <v>0</v>
      </c>
      <c r="Q930" t="n">
        <v>0</v>
      </c>
      <c r="R930" s="2" t="inlineStr"/>
    </row>
    <row r="931" ht="15" customHeight="1">
      <c r="A931" t="inlineStr">
        <is>
          <t>A 52482-2024</t>
        </is>
      </c>
      <c r="B931" s="1" t="n">
        <v>45609</v>
      </c>
      <c r="C931" s="1" t="n">
        <v>45626</v>
      </c>
      <c r="D931" t="inlineStr">
        <is>
          <t>JÄMTLANDS LÄN</t>
        </is>
      </c>
      <c r="E931" t="inlineStr">
        <is>
          <t>ÖSTERSUND</t>
        </is>
      </c>
      <c r="G931" t="n">
        <v>7.3</v>
      </c>
      <c r="H931" t="n">
        <v>0</v>
      </c>
      <c r="I931" t="n">
        <v>0</v>
      </c>
      <c r="J931" t="n">
        <v>0</v>
      </c>
      <c r="K931" t="n">
        <v>0</v>
      </c>
      <c r="L931" t="n">
        <v>0</v>
      </c>
      <c r="M931" t="n">
        <v>0</v>
      </c>
      <c r="N931" t="n">
        <v>0</v>
      </c>
      <c r="O931" t="n">
        <v>0</v>
      </c>
      <c r="P931" t="n">
        <v>0</v>
      </c>
      <c r="Q931" t="n">
        <v>0</v>
      </c>
      <c r="R931" s="2" t="inlineStr"/>
    </row>
    <row r="932" ht="15" customHeight="1">
      <c r="A932" t="inlineStr">
        <is>
          <t>A 52481-2024</t>
        </is>
      </c>
      <c r="B932" s="1" t="n">
        <v>45609</v>
      </c>
      <c r="C932" s="1" t="n">
        <v>45626</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52854-2024</t>
        </is>
      </c>
      <c r="B933" s="1" t="n">
        <v>45610</v>
      </c>
      <c r="C933" s="1" t="n">
        <v>45626</v>
      </c>
      <c r="D933" t="inlineStr">
        <is>
          <t>JÄMTLANDS LÄN</t>
        </is>
      </c>
      <c r="E933" t="inlineStr">
        <is>
          <t>ÖSTERSUND</t>
        </is>
      </c>
      <c r="G933" t="n">
        <v>2.5</v>
      </c>
      <c r="H933" t="n">
        <v>0</v>
      </c>
      <c r="I933" t="n">
        <v>0</v>
      </c>
      <c r="J933" t="n">
        <v>0</v>
      </c>
      <c r="K933" t="n">
        <v>0</v>
      </c>
      <c r="L933" t="n">
        <v>0</v>
      </c>
      <c r="M933" t="n">
        <v>0</v>
      </c>
      <c r="N933" t="n">
        <v>0</v>
      </c>
      <c r="O933" t="n">
        <v>0</v>
      </c>
      <c r="P933" t="n">
        <v>0</v>
      </c>
      <c r="Q933" t="n">
        <v>0</v>
      </c>
      <c r="R933" s="2" t="inlineStr"/>
    </row>
    <row r="934" ht="15" customHeight="1">
      <c r="A934" t="inlineStr">
        <is>
          <t>A 53060-2024</t>
        </is>
      </c>
      <c r="B934" s="1" t="n">
        <v>45611</v>
      </c>
      <c r="C934" s="1" t="n">
        <v>45626</v>
      </c>
      <c r="D934" t="inlineStr">
        <is>
          <t>JÄMTLANDS LÄN</t>
        </is>
      </c>
      <c r="E934" t="inlineStr">
        <is>
          <t>ÖSTERSUND</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53130-2024</t>
        </is>
      </c>
      <c r="B935" s="1" t="n">
        <v>45611</v>
      </c>
      <c r="C935" s="1" t="n">
        <v>45626</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53176-2024</t>
        </is>
      </c>
      <c r="B936" s="1" t="n">
        <v>45611</v>
      </c>
      <c r="C936" s="1" t="n">
        <v>45626</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53516-2024</t>
        </is>
      </c>
      <c r="B937" s="1" t="n">
        <v>45614</v>
      </c>
      <c r="C937" s="1" t="n">
        <v>45626</v>
      </c>
      <c r="D937" t="inlineStr">
        <is>
          <t>JÄMTLANDS LÄN</t>
        </is>
      </c>
      <c r="E937" t="inlineStr">
        <is>
          <t>ÖSTERSUND</t>
        </is>
      </c>
      <c r="G937" t="n">
        <v>4.5</v>
      </c>
      <c r="H937" t="n">
        <v>0</v>
      </c>
      <c r="I937" t="n">
        <v>0</v>
      </c>
      <c r="J937" t="n">
        <v>0</v>
      </c>
      <c r="K937" t="n">
        <v>0</v>
      </c>
      <c r="L937" t="n">
        <v>0</v>
      </c>
      <c r="M937" t="n">
        <v>0</v>
      </c>
      <c r="N937" t="n">
        <v>0</v>
      </c>
      <c r="O937" t="n">
        <v>0</v>
      </c>
      <c r="P937" t="n">
        <v>0</v>
      </c>
      <c r="Q937" t="n">
        <v>0</v>
      </c>
      <c r="R937" s="2" t="inlineStr"/>
    </row>
    <row r="938" ht="15" customHeight="1">
      <c r="A938" t="inlineStr">
        <is>
          <t>A 53520-2024</t>
        </is>
      </c>
      <c r="B938" s="1" t="n">
        <v>45614</v>
      </c>
      <c r="C938" s="1" t="n">
        <v>45626</v>
      </c>
      <c r="D938" t="inlineStr">
        <is>
          <t>JÄMTLANDS LÄN</t>
        </is>
      </c>
      <c r="E938" t="inlineStr">
        <is>
          <t>ÖSTERSUND</t>
        </is>
      </c>
      <c r="G938" t="n">
        <v>3</v>
      </c>
      <c r="H938" t="n">
        <v>0</v>
      </c>
      <c r="I938" t="n">
        <v>0</v>
      </c>
      <c r="J938" t="n">
        <v>0</v>
      </c>
      <c r="K938" t="n">
        <v>0</v>
      </c>
      <c r="L938" t="n">
        <v>0</v>
      </c>
      <c r="M938" t="n">
        <v>0</v>
      </c>
      <c r="N938" t="n">
        <v>0</v>
      </c>
      <c r="O938" t="n">
        <v>0</v>
      </c>
      <c r="P938" t="n">
        <v>0</v>
      </c>
      <c r="Q938" t="n">
        <v>0</v>
      </c>
      <c r="R938" s="2" t="inlineStr"/>
    </row>
    <row r="939" ht="15" customHeight="1">
      <c r="A939" t="inlineStr">
        <is>
          <t>A 53536-2024</t>
        </is>
      </c>
      <c r="B939" s="1" t="n">
        <v>45614</v>
      </c>
      <c r="C939" s="1" t="n">
        <v>45626</v>
      </c>
      <c r="D939" t="inlineStr">
        <is>
          <t>JÄMTLANDS LÄN</t>
        </is>
      </c>
      <c r="E939" t="inlineStr">
        <is>
          <t>ÖSTERSUND</t>
        </is>
      </c>
      <c r="G939" t="n">
        <v>4.1</v>
      </c>
      <c r="H939" t="n">
        <v>0</v>
      </c>
      <c r="I939" t="n">
        <v>0</v>
      </c>
      <c r="J939" t="n">
        <v>0</v>
      </c>
      <c r="K939" t="n">
        <v>0</v>
      </c>
      <c r="L939" t="n">
        <v>0</v>
      </c>
      <c r="M939" t="n">
        <v>0</v>
      </c>
      <c r="N939" t="n">
        <v>0</v>
      </c>
      <c r="O939" t="n">
        <v>0</v>
      </c>
      <c r="P939" t="n">
        <v>0</v>
      </c>
      <c r="Q939" t="n">
        <v>0</v>
      </c>
      <c r="R939" s="2" t="inlineStr"/>
    </row>
    <row r="940" ht="15" customHeight="1">
      <c r="A940" t="inlineStr">
        <is>
          <t>A 53660-2024</t>
        </is>
      </c>
      <c r="B940" s="1" t="n">
        <v>45615</v>
      </c>
      <c r="C940" s="1" t="n">
        <v>45626</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53745-2024</t>
        </is>
      </c>
      <c r="B941" s="1" t="n">
        <v>45615</v>
      </c>
      <c r="C941" s="1" t="n">
        <v>45626</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53864-2024</t>
        </is>
      </c>
      <c r="B942" s="1" t="n">
        <v>45615</v>
      </c>
      <c r="C942" s="1" t="n">
        <v>45626</v>
      </c>
      <c r="D942" t="inlineStr">
        <is>
          <t>JÄMTLANDS LÄN</t>
        </is>
      </c>
      <c r="E942" t="inlineStr">
        <is>
          <t>ÖSTERSUND</t>
        </is>
      </c>
      <c r="G942" t="n">
        <v>5.5</v>
      </c>
      <c r="H942" t="n">
        <v>0</v>
      </c>
      <c r="I942" t="n">
        <v>0</v>
      </c>
      <c r="J942" t="n">
        <v>0</v>
      </c>
      <c r="K942" t="n">
        <v>0</v>
      </c>
      <c r="L942" t="n">
        <v>0</v>
      </c>
      <c r="M942" t="n">
        <v>0</v>
      </c>
      <c r="N942" t="n">
        <v>0</v>
      </c>
      <c r="O942" t="n">
        <v>0</v>
      </c>
      <c r="P942" t="n">
        <v>0</v>
      </c>
      <c r="Q942" t="n">
        <v>0</v>
      </c>
      <c r="R942" s="2" t="inlineStr"/>
    </row>
    <row r="943" ht="15" customHeight="1">
      <c r="A943" t="inlineStr">
        <is>
          <t>A 54237-2024</t>
        </is>
      </c>
      <c r="B943" s="1" t="n">
        <v>45616</v>
      </c>
      <c r="C943" s="1" t="n">
        <v>45626</v>
      </c>
      <c r="D943" t="inlineStr">
        <is>
          <t>JÄMTLANDS LÄN</t>
        </is>
      </c>
      <c r="E943" t="inlineStr">
        <is>
          <t>ÖSTERSUND</t>
        </is>
      </c>
      <c r="F943" t="inlineStr">
        <is>
          <t>SCA</t>
        </is>
      </c>
      <c r="G943" t="n">
        <v>8.9</v>
      </c>
      <c r="H943" t="n">
        <v>0</v>
      </c>
      <c r="I943" t="n">
        <v>0</v>
      </c>
      <c r="J943" t="n">
        <v>0</v>
      </c>
      <c r="K943" t="n">
        <v>0</v>
      </c>
      <c r="L943" t="n">
        <v>0</v>
      </c>
      <c r="M943" t="n">
        <v>0</v>
      </c>
      <c r="N943" t="n">
        <v>0</v>
      </c>
      <c r="O943" t="n">
        <v>0</v>
      </c>
      <c r="P943" t="n">
        <v>0</v>
      </c>
      <c r="Q943" t="n">
        <v>0</v>
      </c>
      <c r="R943" s="2" t="inlineStr"/>
    </row>
    <row r="944" ht="15" customHeight="1">
      <c r="A944" t="inlineStr">
        <is>
          <t>A 54317-2024</t>
        </is>
      </c>
      <c r="B944" s="1" t="n">
        <v>45617</v>
      </c>
      <c r="C944" s="1" t="n">
        <v>45626</v>
      </c>
      <c r="D944" t="inlineStr">
        <is>
          <t>JÄMTLANDS LÄN</t>
        </is>
      </c>
      <c r="E944" t="inlineStr">
        <is>
          <t>ÖSTERSUND</t>
        </is>
      </c>
      <c r="G944" t="n">
        <v>4.3</v>
      </c>
      <c r="H944" t="n">
        <v>0</v>
      </c>
      <c r="I944" t="n">
        <v>0</v>
      </c>
      <c r="J944" t="n">
        <v>0</v>
      </c>
      <c r="K944" t="n">
        <v>0</v>
      </c>
      <c r="L944" t="n">
        <v>0</v>
      </c>
      <c r="M944" t="n">
        <v>0</v>
      </c>
      <c r="N944" t="n">
        <v>0</v>
      </c>
      <c r="O944" t="n">
        <v>0</v>
      </c>
      <c r="P944" t="n">
        <v>0</v>
      </c>
      <c r="Q944" t="n">
        <v>0</v>
      </c>
      <c r="R944" s="2" t="inlineStr"/>
    </row>
    <row r="945" ht="15" customHeight="1">
      <c r="A945" t="inlineStr">
        <is>
          <t>A 54359-2024</t>
        </is>
      </c>
      <c r="B945" s="1" t="n">
        <v>45617</v>
      </c>
      <c r="C945" s="1" t="n">
        <v>45626</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54354-2024</t>
        </is>
      </c>
      <c r="B946" s="1" t="n">
        <v>45617</v>
      </c>
      <c r="C946" s="1" t="n">
        <v>45626</v>
      </c>
      <c r="D946" t="inlineStr">
        <is>
          <t>JÄMTLANDS LÄN</t>
        </is>
      </c>
      <c r="E946" t="inlineStr">
        <is>
          <t>ÖSTERSUND</t>
        </is>
      </c>
      <c r="G946" t="n">
        <v>7</v>
      </c>
      <c r="H946" t="n">
        <v>0</v>
      </c>
      <c r="I946" t="n">
        <v>0</v>
      </c>
      <c r="J946" t="n">
        <v>0</v>
      </c>
      <c r="K946" t="n">
        <v>0</v>
      </c>
      <c r="L946" t="n">
        <v>0</v>
      </c>
      <c r="M946" t="n">
        <v>0</v>
      </c>
      <c r="N946" t="n">
        <v>0</v>
      </c>
      <c r="O946" t="n">
        <v>0</v>
      </c>
      <c r="P946" t="n">
        <v>0</v>
      </c>
      <c r="Q946" t="n">
        <v>0</v>
      </c>
      <c r="R946" s="2" t="inlineStr"/>
    </row>
    <row r="947" ht="15" customHeight="1">
      <c r="A947" t="inlineStr">
        <is>
          <t>A 54508-2024</t>
        </is>
      </c>
      <c r="B947" s="1" t="n">
        <v>45617</v>
      </c>
      <c r="C947" s="1" t="n">
        <v>45626</v>
      </c>
      <c r="D947" t="inlineStr">
        <is>
          <t>JÄMTLANDS LÄN</t>
        </is>
      </c>
      <c r="E947" t="inlineStr">
        <is>
          <t>ÖSTERSUND</t>
        </is>
      </c>
      <c r="G947" t="n">
        <v>7.6</v>
      </c>
      <c r="H947" t="n">
        <v>0</v>
      </c>
      <c r="I947" t="n">
        <v>0</v>
      </c>
      <c r="J947" t="n">
        <v>0</v>
      </c>
      <c r="K947" t="n">
        <v>0</v>
      </c>
      <c r="L947" t="n">
        <v>0</v>
      </c>
      <c r="M947" t="n">
        <v>0</v>
      </c>
      <c r="N947" t="n">
        <v>0</v>
      </c>
      <c r="O947" t="n">
        <v>0</v>
      </c>
      <c r="P947" t="n">
        <v>0</v>
      </c>
      <c r="Q947" t="n">
        <v>0</v>
      </c>
      <c r="R947" s="2" t="inlineStr"/>
    </row>
    <row r="948" ht="15" customHeight="1">
      <c r="A948" t="inlineStr">
        <is>
          <t>A 54587-2024</t>
        </is>
      </c>
      <c r="B948" s="1" t="n">
        <v>45617</v>
      </c>
      <c r="C948" s="1" t="n">
        <v>45626</v>
      </c>
      <c r="D948" t="inlineStr">
        <is>
          <t>JÄMTLANDS LÄN</t>
        </is>
      </c>
      <c r="E948" t="inlineStr">
        <is>
          <t>ÖSTERSUND</t>
        </is>
      </c>
      <c r="G948" t="n">
        <v>14</v>
      </c>
      <c r="H948" t="n">
        <v>0</v>
      </c>
      <c r="I948" t="n">
        <v>0</v>
      </c>
      <c r="J948" t="n">
        <v>0</v>
      </c>
      <c r="K948" t="n">
        <v>0</v>
      </c>
      <c r="L948" t="n">
        <v>0</v>
      </c>
      <c r="M948" t="n">
        <v>0</v>
      </c>
      <c r="N948" t="n">
        <v>0</v>
      </c>
      <c r="O948" t="n">
        <v>0</v>
      </c>
      <c r="P948" t="n">
        <v>0</v>
      </c>
      <c r="Q948" t="n">
        <v>0</v>
      </c>
      <c r="R948" s="2" t="inlineStr"/>
    </row>
    <row r="949" ht="15" customHeight="1">
      <c r="A949" t="inlineStr">
        <is>
          <t>A 54913-2024</t>
        </is>
      </c>
      <c r="B949" s="1" t="n">
        <v>45618</v>
      </c>
      <c r="C949" s="1" t="n">
        <v>45626</v>
      </c>
      <c r="D949" t="inlineStr">
        <is>
          <t>JÄMTLANDS LÄN</t>
        </is>
      </c>
      <c r="E949" t="inlineStr">
        <is>
          <t>ÖSTERSUND</t>
        </is>
      </c>
      <c r="G949" t="n">
        <v>4.7</v>
      </c>
      <c r="H949" t="n">
        <v>0</v>
      </c>
      <c r="I949" t="n">
        <v>0</v>
      </c>
      <c r="J949" t="n">
        <v>0</v>
      </c>
      <c r="K949" t="n">
        <v>0</v>
      </c>
      <c r="L949" t="n">
        <v>0</v>
      </c>
      <c r="M949" t="n">
        <v>0</v>
      </c>
      <c r="N949" t="n">
        <v>0</v>
      </c>
      <c r="O949" t="n">
        <v>0</v>
      </c>
      <c r="P949" t="n">
        <v>0</v>
      </c>
      <c r="Q949" t="n">
        <v>0</v>
      </c>
      <c r="R949" s="2" t="inlineStr"/>
    </row>
    <row r="950" ht="15" customHeight="1">
      <c r="A950" t="inlineStr">
        <is>
          <t>A 55002-2024</t>
        </is>
      </c>
      <c r="B950" s="1" t="n">
        <v>45621</v>
      </c>
      <c r="C950" s="1" t="n">
        <v>45626</v>
      </c>
      <c r="D950" t="inlineStr">
        <is>
          <t>JÄMTLANDS LÄN</t>
        </is>
      </c>
      <c r="E950" t="inlineStr">
        <is>
          <t>ÖSTERSUND</t>
        </is>
      </c>
      <c r="F950" t="inlineStr">
        <is>
          <t>Övriga Aktiebolag</t>
        </is>
      </c>
      <c r="G950" t="n">
        <v>0.3</v>
      </c>
      <c r="H950" t="n">
        <v>0</v>
      </c>
      <c r="I950" t="n">
        <v>0</v>
      </c>
      <c r="J950" t="n">
        <v>0</v>
      </c>
      <c r="K950" t="n">
        <v>0</v>
      </c>
      <c r="L950" t="n">
        <v>0</v>
      </c>
      <c r="M950" t="n">
        <v>0</v>
      </c>
      <c r="N950" t="n">
        <v>0</v>
      </c>
      <c r="O950" t="n">
        <v>0</v>
      </c>
      <c r="P950" t="n">
        <v>0</v>
      </c>
      <c r="Q950" t="n">
        <v>0</v>
      </c>
      <c r="R950" s="2" t="inlineStr"/>
    </row>
    <row r="951" ht="15" customHeight="1">
      <c r="A951" t="inlineStr">
        <is>
          <t>A 55064-2024</t>
        </is>
      </c>
      <c r="B951" s="1" t="n">
        <v>45621</v>
      </c>
      <c r="C951" s="1" t="n">
        <v>45626</v>
      </c>
      <c r="D951" t="inlineStr">
        <is>
          <t>JÄMTLANDS LÄN</t>
        </is>
      </c>
      <c r="E951" t="inlineStr">
        <is>
          <t>ÖSTERSUND</t>
        </is>
      </c>
      <c r="G951" t="n">
        <v>0.8</v>
      </c>
      <c r="H951" t="n">
        <v>0</v>
      </c>
      <c r="I951" t="n">
        <v>0</v>
      </c>
      <c r="J951" t="n">
        <v>0</v>
      </c>
      <c r="K951" t="n">
        <v>0</v>
      </c>
      <c r="L951" t="n">
        <v>0</v>
      </c>
      <c r="M951" t="n">
        <v>0</v>
      </c>
      <c r="N951" t="n">
        <v>0</v>
      </c>
      <c r="O951" t="n">
        <v>0</v>
      </c>
      <c r="P951" t="n">
        <v>0</v>
      </c>
      <c r="Q951" t="n">
        <v>0</v>
      </c>
      <c r="R951" s="2" t="inlineStr"/>
    </row>
    <row r="952" ht="15" customHeight="1">
      <c r="A952" t="inlineStr">
        <is>
          <t>A 55061-2024</t>
        </is>
      </c>
      <c r="B952" s="1" t="n">
        <v>45621</v>
      </c>
      <c r="C952" s="1" t="n">
        <v>45626</v>
      </c>
      <c r="D952" t="inlineStr">
        <is>
          <t>JÄMTLANDS LÄN</t>
        </is>
      </c>
      <c r="E952" t="inlineStr">
        <is>
          <t>ÖSTERSUND</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55302-2024</t>
        </is>
      </c>
      <c r="B953" s="1" t="n">
        <v>45621</v>
      </c>
      <c r="C953" s="1" t="n">
        <v>45626</v>
      </c>
      <c r="D953" t="inlineStr">
        <is>
          <t>JÄMTLANDS LÄN</t>
        </is>
      </c>
      <c r="E953" t="inlineStr">
        <is>
          <t>ÖSTERSUND</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55314-2024</t>
        </is>
      </c>
      <c r="B954" s="1" t="n">
        <v>45621</v>
      </c>
      <c r="C954" s="1" t="n">
        <v>45626</v>
      </c>
      <c r="D954" t="inlineStr">
        <is>
          <t>JÄMTLANDS LÄN</t>
        </is>
      </c>
      <c r="E954" t="inlineStr">
        <is>
          <t>ÖSTERSUND</t>
        </is>
      </c>
      <c r="G954" t="n">
        <v>14.2</v>
      </c>
      <c r="H954" t="n">
        <v>0</v>
      </c>
      <c r="I954" t="n">
        <v>0</v>
      </c>
      <c r="J954" t="n">
        <v>0</v>
      </c>
      <c r="K954" t="n">
        <v>0</v>
      </c>
      <c r="L954" t="n">
        <v>0</v>
      </c>
      <c r="M954" t="n">
        <v>0</v>
      </c>
      <c r="N954" t="n">
        <v>0</v>
      </c>
      <c r="O954" t="n">
        <v>0</v>
      </c>
      <c r="P954" t="n">
        <v>0</v>
      </c>
      <c r="Q954" t="n">
        <v>0</v>
      </c>
      <c r="R954" s="2" t="inlineStr"/>
    </row>
    <row r="955" ht="15" customHeight="1">
      <c r="A955" t="inlineStr">
        <is>
          <t>A 55365-2024</t>
        </is>
      </c>
      <c r="B955" s="1" t="n">
        <v>45621</v>
      </c>
      <c r="C955" s="1" t="n">
        <v>45626</v>
      </c>
      <c r="D955" t="inlineStr">
        <is>
          <t>JÄMTLANDS LÄN</t>
        </is>
      </c>
      <c r="E955" t="inlineStr">
        <is>
          <t>ÖSTERSUND</t>
        </is>
      </c>
      <c r="G955" t="n">
        <v>1.6</v>
      </c>
      <c r="H955" t="n">
        <v>0</v>
      </c>
      <c r="I955" t="n">
        <v>0</v>
      </c>
      <c r="J955" t="n">
        <v>0</v>
      </c>
      <c r="K955" t="n">
        <v>0</v>
      </c>
      <c r="L955" t="n">
        <v>0</v>
      </c>
      <c r="M955" t="n">
        <v>0</v>
      </c>
      <c r="N955" t="n">
        <v>0</v>
      </c>
      <c r="O955" t="n">
        <v>0</v>
      </c>
      <c r="P955" t="n">
        <v>0</v>
      </c>
      <c r="Q955" t="n">
        <v>0</v>
      </c>
      <c r="R955" s="2" t="inlineStr"/>
    </row>
    <row r="956" ht="15" customHeight="1">
      <c r="A956" t="inlineStr">
        <is>
          <t>A 55294-2024</t>
        </is>
      </c>
      <c r="B956" s="1" t="n">
        <v>45621</v>
      </c>
      <c r="C956" s="1" t="n">
        <v>45626</v>
      </c>
      <c r="D956" t="inlineStr">
        <is>
          <t>JÄMTLANDS LÄN</t>
        </is>
      </c>
      <c r="E956" t="inlineStr">
        <is>
          <t>ÖSTERSUND</t>
        </is>
      </c>
      <c r="G956" t="n">
        <v>3</v>
      </c>
      <c r="H956" t="n">
        <v>0</v>
      </c>
      <c r="I956" t="n">
        <v>0</v>
      </c>
      <c r="J956" t="n">
        <v>0</v>
      </c>
      <c r="K956" t="n">
        <v>0</v>
      </c>
      <c r="L956" t="n">
        <v>0</v>
      </c>
      <c r="M956" t="n">
        <v>0</v>
      </c>
      <c r="N956" t="n">
        <v>0</v>
      </c>
      <c r="O956" t="n">
        <v>0</v>
      </c>
      <c r="P956" t="n">
        <v>0</v>
      </c>
      <c r="Q956" t="n">
        <v>0</v>
      </c>
      <c r="R956" s="2" t="inlineStr"/>
    </row>
    <row r="957" ht="15" customHeight="1">
      <c r="A957" t="inlineStr">
        <is>
          <t>A 55319-2024</t>
        </is>
      </c>
      <c r="B957" s="1" t="n">
        <v>45621</v>
      </c>
      <c r="C957" s="1" t="n">
        <v>45626</v>
      </c>
      <c r="D957" t="inlineStr">
        <is>
          <t>JÄMTLANDS LÄN</t>
        </is>
      </c>
      <c r="E957" t="inlineStr">
        <is>
          <t>ÖSTERSUND</t>
        </is>
      </c>
      <c r="G957" t="n">
        <v>7.1</v>
      </c>
      <c r="H957" t="n">
        <v>0</v>
      </c>
      <c r="I957" t="n">
        <v>0</v>
      </c>
      <c r="J957" t="n">
        <v>0</v>
      </c>
      <c r="K957" t="n">
        <v>0</v>
      </c>
      <c r="L957" t="n">
        <v>0</v>
      </c>
      <c r="M957" t="n">
        <v>0</v>
      </c>
      <c r="N957" t="n">
        <v>0</v>
      </c>
      <c r="O957" t="n">
        <v>0</v>
      </c>
      <c r="P957" t="n">
        <v>0</v>
      </c>
      <c r="Q957" t="n">
        <v>0</v>
      </c>
      <c r="R957" s="2" t="inlineStr"/>
    </row>
    <row r="958" ht="15" customHeight="1">
      <c r="A958" t="inlineStr">
        <is>
          <t>A 55323-2024</t>
        </is>
      </c>
      <c r="B958" s="1" t="n">
        <v>45621</v>
      </c>
      <c r="C958" s="1" t="n">
        <v>45626</v>
      </c>
      <c r="D958" t="inlineStr">
        <is>
          <t>JÄMTLANDS LÄN</t>
        </is>
      </c>
      <c r="E958" t="inlineStr">
        <is>
          <t>ÖSTERSUND</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55572-2024</t>
        </is>
      </c>
      <c r="B959" s="1" t="n">
        <v>45622</v>
      </c>
      <c r="C959" s="1" t="n">
        <v>45626</v>
      </c>
      <c r="D959" t="inlineStr">
        <is>
          <t>JÄMTLANDS LÄN</t>
        </is>
      </c>
      <c r="E959" t="inlineStr">
        <is>
          <t>ÖSTERSUND</t>
        </is>
      </c>
      <c r="F959" t="inlineStr">
        <is>
          <t>SCA</t>
        </is>
      </c>
      <c r="G959" t="n">
        <v>11.2</v>
      </c>
      <c r="H959" t="n">
        <v>0</v>
      </c>
      <c r="I959" t="n">
        <v>0</v>
      </c>
      <c r="J959" t="n">
        <v>0</v>
      </c>
      <c r="K959" t="n">
        <v>0</v>
      </c>
      <c r="L959" t="n">
        <v>0</v>
      </c>
      <c r="M959" t="n">
        <v>0</v>
      </c>
      <c r="N959" t="n">
        <v>0</v>
      </c>
      <c r="O959" t="n">
        <v>0</v>
      </c>
      <c r="P959" t="n">
        <v>0</v>
      </c>
      <c r="Q959" t="n">
        <v>0</v>
      </c>
      <c r="R959" s="2" t="inlineStr"/>
    </row>
    <row r="960" ht="15" customHeight="1">
      <c r="A960" t="inlineStr">
        <is>
          <t>A 55600-2024</t>
        </is>
      </c>
      <c r="B960" s="1" t="n">
        <v>45622</v>
      </c>
      <c r="C960" s="1" t="n">
        <v>45626</v>
      </c>
      <c r="D960" t="inlineStr">
        <is>
          <t>JÄMTLANDS LÄN</t>
        </is>
      </c>
      <c r="E960" t="inlineStr">
        <is>
          <t>ÖSTERSUND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55700-2024</t>
        </is>
      </c>
      <c r="B961" s="1" t="n">
        <v>45622</v>
      </c>
      <c r="C961" s="1" t="n">
        <v>45626</v>
      </c>
      <c r="D961" t="inlineStr">
        <is>
          <t>JÄMTLANDS LÄN</t>
        </is>
      </c>
      <c r="E961" t="inlineStr">
        <is>
          <t>ÖSTERSUND</t>
        </is>
      </c>
      <c r="G961" t="n">
        <v>1.7</v>
      </c>
      <c r="H961" t="n">
        <v>0</v>
      </c>
      <c r="I961" t="n">
        <v>0</v>
      </c>
      <c r="J961" t="n">
        <v>0</v>
      </c>
      <c r="K961" t="n">
        <v>0</v>
      </c>
      <c r="L961" t="n">
        <v>0</v>
      </c>
      <c r="M961" t="n">
        <v>0</v>
      </c>
      <c r="N961" t="n">
        <v>0</v>
      </c>
      <c r="O961" t="n">
        <v>0</v>
      </c>
      <c r="P961" t="n">
        <v>0</v>
      </c>
      <c r="Q961" t="n">
        <v>0</v>
      </c>
      <c r="R961" s="2" t="inlineStr"/>
    </row>
    <row r="962" ht="15" customHeight="1">
      <c r="A962" t="inlineStr">
        <is>
          <t>A 56375-2024</t>
        </is>
      </c>
      <c r="B962" s="1" t="n">
        <v>45625</v>
      </c>
      <c r="C962" s="1" t="n">
        <v>45626</v>
      </c>
      <c r="D962" t="inlineStr">
        <is>
          <t>JÄMTLANDS LÄN</t>
        </is>
      </c>
      <c r="E962" t="inlineStr">
        <is>
          <t>ÖSTERSUND</t>
        </is>
      </c>
      <c r="G962" t="n">
        <v>0.7</v>
      </c>
      <c r="H962" t="n">
        <v>0</v>
      </c>
      <c r="I962" t="n">
        <v>0</v>
      </c>
      <c r="J962" t="n">
        <v>0</v>
      </c>
      <c r="K962" t="n">
        <v>0</v>
      </c>
      <c r="L962" t="n">
        <v>0</v>
      </c>
      <c r="M962" t="n">
        <v>0</v>
      </c>
      <c r="N962" t="n">
        <v>0</v>
      </c>
      <c r="O962" t="n">
        <v>0</v>
      </c>
      <c r="P962" t="n">
        <v>0</v>
      </c>
      <c r="Q962" t="n">
        <v>0</v>
      </c>
      <c r="R962" s="2" t="inlineStr"/>
    </row>
    <row r="963" ht="15" customHeight="1">
      <c r="A963" t="inlineStr">
        <is>
          <t>A 56599-2024</t>
        </is>
      </c>
      <c r="B963" s="1" t="n">
        <v>45625</v>
      </c>
      <c r="C963" s="1" t="n">
        <v>45626</v>
      </c>
      <c r="D963" t="inlineStr">
        <is>
          <t>JÄMTLANDS LÄN</t>
        </is>
      </c>
      <c r="E963" t="inlineStr">
        <is>
          <t>ÖSTERSUND</t>
        </is>
      </c>
      <c r="G963" t="n">
        <v>2.1</v>
      </c>
      <c r="H963" t="n">
        <v>0</v>
      </c>
      <c r="I963" t="n">
        <v>0</v>
      </c>
      <c r="J963" t="n">
        <v>0</v>
      </c>
      <c r="K963" t="n">
        <v>0</v>
      </c>
      <c r="L963" t="n">
        <v>0</v>
      </c>
      <c r="M963" t="n">
        <v>0</v>
      </c>
      <c r="N963" t="n">
        <v>0</v>
      </c>
      <c r="O963" t="n">
        <v>0</v>
      </c>
      <c r="P963" t="n">
        <v>0</v>
      </c>
      <c r="Q963" t="n">
        <v>0</v>
      </c>
      <c r="R963" s="2" t="inlineStr"/>
    </row>
    <row r="964">
      <c r="A964" t="inlineStr">
        <is>
          <t>A 56646-2024</t>
        </is>
      </c>
      <c r="B964" s="1" t="n">
        <v>45625</v>
      </c>
      <c r="C964" s="1" t="n">
        <v>45626</v>
      </c>
      <c r="D964" t="inlineStr">
        <is>
          <t>JÄMTLANDS LÄN</t>
        </is>
      </c>
      <c r="E964" t="inlineStr">
        <is>
          <t>ÖSTERSUND</t>
        </is>
      </c>
      <c r="G964" t="n">
        <v>18.9</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2024-11-30T18:43:23Z</dcterms:created>
  <dcterms:modified xmlns:dcterms="http://purl.org/dc/terms/" xmlns:xsi="http://www.w3.org/2001/XMLSchema-instance" xsi:type="dcterms:W3CDTF">2024-11-30T18:43:24Z</dcterms:modified>
</cp:coreProperties>
</file>