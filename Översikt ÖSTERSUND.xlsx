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45907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45907</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45907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45907</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45907</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45907</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45907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45907</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45907</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45907</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45907</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45907</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45907</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34816-2024</t>
        </is>
      </c>
      <c r="B18" s="1" t="n">
        <v>45526</v>
      </c>
      <c r="C18" s="1" t="n">
        <v>45907</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7457-2023</t>
        </is>
      </c>
      <c r="B19" s="1" t="n">
        <v>44971</v>
      </c>
      <c r="C19" s="1" t="n">
        <v>45907</v>
      </c>
      <c r="D19" t="inlineStr">
        <is>
          <t>JÄMTLANDS LÄN</t>
        </is>
      </c>
      <c r="E19" t="inlineStr">
        <is>
          <t>ÖSTERSUND</t>
        </is>
      </c>
      <c r="F19" t="inlineStr">
        <is>
          <t>Kommuner</t>
        </is>
      </c>
      <c r="G19" t="n">
        <v>2.5</v>
      </c>
      <c r="H19" t="n">
        <v>0</v>
      </c>
      <c r="I19" t="n">
        <v>3</v>
      </c>
      <c r="J19" t="n">
        <v>5</v>
      </c>
      <c r="K19" t="n">
        <v>1</v>
      </c>
      <c r="L19" t="n">
        <v>0</v>
      </c>
      <c r="M19" t="n">
        <v>0</v>
      </c>
      <c r="N19" t="n">
        <v>0</v>
      </c>
      <c r="O19" t="n">
        <v>6</v>
      </c>
      <c r="P19" t="n">
        <v>1</v>
      </c>
      <c r="Q19" t="n">
        <v>9</v>
      </c>
      <c r="R19" s="2" t="inlineStr">
        <is>
          <t>Ruttaggsvamp
Garnlav
Grantaggsvamp
Tallriska
Ullticka
Äggvaxskivling
Diskvaxskivling
Skarp dropptaggsvamp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row>
    <row r="20" ht="15" customHeight="1">
      <c r="A20" t="inlineStr">
        <is>
          <t>A 27907-2024</t>
        </is>
      </c>
      <c r="B20" s="1" t="n">
        <v>45475.94597222222</v>
      </c>
      <c r="C20" s="1" t="n">
        <v>45907</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45907</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45907</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45907</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45907</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45907</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45907</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31122-2025</t>
        </is>
      </c>
      <c r="B27" s="1" t="n">
        <v>45831</v>
      </c>
      <c r="C27" s="1" t="n">
        <v>45907</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16369-2023</t>
        </is>
      </c>
      <c r="B28" s="1" t="n">
        <v>45028</v>
      </c>
      <c r="C28" s="1" t="n">
        <v>45907</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26372-2025</t>
        </is>
      </c>
      <c r="B29" s="1" t="n">
        <v>45806.40675925926</v>
      </c>
      <c r="C29" s="1" t="n">
        <v>45907</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45907</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45907</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45907</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45907</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45907</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45907</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40555-2024</t>
        </is>
      </c>
      <c r="B36" s="1" t="n">
        <v>45555</v>
      </c>
      <c r="C36" s="1" t="n">
        <v>45907</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376-2023</t>
        </is>
      </c>
      <c r="B37" s="1" t="n">
        <v>44929</v>
      </c>
      <c r="C37" s="1" t="n">
        <v>45907</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24523-2021</t>
        </is>
      </c>
      <c r="B38" s="1" t="n">
        <v>44337</v>
      </c>
      <c r="C38" s="1" t="n">
        <v>45907</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27577-2022</t>
        </is>
      </c>
      <c r="B39" s="1" t="n">
        <v>44742</v>
      </c>
      <c r="C39" s="1" t="n">
        <v>45907</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45907</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7717-2024</t>
        </is>
      </c>
      <c r="B41" s="1" t="n">
        <v>45349</v>
      </c>
      <c r="C41" s="1" t="n">
        <v>45907</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45907</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29117-2025</t>
        </is>
      </c>
      <c r="B43" s="1" t="n">
        <v>45821.59243055555</v>
      </c>
      <c r="C43" s="1" t="n">
        <v>45907</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45907</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45907</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45907</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60580-2024</t>
        </is>
      </c>
      <c r="B47" s="1" t="n">
        <v>45644</v>
      </c>
      <c r="C47" s="1" t="n">
        <v>45907</v>
      </c>
      <c r="D47" t="inlineStr">
        <is>
          <t>JÄMTLANDS LÄN</t>
        </is>
      </c>
      <c r="E47" t="inlineStr">
        <is>
          <t>ÖSTERSUND</t>
        </is>
      </c>
      <c r="G47" t="n">
        <v>13.5</v>
      </c>
      <c r="H47" t="n">
        <v>2</v>
      </c>
      <c r="I47" t="n">
        <v>0</v>
      </c>
      <c r="J47" t="n">
        <v>4</v>
      </c>
      <c r="K47" t="n">
        <v>0</v>
      </c>
      <c r="L47" t="n">
        <v>0</v>
      </c>
      <c r="M47" t="n">
        <v>0</v>
      </c>
      <c r="N47" t="n">
        <v>0</v>
      </c>
      <c r="O47" t="n">
        <v>4</v>
      </c>
      <c r="P47" t="n">
        <v>0</v>
      </c>
      <c r="Q47" t="n">
        <v>4</v>
      </c>
      <c r="R47" s="2" t="inlineStr">
        <is>
          <t>Granticka
Lunglav
Spillkråka
Tretåig hackspett</t>
        </is>
      </c>
      <c r="S47">
        <f>HYPERLINK("https://klasma.github.io/Logging_2380/artfynd/A 60580-2024 artfynd.xlsx", "A 60580-2024")</f>
        <v/>
      </c>
      <c r="T47">
        <f>HYPERLINK("https://klasma.github.io/Logging_2380/kartor/A 60580-2024 karta.png", "A 60580-2024")</f>
        <v/>
      </c>
      <c r="V47">
        <f>HYPERLINK("https://klasma.github.io/Logging_2380/klagomål/A 60580-2024 FSC-klagomål.docx", "A 60580-2024")</f>
        <v/>
      </c>
      <c r="W47">
        <f>HYPERLINK("https://klasma.github.io/Logging_2380/klagomålsmail/A 60580-2024 FSC-klagomål mail.docx", "A 60580-2024")</f>
        <v/>
      </c>
      <c r="X47">
        <f>HYPERLINK("https://klasma.github.io/Logging_2380/tillsyn/A 60580-2024 tillsynsbegäran.docx", "A 60580-2024")</f>
        <v/>
      </c>
      <c r="Y47">
        <f>HYPERLINK("https://klasma.github.io/Logging_2380/tillsynsmail/A 60580-2024 tillsynsbegäran mail.docx", "A 60580-2024")</f>
        <v/>
      </c>
      <c r="Z47">
        <f>HYPERLINK("https://klasma.github.io/Logging_2380/fåglar/A 60580-2024 prioriterade fågelarter.docx", "A 60580-2024")</f>
        <v/>
      </c>
    </row>
    <row r="48" ht="15" customHeight="1">
      <c r="A48" t="inlineStr">
        <is>
          <t>A 55344-2023</t>
        </is>
      </c>
      <c r="B48" s="1" t="n">
        <v>45237</v>
      </c>
      <c r="C48" s="1" t="n">
        <v>45907</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29135-2022</t>
        </is>
      </c>
      <c r="B49" s="1" t="n">
        <v>44750</v>
      </c>
      <c r="C49" s="1" t="n">
        <v>45907</v>
      </c>
      <c r="D49" t="inlineStr">
        <is>
          <t>JÄMTLANDS LÄN</t>
        </is>
      </c>
      <c r="E49" t="inlineStr">
        <is>
          <t>ÖSTERSUND</t>
        </is>
      </c>
      <c r="G49" t="n">
        <v>2.3</v>
      </c>
      <c r="H49" t="n">
        <v>3</v>
      </c>
      <c r="I49" t="n">
        <v>2</v>
      </c>
      <c r="J49" t="n">
        <v>0</v>
      </c>
      <c r="K49" t="n">
        <v>0</v>
      </c>
      <c r="L49" t="n">
        <v>0</v>
      </c>
      <c r="M49" t="n">
        <v>0</v>
      </c>
      <c r="N49" t="n">
        <v>0</v>
      </c>
      <c r="O49" t="n">
        <v>0</v>
      </c>
      <c r="P49" t="n">
        <v>0</v>
      </c>
      <c r="Q49" t="n">
        <v>4</v>
      </c>
      <c r="R49" s="2" t="inlineStr">
        <is>
          <t>Finbräken
Grönkulla
Fläcknycklar
Blåsippa</t>
        </is>
      </c>
      <c r="S49">
        <f>HYPERLINK("https://klasma.github.io/Logging_2380/artfynd/A 29135-2022 artfynd.xlsx", "A 29135-2022")</f>
        <v/>
      </c>
      <c r="T49">
        <f>HYPERLINK("https://klasma.github.io/Logging_2380/kartor/A 29135-2022 karta.png", "A 29135-2022")</f>
        <v/>
      </c>
      <c r="V49">
        <f>HYPERLINK("https://klasma.github.io/Logging_2380/klagomål/A 29135-2022 FSC-klagomål.docx", "A 29135-2022")</f>
        <v/>
      </c>
      <c r="W49">
        <f>HYPERLINK("https://klasma.github.io/Logging_2380/klagomålsmail/A 29135-2022 FSC-klagomål mail.docx", "A 29135-2022")</f>
        <v/>
      </c>
      <c r="X49">
        <f>HYPERLINK("https://klasma.github.io/Logging_2380/tillsyn/A 29135-2022 tillsynsbegäran.docx", "A 29135-2022")</f>
        <v/>
      </c>
      <c r="Y49">
        <f>HYPERLINK("https://klasma.github.io/Logging_2380/tillsynsmail/A 29135-2022 tillsynsbegäran mail.docx", "A 29135-2022")</f>
        <v/>
      </c>
    </row>
    <row r="50" ht="15" customHeight="1">
      <c r="A50" t="inlineStr">
        <is>
          <t>A 31127-2025</t>
        </is>
      </c>
      <c r="B50" s="1" t="n">
        <v>45831</v>
      </c>
      <c r="C50" s="1" t="n">
        <v>45907</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25369-2024</t>
        </is>
      </c>
      <c r="B51" s="1" t="n">
        <v>45462.95982638889</v>
      </c>
      <c r="C51" s="1" t="n">
        <v>45907</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45907</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45907</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59291-2022</t>
        </is>
      </c>
      <c r="B54" s="1" t="n">
        <v>44904</v>
      </c>
      <c r="C54" s="1" t="n">
        <v>45907</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45907</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60565-2022</t>
        </is>
      </c>
      <c r="B56" s="1" t="n">
        <v>44904</v>
      </c>
      <c r="C56" s="1" t="n">
        <v>45907</v>
      </c>
      <c r="D56" t="inlineStr">
        <is>
          <t>JÄMTLANDS LÄN</t>
        </is>
      </c>
      <c r="E56" t="inlineStr">
        <is>
          <t>ÖSTERSUND</t>
        </is>
      </c>
      <c r="G56" t="n">
        <v>2.5</v>
      </c>
      <c r="H56" t="n">
        <v>2</v>
      </c>
      <c r="I56" t="n">
        <v>0</v>
      </c>
      <c r="J56" t="n">
        <v>2</v>
      </c>
      <c r="K56" t="n">
        <v>0</v>
      </c>
      <c r="L56" t="n">
        <v>0</v>
      </c>
      <c r="M56" t="n">
        <v>0</v>
      </c>
      <c r="N56" t="n">
        <v>0</v>
      </c>
      <c r="O56" t="n">
        <v>2</v>
      </c>
      <c r="P56" t="n">
        <v>0</v>
      </c>
      <c r="Q56" t="n">
        <v>3</v>
      </c>
      <c r="R56" s="2" t="inlineStr">
        <is>
          <t>Garnlav
Talltita
Revlummer</t>
        </is>
      </c>
      <c r="S56">
        <f>HYPERLINK("https://klasma.github.io/Logging_2380/artfynd/A 60565-2022 artfynd.xlsx", "A 60565-2022")</f>
        <v/>
      </c>
      <c r="T56">
        <f>HYPERLINK("https://klasma.github.io/Logging_2380/kartor/A 60565-2022 karta.png", "A 60565-2022")</f>
        <v/>
      </c>
      <c r="V56">
        <f>HYPERLINK("https://klasma.github.io/Logging_2380/klagomål/A 60565-2022 FSC-klagomål.docx", "A 60565-2022")</f>
        <v/>
      </c>
      <c r="W56">
        <f>HYPERLINK("https://klasma.github.io/Logging_2380/klagomålsmail/A 60565-2022 FSC-klagomål mail.docx", "A 60565-2022")</f>
        <v/>
      </c>
      <c r="X56">
        <f>HYPERLINK("https://klasma.github.io/Logging_2380/tillsyn/A 60565-2022 tillsynsbegäran.docx", "A 60565-2022")</f>
        <v/>
      </c>
      <c r="Y56">
        <f>HYPERLINK("https://klasma.github.io/Logging_2380/tillsynsmail/A 60565-2022 tillsynsbegäran mail.docx", "A 60565-2022")</f>
        <v/>
      </c>
      <c r="Z56">
        <f>HYPERLINK("https://klasma.github.io/Logging_2380/fåglar/A 60565-2022 prioriterade fågelarter.docx", "A 60565-2022")</f>
        <v/>
      </c>
    </row>
    <row r="57" ht="15" customHeight="1">
      <c r="A57" t="inlineStr">
        <is>
          <t>A 7965-2025</t>
        </is>
      </c>
      <c r="B57" s="1" t="n">
        <v>45707.45219907408</v>
      </c>
      <c r="C57" s="1" t="n">
        <v>45907</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45907</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45907</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45907</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45907</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45907</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45907</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40695-2024</t>
        </is>
      </c>
      <c r="B64" s="1" t="n">
        <v>45558</v>
      </c>
      <c r="C64" s="1" t="n">
        <v>45907</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53652-2024</t>
        </is>
      </c>
      <c r="B65" s="1" t="n">
        <v>45615.29761574074</v>
      </c>
      <c r="C65" s="1" t="n">
        <v>45907</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46705-2023</t>
        </is>
      </c>
      <c r="B66" s="1" t="n">
        <v>45198</v>
      </c>
      <c r="C66" s="1" t="n">
        <v>45907</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50895-2024</t>
        </is>
      </c>
      <c r="B67" s="1" t="n">
        <v>45602</v>
      </c>
      <c r="C67" s="1" t="n">
        <v>45907</v>
      </c>
      <c r="D67" t="inlineStr">
        <is>
          <t>JÄMTLANDS LÄN</t>
        </is>
      </c>
      <c r="E67" t="inlineStr">
        <is>
          <t>ÖSTERSUND</t>
        </is>
      </c>
      <c r="F67" t="inlineStr">
        <is>
          <t>Kommuner</t>
        </is>
      </c>
      <c r="G67" t="n">
        <v>6</v>
      </c>
      <c r="H67" t="n">
        <v>1</v>
      </c>
      <c r="I67" t="n">
        <v>0</v>
      </c>
      <c r="J67" t="n">
        <v>1</v>
      </c>
      <c r="K67" t="n">
        <v>1</v>
      </c>
      <c r="L67" t="n">
        <v>0</v>
      </c>
      <c r="M67" t="n">
        <v>0</v>
      </c>
      <c r="N67" t="n">
        <v>0</v>
      </c>
      <c r="O67" t="n">
        <v>2</v>
      </c>
      <c r="P67" t="n">
        <v>1</v>
      </c>
      <c r="Q67" t="n">
        <v>2</v>
      </c>
      <c r="R67" s="2" t="inlineStr">
        <is>
          <t>Knärot
Garnlav</t>
        </is>
      </c>
      <c r="S67">
        <f>HYPERLINK("https://klasma.github.io/Logging_2380/artfynd/A 50895-2024 artfynd.xlsx", "A 50895-2024")</f>
        <v/>
      </c>
      <c r="T67">
        <f>HYPERLINK("https://klasma.github.io/Logging_2380/kartor/A 50895-2024 karta.png", "A 50895-2024")</f>
        <v/>
      </c>
      <c r="U67">
        <f>HYPERLINK("https://klasma.github.io/Logging_2380/knärot/A 50895-2024 karta knärot.png", "A 50895-2024")</f>
        <v/>
      </c>
      <c r="V67">
        <f>HYPERLINK("https://klasma.github.io/Logging_2380/klagomål/A 50895-2024 FSC-klagomål.docx", "A 50895-2024")</f>
        <v/>
      </c>
      <c r="W67">
        <f>HYPERLINK("https://klasma.github.io/Logging_2380/klagomålsmail/A 50895-2024 FSC-klagomål mail.docx", "A 50895-2024")</f>
        <v/>
      </c>
      <c r="X67">
        <f>HYPERLINK("https://klasma.github.io/Logging_2380/tillsyn/A 50895-2024 tillsynsbegäran.docx", "A 50895-2024")</f>
        <v/>
      </c>
      <c r="Y67">
        <f>HYPERLINK("https://klasma.github.io/Logging_2380/tillsynsmail/A 50895-2024 tillsynsbegäran mail.docx", "A 50895-2024")</f>
        <v/>
      </c>
    </row>
    <row r="68" ht="15" customHeight="1">
      <c r="A68" t="inlineStr">
        <is>
          <t>A 50125-2024</t>
        </is>
      </c>
      <c r="B68" s="1" t="n">
        <v>45600.42737268518</v>
      </c>
      <c r="C68" s="1" t="n">
        <v>45907</v>
      </c>
      <c r="D68" t="inlineStr">
        <is>
          <t>JÄMTLANDS LÄN</t>
        </is>
      </c>
      <c r="E68" t="inlineStr">
        <is>
          <t>ÖSTERSUND</t>
        </is>
      </c>
      <c r="F68" t="inlineStr">
        <is>
          <t>SCA</t>
        </is>
      </c>
      <c r="G68" t="n">
        <v>2.4</v>
      </c>
      <c r="H68" t="n">
        <v>0</v>
      </c>
      <c r="I68" t="n">
        <v>1</v>
      </c>
      <c r="J68" t="n">
        <v>1</v>
      </c>
      <c r="K68" t="n">
        <v>0</v>
      </c>
      <c r="L68" t="n">
        <v>0</v>
      </c>
      <c r="M68" t="n">
        <v>0</v>
      </c>
      <c r="N68" t="n">
        <v>0</v>
      </c>
      <c r="O68" t="n">
        <v>1</v>
      </c>
      <c r="P68" t="n">
        <v>0</v>
      </c>
      <c r="Q68" t="n">
        <v>2</v>
      </c>
      <c r="R68" s="2" t="inlineStr">
        <is>
          <t>Dvärgbägarlav
Skinnlav</t>
        </is>
      </c>
      <c r="S68">
        <f>HYPERLINK("https://klasma.github.io/Logging_2380/artfynd/A 50125-2024 artfynd.xlsx", "A 50125-2024")</f>
        <v/>
      </c>
      <c r="T68">
        <f>HYPERLINK("https://klasma.github.io/Logging_2380/kartor/A 50125-2024 karta.png", "A 50125-2024")</f>
        <v/>
      </c>
      <c r="V68">
        <f>HYPERLINK("https://klasma.github.io/Logging_2380/klagomål/A 50125-2024 FSC-klagomål.docx", "A 50125-2024")</f>
        <v/>
      </c>
      <c r="W68">
        <f>HYPERLINK("https://klasma.github.io/Logging_2380/klagomålsmail/A 50125-2024 FSC-klagomål mail.docx", "A 50125-2024")</f>
        <v/>
      </c>
      <c r="X68">
        <f>HYPERLINK("https://klasma.github.io/Logging_2380/tillsyn/A 50125-2024 tillsynsbegäran.docx", "A 50125-2024")</f>
        <v/>
      </c>
      <c r="Y68">
        <f>HYPERLINK("https://klasma.github.io/Logging_2380/tillsynsmail/A 50125-2024 tillsynsbegäran mail.docx", "A 50125-2024")</f>
        <v/>
      </c>
    </row>
    <row r="69" ht="15" customHeight="1">
      <c r="A69" t="inlineStr">
        <is>
          <t>A 13795-2025</t>
        </is>
      </c>
      <c r="B69" s="1" t="n">
        <v>45737</v>
      </c>
      <c r="C69" s="1" t="n">
        <v>45907</v>
      </c>
      <c r="D69" t="inlineStr">
        <is>
          <t>JÄMTLANDS LÄN</t>
        </is>
      </c>
      <c r="E69" t="inlineStr">
        <is>
          <t>ÖSTERSUND</t>
        </is>
      </c>
      <c r="G69" t="n">
        <v>13.4</v>
      </c>
      <c r="H69" t="n">
        <v>1</v>
      </c>
      <c r="I69" t="n">
        <v>0</v>
      </c>
      <c r="J69" t="n">
        <v>1</v>
      </c>
      <c r="K69" t="n">
        <v>1</v>
      </c>
      <c r="L69" t="n">
        <v>0</v>
      </c>
      <c r="M69" t="n">
        <v>0</v>
      </c>
      <c r="N69" t="n">
        <v>0</v>
      </c>
      <c r="O69" t="n">
        <v>2</v>
      </c>
      <c r="P69" t="n">
        <v>1</v>
      </c>
      <c r="Q69" t="n">
        <v>2</v>
      </c>
      <c r="R69" s="2" t="inlineStr">
        <is>
          <t>Knärot
Lunglav</t>
        </is>
      </c>
      <c r="S69">
        <f>HYPERLINK("https://klasma.github.io/Logging_2380/artfynd/A 13795-2025 artfynd.xlsx", "A 13795-2025")</f>
        <v/>
      </c>
      <c r="T69">
        <f>HYPERLINK("https://klasma.github.io/Logging_2380/kartor/A 13795-2025 karta.png", "A 13795-2025")</f>
        <v/>
      </c>
      <c r="U69">
        <f>HYPERLINK("https://klasma.github.io/Logging_2380/knärot/A 13795-2025 karta knärot.png", "A 13795-2025")</f>
        <v/>
      </c>
      <c r="V69">
        <f>HYPERLINK("https://klasma.github.io/Logging_2380/klagomål/A 13795-2025 FSC-klagomål.docx", "A 13795-2025")</f>
        <v/>
      </c>
      <c r="W69">
        <f>HYPERLINK("https://klasma.github.io/Logging_2380/klagomålsmail/A 13795-2025 FSC-klagomål mail.docx", "A 13795-2025")</f>
        <v/>
      </c>
      <c r="X69">
        <f>HYPERLINK("https://klasma.github.io/Logging_2380/tillsyn/A 13795-2025 tillsynsbegäran.docx", "A 13795-2025")</f>
        <v/>
      </c>
      <c r="Y69">
        <f>HYPERLINK("https://klasma.github.io/Logging_2380/tillsynsmail/A 13795-2025 tillsynsbegäran mail.docx", "A 13795-2025")</f>
        <v/>
      </c>
    </row>
    <row r="70" ht="15" customHeight="1">
      <c r="A70" t="inlineStr">
        <is>
          <t>A 63930-2023</t>
        </is>
      </c>
      <c r="B70" s="1" t="n">
        <v>45278</v>
      </c>
      <c r="C70" s="1" t="n">
        <v>45907</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59793-2022</t>
        </is>
      </c>
      <c r="B71" s="1" t="n">
        <v>44908</v>
      </c>
      <c r="C71" s="1" t="n">
        <v>45907</v>
      </c>
      <c r="D71" t="inlineStr">
        <is>
          <t>JÄMTLANDS LÄN</t>
        </is>
      </c>
      <c r="E71" t="inlineStr">
        <is>
          <t>ÖSTERSUND</t>
        </is>
      </c>
      <c r="G71" t="n">
        <v>23.3</v>
      </c>
      <c r="H71" t="n">
        <v>1</v>
      </c>
      <c r="I71" t="n">
        <v>1</v>
      </c>
      <c r="J71" t="n">
        <v>1</v>
      </c>
      <c r="K71" t="n">
        <v>0</v>
      </c>
      <c r="L71" t="n">
        <v>0</v>
      </c>
      <c r="M71" t="n">
        <v>0</v>
      </c>
      <c r="N71" t="n">
        <v>0</v>
      </c>
      <c r="O71" t="n">
        <v>1</v>
      </c>
      <c r="P71" t="n">
        <v>0</v>
      </c>
      <c r="Q71" t="n">
        <v>2</v>
      </c>
      <c r="R71" s="2" t="inlineStr">
        <is>
          <t>Majviva
Spindelblomster</t>
        </is>
      </c>
      <c r="S71">
        <f>HYPERLINK("https://klasma.github.io/Logging_2380/artfynd/A 59793-2022 artfynd.xlsx", "A 59793-2022")</f>
        <v/>
      </c>
      <c r="T71">
        <f>HYPERLINK("https://klasma.github.io/Logging_2380/kartor/A 59793-2022 karta.png", "A 59793-2022")</f>
        <v/>
      </c>
      <c r="V71">
        <f>HYPERLINK("https://klasma.github.io/Logging_2380/klagomål/A 59793-2022 FSC-klagomål.docx", "A 59793-2022")</f>
        <v/>
      </c>
      <c r="W71">
        <f>HYPERLINK("https://klasma.github.io/Logging_2380/klagomålsmail/A 59793-2022 FSC-klagomål mail.docx", "A 59793-2022")</f>
        <v/>
      </c>
      <c r="X71">
        <f>HYPERLINK("https://klasma.github.io/Logging_2380/tillsyn/A 59793-2022 tillsynsbegäran.docx", "A 59793-2022")</f>
        <v/>
      </c>
      <c r="Y71">
        <f>HYPERLINK("https://klasma.github.io/Logging_2380/tillsynsmail/A 59793-2022 tillsynsbegäran mail.docx", "A 59793-2022")</f>
        <v/>
      </c>
    </row>
    <row r="72" ht="15" customHeight="1">
      <c r="A72" t="inlineStr">
        <is>
          <t>A 60534-2022</t>
        </is>
      </c>
      <c r="B72" s="1" t="n">
        <v>44904</v>
      </c>
      <c r="C72" s="1" t="n">
        <v>45907</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60446-2024</t>
        </is>
      </c>
      <c r="B73" s="1" t="n">
        <v>45643.59420138889</v>
      </c>
      <c r="C73" s="1" t="n">
        <v>45907</v>
      </c>
      <c r="D73" t="inlineStr">
        <is>
          <t>JÄMTLANDS LÄN</t>
        </is>
      </c>
      <c r="E73" t="inlineStr">
        <is>
          <t>ÖSTERSUND</t>
        </is>
      </c>
      <c r="F73" t="inlineStr">
        <is>
          <t>SCA</t>
        </is>
      </c>
      <c r="G73" t="n">
        <v>3.6</v>
      </c>
      <c r="H73" t="n">
        <v>0</v>
      </c>
      <c r="I73" t="n">
        <v>1</v>
      </c>
      <c r="J73" t="n">
        <v>1</v>
      </c>
      <c r="K73" t="n">
        <v>0</v>
      </c>
      <c r="L73" t="n">
        <v>0</v>
      </c>
      <c r="M73" t="n">
        <v>0</v>
      </c>
      <c r="N73" t="n">
        <v>0</v>
      </c>
      <c r="O73" t="n">
        <v>1</v>
      </c>
      <c r="P73" t="n">
        <v>0</v>
      </c>
      <c r="Q73" t="n">
        <v>2</v>
      </c>
      <c r="R73" s="2" t="inlineStr">
        <is>
          <t>Ullticka
Vedticka</t>
        </is>
      </c>
      <c r="S73">
        <f>HYPERLINK("https://klasma.github.io/Logging_2380/artfynd/A 60446-2024 artfynd.xlsx", "A 60446-2024")</f>
        <v/>
      </c>
      <c r="T73">
        <f>HYPERLINK("https://klasma.github.io/Logging_2380/kartor/A 60446-2024 karta.png", "A 60446-2024")</f>
        <v/>
      </c>
      <c r="V73">
        <f>HYPERLINK("https://klasma.github.io/Logging_2380/klagomål/A 60446-2024 FSC-klagomål.docx", "A 60446-2024")</f>
        <v/>
      </c>
      <c r="W73">
        <f>HYPERLINK("https://klasma.github.io/Logging_2380/klagomålsmail/A 60446-2024 FSC-klagomål mail.docx", "A 60446-2024")</f>
        <v/>
      </c>
      <c r="X73">
        <f>HYPERLINK("https://klasma.github.io/Logging_2380/tillsyn/A 60446-2024 tillsynsbegäran.docx", "A 60446-2024")</f>
        <v/>
      </c>
      <c r="Y73">
        <f>HYPERLINK("https://klasma.github.io/Logging_2380/tillsynsmail/A 60446-2024 tillsynsbegäran mail.docx", "A 60446-2024")</f>
        <v/>
      </c>
    </row>
    <row r="74" ht="15" customHeight="1">
      <c r="A74" t="inlineStr">
        <is>
          <t>A 46105-2021</t>
        </is>
      </c>
      <c r="B74" s="1" t="n">
        <v>44441</v>
      </c>
      <c r="C74" s="1" t="n">
        <v>45907</v>
      </c>
      <c r="D74" t="inlineStr">
        <is>
          <t>JÄMTLANDS LÄN</t>
        </is>
      </c>
      <c r="E74" t="inlineStr">
        <is>
          <t>ÖSTERSUND</t>
        </is>
      </c>
      <c r="G74" t="n">
        <v>4.4</v>
      </c>
      <c r="H74" t="n">
        <v>2</v>
      </c>
      <c r="I74" t="n">
        <v>0</v>
      </c>
      <c r="J74" t="n">
        <v>1</v>
      </c>
      <c r="K74" t="n">
        <v>1</v>
      </c>
      <c r="L74" t="n">
        <v>0</v>
      </c>
      <c r="M74" t="n">
        <v>0</v>
      </c>
      <c r="N74" t="n">
        <v>0</v>
      </c>
      <c r="O74" t="n">
        <v>2</v>
      </c>
      <c r="P74" t="n">
        <v>1</v>
      </c>
      <c r="Q74" t="n">
        <v>2</v>
      </c>
      <c r="R74" s="2" t="inlineStr">
        <is>
          <t>Tallbit
Tretåig hackspett</t>
        </is>
      </c>
      <c r="S74">
        <f>HYPERLINK("https://klasma.github.io/Logging_2380/artfynd/A 46105-2021 artfynd.xlsx", "A 46105-2021")</f>
        <v/>
      </c>
      <c r="T74">
        <f>HYPERLINK("https://klasma.github.io/Logging_2380/kartor/A 46105-2021 karta.png", "A 46105-2021")</f>
        <v/>
      </c>
      <c r="V74">
        <f>HYPERLINK("https://klasma.github.io/Logging_2380/klagomål/A 46105-2021 FSC-klagomål.docx", "A 46105-2021")</f>
        <v/>
      </c>
      <c r="W74">
        <f>HYPERLINK("https://klasma.github.io/Logging_2380/klagomålsmail/A 46105-2021 FSC-klagomål mail.docx", "A 46105-2021")</f>
        <v/>
      </c>
      <c r="X74">
        <f>HYPERLINK("https://klasma.github.io/Logging_2380/tillsyn/A 46105-2021 tillsynsbegäran.docx", "A 46105-2021")</f>
        <v/>
      </c>
      <c r="Y74">
        <f>HYPERLINK("https://klasma.github.io/Logging_2380/tillsynsmail/A 46105-2021 tillsynsbegäran mail.docx", "A 46105-2021")</f>
        <v/>
      </c>
      <c r="Z74">
        <f>HYPERLINK("https://klasma.github.io/Logging_2380/fåglar/A 46105-2021 prioriterade fågelarter.docx", "A 46105-2021")</f>
        <v/>
      </c>
    </row>
    <row r="75" ht="15" customHeight="1">
      <c r="A75" t="inlineStr">
        <is>
          <t>A 10529-2025</t>
        </is>
      </c>
      <c r="B75" s="1" t="n">
        <v>45721.44840277778</v>
      </c>
      <c r="C75" s="1" t="n">
        <v>45907</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47385-2022</t>
        </is>
      </c>
      <c r="B76" s="1" t="n">
        <v>44853</v>
      </c>
      <c r="C76" s="1" t="n">
        <v>45907</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15700-2025</t>
        </is>
      </c>
      <c r="B77" s="1" t="n">
        <v>45748.47314814815</v>
      </c>
      <c r="C77" s="1" t="n">
        <v>45907</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38334-2023</t>
        </is>
      </c>
      <c r="B78" s="1" t="n">
        <v>45161</v>
      </c>
      <c r="C78" s="1" t="n">
        <v>45907</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60614-2022</t>
        </is>
      </c>
      <c r="B79" s="1" t="n">
        <v>44911</v>
      </c>
      <c r="C79" s="1" t="n">
        <v>45907</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26612-2025</t>
        </is>
      </c>
      <c r="B80" s="1" t="n">
        <v>45810</v>
      </c>
      <c r="C80" s="1" t="n">
        <v>45907</v>
      </c>
      <c r="D80" t="inlineStr">
        <is>
          <t>JÄMTLANDS LÄN</t>
        </is>
      </c>
      <c r="E80" t="inlineStr">
        <is>
          <t>ÖSTERSUND</t>
        </is>
      </c>
      <c r="G80" t="n">
        <v>20.6</v>
      </c>
      <c r="H80" t="n">
        <v>1</v>
      </c>
      <c r="I80" t="n">
        <v>0</v>
      </c>
      <c r="J80" t="n">
        <v>0</v>
      </c>
      <c r="K80" t="n">
        <v>1</v>
      </c>
      <c r="L80" t="n">
        <v>1</v>
      </c>
      <c r="M80" t="n">
        <v>0</v>
      </c>
      <c r="N80" t="n">
        <v>0</v>
      </c>
      <c r="O80" t="n">
        <v>2</v>
      </c>
      <c r="P80" t="n">
        <v>2</v>
      </c>
      <c r="Q80" t="n">
        <v>2</v>
      </c>
      <c r="R80" s="2" t="inlineStr">
        <is>
          <t>Violett guldvinge
Turkos blåvinge</t>
        </is>
      </c>
      <c r="S80">
        <f>HYPERLINK("https://klasma.github.io/Logging_2380/artfynd/A 26612-2025 artfynd.xlsx", "A 26612-2025")</f>
        <v/>
      </c>
      <c r="T80">
        <f>HYPERLINK("https://klasma.github.io/Logging_2380/kartor/A 26612-2025 karta.png", "A 26612-2025")</f>
        <v/>
      </c>
      <c r="V80">
        <f>HYPERLINK("https://klasma.github.io/Logging_2380/klagomål/A 26612-2025 FSC-klagomål.docx", "A 26612-2025")</f>
        <v/>
      </c>
      <c r="W80">
        <f>HYPERLINK("https://klasma.github.io/Logging_2380/klagomålsmail/A 26612-2025 FSC-klagomål mail.docx", "A 26612-2025")</f>
        <v/>
      </c>
      <c r="X80">
        <f>HYPERLINK("https://klasma.github.io/Logging_2380/tillsyn/A 26612-2025 tillsynsbegäran.docx", "A 26612-2025")</f>
        <v/>
      </c>
      <c r="Y80">
        <f>HYPERLINK("https://klasma.github.io/Logging_2380/tillsynsmail/A 26612-2025 tillsynsbegäran mail.docx", "A 26612-2025")</f>
        <v/>
      </c>
    </row>
    <row r="81" ht="15" customHeight="1">
      <c r="A81" t="inlineStr">
        <is>
          <t>A 52129-2023</t>
        </is>
      </c>
      <c r="B81" s="1" t="n">
        <v>45223</v>
      </c>
      <c r="C81" s="1" t="n">
        <v>45907</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40207-2025</t>
        </is>
      </c>
      <c r="B82" s="1" t="n">
        <v>45894.67988425926</v>
      </c>
      <c r="C82" s="1" t="n">
        <v>45907</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4916-2023</t>
        </is>
      </c>
      <c r="B83" s="1" t="n">
        <v>44956</v>
      </c>
      <c r="C83" s="1" t="n">
        <v>45907</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21615-2024</t>
        </is>
      </c>
      <c r="B84" s="1" t="n">
        <v>45441.95357638889</v>
      </c>
      <c r="C84" s="1" t="n">
        <v>45907</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39968-2024</t>
        </is>
      </c>
      <c r="B85" s="1" t="n">
        <v>45553.59296296296</v>
      </c>
      <c r="C85" s="1" t="n">
        <v>45907</v>
      </c>
      <c r="D85" t="inlineStr">
        <is>
          <t>JÄMTLANDS LÄN</t>
        </is>
      </c>
      <c r="E85" t="inlineStr">
        <is>
          <t>ÖSTERSUND</t>
        </is>
      </c>
      <c r="G85" t="n">
        <v>1.8</v>
      </c>
      <c r="H85" t="n">
        <v>2</v>
      </c>
      <c r="I85" t="n">
        <v>1</v>
      </c>
      <c r="J85" t="n">
        <v>0</v>
      </c>
      <c r="K85" t="n">
        <v>1</v>
      </c>
      <c r="L85" t="n">
        <v>0</v>
      </c>
      <c r="M85" t="n">
        <v>0</v>
      </c>
      <c r="N85" t="n">
        <v>0</v>
      </c>
      <c r="O85" t="n">
        <v>1</v>
      </c>
      <c r="P85" t="n">
        <v>1</v>
      </c>
      <c r="Q85" t="n">
        <v>2</v>
      </c>
      <c r="R85" s="2" t="inlineStr">
        <is>
          <t>Knärot
Spindelblomster</t>
        </is>
      </c>
      <c r="S85">
        <f>HYPERLINK("https://klasma.github.io/Logging_2380/artfynd/A 39968-2024 artfynd.xlsx", "A 39968-2024")</f>
        <v/>
      </c>
      <c r="T85">
        <f>HYPERLINK("https://klasma.github.io/Logging_2380/kartor/A 39968-2024 karta.png", "A 39968-2024")</f>
        <v/>
      </c>
      <c r="U85">
        <f>HYPERLINK("https://klasma.github.io/Logging_2380/knärot/A 39968-2024 karta knärot.png", "A 39968-2024")</f>
        <v/>
      </c>
      <c r="V85">
        <f>HYPERLINK("https://klasma.github.io/Logging_2380/klagomål/A 39968-2024 FSC-klagomål.docx", "A 39968-2024")</f>
        <v/>
      </c>
      <c r="W85">
        <f>HYPERLINK("https://klasma.github.io/Logging_2380/klagomålsmail/A 39968-2024 FSC-klagomål mail.docx", "A 39968-2024")</f>
        <v/>
      </c>
      <c r="X85">
        <f>HYPERLINK("https://klasma.github.io/Logging_2380/tillsyn/A 39968-2024 tillsynsbegäran.docx", "A 39968-2024")</f>
        <v/>
      </c>
      <c r="Y85">
        <f>HYPERLINK("https://klasma.github.io/Logging_2380/tillsynsmail/A 39968-2024 tillsynsbegäran mail.docx", "A 39968-2024")</f>
        <v/>
      </c>
    </row>
    <row r="86" ht="15" customHeight="1">
      <c r="A86" t="inlineStr">
        <is>
          <t>A 35977-2024</t>
        </is>
      </c>
      <c r="B86" s="1" t="n">
        <v>45533.49601851852</v>
      </c>
      <c r="C86" s="1" t="n">
        <v>45907</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56006-2023</t>
        </is>
      </c>
      <c r="B87" s="1" t="n">
        <v>45233</v>
      </c>
      <c r="C87" s="1" t="n">
        <v>45907</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33137-2021</t>
        </is>
      </c>
      <c r="B88" s="1" t="n">
        <v>44376</v>
      </c>
      <c r="C88" s="1" t="n">
        <v>45907</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45907</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19798-2022</t>
        </is>
      </c>
      <c r="B90" s="1" t="n">
        <v>44694</v>
      </c>
      <c r="C90" s="1" t="n">
        <v>45907</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27578-2022</t>
        </is>
      </c>
      <c r="B91" s="1" t="n">
        <v>44742</v>
      </c>
      <c r="C91" s="1" t="n">
        <v>45907</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63775-2020</t>
        </is>
      </c>
      <c r="B92" s="1" t="n">
        <v>44165</v>
      </c>
      <c r="C92" s="1" t="n">
        <v>45907</v>
      </c>
      <c r="D92" t="inlineStr">
        <is>
          <t>JÄMTLANDS LÄN</t>
        </is>
      </c>
      <c r="E92" t="inlineStr">
        <is>
          <t>ÖSTERSUND</t>
        </is>
      </c>
      <c r="G92" t="n">
        <v>6.2</v>
      </c>
      <c r="H92" t="n">
        <v>1</v>
      </c>
      <c r="I92" t="n">
        <v>0</v>
      </c>
      <c r="J92" t="n">
        <v>0</v>
      </c>
      <c r="K92" t="n">
        <v>0</v>
      </c>
      <c r="L92" t="n">
        <v>0</v>
      </c>
      <c r="M92" t="n">
        <v>0</v>
      </c>
      <c r="N92" t="n">
        <v>0</v>
      </c>
      <c r="O92" t="n">
        <v>0</v>
      </c>
      <c r="P92" t="n">
        <v>0</v>
      </c>
      <c r="Q92" t="n">
        <v>1</v>
      </c>
      <c r="R92" s="2" t="inlineStr">
        <is>
          <t>Fläcknycklar</t>
        </is>
      </c>
      <c r="S92">
        <f>HYPERLINK("https://klasma.github.io/Logging_2380/artfynd/A 63775-2020 artfynd.xlsx", "A 63775-2020")</f>
        <v/>
      </c>
      <c r="T92">
        <f>HYPERLINK("https://klasma.github.io/Logging_2380/kartor/A 63775-2020 karta.png", "A 63775-2020")</f>
        <v/>
      </c>
      <c r="V92">
        <f>HYPERLINK("https://klasma.github.io/Logging_2380/klagomål/A 63775-2020 FSC-klagomål.docx", "A 63775-2020")</f>
        <v/>
      </c>
      <c r="W92">
        <f>HYPERLINK("https://klasma.github.io/Logging_2380/klagomålsmail/A 63775-2020 FSC-klagomål mail.docx", "A 63775-2020")</f>
        <v/>
      </c>
      <c r="X92">
        <f>HYPERLINK("https://klasma.github.io/Logging_2380/tillsyn/A 63775-2020 tillsynsbegäran.docx", "A 63775-2020")</f>
        <v/>
      </c>
      <c r="Y92">
        <f>HYPERLINK("https://klasma.github.io/Logging_2380/tillsynsmail/A 63775-2020 tillsynsbegäran mail.docx", "A 63775-2020")</f>
        <v/>
      </c>
    </row>
    <row r="93" ht="15" customHeight="1">
      <c r="A93" t="inlineStr">
        <is>
          <t>A 46163-2021</t>
        </is>
      </c>
      <c r="B93" s="1" t="n">
        <v>44441</v>
      </c>
      <c r="C93" s="1" t="n">
        <v>45907</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56201-2024</t>
        </is>
      </c>
      <c r="B94" s="1" t="n">
        <v>45624.59462962963</v>
      </c>
      <c r="C94" s="1" t="n">
        <v>45907</v>
      </c>
      <c r="D94" t="inlineStr">
        <is>
          <t>JÄMTLANDS LÄN</t>
        </is>
      </c>
      <c r="E94" t="inlineStr">
        <is>
          <t>ÖSTERSUND</t>
        </is>
      </c>
      <c r="F94" t="inlineStr">
        <is>
          <t>SCA</t>
        </is>
      </c>
      <c r="G94" t="n">
        <v>5.9</v>
      </c>
      <c r="H94" t="n">
        <v>1</v>
      </c>
      <c r="I94" t="n">
        <v>0</v>
      </c>
      <c r="J94" t="n">
        <v>0</v>
      </c>
      <c r="K94" t="n">
        <v>1</v>
      </c>
      <c r="L94" t="n">
        <v>0</v>
      </c>
      <c r="M94" t="n">
        <v>0</v>
      </c>
      <c r="N94" t="n">
        <v>0</v>
      </c>
      <c r="O94" t="n">
        <v>1</v>
      </c>
      <c r="P94" t="n">
        <v>1</v>
      </c>
      <c r="Q94" t="n">
        <v>1</v>
      </c>
      <c r="R94" s="2" t="inlineStr">
        <is>
          <t>Doftticka</t>
        </is>
      </c>
      <c r="S94">
        <f>HYPERLINK("https://klasma.github.io/Logging_2380/artfynd/A 56201-2024 artfynd.xlsx", "A 56201-2024")</f>
        <v/>
      </c>
      <c r="T94">
        <f>HYPERLINK("https://klasma.github.io/Logging_2380/kartor/A 56201-2024 karta.png", "A 56201-2024")</f>
        <v/>
      </c>
      <c r="V94">
        <f>HYPERLINK("https://klasma.github.io/Logging_2380/klagomål/A 56201-2024 FSC-klagomål.docx", "A 56201-2024")</f>
        <v/>
      </c>
      <c r="W94">
        <f>HYPERLINK("https://klasma.github.io/Logging_2380/klagomålsmail/A 56201-2024 FSC-klagomål mail.docx", "A 56201-2024")</f>
        <v/>
      </c>
      <c r="X94">
        <f>HYPERLINK("https://klasma.github.io/Logging_2380/tillsyn/A 56201-2024 tillsynsbegäran.docx", "A 56201-2024")</f>
        <v/>
      </c>
      <c r="Y94">
        <f>HYPERLINK("https://klasma.github.io/Logging_2380/tillsynsmail/A 56201-2024 tillsynsbegäran mail.docx", "A 56201-2024")</f>
        <v/>
      </c>
    </row>
    <row r="95" ht="15" customHeight="1">
      <c r="A95" t="inlineStr">
        <is>
          <t>A 11513-2024</t>
        </is>
      </c>
      <c r="B95" s="1" t="n">
        <v>45372</v>
      </c>
      <c r="C95" s="1" t="n">
        <v>45907</v>
      </c>
      <c r="D95" t="inlineStr">
        <is>
          <t>JÄMTLANDS LÄN</t>
        </is>
      </c>
      <c r="E95" t="inlineStr">
        <is>
          <t>ÖSTERSUND</t>
        </is>
      </c>
      <c r="G95" t="n">
        <v>21.2</v>
      </c>
      <c r="H95" t="n">
        <v>0</v>
      </c>
      <c r="I95" t="n">
        <v>1</v>
      </c>
      <c r="J95" t="n">
        <v>0</v>
      </c>
      <c r="K95" t="n">
        <v>0</v>
      </c>
      <c r="L95" t="n">
        <v>0</v>
      </c>
      <c r="M95" t="n">
        <v>0</v>
      </c>
      <c r="N95" t="n">
        <v>0</v>
      </c>
      <c r="O95" t="n">
        <v>0</v>
      </c>
      <c r="P95" t="n">
        <v>0</v>
      </c>
      <c r="Q95" t="n">
        <v>1</v>
      </c>
      <c r="R95" s="2" t="inlineStr">
        <is>
          <t>Tibast</t>
        </is>
      </c>
      <c r="S95">
        <f>HYPERLINK("https://klasma.github.io/Logging_2380/artfynd/A 11513-2024 artfynd.xlsx", "A 11513-2024")</f>
        <v/>
      </c>
      <c r="T95">
        <f>HYPERLINK("https://klasma.github.io/Logging_2380/kartor/A 11513-2024 karta.png", "A 11513-2024")</f>
        <v/>
      </c>
      <c r="V95">
        <f>HYPERLINK("https://klasma.github.io/Logging_2380/klagomål/A 11513-2024 FSC-klagomål.docx", "A 11513-2024")</f>
        <v/>
      </c>
      <c r="W95">
        <f>HYPERLINK("https://klasma.github.io/Logging_2380/klagomålsmail/A 11513-2024 FSC-klagomål mail.docx", "A 11513-2024")</f>
        <v/>
      </c>
      <c r="X95">
        <f>HYPERLINK("https://klasma.github.io/Logging_2380/tillsyn/A 11513-2024 tillsynsbegäran.docx", "A 11513-2024")</f>
        <v/>
      </c>
      <c r="Y95">
        <f>HYPERLINK("https://klasma.github.io/Logging_2380/tillsynsmail/A 11513-2024 tillsynsbegäran mail.docx", "A 11513-2024")</f>
        <v/>
      </c>
    </row>
    <row r="96" ht="15" customHeight="1">
      <c r="A96" t="inlineStr">
        <is>
          <t>A 41279-2024</t>
        </is>
      </c>
      <c r="B96" s="1" t="n">
        <v>45559</v>
      </c>
      <c r="C96" s="1" t="n">
        <v>45907</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59108-2024</t>
        </is>
      </c>
      <c r="B97" s="1" t="n">
        <v>45637.34469907408</v>
      </c>
      <c r="C97" s="1" t="n">
        <v>45907</v>
      </c>
      <c r="D97" t="inlineStr">
        <is>
          <t>JÄMTLANDS LÄN</t>
        </is>
      </c>
      <c r="E97" t="inlineStr">
        <is>
          <t>ÖSTERSUND</t>
        </is>
      </c>
      <c r="F97" t="inlineStr">
        <is>
          <t>SCA</t>
        </is>
      </c>
      <c r="G97" t="n">
        <v>10.6</v>
      </c>
      <c r="H97" t="n">
        <v>1</v>
      </c>
      <c r="I97" t="n">
        <v>0</v>
      </c>
      <c r="J97" t="n">
        <v>1</v>
      </c>
      <c r="K97" t="n">
        <v>0</v>
      </c>
      <c r="L97" t="n">
        <v>0</v>
      </c>
      <c r="M97" t="n">
        <v>0</v>
      </c>
      <c r="N97" t="n">
        <v>0</v>
      </c>
      <c r="O97" t="n">
        <v>1</v>
      </c>
      <c r="P97" t="n">
        <v>0</v>
      </c>
      <c r="Q97" t="n">
        <v>1</v>
      </c>
      <c r="R97" s="2" t="inlineStr">
        <is>
          <t>Tretåig hackspett</t>
        </is>
      </c>
      <c r="S97">
        <f>HYPERLINK("https://klasma.github.io/Logging_2380/artfynd/A 59108-2024 artfynd.xlsx", "A 59108-2024")</f>
        <v/>
      </c>
      <c r="T97">
        <f>HYPERLINK("https://klasma.github.io/Logging_2380/kartor/A 59108-2024 karta.png", "A 59108-2024")</f>
        <v/>
      </c>
      <c r="V97">
        <f>HYPERLINK("https://klasma.github.io/Logging_2380/klagomål/A 59108-2024 FSC-klagomål.docx", "A 59108-2024")</f>
        <v/>
      </c>
      <c r="W97">
        <f>HYPERLINK("https://klasma.github.io/Logging_2380/klagomålsmail/A 59108-2024 FSC-klagomål mail.docx", "A 59108-2024")</f>
        <v/>
      </c>
      <c r="X97">
        <f>HYPERLINK("https://klasma.github.io/Logging_2380/tillsyn/A 59108-2024 tillsynsbegäran.docx", "A 59108-2024")</f>
        <v/>
      </c>
      <c r="Y97">
        <f>HYPERLINK("https://klasma.github.io/Logging_2380/tillsynsmail/A 59108-2024 tillsynsbegäran mail.docx", "A 59108-2024")</f>
        <v/>
      </c>
      <c r="Z97">
        <f>HYPERLINK("https://klasma.github.io/Logging_2380/fåglar/A 59108-2024 prioriterade fågelarter.docx", "A 59108-2024")</f>
        <v/>
      </c>
    </row>
    <row r="98" ht="15" customHeight="1">
      <c r="A98" t="inlineStr">
        <is>
          <t>A 40692-2024</t>
        </is>
      </c>
      <c r="B98" s="1" t="n">
        <v>45558</v>
      </c>
      <c r="C98" s="1" t="n">
        <v>45907</v>
      </c>
      <c r="D98" t="inlineStr">
        <is>
          <t>JÄMTLANDS LÄN</t>
        </is>
      </c>
      <c r="E98" t="inlineStr">
        <is>
          <t>ÖSTERSUND</t>
        </is>
      </c>
      <c r="F98" t="inlineStr">
        <is>
          <t>SCA</t>
        </is>
      </c>
      <c r="G98" t="n">
        <v>0.9</v>
      </c>
      <c r="H98" t="n">
        <v>0</v>
      </c>
      <c r="I98" t="n">
        <v>0</v>
      </c>
      <c r="J98" t="n">
        <v>1</v>
      </c>
      <c r="K98" t="n">
        <v>0</v>
      </c>
      <c r="L98" t="n">
        <v>0</v>
      </c>
      <c r="M98" t="n">
        <v>0</v>
      </c>
      <c r="N98" t="n">
        <v>0</v>
      </c>
      <c r="O98" t="n">
        <v>1</v>
      </c>
      <c r="P98" t="n">
        <v>0</v>
      </c>
      <c r="Q98" t="n">
        <v>1</v>
      </c>
      <c r="R98" s="2" t="inlineStr">
        <is>
          <t>Dvärgbägarlav</t>
        </is>
      </c>
      <c r="S98">
        <f>HYPERLINK("https://klasma.github.io/Logging_2380/artfynd/A 40692-2024 artfynd.xlsx", "A 40692-2024")</f>
        <v/>
      </c>
      <c r="T98">
        <f>HYPERLINK("https://klasma.github.io/Logging_2380/kartor/A 40692-2024 karta.png", "A 40692-2024")</f>
        <v/>
      </c>
      <c r="V98">
        <f>HYPERLINK("https://klasma.github.io/Logging_2380/klagomål/A 40692-2024 FSC-klagomål.docx", "A 40692-2024")</f>
        <v/>
      </c>
      <c r="W98">
        <f>HYPERLINK("https://klasma.github.io/Logging_2380/klagomålsmail/A 40692-2024 FSC-klagomål mail.docx", "A 40692-2024")</f>
        <v/>
      </c>
      <c r="X98">
        <f>HYPERLINK("https://klasma.github.io/Logging_2380/tillsyn/A 40692-2024 tillsynsbegäran.docx", "A 40692-2024")</f>
        <v/>
      </c>
      <c r="Y98">
        <f>HYPERLINK("https://klasma.github.io/Logging_2380/tillsynsmail/A 40692-2024 tillsynsbegäran mail.docx", "A 40692-2024")</f>
        <v/>
      </c>
    </row>
    <row r="99" ht="15" customHeight="1">
      <c r="A99" t="inlineStr">
        <is>
          <t>A 64380-2023</t>
        </is>
      </c>
      <c r="B99" s="1" t="n">
        <v>45280.56451388889</v>
      </c>
      <c r="C99" s="1" t="n">
        <v>45907</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40694-2024</t>
        </is>
      </c>
      <c r="B100" s="1" t="n">
        <v>45558</v>
      </c>
      <c r="C100" s="1" t="n">
        <v>45907</v>
      </c>
      <c r="D100" t="inlineStr">
        <is>
          <t>JÄMTLANDS LÄN</t>
        </is>
      </c>
      <c r="E100" t="inlineStr">
        <is>
          <t>ÖSTERSUND</t>
        </is>
      </c>
      <c r="F100" t="inlineStr">
        <is>
          <t>SCA</t>
        </is>
      </c>
      <c r="G100" t="n">
        <v>6.2</v>
      </c>
      <c r="H100" t="n">
        <v>0</v>
      </c>
      <c r="I100" t="n">
        <v>0</v>
      </c>
      <c r="J100" t="n">
        <v>1</v>
      </c>
      <c r="K100" t="n">
        <v>0</v>
      </c>
      <c r="L100" t="n">
        <v>0</v>
      </c>
      <c r="M100" t="n">
        <v>0</v>
      </c>
      <c r="N100" t="n">
        <v>0</v>
      </c>
      <c r="O100" t="n">
        <v>1</v>
      </c>
      <c r="P100" t="n">
        <v>0</v>
      </c>
      <c r="Q100" t="n">
        <v>1</v>
      </c>
      <c r="R100" s="2" t="inlineStr">
        <is>
          <t>Reliktbock</t>
        </is>
      </c>
      <c r="S100">
        <f>HYPERLINK("https://klasma.github.io/Logging_2380/artfynd/A 40694-2024 artfynd.xlsx", "A 40694-2024")</f>
        <v/>
      </c>
      <c r="T100">
        <f>HYPERLINK("https://klasma.github.io/Logging_2380/kartor/A 40694-2024 karta.png", "A 40694-2024")</f>
        <v/>
      </c>
      <c r="V100">
        <f>HYPERLINK("https://klasma.github.io/Logging_2380/klagomål/A 40694-2024 FSC-klagomål.docx", "A 40694-2024")</f>
        <v/>
      </c>
      <c r="W100">
        <f>HYPERLINK("https://klasma.github.io/Logging_2380/klagomålsmail/A 40694-2024 FSC-klagomål mail.docx", "A 40694-2024")</f>
        <v/>
      </c>
      <c r="X100">
        <f>HYPERLINK("https://klasma.github.io/Logging_2380/tillsyn/A 40694-2024 tillsynsbegäran.docx", "A 40694-2024")</f>
        <v/>
      </c>
      <c r="Y100">
        <f>HYPERLINK("https://klasma.github.io/Logging_2380/tillsynsmail/A 40694-2024 tillsynsbegäran mail.docx", "A 40694-2024")</f>
        <v/>
      </c>
    </row>
    <row r="101" ht="15" customHeight="1">
      <c r="A101" t="inlineStr">
        <is>
          <t>A 55821-2021</t>
        </is>
      </c>
      <c r="B101" s="1" t="n">
        <v>44476</v>
      </c>
      <c r="C101" s="1" t="n">
        <v>45907</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45907</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41770-2024</t>
        </is>
      </c>
      <c r="B103" s="1" t="n">
        <v>45561.34641203703</v>
      </c>
      <c r="C103" s="1" t="n">
        <v>45907</v>
      </c>
      <c r="D103" t="inlineStr">
        <is>
          <t>JÄMTLANDS LÄN</t>
        </is>
      </c>
      <c r="E103" t="inlineStr">
        <is>
          <t>ÖSTERSUND</t>
        </is>
      </c>
      <c r="F103" t="inlineStr">
        <is>
          <t>SCA</t>
        </is>
      </c>
      <c r="G103" t="n">
        <v>4.4</v>
      </c>
      <c r="H103" t="n">
        <v>0</v>
      </c>
      <c r="I103" t="n">
        <v>1</v>
      </c>
      <c r="J103" t="n">
        <v>0</v>
      </c>
      <c r="K103" t="n">
        <v>0</v>
      </c>
      <c r="L103" t="n">
        <v>0</v>
      </c>
      <c r="M103" t="n">
        <v>0</v>
      </c>
      <c r="N103" t="n">
        <v>0</v>
      </c>
      <c r="O103" t="n">
        <v>0</v>
      </c>
      <c r="P103" t="n">
        <v>0</v>
      </c>
      <c r="Q103" t="n">
        <v>1</v>
      </c>
      <c r="R103" s="2" t="inlineStr">
        <is>
          <t>Vedticka</t>
        </is>
      </c>
      <c r="S103">
        <f>HYPERLINK("https://klasma.github.io/Logging_2380/artfynd/A 41770-2024 artfynd.xlsx", "A 41770-2024")</f>
        <v/>
      </c>
      <c r="T103">
        <f>HYPERLINK("https://klasma.github.io/Logging_2380/kartor/A 41770-2024 karta.png", "A 41770-2024")</f>
        <v/>
      </c>
      <c r="V103">
        <f>HYPERLINK("https://klasma.github.io/Logging_2380/klagomål/A 41770-2024 FSC-klagomål.docx", "A 41770-2024")</f>
        <v/>
      </c>
      <c r="W103">
        <f>HYPERLINK("https://klasma.github.io/Logging_2380/klagomålsmail/A 41770-2024 FSC-klagomål mail.docx", "A 41770-2024")</f>
        <v/>
      </c>
      <c r="X103">
        <f>HYPERLINK("https://klasma.github.io/Logging_2380/tillsyn/A 41770-2024 tillsynsbegäran.docx", "A 41770-2024")</f>
        <v/>
      </c>
      <c r="Y103">
        <f>HYPERLINK("https://klasma.github.io/Logging_2380/tillsynsmail/A 41770-2024 tillsynsbegäran mail.docx", "A 41770-2024")</f>
        <v/>
      </c>
    </row>
    <row r="104" ht="15" customHeight="1">
      <c r="A104" t="inlineStr">
        <is>
          <t>A 36225-2025</t>
        </is>
      </c>
      <c r="B104" s="1" t="n">
        <v>45867.51128472222</v>
      </c>
      <c r="C104" s="1" t="n">
        <v>45907</v>
      </c>
      <c r="D104" t="inlineStr">
        <is>
          <t>JÄMTLANDS LÄN</t>
        </is>
      </c>
      <c r="E104" t="inlineStr">
        <is>
          <t>ÖSTERSUND</t>
        </is>
      </c>
      <c r="F104" t="inlineStr">
        <is>
          <t>SCA</t>
        </is>
      </c>
      <c r="G104" t="n">
        <v>1.8</v>
      </c>
      <c r="H104" t="n">
        <v>0</v>
      </c>
      <c r="I104" t="n">
        <v>0</v>
      </c>
      <c r="J104" t="n">
        <v>1</v>
      </c>
      <c r="K104" t="n">
        <v>0</v>
      </c>
      <c r="L104" t="n">
        <v>0</v>
      </c>
      <c r="M104" t="n">
        <v>0</v>
      </c>
      <c r="N104" t="n">
        <v>0</v>
      </c>
      <c r="O104" t="n">
        <v>1</v>
      </c>
      <c r="P104" t="n">
        <v>0</v>
      </c>
      <c r="Q104" t="n">
        <v>1</v>
      </c>
      <c r="R104" s="2" t="inlineStr">
        <is>
          <t>Kolflarnlav</t>
        </is>
      </c>
      <c r="S104">
        <f>HYPERLINK("https://klasma.github.io/Logging_2380/artfynd/A 36225-2025 artfynd.xlsx", "A 36225-2025")</f>
        <v/>
      </c>
      <c r="T104">
        <f>HYPERLINK("https://klasma.github.io/Logging_2380/kartor/A 36225-2025 karta.png", "A 36225-2025")</f>
        <v/>
      </c>
      <c r="V104">
        <f>HYPERLINK("https://klasma.github.io/Logging_2380/klagomål/A 36225-2025 FSC-klagomål.docx", "A 36225-2025")</f>
        <v/>
      </c>
      <c r="W104">
        <f>HYPERLINK("https://klasma.github.io/Logging_2380/klagomålsmail/A 36225-2025 FSC-klagomål mail.docx", "A 36225-2025")</f>
        <v/>
      </c>
      <c r="X104">
        <f>HYPERLINK("https://klasma.github.io/Logging_2380/tillsyn/A 36225-2025 tillsynsbegäran.docx", "A 36225-2025")</f>
        <v/>
      </c>
      <c r="Y104">
        <f>HYPERLINK("https://klasma.github.io/Logging_2380/tillsynsmail/A 36225-2025 tillsynsbegäran mail.docx", "A 36225-2025")</f>
        <v/>
      </c>
    </row>
    <row r="105" ht="15" customHeight="1">
      <c r="A105" t="inlineStr">
        <is>
          <t>A 33550-2025</t>
        </is>
      </c>
      <c r="B105" s="1" t="n">
        <v>45841.57331018519</v>
      </c>
      <c r="C105" s="1" t="n">
        <v>45907</v>
      </c>
      <c r="D105" t="inlineStr">
        <is>
          <t>JÄMTLANDS LÄN</t>
        </is>
      </c>
      <c r="E105" t="inlineStr">
        <is>
          <t>ÖSTERSUND</t>
        </is>
      </c>
      <c r="F105" t="inlineStr">
        <is>
          <t>SCA</t>
        </is>
      </c>
      <c r="G105" t="n">
        <v>7.3</v>
      </c>
      <c r="H105" t="n">
        <v>0</v>
      </c>
      <c r="I105" t="n">
        <v>1</v>
      </c>
      <c r="J105" t="n">
        <v>0</v>
      </c>
      <c r="K105" t="n">
        <v>0</v>
      </c>
      <c r="L105" t="n">
        <v>0</v>
      </c>
      <c r="M105" t="n">
        <v>0</v>
      </c>
      <c r="N105" t="n">
        <v>0</v>
      </c>
      <c r="O105" t="n">
        <v>0</v>
      </c>
      <c r="P105" t="n">
        <v>0</v>
      </c>
      <c r="Q105" t="n">
        <v>1</v>
      </c>
      <c r="R105" s="2" t="inlineStr">
        <is>
          <t>Dropptaggsvamp</t>
        </is>
      </c>
      <c r="S105">
        <f>HYPERLINK("https://klasma.github.io/Logging_2380/artfynd/A 33550-2025 artfynd.xlsx", "A 33550-2025")</f>
        <v/>
      </c>
      <c r="T105">
        <f>HYPERLINK("https://klasma.github.io/Logging_2380/kartor/A 33550-2025 karta.png", "A 33550-2025")</f>
        <v/>
      </c>
      <c r="V105">
        <f>HYPERLINK("https://klasma.github.io/Logging_2380/klagomål/A 33550-2025 FSC-klagomål.docx", "A 33550-2025")</f>
        <v/>
      </c>
      <c r="W105">
        <f>HYPERLINK("https://klasma.github.io/Logging_2380/klagomålsmail/A 33550-2025 FSC-klagomål mail.docx", "A 33550-2025")</f>
        <v/>
      </c>
      <c r="X105">
        <f>HYPERLINK("https://klasma.github.io/Logging_2380/tillsyn/A 33550-2025 tillsynsbegäran.docx", "A 33550-2025")</f>
        <v/>
      </c>
      <c r="Y105">
        <f>HYPERLINK("https://klasma.github.io/Logging_2380/tillsynsmail/A 33550-2025 tillsynsbegäran mail.docx", "A 33550-2025")</f>
        <v/>
      </c>
    </row>
    <row r="106" ht="15" customHeight="1">
      <c r="A106" t="inlineStr">
        <is>
          <t>A 39541-2025</t>
        </is>
      </c>
      <c r="B106" s="1" t="n">
        <v>45890.45399305555</v>
      </c>
      <c r="C106" s="1" t="n">
        <v>45907</v>
      </c>
      <c r="D106" t="inlineStr">
        <is>
          <t>JÄMTLANDS LÄN</t>
        </is>
      </c>
      <c r="E106" t="inlineStr">
        <is>
          <t>ÖSTERSUND</t>
        </is>
      </c>
      <c r="G106" t="n">
        <v>9</v>
      </c>
      <c r="H106" t="n">
        <v>0</v>
      </c>
      <c r="I106" t="n">
        <v>0</v>
      </c>
      <c r="J106" t="n">
        <v>1</v>
      </c>
      <c r="K106" t="n">
        <v>0</v>
      </c>
      <c r="L106" t="n">
        <v>0</v>
      </c>
      <c r="M106" t="n">
        <v>0</v>
      </c>
      <c r="N106" t="n">
        <v>0</v>
      </c>
      <c r="O106" t="n">
        <v>1</v>
      </c>
      <c r="P106" t="n">
        <v>0</v>
      </c>
      <c r="Q106" t="n">
        <v>1</v>
      </c>
      <c r="R106" s="2" t="inlineStr">
        <is>
          <t>Granticka</t>
        </is>
      </c>
      <c r="S106">
        <f>HYPERLINK("https://klasma.github.io/Logging_2380/artfynd/A 39541-2025 artfynd.xlsx", "A 39541-2025")</f>
        <v/>
      </c>
      <c r="T106">
        <f>HYPERLINK("https://klasma.github.io/Logging_2380/kartor/A 39541-2025 karta.png", "A 39541-2025")</f>
        <v/>
      </c>
      <c r="V106">
        <f>HYPERLINK("https://klasma.github.io/Logging_2380/klagomål/A 39541-2025 FSC-klagomål.docx", "A 39541-2025")</f>
        <v/>
      </c>
      <c r="W106">
        <f>HYPERLINK("https://klasma.github.io/Logging_2380/klagomålsmail/A 39541-2025 FSC-klagomål mail.docx", "A 39541-2025")</f>
        <v/>
      </c>
      <c r="X106">
        <f>HYPERLINK("https://klasma.github.io/Logging_2380/tillsyn/A 39541-2025 tillsynsbegäran.docx", "A 39541-2025")</f>
        <v/>
      </c>
      <c r="Y106">
        <f>HYPERLINK("https://klasma.github.io/Logging_2380/tillsynsmail/A 39541-2025 tillsynsbegäran mail.docx", "A 39541-2025")</f>
        <v/>
      </c>
    </row>
    <row r="107" ht="15" customHeight="1">
      <c r="A107" t="inlineStr">
        <is>
          <t>A 25244-2025</t>
        </is>
      </c>
      <c r="B107" s="1" t="n">
        <v>45800.49240740741</v>
      </c>
      <c r="C107" s="1" t="n">
        <v>45907</v>
      </c>
      <c r="D107" t="inlineStr">
        <is>
          <t>JÄMTLANDS LÄN</t>
        </is>
      </c>
      <c r="E107" t="inlineStr">
        <is>
          <t>ÖSTERSUND</t>
        </is>
      </c>
      <c r="G107" t="n">
        <v>5</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25244-2025 artfynd.xlsx", "A 25244-2025")</f>
        <v/>
      </c>
      <c r="T107">
        <f>HYPERLINK("https://klasma.github.io/Logging_2380/kartor/A 25244-2025 karta.png", "A 25244-2025")</f>
        <v/>
      </c>
      <c r="V107">
        <f>HYPERLINK("https://klasma.github.io/Logging_2380/klagomål/A 25244-2025 FSC-klagomål.docx", "A 25244-2025")</f>
        <v/>
      </c>
      <c r="W107">
        <f>HYPERLINK("https://klasma.github.io/Logging_2380/klagomålsmail/A 25244-2025 FSC-klagomål mail.docx", "A 25244-2025")</f>
        <v/>
      </c>
      <c r="X107">
        <f>HYPERLINK("https://klasma.github.io/Logging_2380/tillsyn/A 25244-2025 tillsynsbegäran.docx", "A 25244-2025")</f>
        <v/>
      </c>
      <c r="Y107">
        <f>HYPERLINK("https://klasma.github.io/Logging_2380/tillsynsmail/A 25244-2025 tillsynsbegäran mail.docx", "A 25244-2025")</f>
        <v/>
      </c>
      <c r="Z107">
        <f>HYPERLINK("https://klasma.github.io/Logging_2380/fåglar/A 25244-2025 prioriterade fågelarter.docx", "A 25244-2025")</f>
        <v/>
      </c>
    </row>
    <row r="108" ht="15" customHeight="1">
      <c r="A108" t="inlineStr">
        <is>
          <t>A 40815-2025</t>
        </is>
      </c>
      <c r="B108" s="1" t="n">
        <v>45897.48363425926</v>
      </c>
      <c r="C108" s="1" t="n">
        <v>45907</v>
      </c>
      <c r="D108" t="inlineStr">
        <is>
          <t>JÄMTLANDS LÄN</t>
        </is>
      </c>
      <c r="E108" t="inlineStr">
        <is>
          <t>ÖSTERSUND</t>
        </is>
      </c>
      <c r="F108" t="inlineStr">
        <is>
          <t>Kommuner</t>
        </is>
      </c>
      <c r="G108" t="n">
        <v>0.8</v>
      </c>
      <c r="H108" t="n">
        <v>0</v>
      </c>
      <c r="I108" t="n">
        <v>0</v>
      </c>
      <c r="J108" t="n">
        <v>1</v>
      </c>
      <c r="K108" t="n">
        <v>0</v>
      </c>
      <c r="L108" t="n">
        <v>0</v>
      </c>
      <c r="M108" t="n">
        <v>0</v>
      </c>
      <c r="N108" t="n">
        <v>0</v>
      </c>
      <c r="O108" t="n">
        <v>1</v>
      </c>
      <c r="P108" t="n">
        <v>0</v>
      </c>
      <c r="Q108" t="n">
        <v>1</v>
      </c>
      <c r="R108" s="2" t="inlineStr">
        <is>
          <t>Granticka</t>
        </is>
      </c>
      <c r="S108">
        <f>HYPERLINK("https://klasma.github.io/Logging_2380/artfynd/A 40815-2025 artfynd.xlsx", "A 40815-2025")</f>
        <v/>
      </c>
      <c r="T108">
        <f>HYPERLINK("https://klasma.github.io/Logging_2380/kartor/A 40815-2025 karta.png", "A 40815-2025")</f>
        <v/>
      </c>
      <c r="V108">
        <f>HYPERLINK("https://klasma.github.io/Logging_2380/klagomål/A 40815-2025 FSC-klagomål.docx", "A 40815-2025")</f>
        <v/>
      </c>
      <c r="W108">
        <f>HYPERLINK("https://klasma.github.io/Logging_2380/klagomålsmail/A 40815-2025 FSC-klagomål mail.docx", "A 40815-2025")</f>
        <v/>
      </c>
      <c r="X108">
        <f>HYPERLINK("https://klasma.github.io/Logging_2380/tillsyn/A 40815-2025 tillsynsbegäran.docx", "A 40815-2025")</f>
        <v/>
      </c>
      <c r="Y108">
        <f>HYPERLINK("https://klasma.github.io/Logging_2380/tillsynsmail/A 40815-2025 tillsynsbegäran mail.docx", "A 40815-2025")</f>
        <v/>
      </c>
    </row>
    <row r="109" ht="15" customHeight="1">
      <c r="A109" t="inlineStr">
        <is>
          <t>A 9739-2022</t>
        </is>
      </c>
      <c r="B109" s="1" t="n">
        <v>44617</v>
      </c>
      <c r="C109" s="1" t="n">
        <v>45907</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59433-2021</t>
        </is>
      </c>
      <c r="B110" s="1" t="n">
        <v>44491</v>
      </c>
      <c r="C110" s="1" t="n">
        <v>45907</v>
      </c>
      <c r="D110" t="inlineStr">
        <is>
          <t>JÄMTLANDS LÄN</t>
        </is>
      </c>
      <c r="E110" t="inlineStr">
        <is>
          <t>ÖSTERSUND</t>
        </is>
      </c>
      <c r="F110" t="inlineStr">
        <is>
          <t>Övriga statliga verk och myndigheter</t>
        </is>
      </c>
      <c r="G110" t="n">
        <v>1.6</v>
      </c>
      <c r="H110" t="n">
        <v>0</v>
      </c>
      <c r="I110" t="n">
        <v>0</v>
      </c>
      <c r="J110" t="n">
        <v>1</v>
      </c>
      <c r="K110" t="n">
        <v>0</v>
      </c>
      <c r="L110" t="n">
        <v>0</v>
      </c>
      <c r="M110" t="n">
        <v>0</v>
      </c>
      <c r="N110" t="n">
        <v>0</v>
      </c>
      <c r="O110" t="n">
        <v>1</v>
      </c>
      <c r="P110" t="n">
        <v>0</v>
      </c>
      <c r="Q110" t="n">
        <v>1</v>
      </c>
      <c r="R110" s="2" t="inlineStr">
        <is>
          <t>Brunpudrad nållav</t>
        </is>
      </c>
      <c r="S110">
        <f>HYPERLINK("https://klasma.github.io/Logging_2380/artfynd/A 59433-2021 artfynd.xlsx", "A 59433-2021")</f>
        <v/>
      </c>
      <c r="T110">
        <f>HYPERLINK("https://klasma.github.io/Logging_2380/kartor/A 59433-2021 karta.png", "A 59433-2021")</f>
        <v/>
      </c>
      <c r="V110">
        <f>HYPERLINK("https://klasma.github.io/Logging_2380/klagomål/A 59433-2021 FSC-klagomål.docx", "A 59433-2021")</f>
        <v/>
      </c>
      <c r="W110">
        <f>HYPERLINK("https://klasma.github.io/Logging_2380/klagomålsmail/A 59433-2021 FSC-klagomål mail.docx", "A 59433-2021")</f>
        <v/>
      </c>
      <c r="X110">
        <f>HYPERLINK("https://klasma.github.io/Logging_2380/tillsyn/A 59433-2021 tillsynsbegäran.docx", "A 59433-2021")</f>
        <v/>
      </c>
      <c r="Y110">
        <f>HYPERLINK("https://klasma.github.io/Logging_2380/tillsynsmail/A 59433-2021 tillsynsbegäran mail.docx", "A 59433-2021")</f>
        <v/>
      </c>
    </row>
    <row r="111" ht="15" customHeight="1">
      <c r="A111" t="inlineStr">
        <is>
          <t>A 55-2023</t>
        </is>
      </c>
      <c r="B111" s="1" t="n">
        <v>44928</v>
      </c>
      <c r="C111" s="1" t="n">
        <v>45907</v>
      </c>
      <c r="D111" t="inlineStr">
        <is>
          <t>JÄMTLANDS LÄN</t>
        </is>
      </c>
      <c r="E111" t="inlineStr">
        <is>
          <t>ÖSTERSUND</t>
        </is>
      </c>
      <c r="G111" t="n">
        <v>4</v>
      </c>
      <c r="H111" t="n">
        <v>1</v>
      </c>
      <c r="I111" t="n">
        <v>0</v>
      </c>
      <c r="J111" t="n">
        <v>0</v>
      </c>
      <c r="K111" t="n">
        <v>1</v>
      </c>
      <c r="L111" t="n">
        <v>0</v>
      </c>
      <c r="M111" t="n">
        <v>0</v>
      </c>
      <c r="N111" t="n">
        <v>0</v>
      </c>
      <c r="O111" t="n">
        <v>1</v>
      </c>
      <c r="P111" t="n">
        <v>1</v>
      </c>
      <c r="Q111" t="n">
        <v>1</v>
      </c>
      <c r="R111" s="2" t="inlineStr">
        <is>
          <t>Knärot</t>
        </is>
      </c>
      <c r="S111">
        <f>HYPERLINK("https://klasma.github.io/Logging_2380/artfynd/A 55-2023 artfynd.xlsx", "A 55-2023")</f>
        <v/>
      </c>
      <c r="T111">
        <f>HYPERLINK("https://klasma.github.io/Logging_2380/kartor/A 55-2023 karta.png", "A 55-2023")</f>
        <v/>
      </c>
      <c r="U111">
        <f>HYPERLINK("https://klasma.github.io/Logging_2380/knärot/A 55-2023 karta knärot.png", "A 55-2023")</f>
        <v/>
      </c>
      <c r="V111">
        <f>HYPERLINK("https://klasma.github.io/Logging_2380/klagomål/A 55-2023 FSC-klagomål.docx", "A 55-2023")</f>
        <v/>
      </c>
      <c r="W111">
        <f>HYPERLINK("https://klasma.github.io/Logging_2380/klagomålsmail/A 55-2023 FSC-klagomål mail.docx", "A 55-2023")</f>
        <v/>
      </c>
      <c r="X111">
        <f>HYPERLINK("https://klasma.github.io/Logging_2380/tillsyn/A 55-2023 tillsynsbegäran.docx", "A 55-2023")</f>
        <v/>
      </c>
      <c r="Y111">
        <f>HYPERLINK("https://klasma.github.io/Logging_2380/tillsynsmail/A 55-2023 tillsynsbegäran mail.docx", "A 55-2023")</f>
        <v/>
      </c>
    </row>
    <row r="112" ht="15" customHeight="1">
      <c r="A112" t="inlineStr">
        <is>
          <t>A 31883-2024</t>
        </is>
      </c>
      <c r="B112" s="1" t="n">
        <v>45509.9572800926</v>
      </c>
      <c r="C112" s="1" t="n">
        <v>45907</v>
      </c>
      <c r="D112" t="inlineStr">
        <is>
          <t>JÄMTLANDS LÄN</t>
        </is>
      </c>
      <c r="E112" t="inlineStr">
        <is>
          <t>ÖSTERSUND</t>
        </is>
      </c>
      <c r="F112" t="inlineStr">
        <is>
          <t>SCA</t>
        </is>
      </c>
      <c r="G112" t="n">
        <v>3.3</v>
      </c>
      <c r="H112" t="n">
        <v>1</v>
      </c>
      <c r="I112" t="n">
        <v>0</v>
      </c>
      <c r="J112" t="n">
        <v>0</v>
      </c>
      <c r="K112" t="n">
        <v>1</v>
      </c>
      <c r="L112" t="n">
        <v>0</v>
      </c>
      <c r="M112" t="n">
        <v>0</v>
      </c>
      <c r="N112" t="n">
        <v>0</v>
      </c>
      <c r="O112" t="n">
        <v>1</v>
      </c>
      <c r="P112" t="n">
        <v>1</v>
      </c>
      <c r="Q112" t="n">
        <v>1</v>
      </c>
      <c r="R112" s="2" t="inlineStr">
        <is>
          <t>Doftticka</t>
        </is>
      </c>
      <c r="S112">
        <f>HYPERLINK("https://klasma.github.io/Logging_2380/artfynd/A 31883-2024 artfynd.xlsx", "A 31883-2024")</f>
        <v/>
      </c>
      <c r="T112">
        <f>HYPERLINK("https://klasma.github.io/Logging_2380/kartor/A 31883-2024 karta.png", "A 31883-2024")</f>
        <v/>
      </c>
      <c r="V112">
        <f>HYPERLINK("https://klasma.github.io/Logging_2380/klagomål/A 31883-2024 FSC-klagomål.docx", "A 31883-2024")</f>
        <v/>
      </c>
      <c r="W112">
        <f>HYPERLINK("https://klasma.github.io/Logging_2380/klagomålsmail/A 31883-2024 FSC-klagomål mail.docx", "A 31883-2024")</f>
        <v/>
      </c>
      <c r="X112">
        <f>HYPERLINK("https://klasma.github.io/Logging_2380/tillsyn/A 31883-2024 tillsynsbegäran.docx", "A 31883-2024")</f>
        <v/>
      </c>
      <c r="Y112">
        <f>HYPERLINK("https://klasma.github.io/Logging_2380/tillsynsmail/A 31883-2024 tillsynsbegäran mail.docx", "A 31883-2024")</f>
        <v/>
      </c>
    </row>
    <row r="113" ht="15" customHeight="1">
      <c r="A113" t="inlineStr">
        <is>
          <t>A 28980-2023</t>
        </is>
      </c>
      <c r="B113" s="1" t="n">
        <v>45096</v>
      </c>
      <c r="C113" s="1" t="n">
        <v>45907</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44049-2024</t>
        </is>
      </c>
      <c r="B114" s="1" t="n">
        <v>45572.59462962963</v>
      </c>
      <c r="C114" s="1" t="n">
        <v>45907</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40696-2024</t>
        </is>
      </c>
      <c r="B115" s="1" t="n">
        <v>45558</v>
      </c>
      <c r="C115" s="1" t="n">
        <v>45907</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54354-2024</t>
        </is>
      </c>
      <c r="B116" s="1" t="n">
        <v>45617.40244212963</v>
      </c>
      <c r="C116" s="1" t="n">
        <v>45907</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58181-2022</t>
        </is>
      </c>
      <c r="B117" s="1" t="n">
        <v>44900</v>
      </c>
      <c r="C117" s="1" t="n">
        <v>45907</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43883-2024</t>
        </is>
      </c>
      <c r="B118" s="1" t="n">
        <v>45570</v>
      </c>
      <c r="C118" s="1" t="n">
        <v>45907</v>
      </c>
      <c r="D118" t="inlineStr">
        <is>
          <t>JÄMTLANDS LÄN</t>
        </is>
      </c>
      <c r="E118" t="inlineStr">
        <is>
          <t>ÖSTERSUND</t>
        </is>
      </c>
      <c r="G118" t="n">
        <v>3.8</v>
      </c>
      <c r="H118" t="n">
        <v>0</v>
      </c>
      <c r="I118" t="n">
        <v>0</v>
      </c>
      <c r="J118" t="n">
        <v>0</v>
      </c>
      <c r="K118" t="n">
        <v>1</v>
      </c>
      <c r="L118" t="n">
        <v>0</v>
      </c>
      <c r="M118" t="n">
        <v>0</v>
      </c>
      <c r="N118" t="n">
        <v>0</v>
      </c>
      <c r="O118" t="n">
        <v>1</v>
      </c>
      <c r="P118" t="n">
        <v>1</v>
      </c>
      <c r="Q118" t="n">
        <v>1</v>
      </c>
      <c r="R118" s="2" t="inlineStr">
        <is>
          <t>Frösöstarr</t>
        </is>
      </c>
      <c r="S118">
        <f>HYPERLINK("https://klasma.github.io/Logging_2380/artfynd/A 43883-2024 artfynd.xlsx", "A 43883-2024")</f>
        <v/>
      </c>
      <c r="T118">
        <f>HYPERLINK("https://klasma.github.io/Logging_2380/kartor/A 43883-2024 karta.png", "A 43883-2024")</f>
        <v/>
      </c>
      <c r="V118">
        <f>HYPERLINK("https://klasma.github.io/Logging_2380/klagomål/A 43883-2024 FSC-klagomål.docx", "A 43883-2024")</f>
        <v/>
      </c>
      <c r="W118">
        <f>HYPERLINK("https://klasma.github.io/Logging_2380/klagomålsmail/A 43883-2024 FSC-klagomål mail.docx", "A 43883-2024")</f>
        <v/>
      </c>
      <c r="X118">
        <f>HYPERLINK("https://klasma.github.io/Logging_2380/tillsyn/A 43883-2024 tillsynsbegäran.docx", "A 43883-2024")</f>
        <v/>
      </c>
      <c r="Y118">
        <f>HYPERLINK("https://klasma.github.io/Logging_2380/tillsynsmail/A 43883-2024 tillsynsbegäran mail.docx", "A 43883-2024")</f>
        <v/>
      </c>
    </row>
    <row r="119" ht="15" customHeight="1">
      <c r="A119" t="inlineStr">
        <is>
          <t>A 41312-2024</t>
        </is>
      </c>
      <c r="B119" s="1" t="n">
        <v>45559.63584490741</v>
      </c>
      <c r="C119" s="1" t="n">
        <v>45907</v>
      </c>
      <c r="D119" t="inlineStr">
        <is>
          <t>JÄMTLANDS LÄN</t>
        </is>
      </c>
      <c r="E119" t="inlineStr">
        <is>
          <t>ÖSTERSUND</t>
        </is>
      </c>
      <c r="F119" t="inlineStr">
        <is>
          <t>SCA</t>
        </is>
      </c>
      <c r="G119" t="n">
        <v>2.6</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41312-2024 artfynd.xlsx", "A 41312-2024")</f>
        <v/>
      </c>
      <c r="T119">
        <f>HYPERLINK("https://klasma.github.io/Logging_2380/kartor/A 41312-2024 karta.png", "A 41312-2024")</f>
        <v/>
      </c>
      <c r="V119">
        <f>HYPERLINK("https://klasma.github.io/Logging_2380/klagomål/A 41312-2024 FSC-klagomål.docx", "A 41312-2024")</f>
        <v/>
      </c>
      <c r="W119">
        <f>HYPERLINK("https://klasma.github.io/Logging_2380/klagomålsmail/A 41312-2024 FSC-klagomål mail.docx", "A 41312-2024")</f>
        <v/>
      </c>
      <c r="X119">
        <f>HYPERLINK("https://klasma.github.io/Logging_2380/tillsyn/A 41312-2024 tillsynsbegäran.docx", "A 41312-2024")</f>
        <v/>
      </c>
      <c r="Y119">
        <f>HYPERLINK("https://klasma.github.io/Logging_2380/tillsynsmail/A 41312-2024 tillsynsbegäran mail.docx", "A 41312-2024")</f>
        <v/>
      </c>
    </row>
    <row r="120" ht="15" customHeight="1">
      <c r="A120" t="inlineStr">
        <is>
          <t>A 33267-2022</t>
        </is>
      </c>
      <c r="B120" s="1" t="n">
        <v>44785</v>
      </c>
      <c r="C120" s="1" t="n">
        <v>45907</v>
      </c>
      <c r="D120" t="inlineStr">
        <is>
          <t>JÄMTLANDS LÄN</t>
        </is>
      </c>
      <c r="E120" t="inlineStr">
        <is>
          <t>ÖSTERSUND</t>
        </is>
      </c>
      <c r="G120" t="n">
        <v>0.9</v>
      </c>
      <c r="H120" t="n">
        <v>1</v>
      </c>
      <c r="I120" t="n">
        <v>0</v>
      </c>
      <c r="J120" t="n">
        <v>1</v>
      </c>
      <c r="K120" t="n">
        <v>0</v>
      </c>
      <c r="L120" t="n">
        <v>0</v>
      </c>
      <c r="M120" t="n">
        <v>0</v>
      </c>
      <c r="N120" t="n">
        <v>0</v>
      </c>
      <c r="O120" t="n">
        <v>1</v>
      </c>
      <c r="P120" t="n">
        <v>0</v>
      </c>
      <c r="Q120" t="n">
        <v>1</v>
      </c>
      <c r="R120" s="2" t="inlineStr">
        <is>
          <t>Talltita</t>
        </is>
      </c>
      <c r="S120">
        <f>HYPERLINK("https://klasma.github.io/Logging_2380/artfynd/A 33267-2022 artfynd.xlsx", "A 33267-2022")</f>
        <v/>
      </c>
      <c r="T120">
        <f>HYPERLINK("https://klasma.github.io/Logging_2380/kartor/A 33267-2022 karta.png", "A 33267-2022")</f>
        <v/>
      </c>
      <c r="V120">
        <f>HYPERLINK("https://klasma.github.io/Logging_2380/klagomål/A 33267-2022 FSC-klagomål.docx", "A 33267-2022")</f>
        <v/>
      </c>
      <c r="W120">
        <f>HYPERLINK("https://klasma.github.io/Logging_2380/klagomålsmail/A 33267-2022 FSC-klagomål mail.docx", "A 33267-2022")</f>
        <v/>
      </c>
      <c r="X120">
        <f>HYPERLINK("https://klasma.github.io/Logging_2380/tillsyn/A 33267-2022 tillsynsbegäran.docx", "A 33267-2022")</f>
        <v/>
      </c>
      <c r="Y120">
        <f>HYPERLINK("https://klasma.github.io/Logging_2380/tillsynsmail/A 33267-2022 tillsynsbegäran mail.docx", "A 33267-2022")</f>
        <v/>
      </c>
      <c r="Z120">
        <f>HYPERLINK("https://klasma.github.io/Logging_2380/fåglar/A 33267-2022 prioriterade fågelarter.docx", "A 33267-2022")</f>
        <v/>
      </c>
    </row>
    <row r="121" ht="15" customHeight="1">
      <c r="A121" t="inlineStr">
        <is>
          <t>A 57065-2024</t>
        </is>
      </c>
      <c r="B121" s="1" t="n">
        <v>45629.35344907407</v>
      </c>
      <c r="C121" s="1" t="n">
        <v>45907</v>
      </c>
      <c r="D121" t="inlineStr">
        <is>
          <t>JÄMTLANDS LÄN</t>
        </is>
      </c>
      <c r="E121" t="inlineStr">
        <is>
          <t>ÖSTERSUND</t>
        </is>
      </c>
      <c r="F121" t="inlineStr">
        <is>
          <t>SCA</t>
        </is>
      </c>
      <c r="G121" t="n">
        <v>6.3</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57065-2024 artfynd.xlsx", "A 57065-2024")</f>
        <v/>
      </c>
      <c r="T121">
        <f>HYPERLINK("https://klasma.github.io/Logging_2380/kartor/A 57065-2024 karta.png", "A 57065-2024")</f>
        <v/>
      </c>
      <c r="V121">
        <f>HYPERLINK("https://klasma.github.io/Logging_2380/klagomål/A 57065-2024 FSC-klagomål.docx", "A 57065-2024")</f>
        <v/>
      </c>
      <c r="W121">
        <f>HYPERLINK("https://klasma.github.io/Logging_2380/klagomålsmail/A 57065-2024 FSC-klagomål mail.docx", "A 57065-2024")</f>
        <v/>
      </c>
      <c r="X121">
        <f>HYPERLINK("https://klasma.github.io/Logging_2380/tillsyn/A 57065-2024 tillsynsbegäran.docx", "A 57065-2024")</f>
        <v/>
      </c>
      <c r="Y121">
        <f>HYPERLINK("https://klasma.github.io/Logging_2380/tillsynsmail/A 57065-2024 tillsynsbegäran mail.docx", "A 57065-2024")</f>
        <v/>
      </c>
      <c r="Z121">
        <f>HYPERLINK("https://klasma.github.io/Logging_2380/fåglar/A 57065-2024 prioriterade fågelarter.docx", "A 57065-2024")</f>
        <v/>
      </c>
    </row>
    <row r="122" ht="15" customHeight="1">
      <c r="A122" t="inlineStr">
        <is>
          <t>A 56486-2020</t>
        </is>
      </c>
      <c r="B122" s="1" t="n">
        <v>44137</v>
      </c>
      <c r="C122" s="1" t="n">
        <v>45907</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45907</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52535-2020</t>
        </is>
      </c>
      <c r="B124" s="1" t="n">
        <v>44118</v>
      </c>
      <c r="C124" s="1" t="n">
        <v>45907</v>
      </c>
      <c r="D124" t="inlineStr">
        <is>
          <t>JÄMTLANDS LÄN</t>
        </is>
      </c>
      <c r="E124" t="inlineStr">
        <is>
          <t>ÖSTERSUND</t>
        </is>
      </c>
      <c r="G124" t="n">
        <v>2</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45907</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45907</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45907</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45907</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45907</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45907</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45907</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45907</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45907</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45907</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45907</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45907</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45907</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45907</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45907</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45907</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45907</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45907</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45907</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45907</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45907</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45907</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45907</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45907</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45907</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45907</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45907</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45907</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45907</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45907</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45907</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45907</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45907</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45907</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45907</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45907</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45907</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45907</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45907</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45907</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45907</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45907</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45907</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45907</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45907</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45907</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45907</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45907</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45907</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43796-2020</t>
        </is>
      </c>
      <c r="B174" s="1" t="n">
        <v>44082</v>
      </c>
      <c r="C174" s="1" t="n">
        <v>45907</v>
      </c>
      <c r="D174" t="inlineStr">
        <is>
          <t>JÄMTLANDS LÄN</t>
        </is>
      </c>
      <c r="E174" t="inlineStr">
        <is>
          <t>ÖSTERSUND</t>
        </is>
      </c>
      <c r="G174" t="n">
        <v>1.5</v>
      </c>
      <c r="H174" t="n">
        <v>0</v>
      </c>
      <c r="I174" t="n">
        <v>0</v>
      </c>
      <c r="J174" t="n">
        <v>0</v>
      </c>
      <c r="K174" t="n">
        <v>0</v>
      </c>
      <c r="L174" t="n">
        <v>0</v>
      </c>
      <c r="M174" t="n">
        <v>0</v>
      </c>
      <c r="N174" t="n">
        <v>0</v>
      </c>
      <c r="O174" t="n">
        <v>0</v>
      </c>
      <c r="P174" t="n">
        <v>0</v>
      </c>
      <c r="Q174" t="n">
        <v>0</v>
      </c>
      <c r="R174" s="2" t="inlineStr"/>
    </row>
    <row r="175" ht="15" customHeight="1">
      <c r="A175" t="inlineStr">
        <is>
          <t>A 66269-2020</t>
        </is>
      </c>
      <c r="B175" s="1" t="n">
        <v>44174</v>
      </c>
      <c r="C175" s="1" t="n">
        <v>45907</v>
      </c>
      <c r="D175" t="inlineStr">
        <is>
          <t>JÄMTLANDS LÄN</t>
        </is>
      </c>
      <c r="E175" t="inlineStr">
        <is>
          <t>ÖSTERSUND</t>
        </is>
      </c>
      <c r="F175" t="inlineStr">
        <is>
          <t>Övriga statliga verk och myndigheter</t>
        </is>
      </c>
      <c r="G175" t="n">
        <v>10</v>
      </c>
      <c r="H175" t="n">
        <v>0</v>
      </c>
      <c r="I175" t="n">
        <v>0</v>
      </c>
      <c r="J175" t="n">
        <v>0</v>
      </c>
      <c r="K175" t="n">
        <v>0</v>
      </c>
      <c r="L175" t="n">
        <v>0</v>
      </c>
      <c r="M175" t="n">
        <v>0</v>
      </c>
      <c r="N175" t="n">
        <v>0</v>
      </c>
      <c r="O175" t="n">
        <v>0</v>
      </c>
      <c r="P175" t="n">
        <v>0</v>
      </c>
      <c r="Q175" t="n">
        <v>0</v>
      </c>
      <c r="R175" s="2" t="inlineStr"/>
    </row>
    <row r="176" ht="15" customHeight="1">
      <c r="A176" t="inlineStr">
        <is>
          <t>A 42832-2021</t>
        </is>
      </c>
      <c r="B176" s="1" t="n">
        <v>44430</v>
      </c>
      <c r="C176" s="1" t="n">
        <v>45907</v>
      </c>
      <c r="D176" t="inlineStr">
        <is>
          <t>JÄMTLANDS LÄN</t>
        </is>
      </c>
      <c r="E176" t="inlineStr">
        <is>
          <t>ÖSTERSUND</t>
        </is>
      </c>
      <c r="G176" t="n">
        <v>9</v>
      </c>
      <c r="H176" t="n">
        <v>0</v>
      </c>
      <c r="I176" t="n">
        <v>0</v>
      </c>
      <c r="J176" t="n">
        <v>0</v>
      </c>
      <c r="K176" t="n">
        <v>0</v>
      </c>
      <c r="L176" t="n">
        <v>0</v>
      </c>
      <c r="M176" t="n">
        <v>0</v>
      </c>
      <c r="N176" t="n">
        <v>0</v>
      </c>
      <c r="O176" t="n">
        <v>0</v>
      </c>
      <c r="P176" t="n">
        <v>0</v>
      </c>
      <c r="Q176" t="n">
        <v>0</v>
      </c>
      <c r="R176" s="2" t="inlineStr"/>
    </row>
    <row r="177" ht="15" customHeight="1">
      <c r="A177" t="inlineStr">
        <is>
          <t>A 35755-2021</t>
        </is>
      </c>
      <c r="B177" s="1" t="n">
        <v>44385</v>
      </c>
      <c r="C177" s="1" t="n">
        <v>45907</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45907</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45907</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14657-2022</t>
        </is>
      </c>
      <c r="B180" s="1" t="n">
        <v>44655</v>
      </c>
      <c r="C180" s="1" t="n">
        <v>45907</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45820-2020</t>
        </is>
      </c>
      <c r="B181" s="1" t="n">
        <v>44090</v>
      </c>
      <c r="C181" s="1" t="n">
        <v>45907</v>
      </c>
      <c r="D181" t="inlineStr">
        <is>
          <t>JÄMTLANDS LÄN</t>
        </is>
      </c>
      <c r="E181" t="inlineStr">
        <is>
          <t>ÖSTERSUND</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71956-2021</t>
        </is>
      </c>
      <c r="B182" s="1" t="n">
        <v>44544</v>
      </c>
      <c r="C182" s="1" t="n">
        <v>45907</v>
      </c>
      <c r="D182" t="inlineStr">
        <is>
          <t>JÄMTLANDS LÄN</t>
        </is>
      </c>
      <c r="E182" t="inlineStr">
        <is>
          <t>ÖSTERSUND</t>
        </is>
      </c>
      <c r="G182" t="n">
        <v>0.8</v>
      </c>
      <c r="H182" t="n">
        <v>0</v>
      </c>
      <c r="I182" t="n">
        <v>0</v>
      </c>
      <c r="J182" t="n">
        <v>0</v>
      </c>
      <c r="K182" t="n">
        <v>0</v>
      </c>
      <c r="L182" t="n">
        <v>0</v>
      </c>
      <c r="M182" t="n">
        <v>0</v>
      </c>
      <c r="N182" t="n">
        <v>0</v>
      </c>
      <c r="O182" t="n">
        <v>0</v>
      </c>
      <c r="P182" t="n">
        <v>0</v>
      </c>
      <c r="Q182" t="n">
        <v>0</v>
      </c>
      <c r="R182" s="2" t="inlineStr"/>
    </row>
    <row r="183" ht="15" customHeight="1">
      <c r="A183" t="inlineStr">
        <is>
          <t>A 29094-2022</t>
        </is>
      </c>
      <c r="B183" s="1" t="n">
        <v>44750</v>
      </c>
      <c r="C183" s="1" t="n">
        <v>45907</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27575-2022</t>
        </is>
      </c>
      <c r="B184" s="1" t="n">
        <v>44742</v>
      </c>
      <c r="C184" s="1" t="n">
        <v>45907</v>
      </c>
      <c r="D184" t="inlineStr">
        <is>
          <t>JÄMTLANDS LÄN</t>
        </is>
      </c>
      <c r="E184" t="inlineStr">
        <is>
          <t>ÖSTERSUND</t>
        </is>
      </c>
      <c r="F184" t="inlineStr">
        <is>
          <t>SCA</t>
        </is>
      </c>
      <c r="G184" t="n">
        <v>2.4</v>
      </c>
      <c r="H184" t="n">
        <v>0</v>
      </c>
      <c r="I184" t="n">
        <v>0</v>
      </c>
      <c r="J184" t="n">
        <v>0</v>
      </c>
      <c r="K184" t="n">
        <v>0</v>
      </c>
      <c r="L184" t="n">
        <v>0</v>
      </c>
      <c r="M184" t="n">
        <v>0</v>
      </c>
      <c r="N184" t="n">
        <v>0</v>
      </c>
      <c r="O184" t="n">
        <v>0</v>
      </c>
      <c r="P184" t="n">
        <v>0</v>
      </c>
      <c r="Q184" t="n">
        <v>0</v>
      </c>
      <c r="R184" s="2" t="inlineStr"/>
      <c r="U184">
        <f>HYPERLINK("https://klasma.github.io/Logging_2380/knärot/A 27575-2022 karta knärot.png", "A 27575-2022")</f>
        <v/>
      </c>
      <c r="V184">
        <f>HYPERLINK("https://klasma.github.io/Logging_2380/klagomål/A 27575-2022 FSC-klagomål.docx", "A 27575-2022")</f>
        <v/>
      </c>
      <c r="W184">
        <f>HYPERLINK("https://klasma.github.io/Logging_2380/klagomålsmail/A 27575-2022 FSC-klagomål mail.docx", "A 27575-2022")</f>
        <v/>
      </c>
      <c r="X184">
        <f>HYPERLINK("https://klasma.github.io/Logging_2380/tillsyn/A 27575-2022 tillsynsbegäran.docx", "A 27575-2022")</f>
        <v/>
      </c>
      <c r="Y184">
        <f>HYPERLINK("https://klasma.github.io/Logging_2380/tillsynsmail/A 27575-2022 tillsynsbegäran mail.docx", "A 27575-2022")</f>
        <v/>
      </c>
    </row>
    <row r="185" ht="15" customHeight="1">
      <c r="A185" t="inlineStr">
        <is>
          <t>A 57624-2020</t>
        </is>
      </c>
      <c r="B185" s="1" t="n">
        <v>44140</v>
      </c>
      <c r="C185" s="1" t="n">
        <v>45907</v>
      </c>
      <c r="D185" t="inlineStr">
        <is>
          <t>JÄMTLANDS LÄN</t>
        </is>
      </c>
      <c r="E185" t="inlineStr">
        <is>
          <t>ÖSTERSUND</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5145-2022</t>
        </is>
      </c>
      <c r="B186" s="1" t="n">
        <v>44594</v>
      </c>
      <c r="C186" s="1" t="n">
        <v>45907</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65410-2020</t>
        </is>
      </c>
      <c r="B187" s="1" t="n">
        <v>44173</v>
      </c>
      <c r="C187" s="1" t="n">
        <v>45907</v>
      </c>
      <c r="D187" t="inlineStr">
        <is>
          <t>JÄMTLANDS LÄN</t>
        </is>
      </c>
      <c r="E187" t="inlineStr">
        <is>
          <t>ÖSTERSUND</t>
        </is>
      </c>
      <c r="F187" t="inlineStr">
        <is>
          <t>Kommuner</t>
        </is>
      </c>
      <c r="G187" t="n">
        <v>0.8</v>
      </c>
      <c r="H187" t="n">
        <v>0</v>
      </c>
      <c r="I187" t="n">
        <v>0</v>
      </c>
      <c r="J187" t="n">
        <v>0</v>
      </c>
      <c r="K187" t="n">
        <v>0</v>
      </c>
      <c r="L187" t="n">
        <v>0</v>
      </c>
      <c r="M187" t="n">
        <v>0</v>
      </c>
      <c r="N187" t="n">
        <v>0</v>
      </c>
      <c r="O187" t="n">
        <v>0</v>
      </c>
      <c r="P187" t="n">
        <v>0</v>
      </c>
      <c r="Q187" t="n">
        <v>0</v>
      </c>
      <c r="R187" s="2" t="inlineStr"/>
    </row>
    <row r="188" ht="15" customHeight="1">
      <c r="A188" t="inlineStr">
        <is>
          <t>A 54539-2020</t>
        </is>
      </c>
      <c r="B188" s="1" t="n">
        <v>44126</v>
      </c>
      <c r="C188" s="1" t="n">
        <v>45907</v>
      </c>
      <c r="D188" t="inlineStr">
        <is>
          <t>JÄMTLANDS LÄN</t>
        </is>
      </c>
      <c r="E188" t="inlineStr">
        <is>
          <t>ÖSTERSUND</t>
        </is>
      </c>
      <c r="G188" t="n">
        <v>4.2</v>
      </c>
      <c r="H188" t="n">
        <v>0</v>
      </c>
      <c r="I188" t="n">
        <v>0</v>
      </c>
      <c r="J188" t="n">
        <v>0</v>
      </c>
      <c r="K188" t="n">
        <v>0</v>
      </c>
      <c r="L188" t="n">
        <v>0</v>
      </c>
      <c r="M188" t="n">
        <v>0</v>
      </c>
      <c r="N188" t="n">
        <v>0</v>
      </c>
      <c r="O188" t="n">
        <v>0</v>
      </c>
      <c r="P188" t="n">
        <v>0</v>
      </c>
      <c r="Q188" t="n">
        <v>0</v>
      </c>
      <c r="R188" s="2" t="inlineStr"/>
    </row>
    <row r="189" ht="15" customHeight="1">
      <c r="A189" t="inlineStr">
        <is>
          <t>A 46913-2022</t>
        </is>
      </c>
      <c r="B189" s="1" t="n">
        <v>44851</v>
      </c>
      <c r="C189" s="1" t="n">
        <v>45907</v>
      </c>
      <c r="D189" t="inlineStr">
        <is>
          <t>JÄMTLANDS LÄN</t>
        </is>
      </c>
      <c r="E189" t="inlineStr">
        <is>
          <t>ÖSTERSUND</t>
        </is>
      </c>
      <c r="G189" t="n">
        <v>2.5</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45907</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6458-2022</t>
        </is>
      </c>
      <c r="B191" s="1" t="n">
        <v>44601.36165509259</v>
      </c>
      <c r="C191" s="1" t="n">
        <v>45907</v>
      </c>
      <c r="D191" t="inlineStr">
        <is>
          <t>JÄMTLANDS LÄN</t>
        </is>
      </c>
      <c r="E191" t="inlineStr">
        <is>
          <t>ÖSTERSUND</t>
        </is>
      </c>
      <c r="G191" t="n">
        <v>3.1</v>
      </c>
      <c r="H191" t="n">
        <v>0</v>
      </c>
      <c r="I191" t="n">
        <v>0</v>
      </c>
      <c r="J191" t="n">
        <v>0</v>
      </c>
      <c r="K191" t="n">
        <v>0</v>
      </c>
      <c r="L191" t="n">
        <v>0</v>
      </c>
      <c r="M191" t="n">
        <v>0</v>
      </c>
      <c r="N191" t="n">
        <v>0</v>
      </c>
      <c r="O191" t="n">
        <v>0</v>
      </c>
      <c r="P191" t="n">
        <v>0</v>
      </c>
      <c r="Q191" t="n">
        <v>0</v>
      </c>
      <c r="R191" s="2" t="inlineStr"/>
    </row>
    <row r="192" ht="15" customHeight="1">
      <c r="A192" t="inlineStr">
        <is>
          <t>A 52791-2020</t>
        </is>
      </c>
      <c r="B192" s="1" t="n">
        <v>44118</v>
      </c>
      <c r="C192" s="1" t="n">
        <v>45907</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50153-2020</t>
        </is>
      </c>
      <c r="B193" s="1" t="n">
        <v>44106</v>
      </c>
      <c r="C193" s="1" t="n">
        <v>45907</v>
      </c>
      <c r="D193" t="inlineStr">
        <is>
          <t>JÄMTLANDS LÄN</t>
        </is>
      </c>
      <c r="E193" t="inlineStr">
        <is>
          <t>ÖSTERSUND</t>
        </is>
      </c>
      <c r="F193" t="inlineStr">
        <is>
          <t>Övriga statliga verk och myndigheter</t>
        </is>
      </c>
      <c r="G193" t="n">
        <v>4.6</v>
      </c>
      <c r="H193" t="n">
        <v>0</v>
      </c>
      <c r="I193" t="n">
        <v>0</v>
      </c>
      <c r="J193" t="n">
        <v>0</v>
      </c>
      <c r="K193" t="n">
        <v>0</v>
      </c>
      <c r="L193" t="n">
        <v>0</v>
      </c>
      <c r="M193" t="n">
        <v>0</v>
      </c>
      <c r="N193" t="n">
        <v>0</v>
      </c>
      <c r="O193" t="n">
        <v>0</v>
      </c>
      <c r="P193" t="n">
        <v>0</v>
      </c>
      <c r="Q193" t="n">
        <v>0</v>
      </c>
      <c r="R193" s="2" t="inlineStr"/>
    </row>
    <row r="194" ht="15" customHeight="1">
      <c r="A194" t="inlineStr">
        <is>
          <t>A 23992-2022</t>
        </is>
      </c>
      <c r="B194" s="1" t="n">
        <v>44722</v>
      </c>
      <c r="C194" s="1" t="n">
        <v>45907</v>
      </c>
      <c r="D194" t="inlineStr">
        <is>
          <t>JÄMTLANDS LÄN</t>
        </is>
      </c>
      <c r="E194" t="inlineStr">
        <is>
          <t>ÖSTERSUND</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23993-2022</t>
        </is>
      </c>
      <c r="B195" s="1" t="n">
        <v>44722.94023148148</v>
      </c>
      <c r="C195" s="1" t="n">
        <v>45907</v>
      </c>
      <c r="D195" t="inlineStr">
        <is>
          <t>JÄMTLANDS LÄN</t>
        </is>
      </c>
      <c r="E195" t="inlineStr">
        <is>
          <t>ÖSTERSUND</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2627-2024</t>
        </is>
      </c>
      <c r="B196" s="1" t="n">
        <v>45313.9496875</v>
      </c>
      <c r="C196" s="1" t="n">
        <v>45907</v>
      </c>
      <c r="D196" t="inlineStr">
        <is>
          <t>JÄMTLANDS LÄN</t>
        </is>
      </c>
      <c r="E196" t="inlineStr">
        <is>
          <t>ÖSTERSUND</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56642-2020</t>
        </is>
      </c>
      <c r="B197" s="1" t="n">
        <v>44137</v>
      </c>
      <c r="C197" s="1" t="n">
        <v>45907</v>
      </c>
      <c r="D197" t="inlineStr">
        <is>
          <t>JÄMTLANDS LÄN</t>
        </is>
      </c>
      <c r="E197" t="inlineStr">
        <is>
          <t>ÖSTERSUND</t>
        </is>
      </c>
      <c r="F197" t="inlineStr">
        <is>
          <t>Övriga Aktiebolag</t>
        </is>
      </c>
      <c r="G197" t="n">
        <v>6</v>
      </c>
      <c r="H197" t="n">
        <v>0</v>
      </c>
      <c r="I197" t="n">
        <v>0</v>
      </c>
      <c r="J197" t="n">
        <v>0</v>
      </c>
      <c r="K197" t="n">
        <v>0</v>
      </c>
      <c r="L197" t="n">
        <v>0</v>
      </c>
      <c r="M197" t="n">
        <v>0</v>
      </c>
      <c r="N197" t="n">
        <v>0</v>
      </c>
      <c r="O197" t="n">
        <v>0</v>
      </c>
      <c r="P197" t="n">
        <v>0</v>
      </c>
      <c r="Q197" t="n">
        <v>0</v>
      </c>
      <c r="R197" s="2" t="inlineStr"/>
    </row>
    <row r="198" ht="15" customHeight="1">
      <c r="A198" t="inlineStr">
        <is>
          <t>A 57771-2020</t>
        </is>
      </c>
      <c r="B198" s="1" t="n">
        <v>44141</v>
      </c>
      <c r="C198" s="1" t="n">
        <v>45907</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45907</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57791-2020</t>
        </is>
      </c>
      <c r="B200" s="1" t="n">
        <v>44141</v>
      </c>
      <c r="C200" s="1" t="n">
        <v>45907</v>
      </c>
      <c r="D200" t="inlineStr">
        <is>
          <t>JÄMTLANDS LÄN</t>
        </is>
      </c>
      <c r="E200" t="inlineStr">
        <is>
          <t>ÖSTERSUND</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45907</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21211-2022</t>
        </is>
      </c>
      <c r="B202" s="1" t="n">
        <v>44704.94370370371</v>
      </c>
      <c r="C202" s="1" t="n">
        <v>45907</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10590-2021</t>
        </is>
      </c>
      <c r="B203" s="1" t="n">
        <v>44258</v>
      </c>
      <c r="C203" s="1" t="n">
        <v>45907</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32990-2021</t>
        </is>
      </c>
      <c r="B204" s="1" t="n">
        <v>44375</v>
      </c>
      <c r="C204" s="1" t="n">
        <v>45907</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32994-2021</t>
        </is>
      </c>
      <c r="B205" s="1" t="n">
        <v>44375</v>
      </c>
      <c r="C205" s="1" t="n">
        <v>45907</v>
      </c>
      <c r="D205" t="inlineStr">
        <is>
          <t>JÄMTLANDS LÄN</t>
        </is>
      </c>
      <c r="E205" t="inlineStr">
        <is>
          <t>ÖSTERSUND</t>
        </is>
      </c>
      <c r="G205" t="n">
        <v>0.1</v>
      </c>
      <c r="H205" t="n">
        <v>0</v>
      </c>
      <c r="I205" t="n">
        <v>0</v>
      </c>
      <c r="J205" t="n">
        <v>0</v>
      </c>
      <c r="K205" t="n">
        <v>0</v>
      </c>
      <c r="L205" t="n">
        <v>0</v>
      </c>
      <c r="M205" t="n">
        <v>0</v>
      </c>
      <c r="N205" t="n">
        <v>0</v>
      </c>
      <c r="O205" t="n">
        <v>0</v>
      </c>
      <c r="P205" t="n">
        <v>0</v>
      </c>
      <c r="Q205" t="n">
        <v>0</v>
      </c>
      <c r="R205" s="2" t="inlineStr"/>
    </row>
    <row r="206" ht="15" customHeight="1">
      <c r="A206" t="inlineStr">
        <is>
          <t>A 21849-2021</t>
        </is>
      </c>
      <c r="B206" s="1" t="n">
        <v>44322</v>
      </c>
      <c r="C206" s="1" t="n">
        <v>45907</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24721-2021</t>
        </is>
      </c>
      <c r="B207" s="1" t="n">
        <v>44340</v>
      </c>
      <c r="C207" s="1" t="n">
        <v>45907</v>
      </c>
      <c r="D207" t="inlineStr">
        <is>
          <t>JÄMTLANDS LÄN</t>
        </is>
      </c>
      <c r="E207" t="inlineStr">
        <is>
          <t>ÖSTERSUND</t>
        </is>
      </c>
      <c r="G207" t="n">
        <v>2.7</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45907</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52777-2020</t>
        </is>
      </c>
      <c r="B209" s="1" t="n">
        <v>44118</v>
      </c>
      <c r="C209" s="1" t="n">
        <v>45907</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68408-2020</t>
        </is>
      </c>
      <c r="B210" s="1" t="n">
        <v>44186</v>
      </c>
      <c r="C210" s="1" t="n">
        <v>45907</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4872-2023</t>
        </is>
      </c>
      <c r="B211" s="1" t="n">
        <v>44957</v>
      </c>
      <c r="C211" s="1" t="n">
        <v>45907</v>
      </c>
      <c r="D211" t="inlineStr">
        <is>
          <t>JÄMTLANDS LÄN</t>
        </is>
      </c>
      <c r="E211" t="inlineStr">
        <is>
          <t>ÖSTERSUND</t>
        </is>
      </c>
      <c r="G211" t="n">
        <v>10.7</v>
      </c>
      <c r="H211" t="n">
        <v>0</v>
      </c>
      <c r="I211" t="n">
        <v>0</v>
      </c>
      <c r="J211" t="n">
        <v>0</v>
      </c>
      <c r="K211" t="n">
        <v>0</v>
      </c>
      <c r="L211" t="n">
        <v>0</v>
      </c>
      <c r="M211" t="n">
        <v>0</v>
      </c>
      <c r="N211" t="n">
        <v>0</v>
      </c>
      <c r="O211" t="n">
        <v>0</v>
      </c>
      <c r="P211" t="n">
        <v>0</v>
      </c>
      <c r="Q211" t="n">
        <v>0</v>
      </c>
      <c r="R211" s="2" t="inlineStr"/>
    </row>
    <row r="212" ht="15" customHeight="1">
      <c r="A212" t="inlineStr">
        <is>
          <t>A 63099-2023</t>
        </is>
      </c>
      <c r="B212" s="1" t="n">
        <v>45273</v>
      </c>
      <c r="C212" s="1" t="n">
        <v>45907</v>
      </c>
      <c r="D212" t="inlineStr">
        <is>
          <t>JÄMTLANDS LÄN</t>
        </is>
      </c>
      <c r="E212" t="inlineStr">
        <is>
          <t>ÖSTERSUND</t>
        </is>
      </c>
      <c r="G212" t="n">
        <v>1.5</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45907</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58407-2024</t>
        </is>
      </c>
      <c r="B214" s="1" t="n">
        <v>45634.72633101852</v>
      </c>
      <c r="C214" s="1" t="n">
        <v>45907</v>
      </c>
      <c r="D214" t="inlineStr">
        <is>
          <t>JÄMTLANDS LÄN</t>
        </is>
      </c>
      <c r="E214" t="inlineStr">
        <is>
          <t>ÖSTERSUND</t>
        </is>
      </c>
      <c r="G214" t="n">
        <v>2.8</v>
      </c>
      <c r="H214" t="n">
        <v>0</v>
      </c>
      <c r="I214" t="n">
        <v>0</v>
      </c>
      <c r="J214" t="n">
        <v>0</v>
      </c>
      <c r="K214" t="n">
        <v>0</v>
      </c>
      <c r="L214" t="n">
        <v>0</v>
      </c>
      <c r="M214" t="n">
        <v>0</v>
      </c>
      <c r="N214" t="n">
        <v>0</v>
      </c>
      <c r="O214" t="n">
        <v>0</v>
      </c>
      <c r="P214" t="n">
        <v>0</v>
      </c>
      <c r="Q214" t="n">
        <v>0</v>
      </c>
      <c r="R214" s="2" t="inlineStr"/>
    </row>
    <row r="215" ht="15" customHeight="1">
      <c r="A215" t="inlineStr">
        <is>
          <t>A 16335-2025</t>
        </is>
      </c>
      <c r="B215" s="1" t="n">
        <v>45751.36518518518</v>
      </c>
      <c r="C215" s="1" t="n">
        <v>45907</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60681-2022</t>
        </is>
      </c>
      <c r="B216" s="1" t="n">
        <v>44911.93994212963</v>
      </c>
      <c r="C216" s="1" t="n">
        <v>45907</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14118-2025</t>
        </is>
      </c>
      <c r="B217" s="1" t="n">
        <v>45740.46325231482</v>
      </c>
      <c r="C217" s="1" t="n">
        <v>45907</v>
      </c>
      <c r="D217" t="inlineStr">
        <is>
          <t>JÄMTLANDS LÄN</t>
        </is>
      </c>
      <c r="E217" t="inlineStr">
        <is>
          <t>ÖSTERSUND</t>
        </is>
      </c>
      <c r="G217" t="n">
        <v>3.6</v>
      </c>
      <c r="H217" t="n">
        <v>0</v>
      </c>
      <c r="I217" t="n">
        <v>0</v>
      </c>
      <c r="J217" t="n">
        <v>0</v>
      </c>
      <c r="K217" t="n">
        <v>0</v>
      </c>
      <c r="L217" t="n">
        <v>0</v>
      </c>
      <c r="M217" t="n">
        <v>0</v>
      </c>
      <c r="N217" t="n">
        <v>0</v>
      </c>
      <c r="O217" t="n">
        <v>0</v>
      </c>
      <c r="P217" t="n">
        <v>0</v>
      </c>
      <c r="Q217" t="n">
        <v>0</v>
      </c>
      <c r="R217" s="2" t="inlineStr"/>
    </row>
    <row r="218" ht="15" customHeight="1">
      <c r="A218" t="inlineStr">
        <is>
          <t>A 44489-2024</t>
        </is>
      </c>
      <c r="B218" s="1" t="n">
        <v>45574.38943287037</v>
      </c>
      <c r="C218" s="1" t="n">
        <v>45907</v>
      </c>
      <c r="D218" t="inlineStr">
        <is>
          <t>JÄMTLANDS LÄN</t>
        </is>
      </c>
      <c r="E218" t="inlineStr">
        <is>
          <t>ÖSTERSUND</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55105-2022</t>
        </is>
      </c>
      <c r="B219" s="1" t="n">
        <v>44886.63148148148</v>
      </c>
      <c r="C219" s="1" t="n">
        <v>45907</v>
      </c>
      <c r="D219" t="inlineStr">
        <is>
          <t>JÄMTLANDS LÄN</t>
        </is>
      </c>
      <c r="E219" t="inlineStr">
        <is>
          <t>ÖSTERSUND</t>
        </is>
      </c>
      <c r="F219" t="inlineStr">
        <is>
          <t>Övriga Aktiebolag</t>
        </is>
      </c>
      <c r="G219" t="n">
        <v>2.4</v>
      </c>
      <c r="H219" t="n">
        <v>0</v>
      </c>
      <c r="I219" t="n">
        <v>0</v>
      </c>
      <c r="J219" t="n">
        <v>0</v>
      </c>
      <c r="K219" t="n">
        <v>0</v>
      </c>
      <c r="L219" t="n">
        <v>0</v>
      </c>
      <c r="M219" t="n">
        <v>0</v>
      </c>
      <c r="N219" t="n">
        <v>0</v>
      </c>
      <c r="O219" t="n">
        <v>0</v>
      </c>
      <c r="P219" t="n">
        <v>0</v>
      </c>
      <c r="Q219" t="n">
        <v>0</v>
      </c>
      <c r="R219" s="2" t="inlineStr"/>
      <c r="U219">
        <f>HYPERLINK("https://klasma.github.io/Logging_2380/knärot/A 55105-2022 karta knärot.png", "A 55105-2022")</f>
        <v/>
      </c>
      <c r="V219">
        <f>HYPERLINK("https://klasma.github.io/Logging_2380/klagomål/A 55105-2022 FSC-klagomål.docx", "A 55105-2022")</f>
        <v/>
      </c>
      <c r="W219">
        <f>HYPERLINK("https://klasma.github.io/Logging_2380/klagomålsmail/A 55105-2022 FSC-klagomål mail.docx", "A 55105-2022")</f>
        <v/>
      </c>
      <c r="X219">
        <f>HYPERLINK("https://klasma.github.io/Logging_2380/tillsyn/A 55105-2022 tillsynsbegäran.docx", "A 55105-2022")</f>
        <v/>
      </c>
      <c r="Y219">
        <f>HYPERLINK("https://klasma.github.io/Logging_2380/tillsynsmail/A 55105-2022 tillsynsbegäran mail.docx", "A 55105-2022")</f>
        <v/>
      </c>
    </row>
    <row r="220" ht="15" customHeight="1">
      <c r="A220" t="inlineStr">
        <is>
          <t>A 48106-2024</t>
        </is>
      </c>
      <c r="B220" s="1" t="n">
        <v>45589.62625</v>
      </c>
      <c r="C220" s="1" t="n">
        <v>45907</v>
      </c>
      <c r="D220" t="inlineStr">
        <is>
          <t>JÄMTLANDS LÄN</t>
        </is>
      </c>
      <c r="E220" t="inlineStr">
        <is>
          <t>ÖSTERSUND</t>
        </is>
      </c>
      <c r="G220" t="n">
        <v>3.5</v>
      </c>
      <c r="H220" t="n">
        <v>0</v>
      </c>
      <c r="I220" t="n">
        <v>0</v>
      </c>
      <c r="J220" t="n">
        <v>0</v>
      </c>
      <c r="K220" t="n">
        <v>0</v>
      </c>
      <c r="L220" t="n">
        <v>0</v>
      </c>
      <c r="M220" t="n">
        <v>0</v>
      </c>
      <c r="N220" t="n">
        <v>0</v>
      </c>
      <c r="O220" t="n">
        <v>0</v>
      </c>
      <c r="P220" t="n">
        <v>0</v>
      </c>
      <c r="Q220" t="n">
        <v>0</v>
      </c>
      <c r="R220" s="2" t="inlineStr"/>
    </row>
    <row r="221" ht="15" customHeight="1">
      <c r="A221" t="inlineStr">
        <is>
          <t>A 231-2022</t>
        </is>
      </c>
      <c r="B221" s="1" t="n">
        <v>44564.93909722222</v>
      </c>
      <c r="C221" s="1" t="n">
        <v>45907</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58952-2024</t>
        </is>
      </c>
      <c r="B222" s="1" t="n">
        <v>45636.5674537037</v>
      </c>
      <c r="C222" s="1" t="n">
        <v>45907</v>
      </c>
      <c r="D222" t="inlineStr">
        <is>
          <t>JÄMTLANDS LÄN</t>
        </is>
      </c>
      <c r="E222" t="inlineStr">
        <is>
          <t>ÖSTERSUND</t>
        </is>
      </c>
      <c r="G222" t="n">
        <v>3.7</v>
      </c>
      <c r="H222" t="n">
        <v>0</v>
      </c>
      <c r="I222" t="n">
        <v>0</v>
      </c>
      <c r="J222" t="n">
        <v>0</v>
      </c>
      <c r="K222" t="n">
        <v>0</v>
      </c>
      <c r="L222" t="n">
        <v>0</v>
      </c>
      <c r="M222" t="n">
        <v>0</v>
      </c>
      <c r="N222" t="n">
        <v>0</v>
      </c>
      <c r="O222" t="n">
        <v>0</v>
      </c>
      <c r="P222" t="n">
        <v>0</v>
      </c>
      <c r="Q222" t="n">
        <v>0</v>
      </c>
      <c r="R222" s="2" t="inlineStr"/>
    </row>
    <row r="223" ht="15" customHeight="1">
      <c r="A223" t="inlineStr">
        <is>
          <t>A 46748-2023</t>
        </is>
      </c>
      <c r="B223" s="1" t="n">
        <v>45198</v>
      </c>
      <c r="C223" s="1" t="n">
        <v>45907</v>
      </c>
      <c r="D223" t="inlineStr">
        <is>
          <t>JÄMTLANDS LÄN</t>
        </is>
      </c>
      <c r="E223" t="inlineStr">
        <is>
          <t>ÖSTERSUND</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46763-2023</t>
        </is>
      </c>
      <c r="B224" s="1" t="n">
        <v>45198</v>
      </c>
      <c r="C224" s="1" t="n">
        <v>45907</v>
      </c>
      <c r="D224" t="inlineStr">
        <is>
          <t>JÄMTLANDS LÄN</t>
        </is>
      </c>
      <c r="E224" t="inlineStr">
        <is>
          <t>ÖSTERSUND</t>
        </is>
      </c>
      <c r="F224" t="inlineStr">
        <is>
          <t>Sveaskog</t>
        </is>
      </c>
      <c r="G224" t="n">
        <v>13.3</v>
      </c>
      <c r="H224" t="n">
        <v>0</v>
      </c>
      <c r="I224" t="n">
        <v>0</v>
      </c>
      <c r="J224" t="n">
        <v>0</v>
      </c>
      <c r="K224" t="n">
        <v>0</v>
      </c>
      <c r="L224" t="n">
        <v>0</v>
      </c>
      <c r="M224" t="n">
        <v>0</v>
      </c>
      <c r="N224" t="n">
        <v>0</v>
      </c>
      <c r="O224" t="n">
        <v>0</v>
      </c>
      <c r="P224" t="n">
        <v>0</v>
      </c>
      <c r="Q224" t="n">
        <v>0</v>
      </c>
      <c r="R224" s="2" t="inlineStr"/>
    </row>
    <row r="225" ht="15" customHeight="1">
      <c r="A225" t="inlineStr">
        <is>
          <t>A 5341-2025</t>
        </is>
      </c>
      <c r="B225" s="1" t="n">
        <v>45692.55256944444</v>
      </c>
      <c r="C225" s="1" t="n">
        <v>45907</v>
      </c>
      <c r="D225" t="inlineStr">
        <is>
          <t>JÄMTLANDS LÄN</t>
        </is>
      </c>
      <c r="E225" t="inlineStr">
        <is>
          <t>ÖSTERSUND</t>
        </is>
      </c>
      <c r="G225" t="n">
        <v>2.6</v>
      </c>
      <c r="H225" t="n">
        <v>0</v>
      </c>
      <c r="I225" t="n">
        <v>0</v>
      </c>
      <c r="J225" t="n">
        <v>0</v>
      </c>
      <c r="K225" t="n">
        <v>0</v>
      </c>
      <c r="L225" t="n">
        <v>0</v>
      </c>
      <c r="M225" t="n">
        <v>0</v>
      </c>
      <c r="N225" t="n">
        <v>0</v>
      </c>
      <c r="O225" t="n">
        <v>0</v>
      </c>
      <c r="P225" t="n">
        <v>0</v>
      </c>
      <c r="Q225" t="n">
        <v>0</v>
      </c>
      <c r="R225" s="2" t="inlineStr"/>
    </row>
    <row r="226" ht="15" customHeight="1">
      <c r="A226" t="inlineStr">
        <is>
          <t>A 35556-2022</t>
        </is>
      </c>
      <c r="B226" s="1" t="n">
        <v>44799</v>
      </c>
      <c r="C226" s="1" t="n">
        <v>45907</v>
      </c>
      <c r="D226" t="inlineStr">
        <is>
          <t>JÄMTLANDS LÄN</t>
        </is>
      </c>
      <c r="E226" t="inlineStr">
        <is>
          <t>ÖSTERSUND</t>
        </is>
      </c>
      <c r="G226" t="n">
        <v>3.6</v>
      </c>
      <c r="H226" t="n">
        <v>0</v>
      </c>
      <c r="I226" t="n">
        <v>0</v>
      </c>
      <c r="J226" t="n">
        <v>0</v>
      </c>
      <c r="K226" t="n">
        <v>0</v>
      </c>
      <c r="L226" t="n">
        <v>0</v>
      </c>
      <c r="M226" t="n">
        <v>0</v>
      </c>
      <c r="N226" t="n">
        <v>0</v>
      </c>
      <c r="O226" t="n">
        <v>0</v>
      </c>
      <c r="P226" t="n">
        <v>0</v>
      </c>
      <c r="Q226" t="n">
        <v>0</v>
      </c>
      <c r="R226" s="2" t="inlineStr"/>
    </row>
    <row r="227" ht="15" customHeight="1">
      <c r="A227" t="inlineStr">
        <is>
          <t>A 7549-2025</t>
        </is>
      </c>
      <c r="B227" s="1" t="n">
        <v>45705.57454861111</v>
      </c>
      <c r="C227" s="1" t="n">
        <v>45907</v>
      </c>
      <c r="D227" t="inlineStr">
        <is>
          <t>JÄMTLANDS LÄN</t>
        </is>
      </c>
      <c r="E227" t="inlineStr">
        <is>
          <t>ÖSTERSUND</t>
        </is>
      </c>
      <c r="F227" t="inlineStr">
        <is>
          <t>SCA</t>
        </is>
      </c>
      <c r="G227" t="n">
        <v>6.4</v>
      </c>
      <c r="H227" t="n">
        <v>0</v>
      </c>
      <c r="I227" t="n">
        <v>0</v>
      </c>
      <c r="J227" t="n">
        <v>0</v>
      </c>
      <c r="K227" t="n">
        <v>0</v>
      </c>
      <c r="L227" t="n">
        <v>0</v>
      </c>
      <c r="M227" t="n">
        <v>0</v>
      </c>
      <c r="N227" t="n">
        <v>0</v>
      </c>
      <c r="O227" t="n">
        <v>0</v>
      </c>
      <c r="P227" t="n">
        <v>0</v>
      </c>
      <c r="Q227" t="n">
        <v>0</v>
      </c>
      <c r="R227" s="2" t="inlineStr"/>
    </row>
    <row r="228" ht="15" customHeight="1">
      <c r="A228" t="inlineStr">
        <is>
          <t>A 21060-2025</t>
        </is>
      </c>
      <c r="B228" s="1" t="n">
        <v>45777.58025462963</v>
      </c>
      <c r="C228" s="1" t="n">
        <v>45907</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21094-2025</t>
        </is>
      </c>
      <c r="B229" s="1" t="n">
        <v>45777.62665509259</v>
      </c>
      <c r="C229" s="1" t="n">
        <v>45907</v>
      </c>
      <c r="D229" t="inlineStr">
        <is>
          <t>JÄMTLANDS LÄN</t>
        </is>
      </c>
      <c r="E229" t="inlineStr">
        <is>
          <t>ÖSTERSUND</t>
        </is>
      </c>
      <c r="G229" t="n">
        <v>3.3</v>
      </c>
      <c r="H229" t="n">
        <v>0</v>
      </c>
      <c r="I229" t="n">
        <v>0</v>
      </c>
      <c r="J229" t="n">
        <v>0</v>
      </c>
      <c r="K229" t="n">
        <v>0</v>
      </c>
      <c r="L229" t="n">
        <v>0</v>
      </c>
      <c r="M229" t="n">
        <v>0</v>
      </c>
      <c r="N229" t="n">
        <v>0</v>
      </c>
      <c r="O229" t="n">
        <v>0</v>
      </c>
      <c r="P229" t="n">
        <v>0</v>
      </c>
      <c r="Q229" t="n">
        <v>0</v>
      </c>
      <c r="R229" s="2" t="inlineStr"/>
    </row>
    <row r="230" ht="15" customHeight="1">
      <c r="A230" t="inlineStr">
        <is>
          <t>A 20674-2025</t>
        </is>
      </c>
      <c r="B230" s="1" t="n">
        <v>45776.44195601852</v>
      </c>
      <c r="C230" s="1" t="n">
        <v>45907</v>
      </c>
      <c r="D230" t="inlineStr">
        <is>
          <t>JÄMTLANDS LÄN</t>
        </is>
      </c>
      <c r="E230" t="inlineStr">
        <is>
          <t>ÖSTERSUND</t>
        </is>
      </c>
      <c r="G230" t="n">
        <v>4.5</v>
      </c>
      <c r="H230" t="n">
        <v>0</v>
      </c>
      <c r="I230" t="n">
        <v>0</v>
      </c>
      <c r="J230" t="n">
        <v>0</v>
      </c>
      <c r="K230" t="n">
        <v>0</v>
      </c>
      <c r="L230" t="n">
        <v>0</v>
      </c>
      <c r="M230" t="n">
        <v>0</v>
      </c>
      <c r="N230" t="n">
        <v>0</v>
      </c>
      <c r="O230" t="n">
        <v>0</v>
      </c>
      <c r="P230" t="n">
        <v>0</v>
      </c>
      <c r="Q230" t="n">
        <v>0</v>
      </c>
      <c r="R230" s="2" t="inlineStr"/>
    </row>
    <row r="231" ht="15" customHeight="1">
      <c r="A231" t="inlineStr">
        <is>
          <t>A 10493-2025</t>
        </is>
      </c>
      <c r="B231" s="1" t="n">
        <v>45721.36320601852</v>
      </c>
      <c r="C231" s="1" t="n">
        <v>45907</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1255-2025</t>
        </is>
      </c>
      <c r="B232" s="1" t="n">
        <v>45667.46922453704</v>
      </c>
      <c r="C232" s="1" t="n">
        <v>45907</v>
      </c>
      <c r="D232" t="inlineStr">
        <is>
          <t>JÄMTLANDS LÄN</t>
        </is>
      </c>
      <c r="E232" t="inlineStr">
        <is>
          <t>ÖSTERSUND</t>
        </is>
      </c>
      <c r="F232" t="inlineStr">
        <is>
          <t>SCA</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21237-2025</t>
        </is>
      </c>
      <c r="B233" s="1" t="n">
        <v>45779</v>
      </c>
      <c r="C233" s="1" t="n">
        <v>45907</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9744-2025</t>
        </is>
      </c>
      <c r="B234" s="1" t="n">
        <v>45716.4484375</v>
      </c>
      <c r="C234" s="1" t="n">
        <v>45907</v>
      </c>
      <c r="D234" t="inlineStr">
        <is>
          <t>JÄMTLANDS LÄN</t>
        </is>
      </c>
      <c r="E234" t="inlineStr">
        <is>
          <t>ÖSTERSUND</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16812-2025</t>
        </is>
      </c>
      <c r="B235" s="1" t="n">
        <v>45754</v>
      </c>
      <c r="C235" s="1" t="n">
        <v>45907</v>
      </c>
      <c r="D235" t="inlineStr">
        <is>
          <t>JÄMTLANDS LÄN</t>
        </is>
      </c>
      <c r="E235" t="inlineStr">
        <is>
          <t>ÖSTERSUND</t>
        </is>
      </c>
      <c r="F235" t="inlineStr">
        <is>
          <t>Övriga statliga verk och myndigheter</t>
        </is>
      </c>
      <c r="G235" t="n">
        <v>3.7</v>
      </c>
      <c r="H235" t="n">
        <v>0</v>
      </c>
      <c r="I235" t="n">
        <v>0</v>
      </c>
      <c r="J235" t="n">
        <v>0</v>
      </c>
      <c r="K235" t="n">
        <v>0</v>
      </c>
      <c r="L235" t="n">
        <v>0</v>
      </c>
      <c r="M235" t="n">
        <v>0</v>
      </c>
      <c r="N235" t="n">
        <v>0</v>
      </c>
      <c r="O235" t="n">
        <v>0</v>
      </c>
      <c r="P235" t="n">
        <v>0</v>
      </c>
      <c r="Q235" t="n">
        <v>0</v>
      </c>
      <c r="R235" s="2" t="inlineStr"/>
    </row>
    <row r="236" ht="15" customHeight="1">
      <c r="A236" t="inlineStr">
        <is>
          <t>A 14848-2025</t>
        </is>
      </c>
      <c r="B236" s="1" t="n">
        <v>45743.39528935185</v>
      </c>
      <c r="C236" s="1" t="n">
        <v>45907</v>
      </c>
      <c r="D236" t="inlineStr">
        <is>
          <t>JÄMTLANDS LÄN</t>
        </is>
      </c>
      <c r="E236" t="inlineStr">
        <is>
          <t>ÖSTERSUND</t>
        </is>
      </c>
      <c r="G236" t="n">
        <v>12.1</v>
      </c>
      <c r="H236" t="n">
        <v>0</v>
      </c>
      <c r="I236" t="n">
        <v>0</v>
      </c>
      <c r="J236" t="n">
        <v>0</v>
      </c>
      <c r="K236" t="n">
        <v>0</v>
      </c>
      <c r="L236" t="n">
        <v>0</v>
      </c>
      <c r="M236" t="n">
        <v>0</v>
      </c>
      <c r="N236" t="n">
        <v>0</v>
      </c>
      <c r="O236" t="n">
        <v>0</v>
      </c>
      <c r="P236" t="n">
        <v>0</v>
      </c>
      <c r="Q236" t="n">
        <v>0</v>
      </c>
      <c r="R236" s="2" t="inlineStr"/>
    </row>
    <row r="237" ht="15" customHeight="1">
      <c r="A237" t="inlineStr">
        <is>
          <t>A 16725-2025</t>
        </is>
      </c>
      <c r="B237" s="1" t="n">
        <v>45754</v>
      </c>
      <c r="C237" s="1" t="n">
        <v>45907</v>
      </c>
      <c r="D237" t="inlineStr">
        <is>
          <t>JÄMTLANDS LÄN</t>
        </is>
      </c>
      <c r="E237" t="inlineStr">
        <is>
          <t>ÖSTERSUND</t>
        </is>
      </c>
      <c r="F237" t="inlineStr">
        <is>
          <t>Övriga statliga verk och myndigheter</t>
        </is>
      </c>
      <c r="G237" t="n">
        <v>3.7</v>
      </c>
      <c r="H237" t="n">
        <v>0</v>
      </c>
      <c r="I237" t="n">
        <v>0</v>
      </c>
      <c r="J237" t="n">
        <v>0</v>
      </c>
      <c r="K237" t="n">
        <v>0</v>
      </c>
      <c r="L237" t="n">
        <v>0</v>
      </c>
      <c r="M237" t="n">
        <v>0</v>
      </c>
      <c r="N237" t="n">
        <v>0</v>
      </c>
      <c r="O237" t="n">
        <v>0</v>
      </c>
      <c r="P237" t="n">
        <v>0</v>
      </c>
      <c r="Q237" t="n">
        <v>0</v>
      </c>
      <c r="R237" s="2" t="inlineStr"/>
    </row>
    <row r="238" ht="15" customHeight="1">
      <c r="A238" t="inlineStr">
        <is>
          <t>A 21495-2022</t>
        </is>
      </c>
      <c r="B238" s="1" t="n">
        <v>44706</v>
      </c>
      <c r="C238" s="1" t="n">
        <v>45907</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7941-2025</t>
        </is>
      </c>
      <c r="B239" s="1" t="n">
        <v>45707</v>
      </c>
      <c r="C239" s="1" t="n">
        <v>45907</v>
      </c>
      <c r="D239" t="inlineStr">
        <is>
          <t>JÄMTLANDS LÄN</t>
        </is>
      </c>
      <c r="E239" t="inlineStr">
        <is>
          <t>ÖSTERSUND</t>
        </is>
      </c>
      <c r="G239" t="n">
        <v>2</v>
      </c>
      <c r="H239" t="n">
        <v>0</v>
      </c>
      <c r="I239" t="n">
        <v>0</v>
      </c>
      <c r="J239" t="n">
        <v>0</v>
      </c>
      <c r="K239" t="n">
        <v>0</v>
      </c>
      <c r="L239" t="n">
        <v>0</v>
      </c>
      <c r="M239" t="n">
        <v>0</v>
      </c>
      <c r="N239" t="n">
        <v>0</v>
      </c>
      <c r="O239" t="n">
        <v>0</v>
      </c>
      <c r="P239" t="n">
        <v>0</v>
      </c>
      <c r="Q239" t="n">
        <v>0</v>
      </c>
      <c r="R239" s="2" t="inlineStr"/>
    </row>
    <row r="240" ht="15" customHeight="1">
      <c r="A240" t="inlineStr">
        <is>
          <t>A 21704-2025</t>
        </is>
      </c>
      <c r="B240" s="1" t="n">
        <v>45783.51381944444</v>
      </c>
      <c r="C240" s="1" t="n">
        <v>45907</v>
      </c>
      <c r="D240" t="inlineStr">
        <is>
          <t>JÄMTLANDS LÄN</t>
        </is>
      </c>
      <c r="E240" t="inlineStr">
        <is>
          <t>ÖSTERSUND</t>
        </is>
      </c>
      <c r="G240" t="n">
        <v>4.2</v>
      </c>
      <c r="H240" t="n">
        <v>0</v>
      </c>
      <c r="I240" t="n">
        <v>0</v>
      </c>
      <c r="J240" t="n">
        <v>0</v>
      </c>
      <c r="K240" t="n">
        <v>0</v>
      </c>
      <c r="L240" t="n">
        <v>0</v>
      </c>
      <c r="M240" t="n">
        <v>0</v>
      </c>
      <c r="N240" t="n">
        <v>0</v>
      </c>
      <c r="O240" t="n">
        <v>0</v>
      </c>
      <c r="P240" t="n">
        <v>0</v>
      </c>
      <c r="Q240" t="n">
        <v>0</v>
      </c>
      <c r="R240" s="2" t="inlineStr"/>
    </row>
    <row r="241" ht="15" customHeight="1">
      <c r="A241" t="inlineStr">
        <is>
          <t>A 43557-2024</t>
        </is>
      </c>
      <c r="B241" s="1" t="n">
        <v>45569.39229166666</v>
      </c>
      <c r="C241" s="1" t="n">
        <v>45907</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4480-2025</t>
        </is>
      </c>
      <c r="B242" s="1" t="n">
        <v>45686.64175925926</v>
      </c>
      <c r="C242" s="1" t="n">
        <v>45907</v>
      </c>
      <c r="D242" t="inlineStr">
        <is>
          <t>JÄMTLANDS LÄN</t>
        </is>
      </c>
      <c r="E242" t="inlineStr">
        <is>
          <t>ÖSTERSUND</t>
        </is>
      </c>
      <c r="G242" t="n">
        <v>27.7</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45907</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4521-2025</t>
        </is>
      </c>
      <c r="B244" s="1" t="n">
        <v>45686</v>
      </c>
      <c r="C244" s="1" t="n">
        <v>45907</v>
      </c>
      <c r="D244" t="inlineStr">
        <is>
          <t>JÄMTLANDS LÄN</t>
        </is>
      </c>
      <c r="E244" t="inlineStr">
        <is>
          <t>ÖSTERSUND</t>
        </is>
      </c>
      <c r="G244" t="n">
        <v>28.4</v>
      </c>
      <c r="H244" t="n">
        <v>0</v>
      </c>
      <c r="I244" t="n">
        <v>0</v>
      </c>
      <c r="J244" t="n">
        <v>0</v>
      </c>
      <c r="K244" t="n">
        <v>0</v>
      </c>
      <c r="L244" t="n">
        <v>0</v>
      </c>
      <c r="M244" t="n">
        <v>0</v>
      </c>
      <c r="N244" t="n">
        <v>0</v>
      </c>
      <c r="O244" t="n">
        <v>0</v>
      </c>
      <c r="P244" t="n">
        <v>0</v>
      </c>
      <c r="Q244" t="n">
        <v>0</v>
      </c>
      <c r="R244" s="2" t="inlineStr"/>
    </row>
    <row r="245" ht="15" customHeight="1">
      <c r="A245" t="inlineStr">
        <is>
          <t>A 22612-2025</t>
        </is>
      </c>
      <c r="B245" s="1" t="n">
        <v>45789.42538194444</v>
      </c>
      <c r="C245" s="1" t="n">
        <v>45907</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45907</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47627-2024</t>
        </is>
      </c>
      <c r="B247" s="1" t="n">
        <v>45588.3440625</v>
      </c>
      <c r="C247" s="1" t="n">
        <v>45907</v>
      </c>
      <c r="D247" t="inlineStr">
        <is>
          <t>JÄMTLANDS LÄN</t>
        </is>
      </c>
      <c r="E247" t="inlineStr">
        <is>
          <t>ÖSTERSUND</t>
        </is>
      </c>
      <c r="G247" t="n">
        <v>0.8</v>
      </c>
      <c r="H247" t="n">
        <v>0</v>
      </c>
      <c r="I247" t="n">
        <v>0</v>
      </c>
      <c r="J247" t="n">
        <v>0</v>
      </c>
      <c r="K247" t="n">
        <v>0</v>
      </c>
      <c r="L247" t="n">
        <v>0</v>
      </c>
      <c r="M247" t="n">
        <v>0</v>
      </c>
      <c r="N247" t="n">
        <v>0</v>
      </c>
      <c r="O247" t="n">
        <v>0</v>
      </c>
      <c r="P247" t="n">
        <v>0</v>
      </c>
      <c r="Q247" t="n">
        <v>0</v>
      </c>
      <c r="R247" s="2" t="inlineStr"/>
    </row>
    <row r="248" ht="15" customHeight="1">
      <c r="A248" t="inlineStr">
        <is>
          <t>A 47628-2024</t>
        </is>
      </c>
      <c r="B248" s="1" t="n">
        <v>45588.34418981482</v>
      </c>
      <c r="C248" s="1" t="n">
        <v>45907</v>
      </c>
      <c r="D248" t="inlineStr">
        <is>
          <t>JÄMTLANDS LÄN</t>
        </is>
      </c>
      <c r="E248" t="inlineStr">
        <is>
          <t>ÖSTERSUND</t>
        </is>
      </c>
      <c r="G248" t="n">
        <v>1.9</v>
      </c>
      <c r="H248" t="n">
        <v>0</v>
      </c>
      <c r="I248" t="n">
        <v>0</v>
      </c>
      <c r="J248" t="n">
        <v>0</v>
      </c>
      <c r="K248" t="n">
        <v>0</v>
      </c>
      <c r="L248" t="n">
        <v>0</v>
      </c>
      <c r="M248" t="n">
        <v>0</v>
      </c>
      <c r="N248" t="n">
        <v>0</v>
      </c>
      <c r="O248" t="n">
        <v>0</v>
      </c>
      <c r="P248" t="n">
        <v>0</v>
      </c>
      <c r="Q248" t="n">
        <v>0</v>
      </c>
      <c r="R248" s="2" t="inlineStr"/>
    </row>
    <row r="249" ht="15" customHeight="1">
      <c r="A249" t="inlineStr">
        <is>
          <t>A 17948-2025</t>
        </is>
      </c>
      <c r="B249" s="1" t="n">
        <v>45760.66995370371</v>
      </c>
      <c r="C249" s="1" t="n">
        <v>45907</v>
      </c>
      <c r="D249" t="inlineStr">
        <is>
          <t>JÄMTLANDS LÄN</t>
        </is>
      </c>
      <c r="E249" t="inlineStr">
        <is>
          <t>ÖSTERSUND</t>
        </is>
      </c>
      <c r="G249" t="n">
        <v>3.9</v>
      </c>
      <c r="H249" t="n">
        <v>0</v>
      </c>
      <c r="I249" t="n">
        <v>0</v>
      </c>
      <c r="J249" t="n">
        <v>0</v>
      </c>
      <c r="K249" t="n">
        <v>0</v>
      </c>
      <c r="L249" t="n">
        <v>0</v>
      </c>
      <c r="M249" t="n">
        <v>0</v>
      </c>
      <c r="N249" t="n">
        <v>0</v>
      </c>
      <c r="O249" t="n">
        <v>0</v>
      </c>
      <c r="P249" t="n">
        <v>0</v>
      </c>
      <c r="Q249" t="n">
        <v>0</v>
      </c>
      <c r="R249" s="2" t="inlineStr"/>
    </row>
    <row r="250" ht="15" customHeight="1">
      <c r="A250" t="inlineStr">
        <is>
          <t>A 24246-2024</t>
        </is>
      </c>
      <c r="B250" s="1" t="n">
        <v>45457.37893518519</v>
      </c>
      <c r="C250" s="1" t="n">
        <v>45907</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14523-2023</t>
        </is>
      </c>
      <c r="B251" s="1" t="n">
        <v>45012</v>
      </c>
      <c r="C251" s="1" t="n">
        <v>45907</v>
      </c>
      <c r="D251" t="inlineStr">
        <is>
          <t>JÄMTLANDS LÄN</t>
        </is>
      </c>
      <c r="E251" t="inlineStr">
        <is>
          <t>ÖSTERSUND</t>
        </is>
      </c>
      <c r="G251" t="n">
        <v>4.5</v>
      </c>
      <c r="H251" t="n">
        <v>0</v>
      </c>
      <c r="I251" t="n">
        <v>0</v>
      </c>
      <c r="J251" t="n">
        <v>0</v>
      </c>
      <c r="K251" t="n">
        <v>0</v>
      </c>
      <c r="L251" t="n">
        <v>0</v>
      </c>
      <c r="M251" t="n">
        <v>0</v>
      </c>
      <c r="N251" t="n">
        <v>0</v>
      </c>
      <c r="O251" t="n">
        <v>0</v>
      </c>
      <c r="P251" t="n">
        <v>0</v>
      </c>
      <c r="Q251" t="n">
        <v>0</v>
      </c>
      <c r="R251" s="2" t="inlineStr"/>
    </row>
    <row r="252" ht="15" customHeight="1">
      <c r="A252" t="inlineStr">
        <is>
          <t>A 6013-2022</t>
        </is>
      </c>
      <c r="B252" s="1" t="n">
        <v>44599.45850694444</v>
      </c>
      <c r="C252" s="1" t="n">
        <v>45907</v>
      </c>
      <c r="D252" t="inlineStr">
        <is>
          <t>JÄMTLANDS LÄN</t>
        </is>
      </c>
      <c r="E252" t="inlineStr">
        <is>
          <t>ÖSTERSUND</t>
        </is>
      </c>
      <c r="G252" t="n">
        <v>2.5</v>
      </c>
      <c r="H252" t="n">
        <v>0</v>
      </c>
      <c r="I252" t="n">
        <v>0</v>
      </c>
      <c r="J252" t="n">
        <v>0</v>
      </c>
      <c r="K252" t="n">
        <v>0</v>
      </c>
      <c r="L252" t="n">
        <v>0</v>
      </c>
      <c r="M252" t="n">
        <v>0</v>
      </c>
      <c r="N252" t="n">
        <v>0</v>
      </c>
      <c r="O252" t="n">
        <v>0</v>
      </c>
      <c r="P252" t="n">
        <v>0</v>
      </c>
      <c r="Q252" t="n">
        <v>0</v>
      </c>
      <c r="R252" s="2" t="inlineStr"/>
    </row>
    <row r="253" ht="15" customHeight="1">
      <c r="A253" t="inlineStr">
        <is>
          <t>A 1159-2024</t>
        </is>
      </c>
      <c r="B253" s="1" t="n">
        <v>45302.52006944444</v>
      </c>
      <c r="C253" s="1" t="n">
        <v>45907</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45980-2023</t>
        </is>
      </c>
      <c r="B254" s="1" t="n">
        <v>45189</v>
      </c>
      <c r="C254" s="1" t="n">
        <v>45907</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15669-2025</t>
        </is>
      </c>
      <c r="B255" s="1" t="n">
        <v>45748.4396412037</v>
      </c>
      <c r="C255" s="1" t="n">
        <v>45907</v>
      </c>
      <c r="D255" t="inlineStr">
        <is>
          <t>JÄMTLANDS LÄN</t>
        </is>
      </c>
      <c r="E255" t="inlineStr">
        <is>
          <t>ÖSTERSUND</t>
        </is>
      </c>
      <c r="G255" t="n">
        <v>0.9</v>
      </c>
      <c r="H255" t="n">
        <v>0</v>
      </c>
      <c r="I255" t="n">
        <v>0</v>
      </c>
      <c r="J255" t="n">
        <v>0</v>
      </c>
      <c r="K255" t="n">
        <v>0</v>
      </c>
      <c r="L255" t="n">
        <v>0</v>
      </c>
      <c r="M255" t="n">
        <v>0</v>
      </c>
      <c r="N255" t="n">
        <v>0</v>
      </c>
      <c r="O255" t="n">
        <v>0</v>
      </c>
      <c r="P255" t="n">
        <v>0</v>
      </c>
      <c r="Q255" t="n">
        <v>0</v>
      </c>
      <c r="R255" s="2" t="inlineStr"/>
    </row>
    <row r="256" ht="15" customHeight="1">
      <c r="A256" t="inlineStr">
        <is>
          <t>A 4520-2025</t>
        </is>
      </c>
      <c r="B256" s="1" t="n">
        <v>45686.92384259259</v>
      </c>
      <c r="C256" s="1" t="n">
        <v>45907</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4523-2025</t>
        </is>
      </c>
      <c r="B257" s="1" t="n">
        <v>45686.92864583333</v>
      </c>
      <c r="C257" s="1" t="n">
        <v>45907</v>
      </c>
      <c r="D257" t="inlineStr">
        <is>
          <t>JÄMTLANDS LÄN</t>
        </is>
      </c>
      <c r="E257" t="inlineStr">
        <is>
          <t>ÖSTERSUND</t>
        </is>
      </c>
      <c r="G257" t="n">
        <v>15.2</v>
      </c>
      <c r="H257" t="n">
        <v>0</v>
      </c>
      <c r="I257" t="n">
        <v>0</v>
      </c>
      <c r="J257" t="n">
        <v>0</v>
      </c>
      <c r="K257" t="n">
        <v>0</v>
      </c>
      <c r="L257" t="n">
        <v>0</v>
      </c>
      <c r="M257" t="n">
        <v>0</v>
      </c>
      <c r="N257" t="n">
        <v>0</v>
      </c>
      <c r="O257" t="n">
        <v>0</v>
      </c>
      <c r="P257" t="n">
        <v>0</v>
      </c>
      <c r="Q257" t="n">
        <v>0</v>
      </c>
      <c r="R257" s="2" t="inlineStr"/>
    </row>
    <row r="258" ht="15" customHeight="1">
      <c r="A258" t="inlineStr">
        <is>
          <t>A 22713-2025</t>
        </is>
      </c>
      <c r="B258" s="1" t="n">
        <v>45789.56414351852</v>
      </c>
      <c r="C258" s="1" t="n">
        <v>45907</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3122-2025</t>
        </is>
      </c>
      <c r="B259" s="1" t="n">
        <v>45678</v>
      </c>
      <c r="C259" s="1" t="n">
        <v>45907</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60575-2022</t>
        </is>
      </c>
      <c r="B260" s="1" t="n">
        <v>44911.5662037037</v>
      </c>
      <c r="C260" s="1" t="n">
        <v>45907</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22822-2025</t>
        </is>
      </c>
      <c r="B261" s="1" t="n">
        <v>45789</v>
      </c>
      <c r="C261" s="1" t="n">
        <v>45907</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45338-2024</t>
        </is>
      </c>
      <c r="B262" s="1" t="n">
        <v>45576.46905092592</v>
      </c>
      <c r="C262" s="1" t="n">
        <v>45907</v>
      </c>
      <c r="D262" t="inlineStr">
        <is>
          <t>JÄMTLANDS LÄN</t>
        </is>
      </c>
      <c r="E262" t="inlineStr">
        <is>
          <t>ÖSTERSUND</t>
        </is>
      </c>
      <c r="G262" t="n">
        <v>1.4</v>
      </c>
      <c r="H262" t="n">
        <v>0</v>
      </c>
      <c r="I262" t="n">
        <v>0</v>
      </c>
      <c r="J262" t="n">
        <v>0</v>
      </c>
      <c r="K262" t="n">
        <v>0</v>
      </c>
      <c r="L262" t="n">
        <v>0</v>
      </c>
      <c r="M262" t="n">
        <v>0</v>
      </c>
      <c r="N262" t="n">
        <v>0</v>
      </c>
      <c r="O262" t="n">
        <v>0</v>
      </c>
      <c r="P262" t="n">
        <v>0</v>
      </c>
      <c r="Q262" t="n">
        <v>0</v>
      </c>
      <c r="R262" s="2" t="inlineStr"/>
    </row>
    <row r="263" ht="15" customHeight="1">
      <c r="A263" t="inlineStr">
        <is>
          <t>A 53060-2024</t>
        </is>
      </c>
      <c r="B263" s="1" t="n">
        <v>45611.46912037037</v>
      </c>
      <c r="C263" s="1" t="n">
        <v>45907</v>
      </c>
      <c r="D263" t="inlineStr">
        <is>
          <t>JÄMTLANDS LÄN</t>
        </is>
      </c>
      <c r="E263" t="inlineStr">
        <is>
          <t>ÖSTERSUND</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22384-2025</t>
        </is>
      </c>
      <c r="B264" s="1" t="n">
        <v>45786</v>
      </c>
      <c r="C264" s="1" t="n">
        <v>45907</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45907</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6578-2021</t>
        </is>
      </c>
      <c r="B266" s="1" t="n">
        <v>44236</v>
      </c>
      <c r="C266" s="1" t="n">
        <v>45907</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23555-2022</t>
        </is>
      </c>
      <c r="B267" s="1" t="n">
        <v>44721</v>
      </c>
      <c r="C267" s="1" t="n">
        <v>45907</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31464-2024</t>
        </is>
      </c>
      <c r="B268" s="1" t="n">
        <v>45505.95078703704</v>
      </c>
      <c r="C268" s="1" t="n">
        <v>45907</v>
      </c>
      <c r="D268" t="inlineStr">
        <is>
          <t>JÄMTLANDS LÄN</t>
        </is>
      </c>
      <c r="E268" t="inlineStr">
        <is>
          <t>ÖSTERSUND</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7573-2022</t>
        </is>
      </c>
      <c r="B269" s="1" t="n">
        <v>44607</v>
      </c>
      <c r="C269" s="1" t="n">
        <v>45907</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54237-2024</t>
        </is>
      </c>
      <c r="B270" s="1" t="n">
        <v>45616.67833333334</v>
      </c>
      <c r="C270" s="1" t="n">
        <v>45907</v>
      </c>
      <c r="D270" t="inlineStr">
        <is>
          <t>JÄMTLANDS LÄN</t>
        </is>
      </c>
      <c r="E270" t="inlineStr">
        <is>
          <t>ÖSTERSUND</t>
        </is>
      </c>
      <c r="F270" t="inlineStr">
        <is>
          <t>SCA</t>
        </is>
      </c>
      <c r="G270" t="n">
        <v>8.9</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45907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45907</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23249-2025</t>
        </is>
      </c>
      <c r="B273" s="1" t="n">
        <v>45791</v>
      </c>
      <c r="C273" s="1" t="n">
        <v>45907</v>
      </c>
      <c r="D273" t="inlineStr">
        <is>
          <t>JÄMTLANDS LÄN</t>
        </is>
      </c>
      <c r="E273" t="inlineStr">
        <is>
          <t>ÖSTERSUND</t>
        </is>
      </c>
      <c r="G273" t="n">
        <v>10</v>
      </c>
      <c r="H273" t="n">
        <v>0</v>
      </c>
      <c r="I273" t="n">
        <v>0</v>
      </c>
      <c r="J273" t="n">
        <v>0</v>
      </c>
      <c r="K273" t="n">
        <v>0</v>
      </c>
      <c r="L273" t="n">
        <v>0</v>
      </c>
      <c r="M273" t="n">
        <v>0</v>
      </c>
      <c r="N273" t="n">
        <v>0</v>
      </c>
      <c r="O273" t="n">
        <v>0</v>
      </c>
      <c r="P273" t="n">
        <v>0</v>
      </c>
      <c r="Q273" t="n">
        <v>0</v>
      </c>
      <c r="R273" s="2" t="inlineStr"/>
    </row>
    <row r="274" ht="15" customHeight="1">
      <c r="A274" t="inlineStr">
        <is>
          <t>A 55666-2023</t>
        </is>
      </c>
      <c r="B274" s="1" t="n">
        <v>45238.96770833333</v>
      </c>
      <c r="C274" s="1" t="n">
        <v>45907</v>
      </c>
      <c r="D274" t="inlineStr">
        <is>
          <t>JÄMTLANDS LÄN</t>
        </is>
      </c>
      <c r="E274" t="inlineStr">
        <is>
          <t>ÖSTERSUND</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296-2023</t>
        </is>
      </c>
      <c r="B275" s="1" t="n">
        <v>44922</v>
      </c>
      <c r="C275" s="1" t="n">
        <v>45907</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9109-2024</t>
        </is>
      </c>
      <c r="B276" s="1" t="n">
        <v>45357.96106481482</v>
      </c>
      <c r="C276" s="1" t="n">
        <v>45907</v>
      </c>
      <c r="D276" t="inlineStr">
        <is>
          <t>JÄMTLANDS LÄN</t>
        </is>
      </c>
      <c r="E276" t="inlineStr">
        <is>
          <t>ÖSTERSUND</t>
        </is>
      </c>
      <c r="G276" t="n">
        <v>17.1</v>
      </c>
      <c r="H276" t="n">
        <v>0</v>
      </c>
      <c r="I276" t="n">
        <v>0</v>
      </c>
      <c r="J276" t="n">
        <v>0</v>
      </c>
      <c r="K276" t="n">
        <v>0</v>
      </c>
      <c r="L276" t="n">
        <v>0</v>
      </c>
      <c r="M276" t="n">
        <v>0</v>
      </c>
      <c r="N276" t="n">
        <v>0</v>
      </c>
      <c r="O276" t="n">
        <v>0</v>
      </c>
      <c r="P276" t="n">
        <v>0</v>
      </c>
      <c r="Q276" t="n">
        <v>0</v>
      </c>
      <c r="R276" s="2" t="inlineStr"/>
    </row>
    <row r="277" ht="15" customHeight="1">
      <c r="A277" t="inlineStr">
        <is>
          <t>A 17732-2022</t>
        </is>
      </c>
      <c r="B277" s="1" t="n">
        <v>44680.92873842592</v>
      </c>
      <c r="C277" s="1" t="n">
        <v>45907</v>
      </c>
      <c r="D277" t="inlineStr">
        <is>
          <t>JÄMTLANDS LÄN</t>
        </is>
      </c>
      <c r="E277" t="inlineStr">
        <is>
          <t>ÖSTERSUND</t>
        </is>
      </c>
      <c r="G277" t="n">
        <v>5.4</v>
      </c>
      <c r="H277" t="n">
        <v>0</v>
      </c>
      <c r="I277" t="n">
        <v>0</v>
      </c>
      <c r="J277" t="n">
        <v>0</v>
      </c>
      <c r="K277" t="n">
        <v>0</v>
      </c>
      <c r="L277" t="n">
        <v>0</v>
      </c>
      <c r="M277" t="n">
        <v>0</v>
      </c>
      <c r="N277" t="n">
        <v>0</v>
      </c>
      <c r="O277" t="n">
        <v>0</v>
      </c>
      <c r="P277" t="n">
        <v>0</v>
      </c>
      <c r="Q277" t="n">
        <v>0</v>
      </c>
      <c r="R277" s="2" t="inlineStr"/>
    </row>
    <row r="278" ht="15" customHeight="1">
      <c r="A278" t="inlineStr">
        <is>
          <t>A 7938-2025</t>
        </is>
      </c>
      <c r="B278" s="1" t="n">
        <v>45707</v>
      </c>
      <c r="C278" s="1" t="n">
        <v>45907</v>
      </c>
      <c r="D278" t="inlineStr">
        <is>
          <t>JÄMTLANDS LÄN</t>
        </is>
      </c>
      <c r="E278" t="inlineStr">
        <is>
          <t>ÖSTERSUND</t>
        </is>
      </c>
      <c r="G278" t="n">
        <v>3</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45907</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50088-2024</t>
        </is>
      </c>
      <c r="B280" s="1" t="n">
        <v>45600.38585648148</v>
      </c>
      <c r="C280" s="1" t="n">
        <v>45907</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22952-2025</t>
        </is>
      </c>
      <c r="B281" s="1" t="n">
        <v>45790.51074074074</v>
      </c>
      <c r="C281" s="1" t="n">
        <v>45907</v>
      </c>
      <c r="D281" t="inlineStr">
        <is>
          <t>JÄMTLANDS LÄN</t>
        </is>
      </c>
      <c r="E281" t="inlineStr">
        <is>
          <t>ÖSTERSUND</t>
        </is>
      </c>
      <c r="F281" t="inlineStr">
        <is>
          <t>SCA</t>
        </is>
      </c>
      <c r="G281" t="n">
        <v>4.6</v>
      </c>
      <c r="H281" t="n">
        <v>0</v>
      </c>
      <c r="I281" t="n">
        <v>0</v>
      </c>
      <c r="J281" t="n">
        <v>0</v>
      </c>
      <c r="K281" t="n">
        <v>0</v>
      </c>
      <c r="L281" t="n">
        <v>0</v>
      </c>
      <c r="M281" t="n">
        <v>0</v>
      </c>
      <c r="N281" t="n">
        <v>0</v>
      </c>
      <c r="O281" t="n">
        <v>0</v>
      </c>
      <c r="P281" t="n">
        <v>0</v>
      </c>
      <c r="Q281" t="n">
        <v>0</v>
      </c>
      <c r="R281" s="2" t="inlineStr"/>
      <c r="U281">
        <f>HYPERLINK("https://klasma.github.io/Logging_2380/knärot/A 22952-2025 karta knärot.png", "A 22952-2025")</f>
        <v/>
      </c>
      <c r="V281">
        <f>HYPERLINK("https://klasma.github.io/Logging_2380/klagomål/A 22952-2025 FSC-klagomål.docx", "A 22952-2025")</f>
        <v/>
      </c>
      <c r="W281">
        <f>HYPERLINK("https://klasma.github.io/Logging_2380/klagomålsmail/A 22952-2025 FSC-klagomål mail.docx", "A 22952-2025")</f>
        <v/>
      </c>
      <c r="X281">
        <f>HYPERLINK("https://klasma.github.io/Logging_2380/tillsyn/A 22952-2025 tillsynsbegäran.docx", "A 22952-2025")</f>
        <v/>
      </c>
      <c r="Y281">
        <f>HYPERLINK("https://klasma.github.io/Logging_2380/tillsynsmail/A 22952-2025 tillsynsbegäran mail.docx", "A 22952-2025")</f>
        <v/>
      </c>
    </row>
    <row r="282" ht="15" customHeight="1">
      <c r="A282" t="inlineStr">
        <is>
          <t>A 23100-2025</t>
        </is>
      </c>
      <c r="B282" s="1" t="n">
        <v>45791.35212962963</v>
      </c>
      <c r="C282" s="1" t="n">
        <v>45907</v>
      </c>
      <c r="D282" t="inlineStr">
        <is>
          <t>JÄMTLANDS LÄN</t>
        </is>
      </c>
      <c r="E282" t="inlineStr">
        <is>
          <t>ÖSTERSUND</t>
        </is>
      </c>
      <c r="G282" t="n">
        <v>4.5</v>
      </c>
      <c r="H282" t="n">
        <v>0</v>
      </c>
      <c r="I282" t="n">
        <v>0</v>
      </c>
      <c r="J282" t="n">
        <v>0</v>
      </c>
      <c r="K282" t="n">
        <v>0</v>
      </c>
      <c r="L282" t="n">
        <v>0</v>
      </c>
      <c r="M282" t="n">
        <v>0</v>
      </c>
      <c r="N282" t="n">
        <v>0</v>
      </c>
      <c r="O282" t="n">
        <v>0</v>
      </c>
      <c r="P282" t="n">
        <v>0</v>
      </c>
      <c r="Q282" t="n">
        <v>0</v>
      </c>
      <c r="R282" s="2" t="inlineStr"/>
    </row>
    <row r="283" ht="15" customHeight="1">
      <c r="A283" t="inlineStr">
        <is>
          <t>A 11740-2022</t>
        </is>
      </c>
      <c r="B283" s="1" t="n">
        <v>44634.52982638889</v>
      </c>
      <c r="C283" s="1" t="n">
        <v>45907</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23110-2025</t>
        </is>
      </c>
      <c r="B284" s="1" t="n">
        <v>45791.36526620371</v>
      </c>
      <c r="C284" s="1" t="n">
        <v>45907</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22920-2025</t>
        </is>
      </c>
      <c r="B285" s="1" t="n">
        <v>45790.43905092592</v>
      </c>
      <c r="C285" s="1" t="n">
        <v>45907</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23078-2025</t>
        </is>
      </c>
      <c r="B286" s="1" t="n">
        <v>45791.27984953704</v>
      </c>
      <c r="C286" s="1" t="n">
        <v>45907</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57589-2024</t>
        </is>
      </c>
      <c r="B287" s="1" t="n">
        <v>45630.49710648148</v>
      </c>
      <c r="C287" s="1" t="n">
        <v>45907</v>
      </c>
      <c r="D287" t="inlineStr">
        <is>
          <t>JÄMTLANDS LÄN</t>
        </is>
      </c>
      <c r="E287" t="inlineStr">
        <is>
          <t>ÖSTERSUND</t>
        </is>
      </c>
      <c r="G287" t="n">
        <v>1.8</v>
      </c>
      <c r="H287" t="n">
        <v>0</v>
      </c>
      <c r="I287" t="n">
        <v>0</v>
      </c>
      <c r="J287" t="n">
        <v>0</v>
      </c>
      <c r="K287" t="n">
        <v>0</v>
      </c>
      <c r="L287" t="n">
        <v>0</v>
      </c>
      <c r="M287" t="n">
        <v>0</v>
      </c>
      <c r="N287" t="n">
        <v>0</v>
      </c>
      <c r="O287" t="n">
        <v>0</v>
      </c>
      <c r="P287" t="n">
        <v>0</v>
      </c>
      <c r="Q287" t="n">
        <v>0</v>
      </c>
      <c r="R287" s="2" t="inlineStr"/>
    </row>
    <row r="288" ht="15" customHeight="1">
      <c r="A288" t="inlineStr">
        <is>
          <t>A 31040-2021</t>
        </is>
      </c>
      <c r="B288" s="1" t="n">
        <v>44368</v>
      </c>
      <c r="C288" s="1" t="n">
        <v>45907</v>
      </c>
      <c r="D288" t="inlineStr">
        <is>
          <t>JÄMTLANDS LÄN</t>
        </is>
      </c>
      <c r="E288" t="inlineStr">
        <is>
          <t>ÖSTERSUND</t>
        </is>
      </c>
      <c r="G288" t="n">
        <v>4.3</v>
      </c>
      <c r="H288" t="n">
        <v>0</v>
      </c>
      <c r="I288" t="n">
        <v>0</v>
      </c>
      <c r="J288" t="n">
        <v>0</v>
      </c>
      <c r="K288" t="n">
        <v>0</v>
      </c>
      <c r="L288" t="n">
        <v>0</v>
      </c>
      <c r="M288" t="n">
        <v>0</v>
      </c>
      <c r="N288" t="n">
        <v>0</v>
      </c>
      <c r="O288" t="n">
        <v>0</v>
      </c>
      <c r="P288" t="n">
        <v>0</v>
      </c>
      <c r="Q288" t="n">
        <v>0</v>
      </c>
      <c r="R288" s="2" t="inlineStr"/>
    </row>
    <row r="289" ht="15" customHeight="1">
      <c r="A289" t="inlineStr">
        <is>
          <t>A 5549-2025</t>
        </is>
      </c>
      <c r="B289" s="1" t="n">
        <v>45693</v>
      </c>
      <c r="C289" s="1" t="n">
        <v>45907</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5553-2025</t>
        </is>
      </c>
      <c r="B290" s="1" t="n">
        <v>45693</v>
      </c>
      <c r="C290" s="1" t="n">
        <v>45907</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60560-2022</t>
        </is>
      </c>
      <c r="B291" s="1" t="n">
        <v>44911.54984953703</v>
      </c>
      <c r="C291" s="1" t="n">
        <v>45907</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55678-2023</t>
        </is>
      </c>
      <c r="B292" s="1" t="n">
        <v>45239.33032407407</v>
      </c>
      <c r="C292" s="1" t="n">
        <v>45907</v>
      </c>
      <c r="D292" t="inlineStr">
        <is>
          <t>JÄMTLANDS LÄN</t>
        </is>
      </c>
      <c r="E292" t="inlineStr">
        <is>
          <t>ÖSTERSUND</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11181-2025</t>
        </is>
      </c>
      <c r="B293" s="1" t="n">
        <v>45725.44039351852</v>
      </c>
      <c r="C293" s="1" t="n">
        <v>45907</v>
      </c>
      <c r="D293" t="inlineStr">
        <is>
          <t>JÄMTLANDS LÄN</t>
        </is>
      </c>
      <c r="E293" t="inlineStr">
        <is>
          <t>ÖSTERSUND</t>
        </is>
      </c>
      <c r="G293" t="n">
        <v>15.4</v>
      </c>
      <c r="H293" t="n">
        <v>0</v>
      </c>
      <c r="I293" t="n">
        <v>0</v>
      </c>
      <c r="J293" t="n">
        <v>0</v>
      </c>
      <c r="K293" t="n">
        <v>0</v>
      </c>
      <c r="L293" t="n">
        <v>0</v>
      </c>
      <c r="M293" t="n">
        <v>0</v>
      </c>
      <c r="N293" t="n">
        <v>0</v>
      </c>
      <c r="O293" t="n">
        <v>0</v>
      </c>
      <c r="P293" t="n">
        <v>0</v>
      </c>
      <c r="Q293" t="n">
        <v>0</v>
      </c>
      <c r="R293" s="2" t="inlineStr"/>
    </row>
    <row r="294" ht="15" customHeight="1">
      <c r="A294" t="inlineStr">
        <is>
          <t>A 5140-2025</t>
        </is>
      </c>
      <c r="B294" s="1" t="n">
        <v>45691</v>
      </c>
      <c r="C294" s="1" t="n">
        <v>45907</v>
      </c>
      <c r="D294" t="inlineStr">
        <is>
          <t>JÄMTLANDS LÄN</t>
        </is>
      </c>
      <c r="E294" t="inlineStr">
        <is>
          <t>ÖSTERSUND</t>
        </is>
      </c>
      <c r="F294" t="inlineStr">
        <is>
          <t>Övriga Aktiebolag</t>
        </is>
      </c>
      <c r="G294" t="n">
        <v>0.9</v>
      </c>
      <c r="H294" t="n">
        <v>0</v>
      </c>
      <c r="I294" t="n">
        <v>0</v>
      </c>
      <c r="J294" t="n">
        <v>0</v>
      </c>
      <c r="K294" t="n">
        <v>0</v>
      </c>
      <c r="L294" t="n">
        <v>0</v>
      </c>
      <c r="M294" t="n">
        <v>0</v>
      </c>
      <c r="N294" t="n">
        <v>0</v>
      </c>
      <c r="O294" t="n">
        <v>0</v>
      </c>
      <c r="P294" t="n">
        <v>0</v>
      </c>
      <c r="Q294" t="n">
        <v>0</v>
      </c>
      <c r="R294" s="2" t="inlineStr"/>
    </row>
    <row r="295" ht="15" customHeight="1">
      <c r="A295" t="inlineStr">
        <is>
          <t>A 43511-2022</t>
        </is>
      </c>
      <c r="B295" s="1" t="n">
        <v>44837.36724537037</v>
      </c>
      <c r="C295" s="1" t="n">
        <v>45907</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60174-2022</t>
        </is>
      </c>
      <c r="B296" s="1" t="n">
        <v>44909.9640162037</v>
      </c>
      <c r="C296" s="1" t="n">
        <v>45907</v>
      </c>
      <c r="D296" t="inlineStr">
        <is>
          <t>JÄMTLANDS LÄN</t>
        </is>
      </c>
      <c r="E296" t="inlineStr">
        <is>
          <t>ÖSTERSUND</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43016-2024</t>
        </is>
      </c>
      <c r="B297" s="1" t="n">
        <v>45567.39192129629</v>
      </c>
      <c r="C297" s="1" t="n">
        <v>45907</v>
      </c>
      <c r="D297" t="inlineStr">
        <is>
          <t>JÄMTLANDS LÄN</t>
        </is>
      </c>
      <c r="E297" t="inlineStr">
        <is>
          <t>ÖSTERSUND</t>
        </is>
      </c>
      <c r="G297" t="n">
        <v>5.3</v>
      </c>
      <c r="H297" t="n">
        <v>0</v>
      </c>
      <c r="I297" t="n">
        <v>0</v>
      </c>
      <c r="J297" t="n">
        <v>0</v>
      </c>
      <c r="K297" t="n">
        <v>0</v>
      </c>
      <c r="L297" t="n">
        <v>0</v>
      </c>
      <c r="M297" t="n">
        <v>0</v>
      </c>
      <c r="N297" t="n">
        <v>0</v>
      </c>
      <c r="O297" t="n">
        <v>0</v>
      </c>
      <c r="P297" t="n">
        <v>0</v>
      </c>
      <c r="Q297" t="n">
        <v>0</v>
      </c>
      <c r="R297" s="2" t="inlineStr"/>
    </row>
    <row r="298" ht="15" customHeight="1">
      <c r="A298" t="inlineStr">
        <is>
          <t>A 23877-2025</t>
        </is>
      </c>
      <c r="B298" s="1" t="n">
        <v>45793.68469907407</v>
      </c>
      <c r="C298" s="1" t="n">
        <v>45907</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51481-2023</t>
        </is>
      </c>
      <c r="B299" s="1" t="n">
        <v>45221.92440972223</v>
      </c>
      <c r="C299" s="1" t="n">
        <v>45907</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31916-2025</t>
        </is>
      </c>
      <c r="B300" s="1" t="n">
        <v>45834.73403935185</v>
      </c>
      <c r="C300" s="1" t="n">
        <v>45907</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15659-2021</t>
        </is>
      </c>
      <c r="B301" s="1" t="n">
        <v>44298</v>
      </c>
      <c r="C301" s="1" t="n">
        <v>45907</v>
      </c>
      <c r="D301" t="inlineStr">
        <is>
          <t>JÄMTLANDS LÄN</t>
        </is>
      </c>
      <c r="E301" t="inlineStr">
        <is>
          <t>ÖSTERSUND</t>
        </is>
      </c>
      <c r="G301" t="n">
        <v>13.3</v>
      </c>
      <c r="H301" t="n">
        <v>0</v>
      </c>
      <c r="I301" t="n">
        <v>0</v>
      </c>
      <c r="J301" t="n">
        <v>0</v>
      </c>
      <c r="K301" t="n">
        <v>0</v>
      </c>
      <c r="L301" t="n">
        <v>0</v>
      </c>
      <c r="M301" t="n">
        <v>0</v>
      </c>
      <c r="N301" t="n">
        <v>0</v>
      </c>
      <c r="O301" t="n">
        <v>0</v>
      </c>
      <c r="P301" t="n">
        <v>0</v>
      </c>
      <c r="Q301" t="n">
        <v>0</v>
      </c>
      <c r="R301" s="2" t="inlineStr"/>
    </row>
    <row r="302" ht="15" customHeight="1">
      <c r="A302" t="inlineStr">
        <is>
          <t>A 16908-2025</t>
        </is>
      </c>
      <c r="B302" s="1" t="n">
        <v>45755.35107638889</v>
      </c>
      <c r="C302" s="1" t="n">
        <v>45907</v>
      </c>
      <c r="D302" t="inlineStr">
        <is>
          <t>JÄMTLANDS LÄN</t>
        </is>
      </c>
      <c r="E302" t="inlineStr">
        <is>
          <t>ÖSTERSUND</t>
        </is>
      </c>
      <c r="G302" t="n">
        <v>8.6</v>
      </c>
      <c r="H302" t="n">
        <v>0</v>
      </c>
      <c r="I302" t="n">
        <v>0</v>
      </c>
      <c r="J302" t="n">
        <v>0</v>
      </c>
      <c r="K302" t="n">
        <v>0</v>
      </c>
      <c r="L302" t="n">
        <v>0</v>
      </c>
      <c r="M302" t="n">
        <v>0</v>
      </c>
      <c r="N302" t="n">
        <v>0</v>
      </c>
      <c r="O302" t="n">
        <v>0</v>
      </c>
      <c r="P302" t="n">
        <v>0</v>
      </c>
      <c r="Q302" t="n">
        <v>0</v>
      </c>
      <c r="R302" s="2" t="inlineStr"/>
    </row>
    <row r="303" ht="15" customHeight="1">
      <c r="A303" t="inlineStr">
        <is>
          <t>A 8675-2023</t>
        </is>
      </c>
      <c r="B303" s="1" t="n">
        <v>44977.98629629629</v>
      </c>
      <c r="C303" s="1" t="n">
        <v>45907</v>
      </c>
      <c r="D303" t="inlineStr">
        <is>
          <t>JÄMTLANDS LÄN</t>
        </is>
      </c>
      <c r="E303" t="inlineStr">
        <is>
          <t>ÖSTERSUND</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56847-2024</t>
        </is>
      </c>
      <c r="B304" s="1" t="n">
        <v>45628.53381944444</v>
      </c>
      <c r="C304" s="1" t="n">
        <v>45907</v>
      </c>
      <c r="D304" t="inlineStr">
        <is>
          <t>JÄMTLANDS LÄN</t>
        </is>
      </c>
      <c r="E304" t="inlineStr">
        <is>
          <t>ÖSTERSUND</t>
        </is>
      </c>
      <c r="G304" t="n">
        <v>1.4</v>
      </c>
      <c r="H304" t="n">
        <v>0</v>
      </c>
      <c r="I304" t="n">
        <v>0</v>
      </c>
      <c r="J304" t="n">
        <v>0</v>
      </c>
      <c r="K304" t="n">
        <v>0</v>
      </c>
      <c r="L304" t="n">
        <v>0</v>
      </c>
      <c r="M304" t="n">
        <v>0</v>
      </c>
      <c r="N304" t="n">
        <v>0</v>
      </c>
      <c r="O304" t="n">
        <v>0</v>
      </c>
      <c r="P304" t="n">
        <v>0</v>
      </c>
      <c r="Q304" t="n">
        <v>0</v>
      </c>
      <c r="R304" s="2" t="inlineStr"/>
    </row>
    <row r="305" ht="15" customHeight="1">
      <c r="A305" t="inlineStr">
        <is>
          <t>A 24368-2025</t>
        </is>
      </c>
      <c r="B305" s="1" t="n">
        <v>45797.60623842593</v>
      </c>
      <c r="C305" s="1" t="n">
        <v>45907</v>
      </c>
      <c r="D305" t="inlineStr">
        <is>
          <t>JÄMTLANDS LÄN</t>
        </is>
      </c>
      <c r="E305" t="inlineStr">
        <is>
          <t>ÖSTERSUND</t>
        </is>
      </c>
      <c r="G305" t="n">
        <v>2.9</v>
      </c>
      <c r="H305" t="n">
        <v>0</v>
      </c>
      <c r="I305" t="n">
        <v>0</v>
      </c>
      <c r="J305" t="n">
        <v>0</v>
      </c>
      <c r="K305" t="n">
        <v>0</v>
      </c>
      <c r="L305" t="n">
        <v>0</v>
      </c>
      <c r="M305" t="n">
        <v>0</v>
      </c>
      <c r="N305" t="n">
        <v>0</v>
      </c>
      <c r="O305" t="n">
        <v>0</v>
      </c>
      <c r="P305" t="n">
        <v>0</v>
      </c>
      <c r="Q305" t="n">
        <v>0</v>
      </c>
      <c r="R305" s="2" t="inlineStr"/>
    </row>
    <row r="306" ht="15" customHeight="1">
      <c r="A306" t="inlineStr">
        <is>
          <t>A 24403-2025</t>
        </is>
      </c>
      <c r="B306" s="1" t="n">
        <v>45797.65025462963</v>
      </c>
      <c r="C306" s="1" t="n">
        <v>45907</v>
      </c>
      <c r="D306" t="inlineStr">
        <is>
          <t>JÄMTLANDS LÄN</t>
        </is>
      </c>
      <c r="E306" t="inlineStr">
        <is>
          <t>ÖSTERSUND</t>
        </is>
      </c>
      <c r="G306" t="n">
        <v>1.3</v>
      </c>
      <c r="H306" t="n">
        <v>0</v>
      </c>
      <c r="I306" t="n">
        <v>0</v>
      </c>
      <c r="J306" t="n">
        <v>0</v>
      </c>
      <c r="K306" t="n">
        <v>0</v>
      </c>
      <c r="L306" t="n">
        <v>0</v>
      </c>
      <c r="M306" t="n">
        <v>0</v>
      </c>
      <c r="N306" t="n">
        <v>0</v>
      </c>
      <c r="O306" t="n">
        <v>0</v>
      </c>
      <c r="P306" t="n">
        <v>0</v>
      </c>
      <c r="Q306" t="n">
        <v>0</v>
      </c>
      <c r="R306" s="2" t="inlineStr"/>
    </row>
    <row r="307" ht="15" customHeight="1">
      <c r="A307" t="inlineStr">
        <is>
          <t>A 6048-2024</t>
        </is>
      </c>
      <c r="B307" s="1" t="n">
        <v>45336</v>
      </c>
      <c r="C307" s="1" t="n">
        <v>45907</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2747-2025</t>
        </is>
      </c>
      <c r="B308" s="1" t="n">
        <v>45677.4649537037</v>
      </c>
      <c r="C308" s="1" t="n">
        <v>45907</v>
      </c>
      <c r="D308" t="inlineStr">
        <is>
          <t>JÄMTLANDS LÄN</t>
        </is>
      </c>
      <c r="E308" t="inlineStr">
        <is>
          <t>ÖSTERSUND</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19323-2024</t>
        </is>
      </c>
      <c r="B309" s="1" t="n">
        <v>45428.92486111111</v>
      </c>
      <c r="C309" s="1" t="n">
        <v>45907</v>
      </c>
      <c r="D309" t="inlineStr">
        <is>
          <t>JÄMTLANDS LÄN</t>
        </is>
      </c>
      <c r="E309" t="inlineStr">
        <is>
          <t>ÖSTERSUND</t>
        </is>
      </c>
      <c r="F309" t="inlineStr">
        <is>
          <t>Kommuner</t>
        </is>
      </c>
      <c r="G309" t="n">
        <v>0.2</v>
      </c>
      <c r="H309" t="n">
        <v>0</v>
      </c>
      <c r="I309" t="n">
        <v>0</v>
      </c>
      <c r="J309" t="n">
        <v>0</v>
      </c>
      <c r="K309" t="n">
        <v>0</v>
      </c>
      <c r="L309" t="n">
        <v>0</v>
      </c>
      <c r="M309" t="n">
        <v>0</v>
      </c>
      <c r="N309" t="n">
        <v>0</v>
      </c>
      <c r="O309" t="n">
        <v>0</v>
      </c>
      <c r="P309" t="n">
        <v>0</v>
      </c>
      <c r="Q309" t="n">
        <v>0</v>
      </c>
      <c r="R309" s="2" t="inlineStr"/>
    </row>
    <row r="310" ht="15" customHeight="1">
      <c r="A310" t="inlineStr">
        <is>
          <t>A 7005-2025</t>
        </is>
      </c>
      <c r="B310" s="1" t="n">
        <v>45701.60046296296</v>
      </c>
      <c r="C310" s="1" t="n">
        <v>45907</v>
      </c>
      <c r="D310" t="inlineStr">
        <is>
          <t>JÄMTLANDS LÄN</t>
        </is>
      </c>
      <c r="E310" t="inlineStr">
        <is>
          <t>ÖSTERSUND</t>
        </is>
      </c>
      <c r="G310" t="n">
        <v>3.3</v>
      </c>
      <c r="H310" t="n">
        <v>0</v>
      </c>
      <c r="I310" t="n">
        <v>0</v>
      </c>
      <c r="J310" t="n">
        <v>0</v>
      </c>
      <c r="K310" t="n">
        <v>0</v>
      </c>
      <c r="L310" t="n">
        <v>0</v>
      </c>
      <c r="M310" t="n">
        <v>0</v>
      </c>
      <c r="N310" t="n">
        <v>0</v>
      </c>
      <c r="O310" t="n">
        <v>0</v>
      </c>
      <c r="P310" t="n">
        <v>0</v>
      </c>
      <c r="Q310" t="n">
        <v>0</v>
      </c>
      <c r="R310" s="2" t="inlineStr"/>
    </row>
    <row r="311" ht="15" customHeight="1">
      <c r="A311" t="inlineStr">
        <is>
          <t>A 24091-2025</t>
        </is>
      </c>
      <c r="B311" s="1" t="n">
        <v>45796.57071759259</v>
      </c>
      <c r="C311" s="1" t="n">
        <v>45907</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41780-2024</t>
        </is>
      </c>
      <c r="B312" s="1" t="n">
        <v>45561.34908564815</v>
      </c>
      <c r="C312" s="1" t="n">
        <v>45907</v>
      </c>
      <c r="D312" t="inlineStr">
        <is>
          <t>JÄMTLANDS LÄN</t>
        </is>
      </c>
      <c r="E312" t="inlineStr">
        <is>
          <t>ÖSTERSUND</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27294-2023</t>
        </is>
      </c>
      <c r="B313" s="1" t="n">
        <v>45092</v>
      </c>
      <c r="C313" s="1" t="n">
        <v>45907</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24568-2025</t>
        </is>
      </c>
      <c r="B314" s="1" t="n">
        <v>45798.46913194445</v>
      </c>
      <c r="C314" s="1" t="n">
        <v>45907</v>
      </c>
      <c r="D314" t="inlineStr">
        <is>
          <t>JÄMTLANDS LÄN</t>
        </is>
      </c>
      <c r="E314" t="inlineStr">
        <is>
          <t>ÖSTERSUND</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8389-2025</t>
        </is>
      </c>
      <c r="B315" s="1" t="n">
        <v>45709.36497685185</v>
      </c>
      <c r="C315" s="1" t="n">
        <v>45907</v>
      </c>
      <c r="D315" t="inlineStr">
        <is>
          <t>JÄMTLANDS LÄN</t>
        </is>
      </c>
      <c r="E315" t="inlineStr">
        <is>
          <t>ÖSTERSUND</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24523-2025</t>
        </is>
      </c>
      <c r="B316" s="1" t="n">
        <v>45798.42108796296</v>
      </c>
      <c r="C316" s="1" t="n">
        <v>45907</v>
      </c>
      <c r="D316" t="inlineStr">
        <is>
          <t>JÄMTLANDS LÄN</t>
        </is>
      </c>
      <c r="E316" t="inlineStr">
        <is>
          <t>ÖSTERSUND</t>
        </is>
      </c>
      <c r="G316" t="n">
        <v>13.7</v>
      </c>
      <c r="H316" t="n">
        <v>0</v>
      </c>
      <c r="I316" t="n">
        <v>0</v>
      </c>
      <c r="J316" t="n">
        <v>0</v>
      </c>
      <c r="K316" t="n">
        <v>0</v>
      </c>
      <c r="L316" t="n">
        <v>0</v>
      </c>
      <c r="M316" t="n">
        <v>0</v>
      </c>
      <c r="N316" t="n">
        <v>0</v>
      </c>
      <c r="O316" t="n">
        <v>0</v>
      </c>
      <c r="P316" t="n">
        <v>0</v>
      </c>
      <c r="Q316" t="n">
        <v>0</v>
      </c>
      <c r="R316" s="2" t="inlineStr"/>
    </row>
    <row r="317" ht="15" customHeight="1">
      <c r="A317" t="inlineStr">
        <is>
          <t>A 25058-2025</t>
        </is>
      </c>
      <c r="B317" s="1" t="n">
        <v>45799.68418981481</v>
      </c>
      <c r="C317" s="1" t="n">
        <v>45907</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53176-2024</t>
        </is>
      </c>
      <c r="B318" s="1" t="n">
        <v>45611.66655092593</v>
      </c>
      <c r="C318" s="1" t="n">
        <v>45907</v>
      </c>
      <c r="D318" t="inlineStr">
        <is>
          <t>JÄMTLANDS LÄN</t>
        </is>
      </c>
      <c r="E318" t="inlineStr">
        <is>
          <t>ÖSTERSUND</t>
        </is>
      </c>
      <c r="G318" t="n">
        <v>1.1</v>
      </c>
      <c r="H318" t="n">
        <v>0</v>
      </c>
      <c r="I318" t="n">
        <v>0</v>
      </c>
      <c r="J318" t="n">
        <v>0</v>
      </c>
      <c r="K318" t="n">
        <v>0</v>
      </c>
      <c r="L318" t="n">
        <v>0</v>
      </c>
      <c r="M318" t="n">
        <v>0</v>
      </c>
      <c r="N318" t="n">
        <v>0</v>
      </c>
      <c r="O318" t="n">
        <v>0</v>
      </c>
      <c r="P318" t="n">
        <v>0</v>
      </c>
      <c r="Q318" t="n">
        <v>0</v>
      </c>
      <c r="R318" s="2" t="inlineStr"/>
    </row>
    <row r="319" ht="15" customHeight="1">
      <c r="A319" t="inlineStr">
        <is>
          <t>A 25069-2025</t>
        </is>
      </c>
      <c r="B319" s="1" t="n">
        <v>45799.7372337963</v>
      </c>
      <c r="C319" s="1" t="n">
        <v>45907</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22082-2022</t>
        </is>
      </c>
      <c r="B320" s="1" t="n">
        <v>44711.9403587963</v>
      </c>
      <c r="C320" s="1" t="n">
        <v>45907</v>
      </c>
      <c r="D320" t="inlineStr">
        <is>
          <t>JÄMTLANDS LÄN</t>
        </is>
      </c>
      <c r="E320" t="inlineStr">
        <is>
          <t>ÖSTERSUND</t>
        </is>
      </c>
      <c r="G320" t="n">
        <v>2.6</v>
      </c>
      <c r="H320" t="n">
        <v>0</v>
      </c>
      <c r="I320" t="n">
        <v>0</v>
      </c>
      <c r="J320" t="n">
        <v>0</v>
      </c>
      <c r="K320" t="n">
        <v>0</v>
      </c>
      <c r="L320" t="n">
        <v>0</v>
      </c>
      <c r="M320" t="n">
        <v>0</v>
      </c>
      <c r="N320" t="n">
        <v>0</v>
      </c>
      <c r="O320" t="n">
        <v>0</v>
      </c>
      <c r="P320" t="n">
        <v>0</v>
      </c>
      <c r="Q320" t="n">
        <v>0</v>
      </c>
      <c r="R320" s="2" t="inlineStr"/>
    </row>
    <row r="321" ht="15" customHeight="1">
      <c r="A321" t="inlineStr">
        <is>
          <t>A 15686-2025</t>
        </is>
      </c>
      <c r="B321" s="1" t="n">
        <v>45748.46021990741</v>
      </c>
      <c r="C321" s="1" t="n">
        <v>45907</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38142-2021</t>
        </is>
      </c>
      <c r="B322" s="1" t="n">
        <v>44405</v>
      </c>
      <c r="C322" s="1" t="n">
        <v>45907</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24946-2025</t>
        </is>
      </c>
      <c r="B323" s="1" t="n">
        <v>45799.56515046296</v>
      </c>
      <c r="C323" s="1" t="n">
        <v>45907</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25059-2025</t>
        </is>
      </c>
      <c r="B324" s="1" t="n">
        <v>45799.69116898148</v>
      </c>
      <c r="C324" s="1" t="n">
        <v>45907</v>
      </c>
      <c r="D324" t="inlineStr">
        <is>
          <t>JÄMTLANDS LÄN</t>
        </is>
      </c>
      <c r="E324" t="inlineStr">
        <is>
          <t>ÖSTERSUND</t>
        </is>
      </c>
      <c r="G324" t="n">
        <v>2.7</v>
      </c>
      <c r="H324" t="n">
        <v>0</v>
      </c>
      <c r="I324" t="n">
        <v>0</v>
      </c>
      <c r="J324" t="n">
        <v>0</v>
      </c>
      <c r="K324" t="n">
        <v>0</v>
      </c>
      <c r="L324" t="n">
        <v>0</v>
      </c>
      <c r="M324" t="n">
        <v>0</v>
      </c>
      <c r="N324" t="n">
        <v>0</v>
      </c>
      <c r="O324" t="n">
        <v>0</v>
      </c>
      <c r="P324" t="n">
        <v>0</v>
      </c>
      <c r="Q324" t="n">
        <v>0</v>
      </c>
      <c r="R324" s="2" t="inlineStr"/>
    </row>
    <row r="325" ht="15" customHeight="1">
      <c r="A325" t="inlineStr">
        <is>
          <t>A 61256-2022</t>
        </is>
      </c>
      <c r="B325" s="1" t="n">
        <v>44909</v>
      </c>
      <c r="C325" s="1" t="n">
        <v>45907</v>
      </c>
      <c r="D325" t="inlineStr">
        <is>
          <t>JÄMTLANDS LÄN</t>
        </is>
      </c>
      <c r="E325" t="inlineStr">
        <is>
          <t>ÖSTERSUND</t>
        </is>
      </c>
      <c r="G325" t="n">
        <v>3.9</v>
      </c>
      <c r="H325" t="n">
        <v>0</v>
      </c>
      <c r="I325" t="n">
        <v>0</v>
      </c>
      <c r="J325" t="n">
        <v>0</v>
      </c>
      <c r="K325" t="n">
        <v>0</v>
      </c>
      <c r="L325" t="n">
        <v>0</v>
      </c>
      <c r="M325" t="n">
        <v>0</v>
      </c>
      <c r="N325" t="n">
        <v>0</v>
      </c>
      <c r="O325" t="n">
        <v>0</v>
      </c>
      <c r="P325" t="n">
        <v>0</v>
      </c>
      <c r="Q325" t="n">
        <v>0</v>
      </c>
      <c r="R325" s="2" t="inlineStr"/>
    </row>
    <row r="326" ht="15" customHeight="1">
      <c r="A326" t="inlineStr">
        <is>
          <t>A 17570-2025</t>
        </is>
      </c>
      <c r="B326" s="1" t="n">
        <v>45757.64563657407</v>
      </c>
      <c r="C326" s="1" t="n">
        <v>45907</v>
      </c>
      <c r="D326" t="inlineStr">
        <is>
          <t>JÄMTLANDS LÄN</t>
        </is>
      </c>
      <c r="E326" t="inlineStr">
        <is>
          <t>ÖSTERSUND</t>
        </is>
      </c>
      <c r="G326" t="n">
        <v>2.4</v>
      </c>
      <c r="H326" t="n">
        <v>0</v>
      </c>
      <c r="I326" t="n">
        <v>0</v>
      </c>
      <c r="J326" t="n">
        <v>0</v>
      </c>
      <c r="K326" t="n">
        <v>0</v>
      </c>
      <c r="L326" t="n">
        <v>0</v>
      </c>
      <c r="M326" t="n">
        <v>0</v>
      </c>
      <c r="N326" t="n">
        <v>0</v>
      </c>
      <c r="O326" t="n">
        <v>0</v>
      </c>
      <c r="P326" t="n">
        <v>0</v>
      </c>
      <c r="Q326" t="n">
        <v>0</v>
      </c>
      <c r="R326" s="2" t="inlineStr"/>
    </row>
    <row r="327" ht="15" customHeight="1">
      <c r="A327" t="inlineStr">
        <is>
          <t>A 25572-2025</t>
        </is>
      </c>
      <c r="B327" s="1" t="n">
        <v>45803</v>
      </c>
      <c r="C327" s="1" t="n">
        <v>45907</v>
      </c>
      <c r="D327" t="inlineStr">
        <is>
          <t>JÄMTLANDS LÄN</t>
        </is>
      </c>
      <c r="E327" t="inlineStr">
        <is>
          <t>ÖSTERSUND</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41280-2024</t>
        </is>
      </c>
      <c r="B328" s="1" t="n">
        <v>45559.59476851852</v>
      </c>
      <c r="C328" s="1" t="n">
        <v>45907</v>
      </c>
      <c r="D328" t="inlineStr">
        <is>
          <t>JÄMTLANDS LÄN</t>
        </is>
      </c>
      <c r="E328" t="inlineStr">
        <is>
          <t>ÖSTERSUND</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55302-2021</t>
        </is>
      </c>
      <c r="B329" s="1" t="n">
        <v>44475</v>
      </c>
      <c r="C329" s="1" t="n">
        <v>45907</v>
      </c>
      <c r="D329" t="inlineStr">
        <is>
          <t>JÄMTLANDS LÄN</t>
        </is>
      </c>
      <c r="E329" t="inlineStr">
        <is>
          <t>ÖSTERSUND</t>
        </is>
      </c>
      <c r="G329" t="n">
        <v>0.3</v>
      </c>
      <c r="H329" t="n">
        <v>0</v>
      </c>
      <c r="I329" t="n">
        <v>0</v>
      </c>
      <c r="J329" t="n">
        <v>0</v>
      </c>
      <c r="K329" t="n">
        <v>0</v>
      </c>
      <c r="L329" t="n">
        <v>0</v>
      </c>
      <c r="M329" t="n">
        <v>0</v>
      </c>
      <c r="N329" t="n">
        <v>0</v>
      </c>
      <c r="O329" t="n">
        <v>0</v>
      </c>
      <c r="P329" t="n">
        <v>0</v>
      </c>
      <c r="Q329" t="n">
        <v>0</v>
      </c>
      <c r="R329" s="2" t="inlineStr"/>
    </row>
    <row r="330" ht="15" customHeight="1">
      <c r="A330" t="inlineStr">
        <is>
          <t>A 61376-2024</t>
        </is>
      </c>
      <c r="B330" s="1" t="n">
        <v>45646.39434027778</v>
      </c>
      <c r="C330" s="1" t="n">
        <v>45907</v>
      </c>
      <c r="D330" t="inlineStr">
        <is>
          <t>JÄMTLANDS LÄN</t>
        </is>
      </c>
      <c r="E330" t="inlineStr">
        <is>
          <t>ÖSTERSUND</t>
        </is>
      </c>
      <c r="G330" t="n">
        <v>4.6</v>
      </c>
      <c r="H330" t="n">
        <v>0</v>
      </c>
      <c r="I330" t="n">
        <v>0</v>
      </c>
      <c r="J330" t="n">
        <v>0</v>
      </c>
      <c r="K330" t="n">
        <v>0</v>
      </c>
      <c r="L330" t="n">
        <v>0</v>
      </c>
      <c r="M330" t="n">
        <v>0</v>
      </c>
      <c r="N330" t="n">
        <v>0</v>
      </c>
      <c r="O330" t="n">
        <v>0</v>
      </c>
      <c r="P330" t="n">
        <v>0</v>
      </c>
      <c r="Q330" t="n">
        <v>0</v>
      </c>
      <c r="R330" s="2" t="inlineStr"/>
    </row>
    <row r="331" ht="15" customHeight="1">
      <c r="A331" t="inlineStr">
        <is>
          <t>A 12429-2025</t>
        </is>
      </c>
      <c r="B331" s="1" t="n">
        <v>45730.45930555555</v>
      </c>
      <c r="C331" s="1" t="n">
        <v>45907</v>
      </c>
      <c r="D331" t="inlineStr">
        <is>
          <t>JÄMTLANDS LÄN</t>
        </is>
      </c>
      <c r="E331" t="inlineStr">
        <is>
          <t>ÖSTERSUND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25252-2025</t>
        </is>
      </c>
      <c r="B332" s="1" t="n">
        <v>45800.50355324074</v>
      </c>
      <c r="C332" s="1" t="n">
        <v>45907</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25210-2025</t>
        </is>
      </c>
      <c r="B333" s="1" t="n">
        <v>45800.46960648148</v>
      </c>
      <c r="C333" s="1" t="n">
        <v>45907</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25221-2025</t>
        </is>
      </c>
      <c r="B334" s="1" t="n">
        <v>45800.47802083333</v>
      </c>
      <c r="C334" s="1" t="n">
        <v>45907</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69190-2021</t>
        </is>
      </c>
      <c r="B335" s="1" t="n">
        <v>44529</v>
      </c>
      <c r="C335" s="1" t="n">
        <v>45907</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11182-2025</t>
        </is>
      </c>
      <c r="B336" s="1" t="n">
        <v>45725.44297453704</v>
      </c>
      <c r="C336" s="1" t="n">
        <v>45907</v>
      </c>
      <c r="D336" t="inlineStr">
        <is>
          <t>JÄMTLANDS LÄN</t>
        </is>
      </c>
      <c r="E336" t="inlineStr">
        <is>
          <t>ÖSTERSUND</t>
        </is>
      </c>
      <c r="G336" t="n">
        <v>3.3</v>
      </c>
      <c r="H336" t="n">
        <v>0</v>
      </c>
      <c r="I336" t="n">
        <v>0</v>
      </c>
      <c r="J336" t="n">
        <v>0</v>
      </c>
      <c r="K336" t="n">
        <v>0</v>
      </c>
      <c r="L336" t="n">
        <v>0</v>
      </c>
      <c r="M336" t="n">
        <v>0</v>
      </c>
      <c r="N336" t="n">
        <v>0</v>
      </c>
      <c r="O336" t="n">
        <v>0</v>
      </c>
      <c r="P336" t="n">
        <v>0</v>
      </c>
      <c r="Q336" t="n">
        <v>0</v>
      </c>
      <c r="R336" s="2" t="inlineStr"/>
    </row>
    <row r="337" ht="15" customHeight="1">
      <c r="A337" t="inlineStr">
        <is>
          <t>A 25995-2025</t>
        </is>
      </c>
      <c r="B337" s="1" t="n">
        <v>45804.656875</v>
      </c>
      <c r="C337" s="1" t="n">
        <v>45907</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26144-2025</t>
        </is>
      </c>
      <c r="B338" s="1" t="n">
        <v>45805.42827546296</v>
      </c>
      <c r="C338" s="1" t="n">
        <v>45907</v>
      </c>
      <c r="D338" t="inlineStr">
        <is>
          <t>JÄMTLANDS LÄN</t>
        </is>
      </c>
      <c r="E338" t="inlineStr">
        <is>
          <t>ÖSTERSUND</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46732-2024</t>
        </is>
      </c>
      <c r="B339" s="1" t="n">
        <v>45583.46936342592</v>
      </c>
      <c r="C339" s="1" t="n">
        <v>45907</v>
      </c>
      <c r="D339" t="inlineStr">
        <is>
          <t>JÄMTLANDS LÄN</t>
        </is>
      </c>
      <c r="E339" t="inlineStr">
        <is>
          <t>ÖSTERSUND</t>
        </is>
      </c>
      <c r="G339" t="n">
        <v>3.3</v>
      </c>
      <c r="H339" t="n">
        <v>0</v>
      </c>
      <c r="I339" t="n">
        <v>0</v>
      </c>
      <c r="J339" t="n">
        <v>0</v>
      </c>
      <c r="K339" t="n">
        <v>0</v>
      </c>
      <c r="L339" t="n">
        <v>0</v>
      </c>
      <c r="M339" t="n">
        <v>0</v>
      </c>
      <c r="N339" t="n">
        <v>0</v>
      </c>
      <c r="O339" t="n">
        <v>0</v>
      </c>
      <c r="P339" t="n">
        <v>0</v>
      </c>
      <c r="Q339" t="n">
        <v>0</v>
      </c>
      <c r="R339" s="2" t="inlineStr"/>
    </row>
    <row r="340" ht="15" customHeight="1">
      <c r="A340" t="inlineStr">
        <is>
          <t>A 19581-2025</t>
        </is>
      </c>
      <c r="B340" s="1" t="n">
        <v>45770.56363425926</v>
      </c>
      <c r="C340" s="1" t="n">
        <v>45907</v>
      </c>
      <c r="D340" t="inlineStr">
        <is>
          <t>JÄMTLANDS LÄN</t>
        </is>
      </c>
      <c r="E340" t="inlineStr">
        <is>
          <t>ÖSTERSUND</t>
        </is>
      </c>
      <c r="G340" t="n">
        <v>17.2</v>
      </c>
      <c r="H340" t="n">
        <v>0</v>
      </c>
      <c r="I340" t="n">
        <v>0</v>
      </c>
      <c r="J340" t="n">
        <v>0</v>
      </c>
      <c r="K340" t="n">
        <v>0</v>
      </c>
      <c r="L340" t="n">
        <v>0</v>
      </c>
      <c r="M340" t="n">
        <v>0</v>
      </c>
      <c r="N340" t="n">
        <v>0</v>
      </c>
      <c r="O340" t="n">
        <v>0</v>
      </c>
      <c r="P340" t="n">
        <v>0</v>
      </c>
      <c r="Q340" t="n">
        <v>0</v>
      </c>
      <c r="R340" s="2" t="inlineStr"/>
    </row>
    <row r="341" ht="15" customHeight="1">
      <c r="A341" t="inlineStr">
        <is>
          <t>A 53378-2023</t>
        </is>
      </c>
      <c r="B341" s="1" t="n">
        <v>45223</v>
      </c>
      <c r="C341" s="1" t="n">
        <v>45907</v>
      </c>
      <c r="D341" t="inlineStr">
        <is>
          <t>JÄMTLANDS LÄN</t>
        </is>
      </c>
      <c r="E341" t="inlineStr">
        <is>
          <t>ÖSTERSUND</t>
        </is>
      </c>
      <c r="G341" t="n">
        <v>1.5</v>
      </c>
      <c r="H341" t="n">
        <v>0</v>
      </c>
      <c r="I341" t="n">
        <v>0</v>
      </c>
      <c r="J341" t="n">
        <v>0</v>
      </c>
      <c r="K341" t="n">
        <v>0</v>
      </c>
      <c r="L341" t="n">
        <v>0</v>
      </c>
      <c r="M341" t="n">
        <v>0</v>
      </c>
      <c r="N341" t="n">
        <v>0</v>
      </c>
      <c r="O341" t="n">
        <v>0</v>
      </c>
      <c r="P341" t="n">
        <v>0</v>
      </c>
      <c r="Q341" t="n">
        <v>0</v>
      </c>
      <c r="R341" s="2" t="inlineStr"/>
    </row>
    <row r="342" ht="15" customHeight="1">
      <c r="A342" t="inlineStr">
        <is>
          <t>A 25992-2025</t>
        </is>
      </c>
      <c r="B342" s="1" t="n">
        <v>45804.65659722222</v>
      </c>
      <c r="C342" s="1" t="n">
        <v>45907</v>
      </c>
      <c r="D342" t="inlineStr">
        <is>
          <t>JÄMTLANDS LÄN</t>
        </is>
      </c>
      <c r="E342" t="inlineStr">
        <is>
          <t>ÖSTERSUND</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47357-2024</t>
        </is>
      </c>
      <c r="B343" s="1" t="n">
        <v>45587.42835648148</v>
      </c>
      <c r="C343" s="1" t="n">
        <v>45907</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24312-2021</t>
        </is>
      </c>
      <c r="B344" s="1" t="n">
        <v>44336</v>
      </c>
      <c r="C344" s="1" t="n">
        <v>45907</v>
      </c>
      <c r="D344" t="inlineStr">
        <is>
          <t>JÄMTLANDS LÄN</t>
        </is>
      </c>
      <c r="E344" t="inlineStr">
        <is>
          <t>ÖSTERSUND</t>
        </is>
      </c>
      <c r="G344" t="n">
        <v>10.6</v>
      </c>
      <c r="H344" t="n">
        <v>0</v>
      </c>
      <c r="I344" t="n">
        <v>0</v>
      </c>
      <c r="J344" t="n">
        <v>0</v>
      </c>
      <c r="K344" t="n">
        <v>0</v>
      </c>
      <c r="L344" t="n">
        <v>0</v>
      </c>
      <c r="M344" t="n">
        <v>0</v>
      </c>
      <c r="N344" t="n">
        <v>0</v>
      </c>
      <c r="O344" t="n">
        <v>0</v>
      </c>
      <c r="P344" t="n">
        <v>0</v>
      </c>
      <c r="Q344" t="n">
        <v>0</v>
      </c>
      <c r="R344" s="2" t="inlineStr"/>
    </row>
    <row r="345" ht="15" customHeight="1">
      <c r="A345" t="inlineStr">
        <is>
          <t>A 38926-2024</t>
        </is>
      </c>
      <c r="B345" s="1" t="n">
        <v>45547.90777777778</v>
      </c>
      <c r="C345" s="1" t="n">
        <v>45907</v>
      </c>
      <c r="D345" t="inlineStr">
        <is>
          <t>JÄMTLANDS LÄN</t>
        </is>
      </c>
      <c r="E345" t="inlineStr">
        <is>
          <t>ÖSTERSUND</t>
        </is>
      </c>
      <c r="G345" t="n">
        <v>0.4</v>
      </c>
      <c r="H345" t="n">
        <v>0</v>
      </c>
      <c r="I345" t="n">
        <v>0</v>
      </c>
      <c r="J345" t="n">
        <v>0</v>
      </c>
      <c r="K345" t="n">
        <v>0</v>
      </c>
      <c r="L345" t="n">
        <v>0</v>
      </c>
      <c r="M345" t="n">
        <v>0</v>
      </c>
      <c r="N345" t="n">
        <v>0</v>
      </c>
      <c r="O345" t="n">
        <v>0</v>
      </c>
      <c r="P345" t="n">
        <v>0</v>
      </c>
      <c r="Q345" t="n">
        <v>0</v>
      </c>
      <c r="R345" s="2" t="inlineStr"/>
    </row>
    <row r="346" ht="15" customHeight="1">
      <c r="A346" t="inlineStr">
        <is>
          <t>A 25978-2025</t>
        </is>
      </c>
      <c r="B346" s="1" t="n">
        <v>45804.63628472222</v>
      </c>
      <c r="C346" s="1" t="n">
        <v>45907</v>
      </c>
      <c r="D346" t="inlineStr">
        <is>
          <t>JÄMTLANDS LÄN</t>
        </is>
      </c>
      <c r="E346" t="inlineStr">
        <is>
          <t>ÖSTERSUND</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26373-2025</t>
        </is>
      </c>
      <c r="B347" s="1" t="n">
        <v>45806.40677083333</v>
      </c>
      <c r="C347" s="1" t="n">
        <v>45907</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38335-2023</t>
        </is>
      </c>
      <c r="B348" s="1" t="n">
        <v>45161</v>
      </c>
      <c r="C348" s="1" t="n">
        <v>45907</v>
      </c>
      <c r="D348" t="inlineStr">
        <is>
          <t>JÄMTLANDS LÄN</t>
        </is>
      </c>
      <c r="E348" t="inlineStr">
        <is>
          <t>ÖSTERSUND</t>
        </is>
      </c>
      <c r="G348" t="n">
        <v>15.1</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45907</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26492-2025</t>
        </is>
      </c>
      <c r="B350" s="1" t="n">
        <v>45807</v>
      </c>
      <c r="C350" s="1" t="n">
        <v>45907</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26500-2025</t>
        </is>
      </c>
      <c r="B351" s="1" t="n">
        <v>45807</v>
      </c>
      <c r="C351" s="1" t="n">
        <v>45907</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5135-2025</t>
        </is>
      </c>
      <c r="B352" s="1" t="n">
        <v>45691</v>
      </c>
      <c r="C352" s="1" t="n">
        <v>45907</v>
      </c>
      <c r="D352" t="inlineStr">
        <is>
          <t>JÄMTLANDS LÄN</t>
        </is>
      </c>
      <c r="E352" t="inlineStr">
        <is>
          <t>ÖSTERSUND</t>
        </is>
      </c>
      <c r="F352" t="inlineStr">
        <is>
          <t>Övriga Aktiebolag</t>
        </is>
      </c>
      <c r="G352" t="n">
        <v>126.9</v>
      </c>
      <c r="H352" t="n">
        <v>0</v>
      </c>
      <c r="I352" t="n">
        <v>0</v>
      </c>
      <c r="J352" t="n">
        <v>0</v>
      </c>
      <c r="K352" t="n">
        <v>0</v>
      </c>
      <c r="L352" t="n">
        <v>0</v>
      </c>
      <c r="M352" t="n">
        <v>0</v>
      </c>
      <c r="N352" t="n">
        <v>0</v>
      </c>
      <c r="O352" t="n">
        <v>0</v>
      </c>
      <c r="P352" t="n">
        <v>0</v>
      </c>
      <c r="Q352" t="n">
        <v>0</v>
      </c>
      <c r="R352" s="2" t="inlineStr"/>
    </row>
    <row r="353" ht="15" customHeight="1">
      <c r="A353" t="inlineStr">
        <is>
          <t>A 55064-2024</t>
        </is>
      </c>
      <c r="B353" s="1" t="n">
        <v>45621.41050925926</v>
      </c>
      <c r="C353" s="1" t="n">
        <v>45907</v>
      </c>
      <c r="D353" t="inlineStr">
        <is>
          <t>JÄMTLANDS LÄN</t>
        </is>
      </c>
      <c r="E353" t="inlineStr">
        <is>
          <t>ÖSTERSUND</t>
        </is>
      </c>
      <c r="G353" t="n">
        <v>0.8</v>
      </c>
      <c r="H353" t="n">
        <v>0</v>
      </c>
      <c r="I353" t="n">
        <v>0</v>
      </c>
      <c r="J353" t="n">
        <v>0</v>
      </c>
      <c r="K353" t="n">
        <v>0</v>
      </c>
      <c r="L353" t="n">
        <v>0</v>
      </c>
      <c r="M353" t="n">
        <v>0</v>
      </c>
      <c r="N353" t="n">
        <v>0</v>
      </c>
      <c r="O353" t="n">
        <v>0</v>
      </c>
      <c r="P353" t="n">
        <v>0</v>
      </c>
      <c r="Q353" t="n">
        <v>0</v>
      </c>
      <c r="R353" s="2" t="inlineStr"/>
    </row>
    <row r="354" ht="15" customHeight="1">
      <c r="A354" t="inlineStr">
        <is>
          <t>A 3610-2024</t>
        </is>
      </c>
      <c r="B354" s="1" t="n">
        <v>45320.92060185185</v>
      </c>
      <c r="C354" s="1" t="n">
        <v>45907</v>
      </c>
      <c r="D354" t="inlineStr">
        <is>
          <t>JÄMTLANDS LÄN</t>
        </is>
      </c>
      <c r="E354" t="inlineStr">
        <is>
          <t>ÖSTERSUND</t>
        </is>
      </c>
      <c r="G354" t="n">
        <v>6.2</v>
      </c>
      <c r="H354" t="n">
        <v>0</v>
      </c>
      <c r="I354" t="n">
        <v>0</v>
      </c>
      <c r="J354" t="n">
        <v>0</v>
      </c>
      <c r="K354" t="n">
        <v>0</v>
      </c>
      <c r="L354" t="n">
        <v>0</v>
      </c>
      <c r="M354" t="n">
        <v>0</v>
      </c>
      <c r="N354" t="n">
        <v>0</v>
      </c>
      <c r="O354" t="n">
        <v>0</v>
      </c>
      <c r="P354" t="n">
        <v>0</v>
      </c>
      <c r="Q354" t="n">
        <v>0</v>
      </c>
      <c r="R354" s="2" t="inlineStr"/>
    </row>
    <row r="355" ht="15" customHeight="1">
      <c r="A355" t="inlineStr">
        <is>
          <t>A 27034-2025</t>
        </is>
      </c>
      <c r="B355" s="1" t="n">
        <v>45811.59258101852</v>
      </c>
      <c r="C355" s="1" t="n">
        <v>45907</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41802-2021</t>
        </is>
      </c>
      <c r="B356" s="1" t="n">
        <v>44425</v>
      </c>
      <c r="C356" s="1" t="n">
        <v>45907</v>
      </c>
      <c r="D356" t="inlineStr">
        <is>
          <t>JÄMTLANDS LÄN</t>
        </is>
      </c>
      <c r="E356" t="inlineStr">
        <is>
          <t>ÖSTERSUND</t>
        </is>
      </c>
      <c r="G356" t="n">
        <v>1.7</v>
      </c>
      <c r="H356" t="n">
        <v>0</v>
      </c>
      <c r="I356" t="n">
        <v>0</v>
      </c>
      <c r="J356" t="n">
        <v>0</v>
      </c>
      <c r="K356" t="n">
        <v>0</v>
      </c>
      <c r="L356" t="n">
        <v>0</v>
      </c>
      <c r="M356" t="n">
        <v>0</v>
      </c>
      <c r="N356" t="n">
        <v>0</v>
      </c>
      <c r="O356" t="n">
        <v>0</v>
      </c>
      <c r="P356" t="n">
        <v>0</v>
      </c>
      <c r="Q356" t="n">
        <v>0</v>
      </c>
      <c r="R356" s="2" t="inlineStr"/>
    </row>
    <row r="357" ht="15" customHeight="1">
      <c r="A357" t="inlineStr">
        <is>
          <t>A 26605-2025</t>
        </is>
      </c>
      <c r="B357" s="1" t="n">
        <v>45809.86790509259</v>
      </c>
      <c r="C357" s="1" t="n">
        <v>45907</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4063-2025</t>
        </is>
      </c>
      <c r="B358" s="1" t="n">
        <v>45684</v>
      </c>
      <c r="C358" s="1" t="n">
        <v>45907</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26587-2025</t>
        </is>
      </c>
      <c r="B359" s="1" t="n">
        <v>45807.75076388889</v>
      </c>
      <c r="C359" s="1" t="n">
        <v>45907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10064-2024</t>
        </is>
      </c>
      <c r="B360" s="1" t="n">
        <v>45364.3874074074</v>
      </c>
      <c r="C360" s="1" t="n">
        <v>45907</v>
      </c>
      <c r="D360" t="inlineStr">
        <is>
          <t>JÄMTLANDS LÄN</t>
        </is>
      </c>
      <c r="E360" t="inlineStr">
        <is>
          <t>ÖSTERSUND</t>
        </is>
      </c>
      <c r="G360" t="n">
        <v>13.9</v>
      </c>
      <c r="H360" t="n">
        <v>0</v>
      </c>
      <c r="I360" t="n">
        <v>0</v>
      </c>
      <c r="J360" t="n">
        <v>0</v>
      </c>
      <c r="K360" t="n">
        <v>0</v>
      </c>
      <c r="L360" t="n">
        <v>0</v>
      </c>
      <c r="M360" t="n">
        <v>0</v>
      </c>
      <c r="N360" t="n">
        <v>0</v>
      </c>
      <c r="O360" t="n">
        <v>0</v>
      </c>
      <c r="P360" t="n">
        <v>0</v>
      </c>
      <c r="Q360" t="n">
        <v>0</v>
      </c>
      <c r="R360" s="2" t="inlineStr"/>
    </row>
    <row r="361" ht="15" customHeight="1">
      <c r="A361" t="inlineStr">
        <is>
          <t>A 7224-2024</t>
        </is>
      </c>
      <c r="B361" s="1" t="n">
        <v>45344</v>
      </c>
      <c r="C361" s="1" t="n">
        <v>45907</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27343-2022</t>
        </is>
      </c>
      <c r="B362" s="1" t="n">
        <v>44742</v>
      </c>
      <c r="C362" s="1" t="n">
        <v>45907</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13651-2025</t>
        </is>
      </c>
      <c r="B363" s="1" t="n">
        <v>45736.71818287037</v>
      </c>
      <c r="C363" s="1" t="n">
        <v>45907</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39510-2024</t>
        </is>
      </c>
      <c r="B364" s="1" t="n">
        <v>45551.67761574074</v>
      </c>
      <c r="C364" s="1" t="n">
        <v>45907</v>
      </c>
      <c r="D364" t="inlineStr">
        <is>
          <t>JÄMTLANDS LÄN</t>
        </is>
      </c>
      <c r="E364" t="inlineStr">
        <is>
          <t>ÖSTERSUND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7022-2025</t>
        </is>
      </c>
      <c r="B365" s="1" t="n">
        <v>45701.61899305556</v>
      </c>
      <c r="C365" s="1" t="n">
        <v>45907</v>
      </c>
      <c r="D365" t="inlineStr">
        <is>
          <t>JÄMTLANDS LÄN</t>
        </is>
      </c>
      <c r="E365" t="inlineStr">
        <is>
          <t>ÖSTERSUND</t>
        </is>
      </c>
      <c r="G365" t="n">
        <v>4.8</v>
      </c>
      <c r="H365" t="n">
        <v>0</v>
      </c>
      <c r="I365" t="n">
        <v>0</v>
      </c>
      <c r="J365" t="n">
        <v>0</v>
      </c>
      <c r="K365" t="n">
        <v>0</v>
      </c>
      <c r="L365" t="n">
        <v>0</v>
      </c>
      <c r="M365" t="n">
        <v>0</v>
      </c>
      <c r="N365" t="n">
        <v>0</v>
      </c>
      <c r="O365" t="n">
        <v>0</v>
      </c>
      <c r="P365" t="n">
        <v>0</v>
      </c>
      <c r="Q365" t="n">
        <v>0</v>
      </c>
      <c r="R365" s="2" t="inlineStr"/>
    </row>
    <row r="366" ht="15" customHeight="1">
      <c r="A366" t="inlineStr">
        <is>
          <t>A 62222-2022</t>
        </is>
      </c>
      <c r="B366" s="1" t="n">
        <v>44922</v>
      </c>
      <c r="C366" s="1" t="n">
        <v>45907</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27035-2025</t>
        </is>
      </c>
      <c r="B367" s="1" t="n">
        <v>45811.5928587963</v>
      </c>
      <c r="C367" s="1" t="n">
        <v>45907</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47804-2024</t>
        </is>
      </c>
      <c r="B368" s="1" t="n">
        <v>45588.61498842593</v>
      </c>
      <c r="C368" s="1" t="n">
        <v>45907</v>
      </c>
      <c r="D368" t="inlineStr">
        <is>
          <t>JÄMTLANDS LÄN</t>
        </is>
      </c>
      <c r="E368" t="inlineStr">
        <is>
          <t>ÖSTERSUND</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47805-2024</t>
        </is>
      </c>
      <c r="B369" s="1" t="n">
        <v>45588.61512731481</v>
      </c>
      <c r="C369" s="1" t="n">
        <v>45907</v>
      </c>
      <c r="D369" t="inlineStr">
        <is>
          <t>JÄMTLANDS LÄN</t>
        </is>
      </c>
      <c r="E369" t="inlineStr">
        <is>
          <t>ÖSTERSUND</t>
        </is>
      </c>
      <c r="G369" t="n">
        <v>7.4</v>
      </c>
      <c r="H369" t="n">
        <v>0</v>
      </c>
      <c r="I369" t="n">
        <v>0</v>
      </c>
      <c r="J369" t="n">
        <v>0</v>
      </c>
      <c r="K369" t="n">
        <v>0</v>
      </c>
      <c r="L369" t="n">
        <v>0</v>
      </c>
      <c r="M369" t="n">
        <v>0</v>
      </c>
      <c r="N369" t="n">
        <v>0</v>
      </c>
      <c r="O369" t="n">
        <v>0</v>
      </c>
      <c r="P369" t="n">
        <v>0</v>
      </c>
      <c r="Q369" t="n">
        <v>0</v>
      </c>
      <c r="R369" s="2" t="inlineStr"/>
    </row>
    <row r="370" ht="15" customHeight="1">
      <c r="A370" t="inlineStr">
        <is>
          <t>A 50218-2024</t>
        </is>
      </c>
      <c r="B370" s="1" t="n">
        <v>45600.53160879629</v>
      </c>
      <c r="C370" s="1" t="n">
        <v>45907</v>
      </c>
      <c r="D370" t="inlineStr">
        <is>
          <t>JÄMTLANDS LÄN</t>
        </is>
      </c>
      <c r="E370" t="inlineStr">
        <is>
          <t>ÖSTERSUND</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60780-2023</t>
        </is>
      </c>
      <c r="B371" s="1" t="n">
        <v>45260</v>
      </c>
      <c r="C371" s="1" t="n">
        <v>45907</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10266-2025</t>
        </is>
      </c>
      <c r="B372" s="1" t="n">
        <v>45720.38576388889</v>
      </c>
      <c r="C372" s="1" t="n">
        <v>45907</v>
      </c>
      <c r="D372" t="inlineStr">
        <is>
          <t>JÄMTLANDS LÄN</t>
        </is>
      </c>
      <c r="E372" t="inlineStr">
        <is>
          <t>ÖSTERSUND</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60794-2023</t>
        </is>
      </c>
      <c r="B373" s="1" t="n">
        <v>45260</v>
      </c>
      <c r="C373" s="1" t="n">
        <v>45907</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27517-2025</t>
        </is>
      </c>
      <c r="B374" s="1" t="n">
        <v>45813.43966435185</v>
      </c>
      <c r="C374" s="1" t="n">
        <v>45907</v>
      </c>
      <c r="D374" t="inlineStr">
        <is>
          <t>JÄMTLANDS LÄN</t>
        </is>
      </c>
      <c r="E374" t="inlineStr">
        <is>
          <t>ÖSTERSUND</t>
        </is>
      </c>
      <c r="G374" t="n">
        <v>2.2</v>
      </c>
      <c r="H374" t="n">
        <v>0</v>
      </c>
      <c r="I374" t="n">
        <v>0</v>
      </c>
      <c r="J374" t="n">
        <v>0</v>
      </c>
      <c r="K374" t="n">
        <v>0</v>
      </c>
      <c r="L374" t="n">
        <v>0</v>
      </c>
      <c r="M374" t="n">
        <v>0</v>
      </c>
      <c r="N374" t="n">
        <v>0</v>
      </c>
      <c r="O374" t="n">
        <v>0</v>
      </c>
      <c r="P374" t="n">
        <v>0</v>
      </c>
      <c r="Q374" t="n">
        <v>0</v>
      </c>
      <c r="R374" s="2" t="inlineStr"/>
    </row>
    <row r="375" ht="15" customHeight="1">
      <c r="A375" t="inlineStr">
        <is>
          <t>A 11877-2024</t>
        </is>
      </c>
      <c r="B375" s="1" t="n">
        <v>45376</v>
      </c>
      <c r="C375" s="1" t="n">
        <v>45907</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62111-2024</t>
        </is>
      </c>
      <c r="B376" s="1" t="n">
        <v>45656.53215277778</v>
      </c>
      <c r="C376" s="1" t="n">
        <v>45907</v>
      </c>
      <c r="D376" t="inlineStr">
        <is>
          <t>JÄMTLANDS LÄN</t>
        </is>
      </c>
      <c r="E376" t="inlineStr">
        <is>
          <t>ÖSTERSUND</t>
        </is>
      </c>
      <c r="G376" t="n">
        <v>3.4</v>
      </c>
      <c r="H376" t="n">
        <v>0</v>
      </c>
      <c r="I376" t="n">
        <v>0</v>
      </c>
      <c r="J376" t="n">
        <v>0</v>
      </c>
      <c r="K376" t="n">
        <v>0</v>
      </c>
      <c r="L376" t="n">
        <v>0</v>
      </c>
      <c r="M376" t="n">
        <v>0</v>
      </c>
      <c r="N376" t="n">
        <v>0</v>
      </c>
      <c r="O376" t="n">
        <v>0</v>
      </c>
      <c r="P376" t="n">
        <v>0</v>
      </c>
      <c r="Q376" t="n">
        <v>0</v>
      </c>
      <c r="R376" s="2" t="inlineStr"/>
    </row>
    <row r="377" ht="15" customHeight="1">
      <c r="A377" t="inlineStr">
        <is>
          <t>A 53714-2022</t>
        </is>
      </c>
      <c r="B377" s="1" t="n">
        <v>44880</v>
      </c>
      <c r="C377" s="1" t="n">
        <v>45907</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52128-2023</t>
        </is>
      </c>
      <c r="B378" s="1" t="n">
        <v>45223</v>
      </c>
      <c r="C378" s="1" t="n">
        <v>45907</v>
      </c>
      <c r="D378" t="inlineStr">
        <is>
          <t>JÄMTLANDS LÄN</t>
        </is>
      </c>
      <c r="E378" t="inlineStr">
        <is>
          <t>ÖSTERSUND</t>
        </is>
      </c>
      <c r="F378" t="inlineStr">
        <is>
          <t>SCA</t>
        </is>
      </c>
      <c r="G378" t="n">
        <v>11.9</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45907</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8003-2025</t>
        </is>
      </c>
      <c r="B380" s="1" t="n">
        <v>45707</v>
      </c>
      <c r="C380" s="1" t="n">
        <v>45907</v>
      </c>
      <c r="D380" t="inlineStr">
        <is>
          <t>JÄMTLANDS LÄN</t>
        </is>
      </c>
      <c r="E380" t="inlineStr">
        <is>
          <t>ÖSTERSUND</t>
        </is>
      </c>
      <c r="F380" t="inlineStr">
        <is>
          <t>Övriga Aktiebolag</t>
        </is>
      </c>
      <c r="G380" t="n">
        <v>35.1</v>
      </c>
      <c r="H380" t="n">
        <v>0</v>
      </c>
      <c r="I380" t="n">
        <v>0</v>
      </c>
      <c r="J380" t="n">
        <v>0</v>
      </c>
      <c r="K380" t="n">
        <v>0</v>
      </c>
      <c r="L380" t="n">
        <v>0</v>
      </c>
      <c r="M380" t="n">
        <v>0</v>
      </c>
      <c r="N380" t="n">
        <v>0</v>
      </c>
      <c r="O380" t="n">
        <v>0</v>
      </c>
      <c r="P380" t="n">
        <v>0</v>
      </c>
      <c r="Q380" t="n">
        <v>0</v>
      </c>
      <c r="R380" s="2" t="inlineStr"/>
    </row>
    <row r="381" ht="15" customHeight="1">
      <c r="A381" t="inlineStr">
        <is>
          <t>A 7956-2025</t>
        </is>
      </c>
      <c r="B381" s="1" t="n">
        <v>45707.42825231481</v>
      </c>
      <c r="C381" s="1" t="n">
        <v>45907</v>
      </c>
      <c r="D381" t="inlineStr">
        <is>
          <t>JÄMTLANDS LÄN</t>
        </is>
      </c>
      <c r="E381" t="inlineStr">
        <is>
          <t>ÖSTERSUND</t>
        </is>
      </c>
      <c r="F381" t="inlineStr">
        <is>
          <t>Övriga Aktiebolag</t>
        </is>
      </c>
      <c r="G381" t="n">
        <v>111.2</v>
      </c>
      <c r="H381" t="n">
        <v>0</v>
      </c>
      <c r="I381" t="n">
        <v>0</v>
      </c>
      <c r="J381" t="n">
        <v>0</v>
      </c>
      <c r="K381" t="n">
        <v>0</v>
      </c>
      <c r="L381" t="n">
        <v>0</v>
      </c>
      <c r="M381" t="n">
        <v>0</v>
      </c>
      <c r="N381" t="n">
        <v>0</v>
      </c>
      <c r="O381" t="n">
        <v>0</v>
      </c>
      <c r="P381" t="n">
        <v>0</v>
      </c>
      <c r="Q381" t="n">
        <v>0</v>
      </c>
      <c r="R381" s="2" t="inlineStr"/>
    </row>
    <row r="382" ht="15" customHeight="1">
      <c r="A382" t="inlineStr">
        <is>
          <t>A 14653-2022</t>
        </is>
      </c>
      <c r="B382" s="1" t="n">
        <v>44655.69303240741</v>
      </c>
      <c r="C382" s="1" t="n">
        <v>45907</v>
      </c>
      <c r="D382" t="inlineStr">
        <is>
          <t>JÄMTLANDS LÄN</t>
        </is>
      </c>
      <c r="E382" t="inlineStr">
        <is>
          <t>ÖSTERSUND</t>
        </is>
      </c>
      <c r="G382" t="n">
        <v>1.6</v>
      </c>
      <c r="H382" t="n">
        <v>0</v>
      </c>
      <c r="I382" t="n">
        <v>0</v>
      </c>
      <c r="J382" t="n">
        <v>0</v>
      </c>
      <c r="K382" t="n">
        <v>0</v>
      </c>
      <c r="L382" t="n">
        <v>0</v>
      </c>
      <c r="M382" t="n">
        <v>0</v>
      </c>
      <c r="N382" t="n">
        <v>0</v>
      </c>
      <c r="O382" t="n">
        <v>0</v>
      </c>
      <c r="P382" t="n">
        <v>0</v>
      </c>
      <c r="Q382" t="n">
        <v>0</v>
      </c>
      <c r="R382" s="2" t="inlineStr"/>
    </row>
    <row r="383" ht="15" customHeight="1">
      <c r="A383" t="inlineStr">
        <is>
          <t>A 12285-2022</t>
        </is>
      </c>
      <c r="B383" s="1" t="n">
        <v>44637</v>
      </c>
      <c r="C383" s="1" t="n">
        <v>45907</v>
      </c>
      <c r="D383" t="inlineStr">
        <is>
          <t>JÄMTLANDS LÄN</t>
        </is>
      </c>
      <c r="E383" t="inlineStr">
        <is>
          <t>ÖSTERSUND</t>
        </is>
      </c>
      <c r="G383" t="n">
        <v>1.4</v>
      </c>
      <c r="H383" t="n">
        <v>0</v>
      </c>
      <c r="I383" t="n">
        <v>0</v>
      </c>
      <c r="J383" t="n">
        <v>0</v>
      </c>
      <c r="K383" t="n">
        <v>0</v>
      </c>
      <c r="L383" t="n">
        <v>0</v>
      </c>
      <c r="M383" t="n">
        <v>0</v>
      </c>
      <c r="N383" t="n">
        <v>0</v>
      </c>
      <c r="O383" t="n">
        <v>0</v>
      </c>
      <c r="P383" t="n">
        <v>0</v>
      </c>
      <c r="Q383" t="n">
        <v>0</v>
      </c>
      <c r="R383" s="2" t="inlineStr"/>
    </row>
    <row r="384" ht="15" customHeight="1">
      <c r="A384" t="inlineStr">
        <is>
          <t>A 28025-2025</t>
        </is>
      </c>
      <c r="B384" s="1" t="n">
        <v>45817</v>
      </c>
      <c r="C384" s="1" t="n">
        <v>45907</v>
      </c>
      <c r="D384" t="inlineStr">
        <is>
          <t>JÄMTLANDS LÄN</t>
        </is>
      </c>
      <c r="E384" t="inlineStr">
        <is>
          <t>ÖSTERSUND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25385-2024</t>
        </is>
      </c>
      <c r="B385" s="1" t="n">
        <v>45462.96347222223</v>
      </c>
      <c r="C385" s="1" t="n">
        <v>45907</v>
      </c>
      <c r="D385" t="inlineStr">
        <is>
          <t>JÄMTLANDS LÄN</t>
        </is>
      </c>
      <c r="E385" t="inlineStr">
        <is>
          <t>ÖSTERSUND</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28595-2025</t>
        </is>
      </c>
      <c r="B386" s="1" t="n">
        <v>45819.59429398148</v>
      </c>
      <c r="C386" s="1" t="n">
        <v>45907</v>
      </c>
      <c r="D386" t="inlineStr">
        <is>
          <t>JÄMTLANDS LÄN</t>
        </is>
      </c>
      <c r="E386" t="inlineStr">
        <is>
          <t>ÖSTERSUND</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28185-2025</t>
        </is>
      </c>
      <c r="B387" s="1" t="n">
        <v>45818.40337962963</v>
      </c>
      <c r="C387" s="1" t="n">
        <v>45907</v>
      </c>
      <c r="D387" t="inlineStr">
        <is>
          <t>JÄMTLANDS LÄN</t>
        </is>
      </c>
      <c r="E387" t="inlineStr">
        <is>
          <t>ÖSTERSUND</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28551-2025</t>
        </is>
      </c>
      <c r="B388" s="1" t="n">
        <v>45818</v>
      </c>
      <c r="C388" s="1" t="n">
        <v>45907</v>
      </c>
      <c r="D388" t="inlineStr">
        <is>
          <t>JÄMTLANDS LÄN</t>
        </is>
      </c>
      <c r="E388" t="inlineStr">
        <is>
          <t>ÖSTERSUND</t>
        </is>
      </c>
      <c r="G388" t="n">
        <v>5.2</v>
      </c>
      <c r="H388" t="n">
        <v>0</v>
      </c>
      <c r="I388" t="n">
        <v>0</v>
      </c>
      <c r="J388" t="n">
        <v>0</v>
      </c>
      <c r="K388" t="n">
        <v>0</v>
      </c>
      <c r="L388" t="n">
        <v>0</v>
      </c>
      <c r="M388" t="n">
        <v>0</v>
      </c>
      <c r="N388" t="n">
        <v>0</v>
      </c>
      <c r="O388" t="n">
        <v>0</v>
      </c>
      <c r="P388" t="n">
        <v>0</v>
      </c>
      <c r="Q388" t="n">
        <v>0</v>
      </c>
      <c r="R388" s="2" t="inlineStr"/>
    </row>
    <row r="389" ht="15" customHeight="1">
      <c r="A389" t="inlineStr">
        <is>
          <t>A 3844-2024</t>
        </is>
      </c>
      <c r="B389" s="1" t="n">
        <v>45321</v>
      </c>
      <c r="C389" s="1" t="n">
        <v>45907</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8027-2022</t>
        </is>
      </c>
      <c r="B390" s="1" t="n">
        <v>44609</v>
      </c>
      <c r="C390" s="1" t="n">
        <v>45907</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7327-2023</t>
        </is>
      </c>
      <c r="B391" s="1" t="n">
        <v>44970.97871527778</v>
      </c>
      <c r="C391" s="1" t="n">
        <v>45907</v>
      </c>
      <c r="D391" t="inlineStr">
        <is>
          <t>JÄMTLANDS LÄN</t>
        </is>
      </c>
      <c r="E391" t="inlineStr">
        <is>
          <t>ÖSTERSUND</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49192-2024</t>
        </is>
      </c>
      <c r="B392" s="1" t="n">
        <v>45595.34762731481</v>
      </c>
      <c r="C392" s="1" t="n">
        <v>45907</v>
      </c>
      <c r="D392" t="inlineStr">
        <is>
          <t>JÄMTLANDS LÄN</t>
        </is>
      </c>
      <c r="E392" t="inlineStr">
        <is>
          <t>ÖSTERSUND</t>
        </is>
      </c>
      <c r="G392" t="n">
        <v>1.1</v>
      </c>
      <c r="H392" t="n">
        <v>0</v>
      </c>
      <c r="I392" t="n">
        <v>0</v>
      </c>
      <c r="J392" t="n">
        <v>0</v>
      </c>
      <c r="K392" t="n">
        <v>0</v>
      </c>
      <c r="L392" t="n">
        <v>0</v>
      </c>
      <c r="M392" t="n">
        <v>0</v>
      </c>
      <c r="N392" t="n">
        <v>0</v>
      </c>
      <c r="O392" t="n">
        <v>0</v>
      </c>
      <c r="P392" t="n">
        <v>0</v>
      </c>
      <c r="Q392" t="n">
        <v>0</v>
      </c>
      <c r="R392" s="2" t="inlineStr"/>
    </row>
    <row r="393" ht="15" customHeight="1">
      <c r="A393" t="inlineStr">
        <is>
          <t>A 11933-2022</t>
        </is>
      </c>
      <c r="B393" s="1" t="n">
        <v>44635</v>
      </c>
      <c r="C393" s="1" t="n">
        <v>45907</v>
      </c>
      <c r="D393" t="inlineStr">
        <is>
          <t>JÄMTLANDS LÄN</t>
        </is>
      </c>
      <c r="E393" t="inlineStr">
        <is>
          <t>ÖSTERSUND</t>
        </is>
      </c>
      <c r="G393" t="n">
        <v>0.7</v>
      </c>
      <c r="H393" t="n">
        <v>0</v>
      </c>
      <c r="I393" t="n">
        <v>0</v>
      </c>
      <c r="J393" t="n">
        <v>0</v>
      </c>
      <c r="K393" t="n">
        <v>0</v>
      </c>
      <c r="L393" t="n">
        <v>0</v>
      </c>
      <c r="M393" t="n">
        <v>0</v>
      </c>
      <c r="N393" t="n">
        <v>0</v>
      </c>
      <c r="O393" t="n">
        <v>0</v>
      </c>
      <c r="P393" t="n">
        <v>0</v>
      </c>
      <c r="Q393" t="n">
        <v>0</v>
      </c>
      <c r="R393" s="2" t="inlineStr"/>
    </row>
    <row r="394" ht="15" customHeight="1">
      <c r="A394" t="inlineStr">
        <is>
          <t>A 24781-2024</t>
        </is>
      </c>
      <c r="B394" s="1" t="n">
        <v>45460.7772800926</v>
      </c>
      <c r="C394" s="1" t="n">
        <v>45907</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36211-2025</t>
        </is>
      </c>
      <c r="B395" s="1" t="n">
        <v>45867.46946759259</v>
      </c>
      <c r="C395" s="1" t="n">
        <v>45907</v>
      </c>
      <c r="D395" t="inlineStr">
        <is>
          <t>JÄMTLANDS LÄN</t>
        </is>
      </c>
      <c r="E395" t="inlineStr">
        <is>
          <t>ÖSTERSUND</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34923-2025</t>
        </is>
      </c>
      <c r="B396" s="1" t="n">
        <v>45849.55601851852</v>
      </c>
      <c r="C396" s="1" t="n">
        <v>45907</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36099-2025</t>
        </is>
      </c>
      <c r="B397" s="1" t="n">
        <v>45866.51630787037</v>
      </c>
      <c r="C397" s="1" t="n">
        <v>45907</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36098-2025</t>
        </is>
      </c>
      <c r="B398" s="1" t="n">
        <v>45866.50549768518</v>
      </c>
      <c r="C398" s="1" t="n">
        <v>45907</v>
      </c>
      <c r="D398" t="inlineStr">
        <is>
          <t>JÄMTLANDS LÄN</t>
        </is>
      </c>
      <c r="E398" t="inlineStr">
        <is>
          <t>ÖSTERSUND</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30320-2025</t>
        </is>
      </c>
      <c r="B399" s="1" t="n">
        <v>45827.49415509259</v>
      </c>
      <c r="C399" s="1" t="n">
        <v>45907</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30210-2025</t>
        </is>
      </c>
      <c r="B400" s="1" t="n">
        <v>45827.36590277778</v>
      </c>
      <c r="C400" s="1" t="n">
        <v>45907</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54608-2023</t>
        </is>
      </c>
      <c r="B401" s="1" t="n">
        <v>45233</v>
      </c>
      <c r="C401" s="1" t="n">
        <v>45907</v>
      </c>
      <c r="D401" t="inlineStr">
        <is>
          <t>JÄMTLANDS LÄN</t>
        </is>
      </c>
      <c r="E401" t="inlineStr">
        <is>
          <t>ÖSTERSUND</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37085-2025</t>
        </is>
      </c>
      <c r="B402" s="1" t="n">
        <v>45875.44840277778</v>
      </c>
      <c r="C402" s="1" t="n">
        <v>45907</v>
      </c>
      <c r="D402" t="inlineStr">
        <is>
          <t>JÄMTLANDS LÄN</t>
        </is>
      </c>
      <c r="E402" t="inlineStr">
        <is>
          <t>ÖSTERSUND</t>
        </is>
      </c>
      <c r="G402" t="n">
        <v>5.5</v>
      </c>
      <c r="H402" t="n">
        <v>0</v>
      </c>
      <c r="I402" t="n">
        <v>0</v>
      </c>
      <c r="J402" t="n">
        <v>0</v>
      </c>
      <c r="K402" t="n">
        <v>0</v>
      </c>
      <c r="L402" t="n">
        <v>0</v>
      </c>
      <c r="M402" t="n">
        <v>0</v>
      </c>
      <c r="N402" t="n">
        <v>0</v>
      </c>
      <c r="O402" t="n">
        <v>0</v>
      </c>
      <c r="P402" t="n">
        <v>0</v>
      </c>
      <c r="Q402" t="n">
        <v>0</v>
      </c>
      <c r="R402" s="2" t="inlineStr"/>
    </row>
    <row r="403" ht="15" customHeight="1">
      <c r="A403" t="inlineStr">
        <is>
          <t>A 36566-2025</t>
        </is>
      </c>
      <c r="B403" s="1" t="n">
        <v>45869</v>
      </c>
      <c r="C403" s="1" t="n">
        <v>45907</v>
      </c>
      <c r="D403" t="inlineStr">
        <is>
          <t>JÄMTLANDS LÄN</t>
        </is>
      </c>
      <c r="E403" t="inlineStr">
        <is>
          <t>ÖSTERSUND</t>
        </is>
      </c>
      <c r="F403" t="inlineStr">
        <is>
          <t>Sveaskog</t>
        </is>
      </c>
      <c r="G403" t="n">
        <v>6.9</v>
      </c>
      <c r="H403" t="n">
        <v>0</v>
      </c>
      <c r="I403" t="n">
        <v>0</v>
      </c>
      <c r="J403" t="n">
        <v>0</v>
      </c>
      <c r="K403" t="n">
        <v>0</v>
      </c>
      <c r="L403" t="n">
        <v>0</v>
      </c>
      <c r="M403" t="n">
        <v>0</v>
      </c>
      <c r="N403" t="n">
        <v>0</v>
      </c>
      <c r="O403" t="n">
        <v>0</v>
      </c>
      <c r="P403" t="n">
        <v>0</v>
      </c>
      <c r="Q403" t="n">
        <v>0</v>
      </c>
      <c r="R403" s="2" t="inlineStr"/>
    </row>
    <row r="404" ht="15" customHeight="1">
      <c r="A404" t="inlineStr">
        <is>
          <t>A 14947-2025</t>
        </is>
      </c>
      <c r="B404" s="1" t="n">
        <v>45743.57336805556</v>
      </c>
      <c r="C404" s="1" t="n">
        <v>45907</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2753-2025</t>
        </is>
      </c>
      <c r="B405" s="1" t="n">
        <v>45677.47302083333</v>
      </c>
      <c r="C405" s="1" t="n">
        <v>45907</v>
      </c>
      <c r="D405" t="inlineStr">
        <is>
          <t>JÄMTLANDS LÄN</t>
        </is>
      </c>
      <c r="E405" t="inlineStr">
        <is>
          <t>ÖSTERSUND</t>
        </is>
      </c>
      <c r="G405" t="n">
        <v>6.4</v>
      </c>
      <c r="H405" t="n">
        <v>0</v>
      </c>
      <c r="I405" t="n">
        <v>0</v>
      </c>
      <c r="J405" t="n">
        <v>0</v>
      </c>
      <c r="K405" t="n">
        <v>0</v>
      </c>
      <c r="L405" t="n">
        <v>0</v>
      </c>
      <c r="M405" t="n">
        <v>0</v>
      </c>
      <c r="N405" t="n">
        <v>0</v>
      </c>
      <c r="O405" t="n">
        <v>0</v>
      </c>
      <c r="P405" t="n">
        <v>0</v>
      </c>
      <c r="Q405" t="n">
        <v>0</v>
      </c>
      <c r="R405" s="2" t="inlineStr"/>
    </row>
    <row r="406" ht="15" customHeight="1">
      <c r="A406" t="inlineStr">
        <is>
          <t>A 32071-2025</t>
        </is>
      </c>
      <c r="B406" s="1" t="n">
        <v>45835.4491087963</v>
      </c>
      <c r="C406" s="1" t="n">
        <v>45907</v>
      </c>
      <c r="D406" t="inlineStr">
        <is>
          <t>JÄMTLANDS LÄN</t>
        </is>
      </c>
      <c r="E406" t="inlineStr">
        <is>
          <t>ÖSTERSUND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56646-2024</t>
        </is>
      </c>
      <c r="B407" s="1" t="n">
        <v>45625</v>
      </c>
      <c r="C407" s="1" t="n">
        <v>45907</v>
      </c>
      <c r="D407" t="inlineStr">
        <is>
          <t>JÄMTLANDS LÄN</t>
        </is>
      </c>
      <c r="E407" t="inlineStr">
        <is>
          <t>ÖSTERSUND</t>
        </is>
      </c>
      <c r="G407" t="n">
        <v>18.9</v>
      </c>
      <c r="H407" t="n">
        <v>0</v>
      </c>
      <c r="I407" t="n">
        <v>0</v>
      </c>
      <c r="J407" t="n">
        <v>0</v>
      </c>
      <c r="K407" t="n">
        <v>0</v>
      </c>
      <c r="L407" t="n">
        <v>0</v>
      </c>
      <c r="M407" t="n">
        <v>0</v>
      </c>
      <c r="N407" t="n">
        <v>0</v>
      </c>
      <c r="O407" t="n">
        <v>0</v>
      </c>
      <c r="P407" t="n">
        <v>0</v>
      </c>
      <c r="Q407" t="n">
        <v>0</v>
      </c>
      <c r="R407" s="2" t="inlineStr"/>
    </row>
    <row r="408" ht="15" customHeight="1">
      <c r="A408" t="inlineStr">
        <is>
          <t>A 79-2025</t>
        </is>
      </c>
      <c r="B408" s="1" t="n">
        <v>45659.44413194444</v>
      </c>
      <c r="C408" s="1" t="n">
        <v>45907</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44327-2023</t>
        </is>
      </c>
      <c r="B409" s="1" t="n">
        <v>45188</v>
      </c>
      <c r="C409" s="1" t="n">
        <v>45907</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32279-2025</t>
        </is>
      </c>
      <c r="B410" s="1" t="n">
        <v>45835.67109953704</v>
      </c>
      <c r="C410" s="1" t="n">
        <v>45907</v>
      </c>
      <c r="D410" t="inlineStr">
        <is>
          <t>JÄMTLANDS LÄN</t>
        </is>
      </c>
      <c r="E410" t="inlineStr">
        <is>
          <t>ÖSTERSUND</t>
        </is>
      </c>
      <c r="G410" t="n">
        <v>3.5</v>
      </c>
      <c r="H410" t="n">
        <v>0</v>
      </c>
      <c r="I410" t="n">
        <v>0</v>
      </c>
      <c r="J410" t="n">
        <v>0</v>
      </c>
      <c r="K410" t="n">
        <v>0</v>
      </c>
      <c r="L410" t="n">
        <v>0</v>
      </c>
      <c r="M410" t="n">
        <v>0</v>
      </c>
      <c r="N410" t="n">
        <v>0</v>
      </c>
      <c r="O410" t="n">
        <v>0</v>
      </c>
      <c r="P410" t="n">
        <v>0</v>
      </c>
      <c r="Q410" t="n">
        <v>0</v>
      </c>
      <c r="R410" s="2" t="inlineStr"/>
    </row>
    <row r="411" ht="15" customHeight="1">
      <c r="A411" t="inlineStr">
        <is>
          <t>A 7300-2025</t>
        </is>
      </c>
      <c r="B411" s="1" t="n">
        <v>45702.65655092592</v>
      </c>
      <c r="C411" s="1" t="n">
        <v>45907</v>
      </c>
      <c r="D411" t="inlineStr">
        <is>
          <t>JÄMTLANDS LÄN</t>
        </is>
      </c>
      <c r="E411" t="inlineStr">
        <is>
          <t>ÖSTERSUND</t>
        </is>
      </c>
      <c r="F411" t="inlineStr">
        <is>
          <t>SCA</t>
        </is>
      </c>
      <c r="G411" t="n">
        <v>10.4</v>
      </c>
      <c r="H411" t="n">
        <v>0</v>
      </c>
      <c r="I411" t="n">
        <v>0</v>
      </c>
      <c r="J411" t="n">
        <v>0</v>
      </c>
      <c r="K411" t="n">
        <v>0</v>
      </c>
      <c r="L411" t="n">
        <v>0</v>
      </c>
      <c r="M411" t="n">
        <v>0</v>
      </c>
      <c r="N411" t="n">
        <v>0</v>
      </c>
      <c r="O411" t="n">
        <v>0</v>
      </c>
      <c r="P411" t="n">
        <v>0</v>
      </c>
      <c r="Q411" t="n">
        <v>0</v>
      </c>
      <c r="R411" s="2" t="inlineStr"/>
    </row>
    <row r="412" ht="15" customHeight="1">
      <c r="A412" t="inlineStr">
        <is>
          <t>A 32358-2025</t>
        </is>
      </c>
      <c r="B412" s="1" t="n">
        <v>45837.57481481481</v>
      </c>
      <c r="C412" s="1" t="n">
        <v>45907</v>
      </c>
      <c r="D412" t="inlineStr">
        <is>
          <t>JÄMTLANDS LÄN</t>
        </is>
      </c>
      <c r="E412" t="inlineStr">
        <is>
          <t>ÖSTERSUND</t>
        </is>
      </c>
      <c r="F412" t="inlineStr">
        <is>
          <t>Övriga Aktiebolag</t>
        </is>
      </c>
      <c r="G412" t="n">
        <v>4.8</v>
      </c>
      <c r="H412" t="n">
        <v>0</v>
      </c>
      <c r="I412" t="n">
        <v>0</v>
      </c>
      <c r="J412" t="n">
        <v>0</v>
      </c>
      <c r="K412" t="n">
        <v>0</v>
      </c>
      <c r="L412" t="n">
        <v>0</v>
      </c>
      <c r="M412" t="n">
        <v>0</v>
      </c>
      <c r="N412" t="n">
        <v>0</v>
      </c>
      <c r="O412" t="n">
        <v>0</v>
      </c>
      <c r="P412" t="n">
        <v>0</v>
      </c>
      <c r="Q412" t="n">
        <v>0</v>
      </c>
      <c r="R412" s="2" t="inlineStr"/>
    </row>
    <row r="413" ht="15" customHeight="1">
      <c r="A413" t="inlineStr">
        <is>
          <t>A 32353-2025</t>
        </is>
      </c>
      <c r="B413" s="1" t="n">
        <v>45837.51741898148</v>
      </c>
      <c r="C413" s="1" t="n">
        <v>45907</v>
      </c>
      <c r="D413" t="inlineStr">
        <is>
          <t>JÄMTLANDS LÄN</t>
        </is>
      </c>
      <c r="E413" t="inlineStr">
        <is>
          <t>ÖSTERSUND</t>
        </is>
      </c>
      <c r="F413" t="inlineStr">
        <is>
          <t>Övriga Aktiebolag</t>
        </is>
      </c>
      <c r="G413" t="n">
        <v>4.8</v>
      </c>
      <c r="H413" t="n">
        <v>0</v>
      </c>
      <c r="I413" t="n">
        <v>0</v>
      </c>
      <c r="J413" t="n">
        <v>0</v>
      </c>
      <c r="K413" t="n">
        <v>0</v>
      </c>
      <c r="L413" t="n">
        <v>0</v>
      </c>
      <c r="M413" t="n">
        <v>0</v>
      </c>
      <c r="N413" t="n">
        <v>0</v>
      </c>
      <c r="O413" t="n">
        <v>0</v>
      </c>
      <c r="P413" t="n">
        <v>0</v>
      </c>
      <c r="Q413" t="n">
        <v>0</v>
      </c>
      <c r="R413" s="2" t="inlineStr"/>
    </row>
    <row r="414" ht="15" customHeight="1">
      <c r="A414" t="inlineStr">
        <is>
          <t>A 32369-2025</t>
        </is>
      </c>
      <c r="B414" s="1" t="n">
        <v>45837.67381944445</v>
      </c>
      <c r="C414" s="1" t="n">
        <v>45907</v>
      </c>
      <c r="D414" t="inlineStr">
        <is>
          <t>JÄMTLANDS LÄN</t>
        </is>
      </c>
      <c r="E414" t="inlineStr">
        <is>
          <t>ÖSTERSUND</t>
        </is>
      </c>
      <c r="F414" t="inlineStr">
        <is>
          <t>Övriga Aktiebolag</t>
        </is>
      </c>
      <c r="G414" t="n">
        <v>5.7</v>
      </c>
      <c r="H414" t="n">
        <v>0</v>
      </c>
      <c r="I414" t="n">
        <v>0</v>
      </c>
      <c r="J414" t="n">
        <v>0</v>
      </c>
      <c r="K414" t="n">
        <v>0</v>
      </c>
      <c r="L414" t="n">
        <v>0</v>
      </c>
      <c r="M414" t="n">
        <v>0</v>
      </c>
      <c r="N414" t="n">
        <v>0</v>
      </c>
      <c r="O414" t="n">
        <v>0</v>
      </c>
      <c r="P414" t="n">
        <v>0</v>
      </c>
      <c r="Q414" t="n">
        <v>0</v>
      </c>
      <c r="R414" s="2" t="inlineStr"/>
    </row>
    <row r="415" ht="15" customHeight="1">
      <c r="A415" t="inlineStr">
        <is>
          <t>A 32368-2025</t>
        </is>
      </c>
      <c r="B415" s="1" t="n">
        <v>45837.66230324074</v>
      </c>
      <c r="C415" s="1" t="n">
        <v>45907</v>
      </c>
      <c r="D415" t="inlineStr">
        <is>
          <t>JÄMTLANDS LÄN</t>
        </is>
      </c>
      <c r="E415" t="inlineStr">
        <is>
          <t>ÖSTERSUND</t>
        </is>
      </c>
      <c r="F415" t="inlineStr">
        <is>
          <t>Övriga Aktiebolag</t>
        </is>
      </c>
      <c r="G415" t="n">
        <v>19.5</v>
      </c>
      <c r="H415" t="n">
        <v>0</v>
      </c>
      <c r="I415" t="n">
        <v>0</v>
      </c>
      <c r="J415" t="n">
        <v>0</v>
      </c>
      <c r="K415" t="n">
        <v>0</v>
      </c>
      <c r="L415" t="n">
        <v>0</v>
      </c>
      <c r="M415" t="n">
        <v>0</v>
      </c>
      <c r="N415" t="n">
        <v>0</v>
      </c>
      <c r="O415" t="n">
        <v>0</v>
      </c>
      <c r="P415" t="n">
        <v>0</v>
      </c>
      <c r="Q415" t="n">
        <v>0</v>
      </c>
      <c r="R415" s="2" t="inlineStr"/>
    </row>
    <row r="416" ht="15" customHeight="1">
      <c r="A416" t="inlineStr">
        <is>
          <t>A 21667-2024</t>
        </is>
      </c>
      <c r="B416" s="1" t="n">
        <v>45442.38511574074</v>
      </c>
      <c r="C416" s="1" t="n">
        <v>45907</v>
      </c>
      <c r="D416" t="inlineStr">
        <is>
          <t>JÄMTLANDS LÄN</t>
        </is>
      </c>
      <c r="E416" t="inlineStr">
        <is>
          <t>ÖSTERSUND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33358-2025</t>
        </is>
      </c>
      <c r="B417" s="1" t="n">
        <v>45841.38054398148</v>
      </c>
      <c r="C417" s="1" t="n">
        <v>45907</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36406-2023</t>
        </is>
      </c>
      <c r="B418" s="1" t="n">
        <v>45149</v>
      </c>
      <c r="C418" s="1" t="n">
        <v>45907</v>
      </c>
      <c r="D418" t="inlineStr">
        <is>
          <t>JÄMTLANDS LÄN</t>
        </is>
      </c>
      <c r="E418" t="inlineStr">
        <is>
          <t>ÖSTERSUND</t>
        </is>
      </c>
      <c r="G418" t="n">
        <v>2.4</v>
      </c>
      <c r="H418" t="n">
        <v>0</v>
      </c>
      <c r="I418" t="n">
        <v>0</v>
      </c>
      <c r="J418" t="n">
        <v>0</v>
      </c>
      <c r="K418" t="n">
        <v>0</v>
      </c>
      <c r="L418" t="n">
        <v>0</v>
      </c>
      <c r="M418" t="n">
        <v>0</v>
      </c>
      <c r="N418" t="n">
        <v>0</v>
      </c>
      <c r="O418" t="n">
        <v>0</v>
      </c>
      <c r="P418" t="n">
        <v>0</v>
      </c>
      <c r="Q418" t="n">
        <v>0</v>
      </c>
      <c r="R418" s="2" t="inlineStr"/>
    </row>
    <row r="419" ht="15" customHeight="1">
      <c r="A419" t="inlineStr">
        <is>
          <t>A 38871-2025</t>
        </is>
      </c>
      <c r="B419" s="1" t="n">
        <v>45887.57407407407</v>
      </c>
      <c r="C419" s="1" t="n">
        <v>45907</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20400-2024</t>
        </is>
      </c>
      <c r="B420" s="1" t="n">
        <v>45435.55372685185</v>
      </c>
      <c r="C420" s="1" t="n">
        <v>45907</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38853-2025</t>
        </is>
      </c>
      <c r="B421" s="1" t="n">
        <v>45887.55666666666</v>
      </c>
      <c r="C421" s="1" t="n">
        <v>45907</v>
      </c>
      <c r="D421" t="inlineStr">
        <is>
          <t>JÄMTLANDS LÄN</t>
        </is>
      </c>
      <c r="E421" t="inlineStr">
        <is>
          <t>ÖSTERSUND</t>
        </is>
      </c>
      <c r="G421" t="n">
        <v>2.5</v>
      </c>
      <c r="H421" t="n">
        <v>0</v>
      </c>
      <c r="I421" t="n">
        <v>0</v>
      </c>
      <c r="J421" t="n">
        <v>0</v>
      </c>
      <c r="K421" t="n">
        <v>0</v>
      </c>
      <c r="L421" t="n">
        <v>0</v>
      </c>
      <c r="M421" t="n">
        <v>0</v>
      </c>
      <c r="N421" t="n">
        <v>0</v>
      </c>
      <c r="O421" t="n">
        <v>0</v>
      </c>
      <c r="P421" t="n">
        <v>0</v>
      </c>
      <c r="Q421" t="n">
        <v>0</v>
      </c>
      <c r="R421" s="2" t="inlineStr"/>
    </row>
    <row r="422" ht="15" customHeight="1">
      <c r="A422" t="inlineStr">
        <is>
          <t>A 20588-2023</t>
        </is>
      </c>
      <c r="B422" s="1" t="n">
        <v>45057</v>
      </c>
      <c r="C422" s="1" t="n">
        <v>45907</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39030-2025</t>
        </is>
      </c>
      <c r="B423" s="1" t="n">
        <v>45888.40700231482</v>
      </c>
      <c r="C423" s="1" t="n">
        <v>45907</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34490-2025</t>
        </is>
      </c>
      <c r="B424" s="1" t="n">
        <v>45847.40722222222</v>
      </c>
      <c r="C424" s="1" t="n">
        <v>45907</v>
      </c>
      <c r="D424" t="inlineStr">
        <is>
          <t>JÄMTLANDS LÄN</t>
        </is>
      </c>
      <c r="E424" t="inlineStr">
        <is>
          <t>ÖSTERSUND</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34331-2025</t>
        </is>
      </c>
      <c r="B425" s="1" t="n">
        <v>45846.44827546296</v>
      </c>
      <c r="C425" s="1" t="n">
        <v>45907</v>
      </c>
      <c r="D425" t="inlineStr">
        <is>
          <t>JÄMTLANDS LÄN</t>
        </is>
      </c>
      <c r="E425" t="inlineStr">
        <is>
          <t>ÖSTERSUND</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39103-2025</t>
        </is>
      </c>
      <c r="B426" s="1" t="n">
        <v>45888.52440972222</v>
      </c>
      <c r="C426" s="1" t="n">
        <v>45907</v>
      </c>
      <c r="D426" t="inlineStr">
        <is>
          <t>JÄMTLANDS LÄN</t>
        </is>
      </c>
      <c r="E426" t="inlineStr">
        <is>
          <t>ÖSTERSUND</t>
        </is>
      </c>
      <c r="G426" t="n">
        <v>23.9</v>
      </c>
      <c r="H426" t="n">
        <v>0</v>
      </c>
      <c r="I426" t="n">
        <v>0</v>
      </c>
      <c r="J426" t="n">
        <v>0</v>
      </c>
      <c r="K426" t="n">
        <v>0</v>
      </c>
      <c r="L426" t="n">
        <v>0</v>
      </c>
      <c r="M426" t="n">
        <v>0</v>
      </c>
      <c r="N426" t="n">
        <v>0</v>
      </c>
      <c r="O426" t="n">
        <v>0</v>
      </c>
      <c r="P426" t="n">
        <v>0</v>
      </c>
      <c r="Q426" t="n">
        <v>0</v>
      </c>
      <c r="R426" s="2" t="inlineStr"/>
    </row>
    <row r="427" ht="15" customHeight="1">
      <c r="A427" t="inlineStr">
        <is>
          <t>A 34589-2025</t>
        </is>
      </c>
      <c r="B427" s="1" t="n">
        <v>45847.61561342593</v>
      </c>
      <c r="C427" s="1" t="n">
        <v>45907</v>
      </c>
      <c r="D427" t="inlineStr">
        <is>
          <t>JÄMTLANDS LÄN</t>
        </is>
      </c>
      <c r="E427" t="inlineStr">
        <is>
          <t>ÖSTERSUND</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34587-2025</t>
        </is>
      </c>
      <c r="B428" s="1" t="n">
        <v>45847.61533564814</v>
      </c>
      <c r="C428" s="1" t="n">
        <v>45907</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25187-2024</t>
        </is>
      </c>
      <c r="B429" s="1" t="n">
        <v>45462.56172453704</v>
      </c>
      <c r="C429" s="1" t="n">
        <v>45907</v>
      </c>
      <c r="D429" t="inlineStr">
        <is>
          <t>JÄMTLANDS LÄN</t>
        </is>
      </c>
      <c r="E429" t="inlineStr">
        <is>
          <t>ÖSTERSUND</t>
        </is>
      </c>
      <c r="G429" t="n">
        <v>2.4</v>
      </c>
      <c r="H429" t="n">
        <v>0</v>
      </c>
      <c r="I429" t="n">
        <v>0</v>
      </c>
      <c r="J429" t="n">
        <v>0</v>
      </c>
      <c r="K429" t="n">
        <v>0</v>
      </c>
      <c r="L429" t="n">
        <v>0</v>
      </c>
      <c r="M429" t="n">
        <v>0</v>
      </c>
      <c r="N429" t="n">
        <v>0</v>
      </c>
      <c r="O429" t="n">
        <v>0</v>
      </c>
      <c r="P429" t="n">
        <v>0</v>
      </c>
      <c r="Q429" t="n">
        <v>0</v>
      </c>
      <c r="R429" s="2" t="inlineStr"/>
    </row>
    <row r="430" ht="15" customHeight="1">
      <c r="A430" t="inlineStr">
        <is>
          <t>A 39586-2025</t>
        </is>
      </c>
      <c r="B430" s="1" t="n">
        <v>45890.50260416666</v>
      </c>
      <c r="C430" s="1" t="n">
        <v>45907</v>
      </c>
      <c r="D430" t="inlineStr">
        <is>
          <t>JÄMTLANDS LÄN</t>
        </is>
      </c>
      <c r="E430" t="inlineStr">
        <is>
          <t>ÖSTERSUND</t>
        </is>
      </c>
      <c r="G430" t="n">
        <v>4.6</v>
      </c>
      <c r="H430" t="n">
        <v>0</v>
      </c>
      <c r="I430" t="n">
        <v>0</v>
      </c>
      <c r="J430" t="n">
        <v>0</v>
      </c>
      <c r="K430" t="n">
        <v>0</v>
      </c>
      <c r="L430" t="n">
        <v>0</v>
      </c>
      <c r="M430" t="n">
        <v>0</v>
      </c>
      <c r="N430" t="n">
        <v>0</v>
      </c>
      <c r="O430" t="n">
        <v>0</v>
      </c>
      <c r="P430" t="n">
        <v>0</v>
      </c>
      <c r="Q430" t="n">
        <v>0</v>
      </c>
      <c r="R430" s="2" t="inlineStr"/>
    </row>
    <row r="431" ht="15" customHeight="1">
      <c r="A431" t="inlineStr">
        <is>
          <t>A 27689-2024</t>
        </is>
      </c>
      <c r="B431" s="1" t="n">
        <v>45475.3378125</v>
      </c>
      <c r="C431" s="1" t="n">
        <v>45907</v>
      </c>
      <c r="D431" t="inlineStr">
        <is>
          <t>JÄMTLANDS LÄN</t>
        </is>
      </c>
      <c r="E431" t="inlineStr">
        <is>
          <t>ÖSTERSUND</t>
        </is>
      </c>
      <c r="G431" t="n">
        <v>0.6</v>
      </c>
      <c r="H431" t="n">
        <v>0</v>
      </c>
      <c r="I431" t="n">
        <v>0</v>
      </c>
      <c r="J431" t="n">
        <v>0</v>
      </c>
      <c r="K431" t="n">
        <v>0</v>
      </c>
      <c r="L431" t="n">
        <v>0</v>
      </c>
      <c r="M431" t="n">
        <v>0</v>
      </c>
      <c r="N431" t="n">
        <v>0</v>
      </c>
      <c r="O431" t="n">
        <v>0</v>
      </c>
      <c r="P431" t="n">
        <v>0</v>
      </c>
      <c r="Q431" t="n">
        <v>0</v>
      </c>
      <c r="R431" s="2" t="inlineStr"/>
    </row>
    <row r="432" ht="15" customHeight="1">
      <c r="A432" t="inlineStr">
        <is>
          <t>A 13282-2023</t>
        </is>
      </c>
      <c r="B432" s="1" t="n">
        <v>45004</v>
      </c>
      <c r="C432" s="1" t="n">
        <v>45907</v>
      </c>
      <c r="D432" t="inlineStr">
        <is>
          <t>JÄMTLANDS LÄN</t>
        </is>
      </c>
      <c r="E432" t="inlineStr">
        <is>
          <t>ÖSTERSUND</t>
        </is>
      </c>
      <c r="G432" t="n">
        <v>28.5</v>
      </c>
      <c r="H432" t="n">
        <v>0</v>
      </c>
      <c r="I432" t="n">
        <v>0</v>
      </c>
      <c r="J432" t="n">
        <v>0</v>
      </c>
      <c r="K432" t="n">
        <v>0</v>
      </c>
      <c r="L432" t="n">
        <v>0</v>
      </c>
      <c r="M432" t="n">
        <v>0</v>
      </c>
      <c r="N432" t="n">
        <v>0</v>
      </c>
      <c r="O432" t="n">
        <v>0</v>
      </c>
      <c r="P432" t="n">
        <v>0</v>
      </c>
      <c r="Q432" t="n">
        <v>0</v>
      </c>
      <c r="R432" s="2" t="inlineStr"/>
    </row>
    <row r="433" ht="15" customHeight="1">
      <c r="A433" t="inlineStr">
        <is>
          <t>A 40325-2025</t>
        </is>
      </c>
      <c r="B433" s="1" t="n">
        <v>45895.4484837963</v>
      </c>
      <c r="C433" s="1" t="n">
        <v>45907</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40326-2025</t>
        </is>
      </c>
      <c r="B434" s="1" t="n">
        <v>45895.44856481482</v>
      </c>
      <c r="C434" s="1" t="n">
        <v>45907</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40360-2025</t>
        </is>
      </c>
      <c r="B435" s="1" t="n">
        <v>45895.49024305555</v>
      </c>
      <c r="C435" s="1" t="n">
        <v>45907</v>
      </c>
      <c r="D435" t="inlineStr">
        <is>
          <t>JÄMTLANDS LÄN</t>
        </is>
      </c>
      <c r="E435" t="inlineStr">
        <is>
          <t>ÖSTERSUND</t>
        </is>
      </c>
      <c r="G435" t="n">
        <v>3.7</v>
      </c>
      <c r="H435" t="n">
        <v>0</v>
      </c>
      <c r="I435" t="n">
        <v>0</v>
      </c>
      <c r="J435" t="n">
        <v>0</v>
      </c>
      <c r="K435" t="n">
        <v>0</v>
      </c>
      <c r="L435" t="n">
        <v>0</v>
      </c>
      <c r="M435" t="n">
        <v>0</v>
      </c>
      <c r="N435" t="n">
        <v>0</v>
      </c>
      <c r="O435" t="n">
        <v>0</v>
      </c>
      <c r="P435" t="n">
        <v>0</v>
      </c>
      <c r="Q435" t="n">
        <v>0</v>
      </c>
      <c r="R435" s="2" t="inlineStr"/>
    </row>
    <row r="436" ht="15" customHeight="1">
      <c r="A436" t="inlineStr">
        <is>
          <t>A 40361-2025</t>
        </is>
      </c>
      <c r="B436" s="1" t="n">
        <v>45895.49026620371</v>
      </c>
      <c r="C436" s="1" t="n">
        <v>45907</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40781-2025</t>
        </is>
      </c>
      <c r="B437" s="1" t="n">
        <v>45897.43642361111</v>
      </c>
      <c r="C437" s="1" t="n">
        <v>45907</v>
      </c>
      <c r="D437" t="inlineStr">
        <is>
          <t>JÄMTLANDS LÄN</t>
        </is>
      </c>
      <c r="E437" t="inlineStr">
        <is>
          <t>ÖSTERSUND</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41493-2025</t>
        </is>
      </c>
      <c r="B438" s="1" t="n">
        <v>45901.49171296296</v>
      </c>
      <c r="C438" s="1" t="n">
        <v>45907</v>
      </c>
      <c r="D438" t="inlineStr">
        <is>
          <t>JÄMTLANDS LÄN</t>
        </is>
      </c>
      <c r="E438" t="inlineStr">
        <is>
          <t>ÖSTERSUND</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41582-2025</t>
        </is>
      </c>
      <c r="B439" s="1" t="n">
        <v>45901.62246527777</v>
      </c>
      <c r="C439" s="1" t="n">
        <v>45907</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51818-2024</t>
        </is>
      </c>
      <c r="B440" s="1" t="n">
        <v>45607.49265046296</v>
      </c>
      <c r="C440" s="1" t="n">
        <v>45907</v>
      </c>
      <c r="D440" t="inlineStr">
        <is>
          <t>JÄMTLANDS LÄN</t>
        </is>
      </c>
      <c r="E440" t="inlineStr">
        <is>
          <t>ÖSTERSUND</t>
        </is>
      </c>
      <c r="G440" t="n">
        <v>4.6</v>
      </c>
      <c r="H440" t="n">
        <v>0</v>
      </c>
      <c r="I440" t="n">
        <v>0</v>
      </c>
      <c r="J440" t="n">
        <v>0</v>
      </c>
      <c r="K440" t="n">
        <v>0</v>
      </c>
      <c r="L440" t="n">
        <v>0</v>
      </c>
      <c r="M440" t="n">
        <v>0</v>
      </c>
      <c r="N440" t="n">
        <v>0</v>
      </c>
      <c r="O440" t="n">
        <v>0</v>
      </c>
      <c r="P440" t="n">
        <v>0</v>
      </c>
      <c r="Q440" t="n">
        <v>0</v>
      </c>
      <c r="R440" s="2" t="inlineStr"/>
    </row>
    <row r="441" ht="15" customHeight="1">
      <c r="A441" t="inlineStr">
        <is>
          <t>A 25228-2025</t>
        </is>
      </c>
      <c r="B441" s="1" t="n">
        <v>45800.48368055555</v>
      </c>
      <c r="C441" s="1" t="n">
        <v>45907</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10267-2025</t>
        </is>
      </c>
      <c r="B442" s="1" t="n">
        <v>45720.3859375</v>
      </c>
      <c r="C442" s="1" t="n">
        <v>45907</v>
      </c>
      <c r="D442" t="inlineStr">
        <is>
          <t>JÄMTLANDS LÄN</t>
        </is>
      </c>
      <c r="E442" t="inlineStr">
        <is>
          <t>ÖSTERSUND</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41675-2025</t>
        </is>
      </c>
      <c r="B443" s="1" t="n">
        <v>45902.36641203704</v>
      </c>
      <c r="C443" s="1" t="n">
        <v>45907</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51479-2023</t>
        </is>
      </c>
      <c r="B444" s="1" t="n">
        <v>45221.92429398148</v>
      </c>
      <c r="C444" s="1" t="n">
        <v>45907</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41708-2025</t>
        </is>
      </c>
      <c r="B445" s="1" t="n">
        <v>45902.42280092592</v>
      </c>
      <c r="C445" s="1" t="n">
        <v>45907</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45907</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43082-2024</t>
        </is>
      </c>
      <c r="B447" s="1" t="n">
        <v>45567.51068287037</v>
      </c>
      <c r="C447" s="1" t="n">
        <v>45907</v>
      </c>
      <c r="D447" t="inlineStr">
        <is>
          <t>JÄMTLANDS LÄN</t>
        </is>
      </c>
      <c r="E447" t="inlineStr">
        <is>
          <t>ÖSTERSUND</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61653-2022</t>
        </is>
      </c>
      <c r="B448" s="1" t="n">
        <v>44916</v>
      </c>
      <c r="C448" s="1" t="n">
        <v>45907</v>
      </c>
      <c r="D448" t="inlineStr">
        <is>
          <t>JÄMTLANDS LÄN</t>
        </is>
      </c>
      <c r="E448" t="inlineStr">
        <is>
          <t>ÖSTERSUND</t>
        </is>
      </c>
      <c r="G448" t="n">
        <v>7.6</v>
      </c>
      <c r="H448" t="n">
        <v>0</v>
      </c>
      <c r="I448" t="n">
        <v>0</v>
      </c>
      <c r="J448" t="n">
        <v>0</v>
      </c>
      <c r="K448" t="n">
        <v>0</v>
      </c>
      <c r="L448" t="n">
        <v>0</v>
      </c>
      <c r="M448" t="n">
        <v>0</v>
      </c>
      <c r="N448" t="n">
        <v>0</v>
      </c>
      <c r="O448" t="n">
        <v>0</v>
      </c>
      <c r="P448" t="n">
        <v>0</v>
      </c>
      <c r="Q448" t="n">
        <v>0</v>
      </c>
      <c r="R448" s="2" t="inlineStr"/>
    </row>
    <row r="449" ht="15" customHeight="1">
      <c r="A449" t="inlineStr">
        <is>
          <t>A 2978-2024</t>
        </is>
      </c>
      <c r="B449" s="1" t="n">
        <v>45315</v>
      </c>
      <c r="C449" s="1" t="n">
        <v>45907</v>
      </c>
      <c r="D449" t="inlineStr">
        <is>
          <t>JÄMTLANDS LÄN</t>
        </is>
      </c>
      <c r="E449" t="inlineStr">
        <is>
          <t>ÖSTERSUND</t>
        </is>
      </c>
      <c r="G449" t="n">
        <v>1.7</v>
      </c>
      <c r="H449" t="n">
        <v>0</v>
      </c>
      <c r="I449" t="n">
        <v>0</v>
      </c>
      <c r="J449" t="n">
        <v>0</v>
      </c>
      <c r="K449" t="n">
        <v>0</v>
      </c>
      <c r="L449" t="n">
        <v>0</v>
      </c>
      <c r="M449" t="n">
        <v>0</v>
      </c>
      <c r="N449" t="n">
        <v>0</v>
      </c>
      <c r="O449" t="n">
        <v>0</v>
      </c>
      <c r="P449" t="n">
        <v>0</v>
      </c>
      <c r="Q449" t="n">
        <v>0</v>
      </c>
      <c r="R449" s="2" t="inlineStr"/>
    </row>
    <row r="450" ht="15" customHeight="1">
      <c r="A450" t="inlineStr">
        <is>
          <t>A 52854-2024</t>
        </is>
      </c>
      <c r="B450" s="1" t="n">
        <v>45610.61030092592</v>
      </c>
      <c r="C450" s="1" t="n">
        <v>45907</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28181-2024</t>
        </is>
      </c>
      <c r="B451" s="1" t="n">
        <v>45477.28482638889</v>
      </c>
      <c r="C451" s="1" t="n">
        <v>45907</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2228-2024</t>
        </is>
      </c>
      <c r="B452" s="1" t="n">
        <v>45309</v>
      </c>
      <c r="C452" s="1" t="n">
        <v>45907</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29703-2023</t>
        </is>
      </c>
      <c r="B453" s="1" t="n">
        <v>45107</v>
      </c>
      <c r="C453" s="1" t="n">
        <v>45907</v>
      </c>
      <c r="D453" t="inlineStr">
        <is>
          <t>JÄMTLANDS LÄN</t>
        </is>
      </c>
      <c r="E453" t="inlineStr">
        <is>
          <t>ÖSTERSUND</t>
        </is>
      </c>
      <c r="G453" t="n">
        <v>0.3</v>
      </c>
      <c r="H453" t="n">
        <v>0</v>
      </c>
      <c r="I453" t="n">
        <v>0</v>
      </c>
      <c r="J453" t="n">
        <v>0</v>
      </c>
      <c r="K453" t="n">
        <v>0</v>
      </c>
      <c r="L453" t="n">
        <v>0</v>
      </c>
      <c r="M453" t="n">
        <v>0</v>
      </c>
      <c r="N453" t="n">
        <v>0</v>
      </c>
      <c r="O453" t="n">
        <v>0</v>
      </c>
      <c r="P453" t="n">
        <v>0</v>
      </c>
      <c r="Q453" t="n">
        <v>0</v>
      </c>
      <c r="R453" s="2" t="inlineStr"/>
    </row>
    <row r="454" ht="15" customHeight="1">
      <c r="A454" t="inlineStr">
        <is>
          <t>A 61002-2024</t>
        </is>
      </c>
      <c r="B454" s="1" t="n">
        <v>45645.44158564815</v>
      </c>
      <c r="C454" s="1" t="n">
        <v>45907</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42129-2025</t>
        </is>
      </c>
      <c r="B455" s="1" t="n">
        <v>45904.3452662037</v>
      </c>
      <c r="C455" s="1" t="n">
        <v>45907</v>
      </c>
      <c r="D455" t="inlineStr">
        <is>
          <t>JÄMTLANDS LÄN</t>
        </is>
      </c>
      <c r="E455" t="inlineStr">
        <is>
          <t>ÖSTERSUND</t>
        </is>
      </c>
      <c r="G455" t="n">
        <v>0.4</v>
      </c>
      <c r="H455" t="n">
        <v>0</v>
      </c>
      <c r="I455" t="n">
        <v>0</v>
      </c>
      <c r="J455" t="n">
        <v>0</v>
      </c>
      <c r="K455" t="n">
        <v>0</v>
      </c>
      <c r="L455" t="n">
        <v>0</v>
      </c>
      <c r="M455" t="n">
        <v>0</v>
      </c>
      <c r="N455" t="n">
        <v>0</v>
      </c>
      <c r="O455" t="n">
        <v>0</v>
      </c>
      <c r="P455" t="n">
        <v>0</v>
      </c>
      <c r="Q455" t="n">
        <v>0</v>
      </c>
      <c r="R455" s="2" t="inlineStr"/>
    </row>
    <row r="456" ht="15" customHeight="1">
      <c r="A456" t="inlineStr">
        <is>
          <t>A 39493-2023</t>
        </is>
      </c>
      <c r="B456" s="1" t="n">
        <v>45166.9569675926</v>
      </c>
      <c r="C456" s="1" t="n">
        <v>45907</v>
      </c>
      <c r="D456" t="inlineStr">
        <is>
          <t>JÄMTLANDS LÄN</t>
        </is>
      </c>
      <c r="E456" t="inlineStr">
        <is>
          <t>ÖSTERSUND</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61530-2023</t>
        </is>
      </c>
      <c r="B457" s="1" t="n">
        <v>45261</v>
      </c>
      <c r="C457" s="1" t="n">
        <v>45907</v>
      </c>
      <c r="D457" t="inlineStr">
        <is>
          <t>JÄMTLANDS LÄN</t>
        </is>
      </c>
      <c r="E457" t="inlineStr">
        <is>
          <t>ÖSTERSUND</t>
        </is>
      </c>
      <c r="F457" t="inlineStr">
        <is>
          <t>Övriga statliga verk och myndigheter</t>
        </is>
      </c>
      <c r="G457" t="n">
        <v>1</v>
      </c>
      <c r="H457" t="n">
        <v>0</v>
      </c>
      <c r="I457" t="n">
        <v>0</v>
      </c>
      <c r="J457" t="n">
        <v>0</v>
      </c>
      <c r="K457" t="n">
        <v>0</v>
      </c>
      <c r="L457" t="n">
        <v>0</v>
      </c>
      <c r="M457" t="n">
        <v>0</v>
      </c>
      <c r="N457" t="n">
        <v>0</v>
      </c>
      <c r="O457" t="n">
        <v>0</v>
      </c>
      <c r="P457" t="n">
        <v>0</v>
      </c>
      <c r="Q457" t="n">
        <v>0</v>
      </c>
      <c r="R457" s="2" t="inlineStr"/>
    </row>
    <row r="458" ht="15" customHeight="1">
      <c r="A458" t="inlineStr">
        <is>
          <t>A 54883-2023</t>
        </is>
      </c>
      <c r="B458" s="1" t="n">
        <v>45236.62300925926</v>
      </c>
      <c r="C458" s="1" t="n">
        <v>45907</v>
      </c>
      <c r="D458" t="inlineStr">
        <is>
          <t>JÄMTLANDS LÄN</t>
        </is>
      </c>
      <c r="E458" t="inlineStr">
        <is>
          <t>ÖSTERSUND</t>
        </is>
      </c>
      <c r="F458" t="inlineStr">
        <is>
          <t>Övriga Aktiebolag</t>
        </is>
      </c>
      <c r="G458" t="n">
        <v>3.2</v>
      </c>
      <c r="H458" t="n">
        <v>0</v>
      </c>
      <c r="I458" t="n">
        <v>0</v>
      </c>
      <c r="J458" t="n">
        <v>0</v>
      </c>
      <c r="K458" t="n">
        <v>0</v>
      </c>
      <c r="L458" t="n">
        <v>0</v>
      </c>
      <c r="M458" t="n">
        <v>0</v>
      </c>
      <c r="N458" t="n">
        <v>0</v>
      </c>
      <c r="O458" t="n">
        <v>0</v>
      </c>
      <c r="P458" t="n">
        <v>0</v>
      </c>
      <c r="Q458" t="n">
        <v>0</v>
      </c>
      <c r="R458" s="2" t="inlineStr"/>
    </row>
    <row r="459" ht="15" customHeight="1">
      <c r="A459" t="inlineStr">
        <is>
          <t>A 2730-2025</t>
        </is>
      </c>
      <c r="B459" s="1" t="n">
        <v>45677.44393518518</v>
      </c>
      <c r="C459" s="1" t="n">
        <v>45907</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62225-2022</t>
        </is>
      </c>
      <c r="B460" s="1" t="n">
        <v>44922</v>
      </c>
      <c r="C460" s="1" t="n">
        <v>45907</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8216-2025</t>
        </is>
      </c>
      <c r="B461" s="1" t="n">
        <v>45708.44947916667</v>
      </c>
      <c r="C461" s="1" t="n">
        <v>45907</v>
      </c>
      <c r="D461" t="inlineStr">
        <is>
          <t>JÄMTLANDS LÄN</t>
        </is>
      </c>
      <c r="E461" t="inlineStr">
        <is>
          <t>ÖSTERSUND</t>
        </is>
      </c>
      <c r="F461" t="inlineStr">
        <is>
          <t>Övriga Aktiebolag</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20634-2023</t>
        </is>
      </c>
      <c r="B462" s="1" t="n">
        <v>45057.9441087963</v>
      </c>
      <c r="C462" s="1" t="n">
        <v>45907</v>
      </c>
      <c r="D462" t="inlineStr">
        <is>
          <t>JÄMTLANDS LÄN</t>
        </is>
      </c>
      <c r="E462" t="inlineStr">
        <is>
          <t>ÖSTERSUND</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25535-2023</t>
        </is>
      </c>
      <c r="B463" s="1" t="n">
        <v>45089.54944444444</v>
      </c>
      <c r="C463" s="1" t="n">
        <v>45907</v>
      </c>
      <c r="D463" t="inlineStr">
        <is>
          <t>JÄMTLANDS LÄN</t>
        </is>
      </c>
      <c r="E463" t="inlineStr">
        <is>
          <t>ÖSTERSUND</t>
        </is>
      </c>
      <c r="G463" t="n">
        <v>1</v>
      </c>
      <c r="H463" t="n">
        <v>0</v>
      </c>
      <c r="I463" t="n">
        <v>0</v>
      </c>
      <c r="J463" t="n">
        <v>0</v>
      </c>
      <c r="K463" t="n">
        <v>0</v>
      </c>
      <c r="L463" t="n">
        <v>0</v>
      </c>
      <c r="M463" t="n">
        <v>0</v>
      </c>
      <c r="N463" t="n">
        <v>0</v>
      </c>
      <c r="O463" t="n">
        <v>0</v>
      </c>
      <c r="P463" t="n">
        <v>0</v>
      </c>
      <c r="Q463" t="n">
        <v>0</v>
      </c>
      <c r="R463" s="2" t="inlineStr"/>
    </row>
    <row r="464" ht="15" customHeight="1">
      <c r="A464" t="inlineStr">
        <is>
          <t>A 32225-2024</t>
        </is>
      </c>
      <c r="B464" s="1" t="n">
        <v>45511.92825231481</v>
      </c>
      <c r="C464" s="1" t="n">
        <v>45907</v>
      </c>
      <c r="D464" t="inlineStr">
        <is>
          <t>JÄMTLANDS LÄN</t>
        </is>
      </c>
      <c r="E464" t="inlineStr">
        <is>
          <t>ÖSTERSUND</t>
        </is>
      </c>
      <c r="G464" t="n">
        <v>2</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45907</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10306-2023</t>
        </is>
      </c>
      <c r="B466" s="1" t="n">
        <v>44986.94196759259</v>
      </c>
      <c r="C466" s="1" t="n">
        <v>45907</v>
      </c>
      <c r="D466" t="inlineStr">
        <is>
          <t>JÄMTLANDS LÄN</t>
        </is>
      </c>
      <c r="E466" t="inlineStr">
        <is>
          <t>ÖSTERSUND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16306-2025</t>
        </is>
      </c>
      <c r="B467" s="1" t="n">
        <v>45751.34664351852</v>
      </c>
      <c r="C467" s="1" t="n">
        <v>45907</v>
      </c>
      <c r="D467" t="inlineStr">
        <is>
          <t>JÄMTLANDS LÄN</t>
        </is>
      </c>
      <c r="E467" t="inlineStr">
        <is>
          <t>ÖSTERSUND</t>
        </is>
      </c>
      <c r="F467" t="inlineStr">
        <is>
          <t>SCA</t>
        </is>
      </c>
      <c r="G467" t="n">
        <v>4.2</v>
      </c>
      <c r="H467" t="n">
        <v>0</v>
      </c>
      <c r="I467" t="n">
        <v>0</v>
      </c>
      <c r="J467" t="n">
        <v>0</v>
      </c>
      <c r="K467" t="n">
        <v>0</v>
      </c>
      <c r="L467" t="n">
        <v>0</v>
      </c>
      <c r="M467" t="n">
        <v>0</v>
      </c>
      <c r="N467" t="n">
        <v>0</v>
      </c>
      <c r="O467" t="n">
        <v>0</v>
      </c>
      <c r="P467" t="n">
        <v>0</v>
      </c>
      <c r="Q467" t="n">
        <v>0</v>
      </c>
      <c r="R467" s="2" t="inlineStr"/>
    </row>
    <row r="468" ht="15" customHeight="1">
      <c r="A468" t="inlineStr">
        <is>
          <t>A 26321-2022</t>
        </is>
      </c>
      <c r="B468" s="1" t="n">
        <v>44735</v>
      </c>
      <c r="C468" s="1" t="n">
        <v>45907</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43252-2023</t>
        </is>
      </c>
      <c r="B469" s="1" t="n">
        <v>45183</v>
      </c>
      <c r="C469" s="1" t="n">
        <v>45907</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22126-2021</t>
        </is>
      </c>
      <c r="B470" s="1" t="n">
        <v>44323</v>
      </c>
      <c r="C470" s="1" t="n">
        <v>45907</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44757.92671296297</v>
      </c>
      <c r="C471" s="1" t="n">
        <v>45907</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55140-2023</t>
        </is>
      </c>
      <c r="B472" s="1" t="n">
        <v>45237.50966435186</v>
      </c>
      <c r="C472" s="1" t="n">
        <v>45907</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54663-2022</t>
        </is>
      </c>
      <c r="B473" s="1" t="n">
        <v>44883.44737268519</v>
      </c>
      <c r="C473" s="1" t="n">
        <v>45907</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12998-2025</t>
        </is>
      </c>
      <c r="B474" s="1" t="n">
        <v>45734.48991898148</v>
      </c>
      <c r="C474" s="1" t="n">
        <v>45907</v>
      </c>
      <c r="D474" t="inlineStr">
        <is>
          <t>JÄMTLANDS LÄN</t>
        </is>
      </c>
      <c r="E474" t="inlineStr">
        <is>
          <t>ÖSTERSUND</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11052-2024</t>
        </is>
      </c>
      <c r="B475" s="1" t="n">
        <v>45370</v>
      </c>
      <c r="C475" s="1" t="n">
        <v>45907</v>
      </c>
      <c r="D475" t="inlineStr">
        <is>
          <t>JÄMTLANDS LÄN</t>
        </is>
      </c>
      <c r="E475" t="inlineStr">
        <is>
          <t>ÖSTERSUND</t>
        </is>
      </c>
      <c r="G475" t="n">
        <v>2.3</v>
      </c>
      <c r="H475" t="n">
        <v>0</v>
      </c>
      <c r="I475" t="n">
        <v>0</v>
      </c>
      <c r="J475" t="n">
        <v>0</v>
      </c>
      <c r="K475" t="n">
        <v>0</v>
      </c>
      <c r="L475" t="n">
        <v>0</v>
      </c>
      <c r="M475" t="n">
        <v>0</v>
      </c>
      <c r="N475" t="n">
        <v>0</v>
      </c>
      <c r="O475" t="n">
        <v>0</v>
      </c>
      <c r="P475" t="n">
        <v>0</v>
      </c>
      <c r="Q475" t="n">
        <v>0</v>
      </c>
      <c r="R475" s="2" t="inlineStr"/>
    </row>
    <row r="476" ht="15" customHeight="1">
      <c r="A476" t="inlineStr">
        <is>
          <t>A 54913-2024</t>
        </is>
      </c>
      <c r="B476" s="1" t="n">
        <v>45618.6917824074</v>
      </c>
      <c r="C476" s="1" t="n">
        <v>45907</v>
      </c>
      <c r="D476" t="inlineStr">
        <is>
          <t>JÄMTLANDS LÄN</t>
        </is>
      </c>
      <c r="E476" t="inlineStr">
        <is>
          <t>ÖSTERSUND</t>
        </is>
      </c>
      <c r="G476" t="n">
        <v>4.7</v>
      </c>
      <c r="H476" t="n">
        <v>0</v>
      </c>
      <c r="I476" t="n">
        <v>0</v>
      </c>
      <c r="J476" t="n">
        <v>0</v>
      </c>
      <c r="K476" t="n">
        <v>0</v>
      </c>
      <c r="L476" t="n">
        <v>0</v>
      </c>
      <c r="M476" t="n">
        <v>0</v>
      </c>
      <c r="N476" t="n">
        <v>0</v>
      </c>
      <c r="O476" t="n">
        <v>0</v>
      </c>
      <c r="P476" t="n">
        <v>0</v>
      </c>
      <c r="Q476" t="n">
        <v>0</v>
      </c>
      <c r="R476" s="2" t="inlineStr"/>
    </row>
    <row r="477" ht="15" customHeight="1">
      <c r="A477" t="inlineStr">
        <is>
          <t>A 57398-2023</t>
        </is>
      </c>
      <c r="B477" s="1" t="n">
        <v>45245</v>
      </c>
      <c r="C477" s="1" t="n">
        <v>45907</v>
      </c>
      <c r="D477" t="inlineStr">
        <is>
          <t>JÄMTLANDS LÄN</t>
        </is>
      </c>
      <c r="E477" t="inlineStr">
        <is>
          <t>ÖSTERSUND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44051-2021</t>
        </is>
      </c>
      <c r="B478" s="1" t="n">
        <v>44434</v>
      </c>
      <c r="C478" s="1" t="n">
        <v>45907</v>
      </c>
      <c r="D478" t="inlineStr">
        <is>
          <t>JÄMTLANDS LÄN</t>
        </is>
      </c>
      <c r="E478" t="inlineStr">
        <is>
          <t>ÖSTERSUND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55235-2023</t>
        </is>
      </c>
      <c r="B479" s="1" t="n">
        <v>45231</v>
      </c>
      <c r="C479" s="1" t="n">
        <v>45907</v>
      </c>
      <c r="D479" t="inlineStr">
        <is>
          <t>JÄMTLANDS LÄN</t>
        </is>
      </c>
      <c r="E479" t="inlineStr">
        <is>
          <t>ÖSTERSUND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54587-2024</t>
        </is>
      </c>
      <c r="B480" s="1" t="n">
        <v>45617.65800925926</v>
      </c>
      <c r="C480" s="1" t="n">
        <v>45907</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45907</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52913-2021</t>
        </is>
      </c>
      <c r="B482" s="1" t="n">
        <v>44466</v>
      </c>
      <c r="C482" s="1" t="n">
        <v>45907</v>
      </c>
      <c r="D482" t="inlineStr">
        <is>
          <t>JÄMTLANDS LÄN</t>
        </is>
      </c>
      <c r="E482" t="inlineStr">
        <is>
          <t>ÖSTERSUND</t>
        </is>
      </c>
      <c r="G482" t="n">
        <v>4.2</v>
      </c>
      <c r="H482" t="n">
        <v>0</v>
      </c>
      <c r="I482" t="n">
        <v>0</v>
      </c>
      <c r="J482" t="n">
        <v>0</v>
      </c>
      <c r="K482" t="n">
        <v>0</v>
      </c>
      <c r="L482" t="n">
        <v>0</v>
      </c>
      <c r="M482" t="n">
        <v>0</v>
      </c>
      <c r="N482" t="n">
        <v>0</v>
      </c>
      <c r="O482" t="n">
        <v>0</v>
      </c>
      <c r="P482" t="n">
        <v>0</v>
      </c>
      <c r="Q482" t="n">
        <v>0</v>
      </c>
      <c r="R482" s="2" t="inlineStr"/>
    </row>
    <row r="483" ht="15" customHeight="1">
      <c r="A483" t="inlineStr">
        <is>
          <t>A 37597-2023</t>
        </is>
      </c>
      <c r="B483" s="1" t="n">
        <v>45159.42180555555</v>
      </c>
      <c r="C483" s="1" t="n">
        <v>45907</v>
      </c>
      <c r="D483" t="inlineStr">
        <is>
          <t>JÄMTLANDS LÄN</t>
        </is>
      </c>
      <c r="E483" t="inlineStr">
        <is>
          <t>ÖSTERSUND</t>
        </is>
      </c>
      <c r="G483" t="n">
        <v>4.7</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44701.94034722223</v>
      </c>
      <c r="C484" s="1" t="n">
        <v>45907</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10756-2025</t>
        </is>
      </c>
      <c r="B485" s="1" t="n">
        <v>45722.44892361111</v>
      </c>
      <c r="C485" s="1" t="n">
        <v>45907</v>
      </c>
      <c r="D485" t="inlineStr">
        <is>
          <t>JÄMTLANDS LÄN</t>
        </is>
      </c>
      <c r="E485" t="inlineStr">
        <is>
          <t>ÖSTERSUND</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7936-2025</t>
        </is>
      </c>
      <c r="B486" s="1" t="n">
        <v>45707</v>
      </c>
      <c r="C486" s="1" t="n">
        <v>45907</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7940-2025</t>
        </is>
      </c>
      <c r="B487" s="1" t="n">
        <v>45707.40493055555</v>
      </c>
      <c r="C487" s="1" t="n">
        <v>45907</v>
      </c>
      <c r="D487" t="inlineStr">
        <is>
          <t>JÄMTLANDS LÄN</t>
        </is>
      </c>
      <c r="E487" t="inlineStr">
        <is>
          <t>ÖSTERSUND</t>
        </is>
      </c>
      <c r="F487" t="inlineStr">
        <is>
          <t>Övriga Aktiebolag</t>
        </is>
      </c>
      <c r="G487" t="n">
        <v>48.1</v>
      </c>
      <c r="H487" t="n">
        <v>0</v>
      </c>
      <c r="I487" t="n">
        <v>0</v>
      </c>
      <c r="J487" t="n">
        <v>0</v>
      </c>
      <c r="K487" t="n">
        <v>0</v>
      </c>
      <c r="L487" t="n">
        <v>0</v>
      </c>
      <c r="M487" t="n">
        <v>0</v>
      </c>
      <c r="N487" t="n">
        <v>0</v>
      </c>
      <c r="O487" t="n">
        <v>0</v>
      </c>
      <c r="P487" t="n">
        <v>0</v>
      </c>
      <c r="Q487" t="n">
        <v>0</v>
      </c>
      <c r="R487" s="2" t="inlineStr"/>
    </row>
    <row r="488" ht="15" customHeight="1">
      <c r="A488" t="inlineStr">
        <is>
          <t>A 5024-2025</t>
        </is>
      </c>
      <c r="B488" s="1" t="n">
        <v>45691.40832175926</v>
      </c>
      <c r="C488" s="1" t="n">
        <v>45907</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5025-2025</t>
        </is>
      </c>
      <c r="B489" s="1" t="n">
        <v>45691.40836805556</v>
      </c>
      <c r="C489" s="1" t="n">
        <v>45907</v>
      </c>
      <c r="D489" t="inlineStr">
        <is>
          <t>JÄMTLANDS LÄN</t>
        </is>
      </c>
      <c r="E489" t="inlineStr">
        <is>
          <t>ÖSTERSUND</t>
        </is>
      </c>
      <c r="G489" t="n">
        <v>0.1</v>
      </c>
      <c r="H489" t="n">
        <v>0</v>
      </c>
      <c r="I489" t="n">
        <v>0</v>
      </c>
      <c r="J489" t="n">
        <v>0</v>
      </c>
      <c r="K489" t="n">
        <v>0</v>
      </c>
      <c r="L489" t="n">
        <v>0</v>
      </c>
      <c r="M489" t="n">
        <v>0</v>
      </c>
      <c r="N489" t="n">
        <v>0</v>
      </c>
      <c r="O489" t="n">
        <v>0</v>
      </c>
      <c r="P489" t="n">
        <v>0</v>
      </c>
      <c r="Q489" t="n">
        <v>0</v>
      </c>
      <c r="R489" s="2" t="inlineStr"/>
    </row>
    <row r="490" ht="15" customHeight="1">
      <c r="A490" t="inlineStr">
        <is>
          <t>A 47727-2023</t>
        </is>
      </c>
      <c r="B490" s="1" t="n">
        <v>45203</v>
      </c>
      <c r="C490" s="1" t="n">
        <v>45907</v>
      </c>
      <c r="D490" t="inlineStr">
        <is>
          <t>JÄMTLANDS LÄN</t>
        </is>
      </c>
      <c r="E490" t="inlineStr">
        <is>
          <t>ÖSTERSUND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60767-2022</t>
        </is>
      </c>
      <c r="B491" s="1" t="n">
        <v>44914.35599537037</v>
      </c>
      <c r="C491" s="1" t="n">
        <v>45907</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60623-2022</t>
        </is>
      </c>
      <c r="B492" s="1" t="n">
        <v>44911.6459837963</v>
      </c>
      <c r="C492" s="1" t="n">
        <v>45907</v>
      </c>
      <c r="D492" t="inlineStr">
        <is>
          <t>JÄMTLANDS LÄN</t>
        </is>
      </c>
      <c r="E492" t="inlineStr">
        <is>
          <t>ÖSTERSUND</t>
        </is>
      </c>
      <c r="G492" t="n">
        <v>10.9</v>
      </c>
      <c r="H492" t="n">
        <v>0</v>
      </c>
      <c r="I492" t="n">
        <v>0</v>
      </c>
      <c r="J492" t="n">
        <v>0</v>
      </c>
      <c r="K492" t="n">
        <v>0</v>
      </c>
      <c r="L492" t="n">
        <v>0</v>
      </c>
      <c r="M492" t="n">
        <v>0</v>
      </c>
      <c r="N492" t="n">
        <v>0</v>
      </c>
      <c r="O492" t="n">
        <v>0</v>
      </c>
      <c r="P492" t="n">
        <v>0</v>
      </c>
      <c r="Q492" t="n">
        <v>0</v>
      </c>
      <c r="R492" s="2" t="inlineStr"/>
    </row>
    <row r="493" ht="15" customHeight="1">
      <c r="A493" t="inlineStr">
        <is>
          <t>A 55365-2024</t>
        </is>
      </c>
      <c r="B493" s="1" t="n">
        <v>45621.86827546296</v>
      </c>
      <c r="C493" s="1" t="n">
        <v>45907</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3615-2025</t>
        </is>
      </c>
      <c r="B494" s="1" t="n">
        <v>45681.36493055556</v>
      </c>
      <c r="C494" s="1" t="n">
        <v>45907</v>
      </c>
      <c r="D494" t="inlineStr">
        <is>
          <t>JÄMTLANDS LÄN</t>
        </is>
      </c>
      <c r="E494" t="inlineStr">
        <is>
          <t>ÖSTERSUND</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3651-2025</t>
        </is>
      </c>
      <c r="B495" s="1" t="n">
        <v>45681.40689814815</v>
      </c>
      <c r="C495" s="1" t="n">
        <v>45907</v>
      </c>
      <c r="D495" t="inlineStr">
        <is>
          <t>JÄMTLANDS LÄN</t>
        </is>
      </c>
      <c r="E495" t="inlineStr">
        <is>
          <t>ÖSTERSUND</t>
        </is>
      </c>
      <c r="F495" t="inlineStr">
        <is>
          <t>SCA</t>
        </is>
      </c>
      <c r="G495" t="n">
        <v>9.6</v>
      </c>
      <c r="H495" t="n">
        <v>0</v>
      </c>
      <c r="I495" t="n">
        <v>0</v>
      </c>
      <c r="J495" t="n">
        <v>0</v>
      </c>
      <c r="K495" t="n">
        <v>0</v>
      </c>
      <c r="L495" t="n">
        <v>0</v>
      </c>
      <c r="M495" t="n">
        <v>0</v>
      </c>
      <c r="N495" t="n">
        <v>0</v>
      </c>
      <c r="O495" t="n">
        <v>0</v>
      </c>
      <c r="P495" t="n">
        <v>0</v>
      </c>
      <c r="Q495" t="n">
        <v>0</v>
      </c>
      <c r="R495" s="2" t="inlineStr"/>
    </row>
    <row r="496" ht="15" customHeight="1">
      <c r="A496" t="inlineStr">
        <is>
          <t>A 3664-2025</t>
        </is>
      </c>
      <c r="B496" s="1" t="n">
        <v>45681.4275462963</v>
      </c>
      <c r="C496" s="1" t="n">
        <v>45907</v>
      </c>
      <c r="D496" t="inlineStr">
        <is>
          <t>JÄMTLANDS LÄN</t>
        </is>
      </c>
      <c r="E496" t="inlineStr">
        <is>
          <t>ÖSTERSUND</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12821-2023</t>
        </is>
      </c>
      <c r="B497" s="1" t="n">
        <v>45000</v>
      </c>
      <c r="C497" s="1" t="n">
        <v>45907</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39928-2022</t>
        </is>
      </c>
      <c r="B498" s="1" t="n">
        <v>44819</v>
      </c>
      <c r="C498" s="1" t="n">
        <v>45907</v>
      </c>
      <c r="D498" t="inlineStr">
        <is>
          <t>JÄMTLANDS LÄN</t>
        </is>
      </c>
      <c r="E498" t="inlineStr">
        <is>
          <t>ÖSTERSUND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44048-2024</t>
        </is>
      </c>
      <c r="B499" s="1" t="n">
        <v>45572.59430555555</v>
      </c>
      <c r="C499" s="1" t="n">
        <v>45907</v>
      </c>
      <c r="D499" t="inlineStr">
        <is>
          <t>JÄMTLANDS LÄN</t>
        </is>
      </c>
      <c r="E499" t="inlineStr">
        <is>
          <t>ÖSTERSUND</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18429-2025</t>
        </is>
      </c>
      <c r="B500" s="1" t="n">
        <v>45762.63375</v>
      </c>
      <c r="C500" s="1" t="n">
        <v>45907</v>
      </c>
      <c r="D500" t="inlineStr">
        <is>
          <t>JÄMTLANDS LÄN</t>
        </is>
      </c>
      <c r="E500" t="inlineStr">
        <is>
          <t>ÖSTERSUND</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60349-2024</t>
        </is>
      </c>
      <c r="B501" s="1" t="n">
        <v>45643.42986111111</v>
      </c>
      <c r="C501" s="1" t="n">
        <v>45907</v>
      </c>
      <c r="D501" t="inlineStr">
        <is>
          <t>JÄMTLANDS LÄN</t>
        </is>
      </c>
      <c r="E501" t="inlineStr">
        <is>
          <t>ÖSTERSUND</t>
        </is>
      </c>
      <c r="F501" t="inlineStr">
        <is>
          <t>Sveaskog</t>
        </is>
      </c>
      <c r="G501" t="n">
        <v>16.6</v>
      </c>
      <c r="H501" t="n">
        <v>0</v>
      </c>
      <c r="I501" t="n">
        <v>0</v>
      </c>
      <c r="J501" t="n">
        <v>0</v>
      </c>
      <c r="K501" t="n">
        <v>0</v>
      </c>
      <c r="L501" t="n">
        <v>0</v>
      </c>
      <c r="M501" t="n">
        <v>0</v>
      </c>
      <c r="N501" t="n">
        <v>0</v>
      </c>
      <c r="O501" t="n">
        <v>0</v>
      </c>
      <c r="P501" t="n">
        <v>0</v>
      </c>
      <c r="Q501" t="n">
        <v>0</v>
      </c>
      <c r="R501" s="2" t="inlineStr"/>
    </row>
    <row r="502" ht="15" customHeight="1">
      <c r="A502" t="inlineStr">
        <is>
          <t>A 44798-2023</t>
        </is>
      </c>
      <c r="B502" s="1" t="n">
        <v>45190</v>
      </c>
      <c r="C502" s="1" t="n">
        <v>45907</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4936-2025</t>
        </is>
      </c>
      <c r="B503" s="1" t="n">
        <v>45688.69356481481</v>
      </c>
      <c r="C503" s="1" t="n">
        <v>45907</v>
      </c>
      <c r="D503" t="inlineStr">
        <is>
          <t>JÄMTLANDS LÄN</t>
        </is>
      </c>
      <c r="E503" t="inlineStr">
        <is>
          <t>ÖSTERSUND</t>
        </is>
      </c>
      <c r="G503" t="n">
        <v>8.1</v>
      </c>
      <c r="H503" t="n">
        <v>0</v>
      </c>
      <c r="I503" t="n">
        <v>0</v>
      </c>
      <c r="J503" t="n">
        <v>0</v>
      </c>
      <c r="K503" t="n">
        <v>0</v>
      </c>
      <c r="L503" t="n">
        <v>0</v>
      </c>
      <c r="M503" t="n">
        <v>0</v>
      </c>
      <c r="N503" t="n">
        <v>0</v>
      </c>
      <c r="O503" t="n">
        <v>0</v>
      </c>
      <c r="P503" t="n">
        <v>0</v>
      </c>
      <c r="Q503" t="n">
        <v>0</v>
      </c>
      <c r="R503" s="2" t="inlineStr"/>
    </row>
    <row r="504" ht="15" customHeight="1">
      <c r="A504" t="inlineStr">
        <is>
          <t>A 18627-2024</t>
        </is>
      </c>
      <c r="B504" s="1" t="n">
        <v>45425.96443287037</v>
      </c>
      <c r="C504" s="1" t="n">
        <v>45907</v>
      </c>
      <c r="D504" t="inlineStr">
        <is>
          <t>JÄMTLANDS LÄN</t>
        </is>
      </c>
      <c r="E504" t="inlineStr">
        <is>
          <t>ÖSTERSUND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17574-2022</t>
        </is>
      </c>
      <c r="B505" s="1" t="n">
        <v>44679.92574074074</v>
      </c>
      <c r="C505" s="1" t="n">
        <v>45907</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61332-2024</t>
        </is>
      </c>
      <c r="B506" s="1" t="n">
        <v>45646.35685185185</v>
      </c>
      <c r="C506" s="1" t="n">
        <v>45907</v>
      </c>
      <c r="D506" t="inlineStr">
        <is>
          <t>JÄMTLANDS LÄN</t>
        </is>
      </c>
      <c r="E506" t="inlineStr">
        <is>
          <t>ÖSTERSUND</t>
        </is>
      </c>
      <c r="G506" t="n">
        <v>3.2</v>
      </c>
      <c r="H506" t="n">
        <v>0</v>
      </c>
      <c r="I506" t="n">
        <v>0</v>
      </c>
      <c r="J506" t="n">
        <v>0</v>
      </c>
      <c r="K506" t="n">
        <v>0</v>
      </c>
      <c r="L506" t="n">
        <v>0</v>
      </c>
      <c r="M506" t="n">
        <v>0</v>
      </c>
      <c r="N506" t="n">
        <v>0</v>
      </c>
      <c r="O506" t="n">
        <v>0</v>
      </c>
      <c r="P506" t="n">
        <v>0</v>
      </c>
      <c r="Q506" t="n">
        <v>0</v>
      </c>
      <c r="R506" s="2" t="inlineStr"/>
    </row>
    <row r="507" ht="15" customHeight="1">
      <c r="A507" t="inlineStr">
        <is>
          <t>A 32998-2021</t>
        </is>
      </c>
      <c r="B507" s="1" t="n">
        <v>44375</v>
      </c>
      <c r="C507" s="1" t="n">
        <v>45907</v>
      </c>
      <c r="D507" t="inlineStr">
        <is>
          <t>JÄMTLANDS LÄN</t>
        </is>
      </c>
      <c r="E507" t="inlineStr">
        <is>
          <t>ÖSTERSUND</t>
        </is>
      </c>
      <c r="G507" t="n">
        <v>0.1</v>
      </c>
      <c r="H507" t="n">
        <v>0</v>
      </c>
      <c r="I507" t="n">
        <v>0</v>
      </c>
      <c r="J507" t="n">
        <v>0</v>
      </c>
      <c r="K507" t="n">
        <v>0</v>
      </c>
      <c r="L507" t="n">
        <v>0</v>
      </c>
      <c r="M507" t="n">
        <v>0</v>
      </c>
      <c r="N507" t="n">
        <v>0</v>
      </c>
      <c r="O507" t="n">
        <v>0</v>
      </c>
      <c r="P507" t="n">
        <v>0</v>
      </c>
      <c r="Q507" t="n">
        <v>0</v>
      </c>
      <c r="R507" s="2" t="inlineStr"/>
    </row>
    <row r="508" ht="15" customHeight="1">
      <c r="A508" t="inlineStr">
        <is>
          <t>A 6877-2024</t>
        </is>
      </c>
      <c r="B508" s="1" t="n">
        <v>45342</v>
      </c>
      <c r="C508" s="1" t="n">
        <v>45907</v>
      </c>
      <c r="D508" t="inlineStr">
        <is>
          <t>JÄMTLANDS LÄN</t>
        </is>
      </c>
      <c r="E508" t="inlineStr">
        <is>
          <t>ÖSTERSUND</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9971-2025</t>
        </is>
      </c>
      <c r="B509" s="1" t="n">
        <v>45719.38630787037</v>
      </c>
      <c r="C509" s="1" t="n">
        <v>45907</v>
      </c>
      <c r="D509" t="inlineStr">
        <is>
          <t>JÄMTLANDS LÄN</t>
        </is>
      </c>
      <c r="E509" t="inlineStr">
        <is>
          <t>ÖSTERSUND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51941-2023</t>
        </is>
      </c>
      <c r="B510" s="1" t="n">
        <v>45223</v>
      </c>
      <c r="C510" s="1" t="n">
        <v>45907</v>
      </c>
      <c r="D510" t="inlineStr">
        <is>
          <t>JÄMTLANDS LÄN</t>
        </is>
      </c>
      <c r="E510" t="inlineStr">
        <is>
          <t>ÖSTERSUND</t>
        </is>
      </c>
      <c r="G510" t="n">
        <v>4.6</v>
      </c>
      <c r="H510" t="n">
        <v>0</v>
      </c>
      <c r="I510" t="n">
        <v>0</v>
      </c>
      <c r="J510" t="n">
        <v>0</v>
      </c>
      <c r="K510" t="n">
        <v>0</v>
      </c>
      <c r="L510" t="n">
        <v>0</v>
      </c>
      <c r="M510" t="n">
        <v>0</v>
      </c>
      <c r="N510" t="n">
        <v>0</v>
      </c>
      <c r="O510" t="n">
        <v>0</v>
      </c>
      <c r="P510" t="n">
        <v>0</v>
      </c>
      <c r="Q510" t="n">
        <v>0</v>
      </c>
      <c r="R510" s="2" t="inlineStr"/>
    </row>
    <row r="511" ht="15" customHeight="1">
      <c r="A511" t="inlineStr">
        <is>
          <t>A 2686-2021</t>
        </is>
      </c>
      <c r="B511" s="1" t="n">
        <v>44214</v>
      </c>
      <c r="C511" s="1" t="n">
        <v>45907</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1322-2021</t>
        </is>
      </c>
      <c r="B512" s="1" t="n">
        <v>44208</v>
      </c>
      <c r="C512" s="1" t="n">
        <v>45907</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33831-2021</t>
        </is>
      </c>
      <c r="B513" s="1" t="n">
        <v>44378</v>
      </c>
      <c r="C513" s="1" t="n">
        <v>45907</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6351-2024</t>
        </is>
      </c>
      <c r="B514" s="1" t="n">
        <v>45338</v>
      </c>
      <c r="C514" s="1" t="n">
        <v>45907</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51936-2023</t>
        </is>
      </c>
      <c r="B515" s="1" t="n">
        <v>45223.5036574074</v>
      </c>
      <c r="C515" s="1" t="n">
        <v>45907</v>
      </c>
      <c r="D515" t="inlineStr">
        <is>
          <t>JÄMTLANDS LÄN</t>
        </is>
      </c>
      <c r="E515" t="inlineStr">
        <is>
          <t>ÖSTERSUND</t>
        </is>
      </c>
      <c r="G515" t="n">
        <v>8.4</v>
      </c>
      <c r="H515" t="n">
        <v>0</v>
      </c>
      <c r="I515" t="n">
        <v>0</v>
      </c>
      <c r="J515" t="n">
        <v>0</v>
      </c>
      <c r="K515" t="n">
        <v>0</v>
      </c>
      <c r="L515" t="n">
        <v>0</v>
      </c>
      <c r="M515" t="n">
        <v>0</v>
      </c>
      <c r="N515" t="n">
        <v>0</v>
      </c>
      <c r="O515" t="n">
        <v>0</v>
      </c>
      <c r="P515" t="n">
        <v>0</v>
      </c>
      <c r="Q515" t="n">
        <v>0</v>
      </c>
      <c r="R515" s="2" t="inlineStr"/>
    </row>
    <row r="516" ht="15" customHeight="1">
      <c r="A516" t="inlineStr">
        <is>
          <t>A 54973-2023</t>
        </is>
      </c>
      <c r="B516" s="1" t="n">
        <v>45236.92776620371</v>
      </c>
      <c r="C516" s="1" t="n">
        <v>45907</v>
      </c>
      <c r="D516" t="inlineStr">
        <is>
          <t>JÄMTLANDS LÄN</t>
        </is>
      </c>
      <c r="E516" t="inlineStr">
        <is>
          <t>ÖSTERSUND</t>
        </is>
      </c>
      <c r="G516" t="n">
        <v>15.4</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45907</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3255-2025</t>
        </is>
      </c>
      <c r="B518" s="1" t="n">
        <v>45679.55256944444</v>
      </c>
      <c r="C518" s="1" t="n">
        <v>45907</v>
      </c>
      <c r="D518" t="inlineStr">
        <is>
          <t>JÄMTLANDS LÄN</t>
        </is>
      </c>
      <c r="E518" t="inlineStr">
        <is>
          <t>ÖSTERSUND</t>
        </is>
      </c>
      <c r="F518" t="inlineStr">
        <is>
          <t>SCA</t>
        </is>
      </c>
      <c r="G518" t="n">
        <v>16.7</v>
      </c>
      <c r="H518" t="n">
        <v>0</v>
      </c>
      <c r="I518" t="n">
        <v>0</v>
      </c>
      <c r="J518" t="n">
        <v>0</v>
      </c>
      <c r="K518" t="n">
        <v>0</v>
      </c>
      <c r="L518" t="n">
        <v>0</v>
      </c>
      <c r="M518" t="n">
        <v>0</v>
      </c>
      <c r="N518" t="n">
        <v>0</v>
      </c>
      <c r="O518" t="n">
        <v>0</v>
      </c>
      <c r="P518" t="n">
        <v>0</v>
      </c>
      <c r="Q518" t="n">
        <v>0</v>
      </c>
      <c r="R518" s="2" t="inlineStr"/>
    </row>
    <row r="519" ht="15" customHeight="1">
      <c r="A519" t="inlineStr">
        <is>
          <t>A 28179-2024</t>
        </is>
      </c>
      <c r="B519" s="1" t="n">
        <v>45477.26746527778</v>
      </c>
      <c r="C519" s="1" t="n">
        <v>45907</v>
      </c>
      <c r="D519" t="inlineStr">
        <is>
          <t>JÄMTLANDS LÄN</t>
        </is>
      </c>
      <c r="E519" t="inlineStr">
        <is>
          <t>ÖSTERSUND</t>
        </is>
      </c>
      <c r="G519" t="n">
        <v>2.2</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45907</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58364-2024</t>
        </is>
      </c>
      <c r="B521" s="1" t="n">
        <v>45632.68814814815</v>
      </c>
      <c r="C521" s="1" t="n">
        <v>45907</v>
      </c>
      <c r="D521" t="inlineStr">
        <is>
          <t>JÄMTLANDS LÄN</t>
        </is>
      </c>
      <c r="E521" t="inlineStr">
        <is>
          <t>ÖSTERSUND</t>
        </is>
      </c>
      <c r="G521" t="n">
        <v>5.5</v>
      </c>
      <c r="H521" t="n">
        <v>0</v>
      </c>
      <c r="I521" t="n">
        <v>0</v>
      </c>
      <c r="J521" t="n">
        <v>0</v>
      </c>
      <c r="K521" t="n">
        <v>0</v>
      </c>
      <c r="L521" t="n">
        <v>0</v>
      </c>
      <c r="M521" t="n">
        <v>0</v>
      </c>
      <c r="N521" t="n">
        <v>0</v>
      </c>
      <c r="O521" t="n">
        <v>0</v>
      </c>
      <c r="P521" t="n">
        <v>0</v>
      </c>
      <c r="Q521" t="n">
        <v>0</v>
      </c>
      <c r="R521" s="2" t="inlineStr"/>
    </row>
    <row r="522" ht="15" customHeight="1">
      <c r="A522" t="inlineStr">
        <is>
          <t>A 207-2025</t>
        </is>
      </c>
      <c r="B522" s="1" t="n">
        <v>45660.32672453704</v>
      </c>
      <c r="C522" s="1" t="n">
        <v>45907</v>
      </c>
      <c r="D522" t="inlineStr">
        <is>
          <t>JÄMTLANDS LÄN</t>
        </is>
      </c>
      <c r="E522" t="inlineStr">
        <is>
          <t>ÖSTERSUND</t>
        </is>
      </c>
      <c r="G522" t="n">
        <v>4</v>
      </c>
      <c r="H522" t="n">
        <v>0</v>
      </c>
      <c r="I522" t="n">
        <v>0</v>
      </c>
      <c r="J522" t="n">
        <v>0</v>
      </c>
      <c r="K522" t="n">
        <v>0</v>
      </c>
      <c r="L522" t="n">
        <v>0</v>
      </c>
      <c r="M522" t="n">
        <v>0</v>
      </c>
      <c r="N522" t="n">
        <v>0</v>
      </c>
      <c r="O522" t="n">
        <v>0</v>
      </c>
      <c r="P522" t="n">
        <v>0</v>
      </c>
      <c r="Q522" t="n">
        <v>0</v>
      </c>
      <c r="R522" s="2" t="inlineStr"/>
    </row>
    <row r="523" ht="15" customHeight="1">
      <c r="A523" t="inlineStr">
        <is>
          <t>A 13738-2025</t>
        </is>
      </c>
      <c r="B523" s="1" t="n">
        <v>45737.40131944444</v>
      </c>
      <c r="C523" s="1" t="n">
        <v>45907</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33801-2022</t>
        </is>
      </c>
      <c r="B524" s="1" t="n">
        <v>44790</v>
      </c>
      <c r="C524" s="1" t="n">
        <v>45907</v>
      </c>
      <c r="D524" t="inlineStr">
        <is>
          <t>JÄMTLANDS LÄN</t>
        </is>
      </c>
      <c r="E524" t="inlineStr">
        <is>
          <t>ÖSTERSUND</t>
        </is>
      </c>
      <c r="G524" t="n">
        <v>7.6</v>
      </c>
      <c r="H524" t="n">
        <v>0</v>
      </c>
      <c r="I524" t="n">
        <v>0</v>
      </c>
      <c r="J524" t="n">
        <v>0</v>
      </c>
      <c r="K524" t="n">
        <v>0</v>
      </c>
      <c r="L524" t="n">
        <v>0</v>
      </c>
      <c r="M524" t="n">
        <v>0</v>
      </c>
      <c r="N524" t="n">
        <v>0</v>
      </c>
      <c r="O524" t="n">
        <v>0</v>
      </c>
      <c r="P524" t="n">
        <v>0</v>
      </c>
      <c r="Q524" t="n">
        <v>0</v>
      </c>
      <c r="R524" s="2" t="inlineStr"/>
    </row>
    <row r="525" ht="15" customHeight="1">
      <c r="A525" t="inlineStr">
        <is>
          <t>A 3997-2025</t>
        </is>
      </c>
      <c r="B525" s="1" t="n">
        <v>45684.56725694444</v>
      </c>
      <c r="C525" s="1" t="n">
        <v>45907</v>
      </c>
      <c r="D525" t="inlineStr">
        <is>
          <t>JÄMTLANDS LÄN</t>
        </is>
      </c>
      <c r="E525" t="inlineStr">
        <is>
          <t>ÖSTERSUND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64645-2021</t>
        </is>
      </c>
      <c r="B526" s="1" t="n">
        <v>44511.94629629629</v>
      </c>
      <c r="C526" s="1" t="n">
        <v>45907</v>
      </c>
      <c r="D526" t="inlineStr">
        <is>
          <t>JÄMTLANDS LÄN</t>
        </is>
      </c>
      <c r="E526" t="inlineStr">
        <is>
          <t>ÖSTERSUND</t>
        </is>
      </c>
      <c r="G526" t="n">
        <v>3.2</v>
      </c>
      <c r="H526" t="n">
        <v>0</v>
      </c>
      <c r="I526" t="n">
        <v>0</v>
      </c>
      <c r="J526" t="n">
        <v>0</v>
      </c>
      <c r="K526" t="n">
        <v>0</v>
      </c>
      <c r="L526" t="n">
        <v>0</v>
      </c>
      <c r="M526" t="n">
        <v>0</v>
      </c>
      <c r="N526" t="n">
        <v>0</v>
      </c>
      <c r="O526" t="n">
        <v>0</v>
      </c>
      <c r="P526" t="n">
        <v>0</v>
      </c>
      <c r="Q526" t="n">
        <v>0</v>
      </c>
      <c r="R526" s="2" t="inlineStr"/>
    </row>
    <row r="527" ht="15" customHeight="1">
      <c r="A527" t="inlineStr">
        <is>
          <t>A 14182-2025</t>
        </is>
      </c>
      <c r="B527" s="1" t="n">
        <v>45740.54168981482</v>
      </c>
      <c r="C527" s="1" t="n">
        <v>45907</v>
      </c>
      <c r="D527" t="inlineStr">
        <is>
          <t>JÄMTLANDS LÄN</t>
        </is>
      </c>
      <c r="E527" t="inlineStr">
        <is>
          <t>ÖSTERSUND</t>
        </is>
      </c>
      <c r="F527" t="inlineStr">
        <is>
          <t>Övriga Aktiebolag</t>
        </is>
      </c>
      <c r="G527" t="n">
        <v>20.1</v>
      </c>
      <c r="H527" t="n">
        <v>0</v>
      </c>
      <c r="I527" t="n">
        <v>0</v>
      </c>
      <c r="J527" t="n">
        <v>0</v>
      </c>
      <c r="K527" t="n">
        <v>0</v>
      </c>
      <c r="L527" t="n">
        <v>0</v>
      </c>
      <c r="M527" t="n">
        <v>0</v>
      </c>
      <c r="N527" t="n">
        <v>0</v>
      </c>
      <c r="O527" t="n">
        <v>0</v>
      </c>
      <c r="P527" t="n">
        <v>0</v>
      </c>
      <c r="Q527" t="n">
        <v>0</v>
      </c>
      <c r="R527" s="2" t="inlineStr"/>
    </row>
    <row r="528" ht="15" customHeight="1">
      <c r="A528" t="inlineStr">
        <is>
          <t>A 18577-2025</t>
        </is>
      </c>
      <c r="B528" s="1" t="n">
        <v>45763</v>
      </c>
      <c r="C528" s="1" t="n">
        <v>45907</v>
      </c>
      <c r="D528" t="inlineStr">
        <is>
          <t>JÄMTLANDS LÄN</t>
        </is>
      </c>
      <c r="E528" t="inlineStr">
        <is>
          <t>ÖSTERSUND</t>
        </is>
      </c>
      <c r="G528" t="n">
        <v>3.5</v>
      </c>
      <c r="H528" t="n">
        <v>0</v>
      </c>
      <c r="I528" t="n">
        <v>0</v>
      </c>
      <c r="J528" t="n">
        <v>0</v>
      </c>
      <c r="K528" t="n">
        <v>0</v>
      </c>
      <c r="L528" t="n">
        <v>0</v>
      </c>
      <c r="M528" t="n">
        <v>0</v>
      </c>
      <c r="N528" t="n">
        <v>0</v>
      </c>
      <c r="O528" t="n">
        <v>0</v>
      </c>
      <c r="P528" t="n">
        <v>0</v>
      </c>
      <c r="Q528" t="n">
        <v>0</v>
      </c>
      <c r="R528" s="2" t="inlineStr"/>
    </row>
    <row r="529" ht="15" customHeight="1">
      <c r="A529" t="inlineStr">
        <is>
          <t>A 18578-2025</t>
        </is>
      </c>
      <c r="B529" s="1" t="n">
        <v>45763</v>
      </c>
      <c r="C529" s="1" t="n">
        <v>45907</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59691-2024</t>
        </is>
      </c>
      <c r="B530" s="1" t="n">
        <v>45639.40684027778</v>
      </c>
      <c r="C530" s="1" t="n">
        <v>45907</v>
      </c>
      <c r="D530" t="inlineStr">
        <is>
          <t>JÄMTLANDS LÄN</t>
        </is>
      </c>
      <c r="E530" t="inlineStr">
        <is>
          <t>ÖSTERSUND</t>
        </is>
      </c>
      <c r="F530" t="inlineStr">
        <is>
          <t>SCA</t>
        </is>
      </c>
      <c r="G530" t="n">
        <v>15.9</v>
      </c>
      <c r="H530" t="n">
        <v>0</v>
      </c>
      <c r="I530" t="n">
        <v>0</v>
      </c>
      <c r="J530" t="n">
        <v>0</v>
      </c>
      <c r="K530" t="n">
        <v>0</v>
      </c>
      <c r="L530" t="n">
        <v>0</v>
      </c>
      <c r="M530" t="n">
        <v>0</v>
      </c>
      <c r="N530" t="n">
        <v>0</v>
      </c>
      <c r="O530" t="n">
        <v>0</v>
      </c>
      <c r="P530" t="n">
        <v>0</v>
      </c>
      <c r="Q530" t="n">
        <v>0</v>
      </c>
      <c r="R530" s="2" t="inlineStr"/>
    </row>
    <row r="531" ht="15" customHeight="1">
      <c r="A531" t="inlineStr">
        <is>
          <t>A 13655-2025</t>
        </is>
      </c>
      <c r="B531" s="1" t="n">
        <v>45736.71956018519</v>
      </c>
      <c r="C531" s="1" t="n">
        <v>45907</v>
      </c>
      <c r="D531" t="inlineStr">
        <is>
          <t>JÄMTLANDS LÄN</t>
        </is>
      </c>
      <c r="E531" t="inlineStr">
        <is>
          <t>ÖSTERSUND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23563-2022</t>
        </is>
      </c>
      <c r="B532" s="1" t="n">
        <v>44721.47241898148</v>
      </c>
      <c r="C532" s="1" t="n">
        <v>45907</v>
      </c>
      <c r="D532" t="inlineStr">
        <is>
          <t>JÄMTLANDS LÄN</t>
        </is>
      </c>
      <c r="E532" t="inlineStr">
        <is>
          <t>ÖSTERSUND</t>
        </is>
      </c>
      <c r="F532" t="inlineStr">
        <is>
          <t>Övriga Aktiebolag</t>
        </is>
      </c>
      <c r="G532" t="n">
        <v>3.7</v>
      </c>
      <c r="H532" t="n">
        <v>0</v>
      </c>
      <c r="I532" t="n">
        <v>0</v>
      </c>
      <c r="J532" t="n">
        <v>0</v>
      </c>
      <c r="K532" t="n">
        <v>0</v>
      </c>
      <c r="L532" t="n">
        <v>0</v>
      </c>
      <c r="M532" t="n">
        <v>0</v>
      </c>
      <c r="N532" t="n">
        <v>0</v>
      </c>
      <c r="O532" t="n">
        <v>0</v>
      </c>
      <c r="P532" t="n">
        <v>0</v>
      </c>
      <c r="Q532" t="n">
        <v>0</v>
      </c>
      <c r="R532" s="2" t="inlineStr"/>
    </row>
    <row r="533" ht="15" customHeight="1">
      <c r="A533" t="inlineStr">
        <is>
          <t>A 3053-2025</t>
        </is>
      </c>
      <c r="B533" s="1" t="n">
        <v>45678.61495370371</v>
      </c>
      <c r="C533" s="1" t="n">
        <v>45907</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846-2024</t>
        </is>
      </c>
      <c r="B534" s="1" t="n">
        <v>45300</v>
      </c>
      <c r="C534" s="1" t="n">
        <v>45907</v>
      </c>
      <c r="D534" t="inlineStr">
        <is>
          <t>JÄMTLANDS LÄN</t>
        </is>
      </c>
      <c r="E534" t="inlineStr">
        <is>
          <t>ÖSTERSUND</t>
        </is>
      </c>
      <c r="G534" t="n">
        <v>2.8</v>
      </c>
      <c r="H534" t="n">
        <v>0</v>
      </c>
      <c r="I534" t="n">
        <v>0</v>
      </c>
      <c r="J534" t="n">
        <v>0</v>
      </c>
      <c r="K534" t="n">
        <v>0</v>
      </c>
      <c r="L534" t="n">
        <v>0</v>
      </c>
      <c r="M534" t="n">
        <v>0</v>
      </c>
      <c r="N534" t="n">
        <v>0</v>
      </c>
      <c r="O534" t="n">
        <v>0</v>
      </c>
      <c r="P534" t="n">
        <v>0</v>
      </c>
      <c r="Q534" t="n">
        <v>0</v>
      </c>
      <c r="R534" s="2" t="inlineStr"/>
    </row>
    <row r="535" ht="15" customHeight="1">
      <c r="A535" t="inlineStr">
        <is>
          <t>A 27118-2023</t>
        </is>
      </c>
      <c r="B535" s="1" t="n">
        <v>45096</v>
      </c>
      <c r="C535" s="1" t="n">
        <v>45907</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8972-2022</t>
        </is>
      </c>
      <c r="B536" s="1" t="n">
        <v>44614.91989583334</v>
      </c>
      <c r="C536" s="1" t="n">
        <v>45907</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12102-2025</t>
        </is>
      </c>
      <c r="B537" s="1" t="n">
        <v>45729.3425</v>
      </c>
      <c r="C537" s="1" t="n">
        <v>45907</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10305-2023</t>
        </is>
      </c>
      <c r="B538" s="1" t="n">
        <v>44986</v>
      </c>
      <c r="C538" s="1" t="n">
        <v>45907</v>
      </c>
      <c r="D538" t="inlineStr">
        <is>
          <t>JÄMTLANDS LÄN</t>
        </is>
      </c>
      <c r="E538" t="inlineStr">
        <is>
          <t>ÖSTERSUND</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51865-2024</t>
        </is>
      </c>
      <c r="B539" s="1" t="n">
        <v>45607.55260416667</v>
      </c>
      <c r="C539" s="1" t="n">
        <v>45907</v>
      </c>
      <c r="D539" t="inlineStr">
        <is>
          <t>JÄMTLANDS LÄN</t>
        </is>
      </c>
      <c r="E539" t="inlineStr">
        <is>
          <t>ÖSTERSUND</t>
        </is>
      </c>
      <c r="F539" t="inlineStr">
        <is>
          <t>SCA</t>
        </is>
      </c>
      <c r="G539" t="n">
        <v>5.4</v>
      </c>
      <c r="H539" t="n">
        <v>0</v>
      </c>
      <c r="I539" t="n">
        <v>0</v>
      </c>
      <c r="J539" t="n">
        <v>0</v>
      </c>
      <c r="K539" t="n">
        <v>0</v>
      </c>
      <c r="L539" t="n">
        <v>0</v>
      </c>
      <c r="M539" t="n">
        <v>0</v>
      </c>
      <c r="N539" t="n">
        <v>0</v>
      </c>
      <c r="O539" t="n">
        <v>0</v>
      </c>
      <c r="P539" t="n">
        <v>0</v>
      </c>
      <c r="Q539" t="n">
        <v>0</v>
      </c>
      <c r="R539" s="2" t="inlineStr"/>
    </row>
    <row r="540" ht="15" customHeight="1">
      <c r="A540" t="inlineStr">
        <is>
          <t>A 55235-2023</t>
        </is>
      </c>
      <c r="B540" s="1" t="n">
        <v>45231</v>
      </c>
      <c r="C540" s="1" t="n">
        <v>45907</v>
      </c>
      <c r="D540" t="inlineStr">
        <is>
          <t>JÄMTLANDS LÄN</t>
        </is>
      </c>
      <c r="E540" t="inlineStr">
        <is>
          <t>ÖSTERSUND</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7953-2025</t>
        </is>
      </c>
      <c r="B541" s="1" t="n">
        <v>45707.42392361111</v>
      </c>
      <c r="C541" s="1" t="n">
        <v>45907</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7233-2024</t>
        </is>
      </c>
      <c r="B542" s="1" t="n">
        <v>45344</v>
      </c>
      <c r="C542" s="1" t="n">
        <v>45907</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7030-2025</t>
        </is>
      </c>
      <c r="B543" s="1" t="n">
        <v>45701.633125</v>
      </c>
      <c r="C543" s="1" t="n">
        <v>45907</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4350-2024</t>
        </is>
      </c>
      <c r="B544" s="1" t="n">
        <v>45324.93804398148</v>
      </c>
      <c r="C544" s="1" t="n">
        <v>45907</v>
      </c>
      <c r="D544" t="inlineStr">
        <is>
          <t>JÄMTLANDS LÄN</t>
        </is>
      </c>
      <c r="E544" t="inlineStr">
        <is>
          <t>ÖSTERSUND</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61791-2023</t>
        </is>
      </c>
      <c r="B545" s="1" t="n">
        <v>45265.95795138889</v>
      </c>
      <c r="C545" s="1" t="n">
        <v>45907</v>
      </c>
      <c r="D545" t="inlineStr">
        <is>
          <t>JÄMTLANDS LÄN</t>
        </is>
      </c>
      <c r="E545" t="inlineStr">
        <is>
          <t>ÖSTERSUND</t>
        </is>
      </c>
      <c r="F545" t="inlineStr">
        <is>
          <t>SCA</t>
        </is>
      </c>
      <c r="G545" t="n">
        <v>11.4</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45907</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12-2023</t>
        </is>
      </c>
      <c r="B547" s="1" t="n">
        <v>44927.88021990741</v>
      </c>
      <c r="C547" s="1" t="n">
        <v>45907</v>
      </c>
      <c r="D547" t="inlineStr">
        <is>
          <t>JÄMTLANDS LÄN</t>
        </is>
      </c>
      <c r="E547" t="inlineStr">
        <is>
          <t>ÖSTERSUND</t>
        </is>
      </c>
      <c r="G547" t="n">
        <v>4.7</v>
      </c>
      <c r="H547" t="n">
        <v>0</v>
      </c>
      <c r="I547" t="n">
        <v>0</v>
      </c>
      <c r="J547" t="n">
        <v>0</v>
      </c>
      <c r="K547" t="n">
        <v>0</v>
      </c>
      <c r="L547" t="n">
        <v>0</v>
      </c>
      <c r="M547" t="n">
        <v>0</v>
      </c>
      <c r="N547" t="n">
        <v>0</v>
      </c>
      <c r="O547" t="n">
        <v>0</v>
      </c>
      <c r="P547" t="n">
        <v>0</v>
      </c>
      <c r="Q547" t="n">
        <v>0</v>
      </c>
      <c r="R547" s="2" t="inlineStr"/>
    </row>
    <row r="548" ht="15" customHeight="1">
      <c r="A548" t="inlineStr">
        <is>
          <t>A 2756-2024</t>
        </is>
      </c>
      <c r="B548" s="1" t="n">
        <v>45314.58785879629</v>
      </c>
      <c r="C548" s="1" t="n">
        <v>45907</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70256-2021</t>
        </is>
      </c>
      <c r="B549" s="1" t="n">
        <v>44533</v>
      </c>
      <c r="C549" s="1" t="n">
        <v>45907</v>
      </c>
      <c r="D549" t="inlineStr">
        <is>
          <t>JÄMTLANDS LÄN</t>
        </is>
      </c>
      <c r="E549" t="inlineStr">
        <is>
          <t>ÖSTERSUND</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4136-2023</t>
        </is>
      </c>
      <c r="B550" s="1" t="n">
        <v>44952</v>
      </c>
      <c r="C550" s="1" t="n">
        <v>45907</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1893-2023</t>
        </is>
      </c>
      <c r="B551" s="1" t="n">
        <v>44937</v>
      </c>
      <c r="C551" s="1" t="n">
        <v>45907</v>
      </c>
      <c r="D551" t="inlineStr">
        <is>
          <t>JÄMTLANDS LÄN</t>
        </is>
      </c>
      <c r="E551" t="inlineStr">
        <is>
          <t>ÖSTERSUND</t>
        </is>
      </c>
      <c r="G551" t="n">
        <v>11</v>
      </c>
      <c r="H551" t="n">
        <v>0</v>
      </c>
      <c r="I551" t="n">
        <v>0</v>
      </c>
      <c r="J551" t="n">
        <v>0</v>
      </c>
      <c r="K551" t="n">
        <v>0</v>
      </c>
      <c r="L551" t="n">
        <v>0</v>
      </c>
      <c r="M551" t="n">
        <v>0</v>
      </c>
      <c r="N551" t="n">
        <v>0</v>
      </c>
      <c r="O551" t="n">
        <v>0</v>
      </c>
      <c r="P551" t="n">
        <v>0</v>
      </c>
      <c r="Q551" t="n">
        <v>0</v>
      </c>
      <c r="R551" s="2" t="inlineStr"/>
    </row>
    <row r="552" ht="15" customHeight="1">
      <c r="A552" t="inlineStr">
        <is>
          <t>A 64309-2023</t>
        </is>
      </c>
      <c r="B552" s="1" t="n">
        <v>45280</v>
      </c>
      <c r="C552" s="1" t="n">
        <v>45907</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64314-2023</t>
        </is>
      </c>
      <c r="B553" s="1" t="n">
        <v>45280</v>
      </c>
      <c r="C553" s="1" t="n">
        <v>45907</v>
      </c>
      <c r="D553" t="inlineStr">
        <is>
          <t>JÄMTLANDS LÄN</t>
        </is>
      </c>
      <c r="E553" t="inlineStr">
        <is>
          <t>ÖSTERSUND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27124-2023</t>
        </is>
      </c>
      <c r="B554" s="1" t="n">
        <v>45096</v>
      </c>
      <c r="C554" s="1" t="n">
        <v>45907</v>
      </c>
      <c r="D554" t="inlineStr">
        <is>
          <t>JÄMTLANDS LÄN</t>
        </is>
      </c>
      <c r="E554" t="inlineStr">
        <is>
          <t>ÖSTERSUND</t>
        </is>
      </c>
      <c r="G554" t="n">
        <v>1.9</v>
      </c>
      <c r="H554" t="n">
        <v>0</v>
      </c>
      <c r="I554" t="n">
        <v>0</v>
      </c>
      <c r="J554" t="n">
        <v>0</v>
      </c>
      <c r="K554" t="n">
        <v>0</v>
      </c>
      <c r="L554" t="n">
        <v>0</v>
      </c>
      <c r="M554" t="n">
        <v>0</v>
      </c>
      <c r="N554" t="n">
        <v>0</v>
      </c>
      <c r="O554" t="n">
        <v>0</v>
      </c>
      <c r="P554" t="n">
        <v>0</v>
      </c>
      <c r="Q554" t="n">
        <v>0</v>
      </c>
      <c r="R554" s="2" t="inlineStr"/>
    </row>
    <row r="555" ht="15" customHeight="1">
      <c r="A555" t="inlineStr">
        <is>
          <t>A 57556-2024</t>
        </is>
      </c>
      <c r="B555" s="1" t="n">
        <v>45630</v>
      </c>
      <c r="C555" s="1" t="n">
        <v>45907</v>
      </c>
      <c r="D555" t="inlineStr">
        <is>
          <t>JÄMTLANDS LÄN</t>
        </is>
      </c>
      <c r="E555" t="inlineStr">
        <is>
          <t>ÖSTERSUND</t>
        </is>
      </c>
      <c r="G555" t="n">
        <v>5.5</v>
      </c>
      <c r="H555" t="n">
        <v>0</v>
      </c>
      <c r="I555" t="n">
        <v>0</v>
      </c>
      <c r="J555" t="n">
        <v>0</v>
      </c>
      <c r="K555" t="n">
        <v>0</v>
      </c>
      <c r="L555" t="n">
        <v>0</v>
      </c>
      <c r="M555" t="n">
        <v>0</v>
      </c>
      <c r="N555" t="n">
        <v>0</v>
      </c>
      <c r="O555" t="n">
        <v>0</v>
      </c>
      <c r="P555" t="n">
        <v>0</v>
      </c>
      <c r="Q555" t="n">
        <v>0</v>
      </c>
      <c r="R555" s="2" t="inlineStr"/>
    </row>
    <row r="556" ht="15" customHeight="1">
      <c r="A556" t="inlineStr">
        <is>
          <t>A 16336-2025</t>
        </is>
      </c>
      <c r="B556" s="1" t="n">
        <v>45751.36519675926</v>
      </c>
      <c r="C556" s="1" t="n">
        <v>45907</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60126-2020</t>
        </is>
      </c>
      <c r="B557" s="1" t="n">
        <v>44152</v>
      </c>
      <c r="C557" s="1" t="n">
        <v>45907</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19566-2024</t>
        </is>
      </c>
      <c r="B558" s="1" t="n">
        <v>45429.92313657407</v>
      </c>
      <c r="C558" s="1" t="n">
        <v>45907</v>
      </c>
      <c r="D558" t="inlineStr">
        <is>
          <t>JÄMTLANDS LÄN</t>
        </is>
      </c>
      <c r="E558" t="inlineStr">
        <is>
          <t>ÖSTERSUND</t>
        </is>
      </c>
      <c r="G558" t="n">
        <v>0</v>
      </c>
      <c r="H558" t="n">
        <v>0</v>
      </c>
      <c r="I558" t="n">
        <v>0</v>
      </c>
      <c r="J558" t="n">
        <v>0</v>
      </c>
      <c r="K558" t="n">
        <v>0</v>
      </c>
      <c r="L558" t="n">
        <v>0</v>
      </c>
      <c r="M558" t="n">
        <v>0</v>
      </c>
      <c r="N558" t="n">
        <v>0</v>
      </c>
      <c r="O558" t="n">
        <v>0</v>
      </c>
      <c r="P558" t="n">
        <v>0</v>
      </c>
      <c r="Q558" t="n">
        <v>0</v>
      </c>
      <c r="R558" s="2" t="inlineStr"/>
    </row>
    <row r="559" ht="15" customHeight="1">
      <c r="A559" t="inlineStr">
        <is>
          <t>A 9552-2025</t>
        </is>
      </c>
      <c r="B559" s="1" t="n">
        <v>45715.59545138889</v>
      </c>
      <c r="C559" s="1" t="n">
        <v>45907</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17066-2024</t>
        </is>
      </c>
      <c r="B560" s="1" t="n">
        <v>45412.46636574074</v>
      </c>
      <c r="C560" s="1" t="n">
        <v>45907</v>
      </c>
      <c r="D560" t="inlineStr">
        <is>
          <t>JÄMTLANDS LÄN</t>
        </is>
      </c>
      <c r="E560" t="inlineStr">
        <is>
          <t>ÖSTERSUND</t>
        </is>
      </c>
      <c r="G560" t="n">
        <v>4.2</v>
      </c>
      <c r="H560" t="n">
        <v>0</v>
      </c>
      <c r="I560" t="n">
        <v>0</v>
      </c>
      <c r="J560" t="n">
        <v>0</v>
      </c>
      <c r="K560" t="n">
        <v>0</v>
      </c>
      <c r="L560" t="n">
        <v>0</v>
      </c>
      <c r="M560" t="n">
        <v>0</v>
      </c>
      <c r="N560" t="n">
        <v>0</v>
      </c>
      <c r="O560" t="n">
        <v>0</v>
      </c>
      <c r="P560" t="n">
        <v>0</v>
      </c>
      <c r="Q560" t="n">
        <v>0</v>
      </c>
      <c r="R560" s="2" t="inlineStr"/>
    </row>
    <row r="561" ht="15" customHeight="1">
      <c r="A561" t="inlineStr">
        <is>
          <t>A 13024-2022</t>
        </is>
      </c>
      <c r="B561" s="1" t="n">
        <v>44643</v>
      </c>
      <c r="C561" s="1" t="n">
        <v>45907</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61449-2024</t>
        </is>
      </c>
      <c r="B562" s="1" t="n">
        <v>45646.48988425926</v>
      </c>
      <c r="C562" s="1" t="n">
        <v>45907</v>
      </c>
      <c r="D562" t="inlineStr">
        <is>
          <t>JÄMTLANDS LÄN</t>
        </is>
      </c>
      <c r="E562" t="inlineStr">
        <is>
          <t>ÖSTERSUND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61450-2024</t>
        </is>
      </c>
      <c r="B563" s="1" t="n">
        <v>45646.49012731481</v>
      </c>
      <c r="C563" s="1" t="n">
        <v>45907</v>
      </c>
      <c r="D563" t="inlineStr">
        <is>
          <t>JÄMTLANDS LÄN</t>
        </is>
      </c>
      <c r="E563" t="inlineStr">
        <is>
          <t>ÖSTERSUND</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61451-2024</t>
        </is>
      </c>
      <c r="B564" s="1" t="n">
        <v>45646.49017361111</v>
      </c>
      <c r="C564" s="1" t="n">
        <v>45907</v>
      </c>
      <c r="D564" t="inlineStr">
        <is>
          <t>JÄMTLANDS LÄN</t>
        </is>
      </c>
      <c r="E564" t="inlineStr">
        <is>
          <t>ÖSTERSUND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7233-2025</t>
        </is>
      </c>
      <c r="B565" s="1" t="n">
        <v>45702.51765046296</v>
      </c>
      <c r="C565" s="1" t="n">
        <v>45907</v>
      </c>
      <c r="D565" t="inlineStr">
        <is>
          <t>JÄMTLANDS LÄN</t>
        </is>
      </c>
      <c r="E565" t="inlineStr">
        <is>
          <t>ÖSTERSUND</t>
        </is>
      </c>
      <c r="G565" t="n">
        <v>1.7</v>
      </c>
      <c r="H565" t="n">
        <v>0</v>
      </c>
      <c r="I565" t="n">
        <v>0</v>
      </c>
      <c r="J565" t="n">
        <v>0</v>
      </c>
      <c r="K565" t="n">
        <v>0</v>
      </c>
      <c r="L565" t="n">
        <v>0</v>
      </c>
      <c r="M565" t="n">
        <v>0</v>
      </c>
      <c r="N565" t="n">
        <v>0</v>
      </c>
      <c r="O565" t="n">
        <v>0</v>
      </c>
      <c r="P565" t="n">
        <v>0</v>
      </c>
      <c r="Q565" t="n">
        <v>0</v>
      </c>
      <c r="R565" s="2" t="inlineStr"/>
    </row>
    <row r="566" ht="15" customHeight="1">
      <c r="A566" t="inlineStr">
        <is>
          <t>A 8261-2025</t>
        </is>
      </c>
      <c r="B566" s="1" t="n">
        <v>45708.50256944444</v>
      </c>
      <c r="C566" s="1" t="n">
        <v>45907</v>
      </c>
      <c r="D566" t="inlineStr">
        <is>
          <t>JÄMTLANDS LÄN</t>
        </is>
      </c>
      <c r="E566" t="inlineStr">
        <is>
          <t>ÖSTERSUND</t>
        </is>
      </c>
      <c r="G566" t="n">
        <v>5.4</v>
      </c>
      <c r="H566" t="n">
        <v>0</v>
      </c>
      <c r="I566" t="n">
        <v>0</v>
      </c>
      <c r="J566" t="n">
        <v>0</v>
      </c>
      <c r="K566" t="n">
        <v>0</v>
      </c>
      <c r="L566" t="n">
        <v>0</v>
      </c>
      <c r="M566" t="n">
        <v>0</v>
      </c>
      <c r="N566" t="n">
        <v>0</v>
      </c>
      <c r="O566" t="n">
        <v>0</v>
      </c>
      <c r="P566" t="n">
        <v>0</v>
      </c>
      <c r="Q566" t="n">
        <v>0</v>
      </c>
      <c r="R566" s="2" t="inlineStr"/>
    </row>
    <row r="567" ht="15" customHeight="1">
      <c r="A567" t="inlineStr">
        <is>
          <t>A 4966-2025</t>
        </is>
      </c>
      <c r="B567" s="1" t="n">
        <v>45690.63628472222</v>
      </c>
      <c r="C567" s="1" t="n">
        <v>45907</v>
      </c>
      <c r="D567" t="inlineStr">
        <is>
          <t>JÄMTLANDS LÄN</t>
        </is>
      </c>
      <c r="E567" t="inlineStr">
        <is>
          <t>ÖSTERSUND</t>
        </is>
      </c>
      <c r="G567" t="n">
        <v>3.4</v>
      </c>
      <c r="H567" t="n">
        <v>0</v>
      </c>
      <c r="I567" t="n">
        <v>0</v>
      </c>
      <c r="J567" t="n">
        <v>0</v>
      </c>
      <c r="K567" t="n">
        <v>0</v>
      </c>
      <c r="L567" t="n">
        <v>0</v>
      </c>
      <c r="M567" t="n">
        <v>0</v>
      </c>
      <c r="N567" t="n">
        <v>0</v>
      </c>
      <c r="O567" t="n">
        <v>0</v>
      </c>
      <c r="P567" t="n">
        <v>0</v>
      </c>
      <c r="Q567" t="n">
        <v>0</v>
      </c>
      <c r="R567" s="2" t="inlineStr"/>
    </row>
    <row r="568" ht="15" customHeight="1">
      <c r="A568" t="inlineStr">
        <is>
          <t>A 39975-2024</t>
        </is>
      </c>
      <c r="B568" s="1" t="n">
        <v>45553.60474537037</v>
      </c>
      <c r="C568" s="1" t="n">
        <v>45907</v>
      </c>
      <c r="D568" t="inlineStr">
        <is>
          <t>JÄMTLANDS LÄN</t>
        </is>
      </c>
      <c r="E568" t="inlineStr">
        <is>
          <t>ÖSTERSUND</t>
        </is>
      </c>
      <c r="G568" t="n">
        <v>3.8</v>
      </c>
      <c r="H568" t="n">
        <v>0</v>
      </c>
      <c r="I568" t="n">
        <v>0</v>
      </c>
      <c r="J568" t="n">
        <v>0</v>
      </c>
      <c r="K568" t="n">
        <v>0</v>
      </c>
      <c r="L568" t="n">
        <v>0</v>
      </c>
      <c r="M568" t="n">
        <v>0</v>
      </c>
      <c r="N568" t="n">
        <v>0</v>
      </c>
      <c r="O568" t="n">
        <v>0</v>
      </c>
      <c r="P568" t="n">
        <v>0</v>
      </c>
      <c r="Q568" t="n">
        <v>0</v>
      </c>
      <c r="R568" s="2" t="inlineStr"/>
    </row>
    <row r="569" ht="15" customHeight="1">
      <c r="A569" t="inlineStr">
        <is>
          <t>A 61506-2023</t>
        </is>
      </c>
      <c r="B569" s="1" t="n">
        <v>45264</v>
      </c>
      <c r="C569" s="1" t="n">
        <v>45907</v>
      </c>
      <c r="D569" t="inlineStr">
        <is>
          <t>JÄMTLANDS LÄN</t>
        </is>
      </c>
      <c r="E569" t="inlineStr">
        <is>
          <t>ÖSTERSUND</t>
        </is>
      </c>
      <c r="G569" t="n">
        <v>3</v>
      </c>
      <c r="H569" t="n">
        <v>0</v>
      </c>
      <c r="I569" t="n">
        <v>0</v>
      </c>
      <c r="J569" t="n">
        <v>0</v>
      </c>
      <c r="K569" t="n">
        <v>0</v>
      </c>
      <c r="L569" t="n">
        <v>0</v>
      </c>
      <c r="M569" t="n">
        <v>0</v>
      </c>
      <c r="N569" t="n">
        <v>0</v>
      </c>
      <c r="O569" t="n">
        <v>0</v>
      </c>
      <c r="P569" t="n">
        <v>0</v>
      </c>
      <c r="Q569" t="n">
        <v>0</v>
      </c>
      <c r="R569" s="2" t="inlineStr"/>
    </row>
    <row r="570" ht="15" customHeight="1">
      <c r="A570" t="inlineStr">
        <is>
          <t>A 16753-2025</t>
        </is>
      </c>
      <c r="B570" s="1" t="n">
        <v>45754.56839120371</v>
      </c>
      <c r="C570" s="1" t="n">
        <v>45907</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56067-2022</t>
        </is>
      </c>
      <c r="B571" s="1" t="n">
        <v>44889.59378472222</v>
      </c>
      <c r="C571" s="1" t="n">
        <v>45907</v>
      </c>
      <c r="D571" t="inlineStr">
        <is>
          <t>JÄMTLANDS LÄN</t>
        </is>
      </c>
      <c r="E571" t="inlineStr">
        <is>
          <t>ÖSTERSUND</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2615-2024</t>
        </is>
      </c>
      <c r="B572" s="1" t="n">
        <v>45313</v>
      </c>
      <c r="C572" s="1" t="n">
        <v>45907</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33002-2021</t>
        </is>
      </c>
      <c r="B573" s="1" t="n">
        <v>44375</v>
      </c>
      <c r="C573" s="1" t="n">
        <v>45907</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6067-2025</t>
        </is>
      </c>
      <c r="B574" s="1" t="n">
        <v>45696.34405092592</v>
      </c>
      <c r="C574" s="1" t="n">
        <v>45907</v>
      </c>
      <c r="D574" t="inlineStr">
        <is>
          <t>JÄMTLANDS LÄN</t>
        </is>
      </c>
      <c r="E574" t="inlineStr">
        <is>
          <t>ÖSTERSUND</t>
        </is>
      </c>
      <c r="G574" t="n">
        <v>2.1</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45907</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14542-2025</t>
        </is>
      </c>
      <c r="B576" s="1" t="n">
        <v>45741.68631944444</v>
      </c>
      <c r="C576" s="1" t="n">
        <v>45907</v>
      </c>
      <c r="D576" t="inlineStr">
        <is>
          <t>JÄMTLANDS LÄN</t>
        </is>
      </c>
      <c r="E576" t="inlineStr">
        <is>
          <t>ÖSTERSUND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30602-2023</t>
        </is>
      </c>
      <c r="B577" s="1" t="n">
        <v>45112</v>
      </c>
      <c r="C577" s="1" t="n">
        <v>45907</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1211-2025</t>
        </is>
      </c>
      <c r="B578" s="1" t="n">
        <v>45667.40662037037</v>
      </c>
      <c r="C578" s="1" t="n">
        <v>45907</v>
      </c>
      <c r="D578" t="inlineStr">
        <is>
          <t>JÄMTLANDS LÄN</t>
        </is>
      </c>
      <c r="E578" t="inlineStr">
        <is>
          <t>ÖSTERSUND</t>
        </is>
      </c>
      <c r="F578" t="inlineStr">
        <is>
          <t>SCA</t>
        </is>
      </c>
      <c r="G578" t="n">
        <v>6.2</v>
      </c>
      <c r="H578" t="n">
        <v>0</v>
      </c>
      <c r="I578" t="n">
        <v>0</v>
      </c>
      <c r="J578" t="n">
        <v>0</v>
      </c>
      <c r="K578" t="n">
        <v>0</v>
      </c>
      <c r="L578" t="n">
        <v>0</v>
      </c>
      <c r="M578" t="n">
        <v>0</v>
      </c>
      <c r="N578" t="n">
        <v>0</v>
      </c>
      <c r="O578" t="n">
        <v>0</v>
      </c>
      <c r="P578" t="n">
        <v>0</v>
      </c>
      <c r="Q578" t="n">
        <v>0</v>
      </c>
      <c r="R578" s="2" t="inlineStr"/>
    </row>
    <row r="579" ht="15" customHeight="1">
      <c r="A579" t="inlineStr">
        <is>
          <t>A 45004-2022</t>
        </is>
      </c>
      <c r="B579" s="1" t="n">
        <v>44840</v>
      </c>
      <c r="C579" s="1" t="n">
        <v>45907</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12352-2025</t>
        </is>
      </c>
      <c r="B580" s="1" t="n">
        <v>45730.36263888889</v>
      </c>
      <c r="C580" s="1" t="n">
        <v>45907</v>
      </c>
      <c r="D580" t="inlineStr">
        <is>
          <t>JÄMTLANDS LÄN</t>
        </is>
      </c>
      <c r="E580" t="inlineStr">
        <is>
          <t>ÖSTERSUND</t>
        </is>
      </c>
      <c r="G580" t="n">
        <v>7.8</v>
      </c>
      <c r="H580" t="n">
        <v>0</v>
      </c>
      <c r="I580" t="n">
        <v>0</v>
      </c>
      <c r="J580" t="n">
        <v>0</v>
      </c>
      <c r="K580" t="n">
        <v>0</v>
      </c>
      <c r="L580" t="n">
        <v>0</v>
      </c>
      <c r="M580" t="n">
        <v>0</v>
      </c>
      <c r="N580" t="n">
        <v>0</v>
      </c>
      <c r="O580" t="n">
        <v>0</v>
      </c>
      <c r="P580" t="n">
        <v>0</v>
      </c>
      <c r="Q580" t="n">
        <v>0</v>
      </c>
      <c r="R580" s="2" t="inlineStr"/>
    </row>
    <row r="581" ht="15" customHeight="1">
      <c r="A581" t="inlineStr">
        <is>
          <t>A 24786-2024</t>
        </is>
      </c>
      <c r="B581" s="1" t="n">
        <v>45460.81277777778</v>
      </c>
      <c r="C581" s="1" t="n">
        <v>45907</v>
      </c>
      <c r="D581" t="inlineStr">
        <is>
          <t>JÄMTLANDS LÄN</t>
        </is>
      </c>
      <c r="E581" t="inlineStr">
        <is>
          <t>ÖSTERSUND</t>
        </is>
      </c>
      <c r="G581" t="n">
        <v>0.1</v>
      </c>
      <c r="H581" t="n">
        <v>0</v>
      </c>
      <c r="I581" t="n">
        <v>0</v>
      </c>
      <c r="J581" t="n">
        <v>0</v>
      </c>
      <c r="K581" t="n">
        <v>0</v>
      </c>
      <c r="L581" t="n">
        <v>0</v>
      </c>
      <c r="M581" t="n">
        <v>0</v>
      </c>
      <c r="N581" t="n">
        <v>0</v>
      </c>
      <c r="O581" t="n">
        <v>0</v>
      </c>
      <c r="P581" t="n">
        <v>0</v>
      </c>
      <c r="Q581" t="n">
        <v>0</v>
      </c>
      <c r="R581" s="2" t="inlineStr"/>
    </row>
    <row r="582" ht="15" customHeight="1">
      <c r="A582" t="inlineStr">
        <is>
          <t>A 27906-2024</t>
        </is>
      </c>
      <c r="B582" s="1" t="n">
        <v>45475.94585648148</v>
      </c>
      <c r="C582" s="1" t="n">
        <v>45907</v>
      </c>
      <c r="D582" t="inlineStr">
        <is>
          <t>JÄMTLANDS LÄN</t>
        </is>
      </c>
      <c r="E582" t="inlineStr">
        <is>
          <t>ÖSTERSUND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53380-2023</t>
        </is>
      </c>
      <c r="B583" s="1" t="n">
        <v>45223</v>
      </c>
      <c r="C583" s="1" t="n">
        <v>45907</v>
      </c>
      <c r="D583" t="inlineStr">
        <is>
          <t>JÄMTLANDS LÄN</t>
        </is>
      </c>
      <c r="E583" t="inlineStr">
        <is>
          <t>ÖSTERSUND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53660-2024</t>
        </is>
      </c>
      <c r="B584" s="1" t="n">
        <v>45615.31297453704</v>
      </c>
      <c r="C584" s="1" t="n">
        <v>45907</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10116-2025</t>
        </is>
      </c>
      <c r="B585" s="1" t="n">
        <v>45719.59836805556</v>
      </c>
      <c r="C585" s="1" t="n">
        <v>45907</v>
      </c>
      <c r="D585" t="inlineStr">
        <is>
          <t>JÄMTLANDS LÄN</t>
        </is>
      </c>
      <c r="E585" t="inlineStr">
        <is>
          <t>ÖSTERSUND</t>
        </is>
      </c>
      <c r="G585" t="n">
        <v>11.1</v>
      </c>
      <c r="H585" t="n">
        <v>0</v>
      </c>
      <c r="I585" t="n">
        <v>0</v>
      </c>
      <c r="J585" t="n">
        <v>0</v>
      </c>
      <c r="K585" t="n">
        <v>0</v>
      </c>
      <c r="L585" t="n">
        <v>0</v>
      </c>
      <c r="M585" t="n">
        <v>0</v>
      </c>
      <c r="N585" t="n">
        <v>0</v>
      </c>
      <c r="O585" t="n">
        <v>0</v>
      </c>
      <c r="P585" t="n">
        <v>0</v>
      </c>
      <c r="Q585" t="n">
        <v>0</v>
      </c>
      <c r="R585" s="2" t="inlineStr"/>
    </row>
    <row r="586" ht="15" customHeight="1">
      <c r="A586" t="inlineStr">
        <is>
          <t>A 48696-2024</t>
        </is>
      </c>
      <c r="B586" s="1" t="n">
        <v>45593.51123842593</v>
      </c>
      <c r="C586" s="1" t="n">
        <v>45907</v>
      </c>
      <c r="D586" t="inlineStr">
        <is>
          <t>JÄMTLANDS LÄN</t>
        </is>
      </c>
      <c r="E586" t="inlineStr">
        <is>
          <t>ÖSTERSUND</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48737-2024</t>
        </is>
      </c>
      <c r="B587" s="1" t="n">
        <v>45593.57327546296</v>
      </c>
      <c r="C587" s="1" t="n">
        <v>45907</v>
      </c>
      <c r="D587" t="inlineStr">
        <is>
          <t>JÄMTLANDS LÄN</t>
        </is>
      </c>
      <c r="E587" t="inlineStr">
        <is>
          <t>ÖSTERSUND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14263-2025</t>
        </is>
      </c>
      <c r="B588" s="1" t="n">
        <v>45740.63354166667</v>
      </c>
      <c r="C588" s="1" t="n">
        <v>45907</v>
      </c>
      <c r="D588" t="inlineStr">
        <is>
          <t>JÄMTLANDS LÄN</t>
        </is>
      </c>
      <c r="E588" t="inlineStr">
        <is>
          <t>ÖSTERSUND</t>
        </is>
      </c>
      <c r="F588" t="inlineStr">
        <is>
          <t>Övriga Aktiebolag</t>
        </is>
      </c>
      <c r="G588" t="n">
        <v>4.3</v>
      </c>
      <c r="H588" t="n">
        <v>0</v>
      </c>
      <c r="I588" t="n">
        <v>0</v>
      </c>
      <c r="J588" t="n">
        <v>0</v>
      </c>
      <c r="K588" t="n">
        <v>0</v>
      </c>
      <c r="L588" t="n">
        <v>0</v>
      </c>
      <c r="M588" t="n">
        <v>0</v>
      </c>
      <c r="N588" t="n">
        <v>0</v>
      </c>
      <c r="O588" t="n">
        <v>0</v>
      </c>
      <c r="P588" t="n">
        <v>0</v>
      </c>
      <c r="Q588" t="n">
        <v>0</v>
      </c>
      <c r="R588" s="2" t="inlineStr"/>
    </row>
    <row r="589" ht="15" customHeight="1">
      <c r="A589" t="inlineStr">
        <is>
          <t>A 33501-2023</t>
        </is>
      </c>
      <c r="B589" s="1" t="n">
        <v>45118</v>
      </c>
      <c r="C589" s="1" t="n">
        <v>45907</v>
      </c>
      <c r="D589" t="inlineStr">
        <is>
          <t>JÄMTLANDS LÄN</t>
        </is>
      </c>
      <c r="E589" t="inlineStr">
        <is>
          <t>ÖSTERSUND</t>
        </is>
      </c>
      <c r="G589" t="n">
        <v>5.8</v>
      </c>
      <c r="H589" t="n">
        <v>0</v>
      </c>
      <c r="I589" t="n">
        <v>0</v>
      </c>
      <c r="J589" t="n">
        <v>0</v>
      </c>
      <c r="K589" t="n">
        <v>0</v>
      </c>
      <c r="L589" t="n">
        <v>0</v>
      </c>
      <c r="M589" t="n">
        <v>0</v>
      </c>
      <c r="N589" t="n">
        <v>0</v>
      </c>
      <c r="O589" t="n">
        <v>0</v>
      </c>
      <c r="P589" t="n">
        <v>0</v>
      </c>
      <c r="Q589" t="n">
        <v>0</v>
      </c>
      <c r="R589" s="2" t="inlineStr"/>
    </row>
    <row r="590" ht="15" customHeight="1">
      <c r="A590" t="inlineStr">
        <is>
          <t>A 60088-2024</t>
        </is>
      </c>
      <c r="B590" s="1" t="n">
        <v>45642.54847222222</v>
      </c>
      <c r="C590" s="1" t="n">
        <v>45907</v>
      </c>
      <c r="D590" t="inlineStr">
        <is>
          <t>JÄMTLANDS LÄN</t>
        </is>
      </c>
      <c r="E590" t="inlineStr">
        <is>
          <t>ÖSTERSUND</t>
        </is>
      </c>
      <c r="G590" t="n">
        <v>5</v>
      </c>
      <c r="H590" t="n">
        <v>0</v>
      </c>
      <c r="I590" t="n">
        <v>0</v>
      </c>
      <c r="J590" t="n">
        <v>0</v>
      </c>
      <c r="K590" t="n">
        <v>0</v>
      </c>
      <c r="L590" t="n">
        <v>0</v>
      </c>
      <c r="M590" t="n">
        <v>0</v>
      </c>
      <c r="N590" t="n">
        <v>0</v>
      </c>
      <c r="O590" t="n">
        <v>0</v>
      </c>
      <c r="P590" t="n">
        <v>0</v>
      </c>
      <c r="Q590" t="n">
        <v>0</v>
      </c>
      <c r="R590" s="2" t="inlineStr"/>
    </row>
    <row r="591" ht="15" customHeight="1">
      <c r="A591" t="inlineStr">
        <is>
          <t>A 16682-2023</t>
        </is>
      </c>
      <c r="B591" s="1" t="n">
        <v>45028</v>
      </c>
      <c r="C591" s="1" t="n">
        <v>45907</v>
      </c>
      <c r="D591" t="inlineStr">
        <is>
          <t>JÄMTLANDS LÄN</t>
        </is>
      </c>
      <c r="E591" t="inlineStr">
        <is>
          <t>ÖSTERSUND</t>
        </is>
      </c>
      <c r="G591" t="n">
        <v>7.9</v>
      </c>
      <c r="H591" t="n">
        <v>0</v>
      </c>
      <c r="I591" t="n">
        <v>0</v>
      </c>
      <c r="J591" t="n">
        <v>0</v>
      </c>
      <c r="K591" t="n">
        <v>0</v>
      </c>
      <c r="L591" t="n">
        <v>0</v>
      </c>
      <c r="M591" t="n">
        <v>0</v>
      </c>
      <c r="N591" t="n">
        <v>0</v>
      </c>
      <c r="O591" t="n">
        <v>0</v>
      </c>
      <c r="P591" t="n">
        <v>0</v>
      </c>
      <c r="Q591" t="n">
        <v>0</v>
      </c>
      <c r="R591" s="2" t="inlineStr"/>
    </row>
    <row r="592" ht="15" customHeight="1">
      <c r="A592" t="inlineStr">
        <is>
          <t>A 46139-2021</t>
        </is>
      </c>
      <c r="B592" s="1" t="n">
        <v>44441</v>
      </c>
      <c r="C592" s="1" t="n">
        <v>45907</v>
      </c>
      <c r="D592" t="inlineStr">
        <is>
          <t>JÄMTLANDS LÄN</t>
        </is>
      </c>
      <c r="E592" t="inlineStr">
        <is>
          <t>ÖSTERSUND</t>
        </is>
      </c>
      <c r="G592" t="n">
        <v>12.8</v>
      </c>
      <c r="H592" t="n">
        <v>0</v>
      </c>
      <c r="I592" t="n">
        <v>0</v>
      </c>
      <c r="J592" t="n">
        <v>0</v>
      </c>
      <c r="K592" t="n">
        <v>0</v>
      </c>
      <c r="L592" t="n">
        <v>0</v>
      </c>
      <c r="M592" t="n">
        <v>0</v>
      </c>
      <c r="N592" t="n">
        <v>0</v>
      </c>
      <c r="O592" t="n">
        <v>0</v>
      </c>
      <c r="P592" t="n">
        <v>0</v>
      </c>
      <c r="Q592" t="n">
        <v>0</v>
      </c>
      <c r="R592" s="2" t="inlineStr"/>
    </row>
    <row r="593" ht="15" customHeight="1">
      <c r="A593" t="inlineStr">
        <is>
          <t>A 49788-2024</t>
        </is>
      </c>
      <c r="B593" s="1" t="n">
        <v>45597.36623842592</v>
      </c>
      <c r="C593" s="1" t="n">
        <v>45907</v>
      </c>
      <c r="D593" t="inlineStr">
        <is>
          <t>JÄMTLANDS LÄN</t>
        </is>
      </c>
      <c r="E593" t="inlineStr">
        <is>
          <t>ÖSTERSUND</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4901-2025</t>
        </is>
      </c>
      <c r="B594" s="1" t="n">
        <v>45688.67965277778</v>
      </c>
      <c r="C594" s="1" t="n">
        <v>45907</v>
      </c>
      <c r="D594" t="inlineStr">
        <is>
          <t>JÄMTLANDS LÄN</t>
        </is>
      </c>
      <c r="E594" t="inlineStr">
        <is>
          <t>ÖSTERSUND</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1670-2024</t>
        </is>
      </c>
      <c r="B595" s="1" t="n">
        <v>45306</v>
      </c>
      <c r="C595" s="1" t="n">
        <v>45907</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56111-2022</t>
        </is>
      </c>
      <c r="B596" s="1" t="n">
        <v>44889</v>
      </c>
      <c r="C596" s="1" t="n">
        <v>45907</v>
      </c>
      <c r="D596" t="inlineStr">
        <is>
          <t>JÄMTLANDS LÄN</t>
        </is>
      </c>
      <c r="E596" t="inlineStr">
        <is>
          <t>ÖSTERSUND</t>
        </is>
      </c>
      <c r="G596" t="n">
        <v>2.5</v>
      </c>
      <c r="H596" t="n">
        <v>0</v>
      </c>
      <c r="I596" t="n">
        <v>0</v>
      </c>
      <c r="J596" t="n">
        <v>0</v>
      </c>
      <c r="K596" t="n">
        <v>0</v>
      </c>
      <c r="L596" t="n">
        <v>0</v>
      </c>
      <c r="M596" t="n">
        <v>0</v>
      </c>
      <c r="N596" t="n">
        <v>0</v>
      </c>
      <c r="O596" t="n">
        <v>0</v>
      </c>
      <c r="P596" t="n">
        <v>0</v>
      </c>
      <c r="Q596" t="n">
        <v>0</v>
      </c>
      <c r="R596" s="2" t="inlineStr"/>
    </row>
    <row r="597" ht="15" customHeight="1">
      <c r="A597" t="inlineStr">
        <is>
          <t>A 17709-2024</t>
        </is>
      </c>
      <c r="B597" s="1" t="n">
        <v>45418.4843287037</v>
      </c>
      <c r="C597" s="1" t="n">
        <v>45907</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58406-2024</t>
        </is>
      </c>
      <c r="B598" s="1" t="n">
        <v>45634.70898148148</v>
      </c>
      <c r="C598" s="1" t="n">
        <v>45907</v>
      </c>
      <c r="D598" t="inlineStr">
        <is>
          <t>JÄMTLANDS LÄN</t>
        </is>
      </c>
      <c r="E598" t="inlineStr">
        <is>
          <t>ÖSTERSUND</t>
        </is>
      </c>
      <c r="G598" t="n">
        <v>3.8</v>
      </c>
      <c r="H598" t="n">
        <v>0</v>
      </c>
      <c r="I598" t="n">
        <v>0</v>
      </c>
      <c r="J598" t="n">
        <v>0</v>
      </c>
      <c r="K598" t="n">
        <v>0</v>
      </c>
      <c r="L598" t="n">
        <v>0</v>
      </c>
      <c r="M598" t="n">
        <v>0</v>
      </c>
      <c r="N598" t="n">
        <v>0</v>
      </c>
      <c r="O598" t="n">
        <v>0</v>
      </c>
      <c r="P598" t="n">
        <v>0</v>
      </c>
      <c r="Q598" t="n">
        <v>0</v>
      </c>
      <c r="R598" s="2" t="inlineStr"/>
    </row>
    <row r="599" ht="15" customHeight="1">
      <c r="A599" t="inlineStr">
        <is>
          <t>A 14867-2025</t>
        </is>
      </c>
      <c r="B599" s="1" t="n">
        <v>45743.44207175926</v>
      </c>
      <c r="C599" s="1" t="n">
        <v>45907</v>
      </c>
      <c r="D599" t="inlineStr">
        <is>
          <t>JÄMTLANDS LÄN</t>
        </is>
      </c>
      <c r="E599" t="inlineStr">
        <is>
          <t>ÖSTERSUND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51826-2024</t>
        </is>
      </c>
      <c r="B600" s="1" t="n">
        <v>45607.50137731482</v>
      </c>
      <c r="C600" s="1" t="n">
        <v>45907</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13166-2023</t>
        </is>
      </c>
      <c r="B601" s="1" t="n">
        <v>45002</v>
      </c>
      <c r="C601" s="1" t="n">
        <v>45907</v>
      </c>
      <c r="D601" t="inlineStr">
        <is>
          <t>JÄMTLANDS LÄN</t>
        </is>
      </c>
      <c r="E601" t="inlineStr">
        <is>
          <t>ÖSTERSUND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45895-2024</t>
        </is>
      </c>
      <c r="B602" s="1" t="n">
        <v>45580.42736111111</v>
      </c>
      <c r="C602" s="1" t="n">
        <v>45907</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5544-2025</t>
        </is>
      </c>
      <c r="B603" s="1" t="n">
        <v>45693</v>
      </c>
      <c r="C603" s="1" t="n">
        <v>45907</v>
      </c>
      <c r="D603" t="inlineStr">
        <is>
          <t>JÄMTLANDS LÄN</t>
        </is>
      </c>
      <c r="E603" t="inlineStr">
        <is>
          <t>ÖSTERSUND</t>
        </is>
      </c>
      <c r="G603" t="n">
        <v>5.8</v>
      </c>
      <c r="H603" t="n">
        <v>0</v>
      </c>
      <c r="I603" t="n">
        <v>0</v>
      </c>
      <c r="J603" t="n">
        <v>0</v>
      </c>
      <c r="K603" t="n">
        <v>0</v>
      </c>
      <c r="L603" t="n">
        <v>0</v>
      </c>
      <c r="M603" t="n">
        <v>0</v>
      </c>
      <c r="N603" t="n">
        <v>0</v>
      </c>
      <c r="O603" t="n">
        <v>0</v>
      </c>
      <c r="P603" t="n">
        <v>0</v>
      </c>
      <c r="Q603" t="n">
        <v>0</v>
      </c>
      <c r="R603" s="2" t="inlineStr"/>
    </row>
    <row r="604" ht="15" customHeight="1">
      <c r="A604" t="inlineStr">
        <is>
          <t>A 4707-2024</t>
        </is>
      </c>
      <c r="B604" s="1" t="n">
        <v>45328</v>
      </c>
      <c r="C604" s="1" t="n">
        <v>45907</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8423-2023</t>
        </is>
      </c>
      <c r="B605" s="1" t="n">
        <v>44977</v>
      </c>
      <c r="C605" s="1" t="n">
        <v>45907</v>
      </c>
      <c r="D605" t="inlineStr">
        <is>
          <t>JÄMTLANDS LÄN</t>
        </is>
      </c>
      <c r="E605" t="inlineStr">
        <is>
          <t>ÖSTERSUND</t>
        </is>
      </c>
      <c r="F605" t="inlineStr">
        <is>
          <t>Övriga Aktiebolag</t>
        </is>
      </c>
      <c r="G605" t="n">
        <v>53.1</v>
      </c>
      <c r="H605" t="n">
        <v>0</v>
      </c>
      <c r="I605" t="n">
        <v>0</v>
      </c>
      <c r="J605" t="n">
        <v>0</v>
      </c>
      <c r="K605" t="n">
        <v>0</v>
      </c>
      <c r="L605" t="n">
        <v>0</v>
      </c>
      <c r="M605" t="n">
        <v>0</v>
      </c>
      <c r="N605" t="n">
        <v>0</v>
      </c>
      <c r="O605" t="n">
        <v>0</v>
      </c>
      <c r="P605" t="n">
        <v>0</v>
      </c>
      <c r="Q605" t="n">
        <v>0</v>
      </c>
      <c r="R605" s="2" t="inlineStr"/>
    </row>
    <row r="606" ht="15" customHeight="1">
      <c r="A606" t="inlineStr">
        <is>
          <t>A 14831-2025</t>
        </is>
      </c>
      <c r="B606" s="1" t="n">
        <v>45743.37109953703</v>
      </c>
      <c r="C606" s="1" t="n">
        <v>45907</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4500-2025</t>
        </is>
      </c>
      <c r="B607" s="1" t="n">
        <v>45686.6859375</v>
      </c>
      <c r="C607" s="1" t="n">
        <v>45907</v>
      </c>
      <c r="D607" t="inlineStr">
        <is>
          <t>JÄMTLANDS LÄN</t>
        </is>
      </c>
      <c r="E607" t="inlineStr">
        <is>
          <t>ÖSTERSUND</t>
        </is>
      </c>
      <c r="G607" t="n">
        <v>28.4</v>
      </c>
      <c r="H607" t="n">
        <v>0</v>
      </c>
      <c r="I607" t="n">
        <v>0</v>
      </c>
      <c r="J607" t="n">
        <v>0</v>
      </c>
      <c r="K607" t="n">
        <v>0</v>
      </c>
      <c r="L607" t="n">
        <v>0</v>
      </c>
      <c r="M607" t="n">
        <v>0</v>
      </c>
      <c r="N607" t="n">
        <v>0</v>
      </c>
      <c r="O607" t="n">
        <v>0</v>
      </c>
      <c r="P607" t="n">
        <v>0</v>
      </c>
      <c r="Q607" t="n">
        <v>0</v>
      </c>
      <c r="R607" s="2" t="inlineStr"/>
    </row>
    <row r="608" ht="15" customHeight="1">
      <c r="A608" t="inlineStr">
        <is>
          <t>A 4135-2023</t>
        </is>
      </c>
      <c r="B608" s="1" t="n">
        <v>44952</v>
      </c>
      <c r="C608" s="1" t="n">
        <v>45907</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42151-2023</t>
        </is>
      </c>
      <c r="B609" s="1" t="n">
        <v>45177.93612268518</v>
      </c>
      <c r="C609" s="1" t="n">
        <v>45907</v>
      </c>
      <c r="D609" t="inlineStr">
        <is>
          <t>JÄMTLANDS LÄN</t>
        </is>
      </c>
      <c r="E609" t="inlineStr">
        <is>
          <t>ÖSTERSUND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59648-2022</t>
        </is>
      </c>
      <c r="B610" s="1" t="n">
        <v>44907</v>
      </c>
      <c r="C610" s="1" t="n">
        <v>45907</v>
      </c>
      <c r="D610" t="inlineStr">
        <is>
          <t>JÄMTLANDS LÄN</t>
        </is>
      </c>
      <c r="E610" t="inlineStr">
        <is>
          <t>ÖSTERSUND</t>
        </is>
      </c>
      <c r="F610" t="inlineStr">
        <is>
          <t>SCA</t>
        </is>
      </c>
      <c r="G610" t="n">
        <v>1.6</v>
      </c>
      <c r="H610" t="n">
        <v>0</v>
      </c>
      <c r="I610" t="n">
        <v>0</v>
      </c>
      <c r="J610" t="n">
        <v>0</v>
      </c>
      <c r="K610" t="n">
        <v>0</v>
      </c>
      <c r="L610" t="n">
        <v>0</v>
      </c>
      <c r="M610" t="n">
        <v>0</v>
      </c>
      <c r="N610" t="n">
        <v>0</v>
      </c>
      <c r="O610" t="n">
        <v>0</v>
      </c>
      <c r="P610" t="n">
        <v>0</v>
      </c>
      <c r="Q610" t="n">
        <v>0</v>
      </c>
      <c r="R610" s="2" t="inlineStr"/>
    </row>
    <row r="611">
      <c r="A611" t="inlineStr">
        <is>
          <t>A 29128-2022</t>
        </is>
      </c>
      <c r="B611" s="1" t="n">
        <v>44750</v>
      </c>
      <c r="C611" s="1" t="n">
        <v>45907</v>
      </c>
      <c r="D611" t="inlineStr">
        <is>
          <t>JÄMTLANDS LÄN</t>
        </is>
      </c>
      <c r="E611" t="inlineStr">
        <is>
          <t>ÖSTERSUND</t>
        </is>
      </c>
      <c r="G611" t="n">
        <v>3</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2025-09-07T09:04:32Z</dcterms:created>
  <dcterms:modified xmlns:dcterms="http://purl.org/dc/terms/" xmlns:xsi="http://www.w3.org/2001/XMLSchema-instance" xsi:type="dcterms:W3CDTF">2025-09-07T09:04:33Z</dcterms:modified>
</cp:coreProperties>
</file>