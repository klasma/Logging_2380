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45890</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45890</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45890</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45890</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45890</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45890</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45890</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45890</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45890</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26796-2024</t>
        </is>
      </c>
      <c r="B15" s="1" t="n">
        <v>45470</v>
      </c>
      <c r="C15" s="1" t="n">
        <v>45890</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45890</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45890</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34816-2024</t>
        </is>
      </c>
      <c r="B18" s="1" t="n">
        <v>45526</v>
      </c>
      <c r="C18" s="1" t="n">
        <v>45890</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45890</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45890</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45890</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45890</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45890</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45890</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45890</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17716-2024</t>
        </is>
      </c>
      <c r="B26" s="1" t="n">
        <v>45415</v>
      </c>
      <c r="C26" s="1" t="n">
        <v>45890</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40751-2020</t>
        </is>
      </c>
      <c r="B27" s="1" t="n">
        <v>44069</v>
      </c>
      <c r="C27" s="1" t="n">
        <v>45890</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31122-2025</t>
        </is>
      </c>
      <c r="B28" s="1" t="n">
        <v>45831</v>
      </c>
      <c r="C28" s="1" t="n">
        <v>45890</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45890</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26372-2025</t>
        </is>
      </c>
      <c r="B30" s="1" t="n">
        <v>45806.40675925926</v>
      </c>
      <c r="C30" s="1" t="n">
        <v>45890</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45890</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45890</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45890</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45890</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45890</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40555-2024</t>
        </is>
      </c>
      <c r="B36" s="1" t="n">
        <v>45555</v>
      </c>
      <c r="C36" s="1" t="n">
        <v>45890</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47392-2022</t>
        </is>
      </c>
      <c r="B37" s="1" t="n">
        <v>44851</v>
      </c>
      <c r="C37" s="1" t="n">
        <v>45890</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376-2023</t>
        </is>
      </c>
      <c r="B38" s="1" t="n">
        <v>44929</v>
      </c>
      <c r="C38" s="1" t="n">
        <v>45890</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24523-2021</t>
        </is>
      </c>
      <c r="B39" s="1" t="n">
        <v>44337</v>
      </c>
      <c r="C39" s="1" t="n">
        <v>45890</v>
      </c>
      <c r="D39" t="inlineStr">
        <is>
          <t>JÄMTLANDS LÄN</t>
        </is>
      </c>
      <c r="E39" t="inlineStr">
        <is>
          <t>ÖSTERSUND</t>
        </is>
      </c>
      <c r="G39" t="n">
        <v>9.300000000000001</v>
      </c>
      <c r="H39" t="n">
        <v>2</v>
      </c>
      <c r="I39" t="n">
        <v>3</v>
      </c>
      <c r="J39" t="n">
        <v>2</v>
      </c>
      <c r="K39" t="n">
        <v>0</v>
      </c>
      <c r="L39" t="n">
        <v>0</v>
      </c>
      <c r="M39" t="n">
        <v>0</v>
      </c>
      <c r="N39" t="n">
        <v>0</v>
      </c>
      <c r="O39" t="n">
        <v>2</v>
      </c>
      <c r="P39" t="n">
        <v>0</v>
      </c>
      <c r="Q39" t="n">
        <v>6</v>
      </c>
      <c r="R39" s="2" t="inlineStr">
        <is>
          <t>Garnlav
Spillkråka
Svart trolldruva
Tibast
Underviol
Blåsippa</t>
        </is>
      </c>
      <c r="S39">
        <f>HYPERLINK("https://klasma.github.io/Logging_2380/artfynd/A 24523-2021 artfynd.xlsx", "A 24523-2021")</f>
        <v/>
      </c>
      <c r="T39">
        <f>HYPERLINK("https://klasma.github.io/Logging_2380/kartor/A 24523-2021 karta.png", "A 24523-2021")</f>
        <v/>
      </c>
      <c r="V39">
        <f>HYPERLINK("https://klasma.github.io/Logging_2380/klagomål/A 24523-2021 FSC-klagomål.docx", "A 24523-2021")</f>
        <v/>
      </c>
      <c r="W39">
        <f>HYPERLINK("https://klasma.github.io/Logging_2380/klagomålsmail/A 24523-2021 FSC-klagomål mail.docx", "A 24523-2021")</f>
        <v/>
      </c>
      <c r="X39">
        <f>HYPERLINK("https://klasma.github.io/Logging_2380/tillsyn/A 24523-2021 tillsynsbegäran.docx", "A 24523-2021")</f>
        <v/>
      </c>
      <c r="Y39">
        <f>HYPERLINK("https://klasma.github.io/Logging_2380/tillsynsmail/A 24523-2021 tillsynsbegäran mail.docx", "A 24523-2021")</f>
        <v/>
      </c>
      <c r="Z39">
        <f>HYPERLINK("https://klasma.github.io/Logging_2380/fåglar/A 24523-2021 prioriterade fågelarter.docx", "A 24523-2021")</f>
        <v/>
      </c>
    </row>
    <row r="40" ht="15" customHeight="1">
      <c r="A40" t="inlineStr">
        <is>
          <t>A 27577-2022</t>
        </is>
      </c>
      <c r="B40" s="1" t="n">
        <v>44742</v>
      </c>
      <c r="C40" s="1" t="n">
        <v>45890</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54731-2024</t>
        </is>
      </c>
      <c r="B41" s="1" t="n">
        <v>45618.43853009259</v>
      </c>
      <c r="C41" s="1" t="n">
        <v>45890</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59537-2023</t>
        </is>
      </c>
      <c r="B42" s="1" t="n">
        <v>45254</v>
      </c>
      <c r="C42" s="1" t="n">
        <v>45890</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7717-2024</t>
        </is>
      </c>
      <c r="B43" s="1" t="n">
        <v>45349</v>
      </c>
      <c r="C43" s="1" t="n">
        <v>45890</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10747-2024</t>
        </is>
      </c>
      <c r="B44" s="1" t="n">
        <v>45369</v>
      </c>
      <c r="C44" s="1" t="n">
        <v>45890</v>
      </c>
      <c r="D44" t="inlineStr">
        <is>
          <t>JÄMTLANDS LÄN</t>
        </is>
      </c>
      <c r="E44" t="inlineStr">
        <is>
          <t>ÖSTERSUND</t>
        </is>
      </c>
      <c r="G44" t="n">
        <v>4.3</v>
      </c>
      <c r="H44" t="n">
        <v>1</v>
      </c>
      <c r="I44" t="n">
        <v>1</v>
      </c>
      <c r="J44" t="n">
        <v>3</v>
      </c>
      <c r="K44" t="n">
        <v>1</v>
      </c>
      <c r="L44" t="n">
        <v>0</v>
      </c>
      <c r="M44" t="n">
        <v>0</v>
      </c>
      <c r="N44" t="n">
        <v>0</v>
      </c>
      <c r="O44" t="n">
        <v>4</v>
      </c>
      <c r="P44" t="n">
        <v>1</v>
      </c>
      <c r="Q44" t="n">
        <v>5</v>
      </c>
      <c r="R44" s="2" t="inlineStr">
        <is>
          <t>Fjällfotad musseron
Barrviolspindling
Gultoppig fingersvamp
Tretåig hackspett
Fjällig taggsvamp s.str.</t>
        </is>
      </c>
      <c r="S44">
        <f>HYPERLINK("https://klasma.github.io/Logging_2380/artfynd/A 10747-2024 artfynd.xlsx", "A 10747-2024")</f>
        <v/>
      </c>
      <c r="T44">
        <f>HYPERLINK("https://klasma.github.io/Logging_2380/kartor/A 10747-2024 karta.png", "A 10747-2024")</f>
        <v/>
      </c>
      <c r="V44">
        <f>HYPERLINK("https://klasma.github.io/Logging_2380/klagomål/A 10747-2024 FSC-klagomål.docx", "A 10747-2024")</f>
        <v/>
      </c>
      <c r="W44">
        <f>HYPERLINK("https://klasma.github.io/Logging_2380/klagomålsmail/A 10747-2024 FSC-klagomål mail.docx", "A 10747-2024")</f>
        <v/>
      </c>
      <c r="X44">
        <f>HYPERLINK("https://klasma.github.io/Logging_2380/tillsyn/A 10747-2024 tillsynsbegäran.docx", "A 10747-2024")</f>
        <v/>
      </c>
      <c r="Y44">
        <f>HYPERLINK("https://klasma.github.io/Logging_2380/tillsynsmail/A 10747-2024 tillsynsbegäran mail.docx", "A 10747-2024")</f>
        <v/>
      </c>
      <c r="Z44">
        <f>HYPERLINK("https://klasma.github.io/Logging_2380/fåglar/A 10747-2024 prioriterade fågelarter.docx", "A 10747-2024")</f>
        <v/>
      </c>
    </row>
    <row r="45" ht="15" customHeight="1">
      <c r="A45" t="inlineStr">
        <is>
          <t>A 45979-2023</t>
        </is>
      </c>
      <c r="B45" s="1" t="n">
        <v>45189</v>
      </c>
      <c r="C45" s="1" t="n">
        <v>45890</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29117-2025</t>
        </is>
      </c>
      <c r="B46" s="1" t="n">
        <v>45821.59243055555</v>
      </c>
      <c r="C46" s="1" t="n">
        <v>45890</v>
      </c>
      <c r="D46" t="inlineStr">
        <is>
          <t>JÄMTLANDS LÄN</t>
        </is>
      </c>
      <c r="E46" t="inlineStr">
        <is>
          <t>ÖSTERSUND</t>
        </is>
      </c>
      <c r="G46" t="n">
        <v>15.4</v>
      </c>
      <c r="H46" t="n">
        <v>5</v>
      </c>
      <c r="I46" t="n">
        <v>2</v>
      </c>
      <c r="J46" t="n">
        <v>0</v>
      </c>
      <c r="K46" t="n">
        <v>1</v>
      </c>
      <c r="L46" t="n">
        <v>0</v>
      </c>
      <c r="M46" t="n">
        <v>0</v>
      </c>
      <c r="N46" t="n">
        <v>0</v>
      </c>
      <c r="O46" t="n">
        <v>1</v>
      </c>
      <c r="P46" t="n">
        <v>1</v>
      </c>
      <c r="Q46" t="n">
        <v>5</v>
      </c>
      <c r="R46" s="2" t="inlineStr">
        <is>
          <t>Knärot
Guckusko
Spindelblomster
Fläcknycklar
Revlummer</t>
        </is>
      </c>
      <c r="S46">
        <f>HYPERLINK("https://klasma.github.io/Logging_2380/artfynd/A 29117-2025 artfynd.xlsx", "A 29117-2025")</f>
        <v/>
      </c>
      <c r="T46">
        <f>HYPERLINK("https://klasma.github.io/Logging_2380/kartor/A 29117-2025 karta.png", "A 29117-2025")</f>
        <v/>
      </c>
      <c r="U46">
        <f>HYPERLINK("https://klasma.github.io/Logging_2380/knärot/A 29117-2025 karta knärot.png", "A 29117-2025")</f>
        <v/>
      </c>
      <c r="V46">
        <f>HYPERLINK("https://klasma.github.io/Logging_2380/klagomål/A 29117-2025 FSC-klagomål.docx", "A 29117-2025")</f>
        <v/>
      </c>
      <c r="W46">
        <f>HYPERLINK("https://klasma.github.io/Logging_2380/klagomålsmail/A 29117-2025 FSC-klagomål mail.docx", "A 29117-2025")</f>
        <v/>
      </c>
      <c r="X46">
        <f>HYPERLINK("https://klasma.github.io/Logging_2380/tillsyn/A 29117-2025 tillsynsbegäran.docx", "A 29117-2025")</f>
        <v/>
      </c>
      <c r="Y46">
        <f>HYPERLINK("https://klasma.github.io/Logging_2380/tillsynsmail/A 29117-2025 tillsynsbegäran mail.docx", "A 29117-2025")</f>
        <v/>
      </c>
    </row>
    <row r="47" ht="15" customHeight="1">
      <c r="A47" t="inlineStr">
        <is>
          <t>A 39941-2024</t>
        </is>
      </c>
      <c r="B47" s="1" t="n">
        <v>45553</v>
      </c>
      <c r="C47" s="1" t="n">
        <v>45890</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59291-2022</t>
        </is>
      </c>
      <c r="B48" s="1" t="n">
        <v>44904</v>
      </c>
      <c r="C48" s="1" t="n">
        <v>45890</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55344-2023</t>
        </is>
      </c>
      <c r="B49" s="1" t="n">
        <v>45237</v>
      </c>
      <c r="C49" s="1" t="n">
        <v>45890</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45890</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29135-2022</t>
        </is>
      </c>
      <c r="B51" s="1" t="n">
        <v>44750</v>
      </c>
      <c r="C51" s="1" t="n">
        <v>45890</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31127-2025</t>
        </is>
      </c>
      <c r="B52" s="1" t="n">
        <v>45831</v>
      </c>
      <c r="C52" s="1" t="n">
        <v>45890</v>
      </c>
      <c r="D52" t="inlineStr">
        <is>
          <t>JÄMTLANDS LÄN</t>
        </is>
      </c>
      <c r="E52" t="inlineStr">
        <is>
          <t>ÖSTERSUND</t>
        </is>
      </c>
      <c r="G52" t="n">
        <v>4.3</v>
      </c>
      <c r="H52" t="n">
        <v>2</v>
      </c>
      <c r="I52" t="n">
        <v>1</v>
      </c>
      <c r="J52" t="n">
        <v>2</v>
      </c>
      <c r="K52" t="n">
        <v>0</v>
      </c>
      <c r="L52" t="n">
        <v>0</v>
      </c>
      <c r="M52" t="n">
        <v>0</v>
      </c>
      <c r="N52" t="n">
        <v>0</v>
      </c>
      <c r="O52" t="n">
        <v>2</v>
      </c>
      <c r="P52" t="n">
        <v>0</v>
      </c>
      <c r="Q52" t="n">
        <v>4</v>
      </c>
      <c r="R52" s="2" t="inlineStr">
        <is>
          <t>Granticka
Talltita
Kransrams
Revlummer</t>
        </is>
      </c>
      <c r="S52">
        <f>HYPERLINK("https://klasma.github.io/Logging_2380/artfynd/A 31127-2025 artfynd.xlsx", "A 31127-2025")</f>
        <v/>
      </c>
      <c r="T52">
        <f>HYPERLINK("https://klasma.github.io/Logging_2380/kartor/A 31127-2025 karta.png", "A 31127-2025")</f>
        <v/>
      </c>
      <c r="V52">
        <f>HYPERLINK("https://klasma.github.io/Logging_2380/klagomål/A 31127-2025 FSC-klagomål.docx", "A 31127-2025")</f>
        <v/>
      </c>
      <c r="W52">
        <f>HYPERLINK("https://klasma.github.io/Logging_2380/klagomålsmail/A 31127-2025 FSC-klagomål mail.docx", "A 31127-2025")</f>
        <v/>
      </c>
      <c r="X52">
        <f>HYPERLINK("https://klasma.github.io/Logging_2380/tillsyn/A 31127-2025 tillsynsbegäran.docx", "A 31127-2025")</f>
        <v/>
      </c>
      <c r="Y52">
        <f>HYPERLINK("https://klasma.github.io/Logging_2380/tillsynsmail/A 31127-2025 tillsynsbegäran mail.docx", "A 31127-2025")</f>
        <v/>
      </c>
      <c r="Z52">
        <f>HYPERLINK("https://klasma.github.io/Logging_2380/fåglar/A 31127-2025 prioriterade fågelarter.docx", "A 31127-2025")</f>
        <v/>
      </c>
    </row>
    <row r="53" ht="15" customHeight="1">
      <c r="A53" t="inlineStr">
        <is>
          <t>A 25369-2024</t>
        </is>
      </c>
      <c r="B53" s="1" t="n">
        <v>45462.95982638889</v>
      </c>
      <c r="C53" s="1" t="n">
        <v>45890</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45890</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2962-2023</t>
        </is>
      </c>
      <c r="B55" s="1" t="n">
        <v>44945</v>
      </c>
      <c r="C55" s="1" t="n">
        <v>45890</v>
      </c>
      <c r="D55" t="inlineStr">
        <is>
          <t>JÄMTLANDS LÄN</t>
        </is>
      </c>
      <c r="E55" t="inlineStr">
        <is>
          <t>ÖSTERSUND</t>
        </is>
      </c>
      <c r="F55" t="inlineStr">
        <is>
          <t>Övriga Aktiebolag</t>
        </is>
      </c>
      <c r="G55" t="n">
        <v>14.4</v>
      </c>
      <c r="H55" t="n">
        <v>2</v>
      </c>
      <c r="I55" t="n">
        <v>0</v>
      </c>
      <c r="J55" t="n">
        <v>3</v>
      </c>
      <c r="K55" t="n">
        <v>0</v>
      </c>
      <c r="L55" t="n">
        <v>0</v>
      </c>
      <c r="M55" t="n">
        <v>0</v>
      </c>
      <c r="N55" t="n">
        <v>0</v>
      </c>
      <c r="O55" t="n">
        <v>3</v>
      </c>
      <c r="P55" t="n">
        <v>0</v>
      </c>
      <c r="Q55" t="n">
        <v>4</v>
      </c>
      <c r="R55" s="2" t="inlineStr">
        <is>
          <t>Garnlav
Lunglav
Tretåig hackspett
Revlummer</t>
        </is>
      </c>
      <c r="S55">
        <f>HYPERLINK("https://klasma.github.io/Logging_2380/artfynd/A 2962-2023 artfynd.xlsx", "A 2962-2023")</f>
        <v/>
      </c>
      <c r="T55">
        <f>HYPERLINK("https://klasma.github.io/Logging_2380/kartor/A 2962-2023 karta.png", "A 2962-2023")</f>
        <v/>
      </c>
      <c r="V55">
        <f>HYPERLINK("https://klasma.github.io/Logging_2380/klagomål/A 2962-2023 FSC-klagomål.docx", "A 2962-2023")</f>
        <v/>
      </c>
      <c r="W55">
        <f>HYPERLINK("https://klasma.github.io/Logging_2380/klagomålsmail/A 2962-2023 FSC-klagomål mail.docx", "A 2962-2023")</f>
        <v/>
      </c>
      <c r="X55">
        <f>HYPERLINK("https://klasma.github.io/Logging_2380/tillsyn/A 2962-2023 tillsynsbegäran.docx", "A 2962-2023")</f>
        <v/>
      </c>
      <c r="Y55">
        <f>HYPERLINK("https://klasma.github.io/Logging_2380/tillsynsmail/A 2962-2023 tillsynsbegäran mail.docx", "A 2962-2023")</f>
        <v/>
      </c>
      <c r="Z55">
        <f>HYPERLINK("https://klasma.github.io/Logging_2380/fåglar/A 2962-2023 prioriterade fågelarter.docx", "A 2962-2023")</f>
        <v/>
      </c>
    </row>
    <row r="56" ht="15" customHeight="1">
      <c r="A56" t="inlineStr">
        <is>
          <t>A 25279-2025</t>
        </is>
      </c>
      <c r="B56" s="1" t="n">
        <v>45800.55701388889</v>
      </c>
      <c r="C56" s="1" t="n">
        <v>45890</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45890</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45890</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40695-2024</t>
        </is>
      </c>
      <c r="B59" s="1" t="n">
        <v>45558</v>
      </c>
      <c r="C59" s="1" t="n">
        <v>45890</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53652-2024</t>
        </is>
      </c>
      <c r="B60" s="1" t="n">
        <v>45615.29761574074</v>
      </c>
      <c r="C60" s="1" t="n">
        <v>45890</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43981-2023</t>
        </is>
      </c>
      <c r="B61" s="1" t="n">
        <v>45187</v>
      </c>
      <c r="C61" s="1" t="n">
        <v>45890</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45890</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7965-2025</t>
        </is>
      </c>
      <c r="B63" s="1" t="n">
        <v>45707.45219907408</v>
      </c>
      <c r="C63" s="1" t="n">
        <v>45890</v>
      </c>
      <c r="D63" t="inlineStr">
        <is>
          <t>JÄMTLANDS LÄN</t>
        </is>
      </c>
      <c r="E63" t="inlineStr">
        <is>
          <t>ÖSTERSUND</t>
        </is>
      </c>
      <c r="G63" t="n">
        <v>3.7</v>
      </c>
      <c r="H63" t="n">
        <v>2</v>
      </c>
      <c r="I63" t="n">
        <v>1</v>
      </c>
      <c r="J63" t="n">
        <v>0</v>
      </c>
      <c r="K63" t="n">
        <v>0</v>
      </c>
      <c r="L63" t="n">
        <v>0</v>
      </c>
      <c r="M63" t="n">
        <v>0</v>
      </c>
      <c r="N63" t="n">
        <v>0</v>
      </c>
      <c r="O63" t="n">
        <v>0</v>
      </c>
      <c r="P63" t="n">
        <v>0</v>
      </c>
      <c r="Q63" t="n">
        <v>3</v>
      </c>
      <c r="R63" s="2" t="inlineStr">
        <is>
          <t>Finbräken
Fläcknycklar
Blåsippa</t>
        </is>
      </c>
      <c r="S63">
        <f>HYPERLINK("https://klasma.github.io/Logging_2380/artfynd/A 7965-2025 artfynd.xlsx", "A 7965-2025")</f>
        <v/>
      </c>
      <c r="T63">
        <f>HYPERLINK("https://klasma.github.io/Logging_2380/kartor/A 7965-2025 karta.png", "A 7965-2025")</f>
        <v/>
      </c>
      <c r="V63">
        <f>HYPERLINK("https://klasma.github.io/Logging_2380/klagomål/A 7965-2025 FSC-klagomål.docx", "A 7965-2025")</f>
        <v/>
      </c>
      <c r="W63">
        <f>HYPERLINK("https://klasma.github.io/Logging_2380/klagomålsmail/A 7965-2025 FSC-klagomål mail.docx", "A 7965-2025")</f>
        <v/>
      </c>
      <c r="X63">
        <f>HYPERLINK("https://klasma.github.io/Logging_2380/tillsyn/A 7965-2025 tillsynsbegäran.docx", "A 7965-2025")</f>
        <v/>
      </c>
      <c r="Y63">
        <f>HYPERLINK("https://klasma.github.io/Logging_2380/tillsynsmail/A 7965-2025 tillsynsbegäran mail.docx", "A 7965-2025")</f>
        <v/>
      </c>
    </row>
    <row r="64" ht="15" customHeight="1">
      <c r="A64" t="inlineStr">
        <is>
          <t>A 19520-2023</t>
        </is>
      </c>
      <c r="B64" s="1" t="n">
        <v>45049</v>
      </c>
      <c r="C64" s="1" t="n">
        <v>45890</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3846-2024</t>
        </is>
      </c>
      <c r="B65" s="1" t="n">
        <v>45321</v>
      </c>
      <c r="C65" s="1" t="n">
        <v>45890</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45890</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45890</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45890</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50895-2024</t>
        </is>
      </c>
      <c r="B69" s="1" t="n">
        <v>45602</v>
      </c>
      <c r="C69" s="1" t="n">
        <v>45890</v>
      </c>
      <c r="D69" t="inlineStr">
        <is>
          <t>JÄMTLANDS LÄN</t>
        </is>
      </c>
      <c r="E69" t="inlineStr">
        <is>
          <t>ÖSTERSUND</t>
        </is>
      </c>
      <c r="F69" t="inlineStr">
        <is>
          <t>Kommuner</t>
        </is>
      </c>
      <c r="G69" t="n">
        <v>6</v>
      </c>
      <c r="H69" t="n">
        <v>1</v>
      </c>
      <c r="I69" t="n">
        <v>0</v>
      </c>
      <c r="J69" t="n">
        <v>1</v>
      </c>
      <c r="K69" t="n">
        <v>1</v>
      </c>
      <c r="L69" t="n">
        <v>0</v>
      </c>
      <c r="M69" t="n">
        <v>0</v>
      </c>
      <c r="N69" t="n">
        <v>0</v>
      </c>
      <c r="O69" t="n">
        <v>2</v>
      </c>
      <c r="P69" t="n">
        <v>1</v>
      </c>
      <c r="Q69" t="n">
        <v>2</v>
      </c>
      <c r="R69" s="2" t="inlineStr">
        <is>
          <t>Knärot
Garnlav</t>
        </is>
      </c>
      <c r="S69">
        <f>HYPERLINK("https://klasma.github.io/Logging_2380/artfynd/A 50895-2024 artfynd.xlsx", "A 50895-2024")</f>
        <v/>
      </c>
      <c r="T69">
        <f>HYPERLINK("https://klasma.github.io/Logging_2380/kartor/A 50895-2024 karta.png", "A 50895-2024")</f>
        <v/>
      </c>
      <c r="U69">
        <f>HYPERLINK("https://klasma.github.io/Logging_2380/knärot/A 50895-2024 karta knärot.png", "A 50895-2024")</f>
        <v/>
      </c>
      <c r="V69">
        <f>HYPERLINK("https://klasma.github.io/Logging_2380/klagomål/A 50895-2024 FSC-klagomål.docx", "A 50895-2024")</f>
        <v/>
      </c>
      <c r="W69">
        <f>HYPERLINK("https://klasma.github.io/Logging_2380/klagomålsmail/A 50895-2024 FSC-klagomål mail.docx", "A 50895-2024")</f>
        <v/>
      </c>
      <c r="X69">
        <f>HYPERLINK("https://klasma.github.io/Logging_2380/tillsyn/A 50895-2024 tillsynsbegäran.docx", "A 50895-2024")</f>
        <v/>
      </c>
      <c r="Y69">
        <f>HYPERLINK("https://klasma.github.io/Logging_2380/tillsynsmail/A 50895-2024 tillsynsbegäran mail.docx", "A 50895-2024")</f>
        <v/>
      </c>
    </row>
    <row r="70" ht="15" customHeight="1">
      <c r="A70" t="inlineStr">
        <is>
          <t>A 56006-2023</t>
        </is>
      </c>
      <c r="B70" s="1" t="n">
        <v>45233</v>
      </c>
      <c r="C70" s="1" t="n">
        <v>45890</v>
      </c>
      <c r="D70" t="inlineStr">
        <is>
          <t>JÄMTLANDS LÄN</t>
        </is>
      </c>
      <c r="E70" t="inlineStr">
        <is>
          <t>ÖSTERSUND</t>
        </is>
      </c>
      <c r="G70" t="n">
        <v>2.3</v>
      </c>
      <c r="H70" t="n">
        <v>0</v>
      </c>
      <c r="I70" t="n">
        <v>2</v>
      </c>
      <c r="J70" t="n">
        <v>0</v>
      </c>
      <c r="K70" t="n">
        <v>0</v>
      </c>
      <c r="L70" t="n">
        <v>0</v>
      </c>
      <c r="M70" t="n">
        <v>0</v>
      </c>
      <c r="N70" t="n">
        <v>0</v>
      </c>
      <c r="O70" t="n">
        <v>0</v>
      </c>
      <c r="P70" t="n">
        <v>0</v>
      </c>
      <c r="Q70" t="n">
        <v>2</v>
      </c>
      <c r="R70" s="2" t="inlineStr">
        <is>
          <t>Korallblylav
Skinnlav</t>
        </is>
      </c>
      <c r="S70">
        <f>HYPERLINK("https://klasma.github.io/Logging_2380/artfynd/A 56006-2023 artfynd.xlsx", "A 56006-2023")</f>
        <v/>
      </c>
      <c r="T70">
        <f>HYPERLINK("https://klasma.github.io/Logging_2380/kartor/A 56006-2023 karta.png", "A 56006-2023")</f>
        <v/>
      </c>
      <c r="V70">
        <f>HYPERLINK("https://klasma.github.io/Logging_2380/klagomål/A 56006-2023 FSC-klagomål.docx", "A 56006-2023")</f>
        <v/>
      </c>
      <c r="W70">
        <f>HYPERLINK("https://klasma.github.io/Logging_2380/klagomålsmail/A 56006-2023 FSC-klagomål mail.docx", "A 56006-2023")</f>
        <v/>
      </c>
      <c r="X70">
        <f>HYPERLINK("https://klasma.github.io/Logging_2380/tillsyn/A 56006-2023 tillsynsbegäran.docx", "A 56006-2023")</f>
        <v/>
      </c>
      <c r="Y70">
        <f>HYPERLINK("https://klasma.github.io/Logging_2380/tillsynsmail/A 56006-2023 tillsynsbegäran mail.docx", "A 56006-2023")</f>
        <v/>
      </c>
    </row>
    <row r="71" ht="15" customHeight="1">
      <c r="A71" t="inlineStr">
        <is>
          <t>A 50125-2024</t>
        </is>
      </c>
      <c r="B71" s="1" t="n">
        <v>45600.42737268518</v>
      </c>
      <c r="C71" s="1" t="n">
        <v>45890</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60446-2024</t>
        </is>
      </c>
      <c r="B72" s="1" t="n">
        <v>45643.59420138889</v>
      </c>
      <c r="C72" s="1" t="n">
        <v>45890</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10529-2025</t>
        </is>
      </c>
      <c r="B73" s="1" t="n">
        <v>45721.44840277778</v>
      </c>
      <c r="C73" s="1" t="n">
        <v>45890</v>
      </c>
      <c r="D73" t="inlineStr">
        <is>
          <t>JÄMTLANDS LÄN</t>
        </is>
      </c>
      <c r="E73" t="inlineStr">
        <is>
          <t>ÖSTERSUND</t>
        </is>
      </c>
      <c r="F73" t="inlineStr">
        <is>
          <t>SCA</t>
        </is>
      </c>
      <c r="G73" t="n">
        <v>1.4</v>
      </c>
      <c r="H73" t="n">
        <v>0</v>
      </c>
      <c r="I73" t="n">
        <v>2</v>
      </c>
      <c r="J73" t="n">
        <v>0</v>
      </c>
      <c r="K73" t="n">
        <v>0</v>
      </c>
      <c r="L73" t="n">
        <v>0</v>
      </c>
      <c r="M73" t="n">
        <v>0</v>
      </c>
      <c r="N73" t="n">
        <v>0</v>
      </c>
      <c r="O73" t="n">
        <v>0</v>
      </c>
      <c r="P73" t="n">
        <v>0</v>
      </c>
      <c r="Q73" t="n">
        <v>2</v>
      </c>
      <c r="R73" s="2" t="inlineStr">
        <is>
          <t>Gräsull
Ögonpyrola</t>
        </is>
      </c>
      <c r="S73">
        <f>HYPERLINK("https://klasma.github.io/Logging_2380/artfynd/A 10529-2025 artfynd.xlsx", "A 10529-2025")</f>
        <v/>
      </c>
      <c r="T73">
        <f>HYPERLINK("https://klasma.github.io/Logging_2380/kartor/A 10529-2025 karta.png", "A 10529-2025")</f>
        <v/>
      </c>
      <c r="V73">
        <f>HYPERLINK("https://klasma.github.io/Logging_2380/klagomål/A 10529-2025 FSC-klagomål.docx", "A 10529-2025")</f>
        <v/>
      </c>
      <c r="W73">
        <f>HYPERLINK("https://klasma.github.io/Logging_2380/klagomålsmail/A 10529-2025 FSC-klagomål mail.docx", "A 10529-2025")</f>
        <v/>
      </c>
      <c r="X73">
        <f>HYPERLINK("https://klasma.github.io/Logging_2380/tillsyn/A 10529-2025 tillsynsbegäran.docx", "A 10529-2025")</f>
        <v/>
      </c>
      <c r="Y73">
        <f>HYPERLINK("https://klasma.github.io/Logging_2380/tillsynsmail/A 10529-2025 tillsynsbegäran mail.docx", "A 10529-2025")</f>
        <v/>
      </c>
    </row>
    <row r="74" ht="15" customHeight="1">
      <c r="A74" t="inlineStr">
        <is>
          <t>A 63930-2023</t>
        </is>
      </c>
      <c r="B74" s="1" t="n">
        <v>45278</v>
      </c>
      <c r="C74" s="1" t="n">
        <v>45890</v>
      </c>
      <c r="D74" t="inlineStr">
        <is>
          <t>JÄMTLANDS LÄN</t>
        </is>
      </c>
      <c r="E74" t="inlineStr">
        <is>
          <t>ÖSTERSUND</t>
        </is>
      </c>
      <c r="G74" t="n">
        <v>2.1</v>
      </c>
      <c r="H74" t="n">
        <v>0</v>
      </c>
      <c r="I74" t="n">
        <v>2</v>
      </c>
      <c r="J74" t="n">
        <v>0</v>
      </c>
      <c r="K74" t="n">
        <v>0</v>
      </c>
      <c r="L74" t="n">
        <v>0</v>
      </c>
      <c r="M74" t="n">
        <v>0</v>
      </c>
      <c r="N74" t="n">
        <v>0</v>
      </c>
      <c r="O74" t="n">
        <v>0</v>
      </c>
      <c r="P74" t="n">
        <v>0</v>
      </c>
      <c r="Q74" t="n">
        <v>2</v>
      </c>
      <c r="R74" s="2" t="inlineStr">
        <is>
          <t>Strimspindling
Svavelriska</t>
        </is>
      </c>
      <c r="S74">
        <f>HYPERLINK("https://klasma.github.io/Logging_2380/artfynd/A 63930-2023 artfynd.xlsx", "A 63930-2023")</f>
        <v/>
      </c>
      <c r="T74">
        <f>HYPERLINK("https://klasma.github.io/Logging_2380/kartor/A 63930-2023 karta.png", "A 63930-2023")</f>
        <v/>
      </c>
      <c r="V74">
        <f>HYPERLINK("https://klasma.github.io/Logging_2380/klagomål/A 63930-2023 FSC-klagomål.docx", "A 63930-2023")</f>
        <v/>
      </c>
      <c r="W74">
        <f>HYPERLINK("https://klasma.github.io/Logging_2380/klagomålsmail/A 63930-2023 FSC-klagomål mail.docx", "A 63930-2023")</f>
        <v/>
      </c>
      <c r="X74">
        <f>HYPERLINK("https://klasma.github.io/Logging_2380/tillsyn/A 63930-2023 tillsynsbegäran.docx", "A 63930-2023")</f>
        <v/>
      </c>
      <c r="Y74">
        <f>HYPERLINK("https://klasma.github.io/Logging_2380/tillsynsmail/A 63930-2023 tillsynsbegäran mail.docx", "A 63930-2023")</f>
        <v/>
      </c>
    </row>
    <row r="75" ht="15" customHeight="1">
      <c r="A75" t="inlineStr">
        <is>
          <t>A 59793-2022</t>
        </is>
      </c>
      <c r="B75" s="1" t="n">
        <v>44908</v>
      </c>
      <c r="C75" s="1" t="n">
        <v>45890</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13795-2025</t>
        </is>
      </c>
      <c r="B76" s="1" t="n">
        <v>45737</v>
      </c>
      <c r="C76" s="1" t="n">
        <v>45890</v>
      </c>
      <c r="D76" t="inlineStr">
        <is>
          <t>JÄMTLANDS LÄN</t>
        </is>
      </c>
      <c r="E76" t="inlineStr">
        <is>
          <t>ÖSTERSUND</t>
        </is>
      </c>
      <c r="G76" t="n">
        <v>13.4</v>
      </c>
      <c r="H76" t="n">
        <v>1</v>
      </c>
      <c r="I76" t="n">
        <v>0</v>
      </c>
      <c r="J76" t="n">
        <v>1</v>
      </c>
      <c r="K76" t="n">
        <v>1</v>
      </c>
      <c r="L76" t="n">
        <v>0</v>
      </c>
      <c r="M76" t="n">
        <v>0</v>
      </c>
      <c r="N76" t="n">
        <v>0</v>
      </c>
      <c r="O76" t="n">
        <v>2</v>
      </c>
      <c r="P76" t="n">
        <v>1</v>
      </c>
      <c r="Q76" t="n">
        <v>2</v>
      </c>
      <c r="R76" s="2" t="inlineStr">
        <is>
          <t>Knärot
Lunglav</t>
        </is>
      </c>
      <c r="S76">
        <f>HYPERLINK("https://klasma.github.io/Logging_2380/artfynd/A 13795-2025 artfynd.xlsx", "A 13795-2025")</f>
        <v/>
      </c>
      <c r="T76">
        <f>HYPERLINK("https://klasma.github.io/Logging_2380/kartor/A 13795-2025 karta.png", "A 13795-2025")</f>
        <v/>
      </c>
      <c r="U76">
        <f>HYPERLINK("https://klasma.github.io/Logging_2380/knärot/A 13795-2025 karta knärot.png", "A 13795-2025")</f>
        <v/>
      </c>
      <c r="V76">
        <f>HYPERLINK("https://klasma.github.io/Logging_2380/klagomål/A 13795-2025 FSC-klagomål.docx", "A 13795-2025")</f>
        <v/>
      </c>
      <c r="W76">
        <f>HYPERLINK("https://klasma.github.io/Logging_2380/klagomålsmail/A 13795-2025 FSC-klagomål mail.docx", "A 13795-2025")</f>
        <v/>
      </c>
      <c r="X76">
        <f>HYPERLINK("https://klasma.github.io/Logging_2380/tillsyn/A 13795-2025 tillsynsbegäran.docx", "A 13795-2025")</f>
        <v/>
      </c>
      <c r="Y76">
        <f>HYPERLINK("https://klasma.github.io/Logging_2380/tillsynsmail/A 13795-2025 tillsynsbegäran mail.docx", "A 13795-2025")</f>
        <v/>
      </c>
    </row>
    <row r="77" ht="15" customHeight="1">
      <c r="A77" t="inlineStr">
        <is>
          <t>A 60534-2022</t>
        </is>
      </c>
      <c r="B77" s="1" t="n">
        <v>44904</v>
      </c>
      <c r="C77" s="1" t="n">
        <v>45890</v>
      </c>
      <c r="D77" t="inlineStr">
        <is>
          <t>JÄMTLANDS LÄN</t>
        </is>
      </c>
      <c r="E77" t="inlineStr">
        <is>
          <t>ÖSTERSUND</t>
        </is>
      </c>
      <c r="G77" t="n">
        <v>9.9</v>
      </c>
      <c r="H77" t="n">
        <v>0</v>
      </c>
      <c r="I77" t="n">
        <v>0</v>
      </c>
      <c r="J77" t="n">
        <v>2</v>
      </c>
      <c r="K77" t="n">
        <v>0</v>
      </c>
      <c r="L77" t="n">
        <v>0</v>
      </c>
      <c r="M77" t="n">
        <v>0</v>
      </c>
      <c r="N77" t="n">
        <v>0</v>
      </c>
      <c r="O77" t="n">
        <v>2</v>
      </c>
      <c r="P77" t="n">
        <v>0</v>
      </c>
      <c r="Q77" t="n">
        <v>2</v>
      </c>
      <c r="R77" s="2" t="inlineStr">
        <is>
          <t>Rosenticka
Ullticka</t>
        </is>
      </c>
      <c r="S77">
        <f>HYPERLINK("https://klasma.github.io/Logging_2380/artfynd/A 60534-2022 artfynd.xlsx", "A 60534-2022")</f>
        <v/>
      </c>
      <c r="T77">
        <f>HYPERLINK("https://klasma.github.io/Logging_2380/kartor/A 60534-2022 karta.png", "A 60534-2022")</f>
        <v/>
      </c>
      <c r="V77">
        <f>HYPERLINK("https://klasma.github.io/Logging_2380/klagomål/A 60534-2022 FSC-klagomål.docx", "A 60534-2022")</f>
        <v/>
      </c>
      <c r="W77">
        <f>HYPERLINK("https://klasma.github.io/Logging_2380/klagomålsmail/A 60534-2022 FSC-klagomål mail.docx", "A 60534-2022")</f>
        <v/>
      </c>
      <c r="X77">
        <f>HYPERLINK("https://klasma.github.io/Logging_2380/tillsyn/A 60534-2022 tillsynsbegäran.docx", "A 60534-2022")</f>
        <v/>
      </c>
      <c r="Y77">
        <f>HYPERLINK("https://klasma.github.io/Logging_2380/tillsynsmail/A 60534-2022 tillsynsbegäran mail.docx", "A 60534-2022")</f>
        <v/>
      </c>
    </row>
    <row r="78" ht="15" customHeight="1">
      <c r="A78" t="inlineStr">
        <is>
          <t>A 46105-2021</t>
        </is>
      </c>
      <c r="B78" s="1" t="n">
        <v>44441</v>
      </c>
      <c r="C78" s="1" t="n">
        <v>45890</v>
      </c>
      <c r="D78" t="inlineStr">
        <is>
          <t>JÄMTLANDS LÄN</t>
        </is>
      </c>
      <c r="E78" t="inlineStr">
        <is>
          <t>ÖSTERSUND</t>
        </is>
      </c>
      <c r="G78" t="n">
        <v>4.4</v>
      </c>
      <c r="H78" t="n">
        <v>2</v>
      </c>
      <c r="I78" t="n">
        <v>0</v>
      </c>
      <c r="J78" t="n">
        <v>1</v>
      </c>
      <c r="K78" t="n">
        <v>1</v>
      </c>
      <c r="L78" t="n">
        <v>0</v>
      </c>
      <c r="M78" t="n">
        <v>0</v>
      </c>
      <c r="N78" t="n">
        <v>0</v>
      </c>
      <c r="O78" t="n">
        <v>2</v>
      </c>
      <c r="P78" t="n">
        <v>1</v>
      </c>
      <c r="Q78" t="n">
        <v>2</v>
      </c>
      <c r="R78" s="2" t="inlineStr">
        <is>
          <t>Tallbit
Tretåig hackspett</t>
        </is>
      </c>
      <c r="S78">
        <f>HYPERLINK("https://klasma.github.io/Logging_2380/artfynd/A 46105-2021 artfynd.xlsx", "A 46105-2021")</f>
        <v/>
      </c>
      <c r="T78">
        <f>HYPERLINK("https://klasma.github.io/Logging_2380/kartor/A 46105-2021 karta.png", "A 46105-2021")</f>
        <v/>
      </c>
      <c r="V78">
        <f>HYPERLINK("https://klasma.github.io/Logging_2380/klagomål/A 46105-2021 FSC-klagomål.docx", "A 46105-2021")</f>
        <v/>
      </c>
      <c r="W78">
        <f>HYPERLINK("https://klasma.github.io/Logging_2380/klagomålsmail/A 46105-2021 FSC-klagomål mail.docx", "A 46105-2021")</f>
        <v/>
      </c>
      <c r="X78">
        <f>HYPERLINK("https://klasma.github.io/Logging_2380/tillsyn/A 46105-2021 tillsynsbegäran.docx", "A 46105-2021")</f>
        <v/>
      </c>
      <c r="Y78">
        <f>HYPERLINK("https://klasma.github.io/Logging_2380/tillsynsmail/A 46105-2021 tillsynsbegäran mail.docx", "A 46105-2021")</f>
        <v/>
      </c>
      <c r="Z78">
        <f>HYPERLINK("https://klasma.github.io/Logging_2380/fåglar/A 46105-2021 prioriterade fågelarter.docx", "A 46105-2021")</f>
        <v/>
      </c>
    </row>
    <row r="79" ht="15" customHeight="1">
      <c r="A79" t="inlineStr">
        <is>
          <t>A 15700-2025</t>
        </is>
      </c>
      <c r="B79" s="1" t="n">
        <v>45748.47314814815</v>
      </c>
      <c r="C79" s="1" t="n">
        <v>45890</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47385-2022</t>
        </is>
      </c>
      <c r="B80" s="1" t="n">
        <v>44853</v>
      </c>
      <c r="C80" s="1" t="n">
        <v>45890</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38334-2023</t>
        </is>
      </c>
      <c r="B81" s="1" t="n">
        <v>45161</v>
      </c>
      <c r="C81" s="1" t="n">
        <v>45890</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60614-2022</t>
        </is>
      </c>
      <c r="B82" s="1" t="n">
        <v>44911</v>
      </c>
      <c r="C82" s="1" t="n">
        <v>45890</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26612-2025</t>
        </is>
      </c>
      <c r="B83" s="1" t="n">
        <v>45810</v>
      </c>
      <c r="C83" s="1" t="n">
        <v>45890</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52129-2023</t>
        </is>
      </c>
      <c r="B84" s="1" t="n">
        <v>45223</v>
      </c>
      <c r="C84" s="1" t="n">
        <v>45890</v>
      </c>
      <c r="D84" t="inlineStr">
        <is>
          <t>JÄMTLANDS LÄN</t>
        </is>
      </c>
      <c r="E84" t="inlineStr">
        <is>
          <t>ÖSTERSUND</t>
        </is>
      </c>
      <c r="F84" t="inlineStr">
        <is>
          <t>SCA</t>
        </is>
      </c>
      <c r="G84" t="n">
        <v>2</v>
      </c>
      <c r="H84" t="n">
        <v>0</v>
      </c>
      <c r="I84" t="n">
        <v>0</v>
      </c>
      <c r="J84" t="n">
        <v>2</v>
      </c>
      <c r="K84" t="n">
        <v>0</v>
      </c>
      <c r="L84" t="n">
        <v>0</v>
      </c>
      <c r="M84" t="n">
        <v>0</v>
      </c>
      <c r="N84" t="n">
        <v>0</v>
      </c>
      <c r="O84" t="n">
        <v>2</v>
      </c>
      <c r="P84" t="n">
        <v>0</v>
      </c>
      <c r="Q84" t="n">
        <v>2</v>
      </c>
      <c r="R84" s="2" t="inlineStr">
        <is>
          <t>Dvärgbägarlav
Kolflarnlav</t>
        </is>
      </c>
      <c r="S84">
        <f>HYPERLINK("https://klasma.github.io/Logging_2380/artfynd/A 52129-2023 artfynd.xlsx", "A 52129-2023")</f>
        <v/>
      </c>
      <c r="T84">
        <f>HYPERLINK("https://klasma.github.io/Logging_2380/kartor/A 52129-2023 karta.png", "A 52129-2023")</f>
        <v/>
      </c>
      <c r="V84">
        <f>HYPERLINK("https://klasma.github.io/Logging_2380/klagomål/A 52129-2023 FSC-klagomål.docx", "A 52129-2023")</f>
        <v/>
      </c>
      <c r="W84">
        <f>HYPERLINK("https://klasma.github.io/Logging_2380/klagomålsmail/A 52129-2023 FSC-klagomål mail.docx", "A 52129-2023")</f>
        <v/>
      </c>
      <c r="X84">
        <f>HYPERLINK("https://klasma.github.io/Logging_2380/tillsyn/A 52129-2023 tillsynsbegäran.docx", "A 52129-2023")</f>
        <v/>
      </c>
      <c r="Y84">
        <f>HYPERLINK("https://klasma.github.io/Logging_2380/tillsynsmail/A 52129-2023 tillsynsbegäran mail.docx", "A 52129-2023")</f>
        <v/>
      </c>
    </row>
    <row r="85" ht="15" customHeight="1">
      <c r="A85" t="inlineStr">
        <is>
          <t>A 4916-2023</t>
        </is>
      </c>
      <c r="B85" s="1" t="n">
        <v>44956</v>
      </c>
      <c r="C85" s="1" t="n">
        <v>45890</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45890</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45890</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45890</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33137-2021</t>
        </is>
      </c>
      <c r="B89" s="1" t="n">
        <v>44376</v>
      </c>
      <c r="C89" s="1" t="n">
        <v>45890</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45890</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45890</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46163-2021</t>
        </is>
      </c>
      <c r="B92" s="1" t="n">
        <v>44441</v>
      </c>
      <c r="C92" s="1" t="n">
        <v>45890</v>
      </c>
      <c r="D92" t="inlineStr">
        <is>
          <t>JÄMTLANDS LÄN</t>
        </is>
      </c>
      <c r="E92" t="inlineStr">
        <is>
          <t>ÖSTERSUND</t>
        </is>
      </c>
      <c r="G92" t="n">
        <v>7.7</v>
      </c>
      <c r="H92" t="n">
        <v>1</v>
      </c>
      <c r="I92" t="n">
        <v>0</v>
      </c>
      <c r="J92" t="n">
        <v>1</v>
      </c>
      <c r="K92" t="n">
        <v>0</v>
      </c>
      <c r="L92" t="n">
        <v>0</v>
      </c>
      <c r="M92" t="n">
        <v>0</v>
      </c>
      <c r="N92" t="n">
        <v>0</v>
      </c>
      <c r="O92" t="n">
        <v>1</v>
      </c>
      <c r="P92" t="n">
        <v>0</v>
      </c>
      <c r="Q92" t="n">
        <v>1</v>
      </c>
      <c r="R92" s="2" t="inlineStr">
        <is>
          <t>Tretåig hackspett</t>
        </is>
      </c>
      <c r="S92">
        <f>HYPERLINK("https://klasma.github.io/Logging_2380/artfynd/A 46163-2021 artfynd.xlsx", "A 46163-2021")</f>
        <v/>
      </c>
      <c r="T92">
        <f>HYPERLINK("https://klasma.github.io/Logging_2380/kartor/A 46163-2021 karta.png", "A 46163-2021")</f>
        <v/>
      </c>
      <c r="V92">
        <f>HYPERLINK("https://klasma.github.io/Logging_2380/klagomål/A 46163-2021 FSC-klagomål.docx", "A 46163-2021")</f>
        <v/>
      </c>
      <c r="W92">
        <f>HYPERLINK("https://klasma.github.io/Logging_2380/klagomålsmail/A 46163-2021 FSC-klagomål mail.docx", "A 46163-2021")</f>
        <v/>
      </c>
      <c r="X92">
        <f>HYPERLINK("https://klasma.github.io/Logging_2380/tillsyn/A 46163-2021 tillsynsbegäran.docx", "A 46163-2021")</f>
        <v/>
      </c>
      <c r="Y92">
        <f>HYPERLINK("https://klasma.github.io/Logging_2380/tillsynsmail/A 46163-2021 tillsynsbegäran mail.docx", "A 46163-2021")</f>
        <v/>
      </c>
      <c r="Z92">
        <f>HYPERLINK("https://klasma.github.io/Logging_2380/fåglar/A 46163-2021 prioriterade fågelarter.docx", "A 46163-2021")</f>
        <v/>
      </c>
    </row>
    <row r="93" ht="15" customHeight="1">
      <c r="A93" t="inlineStr">
        <is>
          <t>A 58181-2022</t>
        </is>
      </c>
      <c r="B93" s="1" t="n">
        <v>44900</v>
      </c>
      <c r="C93" s="1" t="n">
        <v>45890</v>
      </c>
      <c r="D93" t="inlineStr">
        <is>
          <t>JÄMTLANDS LÄN</t>
        </is>
      </c>
      <c r="E93" t="inlineStr">
        <is>
          <t>ÖSTERSUND</t>
        </is>
      </c>
      <c r="G93" t="n">
        <v>14.8</v>
      </c>
      <c r="H93" t="n">
        <v>0</v>
      </c>
      <c r="I93" t="n">
        <v>1</v>
      </c>
      <c r="J93" t="n">
        <v>0</v>
      </c>
      <c r="K93" t="n">
        <v>0</v>
      </c>
      <c r="L93" t="n">
        <v>0</v>
      </c>
      <c r="M93" t="n">
        <v>0</v>
      </c>
      <c r="N93" t="n">
        <v>0</v>
      </c>
      <c r="O93" t="n">
        <v>0</v>
      </c>
      <c r="P93" t="n">
        <v>0</v>
      </c>
      <c r="Q93" t="n">
        <v>1</v>
      </c>
      <c r="R93" s="2" t="inlineStr">
        <is>
          <t>Finbräken</t>
        </is>
      </c>
      <c r="S93">
        <f>HYPERLINK("https://klasma.github.io/Logging_2380/artfynd/A 58181-2022 artfynd.xlsx", "A 58181-2022")</f>
        <v/>
      </c>
      <c r="T93">
        <f>HYPERLINK("https://klasma.github.io/Logging_2380/kartor/A 58181-2022 karta.png", "A 58181-2022")</f>
        <v/>
      </c>
      <c r="V93">
        <f>HYPERLINK("https://klasma.github.io/Logging_2380/klagomål/A 58181-2022 FSC-klagomål.docx", "A 58181-2022")</f>
        <v/>
      </c>
      <c r="W93">
        <f>HYPERLINK("https://klasma.github.io/Logging_2380/klagomålsmail/A 58181-2022 FSC-klagomål mail.docx", "A 58181-2022")</f>
        <v/>
      </c>
      <c r="X93">
        <f>HYPERLINK("https://klasma.github.io/Logging_2380/tillsyn/A 58181-2022 tillsynsbegäran.docx", "A 58181-2022")</f>
        <v/>
      </c>
      <c r="Y93">
        <f>HYPERLINK("https://klasma.github.io/Logging_2380/tillsynsmail/A 58181-2022 tillsynsbegäran mail.docx", "A 58181-2022")</f>
        <v/>
      </c>
    </row>
    <row r="94" ht="15" customHeight="1">
      <c r="A94" t="inlineStr">
        <is>
          <t>A 27578-2022</t>
        </is>
      </c>
      <c r="B94" s="1" t="n">
        <v>44742</v>
      </c>
      <c r="C94" s="1" t="n">
        <v>45890</v>
      </c>
      <c r="D94" t="inlineStr">
        <is>
          <t>JÄMTLANDS LÄN</t>
        </is>
      </c>
      <c r="E94" t="inlineStr">
        <is>
          <t>ÖSTERSUND</t>
        </is>
      </c>
      <c r="F94" t="inlineStr">
        <is>
          <t>SCA</t>
        </is>
      </c>
      <c r="G94" t="n">
        <v>2</v>
      </c>
      <c r="H94" t="n">
        <v>1</v>
      </c>
      <c r="I94" t="n">
        <v>0</v>
      </c>
      <c r="J94" t="n">
        <v>0</v>
      </c>
      <c r="K94" t="n">
        <v>0</v>
      </c>
      <c r="L94" t="n">
        <v>0</v>
      </c>
      <c r="M94" t="n">
        <v>0</v>
      </c>
      <c r="N94" t="n">
        <v>0</v>
      </c>
      <c r="O94" t="n">
        <v>0</v>
      </c>
      <c r="P94" t="n">
        <v>0</v>
      </c>
      <c r="Q94" t="n">
        <v>1</v>
      </c>
      <c r="R94" s="2" t="inlineStr">
        <is>
          <t>Blåsippa</t>
        </is>
      </c>
      <c r="S94">
        <f>HYPERLINK("https://klasma.github.io/Logging_2380/artfynd/A 27578-2022 artfynd.xlsx", "A 27578-2022")</f>
        <v/>
      </c>
      <c r="T94">
        <f>HYPERLINK("https://klasma.github.io/Logging_2380/kartor/A 27578-2022 karta.png", "A 27578-2022")</f>
        <v/>
      </c>
      <c r="V94">
        <f>HYPERLINK("https://klasma.github.io/Logging_2380/klagomål/A 27578-2022 FSC-klagomål.docx", "A 27578-2022")</f>
        <v/>
      </c>
      <c r="W94">
        <f>HYPERLINK("https://klasma.github.io/Logging_2380/klagomålsmail/A 27578-2022 FSC-klagomål mail.docx", "A 27578-2022")</f>
        <v/>
      </c>
      <c r="X94">
        <f>HYPERLINK("https://klasma.github.io/Logging_2380/tillsyn/A 27578-2022 tillsynsbegäran.docx", "A 27578-2022")</f>
        <v/>
      </c>
      <c r="Y94">
        <f>HYPERLINK("https://klasma.github.io/Logging_2380/tillsynsmail/A 27578-2022 tillsynsbegäran mail.docx", "A 27578-2022")</f>
        <v/>
      </c>
    </row>
    <row r="95" ht="15" customHeight="1">
      <c r="A95" t="inlineStr">
        <is>
          <t>A 41312-2024</t>
        </is>
      </c>
      <c r="B95" s="1" t="n">
        <v>45559.63584490741</v>
      </c>
      <c r="C95" s="1" t="n">
        <v>45890</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33267-2022</t>
        </is>
      </c>
      <c r="B96" s="1" t="n">
        <v>44785</v>
      </c>
      <c r="C96" s="1" t="n">
        <v>45890</v>
      </c>
      <c r="D96" t="inlineStr">
        <is>
          <t>JÄMTLANDS LÄN</t>
        </is>
      </c>
      <c r="E96" t="inlineStr">
        <is>
          <t>ÖSTERSUND</t>
        </is>
      </c>
      <c r="G96" t="n">
        <v>0.9</v>
      </c>
      <c r="H96" t="n">
        <v>1</v>
      </c>
      <c r="I96" t="n">
        <v>0</v>
      </c>
      <c r="J96" t="n">
        <v>1</v>
      </c>
      <c r="K96" t="n">
        <v>0</v>
      </c>
      <c r="L96" t="n">
        <v>0</v>
      </c>
      <c r="M96" t="n">
        <v>0</v>
      </c>
      <c r="N96" t="n">
        <v>0</v>
      </c>
      <c r="O96" t="n">
        <v>1</v>
      </c>
      <c r="P96" t="n">
        <v>0</v>
      </c>
      <c r="Q96" t="n">
        <v>1</v>
      </c>
      <c r="R96" s="2" t="inlineStr">
        <is>
          <t>Talltita</t>
        </is>
      </c>
      <c r="S96">
        <f>HYPERLINK("https://klasma.github.io/Logging_2380/artfynd/A 33267-2022 artfynd.xlsx", "A 33267-2022")</f>
        <v/>
      </c>
      <c r="T96">
        <f>HYPERLINK("https://klasma.github.io/Logging_2380/kartor/A 33267-2022 karta.png", "A 33267-2022")</f>
        <v/>
      </c>
      <c r="V96">
        <f>HYPERLINK("https://klasma.github.io/Logging_2380/klagomål/A 33267-2022 FSC-klagomål.docx", "A 33267-2022")</f>
        <v/>
      </c>
      <c r="W96">
        <f>HYPERLINK("https://klasma.github.io/Logging_2380/klagomålsmail/A 33267-2022 FSC-klagomål mail.docx", "A 33267-2022")</f>
        <v/>
      </c>
      <c r="X96">
        <f>HYPERLINK("https://klasma.github.io/Logging_2380/tillsyn/A 33267-2022 tillsynsbegäran.docx", "A 33267-2022")</f>
        <v/>
      </c>
      <c r="Y96">
        <f>HYPERLINK("https://klasma.github.io/Logging_2380/tillsynsmail/A 33267-2022 tillsynsbegäran mail.docx", "A 33267-2022")</f>
        <v/>
      </c>
      <c r="Z96">
        <f>HYPERLINK("https://klasma.github.io/Logging_2380/fåglar/A 33267-2022 prioriterade fågelarter.docx", "A 33267-2022")</f>
        <v/>
      </c>
    </row>
    <row r="97" ht="15" customHeight="1">
      <c r="A97" t="inlineStr">
        <is>
          <t>A 57065-2024</t>
        </is>
      </c>
      <c r="B97" s="1" t="n">
        <v>45629.35344907407</v>
      </c>
      <c r="C97" s="1" t="n">
        <v>45890</v>
      </c>
      <c r="D97" t="inlineStr">
        <is>
          <t>JÄMTLANDS LÄN</t>
        </is>
      </c>
      <c r="E97" t="inlineStr">
        <is>
          <t>ÖSTERSUND</t>
        </is>
      </c>
      <c r="F97" t="inlineStr">
        <is>
          <t>SCA</t>
        </is>
      </c>
      <c r="G97" t="n">
        <v>6.3</v>
      </c>
      <c r="H97" t="n">
        <v>1</v>
      </c>
      <c r="I97" t="n">
        <v>0</v>
      </c>
      <c r="J97" t="n">
        <v>1</v>
      </c>
      <c r="K97" t="n">
        <v>0</v>
      </c>
      <c r="L97" t="n">
        <v>0</v>
      </c>
      <c r="M97" t="n">
        <v>0</v>
      </c>
      <c r="N97" t="n">
        <v>0</v>
      </c>
      <c r="O97" t="n">
        <v>1</v>
      </c>
      <c r="P97" t="n">
        <v>0</v>
      </c>
      <c r="Q97" t="n">
        <v>1</v>
      </c>
      <c r="R97" s="2" t="inlineStr">
        <is>
          <t>Tretåig hackspett</t>
        </is>
      </c>
      <c r="S97">
        <f>HYPERLINK("https://klasma.github.io/Logging_2380/artfynd/A 57065-2024 artfynd.xlsx", "A 57065-2024")</f>
        <v/>
      </c>
      <c r="T97">
        <f>HYPERLINK("https://klasma.github.io/Logging_2380/kartor/A 57065-2024 karta.png", "A 57065-2024")</f>
        <v/>
      </c>
      <c r="V97">
        <f>HYPERLINK("https://klasma.github.io/Logging_2380/klagomål/A 57065-2024 FSC-klagomål.docx", "A 57065-2024")</f>
        <v/>
      </c>
      <c r="W97">
        <f>HYPERLINK("https://klasma.github.io/Logging_2380/klagomålsmail/A 57065-2024 FSC-klagomål mail.docx", "A 57065-2024")</f>
        <v/>
      </c>
      <c r="X97">
        <f>HYPERLINK("https://klasma.github.io/Logging_2380/tillsyn/A 57065-2024 tillsynsbegäran.docx", "A 57065-2024")</f>
        <v/>
      </c>
      <c r="Y97">
        <f>HYPERLINK("https://klasma.github.io/Logging_2380/tillsynsmail/A 57065-2024 tillsynsbegäran mail.docx", "A 57065-2024")</f>
        <v/>
      </c>
      <c r="Z97">
        <f>HYPERLINK("https://klasma.github.io/Logging_2380/fåglar/A 57065-2024 prioriterade fågelarter.docx", "A 57065-2024")</f>
        <v/>
      </c>
    </row>
    <row r="98" ht="15" customHeight="1">
      <c r="A98" t="inlineStr">
        <is>
          <t>A 43883-2024</t>
        </is>
      </c>
      <c r="B98" s="1" t="n">
        <v>45570</v>
      </c>
      <c r="C98" s="1" t="n">
        <v>45890</v>
      </c>
      <c r="D98" t="inlineStr">
        <is>
          <t>JÄMTLANDS LÄN</t>
        </is>
      </c>
      <c r="E98" t="inlineStr">
        <is>
          <t>ÖSTERSUND</t>
        </is>
      </c>
      <c r="G98" t="n">
        <v>3.8</v>
      </c>
      <c r="H98" t="n">
        <v>0</v>
      </c>
      <c r="I98" t="n">
        <v>0</v>
      </c>
      <c r="J98" t="n">
        <v>0</v>
      </c>
      <c r="K98" t="n">
        <v>1</v>
      </c>
      <c r="L98" t="n">
        <v>0</v>
      </c>
      <c r="M98" t="n">
        <v>0</v>
      </c>
      <c r="N98" t="n">
        <v>0</v>
      </c>
      <c r="O98" t="n">
        <v>1</v>
      </c>
      <c r="P98" t="n">
        <v>1</v>
      </c>
      <c r="Q98" t="n">
        <v>1</v>
      </c>
      <c r="R98" s="2" t="inlineStr">
        <is>
          <t>Frösöstarr</t>
        </is>
      </c>
      <c r="S98">
        <f>HYPERLINK("https://klasma.github.io/Logging_2380/artfynd/A 43883-2024 artfynd.xlsx", "A 43883-2024")</f>
        <v/>
      </c>
      <c r="T98">
        <f>HYPERLINK("https://klasma.github.io/Logging_2380/kartor/A 43883-2024 karta.png", "A 43883-2024")</f>
        <v/>
      </c>
      <c r="V98">
        <f>HYPERLINK("https://klasma.github.io/Logging_2380/klagomål/A 43883-2024 FSC-klagomål.docx", "A 43883-2024")</f>
        <v/>
      </c>
      <c r="W98">
        <f>HYPERLINK("https://klasma.github.io/Logging_2380/klagomålsmail/A 43883-2024 FSC-klagomål mail.docx", "A 43883-2024")</f>
        <v/>
      </c>
      <c r="X98">
        <f>HYPERLINK("https://klasma.github.io/Logging_2380/tillsyn/A 43883-2024 tillsynsbegäran.docx", "A 43883-2024")</f>
        <v/>
      </c>
      <c r="Y98">
        <f>HYPERLINK("https://klasma.github.io/Logging_2380/tillsynsmail/A 43883-2024 tillsynsbegäran mail.docx", "A 43883-2024")</f>
        <v/>
      </c>
    </row>
    <row r="99" ht="15" customHeight="1">
      <c r="A99" t="inlineStr">
        <is>
          <t>A 63775-2020</t>
        </is>
      </c>
      <c r="B99" s="1" t="n">
        <v>44165</v>
      </c>
      <c r="C99" s="1" t="n">
        <v>45890</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59108-2024</t>
        </is>
      </c>
      <c r="B100" s="1" t="n">
        <v>45637.34469907408</v>
      </c>
      <c r="C100" s="1" t="n">
        <v>45890</v>
      </c>
      <c r="D100" t="inlineStr">
        <is>
          <t>JÄMTLANDS LÄN</t>
        </is>
      </c>
      <c r="E100" t="inlineStr">
        <is>
          <t>ÖSTERSUND</t>
        </is>
      </c>
      <c r="F100" t="inlineStr">
        <is>
          <t>SCA</t>
        </is>
      </c>
      <c r="G100" t="n">
        <v>10.6</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59108-2024 artfynd.xlsx", "A 59108-2024")</f>
        <v/>
      </c>
      <c r="T100">
        <f>HYPERLINK("https://klasma.github.io/Logging_2380/kartor/A 59108-2024 karta.png", "A 59108-2024")</f>
        <v/>
      </c>
      <c r="V100">
        <f>HYPERLINK("https://klasma.github.io/Logging_2380/klagomål/A 59108-2024 FSC-klagomål.docx", "A 59108-2024")</f>
        <v/>
      </c>
      <c r="W100">
        <f>HYPERLINK("https://klasma.github.io/Logging_2380/klagomålsmail/A 59108-2024 FSC-klagomål mail.docx", "A 59108-2024")</f>
        <v/>
      </c>
      <c r="X100">
        <f>HYPERLINK("https://klasma.github.io/Logging_2380/tillsyn/A 59108-2024 tillsynsbegäran.docx", "A 59108-2024")</f>
        <v/>
      </c>
      <c r="Y100">
        <f>HYPERLINK("https://klasma.github.io/Logging_2380/tillsynsmail/A 59108-2024 tillsynsbegäran mail.docx", "A 59108-2024")</f>
        <v/>
      </c>
      <c r="Z100">
        <f>HYPERLINK("https://klasma.github.io/Logging_2380/fåglar/A 59108-2024 prioriterade fågelarter.docx", "A 59108-2024")</f>
        <v/>
      </c>
    </row>
    <row r="101" ht="15" customHeight="1">
      <c r="A101" t="inlineStr">
        <is>
          <t>A 56201-2024</t>
        </is>
      </c>
      <c r="B101" s="1" t="n">
        <v>45624.59462962963</v>
      </c>
      <c r="C101" s="1" t="n">
        <v>45890</v>
      </c>
      <c r="D101" t="inlineStr">
        <is>
          <t>JÄMTLANDS LÄN</t>
        </is>
      </c>
      <c r="E101" t="inlineStr">
        <is>
          <t>ÖSTERSUND</t>
        </is>
      </c>
      <c r="F101" t="inlineStr">
        <is>
          <t>SCA</t>
        </is>
      </c>
      <c r="G101" t="n">
        <v>5.9</v>
      </c>
      <c r="H101" t="n">
        <v>1</v>
      </c>
      <c r="I101" t="n">
        <v>0</v>
      </c>
      <c r="J101" t="n">
        <v>0</v>
      </c>
      <c r="K101" t="n">
        <v>1</v>
      </c>
      <c r="L101" t="n">
        <v>0</v>
      </c>
      <c r="M101" t="n">
        <v>0</v>
      </c>
      <c r="N101" t="n">
        <v>0</v>
      </c>
      <c r="O101" t="n">
        <v>1</v>
      </c>
      <c r="P101" t="n">
        <v>1</v>
      </c>
      <c r="Q101" t="n">
        <v>1</v>
      </c>
      <c r="R101" s="2" t="inlineStr">
        <is>
          <t>Doftticka</t>
        </is>
      </c>
      <c r="S101">
        <f>HYPERLINK("https://klasma.github.io/Logging_2380/artfynd/A 56201-2024 artfynd.xlsx", "A 56201-2024")</f>
        <v/>
      </c>
      <c r="T101">
        <f>HYPERLINK("https://klasma.github.io/Logging_2380/kartor/A 56201-2024 karta.png", "A 56201-2024")</f>
        <v/>
      </c>
      <c r="V101">
        <f>HYPERLINK("https://klasma.github.io/Logging_2380/klagomål/A 56201-2024 FSC-klagomål.docx", "A 56201-2024")</f>
        <v/>
      </c>
      <c r="W101">
        <f>HYPERLINK("https://klasma.github.io/Logging_2380/klagomålsmail/A 56201-2024 FSC-klagomål mail.docx", "A 56201-2024")</f>
        <v/>
      </c>
      <c r="X101">
        <f>HYPERLINK("https://klasma.github.io/Logging_2380/tillsyn/A 56201-2024 tillsynsbegäran.docx", "A 56201-2024")</f>
        <v/>
      </c>
      <c r="Y101">
        <f>HYPERLINK("https://klasma.github.io/Logging_2380/tillsynsmail/A 56201-2024 tillsynsbegäran mail.docx", "A 56201-2024")</f>
        <v/>
      </c>
    </row>
    <row r="102" ht="15" customHeight="1">
      <c r="A102" t="inlineStr">
        <is>
          <t>A 11513-2024</t>
        </is>
      </c>
      <c r="B102" s="1" t="n">
        <v>45372</v>
      </c>
      <c r="C102" s="1" t="n">
        <v>45890</v>
      </c>
      <c r="D102" t="inlineStr">
        <is>
          <t>JÄMTLANDS LÄN</t>
        </is>
      </c>
      <c r="E102" t="inlineStr">
        <is>
          <t>ÖSTERSUND</t>
        </is>
      </c>
      <c r="G102" t="n">
        <v>21.2</v>
      </c>
      <c r="H102" t="n">
        <v>0</v>
      </c>
      <c r="I102" t="n">
        <v>1</v>
      </c>
      <c r="J102" t="n">
        <v>0</v>
      </c>
      <c r="K102" t="n">
        <v>0</v>
      </c>
      <c r="L102" t="n">
        <v>0</v>
      </c>
      <c r="M102" t="n">
        <v>0</v>
      </c>
      <c r="N102" t="n">
        <v>0</v>
      </c>
      <c r="O102" t="n">
        <v>0</v>
      </c>
      <c r="P102" t="n">
        <v>0</v>
      </c>
      <c r="Q102" t="n">
        <v>1</v>
      </c>
      <c r="R102" s="2" t="inlineStr">
        <is>
          <t>Tibast</t>
        </is>
      </c>
      <c r="S102">
        <f>HYPERLINK("https://klasma.github.io/Logging_2380/artfynd/A 11513-2024 artfynd.xlsx", "A 11513-2024")</f>
        <v/>
      </c>
      <c r="T102">
        <f>HYPERLINK("https://klasma.github.io/Logging_2380/kartor/A 11513-2024 karta.png", "A 11513-2024")</f>
        <v/>
      </c>
      <c r="V102">
        <f>HYPERLINK("https://klasma.github.io/Logging_2380/klagomål/A 11513-2024 FSC-klagomål.docx", "A 11513-2024")</f>
        <v/>
      </c>
      <c r="W102">
        <f>HYPERLINK("https://klasma.github.io/Logging_2380/klagomålsmail/A 11513-2024 FSC-klagomål mail.docx", "A 11513-2024")</f>
        <v/>
      </c>
      <c r="X102">
        <f>HYPERLINK("https://klasma.github.io/Logging_2380/tillsyn/A 11513-2024 tillsynsbegäran.docx", "A 11513-2024")</f>
        <v/>
      </c>
      <c r="Y102">
        <f>HYPERLINK("https://klasma.github.io/Logging_2380/tillsynsmail/A 11513-2024 tillsynsbegäran mail.docx", "A 11513-2024")</f>
        <v/>
      </c>
    </row>
    <row r="103" ht="15" customHeight="1">
      <c r="A103" t="inlineStr">
        <is>
          <t>A 64380-2023</t>
        </is>
      </c>
      <c r="B103" s="1" t="n">
        <v>45280.56451388889</v>
      </c>
      <c r="C103" s="1" t="n">
        <v>45890</v>
      </c>
      <c r="D103" t="inlineStr">
        <is>
          <t>JÄMTLANDS LÄN</t>
        </is>
      </c>
      <c r="E103" t="inlineStr">
        <is>
          <t>ÖSTERSUND</t>
        </is>
      </c>
      <c r="G103" t="n">
        <v>12.4</v>
      </c>
      <c r="H103" t="n">
        <v>0</v>
      </c>
      <c r="I103" t="n">
        <v>0</v>
      </c>
      <c r="J103" t="n">
        <v>1</v>
      </c>
      <c r="K103" t="n">
        <v>0</v>
      </c>
      <c r="L103" t="n">
        <v>0</v>
      </c>
      <c r="M103" t="n">
        <v>0</v>
      </c>
      <c r="N103" t="n">
        <v>0</v>
      </c>
      <c r="O103" t="n">
        <v>1</v>
      </c>
      <c r="P103" t="n">
        <v>0</v>
      </c>
      <c r="Q103" t="n">
        <v>1</v>
      </c>
      <c r="R103" s="2" t="inlineStr">
        <is>
          <t>Luddfingersvamp</t>
        </is>
      </c>
      <c r="S103">
        <f>HYPERLINK("https://klasma.github.io/Logging_2380/artfynd/A 64380-2023 artfynd.xlsx", "A 64380-2023")</f>
        <v/>
      </c>
      <c r="T103">
        <f>HYPERLINK("https://klasma.github.io/Logging_2380/kartor/A 64380-2023 karta.png", "A 64380-2023")</f>
        <v/>
      </c>
      <c r="V103">
        <f>HYPERLINK("https://klasma.github.io/Logging_2380/klagomål/A 64380-2023 FSC-klagomål.docx", "A 64380-2023")</f>
        <v/>
      </c>
      <c r="W103">
        <f>HYPERLINK("https://klasma.github.io/Logging_2380/klagomålsmail/A 64380-2023 FSC-klagomål mail.docx", "A 64380-2023")</f>
        <v/>
      </c>
      <c r="X103">
        <f>HYPERLINK("https://klasma.github.io/Logging_2380/tillsyn/A 64380-2023 tillsynsbegäran.docx", "A 64380-2023")</f>
        <v/>
      </c>
      <c r="Y103">
        <f>HYPERLINK("https://klasma.github.io/Logging_2380/tillsynsmail/A 64380-2023 tillsynsbegäran mail.docx", "A 64380-2023")</f>
        <v/>
      </c>
    </row>
    <row r="104" ht="15" customHeight="1">
      <c r="A104" t="inlineStr">
        <is>
          <t>A 41279-2024</t>
        </is>
      </c>
      <c r="B104" s="1" t="n">
        <v>45559</v>
      </c>
      <c r="C104" s="1" t="n">
        <v>45890</v>
      </c>
      <c r="D104" t="inlineStr">
        <is>
          <t>JÄMTLANDS LÄN</t>
        </is>
      </c>
      <c r="E104" t="inlineStr">
        <is>
          <t>ÖSTERSUND</t>
        </is>
      </c>
      <c r="F104" t="inlineStr">
        <is>
          <t>SCA</t>
        </is>
      </c>
      <c r="G104" t="n">
        <v>1.6</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41279-2024 artfynd.xlsx", "A 41279-2024")</f>
        <v/>
      </c>
      <c r="T104">
        <f>HYPERLINK("https://klasma.github.io/Logging_2380/kartor/A 41279-2024 karta.png", "A 41279-2024")</f>
        <v/>
      </c>
      <c r="V104">
        <f>HYPERLINK("https://klasma.github.io/Logging_2380/klagomål/A 41279-2024 FSC-klagomål.docx", "A 41279-2024")</f>
        <v/>
      </c>
      <c r="W104">
        <f>HYPERLINK("https://klasma.github.io/Logging_2380/klagomålsmail/A 41279-2024 FSC-klagomål mail.docx", "A 41279-2024")</f>
        <v/>
      </c>
      <c r="X104">
        <f>HYPERLINK("https://klasma.github.io/Logging_2380/tillsyn/A 41279-2024 tillsynsbegäran.docx", "A 41279-2024")</f>
        <v/>
      </c>
      <c r="Y104">
        <f>HYPERLINK("https://klasma.github.io/Logging_2380/tillsynsmail/A 41279-2024 tillsynsbegäran mail.docx", "A 41279-2024")</f>
        <v/>
      </c>
    </row>
    <row r="105" ht="15" customHeight="1">
      <c r="A105" t="inlineStr">
        <is>
          <t>A 40692-2024</t>
        </is>
      </c>
      <c r="B105" s="1" t="n">
        <v>45558</v>
      </c>
      <c r="C105" s="1" t="n">
        <v>45890</v>
      </c>
      <c r="D105" t="inlineStr">
        <is>
          <t>JÄMTLANDS LÄN</t>
        </is>
      </c>
      <c r="E105" t="inlineStr">
        <is>
          <t>ÖSTERSUND</t>
        </is>
      </c>
      <c r="F105" t="inlineStr">
        <is>
          <t>SCA</t>
        </is>
      </c>
      <c r="G105" t="n">
        <v>0.9</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40692-2024 artfynd.xlsx", "A 40692-2024")</f>
        <v/>
      </c>
      <c r="T105">
        <f>HYPERLINK("https://klasma.github.io/Logging_2380/kartor/A 40692-2024 karta.png", "A 40692-2024")</f>
        <v/>
      </c>
      <c r="V105">
        <f>HYPERLINK("https://klasma.github.io/Logging_2380/klagomål/A 40692-2024 FSC-klagomål.docx", "A 40692-2024")</f>
        <v/>
      </c>
      <c r="W105">
        <f>HYPERLINK("https://klasma.github.io/Logging_2380/klagomålsmail/A 40692-2024 FSC-klagomål mail.docx", "A 40692-2024")</f>
        <v/>
      </c>
      <c r="X105">
        <f>HYPERLINK("https://klasma.github.io/Logging_2380/tillsyn/A 40692-2024 tillsynsbegäran.docx", "A 40692-2024")</f>
        <v/>
      </c>
      <c r="Y105">
        <f>HYPERLINK("https://klasma.github.io/Logging_2380/tillsynsmail/A 40692-2024 tillsynsbegäran mail.docx", "A 40692-2024")</f>
        <v/>
      </c>
    </row>
    <row r="106" ht="15" customHeight="1">
      <c r="A106" t="inlineStr">
        <is>
          <t>A 55821-2021</t>
        </is>
      </c>
      <c r="B106" s="1" t="n">
        <v>44476</v>
      </c>
      <c r="C106" s="1" t="n">
        <v>45890</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17217-2021</t>
        </is>
      </c>
      <c r="B107" s="1" t="n">
        <v>44298</v>
      </c>
      <c r="C107" s="1" t="n">
        <v>45890</v>
      </c>
      <c r="D107" t="inlineStr">
        <is>
          <t>JÄMTLANDS LÄN</t>
        </is>
      </c>
      <c r="E107" t="inlineStr">
        <is>
          <t>ÖSTERSUND</t>
        </is>
      </c>
      <c r="G107" t="n">
        <v>10.4</v>
      </c>
      <c r="H107" t="n">
        <v>0</v>
      </c>
      <c r="I107" t="n">
        <v>0</v>
      </c>
      <c r="J107" t="n">
        <v>1</v>
      </c>
      <c r="K107" t="n">
        <v>0</v>
      </c>
      <c r="L107" t="n">
        <v>0</v>
      </c>
      <c r="M107" t="n">
        <v>0</v>
      </c>
      <c r="N107" t="n">
        <v>0</v>
      </c>
      <c r="O107" t="n">
        <v>1</v>
      </c>
      <c r="P107" t="n">
        <v>0</v>
      </c>
      <c r="Q107" t="n">
        <v>1</v>
      </c>
      <c r="R107" s="2" t="inlineStr">
        <is>
          <t>Rödbrun klubbdyna</t>
        </is>
      </c>
      <c r="S107">
        <f>HYPERLINK("https://klasma.github.io/Logging_2380/artfynd/A 17217-2021 artfynd.xlsx", "A 17217-2021")</f>
        <v/>
      </c>
      <c r="T107">
        <f>HYPERLINK("https://klasma.github.io/Logging_2380/kartor/A 17217-2021 karta.png", "A 17217-2021")</f>
        <v/>
      </c>
      <c r="V107">
        <f>HYPERLINK("https://klasma.github.io/Logging_2380/klagomål/A 17217-2021 FSC-klagomål.docx", "A 17217-2021")</f>
        <v/>
      </c>
      <c r="W107">
        <f>HYPERLINK("https://klasma.github.io/Logging_2380/klagomålsmail/A 17217-2021 FSC-klagomål mail.docx", "A 17217-2021")</f>
        <v/>
      </c>
      <c r="X107">
        <f>HYPERLINK("https://klasma.github.io/Logging_2380/tillsyn/A 17217-2021 tillsynsbegäran.docx", "A 17217-2021")</f>
        <v/>
      </c>
      <c r="Y107">
        <f>HYPERLINK("https://klasma.github.io/Logging_2380/tillsynsmail/A 17217-2021 tillsynsbegäran mail.docx", "A 17217-2021")</f>
        <v/>
      </c>
    </row>
    <row r="108" ht="15" customHeight="1">
      <c r="A108" t="inlineStr">
        <is>
          <t>A 40694-2024</t>
        </is>
      </c>
      <c r="B108" s="1" t="n">
        <v>45558</v>
      </c>
      <c r="C108" s="1" t="n">
        <v>45890</v>
      </c>
      <c r="D108" t="inlineStr">
        <is>
          <t>JÄMTLANDS LÄN</t>
        </is>
      </c>
      <c r="E108" t="inlineStr">
        <is>
          <t>ÖSTERSUND</t>
        </is>
      </c>
      <c r="F108" t="inlineStr">
        <is>
          <t>SCA</t>
        </is>
      </c>
      <c r="G108" t="n">
        <v>6.2</v>
      </c>
      <c r="H108" t="n">
        <v>0</v>
      </c>
      <c r="I108" t="n">
        <v>0</v>
      </c>
      <c r="J108" t="n">
        <v>1</v>
      </c>
      <c r="K108" t="n">
        <v>0</v>
      </c>
      <c r="L108" t="n">
        <v>0</v>
      </c>
      <c r="M108" t="n">
        <v>0</v>
      </c>
      <c r="N108" t="n">
        <v>0</v>
      </c>
      <c r="O108" t="n">
        <v>1</v>
      </c>
      <c r="P108" t="n">
        <v>0</v>
      </c>
      <c r="Q108" t="n">
        <v>1</v>
      </c>
      <c r="R108" s="2" t="inlineStr">
        <is>
          <t>Reliktbock</t>
        </is>
      </c>
      <c r="S108">
        <f>HYPERLINK("https://klasma.github.io/Logging_2380/artfynd/A 40694-2024 artfynd.xlsx", "A 40694-2024")</f>
        <v/>
      </c>
      <c r="T108">
        <f>HYPERLINK("https://klasma.github.io/Logging_2380/kartor/A 40694-2024 karta.png", "A 40694-2024")</f>
        <v/>
      </c>
      <c r="V108">
        <f>HYPERLINK("https://klasma.github.io/Logging_2380/klagomål/A 40694-2024 FSC-klagomål.docx", "A 40694-2024")</f>
        <v/>
      </c>
      <c r="W108">
        <f>HYPERLINK("https://klasma.github.io/Logging_2380/klagomålsmail/A 40694-2024 FSC-klagomål mail.docx", "A 40694-2024")</f>
        <v/>
      </c>
      <c r="X108">
        <f>HYPERLINK("https://klasma.github.io/Logging_2380/tillsyn/A 40694-2024 tillsynsbegäran.docx", "A 40694-2024")</f>
        <v/>
      </c>
      <c r="Y108">
        <f>HYPERLINK("https://klasma.github.io/Logging_2380/tillsynsmail/A 40694-2024 tillsynsbegäran mail.docx", "A 40694-2024")</f>
        <v/>
      </c>
    </row>
    <row r="109" ht="15" customHeight="1">
      <c r="A109" t="inlineStr">
        <is>
          <t>A 41770-2024</t>
        </is>
      </c>
      <c r="B109" s="1" t="n">
        <v>45561.34641203703</v>
      </c>
      <c r="C109" s="1" t="n">
        <v>45890</v>
      </c>
      <c r="D109" t="inlineStr">
        <is>
          <t>JÄMTLANDS LÄN</t>
        </is>
      </c>
      <c r="E109" t="inlineStr">
        <is>
          <t>ÖSTERSUND</t>
        </is>
      </c>
      <c r="F109" t="inlineStr">
        <is>
          <t>SCA</t>
        </is>
      </c>
      <c r="G109" t="n">
        <v>4.4</v>
      </c>
      <c r="H109" t="n">
        <v>0</v>
      </c>
      <c r="I109" t="n">
        <v>1</v>
      </c>
      <c r="J109" t="n">
        <v>0</v>
      </c>
      <c r="K109" t="n">
        <v>0</v>
      </c>
      <c r="L109" t="n">
        <v>0</v>
      </c>
      <c r="M109" t="n">
        <v>0</v>
      </c>
      <c r="N109" t="n">
        <v>0</v>
      </c>
      <c r="O109" t="n">
        <v>0</v>
      </c>
      <c r="P109" t="n">
        <v>0</v>
      </c>
      <c r="Q109" t="n">
        <v>1</v>
      </c>
      <c r="R109" s="2" t="inlineStr">
        <is>
          <t>Vedticka</t>
        </is>
      </c>
      <c r="S109">
        <f>HYPERLINK("https://klasma.github.io/Logging_2380/artfynd/A 41770-2024 artfynd.xlsx", "A 41770-2024")</f>
        <v/>
      </c>
      <c r="T109">
        <f>HYPERLINK("https://klasma.github.io/Logging_2380/kartor/A 41770-2024 karta.png", "A 41770-2024")</f>
        <v/>
      </c>
      <c r="V109">
        <f>HYPERLINK("https://klasma.github.io/Logging_2380/klagomål/A 41770-2024 FSC-klagomål.docx", "A 41770-2024")</f>
        <v/>
      </c>
      <c r="W109">
        <f>HYPERLINK("https://klasma.github.io/Logging_2380/klagomålsmail/A 41770-2024 FSC-klagomål mail.docx", "A 41770-2024")</f>
        <v/>
      </c>
      <c r="X109">
        <f>HYPERLINK("https://klasma.github.io/Logging_2380/tillsyn/A 41770-2024 tillsynsbegäran.docx", "A 41770-2024")</f>
        <v/>
      </c>
      <c r="Y109">
        <f>HYPERLINK("https://klasma.github.io/Logging_2380/tillsynsmail/A 41770-2024 tillsynsbegäran mail.docx", "A 41770-2024")</f>
        <v/>
      </c>
    </row>
    <row r="110" ht="15" customHeight="1">
      <c r="A110" t="inlineStr">
        <is>
          <t>A 9739-2022</t>
        </is>
      </c>
      <c r="B110" s="1" t="n">
        <v>44617</v>
      </c>
      <c r="C110" s="1" t="n">
        <v>45890</v>
      </c>
      <c r="D110" t="inlineStr">
        <is>
          <t>JÄMTLANDS LÄN</t>
        </is>
      </c>
      <c r="E110" t="inlineStr">
        <is>
          <t>ÖSTERSUND</t>
        </is>
      </c>
      <c r="F110" t="inlineStr">
        <is>
          <t>SCA</t>
        </is>
      </c>
      <c r="G110" t="n">
        <v>13.5</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9739-2022 artfynd.xlsx", "A 9739-2022")</f>
        <v/>
      </c>
      <c r="T110">
        <f>HYPERLINK("https://klasma.github.io/Logging_2380/kartor/A 9739-2022 karta.png", "A 9739-2022")</f>
        <v/>
      </c>
      <c r="V110">
        <f>HYPERLINK("https://klasma.github.io/Logging_2380/klagomål/A 9739-2022 FSC-klagomål.docx", "A 9739-2022")</f>
        <v/>
      </c>
      <c r="W110">
        <f>HYPERLINK("https://klasma.github.io/Logging_2380/klagomålsmail/A 9739-2022 FSC-klagomål mail.docx", "A 9739-2022")</f>
        <v/>
      </c>
      <c r="X110">
        <f>HYPERLINK("https://klasma.github.io/Logging_2380/tillsyn/A 9739-2022 tillsynsbegäran.docx", "A 9739-2022")</f>
        <v/>
      </c>
      <c r="Y110">
        <f>HYPERLINK("https://klasma.github.io/Logging_2380/tillsynsmail/A 9739-2022 tillsynsbegäran mail.docx", "A 9739-2022")</f>
        <v/>
      </c>
    </row>
    <row r="111" ht="15" customHeight="1">
      <c r="A111" t="inlineStr">
        <is>
          <t>A 36225-2025</t>
        </is>
      </c>
      <c r="B111" s="1" t="n">
        <v>45867.51128472222</v>
      </c>
      <c r="C111" s="1" t="n">
        <v>45890</v>
      </c>
      <c r="D111" t="inlineStr">
        <is>
          <t>JÄMTLANDS LÄN</t>
        </is>
      </c>
      <c r="E111" t="inlineStr">
        <is>
          <t>ÖSTERSUND</t>
        </is>
      </c>
      <c r="F111" t="inlineStr">
        <is>
          <t>SCA</t>
        </is>
      </c>
      <c r="G111" t="n">
        <v>1.8</v>
      </c>
      <c r="H111" t="n">
        <v>0</v>
      </c>
      <c r="I111" t="n">
        <v>0</v>
      </c>
      <c r="J111" t="n">
        <v>1</v>
      </c>
      <c r="K111" t="n">
        <v>0</v>
      </c>
      <c r="L111" t="n">
        <v>0</v>
      </c>
      <c r="M111" t="n">
        <v>0</v>
      </c>
      <c r="N111" t="n">
        <v>0</v>
      </c>
      <c r="O111" t="n">
        <v>1</v>
      </c>
      <c r="P111" t="n">
        <v>0</v>
      </c>
      <c r="Q111" t="n">
        <v>1</v>
      </c>
      <c r="R111" s="2" t="inlineStr">
        <is>
          <t>Kolflarnlav</t>
        </is>
      </c>
      <c r="S111">
        <f>HYPERLINK("https://klasma.github.io/Logging_2380/artfynd/A 36225-2025 artfynd.xlsx", "A 36225-2025")</f>
        <v/>
      </c>
      <c r="T111">
        <f>HYPERLINK("https://klasma.github.io/Logging_2380/kartor/A 36225-2025 karta.png", "A 36225-2025")</f>
        <v/>
      </c>
      <c r="V111">
        <f>HYPERLINK("https://klasma.github.io/Logging_2380/klagomål/A 36225-2025 FSC-klagomål.docx", "A 36225-2025")</f>
        <v/>
      </c>
      <c r="W111">
        <f>HYPERLINK("https://klasma.github.io/Logging_2380/klagomålsmail/A 36225-2025 FSC-klagomål mail.docx", "A 36225-2025")</f>
        <v/>
      </c>
      <c r="X111">
        <f>HYPERLINK("https://klasma.github.io/Logging_2380/tillsyn/A 36225-2025 tillsynsbegäran.docx", "A 36225-2025")</f>
        <v/>
      </c>
      <c r="Y111">
        <f>HYPERLINK("https://klasma.github.io/Logging_2380/tillsynsmail/A 36225-2025 tillsynsbegäran mail.docx", "A 36225-2025")</f>
        <v/>
      </c>
    </row>
    <row r="112" ht="15" customHeight="1">
      <c r="A112" t="inlineStr">
        <is>
          <t>A 59433-2021</t>
        </is>
      </c>
      <c r="B112" s="1" t="n">
        <v>44491</v>
      </c>
      <c r="C112" s="1" t="n">
        <v>45890</v>
      </c>
      <c r="D112" t="inlineStr">
        <is>
          <t>JÄMTLANDS LÄN</t>
        </is>
      </c>
      <c r="E112" t="inlineStr">
        <is>
          <t>ÖSTERSUND</t>
        </is>
      </c>
      <c r="F112" t="inlineStr">
        <is>
          <t>Övriga statliga verk och myndigheter</t>
        </is>
      </c>
      <c r="G112" t="n">
        <v>1.6</v>
      </c>
      <c r="H112" t="n">
        <v>0</v>
      </c>
      <c r="I112" t="n">
        <v>0</v>
      </c>
      <c r="J112" t="n">
        <v>1</v>
      </c>
      <c r="K112" t="n">
        <v>0</v>
      </c>
      <c r="L112" t="n">
        <v>0</v>
      </c>
      <c r="M112" t="n">
        <v>0</v>
      </c>
      <c r="N112" t="n">
        <v>0</v>
      </c>
      <c r="O112" t="n">
        <v>1</v>
      </c>
      <c r="P112" t="n">
        <v>0</v>
      </c>
      <c r="Q112" t="n">
        <v>1</v>
      </c>
      <c r="R112" s="2" t="inlineStr">
        <is>
          <t>Brunpudrad nållav</t>
        </is>
      </c>
      <c r="S112">
        <f>HYPERLINK("https://klasma.github.io/Logging_2380/artfynd/A 59433-2021 artfynd.xlsx", "A 59433-2021")</f>
        <v/>
      </c>
      <c r="T112">
        <f>HYPERLINK("https://klasma.github.io/Logging_2380/kartor/A 59433-2021 karta.png", "A 59433-2021")</f>
        <v/>
      </c>
      <c r="V112">
        <f>HYPERLINK("https://klasma.github.io/Logging_2380/klagomål/A 59433-2021 FSC-klagomål.docx", "A 59433-2021")</f>
        <v/>
      </c>
      <c r="W112">
        <f>HYPERLINK("https://klasma.github.io/Logging_2380/klagomålsmail/A 59433-2021 FSC-klagomål mail.docx", "A 59433-2021")</f>
        <v/>
      </c>
      <c r="X112">
        <f>HYPERLINK("https://klasma.github.io/Logging_2380/tillsyn/A 59433-2021 tillsynsbegäran.docx", "A 59433-2021")</f>
        <v/>
      </c>
      <c r="Y112">
        <f>HYPERLINK("https://klasma.github.io/Logging_2380/tillsynsmail/A 59433-2021 tillsynsbegäran mail.docx", "A 59433-2021")</f>
        <v/>
      </c>
    </row>
    <row r="113" ht="15" customHeight="1">
      <c r="A113" t="inlineStr">
        <is>
          <t>A 28980-2023</t>
        </is>
      </c>
      <c r="B113" s="1" t="n">
        <v>45096</v>
      </c>
      <c r="C113" s="1" t="n">
        <v>45890</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31883-2024</t>
        </is>
      </c>
      <c r="B114" s="1" t="n">
        <v>45509.9572800926</v>
      </c>
      <c r="C114" s="1" t="n">
        <v>45890</v>
      </c>
      <c r="D114" t="inlineStr">
        <is>
          <t>JÄMTLANDS LÄN</t>
        </is>
      </c>
      <c r="E114" t="inlineStr">
        <is>
          <t>ÖSTERSUND</t>
        </is>
      </c>
      <c r="F114" t="inlineStr">
        <is>
          <t>SCA</t>
        </is>
      </c>
      <c r="G114" t="n">
        <v>3.3</v>
      </c>
      <c r="H114" t="n">
        <v>1</v>
      </c>
      <c r="I114" t="n">
        <v>0</v>
      </c>
      <c r="J114" t="n">
        <v>0</v>
      </c>
      <c r="K114" t="n">
        <v>1</v>
      </c>
      <c r="L114" t="n">
        <v>0</v>
      </c>
      <c r="M114" t="n">
        <v>0</v>
      </c>
      <c r="N114" t="n">
        <v>0</v>
      </c>
      <c r="O114" t="n">
        <v>1</v>
      </c>
      <c r="P114" t="n">
        <v>1</v>
      </c>
      <c r="Q114" t="n">
        <v>1</v>
      </c>
      <c r="R114" s="2" t="inlineStr">
        <is>
          <t>Doftticka</t>
        </is>
      </c>
      <c r="S114">
        <f>HYPERLINK("https://klasma.github.io/Logging_2380/artfynd/A 31883-2024 artfynd.xlsx", "A 31883-2024")</f>
        <v/>
      </c>
      <c r="T114">
        <f>HYPERLINK("https://klasma.github.io/Logging_2380/kartor/A 31883-2024 karta.png", "A 31883-2024")</f>
        <v/>
      </c>
      <c r="V114">
        <f>HYPERLINK("https://klasma.github.io/Logging_2380/klagomål/A 31883-2024 FSC-klagomål.docx", "A 31883-2024")</f>
        <v/>
      </c>
      <c r="W114">
        <f>HYPERLINK("https://klasma.github.io/Logging_2380/klagomålsmail/A 31883-2024 FSC-klagomål mail.docx", "A 31883-2024")</f>
        <v/>
      </c>
      <c r="X114">
        <f>HYPERLINK("https://klasma.github.io/Logging_2380/tillsyn/A 31883-2024 tillsynsbegäran.docx", "A 31883-2024")</f>
        <v/>
      </c>
      <c r="Y114">
        <f>HYPERLINK("https://klasma.github.io/Logging_2380/tillsynsmail/A 31883-2024 tillsynsbegäran mail.docx", "A 31883-2024")</f>
        <v/>
      </c>
    </row>
    <row r="115" ht="15" customHeight="1">
      <c r="A115" t="inlineStr">
        <is>
          <t>A 33550-2025</t>
        </is>
      </c>
      <c r="B115" s="1" t="n">
        <v>45841.57331018519</v>
      </c>
      <c r="C115" s="1" t="n">
        <v>45890</v>
      </c>
      <c r="D115" t="inlineStr">
        <is>
          <t>JÄMTLANDS LÄN</t>
        </is>
      </c>
      <c r="E115" t="inlineStr">
        <is>
          <t>ÖSTERSUND</t>
        </is>
      </c>
      <c r="F115" t="inlineStr">
        <is>
          <t>SCA</t>
        </is>
      </c>
      <c r="G115" t="n">
        <v>7.3</v>
      </c>
      <c r="H115" t="n">
        <v>0</v>
      </c>
      <c r="I115" t="n">
        <v>1</v>
      </c>
      <c r="J115" t="n">
        <v>0</v>
      </c>
      <c r="K115" t="n">
        <v>0</v>
      </c>
      <c r="L115" t="n">
        <v>0</v>
      </c>
      <c r="M115" t="n">
        <v>0</v>
      </c>
      <c r="N115" t="n">
        <v>0</v>
      </c>
      <c r="O115" t="n">
        <v>0</v>
      </c>
      <c r="P115" t="n">
        <v>0</v>
      </c>
      <c r="Q115" t="n">
        <v>1</v>
      </c>
      <c r="R115" s="2" t="inlineStr">
        <is>
          <t>Dropptaggsvamp</t>
        </is>
      </c>
      <c r="S115">
        <f>HYPERLINK("https://klasma.github.io/Logging_2380/artfynd/A 33550-2025 artfynd.xlsx", "A 33550-2025")</f>
        <v/>
      </c>
      <c r="T115">
        <f>HYPERLINK("https://klasma.github.io/Logging_2380/kartor/A 33550-2025 karta.png", "A 33550-2025")</f>
        <v/>
      </c>
      <c r="V115">
        <f>HYPERLINK("https://klasma.github.io/Logging_2380/klagomål/A 33550-2025 FSC-klagomål.docx", "A 33550-2025")</f>
        <v/>
      </c>
      <c r="W115">
        <f>HYPERLINK("https://klasma.github.io/Logging_2380/klagomålsmail/A 33550-2025 FSC-klagomål mail.docx", "A 33550-2025")</f>
        <v/>
      </c>
      <c r="X115">
        <f>HYPERLINK("https://klasma.github.io/Logging_2380/tillsyn/A 33550-2025 tillsynsbegäran.docx", "A 33550-2025")</f>
        <v/>
      </c>
      <c r="Y115">
        <f>HYPERLINK("https://klasma.github.io/Logging_2380/tillsynsmail/A 33550-2025 tillsynsbegäran mail.docx", "A 33550-2025")</f>
        <v/>
      </c>
    </row>
    <row r="116" ht="15" customHeight="1">
      <c r="A116" t="inlineStr">
        <is>
          <t>A 25244-2025</t>
        </is>
      </c>
      <c r="B116" s="1" t="n">
        <v>45800.49240740741</v>
      </c>
      <c r="C116" s="1" t="n">
        <v>45890</v>
      </c>
      <c r="D116" t="inlineStr">
        <is>
          <t>JÄMTLANDS LÄN</t>
        </is>
      </c>
      <c r="E116" t="inlineStr">
        <is>
          <t>ÖSTERSUND</t>
        </is>
      </c>
      <c r="G116" t="n">
        <v>5</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25244-2025 artfynd.xlsx", "A 25244-2025")</f>
        <v/>
      </c>
      <c r="T116">
        <f>HYPERLINK("https://klasma.github.io/Logging_2380/kartor/A 25244-2025 karta.png", "A 25244-2025")</f>
        <v/>
      </c>
      <c r="V116">
        <f>HYPERLINK("https://klasma.github.io/Logging_2380/klagomål/A 25244-2025 FSC-klagomål.docx", "A 25244-2025")</f>
        <v/>
      </c>
      <c r="W116">
        <f>HYPERLINK("https://klasma.github.io/Logging_2380/klagomålsmail/A 25244-2025 FSC-klagomål mail.docx", "A 25244-2025")</f>
        <v/>
      </c>
      <c r="X116">
        <f>HYPERLINK("https://klasma.github.io/Logging_2380/tillsyn/A 25244-2025 tillsynsbegäran.docx", "A 25244-2025")</f>
        <v/>
      </c>
      <c r="Y116">
        <f>HYPERLINK("https://klasma.github.io/Logging_2380/tillsynsmail/A 25244-2025 tillsynsbegäran mail.docx", "A 25244-2025")</f>
        <v/>
      </c>
      <c r="Z116">
        <f>HYPERLINK("https://klasma.github.io/Logging_2380/fåglar/A 25244-2025 prioriterade fågelarter.docx", "A 25244-2025")</f>
        <v/>
      </c>
    </row>
    <row r="117" ht="15" customHeight="1">
      <c r="A117" t="inlineStr">
        <is>
          <t>A 44049-2024</t>
        </is>
      </c>
      <c r="B117" s="1" t="n">
        <v>45572.59462962963</v>
      </c>
      <c r="C117" s="1" t="n">
        <v>45890</v>
      </c>
      <c r="D117" t="inlineStr">
        <is>
          <t>JÄMTLANDS LÄN</t>
        </is>
      </c>
      <c r="E117" t="inlineStr">
        <is>
          <t>ÖSTERSUND</t>
        </is>
      </c>
      <c r="F117" t="inlineStr">
        <is>
          <t>SCA</t>
        </is>
      </c>
      <c r="G117" t="n">
        <v>4.5</v>
      </c>
      <c r="H117" t="n">
        <v>0</v>
      </c>
      <c r="I117" t="n">
        <v>0</v>
      </c>
      <c r="J117" t="n">
        <v>1</v>
      </c>
      <c r="K117" t="n">
        <v>0</v>
      </c>
      <c r="L117" t="n">
        <v>0</v>
      </c>
      <c r="M117" t="n">
        <v>0</v>
      </c>
      <c r="N117" t="n">
        <v>0</v>
      </c>
      <c r="O117" t="n">
        <v>1</v>
      </c>
      <c r="P117" t="n">
        <v>0</v>
      </c>
      <c r="Q117" t="n">
        <v>1</v>
      </c>
      <c r="R117" s="2" t="inlineStr">
        <is>
          <t>Dvärgbägarlav</t>
        </is>
      </c>
      <c r="S117">
        <f>HYPERLINK("https://klasma.github.io/Logging_2380/artfynd/A 44049-2024 artfynd.xlsx", "A 44049-2024")</f>
        <v/>
      </c>
      <c r="T117">
        <f>HYPERLINK("https://klasma.github.io/Logging_2380/kartor/A 44049-2024 karta.png", "A 44049-2024")</f>
        <v/>
      </c>
      <c r="V117">
        <f>HYPERLINK("https://klasma.github.io/Logging_2380/klagomål/A 44049-2024 FSC-klagomål.docx", "A 44049-2024")</f>
        <v/>
      </c>
      <c r="W117">
        <f>HYPERLINK("https://klasma.github.io/Logging_2380/klagomålsmail/A 44049-2024 FSC-klagomål mail.docx", "A 44049-2024")</f>
        <v/>
      </c>
      <c r="X117">
        <f>HYPERLINK("https://klasma.github.io/Logging_2380/tillsyn/A 44049-2024 tillsynsbegäran.docx", "A 44049-2024")</f>
        <v/>
      </c>
      <c r="Y117">
        <f>HYPERLINK("https://klasma.github.io/Logging_2380/tillsynsmail/A 44049-2024 tillsynsbegäran mail.docx", "A 44049-2024")</f>
        <v/>
      </c>
    </row>
    <row r="118" ht="15" customHeight="1">
      <c r="A118" t="inlineStr">
        <is>
          <t>A 40696-2024</t>
        </is>
      </c>
      <c r="B118" s="1" t="n">
        <v>45558</v>
      </c>
      <c r="C118" s="1" t="n">
        <v>45890</v>
      </c>
      <c r="D118" t="inlineStr">
        <is>
          <t>JÄMTLANDS LÄN</t>
        </is>
      </c>
      <c r="E118" t="inlineStr">
        <is>
          <t>ÖSTERSUND</t>
        </is>
      </c>
      <c r="F118" t="inlineStr">
        <is>
          <t>SCA</t>
        </is>
      </c>
      <c r="G118" t="n">
        <v>2.7</v>
      </c>
      <c r="H118" t="n">
        <v>0</v>
      </c>
      <c r="I118" t="n">
        <v>0</v>
      </c>
      <c r="J118" t="n">
        <v>1</v>
      </c>
      <c r="K118" t="n">
        <v>0</v>
      </c>
      <c r="L118" t="n">
        <v>0</v>
      </c>
      <c r="M118" t="n">
        <v>0</v>
      </c>
      <c r="N118" t="n">
        <v>0</v>
      </c>
      <c r="O118" t="n">
        <v>1</v>
      </c>
      <c r="P118" t="n">
        <v>0</v>
      </c>
      <c r="Q118" t="n">
        <v>1</v>
      </c>
      <c r="R118" s="2" t="inlineStr">
        <is>
          <t>Lunglav</t>
        </is>
      </c>
      <c r="S118">
        <f>HYPERLINK("https://klasma.github.io/Logging_2380/artfynd/A 40696-2024 artfynd.xlsx", "A 40696-2024")</f>
        <v/>
      </c>
      <c r="T118">
        <f>HYPERLINK("https://klasma.github.io/Logging_2380/kartor/A 40696-2024 karta.png", "A 40696-2024")</f>
        <v/>
      </c>
      <c r="V118">
        <f>HYPERLINK("https://klasma.github.io/Logging_2380/klagomål/A 40696-2024 FSC-klagomål.docx", "A 40696-2024")</f>
        <v/>
      </c>
      <c r="W118">
        <f>HYPERLINK("https://klasma.github.io/Logging_2380/klagomålsmail/A 40696-2024 FSC-klagomål mail.docx", "A 40696-2024")</f>
        <v/>
      </c>
      <c r="X118">
        <f>HYPERLINK("https://klasma.github.io/Logging_2380/tillsyn/A 40696-2024 tillsynsbegäran.docx", "A 40696-2024")</f>
        <v/>
      </c>
      <c r="Y118">
        <f>HYPERLINK("https://klasma.github.io/Logging_2380/tillsynsmail/A 40696-2024 tillsynsbegäran mail.docx", "A 40696-2024")</f>
        <v/>
      </c>
    </row>
    <row r="119" ht="15" customHeight="1">
      <c r="A119" t="inlineStr">
        <is>
          <t>A 54354-2024</t>
        </is>
      </c>
      <c r="B119" s="1" t="n">
        <v>45617.40244212963</v>
      </c>
      <c r="C119" s="1" t="n">
        <v>45890</v>
      </c>
      <c r="D119" t="inlineStr">
        <is>
          <t>JÄMTLANDS LÄN</t>
        </is>
      </c>
      <c r="E119" t="inlineStr">
        <is>
          <t>ÖSTERSUND</t>
        </is>
      </c>
      <c r="G119" t="n">
        <v>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54354-2024 artfynd.xlsx", "A 54354-2024")</f>
        <v/>
      </c>
      <c r="T119">
        <f>HYPERLINK("https://klasma.github.io/Logging_2380/kartor/A 54354-2024 karta.png", "A 54354-2024")</f>
        <v/>
      </c>
      <c r="V119">
        <f>HYPERLINK("https://klasma.github.io/Logging_2380/klagomål/A 54354-2024 FSC-klagomål.docx", "A 54354-2024")</f>
        <v/>
      </c>
      <c r="W119">
        <f>HYPERLINK("https://klasma.github.io/Logging_2380/klagomålsmail/A 54354-2024 FSC-klagomål mail.docx", "A 54354-2024")</f>
        <v/>
      </c>
      <c r="X119">
        <f>HYPERLINK("https://klasma.github.io/Logging_2380/tillsyn/A 54354-2024 tillsynsbegäran.docx", "A 54354-2024")</f>
        <v/>
      </c>
      <c r="Y119">
        <f>HYPERLINK("https://klasma.github.io/Logging_2380/tillsynsmail/A 54354-2024 tillsynsbegäran mail.docx", "A 54354-2024")</f>
        <v/>
      </c>
      <c r="Z119">
        <f>HYPERLINK("https://klasma.github.io/Logging_2380/fåglar/A 54354-2024 prioriterade fågelarter.docx", "A 54354-2024")</f>
        <v/>
      </c>
    </row>
    <row r="120" ht="15" customHeight="1">
      <c r="A120" t="inlineStr">
        <is>
          <t>A 52535-2020</t>
        </is>
      </c>
      <c r="B120" s="1" t="n">
        <v>44118</v>
      </c>
      <c r="C120" s="1" t="n">
        <v>45890</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45890</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45890</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45890</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45890</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45890</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45890</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45890</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45890</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45890</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45890</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45890</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45890</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45890</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45890</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45890</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45890</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67646-2020</t>
        </is>
      </c>
      <c r="B137" s="1" t="n">
        <v>44180</v>
      </c>
      <c r="C137" s="1" t="n">
        <v>45890</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72089-2021</t>
        </is>
      </c>
      <c r="B138" s="1" t="n">
        <v>44540</v>
      </c>
      <c r="C138" s="1" t="n">
        <v>45890</v>
      </c>
      <c r="D138" t="inlineStr">
        <is>
          <t>JÄMTLANDS LÄN</t>
        </is>
      </c>
      <c r="E138" t="inlineStr">
        <is>
          <t>ÖSTERSUND</t>
        </is>
      </c>
      <c r="G138" t="n">
        <v>0.9</v>
      </c>
      <c r="H138" t="n">
        <v>0</v>
      </c>
      <c r="I138" t="n">
        <v>0</v>
      </c>
      <c r="J138" t="n">
        <v>0</v>
      </c>
      <c r="K138" t="n">
        <v>0</v>
      </c>
      <c r="L138" t="n">
        <v>0</v>
      </c>
      <c r="M138" t="n">
        <v>0</v>
      </c>
      <c r="N138" t="n">
        <v>0</v>
      </c>
      <c r="O138" t="n">
        <v>0</v>
      </c>
      <c r="P138" t="n">
        <v>0</v>
      </c>
      <c r="Q138" t="n">
        <v>0</v>
      </c>
      <c r="R138" s="2" t="inlineStr"/>
    </row>
    <row r="139" ht="15" customHeight="1">
      <c r="A139" t="inlineStr">
        <is>
          <t>A 33808-2022</t>
        </is>
      </c>
      <c r="B139" s="1" t="n">
        <v>44790</v>
      </c>
      <c r="C139" s="1" t="n">
        <v>45890</v>
      </c>
      <c r="D139" t="inlineStr">
        <is>
          <t>JÄMTLANDS LÄN</t>
        </is>
      </c>
      <c r="E139" t="inlineStr">
        <is>
          <t>ÖSTERSUND</t>
        </is>
      </c>
      <c r="G139" t="n">
        <v>4.1</v>
      </c>
      <c r="H139" t="n">
        <v>0</v>
      </c>
      <c r="I139" t="n">
        <v>0</v>
      </c>
      <c r="J139" t="n">
        <v>0</v>
      </c>
      <c r="K139" t="n">
        <v>0</v>
      </c>
      <c r="L139" t="n">
        <v>0</v>
      </c>
      <c r="M139" t="n">
        <v>0</v>
      </c>
      <c r="N139" t="n">
        <v>0</v>
      </c>
      <c r="O139" t="n">
        <v>0</v>
      </c>
      <c r="P139" t="n">
        <v>0</v>
      </c>
      <c r="Q139" t="n">
        <v>0</v>
      </c>
      <c r="R139" s="2" t="inlineStr"/>
    </row>
    <row r="140" ht="15" customHeight="1">
      <c r="A140" t="inlineStr">
        <is>
          <t>A 8647-2022</t>
        </is>
      </c>
      <c r="B140" s="1" t="n">
        <v>44613</v>
      </c>
      <c r="C140" s="1" t="n">
        <v>45890</v>
      </c>
      <c r="D140" t="inlineStr">
        <is>
          <t>JÄMTLANDS LÄN</t>
        </is>
      </c>
      <c r="E140" t="inlineStr">
        <is>
          <t>ÖSTERSUND</t>
        </is>
      </c>
      <c r="G140" t="n">
        <v>1.1</v>
      </c>
      <c r="H140" t="n">
        <v>0</v>
      </c>
      <c r="I140" t="n">
        <v>0</v>
      </c>
      <c r="J140" t="n">
        <v>0</v>
      </c>
      <c r="K140" t="n">
        <v>0</v>
      </c>
      <c r="L140" t="n">
        <v>0</v>
      </c>
      <c r="M140" t="n">
        <v>0</v>
      </c>
      <c r="N140" t="n">
        <v>0</v>
      </c>
      <c r="O140" t="n">
        <v>0</v>
      </c>
      <c r="P140" t="n">
        <v>0</v>
      </c>
      <c r="Q140" t="n">
        <v>0</v>
      </c>
      <c r="R140" s="2" t="inlineStr"/>
    </row>
    <row r="141" ht="15" customHeight="1">
      <c r="A141" t="inlineStr">
        <is>
          <t>A 50121-2020</t>
        </is>
      </c>
      <c r="B141" s="1" t="n">
        <v>44106</v>
      </c>
      <c r="C141" s="1" t="n">
        <v>45890</v>
      </c>
      <c r="D141" t="inlineStr">
        <is>
          <t>JÄMTLANDS LÄN</t>
        </is>
      </c>
      <c r="E141" t="inlineStr">
        <is>
          <t>ÖSTERSUND</t>
        </is>
      </c>
      <c r="F141" t="inlineStr">
        <is>
          <t>Övriga statliga verk och myndigheter</t>
        </is>
      </c>
      <c r="G141" t="n">
        <v>5.2</v>
      </c>
      <c r="H141" t="n">
        <v>0</v>
      </c>
      <c r="I141" t="n">
        <v>0</v>
      </c>
      <c r="J141" t="n">
        <v>0</v>
      </c>
      <c r="K141" t="n">
        <v>0</v>
      </c>
      <c r="L141" t="n">
        <v>0</v>
      </c>
      <c r="M141" t="n">
        <v>0</v>
      </c>
      <c r="N141" t="n">
        <v>0</v>
      </c>
      <c r="O141" t="n">
        <v>0</v>
      </c>
      <c r="P141" t="n">
        <v>0</v>
      </c>
      <c r="Q141" t="n">
        <v>0</v>
      </c>
      <c r="R141" s="2" t="inlineStr"/>
    </row>
    <row r="142" ht="15" customHeight="1">
      <c r="A142" t="inlineStr">
        <is>
          <t>A 50144-2020</t>
        </is>
      </c>
      <c r="B142" s="1" t="n">
        <v>44106</v>
      </c>
      <c r="C142" s="1" t="n">
        <v>45890</v>
      </c>
      <c r="D142" t="inlineStr">
        <is>
          <t>JÄMTLANDS LÄN</t>
        </is>
      </c>
      <c r="E142" t="inlineStr">
        <is>
          <t>ÖSTERSUND</t>
        </is>
      </c>
      <c r="F142" t="inlineStr">
        <is>
          <t>Övriga statliga verk och myndigheter</t>
        </is>
      </c>
      <c r="G142" t="n">
        <v>2.2</v>
      </c>
      <c r="H142" t="n">
        <v>0</v>
      </c>
      <c r="I142" t="n">
        <v>0</v>
      </c>
      <c r="J142" t="n">
        <v>0</v>
      </c>
      <c r="K142" t="n">
        <v>0</v>
      </c>
      <c r="L142" t="n">
        <v>0</v>
      </c>
      <c r="M142" t="n">
        <v>0</v>
      </c>
      <c r="N142" t="n">
        <v>0</v>
      </c>
      <c r="O142" t="n">
        <v>0</v>
      </c>
      <c r="P142" t="n">
        <v>0</v>
      </c>
      <c r="Q142" t="n">
        <v>0</v>
      </c>
      <c r="R142" s="2" t="inlineStr"/>
    </row>
    <row r="143" ht="15" customHeight="1">
      <c r="A143" t="inlineStr">
        <is>
          <t>A 126-2021</t>
        </is>
      </c>
      <c r="B143" s="1" t="n">
        <v>44200</v>
      </c>
      <c r="C143" s="1" t="n">
        <v>45890</v>
      </c>
      <c r="D143" t="inlineStr">
        <is>
          <t>JÄMTLANDS LÄN</t>
        </is>
      </c>
      <c r="E143" t="inlineStr">
        <is>
          <t>ÖSTERSUND</t>
        </is>
      </c>
      <c r="G143" t="n">
        <v>1.6</v>
      </c>
      <c r="H143" t="n">
        <v>0</v>
      </c>
      <c r="I143" t="n">
        <v>0</v>
      </c>
      <c r="J143" t="n">
        <v>0</v>
      </c>
      <c r="K143" t="n">
        <v>0</v>
      </c>
      <c r="L143" t="n">
        <v>0</v>
      </c>
      <c r="M143" t="n">
        <v>0</v>
      </c>
      <c r="N143" t="n">
        <v>0</v>
      </c>
      <c r="O143" t="n">
        <v>0</v>
      </c>
      <c r="P143" t="n">
        <v>0</v>
      </c>
      <c r="Q143" t="n">
        <v>0</v>
      </c>
      <c r="R143" s="2" t="inlineStr"/>
    </row>
    <row r="144" ht="15" customHeight="1">
      <c r="A144" t="inlineStr">
        <is>
          <t>A 66286-2020</t>
        </is>
      </c>
      <c r="B144" s="1" t="n">
        <v>44174</v>
      </c>
      <c r="C144" s="1" t="n">
        <v>45890</v>
      </c>
      <c r="D144" t="inlineStr">
        <is>
          <t>JÄMTLANDS LÄN</t>
        </is>
      </c>
      <c r="E144" t="inlineStr">
        <is>
          <t>ÖSTERSUND</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19541-2021</t>
        </is>
      </c>
      <c r="B145" s="1" t="n">
        <v>44312.41724537037</v>
      </c>
      <c r="C145" s="1" t="n">
        <v>45890</v>
      </c>
      <c r="D145" t="inlineStr">
        <is>
          <t>JÄMTLANDS LÄN</t>
        </is>
      </c>
      <c r="E145" t="inlineStr">
        <is>
          <t>ÖSTERSUND</t>
        </is>
      </c>
      <c r="G145" t="n">
        <v>0.7</v>
      </c>
      <c r="H145" t="n">
        <v>0</v>
      </c>
      <c r="I145" t="n">
        <v>0</v>
      </c>
      <c r="J145" t="n">
        <v>0</v>
      </c>
      <c r="K145" t="n">
        <v>0</v>
      </c>
      <c r="L145" t="n">
        <v>0</v>
      </c>
      <c r="M145" t="n">
        <v>0</v>
      </c>
      <c r="N145" t="n">
        <v>0</v>
      </c>
      <c r="O145" t="n">
        <v>0</v>
      </c>
      <c r="P145" t="n">
        <v>0</v>
      </c>
      <c r="Q145" t="n">
        <v>0</v>
      </c>
      <c r="R145" s="2" t="inlineStr"/>
    </row>
    <row r="146" ht="15" customHeight="1">
      <c r="A146" t="inlineStr">
        <is>
          <t>A 2763-2022</t>
        </is>
      </c>
      <c r="B146" s="1" t="n">
        <v>44580</v>
      </c>
      <c r="C146" s="1" t="n">
        <v>45890</v>
      </c>
      <c r="D146" t="inlineStr">
        <is>
          <t>JÄMTLANDS LÄN</t>
        </is>
      </c>
      <c r="E146" t="inlineStr">
        <is>
          <t>ÖSTERSUND</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2880-2022</t>
        </is>
      </c>
      <c r="B147" s="1" t="n">
        <v>44581</v>
      </c>
      <c r="C147" s="1" t="n">
        <v>45890</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10834-2021</t>
        </is>
      </c>
      <c r="B148" s="1" t="n">
        <v>44259</v>
      </c>
      <c r="C148" s="1" t="n">
        <v>45890</v>
      </c>
      <c r="D148" t="inlineStr">
        <is>
          <t>JÄMTLANDS LÄN</t>
        </is>
      </c>
      <c r="E148" t="inlineStr">
        <is>
          <t>ÖSTERSUND</t>
        </is>
      </c>
      <c r="G148" t="n">
        <v>12.2</v>
      </c>
      <c r="H148" t="n">
        <v>0</v>
      </c>
      <c r="I148" t="n">
        <v>0</v>
      </c>
      <c r="J148" t="n">
        <v>0</v>
      </c>
      <c r="K148" t="n">
        <v>0</v>
      </c>
      <c r="L148" t="n">
        <v>0</v>
      </c>
      <c r="M148" t="n">
        <v>0</v>
      </c>
      <c r="N148" t="n">
        <v>0</v>
      </c>
      <c r="O148" t="n">
        <v>0</v>
      </c>
      <c r="P148" t="n">
        <v>0</v>
      </c>
      <c r="Q148" t="n">
        <v>0</v>
      </c>
      <c r="R148" s="2" t="inlineStr"/>
    </row>
    <row r="149" ht="15" customHeight="1">
      <c r="A149" t="inlineStr">
        <is>
          <t>A 47295-2022</t>
        </is>
      </c>
      <c r="B149" s="1" t="n">
        <v>44852</v>
      </c>
      <c r="C149" s="1" t="n">
        <v>45890</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67400-2020</t>
        </is>
      </c>
      <c r="B150" s="1" t="n">
        <v>44181</v>
      </c>
      <c r="C150" s="1" t="n">
        <v>45890</v>
      </c>
      <c r="D150" t="inlineStr">
        <is>
          <t>JÄMTLANDS LÄN</t>
        </is>
      </c>
      <c r="E150" t="inlineStr">
        <is>
          <t>ÖSTERSUND</t>
        </is>
      </c>
      <c r="G150" t="n">
        <v>0.7</v>
      </c>
      <c r="H150" t="n">
        <v>0</v>
      </c>
      <c r="I150" t="n">
        <v>0</v>
      </c>
      <c r="J150" t="n">
        <v>0</v>
      </c>
      <c r="K150" t="n">
        <v>0</v>
      </c>
      <c r="L150" t="n">
        <v>0</v>
      </c>
      <c r="M150" t="n">
        <v>0</v>
      </c>
      <c r="N150" t="n">
        <v>0</v>
      </c>
      <c r="O150" t="n">
        <v>0</v>
      </c>
      <c r="P150" t="n">
        <v>0</v>
      </c>
      <c r="Q150" t="n">
        <v>0</v>
      </c>
      <c r="R150" s="2" t="inlineStr"/>
    </row>
    <row r="151" ht="15" customHeight="1">
      <c r="A151" t="inlineStr">
        <is>
          <t>A 154-2022</t>
        </is>
      </c>
      <c r="B151" s="1" t="n">
        <v>44561</v>
      </c>
      <c r="C151" s="1" t="n">
        <v>45890</v>
      </c>
      <c r="D151" t="inlineStr">
        <is>
          <t>JÄMTLANDS LÄN</t>
        </is>
      </c>
      <c r="E151" t="inlineStr">
        <is>
          <t>ÖSTERSUND</t>
        </is>
      </c>
      <c r="G151" t="n">
        <v>4.2</v>
      </c>
      <c r="H151" t="n">
        <v>0</v>
      </c>
      <c r="I151" t="n">
        <v>0</v>
      </c>
      <c r="J151" t="n">
        <v>0</v>
      </c>
      <c r="K151" t="n">
        <v>0</v>
      </c>
      <c r="L151" t="n">
        <v>0</v>
      </c>
      <c r="M151" t="n">
        <v>0</v>
      </c>
      <c r="N151" t="n">
        <v>0</v>
      </c>
      <c r="O151" t="n">
        <v>0</v>
      </c>
      <c r="P151" t="n">
        <v>0</v>
      </c>
      <c r="Q151" t="n">
        <v>0</v>
      </c>
      <c r="R151" s="2" t="inlineStr"/>
    </row>
    <row r="152" ht="15" customHeight="1">
      <c r="A152" t="inlineStr">
        <is>
          <t>A 14155-2021</t>
        </is>
      </c>
      <c r="B152" s="1" t="n">
        <v>44278.42459490741</v>
      </c>
      <c r="C152" s="1" t="n">
        <v>45890</v>
      </c>
      <c r="D152" t="inlineStr">
        <is>
          <t>JÄMTLANDS LÄN</t>
        </is>
      </c>
      <c r="E152" t="inlineStr">
        <is>
          <t>ÖSTERSUND</t>
        </is>
      </c>
      <c r="G152" t="n">
        <v>2.6</v>
      </c>
      <c r="H152" t="n">
        <v>0</v>
      </c>
      <c r="I152" t="n">
        <v>0</v>
      </c>
      <c r="J152" t="n">
        <v>0</v>
      </c>
      <c r="K152" t="n">
        <v>0</v>
      </c>
      <c r="L152" t="n">
        <v>0</v>
      </c>
      <c r="M152" t="n">
        <v>0</v>
      </c>
      <c r="N152" t="n">
        <v>0</v>
      </c>
      <c r="O152" t="n">
        <v>0</v>
      </c>
      <c r="P152" t="n">
        <v>0</v>
      </c>
      <c r="Q152" t="n">
        <v>0</v>
      </c>
      <c r="R152" s="2" t="inlineStr"/>
    </row>
    <row r="153" ht="15" customHeight="1">
      <c r="A153" t="inlineStr">
        <is>
          <t>A 35032-2021</t>
        </is>
      </c>
      <c r="B153" s="1" t="n">
        <v>44383.85295138889</v>
      </c>
      <c r="C153" s="1" t="n">
        <v>45890</v>
      </c>
      <c r="D153" t="inlineStr">
        <is>
          <t>JÄMTLANDS LÄN</t>
        </is>
      </c>
      <c r="E153" t="inlineStr">
        <is>
          <t>ÖSTERSUND</t>
        </is>
      </c>
      <c r="G153" t="n">
        <v>0.9</v>
      </c>
      <c r="H153" t="n">
        <v>0</v>
      </c>
      <c r="I153" t="n">
        <v>0</v>
      </c>
      <c r="J153" t="n">
        <v>0</v>
      </c>
      <c r="K153" t="n">
        <v>0</v>
      </c>
      <c r="L153" t="n">
        <v>0</v>
      </c>
      <c r="M153" t="n">
        <v>0</v>
      </c>
      <c r="N153" t="n">
        <v>0</v>
      </c>
      <c r="O153" t="n">
        <v>0</v>
      </c>
      <c r="P153" t="n">
        <v>0</v>
      </c>
      <c r="Q153" t="n">
        <v>0</v>
      </c>
      <c r="R153" s="2" t="inlineStr"/>
    </row>
    <row r="154" ht="15" customHeight="1">
      <c r="A154" t="inlineStr">
        <is>
          <t>A 46002-2021</t>
        </is>
      </c>
      <c r="B154" s="1" t="n">
        <v>44441.80453703704</v>
      </c>
      <c r="C154" s="1" t="n">
        <v>45890</v>
      </c>
      <c r="D154" t="inlineStr">
        <is>
          <t>JÄMTLANDS LÄN</t>
        </is>
      </c>
      <c r="E154" t="inlineStr">
        <is>
          <t>ÖSTERSUND</t>
        </is>
      </c>
      <c r="G154" t="n">
        <v>3.6</v>
      </c>
      <c r="H154" t="n">
        <v>0</v>
      </c>
      <c r="I154" t="n">
        <v>0</v>
      </c>
      <c r="J154" t="n">
        <v>0</v>
      </c>
      <c r="K154" t="n">
        <v>0</v>
      </c>
      <c r="L154" t="n">
        <v>0</v>
      </c>
      <c r="M154" t="n">
        <v>0</v>
      </c>
      <c r="N154" t="n">
        <v>0</v>
      </c>
      <c r="O154" t="n">
        <v>0</v>
      </c>
      <c r="P154" t="n">
        <v>0</v>
      </c>
      <c r="Q154" t="n">
        <v>0</v>
      </c>
      <c r="R154" s="2" t="inlineStr"/>
    </row>
    <row r="155" ht="15" customHeight="1">
      <c r="A155" t="inlineStr">
        <is>
          <t>A 26254-2021</t>
        </is>
      </c>
      <c r="B155" s="1" t="n">
        <v>44347</v>
      </c>
      <c r="C155" s="1" t="n">
        <v>45890</v>
      </c>
      <c r="D155" t="inlineStr">
        <is>
          <t>JÄMTLANDS LÄN</t>
        </is>
      </c>
      <c r="E155" t="inlineStr">
        <is>
          <t>ÖSTERSUND</t>
        </is>
      </c>
      <c r="G155" t="n">
        <v>1.1</v>
      </c>
      <c r="H155" t="n">
        <v>0</v>
      </c>
      <c r="I155" t="n">
        <v>0</v>
      </c>
      <c r="J155" t="n">
        <v>0</v>
      </c>
      <c r="K155" t="n">
        <v>0</v>
      </c>
      <c r="L155" t="n">
        <v>0</v>
      </c>
      <c r="M155" t="n">
        <v>0</v>
      </c>
      <c r="N155" t="n">
        <v>0</v>
      </c>
      <c r="O155" t="n">
        <v>0</v>
      </c>
      <c r="P155" t="n">
        <v>0</v>
      </c>
      <c r="Q155" t="n">
        <v>0</v>
      </c>
      <c r="R155" s="2" t="inlineStr"/>
    </row>
    <row r="156" ht="15" customHeight="1">
      <c r="A156" t="inlineStr">
        <is>
          <t>A 24706-2021</t>
        </is>
      </c>
      <c r="B156" s="1" t="n">
        <v>44340</v>
      </c>
      <c r="C156" s="1" t="n">
        <v>45890</v>
      </c>
      <c r="D156" t="inlineStr">
        <is>
          <t>JÄMTLANDS LÄN</t>
        </is>
      </c>
      <c r="E156" t="inlineStr">
        <is>
          <t>ÖSTERSUND</t>
        </is>
      </c>
      <c r="G156" t="n">
        <v>5.6</v>
      </c>
      <c r="H156" t="n">
        <v>0</v>
      </c>
      <c r="I156" t="n">
        <v>0</v>
      </c>
      <c r="J156" t="n">
        <v>0</v>
      </c>
      <c r="K156" t="n">
        <v>0</v>
      </c>
      <c r="L156" t="n">
        <v>0</v>
      </c>
      <c r="M156" t="n">
        <v>0</v>
      </c>
      <c r="N156" t="n">
        <v>0</v>
      </c>
      <c r="O156" t="n">
        <v>0</v>
      </c>
      <c r="P156" t="n">
        <v>0</v>
      </c>
      <c r="Q156" t="n">
        <v>0</v>
      </c>
      <c r="R156" s="2" t="inlineStr"/>
    </row>
    <row r="157" ht="15" customHeight="1">
      <c r="A157" t="inlineStr">
        <is>
          <t>A 48947-2021</t>
        </is>
      </c>
      <c r="B157" s="1" t="n">
        <v>44453</v>
      </c>
      <c r="C157" s="1" t="n">
        <v>45890</v>
      </c>
      <c r="D157" t="inlineStr">
        <is>
          <t>JÄMTLANDS LÄN</t>
        </is>
      </c>
      <c r="E157" t="inlineStr">
        <is>
          <t>ÖSTERSUND</t>
        </is>
      </c>
      <c r="G157" t="n">
        <v>22.3</v>
      </c>
      <c r="H157" t="n">
        <v>0</v>
      </c>
      <c r="I157" t="n">
        <v>0</v>
      </c>
      <c r="J157" t="n">
        <v>0</v>
      </c>
      <c r="K157" t="n">
        <v>0</v>
      </c>
      <c r="L157" t="n">
        <v>0</v>
      </c>
      <c r="M157" t="n">
        <v>0</v>
      </c>
      <c r="N157" t="n">
        <v>0</v>
      </c>
      <c r="O157" t="n">
        <v>0</v>
      </c>
      <c r="P157" t="n">
        <v>0</v>
      </c>
      <c r="Q157" t="n">
        <v>0</v>
      </c>
      <c r="R157" s="2" t="inlineStr"/>
    </row>
    <row r="158" ht="15" customHeight="1">
      <c r="A158" t="inlineStr">
        <is>
          <t>A 56220-2020</t>
        </is>
      </c>
      <c r="B158" s="1" t="n">
        <v>44133</v>
      </c>
      <c r="C158" s="1" t="n">
        <v>45890</v>
      </c>
      <c r="D158" t="inlineStr">
        <is>
          <t>JÄMTLANDS LÄN</t>
        </is>
      </c>
      <c r="E158" t="inlineStr">
        <is>
          <t>ÖSTERSUND</t>
        </is>
      </c>
      <c r="G158" t="n">
        <v>0.6</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45890</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17362-2021</t>
        </is>
      </c>
      <c r="B160" s="1" t="n">
        <v>44298</v>
      </c>
      <c r="C160" s="1" t="n">
        <v>45890</v>
      </c>
      <c r="D160" t="inlineStr">
        <is>
          <t>JÄMTLANDS LÄN</t>
        </is>
      </c>
      <c r="E160" t="inlineStr">
        <is>
          <t>ÖSTERSUND</t>
        </is>
      </c>
      <c r="G160" t="n">
        <v>3.7</v>
      </c>
      <c r="H160" t="n">
        <v>0</v>
      </c>
      <c r="I160" t="n">
        <v>0</v>
      </c>
      <c r="J160" t="n">
        <v>0</v>
      </c>
      <c r="K160" t="n">
        <v>0</v>
      </c>
      <c r="L160" t="n">
        <v>0</v>
      </c>
      <c r="M160" t="n">
        <v>0</v>
      </c>
      <c r="N160" t="n">
        <v>0</v>
      </c>
      <c r="O160" t="n">
        <v>0</v>
      </c>
      <c r="P160" t="n">
        <v>0</v>
      </c>
      <c r="Q160" t="n">
        <v>0</v>
      </c>
      <c r="R160" s="2" t="inlineStr"/>
    </row>
    <row r="161" ht="15" customHeight="1">
      <c r="A161" t="inlineStr">
        <is>
          <t>A 26259-2021</t>
        </is>
      </c>
      <c r="B161" s="1" t="n">
        <v>44347</v>
      </c>
      <c r="C161" s="1" t="n">
        <v>45890</v>
      </c>
      <c r="D161" t="inlineStr">
        <is>
          <t>JÄMTLANDS LÄN</t>
        </is>
      </c>
      <c r="E161" t="inlineStr">
        <is>
          <t>ÖSTERSUND</t>
        </is>
      </c>
      <c r="G161" t="n">
        <v>4.3</v>
      </c>
      <c r="H161" t="n">
        <v>0</v>
      </c>
      <c r="I161" t="n">
        <v>0</v>
      </c>
      <c r="J161" t="n">
        <v>0</v>
      </c>
      <c r="K161" t="n">
        <v>0</v>
      </c>
      <c r="L161" t="n">
        <v>0</v>
      </c>
      <c r="M161" t="n">
        <v>0</v>
      </c>
      <c r="N161" t="n">
        <v>0</v>
      </c>
      <c r="O161" t="n">
        <v>0</v>
      </c>
      <c r="P161" t="n">
        <v>0</v>
      </c>
      <c r="Q161" t="n">
        <v>0</v>
      </c>
      <c r="R161" s="2" t="inlineStr"/>
    </row>
    <row r="162" ht="15" customHeight="1">
      <c r="A162" t="inlineStr">
        <is>
          <t>A 695-2022</t>
        </is>
      </c>
      <c r="B162" s="1" t="n">
        <v>44566</v>
      </c>
      <c r="C162" s="1" t="n">
        <v>45890</v>
      </c>
      <c r="D162" t="inlineStr">
        <is>
          <t>JÄMTLANDS LÄN</t>
        </is>
      </c>
      <c r="E162" t="inlineStr">
        <is>
          <t>ÖSTERSUND</t>
        </is>
      </c>
      <c r="G162" t="n">
        <v>14.9</v>
      </c>
      <c r="H162" t="n">
        <v>0</v>
      </c>
      <c r="I162" t="n">
        <v>0</v>
      </c>
      <c r="J162" t="n">
        <v>0</v>
      </c>
      <c r="K162" t="n">
        <v>0</v>
      </c>
      <c r="L162" t="n">
        <v>0</v>
      </c>
      <c r="M162" t="n">
        <v>0</v>
      </c>
      <c r="N162" t="n">
        <v>0</v>
      </c>
      <c r="O162" t="n">
        <v>0</v>
      </c>
      <c r="P162" t="n">
        <v>0</v>
      </c>
      <c r="Q162" t="n">
        <v>0</v>
      </c>
      <c r="R162" s="2" t="inlineStr"/>
    </row>
    <row r="163" ht="15" customHeight="1">
      <c r="A163" t="inlineStr">
        <is>
          <t>A 29828-2022</t>
        </is>
      </c>
      <c r="B163" s="1" t="n">
        <v>44755</v>
      </c>
      <c r="C163" s="1" t="n">
        <v>45890</v>
      </c>
      <c r="D163" t="inlineStr">
        <is>
          <t>JÄMTLANDS LÄN</t>
        </is>
      </c>
      <c r="E163" t="inlineStr">
        <is>
          <t>ÖSTERSUND</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44267-2021</t>
        </is>
      </c>
      <c r="B164" s="1" t="n">
        <v>44434</v>
      </c>
      <c r="C164" s="1" t="n">
        <v>45890</v>
      </c>
      <c r="D164" t="inlineStr">
        <is>
          <t>JÄMTLANDS LÄN</t>
        </is>
      </c>
      <c r="E164" t="inlineStr">
        <is>
          <t>ÖSTERSUND</t>
        </is>
      </c>
      <c r="G164" t="n">
        <v>1.1</v>
      </c>
      <c r="H164" t="n">
        <v>0</v>
      </c>
      <c r="I164" t="n">
        <v>0</v>
      </c>
      <c r="J164" t="n">
        <v>0</v>
      </c>
      <c r="K164" t="n">
        <v>0</v>
      </c>
      <c r="L164" t="n">
        <v>0</v>
      </c>
      <c r="M164" t="n">
        <v>0</v>
      </c>
      <c r="N164" t="n">
        <v>0</v>
      </c>
      <c r="O164" t="n">
        <v>0</v>
      </c>
      <c r="P164" t="n">
        <v>0</v>
      </c>
      <c r="Q164" t="n">
        <v>0</v>
      </c>
      <c r="R164" s="2" t="inlineStr"/>
    </row>
    <row r="165" ht="15" customHeight="1">
      <c r="A165" t="inlineStr">
        <is>
          <t>A 47296-2022</t>
        </is>
      </c>
      <c r="B165" s="1" t="n">
        <v>44852.95248842592</v>
      </c>
      <c r="C165" s="1" t="n">
        <v>45890</v>
      </c>
      <c r="D165" t="inlineStr">
        <is>
          <t>JÄMTLANDS LÄN</t>
        </is>
      </c>
      <c r="E165" t="inlineStr">
        <is>
          <t>ÖSTERSUND</t>
        </is>
      </c>
      <c r="G165" t="n">
        <v>0.5</v>
      </c>
      <c r="H165" t="n">
        <v>0</v>
      </c>
      <c r="I165" t="n">
        <v>0</v>
      </c>
      <c r="J165" t="n">
        <v>0</v>
      </c>
      <c r="K165" t="n">
        <v>0</v>
      </c>
      <c r="L165" t="n">
        <v>0</v>
      </c>
      <c r="M165" t="n">
        <v>0</v>
      </c>
      <c r="N165" t="n">
        <v>0</v>
      </c>
      <c r="O165" t="n">
        <v>0</v>
      </c>
      <c r="P165" t="n">
        <v>0</v>
      </c>
      <c r="Q165" t="n">
        <v>0</v>
      </c>
      <c r="R165" s="2" t="inlineStr"/>
    </row>
    <row r="166" ht="15" customHeight="1">
      <c r="A166" t="inlineStr">
        <is>
          <t>A 72041-2021</t>
        </is>
      </c>
      <c r="B166" s="1" t="n">
        <v>44540</v>
      </c>
      <c r="C166" s="1" t="n">
        <v>45890</v>
      </c>
      <c r="D166" t="inlineStr">
        <is>
          <t>JÄMTLANDS LÄN</t>
        </is>
      </c>
      <c r="E166" t="inlineStr">
        <is>
          <t>ÖSTERSUND</t>
        </is>
      </c>
      <c r="G166" t="n">
        <v>0.4</v>
      </c>
      <c r="H166" t="n">
        <v>0</v>
      </c>
      <c r="I166" t="n">
        <v>0</v>
      </c>
      <c r="J166" t="n">
        <v>0</v>
      </c>
      <c r="K166" t="n">
        <v>0</v>
      </c>
      <c r="L166" t="n">
        <v>0</v>
      </c>
      <c r="M166" t="n">
        <v>0</v>
      </c>
      <c r="N166" t="n">
        <v>0</v>
      </c>
      <c r="O166" t="n">
        <v>0</v>
      </c>
      <c r="P166" t="n">
        <v>0</v>
      </c>
      <c r="Q166" t="n">
        <v>0</v>
      </c>
      <c r="R166" s="2" t="inlineStr"/>
    </row>
    <row r="167" ht="15" customHeight="1">
      <c r="A167" t="inlineStr">
        <is>
          <t>A 17596-2021</t>
        </is>
      </c>
      <c r="B167" s="1" t="n">
        <v>44299</v>
      </c>
      <c r="C167" s="1" t="n">
        <v>45890</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23895-2021</t>
        </is>
      </c>
      <c r="B168" s="1" t="n">
        <v>44335</v>
      </c>
      <c r="C168" s="1" t="n">
        <v>45890</v>
      </c>
      <c r="D168" t="inlineStr">
        <is>
          <t>JÄMTLANDS LÄN</t>
        </is>
      </c>
      <c r="E168" t="inlineStr">
        <is>
          <t>ÖSTERSUND</t>
        </is>
      </c>
      <c r="G168" t="n">
        <v>0.6</v>
      </c>
      <c r="H168" t="n">
        <v>0</v>
      </c>
      <c r="I168" t="n">
        <v>0</v>
      </c>
      <c r="J168" t="n">
        <v>0</v>
      </c>
      <c r="K168" t="n">
        <v>0</v>
      </c>
      <c r="L168" t="n">
        <v>0</v>
      </c>
      <c r="M168" t="n">
        <v>0</v>
      </c>
      <c r="N168" t="n">
        <v>0</v>
      </c>
      <c r="O168" t="n">
        <v>0</v>
      </c>
      <c r="P168" t="n">
        <v>0</v>
      </c>
      <c r="Q168" t="n">
        <v>0</v>
      </c>
      <c r="R168" s="2" t="inlineStr"/>
    </row>
    <row r="169" ht="15" customHeight="1">
      <c r="A169" t="inlineStr">
        <is>
          <t>A 70816-2021</t>
        </is>
      </c>
      <c r="B169" s="1" t="n">
        <v>44537.935</v>
      </c>
      <c r="C169" s="1" t="n">
        <v>45890</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72061-2021</t>
        </is>
      </c>
      <c r="B170" s="1" t="n">
        <v>44540</v>
      </c>
      <c r="C170" s="1" t="n">
        <v>45890</v>
      </c>
      <c r="D170" t="inlineStr">
        <is>
          <t>JÄMTLANDS LÄN</t>
        </is>
      </c>
      <c r="E170" t="inlineStr">
        <is>
          <t>ÖSTERSUND</t>
        </is>
      </c>
      <c r="G170" t="n">
        <v>5.3</v>
      </c>
      <c r="H170" t="n">
        <v>0</v>
      </c>
      <c r="I170" t="n">
        <v>0</v>
      </c>
      <c r="J170" t="n">
        <v>0</v>
      </c>
      <c r="K170" t="n">
        <v>0</v>
      </c>
      <c r="L170" t="n">
        <v>0</v>
      </c>
      <c r="M170" t="n">
        <v>0</v>
      </c>
      <c r="N170" t="n">
        <v>0</v>
      </c>
      <c r="O170" t="n">
        <v>0</v>
      </c>
      <c r="P170" t="n">
        <v>0</v>
      </c>
      <c r="Q170" t="n">
        <v>0</v>
      </c>
      <c r="R170" s="2" t="inlineStr"/>
    </row>
    <row r="171" ht="15" customHeight="1">
      <c r="A171" t="inlineStr">
        <is>
          <t>A 52898-2022</t>
        </is>
      </c>
      <c r="B171" s="1" t="n">
        <v>44875</v>
      </c>
      <c r="C171" s="1" t="n">
        <v>45890</v>
      </c>
      <c r="D171" t="inlineStr">
        <is>
          <t>JÄMTLANDS LÄN</t>
        </is>
      </c>
      <c r="E171" t="inlineStr">
        <is>
          <t>ÖSTERSUND</t>
        </is>
      </c>
      <c r="F171" t="inlineStr">
        <is>
          <t>Övriga Aktiebolag</t>
        </is>
      </c>
      <c r="G171" t="n">
        <v>12.1</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45890</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55105-2022</t>
        </is>
      </c>
      <c r="B173" s="1" t="n">
        <v>44886.63148148148</v>
      </c>
      <c r="C173" s="1" t="n">
        <v>45890</v>
      </c>
      <c r="D173" t="inlineStr">
        <is>
          <t>JÄMTLANDS LÄN</t>
        </is>
      </c>
      <c r="E173" t="inlineStr">
        <is>
          <t>ÖSTERSUND</t>
        </is>
      </c>
      <c r="F173" t="inlineStr">
        <is>
          <t>Övriga Aktiebolag</t>
        </is>
      </c>
      <c r="G173" t="n">
        <v>2.4</v>
      </c>
      <c r="H173" t="n">
        <v>0</v>
      </c>
      <c r="I173" t="n">
        <v>0</v>
      </c>
      <c r="J173" t="n">
        <v>0</v>
      </c>
      <c r="K173" t="n">
        <v>0</v>
      </c>
      <c r="L173" t="n">
        <v>0</v>
      </c>
      <c r="M173" t="n">
        <v>0</v>
      </c>
      <c r="N173" t="n">
        <v>0</v>
      </c>
      <c r="O173" t="n">
        <v>0</v>
      </c>
      <c r="P173" t="n">
        <v>0</v>
      </c>
      <c r="Q173" t="n">
        <v>0</v>
      </c>
      <c r="R173" s="2" t="inlineStr"/>
      <c r="U173">
        <f>HYPERLINK("https://klasma.github.io/Logging_2380/knärot/A 55105-2022 karta knärot.png", "A 55105-2022")</f>
        <v/>
      </c>
      <c r="V173">
        <f>HYPERLINK("https://klasma.github.io/Logging_2380/klagomål/A 55105-2022 FSC-klagomål.docx", "A 55105-2022")</f>
        <v/>
      </c>
      <c r="W173">
        <f>HYPERLINK("https://klasma.github.io/Logging_2380/klagomålsmail/A 55105-2022 FSC-klagomål mail.docx", "A 55105-2022")</f>
        <v/>
      </c>
      <c r="X173">
        <f>HYPERLINK("https://klasma.github.io/Logging_2380/tillsyn/A 55105-2022 tillsynsbegäran.docx", "A 55105-2022")</f>
        <v/>
      </c>
      <c r="Y173">
        <f>HYPERLINK("https://klasma.github.io/Logging_2380/tillsynsmail/A 55105-2022 tillsynsbegäran mail.docx", "A 55105-2022")</f>
        <v/>
      </c>
    </row>
    <row r="174" ht="15" customHeight="1">
      <c r="A174" t="inlineStr">
        <is>
          <t>A 41933-2020</t>
        </is>
      </c>
      <c r="B174" s="1" t="n">
        <v>44075</v>
      </c>
      <c r="C174" s="1" t="n">
        <v>45890</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56148-2022</t>
        </is>
      </c>
      <c r="B175" s="1" t="n">
        <v>44889.89929398148</v>
      </c>
      <c r="C175" s="1" t="n">
        <v>45890</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43796-2020</t>
        </is>
      </c>
      <c r="B176" s="1" t="n">
        <v>44082</v>
      </c>
      <c r="C176" s="1" t="n">
        <v>45890</v>
      </c>
      <c r="D176" t="inlineStr">
        <is>
          <t>JÄMTLANDS LÄN</t>
        </is>
      </c>
      <c r="E176" t="inlineStr">
        <is>
          <t>ÖSTERSUND</t>
        </is>
      </c>
      <c r="G176" t="n">
        <v>1.5</v>
      </c>
      <c r="H176" t="n">
        <v>0</v>
      </c>
      <c r="I176" t="n">
        <v>0</v>
      </c>
      <c r="J176" t="n">
        <v>0</v>
      </c>
      <c r="K176" t="n">
        <v>0</v>
      </c>
      <c r="L176" t="n">
        <v>0</v>
      </c>
      <c r="M176" t="n">
        <v>0</v>
      </c>
      <c r="N176" t="n">
        <v>0</v>
      </c>
      <c r="O176" t="n">
        <v>0</v>
      </c>
      <c r="P176" t="n">
        <v>0</v>
      </c>
      <c r="Q176" t="n">
        <v>0</v>
      </c>
      <c r="R176" s="2" t="inlineStr"/>
    </row>
    <row r="177" ht="15" customHeight="1">
      <c r="A177" t="inlineStr">
        <is>
          <t>A 42832-2021</t>
        </is>
      </c>
      <c r="B177" s="1" t="n">
        <v>44430</v>
      </c>
      <c r="C177" s="1" t="n">
        <v>45890</v>
      </c>
      <c r="D177" t="inlineStr">
        <is>
          <t>JÄMTLANDS LÄN</t>
        </is>
      </c>
      <c r="E177" t="inlineStr">
        <is>
          <t>ÖSTERSUND</t>
        </is>
      </c>
      <c r="G177" t="n">
        <v>9</v>
      </c>
      <c r="H177" t="n">
        <v>0</v>
      </c>
      <c r="I177" t="n">
        <v>0</v>
      </c>
      <c r="J177" t="n">
        <v>0</v>
      </c>
      <c r="K177" t="n">
        <v>0</v>
      </c>
      <c r="L177" t="n">
        <v>0</v>
      </c>
      <c r="M177" t="n">
        <v>0</v>
      </c>
      <c r="N177" t="n">
        <v>0</v>
      </c>
      <c r="O177" t="n">
        <v>0</v>
      </c>
      <c r="P177" t="n">
        <v>0</v>
      </c>
      <c r="Q177" t="n">
        <v>0</v>
      </c>
      <c r="R177" s="2" t="inlineStr"/>
    </row>
    <row r="178" ht="15" customHeight="1">
      <c r="A178" t="inlineStr">
        <is>
          <t>A 35755-2021</t>
        </is>
      </c>
      <c r="B178" s="1" t="n">
        <v>44385</v>
      </c>
      <c r="C178" s="1" t="n">
        <v>45890</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65428-2021</t>
        </is>
      </c>
      <c r="B179" s="1" t="n">
        <v>44515</v>
      </c>
      <c r="C179" s="1" t="n">
        <v>45890</v>
      </c>
      <c r="D179" t="inlineStr">
        <is>
          <t>JÄMTLANDS LÄN</t>
        </is>
      </c>
      <c r="E179" t="inlineStr">
        <is>
          <t>ÖSTERSUND</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45890</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14657-2022</t>
        </is>
      </c>
      <c r="B181" s="1" t="n">
        <v>44655</v>
      </c>
      <c r="C181" s="1" t="n">
        <v>45890</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45820-2020</t>
        </is>
      </c>
      <c r="B182" s="1" t="n">
        <v>44090</v>
      </c>
      <c r="C182" s="1" t="n">
        <v>45890</v>
      </c>
      <c r="D182" t="inlineStr">
        <is>
          <t>JÄMTLANDS LÄN</t>
        </is>
      </c>
      <c r="E182" t="inlineStr">
        <is>
          <t>ÖSTERSUND</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71956-2021</t>
        </is>
      </c>
      <c r="B183" s="1" t="n">
        <v>44544</v>
      </c>
      <c r="C183" s="1" t="n">
        <v>45890</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29094-2022</t>
        </is>
      </c>
      <c r="B184" s="1" t="n">
        <v>44750</v>
      </c>
      <c r="C184" s="1" t="n">
        <v>45890</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65410-2020</t>
        </is>
      </c>
      <c r="B185" s="1" t="n">
        <v>44173</v>
      </c>
      <c r="C185" s="1" t="n">
        <v>45890</v>
      </c>
      <c r="D185" t="inlineStr">
        <is>
          <t>JÄMTLANDS LÄN</t>
        </is>
      </c>
      <c r="E185" t="inlineStr">
        <is>
          <t>ÖSTERSUND</t>
        </is>
      </c>
      <c r="F185" t="inlineStr">
        <is>
          <t>Kommuner</t>
        </is>
      </c>
      <c r="G185" t="n">
        <v>0.8</v>
      </c>
      <c r="H185" t="n">
        <v>0</v>
      </c>
      <c r="I185" t="n">
        <v>0</v>
      </c>
      <c r="J185" t="n">
        <v>0</v>
      </c>
      <c r="K185" t="n">
        <v>0</v>
      </c>
      <c r="L185" t="n">
        <v>0</v>
      </c>
      <c r="M185" t="n">
        <v>0</v>
      </c>
      <c r="N185" t="n">
        <v>0</v>
      </c>
      <c r="O185" t="n">
        <v>0</v>
      </c>
      <c r="P185" t="n">
        <v>0</v>
      </c>
      <c r="Q185" t="n">
        <v>0</v>
      </c>
      <c r="R185" s="2" t="inlineStr"/>
    </row>
    <row r="186" ht="15" customHeight="1">
      <c r="A186" t="inlineStr">
        <is>
          <t>A 5145-2022</t>
        </is>
      </c>
      <c r="B186" s="1" t="n">
        <v>44594</v>
      </c>
      <c r="C186" s="1" t="n">
        <v>45890</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65866-2021</t>
        </is>
      </c>
      <c r="B187" s="1" t="n">
        <v>44516</v>
      </c>
      <c r="C187" s="1" t="n">
        <v>45890</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54539-2020</t>
        </is>
      </c>
      <c r="B188" s="1" t="n">
        <v>44126</v>
      </c>
      <c r="C188" s="1" t="n">
        <v>45890</v>
      </c>
      <c r="D188" t="inlineStr">
        <is>
          <t>JÄMTLANDS LÄN</t>
        </is>
      </c>
      <c r="E188" t="inlineStr">
        <is>
          <t>ÖSTERSUND</t>
        </is>
      </c>
      <c r="G188" t="n">
        <v>4.2</v>
      </c>
      <c r="H188" t="n">
        <v>0</v>
      </c>
      <c r="I188" t="n">
        <v>0</v>
      </c>
      <c r="J188" t="n">
        <v>0</v>
      </c>
      <c r="K188" t="n">
        <v>0</v>
      </c>
      <c r="L188" t="n">
        <v>0</v>
      </c>
      <c r="M188" t="n">
        <v>0</v>
      </c>
      <c r="N188" t="n">
        <v>0</v>
      </c>
      <c r="O188" t="n">
        <v>0</v>
      </c>
      <c r="P188" t="n">
        <v>0</v>
      </c>
      <c r="Q188" t="n">
        <v>0</v>
      </c>
      <c r="R188" s="2" t="inlineStr"/>
    </row>
    <row r="189" ht="15" customHeight="1">
      <c r="A189" t="inlineStr">
        <is>
          <t>A 27575-2022</t>
        </is>
      </c>
      <c r="B189" s="1" t="n">
        <v>44742</v>
      </c>
      <c r="C189" s="1" t="n">
        <v>45890</v>
      </c>
      <c r="D189" t="inlineStr">
        <is>
          <t>JÄMTLANDS LÄN</t>
        </is>
      </c>
      <c r="E189" t="inlineStr">
        <is>
          <t>ÖSTERSUND</t>
        </is>
      </c>
      <c r="F189" t="inlineStr">
        <is>
          <t>SCA</t>
        </is>
      </c>
      <c r="G189" t="n">
        <v>2.4</v>
      </c>
      <c r="H189" t="n">
        <v>0</v>
      </c>
      <c r="I189" t="n">
        <v>0</v>
      </c>
      <c r="J189" t="n">
        <v>0</v>
      </c>
      <c r="K189" t="n">
        <v>0</v>
      </c>
      <c r="L189" t="n">
        <v>0</v>
      </c>
      <c r="M189" t="n">
        <v>0</v>
      </c>
      <c r="N189" t="n">
        <v>0</v>
      </c>
      <c r="O189" t="n">
        <v>0</v>
      </c>
      <c r="P189" t="n">
        <v>0</v>
      </c>
      <c r="Q189" t="n">
        <v>0</v>
      </c>
      <c r="R189" s="2" t="inlineStr"/>
      <c r="U189">
        <f>HYPERLINK("https://klasma.github.io/Logging_2380/knärot/A 27575-2022 karta knärot.png", "A 27575-2022")</f>
        <v/>
      </c>
      <c r="V189">
        <f>HYPERLINK("https://klasma.github.io/Logging_2380/klagomål/A 27575-2022 FSC-klagomål.docx", "A 27575-2022")</f>
        <v/>
      </c>
      <c r="W189">
        <f>HYPERLINK("https://klasma.github.io/Logging_2380/klagomålsmail/A 27575-2022 FSC-klagomål mail.docx", "A 27575-2022")</f>
        <v/>
      </c>
      <c r="X189">
        <f>HYPERLINK("https://klasma.github.io/Logging_2380/tillsyn/A 27575-2022 tillsynsbegäran.docx", "A 27575-2022")</f>
        <v/>
      </c>
      <c r="Y189">
        <f>HYPERLINK("https://klasma.github.io/Logging_2380/tillsynsmail/A 27575-2022 tillsynsbegäran mail.docx", "A 27575-2022")</f>
        <v/>
      </c>
    </row>
    <row r="190" ht="15" customHeight="1">
      <c r="A190" t="inlineStr">
        <is>
          <t>A 50153-2020</t>
        </is>
      </c>
      <c r="B190" s="1" t="n">
        <v>44106</v>
      </c>
      <c r="C190" s="1" t="n">
        <v>45890</v>
      </c>
      <c r="D190" t="inlineStr">
        <is>
          <t>JÄMTLANDS LÄN</t>
        </is>
      </c>
      <c r="E190" t="inlineStr">
        <is>
          <t>ÖSTERSUND</t>
        </is>
      </c>
      <c r="F190" t="inlineStr">
        <is>
          <t>Övriga statliga verk och myndigheter</t>
        </is>
      </c>
      <c r="G190" t="n">
        <v>4.6</v>
      </c>
      <c r="H190" t="n">
        <v>0</v>
      </c>
      <c r="I190" t="n">
        <v>0</v>
      </c>
      <c r="J190" t="n">
        <v>0</v>
      </c>
      <c r="K190" t="n">
        <v>0</v>
      </c>
      <c r="L190" t="n">
        <v>0</v>
      </c>
      <c r="M190" t="n">
        <v>0</v>
      </c>
      <c r="N190" t="n">
        <v>0</v>
      </c>
      <c r="O190" t="n">
        <v>0</v>
      </c>
      <c r="P190" t="n">
        <v>0</v>
      </c>
      <c r="Q190" t="n">
        <v>0</v>
      </c>
      <c r="R190" s="2" t="inlineStr"/>
    </row>
    <row r="191" ht="15" customHeight="1">
      <c r="A191" t="inlineStr">
        <is>
          <t>A 65991-2021</t>
        </is>
      </c>
      <c r="B191" s="1" t="n">
        <v>44517.55134259259</v>
      </c>
      <c r="C191" s="1" t="n">
        <v>45890</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2627-2024</t>
        </is>
      </c>
      <c r="B192" s="1" t="n">
        <v>45313.9496875</v>
      </c>
      <c r="C192" s="1" t="n">
        <v>45890</v>
      </c>
      <c r="D192" t="inlineStr">
        <is>
          <t>JÄMTLANDS LÄN</t>
        </is>
      </c>
      <c r="E192" t="inlineStr">
        <is>
          <t>ÖSTERSUND</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6458-2022</t>
        </is>
      </c>
      <c r="B193" s="1" t="n">
        <v>44601.36165509259</v>
      </c>
      <c r="C193" s="1" t="n">
        <v>45890</v>
      </c>
      <c r="D193" t="inlineStr">
        <is>
          <t>JÄMTLANDS LÄN</t>
        </is>
      </c>
      <c r="E193" t="inlineStr">
        <is>
          <t>ÖSTERSUND</t>
        </is>
      </c>
      <c r="G193" t="n">
        <v>3.1</v>
      </c>
      <c r="H193" t="n">
        <v>0</v>
      </c>
      <c r="I193" t="n">
        <v>0</v>
      </c>
      <c r="J193" t="n">
        <v>0</v>
      </c>
      <c r="K193" t="n">
        <v>0</v>
      </c>
      <c r="L193" t="n">
        <v>0</v>
      </c>
      <c r="M193" t="n">
        <v>0</v>
      </c>
      <c r="N193" t="n">
        <v>0</v>
      </c>
      <c r="O193" t="n">
        <v>0</v>
      </c>
      <c r="P193" t="n">
        <v>0</v>
      </c>
      <c r="Q193" t="n">
        <v>0</v>
      </c>
      <c r="R193" s="2" t="inlineStr"/>
    </row>
    <row r="194" ht="15" customHeight="1">
      <c r="A194" t="inlineStr">
        <is>
          <t>A 52791-2020</t>
        </is>
      </c>
      <c r="B194" s="1" t="n">
        <v>44118</v>
      </c>
      <c r="C194" s="1" t="n">
        <v>45890</v>
      </c>
      <c r="D194" t="inlineStr">
        <is>
          <t>JÄMTLANDS LÄN</t>
        </is>
      </c>
      <c r="E194" t="inlineStr">
        <is>
          <t>ÖSTERSUND</t>
        </is>
      </c>
      <c r="G194" t="n">
        <v>0.4</v>
      </c>
      <c r="H194" t="n">
        <v>0</v>
      </c>
      <c r="I194" t="n">
        <v>0</v>
      </c>
      <c r="J194" t="n">
        <v>0</v>
      </c>
      <c r="K194" t="n">
        <v>0</v>
      </c>
      <c r="L194" t="n">
        <v>0</v>
      </c>
      <c r="M194" t="n">
        <v>0</v>
      </c>
      <c r="N194" t="n">
        <v>0</v>
      </c>
      <c r="O194" t="n">
        <v>0</v>
      </c>
      <c r="P194" t="n">
        <v>0</v>
      </c>
      <c r="Q194" t="n">
        <v>0</v>
      </c>
      <c r="R194" s="2" t="inlineStr"/>
    </row>
    <row r="195" ht="15" customHeight="1">
      <c r="A195" t="inlineStr">
        <is>
          <t>A 56642-2020</t>
        </is>
      </c>
      <c r="B195" s="1" t="n">
        <v>44137</v>
      </c>
      <c r="C195" s="1" t="n">
        <v>45890</v>
      </c>
      <c r="D195" t="inlineStr">
        <is>
          <t>JÄMTLANDS LÄN</t>
        </is>
      </c>
      <c r="E195" t="inlineStr">
        <is>
          <t>ÖSTERSUND</t>
        </is>
      </c>
      <c r="F195" t="inlineStr">
        <is>
          <t>Övriga Aktiebolag</t>
        </is>
      </c>
      <c r="G195" t="n">
        <v>6</v>
      </c>
      <c r="H195" t="n">
        <v>0</v>
      </c>
      <c r="I195" t="n">
        <v>0</v>
      </c>
      <c r="J195" t="n">
        <v>0</v>
      </c>
      <c r="K195" t="n">
        <v>0</v>
      </c>
      <c r="L195" t="n">
        <v>0</v>
      </c>
      <c r="M195" t="n">
        <v>0</v>
      </c>
      <c r="N195" t="n">
        <v>0</v>
      </c>
      <c r="O195" t="n">
        <v>0</v>
      </c>
      <c r="P195" t="n">
        <v>0</v>
      </c>
      <c r="Q195" t="n">
        <v>0</v>
      </c>
      <c r="R195" s="2" t="inlineStr"/>
    </row>
    <row r="196" ht="15" customHeight="1">
      <c r="A196" t="inlineStr">
        <is>
          <t>A 57771-2020</t>
        </is>
      </c>
      <c r="B196" s="1" t="n">
        <v>44141</v>
      </c>
      <c r="C196" s="1" t="n">
        <v>45890</v>
      </c>
      <c r="D196" t="inlineStr">
        <is>
          <t>JÄMTLANDS LÄN</t>
        </is>
      </c>
      <c r="E196" t="inlineStr">
        <is>
          <t>ÖSTERSUND</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45890</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45890</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45890</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57624-2020</t>
        </is>
      </c>
      <c r="B200" s="1" t="n">
        <v>44140</v>
      </c>
      <c r="C200" s="1" t="n">
        <v>45890</v>
      </c>
      <c r="D200" t="inlineStr">
        <is>
          <t>JÄMTLANDS LÄN</t>
        </is>
      </c>
      <c r="E200" t="inlineStr">
        <is>
          <t>ÖSTERSUND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23551-2022</t>
        </is>
      </c>
      <c r="B201" s="1" t="n">
        <v>44721</v>
      </c>
      <c r="C201" s="1" t="n">
        <v>45890</v>
      </c>
      <c r="D201" t="inlineStr">
        <is>
          <t>JÄMTLANDS LÄN</t>
        </is>
      </c>
      <c r="E201" t="inlineStr">
        <is>
          <t>ÖSTERSUND</t>
        </is>
      </c>
      <c r="G201" t="n">
        <v>0.3</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45890</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45890</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10590-2021</t>
        </is>
      </c>
      <c r="B204" s="1" t="n">
        <v>44258</v>
      </c>
      <c r="C204" s="1" t="n">
        <v>45890</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32990-2021</t>
        </is>
      </c>
      <c r="B205" s="1" t="n">
        <v>44375</v>
      </c>
      <c r="C205" s="1" t="n">
        <v>45890</v>
      </c>
      <c r="D205" t="inlineStr">
        <is>
          <t>JÄMTLANDS LÄN</t>
        </is>
      </c>
      <c r="E205" t="inlineStr">
        <is>
          <t>ÖSTERSUND</t>
        </is>
      </c>
      <c r="G205" t="n">
        <v>0.2</v>
      </c>
      <c r="H205" t="n">
        <v>0</v>
      </c>
      <c r="I205" t="n">
        <v>0</v>
      </c>
      <c r="J205" t="n">
        <v>0</v>
      </c>
      <c r="K205" t="n">
        <v>0</v>
      </c>
      <c r="L205" t="n">
        <v>0</v>
      </c>
      <c r="M205" t="n">
        <v>0</v>
      </c>
      <c r="N205" t="n">
        <v>0</v>
      </c>
      <c r="O205" t="n">
        <v>0</v>
      </c>
      <c r="P205" t="n">
        <v>0</v>
      </c>
      <c r="Q205" t="n">
        <v>0</v>
      </c>
      <c r="R205" s="2" t="inlineStr"/>
    </row>
    <row r="206" ht="15" customHeight="1">
      <c r="A206" t="inlineStr">
        <is>
          <t>A 32994-2021</t>
        </is>
      </c>
      <c r="B206" s="1" t="n">
        <v>44375</v>
      </c>
      <c r="C206" s="1" t="n">
        <v>45890</v>
      </c>
      <c r="D206" t="inlineStr">
        <is>
          <t>JÄMTLANDS LÄN</t>
        </is>
      </c>
      <c r="E206" t="inlineStr">
        <is>
          <t>ÖSTERSUND</t>
        </is>
      </c>
      <c r="G206" t="n">
        <v>0.1</v>
      </c>
      <c r="H206" t="n">
        <v>0</v>
      </c>
      <c r="I206" t="n">
        <v>0</v>
      </c>
      <c r="J206" t="n">
        <v>0</v>
      </c>
      <c r="K206" t="n">
        <v>0</v>
      </c>
      <c r="L206" t="n">
        <v>0</v>
      </c>
      <c r="M206" t="n">
        <v>0</v>
      </c>
      <c r="N206" t="n">
        <v>0</v>
      </c>
      <c r="O206" t="n">
        <v>0</v>
      </c>
      <c r="P206" t="n">
        <v>0</v>
      </c>
      <c r="Q206" t="n">
        <v>0</v>
      </c>
      <c r="R206" s="2" t="inlineStr"/>
    </row>
    <row r="207" ht="15" customHeight="1">
      <c r="A207" t="inlineStr">
        <is>
          <t>A 21211-2022</t>
        </is>
      </c>
      <c r="B207" s="1" t="n">
        <v>44704.94370370371</v>
      </c>
      <c r="C207" s="1" t="n">
        <v>45890</v>
      </c>
      <c r="D207" t="inlineStr">
        <is>
          <t>JÄMTLANDS LÄN</t>
        </is>
      </c>
      <c r="E207" t="inlineStr">
        <is>
          <t>ÖSTERSUND</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21849-2021</t>
        </is>
      </c>
      <c r="B208" s="1" t="n">
        <v>44322</v>
      </c>
      <c r="C208" s="1" t="n">
        <v>45890</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24721-2021</t>
        </is>
      </c>
      <c r="B209" s="1" t="n">
        <v>44340</v>
      </c>
      <c r="C209" s="1" t="n">
        <v>45890</v>
      </c>
      <c r="D209" t="inlineStr">
        <is>
          <t>JÄMTLANDS LÄN</t>
        </is>
      </c>
      <c r="E209" t="inlineStr">
        <is>
          <t>ÖSTERSUND</t>
        </is>
      </c>
      <c r="G209" t="n">
        <v>2.7</v>
      </c>
      <c r="H209" t="n">
        <v>0</v>
      </c>
      <c r="I209" t="n">
        <v>0</v>
      </c>
      <c r="J209" t="n">
        <v>0</v>
      </c>
      <c r="K209" t="n">
        <v>0</v>
      </c>
      <c r="L209" t="n">
        <v>0</v>
      </c>
      <c r="M209" t="n">
        <v>0</v>
      </c>
      <c r="N209" t="n">
        <v>0</v>
      </c>
      <c r="O209" t="n">
        <v>0</v>
      </c>
      <c r="P209" t="n">
        <v>0</v>
      </c>
      <c r="Q209" t="n">
        <v>0</v>
      </c>
      <c r="R209" s="2" t="inlineStr"/>
    </row>
    <row r="210" ht="15" customHeight="1">
      <c r="A210" t="inlineStr">
        <is>
          <t>A 63099-2023</t>
        </is>
      </c>
      <c r="B210" s="1" t="n">
        <v>45273</v>
      </c>
      <c r="C210" s="1" t="n">
        <v>45890</v>
      </c>
      <c r="D210" t="inlineStr">
        <is>
          <t>JÄMTLANDS LÄN</t>
        </is>
      </c>
      <c r="E210" t="inlineStr">
        <is>
          <t>ÖSTERSUND</t>
        </is>
      </c>
      <c r="G210" t="n">
        <v>1.5</v>
      </c>
      <c r="H210" t="n">
        <v>0</v>
      </c>
      <c r="I210" t="n">
        <v>0</v>
      </c>
      <c r="J210" t="n">
        <v>0</v>
      </c>
      <c r="K210" t="n">
        <v>0</v>
      </c>
      <c r="L210" t="n">
        <v>0</v>
      </c>
      <c r="M210" t="n">
        <v>0</v>
      </c>
      <c r="N210" t="n">
        <v>0</v>
      </c>
      <c r="O210" t="n">
        <v>0</v>
      </c>
      <c r="P210" t="n">
        <v>0</v>
      </c>
      <c r="Q210" t="n">
        <v>0</v>
      </c>
      <c r="R210" s="2" t="inlineStr"/>
    </row>
    <row r="211" ht="15" customHeight="1">
      <c r="A211" t="inlineStr">
        <is>
          <t>A 58407-2024</t>
        </is>
      </c>
      <c r="B211" s="1" t="n">
        <v>45634.72633101852</v>
      </c>
      <c r="C211" s="1" t="n">
        <v>45890</v>
      </c>
      <c r="D211" t="inlineStr">
        <is>
          <t>JÄMTLANDS LÄN</t>
        </is>
      </c>
      <c r="E211" t="inlineStr">
        <is>
          <t>ÖSTERSUND</t>
        </is>
      </c>
      <c r="G211" t="n">
        <v>2.8</v>
      </c>
      <c r="H211" t="n">
        <v>0</v>
      </c>
      <c r="I211" t="n">
        <v>0</v>
      </c>
      <c r="J211" t="n">
        <v>0</v>
      </c>
      <c r="K211" t="n">
        <v>0</v>
      </c>
      <c r="L211" t="n">
        <v>0</v>
      </c>
      <c r="M211" t="n">
        <v>0</v>
      </c>
      <c r="N211" t="n">
        <v>0</v>
      </c>
      <c r="O211" t="n">
        <v>0</v>
      </c>
      <c r="P211" t="n">
        <v>0</v>
      </c>
      <c r="Q211" t="n">
        <v>0</v>
      </c>
      <c r="R211" s="2" t="inlineStr"/>
    </row>
    <row r="212" ht="15" customHeight="1">
      <c r="A212" t="inlineStr">
        <is>
          <t>A 16335-2025</t>
        </is>
      </c>
      <c r="B212" s="1" t="n">
        <v>45751.36518518518</v>
      </c>
      <c r="C212" s="1" t="n">
        <v>45890</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35556-2022</t>
        </is>
      </c>
      <c r="B213" s="1" t="n">
        <v>44799</v>
      </c>
      <c r="C213" s="1" t="n">
        <v>45890</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52777-2020</t>
        </is>
      </c>
      <c r="B214" s="1" t="n">
        <v>44118</v>
      </c>
      <c r="C214" s="1" t="n">
        <v>45890</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56067-2022</t>
        </is>
      </c>
      <c r="B215" s="1" t="n">
        <v>44889.59378472222</v>
      </c>
      <c r="C215" s="1" t="n">
        <v>45890</v>
      </c>
      <c r="D215" t="inlineStr">
        <is>
          <t>JÄMTLANDS LÄN</t>
        </is>
      </c>
      <c r="E215" t="inlineStr">
        <is>
          <t>ÖSTERSUND</t>
        </is>
      </c>
      <c r="F215" t="inlineStr">
        <is>
          <t>Övriga Aktiebolag</t>
        </is>
      </c>
      <c r="G215" t="n">
        <v>1.5</v>
      </c>
      <c r="H215" t="n">
        <v>0</v>
      </c>
      <c r="I215" t="n">
        <v>0</v>
      </c>
      <c r="J215" t="n">
        <v>0</v>
      </c>
      <c r="K215" t="n">
        <v>0</v>
      </c>
      <c r="L215" t="n">
        <v>0</v>
      </c>
      <c r="M215" t="n">
        <v>0</v>
      </c>
      <c r="N215" t="n">
        <v>0</v>
      </c>
      <c r="O215" t="n">
        <v>0</v>
      </c>
      <c r="P215" t="n">
        <v>0</v>
      </c>
      <c r="Q215" t="n">
        <v>0</v>
      </c>
      <c r="R215" s="2" t="inlineStr"/>
    </row>
    <row r="216" ht="15" customHeight="1">
      <c r="A216" t="inlineStr">
        <is>
          <t>A 53802-2022</t>
        </is>
      </c>
      <c r="B216" s="1" t="n">
        <v>44875</v>
      </c>
      <c r="C216" s="1" t="n">
        <v>45890</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49592-2024</t>
        </is>
      </c>
      <c r="B217" s="1" t="n">
        <v>45596.55266203704</v>
      </c>
      <c r="C217" s="1" t="n">
        <v>45890</v>
      </c>
      <c r="D217" t="inlineStr">
        <is>
          <t>JÄMTLANDS LÄN</t>
        </is>
      </c>
      <c r="E217" t="inlineStr">
        <is>
          <t>ÖSTERSUND</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68408-2020</t>
        </is>
      </c>
      <c r="B218" s="1" t="n">
        <v>44186</v>
      </c>
      <c r="C218" s="1" t="n">
        <v>45890</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4136-2023</t>
        </is>
      </c>
      <c r="B219" s="1" t="n">
        <v>44952</v>
      </c>
      <c r="C219" s="1" t="n">
        <v>45890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6067-2025</t>
        </is>
      </c>
      <c r="B220" s="1" t="n">
        <v>45696.34405092592</v>
      </c>
      <c r="C220" s="1" t="n">
        <v>45890</v>
      </c>
      <c r="D220" t="inlineStr">
        <is>
          <t>JÄMTLANDS LÄN</t>
        </is>
      </c>
      <c r="E220" t="inlineStr">
        <is>
          <t>ÖSTERSUND</t>
        </is>
      </c>
      <c r="G220" t="n">
        <v>2.1</v>
      </c>
      <c r="H220" t="n">
        <v>0</v>
      </c>
      <c r="I220" t="n">
        <v>0</v>
      </c>
      <c r="J220" t="n">
        <v>0</v>
      </c>
      <c r="K220" t="n">
        <v>0</v>
      </c>
      <c r="L220" t="n">
        <v>0</v>
      </c>
      <c r="M220" t="n">
        <v>0</v>
      </c>
      <c r="N220" t="n">
        <v>0</v>
      </c>
      <c r="O220" t="n">
        <v>0</v>
      </c>
      <c r="P220" t="n">
        <v>0</v>
      </c>
      <c r="Q220" t="n">
        <v>0</v>
      </c>
      <c r="R220" s="2" t="inlineStr"/>
    </row>
    <row r="221" ht="15" customHeight="1">
      <c r="A221" t="inlineStr">
        <is>
          <t>A 14518-2023</t>
        </is>
      </c>
      <c r="B221" s="1" t="n">
        <v>45012</v>
      </c>
      <c r="C221" s="1" t="n">
        <v>45890</v>
      </c>
      <c r="D221" t="inlineStr">
        <is>
          <t>JÄMTLANDS LÄN</t>
        </is>
      </c>
      <c r="E221" t="inlineStr">
        <is>
          <t>ÖSTERSUND</t>
        </is>
      </c>
      <c r="G221" t="n">
        <v>14.4</v>
      </c>
      <c r="H221" t="n">
        <v>0</v>
      </c>
      <c r="I221" t="n">
        <v>0</v>
      </c>
      <c r="J221" t="n">
        <v>0</v>
      </c>
      <c r="K221" t="n">
        <v>0</v>
      </c>
      <c r="L221" t="n">
        <v>0</v>
      </c>
      <c r="M221" t="n">
        <v>0</v>
      </c>
      <c r="N221" t="n">
        <v>0</v>
      </c>
      <c r="O221" t="n">
        <v>0</v>
      </c>
      <c r="P221" t="n">
        <v>0</v>
      </c>
      <c r="Q221" t="n">
        <v>0</v>
      </c>
      <c r="R221" s="2" t="inlineStr"/>
    </row>
    <row r="222" ht="15" customHeight="1">
      <c r="A222" t="inlineStr">
        <is>
          <t>A 6013-2022</t>
        </is>
      </c>
      <c r="B222" s="1" t="n">
        <v>44599.45850694444</v>
      </c>
      <c r="C222" s="1" t="n">
        <v>45890</v>
      </c>
      <c r="D222" t="inlineStr">
        <is>
          <t>JÄMTLANDS LÄN</t>
        </is>
      </c>
      <c r="E222" t="inlineStr">
        <is>
          <t>ÖSTERSUND</t>
        </is>
      </c>
      <c r="G222" t="n">
        <v>2.5</v>
      </c>
      <c r="H222" t="n">
        <v>0</v>
      </c>
      <c r="I222" t="n">
        <v>0</v>
      </c>
      <c r="J222" t="n">
        <v>0</v>
      </c>
      <c r="K222" t="n">
        <v>0</v>
      </c>
      <c r="L222" t="n">
        <v>0</v>
      </c>
      <c r="M222" t="n">
        <v>0</v>
      </c>
      <c r="N222" t="n">
        <v>0</v>
      </c>
      <c r="O222" t="n">
        <v>0</v>
      </c>
      <c r="P222" t="n">
        <v>0</v>
      </c>
      <c r="Q222" t="n">
        <v>0</v>
      </c>
      <c r="R222" s="2" t="inlineStr"/>
    </row>
    <row r="223" ht="15" customHeight="1">
      <c r="A223" t="inlineStr">
        <is>
          <t>A 1893-2023</t>
        </is>
      </c>
      <c r="B223" s="1" t="n">
        <v>44937</v>
      </c>
      <c r="C223" s="1" t="n">
        <v>45890</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45980-2023</t>
        </is>
      </c>
      <c r="B224" s="1" t="n">
        <v>45189</v>
      </c>
      <c r="C224" s="1" t="n">
        <v>45890</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57556-2024</t>
        </is>
      </c>
      <c r="B225" s="1" t="n">
        <v>45630</v>
      </c>
      <c r="C225" s="1" t="n">
        <v>45890</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60126-2020</t>
        </is>
      </c>
      <c r="B226" s="1" t="n">
        <v>44152</v>
      </c>
      <c r="C226" s="1" t="n">
        <v>45890</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30602-2023</t>
        </is>
      </c>
      <c r="B227" s="1" t="n">
        <v>45112</v>
      </c>
      <c r="C227" s="1" t="n">
        <v>45890</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1211-2025</t>
        </is>
      </c>
      <c r="B228" s="1" t="n">
        <v>45667.40662037037</v>
      </c>
      <c r="C228" s="1" t="n">
        <v>45890</v>
      </c>
      <c r="D228" t="inlineStr">
        <is>
          <t>JÄMTLANDS LÄN</t>
        </is>
      </c>
      <c r="E228" t="inlineStr">
        <is>
          <t>ÖSTERSUND</t>
        </is>
      </c>
      <c r="F228" t="inlineStr">
        <is>
          <t>SCA</t>
        </is>
      </c>
      <c r="G228" t="n">
        <v>6.2</v>
      </c>
      <c r="H228" t="n">
        <v>0</v>
      </c>
      <c r="I228" t="n">
        <v>0</v>
      </c>
      <c r="J228" t="n">
        <v>0</v>
      </c>
      <c r="K228" t="n">
        <v>0</v>
      </c>
      <c r="L228" t="n">
        <v>0</v>
      </c>
      <c r="M228" t="n">
        <v>0</v>
      </c>
      <c r="N228" t="n">
        <v>0</v>
      </c>
      <c r="O228" t="n">
        <v>0</v>
      </c>
      <c r="P228" t="n">
        <v>0</v>
      </c>
      <c r="Q228" t="n">
        <v>0</v>
      </c>
      <c r="R228" s="2" t="inlineStr"/>
    </row>
    <row r="229" ht="15" customHeight="1">
      <c r="A229" t="inlineStr">
        <is>
          <t>A 19566-2024</t>
        </is>
      </c>
      <c r="B229" s="1" t="n">
        <v>45429.92313657407</v>
      </c>
      <c r="C229" s="1" t="n">
        <v>45890</v>
      </c>
      <c r="D229" t="inlineStr">
        <is>
          <t>JÄMTLANDS LÄN</t>
        </is>
      </c>
      <c r="E229" t="inlineStr">
        <is>
          <t>ÖSTERSUND</t>
        </is>
      </c>
      <c r="G229" t="n">
        <v>0</v>
      </c>
      <c r="H229" t="n">
        <v>0</v>
      </c>
      <c r="I229" t="n">
        <v>0</v>
      </c>
      <c r="J229" t="n">
        <v>0</v>
      </c>
      <c r="K229" t="n">
        <v>0</v>
      </c>
      <c r="L229" t="n">
        <v>0</v>
      </c>
      <c r="M229" t="n">
        <v>0</v>
      </c>
      <c r="N229" t="n">
        <v>0</v>
      </c>
      <c r="O229" t="n">
        <v>0</v>
      </c>
      <c r="P229" t="n">
        <v>0</v>
      </c>
      <c r="Q229" t="n">
        <v>0</v>
      </c>
      <c r="R229" s="2" t="inlineStr"/>
    </row>
    <row r="230" ht="15" customHeight="1">
      <c r="A230" t="inlineStr">
        <is>
          <t>A 45004-2022</t>
        </is>
      </c>
      <c r="B230" s="1" t="n">
        <v>44840</v>
      </c>
      <c r="C230" s="1" t="n">
        <v>45890</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12352-2025</t>
        </is>
      </c>
      <c r="B231" s="1" t="n">
        <v>45730.36263888889</v>
      </c>
      <c r="C231" s="1" t="n">
        <v>45890</v>
      </c>
      <c r="D231" t="inlineStr">
        <is>
          <t>JÄMTLANDS LÄN</t>
        </is>
      </c>
      <c r="E231" t="inlineStr">
        <is>
          <t>ÖSTERSUND</t>
        </is>
      </c>
      <c r="G231" t="n">
        <v>7.8</v>
      </c>
      <c r="H231" t="n">
        <v>0</v>
      </c>
      <c r="I231" t="n">
        <v>0</v>
      </c>
      <c r="J231" t="n">
        <v>0</v>
      </c>
      <c r="K231" t="n">
        <v>0</v>
      </c>
      <c r="L231" t="n">
        <v>0</v>
      </c>
      <c r="M231" t="n">
        <v>0</v>
      </c>
      <c r="N231" t="n">
        <v>0</v>
      </c>
      <c r="O231" t="n">
        <v>0</v>
      </c>
      <c r="P231" t="n">
        <v>0</v>
      </c>
      <c r="Q231" t="n">
        <v>0</v>
      </c>
      <c r="R231" s="2" t="inlineStr"/>
    </row>
    <row r="232" ht="15" customHeight="1">
      <c r="A232" t="inlineStr">
        <is>
          <t>A 9552-2025</t>
        </is>
      </c>
      <c r="B232" s="1" t="n">
        <v>45715.59545138889</v>
      </c>
      <c r="C232" s="1" t="n">
        <v>45890</v>
      </c>
      <c r="D232" t="inlineStr">
        <is>
          <t>JÄMTLANDS LÄN</t>
        </is>
      </c>
      <c r="E232" t="inlineStr">
        <is>
          <t>ÖSTERSUND</t>
        </is>
      </c>
      <c r="G232" t="n">
        <v>1.6</v>
      </c>
      <c r="H232" t="n">
        <v>0</v>
      </c>
      <c r="I232" t="n">
        <v>0</v>
      </c>
      <c r="J232" t="n">
        <v>0</v>
      </c>
      <c r="K232" t="n">
        <v>0</v>
      </c>
      <c r="L232" t="n">
        <v>0</v>
      </c>
      <c r="M232" t="n">
        <v>0</v>
      </c>
      <c r="N232" t="n">
        <v>0</v>
      </c>
      <c r="O232" t="n">
        <v>0</v>
      </c>
      <c r="P232" t="n">
        <v>0</v>
      </c>
      <c r="Q232" t="n">
        <v>0</v>
      </c>
      <c r="R232" s="2" t="inlineStr"/>
    </row>
    <row r="233" ht="15" customHeight="1">
      <c r="A233" t="inlineStr">
        <is>
          <t>A 12946-2022</t>
        </is>
      </c>
      <c r="B233" s="1" t="n">
        <v>44642.93471064815</v>
      </c>
      <c r="C233" s="1" t="n">
        <v>45890</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6578-2021</t>
        </is>
      </c>
      <c r="B234" s="1" t="n">
        <v>44236</v>
      </c>
      <c r="C234" s="1" t="n">
        <v>45890</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27906-2024</t>
        </is>
      </c>
      <c r="B235" s="1" t="n">
        <v>45475.94585648148</v>
      </c>
      <c r="C235" s="1" t="n">
        <v>45890</v>
      </c>
      <c r="D235" t="inlineStr">
        <is>
          <t>JÄMTLANDS LÄN</t>
        </is>
      </c>
      <c r="E235" t="inlineStr">
        <is>
          <t>ÖSTERSUND</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53380-2023</t>
        </is>
      </c>
      <c r="B236" s="1" t="n">
        <v>45223</v>
      </c>
      <c r="C236" s="1" t="n">
        <v>45890</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31464-2024</t>
        </is>
      </c>
      <c r="B237" s="1" t="n">
        <v>45505.95078703704</v>
      </c>
      <c r="C237" s="1" t="n">
        <v>45890</v>
      </c>
      <c r="D237" t="inlineStr">
        <is>
          <t>JÄMTLANDS LÄN</t>
        </is>
      </c>
      <c r="E237" t="inlineStr">
        <is>
          <t>ÖSTERSUND</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7573-2022</t>
        </is>
      </c>
      <c r="B238" s="1" t="n">
        <v>44607</v>
      </c>
      <c r="C238" s="1" t="n">
        <v>45890</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10116-2025</t>
        </is>
      </c>
      <c r="B239" s="1" t="n">
        <v>45719.59836805556</v>
      </c>
      <c r="C239" s="1" t="n">
        <v>45890</v>
      </c>
      <c r="D239" t="inlineStr">
        <is>
          <t>JÄMTLANDS LÄN</t>
        </is>
      </c>
      <c r="E239" t="inlineStr">
        <is>
          <t>ÖSTERSUND</t>
        </is>
      </c>
      <c r="G239" t="n">
        <v>11.1</v>
      </c>
      <c r="H239" t="n">
        <v>0</v>
      </c>
      <c r="I239" t="n">
        <v>0</v>
      </c>
      <c r="J239" t="n">
        <v>0</v>
      </c>
      <c r="K239" t="n">
        <v>0</v>
      </c>
      <c r="L239" t="n">
        <v>0</v>
      </c>
      <c r="M239" t="n">
        <v>0</v>
      </c>
      <c r="N239" t="n">
        <v>0</v>
      </c>
      <c r="O239" t="n">
        <v>0</v>
      </c>
      <c r="P239" t="n">
        <v>0</v>
      </c>
      <c r="Q239" t="n">
        <v>0</v>
      </c>
      <c r="R239" s="2" t="inlineStr"/>
    </row>
    <row r="240" ht="15" customHeight="1">
      <c r="A240" t="inlineStr">
        <is>
          <t>A 48696-2024</t>
        </is>
      </c>
      <c r="B240" s="1" t="n">
        <v>45593.51123842593</v>
      </c>
      <c r="C240" s="1" t="n">
        <v>45890</v>
      </c>
      <c r="D240" t="inlineStr">
        <is>
          <t>JÄMTLANDS LÄN</t>
        </is>
      </c>
      <c r="E240" t="inlineStr">
        <is>
          <t>ÖSTERSUND</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13024-2022</t>
        </is>
      </c>
      <c r="B241" s="1" t="n">
        <v>44643</v>
      </c>
      <c r="C241" s="1" t="n">
        <v>45890</v>
      </c>
      <c r="D241" t="inlineStr">
        <is>
          <t>JÄMTLANDS LÄN</t>
        </is>
      </c>
      <c r="E241" t="inlineStr">
        <is>
          <t>ÖSTERSUND</t>
        </is>
      </c>
      <c r="G241" t="n">
        <v>0.9</v>
      </c>
      <c r="H241" t="n">
        <v>0</v>
      </c>
      <c r="I241" t="n">
        <v>0</v>
      </c>
      <c r="J241" t="n">
        <v>0</v>
      </c>
      <c r="K241" t="n">
        <v>0</v>
      </c>
      <c r="L241" t="n">
        <v>0</v>
      </c>
      <c r="M241" t="n">
        <v>0</v>
      </c>
      <c r="N241" t="n">
        <v>0</v>
      </c>
      <c r="O241" t="n">
        <v>0</v>
      </c>
      <c r="P241" t="n">
        <v>0</v>
      </c>
      <c r="Q241" t="n">
        <v>0</v>
      </c>
      <c r="R241" s="2" t="inlineStr"/>
    </row>
    <row r="242" ht="15" customHeight="1">
      <c r="A242" t="inlineStr">
        <is>
          <t>A 48737-2024</t>
        </is>
      </c>
      <c r="B242" s="1" t="n">
        <v>45593.57327546296</v>
      </c>
      <c r="C242" s="1" t="n">
        <v>45890</v>
      </c>
      <c r="D242" t="inlineStr">
        <is>
          <t>JÄMTLANDS LÄN</t>
        </is>
      </c>
      <c r="E242" t="inlineStr">
        <is>
          <t>ÖSTERSUND</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7233-2025</t>
        </is>
      </c>
      <c r="B243" s="1" t="n">
        <v>45702.51765046296</v>
      </c>
      <c r="C243" s="1" t="n">
        <v>45890</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33501-2023</t>
        </is>
      </c>
      <c r="B244" s="1" t="n">
        <v>45118</v>
      </c>
      <c r="C244" s="1" t="n">
        <v>45890</v>
      </c>
      <c r="D244" t="inlineStr">
        <is>
          <t>JÄMTLANDS LÄN</t>
        </is>
      </c>
      <c r="E244" t="inlineStr">
        <is>
          <t>ÖSTERSUND</t>
        </is>
      </c>
      <c r="G244" t="n">
        <v>5.8</v>
      </c>
      <c r="H244" t="n">
        <v>0</v>
      </c>
      <c r="I244" t="n">
        <v>0</v>
      </c>
      <c r="J244" t="n">
        <v>0</v>
      </c>
      <c r="K244" t="n">
        <v>0</v>
      </c>
      <c r="L244" t="n">
        <v>0</v>
      </c>
      <c r="M244" t="n">
        <v>0</v>
      </c>
      <c r="N244" t="n">
        <v>0</v>
      </c>
      <c r="O244" t="n">
        <v>0</v>
      </c>
      <c r="P244" t="n">
        <v>0</v>
      </c>
      <c r="Q244" t="n">
        <v>0</v>
      </c>
      <c r="R244" s="2" t="inlineStr"/>
    </row>
    <row r="245" ht="15" customHeight="1">
      <c r="A245" t="inlineStr">
        <is>
          <t>A 4966-2025</t>
        </is>
      </c>
      <c r="B245" s="1" t="n">
        <v>45690.63628472222</v>
      </c>
      <c r="C245" s="1" t="n">
        <v>45890</v>
      </c>
      <c r="D245" t="inlineStr">
        <is>
          <t>JÄMTLANDS LÄN</t>
        </is>
      </c>
      <c r="E245" t="inlineStr">
        <is>
          <t>ÖSTERSUND</t>
        </is>
      </c>
      <c r="G245" t="n">
        <v>3.4</v>
      </c>
      <c r="H245" t="n">
        <v>0</v>
      </c>
      <c r="I245" t="n">
        <v>0</v>
      </c>
      <c r="J245" t="n">
        <v>0</v>
      </c>
      <c r="K245" t="n">
        <v>0</v>
      </c>
      <c r="L245" t="n">
        <v>0</v>
      </c>
      <c r="M245" t="n">
        <v>0</v>
      </c>
      <c r="N245" t="n">
        <v>0</v>
      </c>
      <c r="O245" t="n">
        <v>0</v>
      </c>
      <c r="P245" t="n">
        <v>0</v>
      </c>
      <c r="Q245" t="n">
        <v>0</v>
      </c>
      <c r="R245" s="2" t="inlineStr"/>
    </row>
    <row r="246" ht="15" customHeight="1">
      <c r="A246" t="inlineStr">
        <is>
          <t>A 60088-2024</t>
        </is>
      </c>
      <c r="B246" s="1" t="n">
        <v>45642.54847222222</v>
      </c>
      <c r="C246" s="1" t="n">
        <v>45890</v>
      </c>
      <c r="D246" t="inlineStr">
        <is>
          <t>JÄMTLANDS LÄN</t>
        </is>
      </c>
      <c r="E246" t="inlineStr">
        <is>
          <t>ÖSTERSUND</t>
        </is>
      </c>
      <c r="G246" t="n">
        <v>5</v>
      </c>
      <c r="H246" t="n">
        <v>0</v>
      </c>
      <c r="I246" t="n">
        <v>0</v>
      </c>
      <c r="J246" t="n">
        <v>0</v>
      </c>
      <c r="K246" t="n">
        <v>0</v>
      </c>
      <c r="L246" t="n">
        <v>0</v>
      </c>
      <c r="M246" t="n">
        <v>0</v>
      </c>
      <c r="N246" t="n">
        <v>0</v>
      </c>
      <c r="O246" t="n">
        <v>0</v>
      </c>
      <c r="P246" t="n">
        <v>0</v>
      </c>
      <c r="Q246" t="n">
        <v>0</v>
      </c>
      <c r="R246" s="2" t="inlineStr"/>
    </row>
    <row r="247" ht="15" customHeight="1">
      <c r="A247" t="inlineStr">
        <is>
          <t>A 4872-2023</t>
        </is>
      </c>
      <c r="B247" s="1" t="n">
        <v>44957</v>
      </c>
      <c r="C247" s="1" t="n">
        <v>45890</v>
      </c>
      <c r="D247" t="inlineStr">
        <is>
          <t>JÄMTLANDS LÄN</t>
        </is>
      </c>
      <c r="E247" t="inlineStr">
        <is>
          <t>ÖSTERSUND</t>
        </is>
      </c>
      <c r="G247" t="n">
        <v>10.7</v>
      </c>
      <c r="H247" t="n">
        <v>0</v>
      </c>
      <c r="I247" t="n">
        <v>0</v>
      </c>
      <c r="J247" t="n">
        <v>0</v>
      </c>
      <c r="K247" t="n">
        <v>0</v>
      </c>
      <c r="L247" t="n">
        <v>0</v>
      </c>
      <c r="M247" t="n">
        <v>0</v>
      </c>
      <c r="N247" t="n">
        <v>0</v>
      </c>
      <c r="O247" t="n">
        <v>0</v>
      </c>
      <c r="P247" t="n">
        <v>0</v>
      </c>
      <c r="Q247" t="n">
        <v>0</v>
      </c>
      <c r="R247" s="2" t="inlineStr"/>
    </row>
    <row r="248" ht="15" customHeight="1">
      <c r="A248" t="inlineStr">
        <is>
          <t>A 46139-2021</t>
        </is>
      </c>
      <c r="B248" s="1" t="n">
        <v>44441</v>
      </c>
      <c r="C248" s="1" t="n">
        <v>45890</v>
      </c>
      <c r="D248" t="inlineStr">
        <is>
          <t>JÄMTLANDS LÄN</t>
        </is>
      </c>
      <c r="E248" t="inlineStr">
        <is>
          <t>ÖSTERSUND</t>
        </is>
      </c>
      <c r="G248" t="n">
        <v>12.8</v>
      </c>
      <c r="H248" t="n">
        <v>0</v>
      </c>
      <c r="I248" t="n">
        <v>0</v>
      </c>
      <c r="J248" t="n">
        <v>0</v>
      </c>
      <c r="K248" t="n">
        <v>0</v>
      </c>
      <c r="L248" t="n">
        <v>0</v>
      </c>
      <c r="M248" t="n">
        <v>0</v>
      </c>
      <c r="N248" t="n">
        <v>0</v>
      </c>
      <c r="O248" t="n">
        <v>0</v>
      </c>
      <c r="P248" t="n">
        <v>0</v>
      </c>
      <c r="Q248" t="n">
        <v>0</v>
      </c>
      <c r="R248" s="2" t="inlineStr"/>
    </row>
    <row r="249" ht="15" customHeight="1">
      <c r="A249" t="inlineStr">
        <is>
          <t>A 49788-2024</t>
        </is>
      </c>
      <c r="B249" s="1" t="n">
        <v>45597.36623842592</v>
      </c>
      <c r="C249" s="1" t="n">
        <v>45890</v>
      </c>
      <c r="D249" t="inlineStr">
        <is>
          <t>JÄMTLANDS LÄN</t>
        </is>
      </c>
      <c r="E249" t="inlineStr">
        <is>
          <t>ÖSTERSUND</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4901-2025</t>
        </is>
      </c>
      <c r="B250" s="1" t="n">
        <v>45688.67965277778</v>
      </c>
      <c r="C250" s="1" t="n">
        <v>45890</v>
      </c>
      <c r="D250" t="inlineStr">
        <is>
          <t>JÄMTLANDS LÄN</t>
        </is>
      </c>
      <c r="E250" t="inlineStr">
        <is>
          <t>ÖSTERSUND</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17709-2024</t>
        </is>
      </c>
      <c r="B251" s="1" t="n">
        <v>45418.4843287037</v>
      </c>
      <c r="C251" s="1" t="n">
        <v>45890</v>
      </c>
      <c r="D251" t="inlineStr">
        <is>
          <t>JÄMTLANDS LÄN</t>
        </is>
      </c>
      <c r="E251" t="inlineStr">
        <is>
          <t>ÖSTERSUND</t>
        </is>
      </c>
      <c r="G251" t="n">
        <v>2.9</v>
      </c>
      <c r="H251" t="n">
        <v>0</v>
      </c>
      <c r="I251" t="n">
        <v>0</v>
      </c>
      <c r="J251" t="n">
        <v>0</v>
      </c>
      <c r="K251" t="n">
        <v>0</v>
      </c>
      <c r="L251" t="n">
        <v>0</v>
      </c>
      <c r="M251" t="n">
        <v>0</v>
      </c>
      <c r="N251" t="n">
        <v>0</v>
      </c>
      <c r="O251" t="n">
        <v>0</v>
      </c>
      <c r="P251" t="n">
        <v>0</v>
      </c>
      <c r="Q251" t="n">
        <v>0</v>
      </c>
      <c r="R251" s="2" t="inlineStr"/>
    </row>
    <row r="252" ht="15" customHeight="1">
      <c r="A252" t="inlineStr">
        <is>
          <t>A 58406-2024</t>
        </is>
      </c>
      <c r="B252" s="1" t="n">
        <v>45634.70898148148</v>
      </c>
      <c r="C252" s="1" t="n">
        <v>45890</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51826-2024</t>
        </is>
      </c>
      <c r="B253" s="1" t="n">
        <v>45607.50137731482</v>
      </c>
      <c r="C253" s="1" t="n">
        <v>45890</v>
      </c>
      <c r="D253" t="inlineStr">
        <is>
          <t>JÄMTLANDS LÄN</t>
        </is>
      </c>
      <c r="E253" t="inlineStr">
        <is>
          <t>ÖSTERSUND</t>
        </is>
      </c>
      <c r="G253" t="n">
        <v>1.1</v>
      </c>
      <c r="H253" t="n">
        <v>0</v>
      </c>
      <c r="I253" t="n">
        <v>0</v>
      </c>
      <c r="J253" t="n">
        <v>0</v>
      </c>
      <c r="K253" t="n">
        <v>0</v>
      </c>
      <c r="L253" t="n">
        <v>0</v>
      </c>
      <c r="M253" t="n">
        <v>0</v>
      </c>
      <c r="N253" t="n">
        <v>0</v>
      </c>
      <c r="O253" t="n">
        <v>0</v>
      </c>
      <c r="P253" t="n">
        <v>0</v>
      </c>
      <c r="Q253" t="n">
        <v>0</v>
      </c>
      <c r="R253" s="2" t="inlineStr"/>
    </row>
    <row r="254" ht="15" customHeight="1">
      <c r="A254" t="inlineStr">
        <is>
          <t>A 13166-2023</t>
        </is>
      </c>
      <c r="B254" s="1" t="n">
        <v>45002</v>
      </c>
      <c r="C254" s="1" t="n">
        <v>45890</v>
      </c>
      <c r="D254" t="inlineStr">
        <is>
          <t>JÄMTLANDS LÄN</t>
        </is>
      </c>
      <c r="E254" t="inlineStr">
        <is>
          <t>ÖSTERSUND</t>
        </is>
      </c>
      <c r="F254" t="inlineStr">
        <is>
          <t>Övriga statliga verk och myndigheter</t>
        </is>
      </c>
      <c r="G254" t="n">
        <v>1</v>
      </c>
      <c r="H254" t="n">
        <v>0</v>
      </c>
      <c r="I254" t="n">
        <v>0</v>
      </c>
      <c r="J254" t="n">
        <v>0</v>
      </c>
      <c r="K254" t="n">
        <v>0</v>
      </c>
      <c r="L254" t="n">
        <v>0</v>
      </c>
      <c r="M254" t="n">
        <v>0</v>
      </c>
      <c r="N254" t="n">
        <v>0</v>
      </c>
      <c r="O254" t="n">
        <v>0</v>
      </c>
      <c r="P254" t="n">
        <v>0</v>
      </c>
      <c r="Q254" t="n">
        <v>0</v>
      </c>
      <c r="R254" s="2" t="inlineStr"/>
    </row>
    <row r="255" ht="15" customHeight="1">
      <c r="A255" t="inlineStr">
        <is>
          <t>A 2615-2024</t>
        </is>
      </c>
      <c r="B255" s="1" t="n">
        <v>45313</v>
      </c>
      <c r="C255" s="1" t="n">
        <v>45890</v>
      </c>
      <c r="D255" t="inlineStr">
        <is>
          <t>JÄMTLANDS LÄN</t>
        </is>
      </c>
      <c r="E255" t="inlineStr">
        <is>
          <t>ÖSTERSUND</t>
        </is>
      </c>
      <c r="G255" t="n">
        <v>1.5</v>
      </c>
      <c r="H255" t="n">
        <v>0</v>
      </c>
      <c r="I255" t="n">
        <v>0</v>
      </c>
      <c r="J255" t="n">
        <v>0</v>
      </c>
      <c r="K255" t="n">
        <v>0</v>
      </c>
      <c r="L255" t="n">
        <v>0</v>
      </c>
      <c r="M255" t="n">
        <v>0</v>
      </c>
      <c r="N255" t="n">
        <v>0</v>
      </c>
      <c r="O255" t="n">
        <v>0</v>
      </c>
      <c r="P255" t="n">
        <v>0</v>
      </c>
      <c r="Q255" t="n">
        <v>0</v>
      </c>
      <c r="R255" s="2" t="inlineStr"/>
    </row>
    <row r="256" ht="15" customHeight="1">
      <c r="A256" t="inlineStr">
        <is>
          <t>A 33002-2021</t>
        </is>
      </c>
      <c r="B256" s="1" t="n">
        <v>44375</v>
      </c>
      <c r="C256" s="1" t="n">
        <v>45890</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45895-2024</t>
        </is>
      </c>
      <c r="B257" s="1" t="n">
        <v>45580.42736111111</v>
      </c>
      <c r="C257" s="1" t="n">
        <v>45890</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60681-2022</t>
        </is>
      </c>
      <c r="B258" s="1" t="n">
        <v>44911.93994212963</v>
      </c>
      <c r="C258" s="1" t="n">
        <v>45890</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14542-2025</t>
        </is>
      </c>
      <c r="B259" s="1" t="n">
        <v>45741.68631944444</v>
      </c>
      <c r="C259" s="1" t="n">
        <v>45890</v>
      </c>
      <c r="D259" t="inlineStr">
        <is>
          <t>JÄMTLANDS LÄN</t>
        </is>
      </c>
      <c r="E259" t="inlineStr">
        <is>
          <t>ÖSTERSUND</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48106-2024</t>
        </is>
      </c>
      <c r="B260" s="1" t="n">
        <v>45589.62625</v>
      </c>
      <c r="C260" s="1" t="n">
        <v>45890</v>
      </c>
      <c r="D260" t="inlineStr">
        <is>
          <t>JÄMTLANDS LÄN</t>
        </is>
      </c>
      <c r="E260" t="inlineStr">
        <is>
          <t>ÖSTERSUND</t>
        </is>
      </c>
      <c r="G260" t="n">
        <v>3.5</v>
      </c>
      <c r="H260" t="n">
        <v>0</v>
      </c>
      <c r="I260" t="n">
        <v>0</v>
      </c>
      <c r="J260" t="n">
        <v>0</v>
      </c>
      <c r="K260" t="n">
        <v>0</v>
      </c>
      <c r="L260" t="n">
        <v>0</v>
      </c>
      <c r="M260" t="n">
        <v>0</v>
      </c>
      <c r="N260" t="n">
        <v>0</v>
      </c>
      <c r="O260" t="n">
        <v>0</v>
      </c>
      <c r="P260" t="n">
        <v>0</v>
      </c>
      <c r="Q260" t="n">
        <v>0</v>
      </c>
      <c r="R260" s="2" t="inlineStr"/>
    </row>
    <row r="261" ht="15" customHeight="1">
      <c r="A261" t="inlineStr">
        <is>
          <t>A 8423-2023</t>
        </is>
      </c>
      <c r="B261" s="1" t="n">
        <v>44977</v>
      </c>
      <c r="C261" s="1" t="n">
        <v>45890</v>
      </c>
      <c r="D261" t="inlineStr">
        <is>
          <t>JÄMTLANDS LÄN</t>
        </is>
      </c>
      <c r="E261" t="inlineStr">
        <is>
          <t>ÖSTERSUND</t>
        </is>
      </c>
      <c r="F261" t="inlineStr">
        <is>
          <t>Övriga Aktiebolag</t>
        </is>
      </c>
      <c r="G261" t="n">
        <v>53.1</v>
      </c>
      <c r="H261" t="n">
        <v>0</v>
      </c>
      <c r="I261" t="n">
        <v>0</v>
      </c>
      <c r="J261" t="n">
        <v>0</v>
      </c>
      <c r="K261" t="n">
        <v>0</v>
      </c>
      <c r="L261" t="n">
        <v>0</v>
      </c>
      <c r="M261" t="n">
        <v>0</v>
      </c>
      <c r="N261" t="n">
        <v>0</v>
      </c>
      <c r="O261" t="n">
        <v>0</v>
      </c>
      <c r="P261" t="n">
        <v>0</v>
      </c>
      <c r="Q261" t="n">
        <v>0</v>
      </c>
      <c r="R261" s="2" t="inlineStr"/>
    </row>
    <row r="262" ht="15" customHeight="1">
      <c r="A262" t="inlineStr">
        <is>
          <t>A 10493-2025</t>
        </is>
      </c>
      <c r="B262" s="1" t="n">
        <v>45721.36320601852</v>
      </c>
      <c r="C262" s="1" t="n">
        <v>45890</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1255-2025</t>
        </is>
      </c>
      <c r="B263" s="1" t="n">
        <v>45667.46922453704</v>
      </c>
      <c r="C263" s="1" t="n">
        <v>45890</v>
      </c>
      <c r="D263" t="inlineStr">
        <is>
          <t>JÄMTLANDS LÄN</t>
        </is>
      </c>
      <c r="E263" t="inlineStr">
        <is>
          <t>ÖSTERSUND</t>
        </is>
      </c>
      <c r="F263" t="inlineStr">
        <is>
          <t>SCA</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24786-2024</t>
        </is>
      </c>
      <c r="B264" s="1" t="n">
        <v>45460.81277777778</v>
      </c>
      <c r="C264" s="1" t="n">
        <v>45890</v>
      </c>
      <c r="D264" t="inlineStr">
        <is>
          <t>JÄMTLANDS LÄN</t>
        </is>
      </c>
      <c r="E264" t="inlineStr">
        <is>
          <t>ÖSTERSUND</t>
        </is>
      </c>
      <c r="G264" t="n">
        <v>0.1</v>
      </c>
      <c r="H264" t="n">
        <v>0</v>
      </c>
      <c r="I264" t="n">
        <v>0</v>
      </c>
      <c r="J264" t="n">
        <v>0</v>
      </c>
      <c r="K264" t="n">
        <v>0</v>
      </c>
      <c r="L264" t="n">
        <v>0</v>
      </c>
      <c r="M264" t="n">
        <v>0</v>
      </c>
      <c r="N264" t="n">
        <v>0</v>
      </c>
      <c r="O264" t="n">
        <v>0</v>
      </c>
      <c r="P264" t="n">
        <v>0</v>
      </c>
      <c r="Q264" t="n">
        <v>0</v>
      </c>
      <c r="R264" s="2" t="inlineStr"/>
    </row>
    <row r="265" ht="15" customHeight="1">
      <c r="A265" t="inlineStr">
        <is>
          <t>A 9744-2025</t>
        </is>
      </c>
      <c r="B265" s="1" t="n">
        <v>45716.4484375</v>
      </c>
      <c r="C265" s="1" t="n">
        <v>45890</v>
      </c>
      <c r="D265" t="inlineStr">
        <is>
          <t>JÄMTLANDS LÄN</t>
        </is>
      </c>
      <c r="E265" t="inlineStr">
        <is>
          <t>ÖSTERSUND</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21495-2022</t>
        </is>
      </c>
      <c r="B266" s="1" t="n">
        <v>44706</v>
      </c>
      <c r="C266" s="1" t="n">
        <v>45890</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14831-2025</t>
        </is>
      </c>
      <c r="B267" s="1" t="n">
        <v>45743.37109953703</v>
      </c>
      <c r="C267" s="1" t="n">
        <v>45890</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43557-2024</t>
        </is>
      </c>
      <c r="B268" s="1" t="n">
        <v>45569.39229166666</v>
      </c>
      <c r="C268" s="1" t="n">
        <v>45890</v>
      </c>
      <c r="D268" t="inlineStr">
        <is>
          <t>JÄMTLANDS LÄN</t>
        </is>
      </c>
      <c r="E268" t="inlineStr">
        <is>
          <t>ÖSTERSUND</t>
        </is>
      </c>
      <c r="G268" t="n">
        <v>3.6</v>
      </c>
      <c r="H268" t="n">
        <v>0</v>
      </c>
      <c r="I268" t="n">
        <v>0</v>
      </c>
      <c r="J268" t="n">
        <v>0</v>
      </c>
      <c r="K268" t="n">
        <v>0</v>
      </c>
      <c r="L268" t="n">
        <v>0</v>
      </c>
      <c r="M268" t="n">
        <v>0</v>
      </c>
      <c r="N268" t="n">
        <v>0</v>
      </c>
      <c r="O268" t="n">
        <v>0</v>
      </c>
      <c r="P268" t="n">
        <v>0</v>
      </c>
      <c r="Q268" t="n">
        <v>0</v>
      </c>
      <c r="R268" s="2" t="inlineStr"/>
    </row>
    <row r="269" ht="15" customHeight="1">
      <c r="A269" t="inlineStr">
        <is>
          <t>A 4500-2025</t>
        </is>
      </c>
      <c r="B269" s="1" t="n">
        <v>45686.6859375</v>
      </c>
      <c r="C269" s="1" t="n">
        <v>45890</v>
      </c>
      <c r="D269" t="inlineStr">
        <is>
          <t>JÄMTLANDS LÄN</t>
        </is>
      </c>
      <c r="E269" t="inlineStr">
        <is>
          <t>ÖSTERSUND</t>
        </is>
      </c>
      <c r="G269" t="n">
        <v>28.4</v>
      </c>
      <c r="H269" t="n">
        <v>0</v>
      </c>
      <c r="I269" t="n">
        <v>0</v>
      </c>
      <c r="J269" t="n">
        <v>0</v>
      </c>
      <c r="K269" t="n">
        <v>0</v>
      </c>
      <c r="L269" t="n">
        <v>0</v>
      </c>
      <c r="M269" t="n">
        <v>0</v>
      </c>
      <c r="N269" t="n">
        <v>0</v>
      </c>
      <c r="O269" t="n">
        <v>0</v>
      </c>
      <c r="P269" t="n">
        <v>0</v>
      </c>
      <c r="Q269" t="n">
        <v>0</v>
      </c>
      <c r="R269" s="2" t="inlineStr"/>
    </row>
    <row r="270" ht="15" customHeight="1">
      <c r="A270" t="inlineStr">
        <is>
          <t>A 53660-2024</t>
        </is>
      </c>
      <c r="B270" s="1" t="n">
        <v>45615.31297453704</v>
      </c>
      <c r="C270" s="1" t="n">
        <v>45890</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4521-2025</t>
        </is>
      </c>
      <c r="B271" s="1" t="n">
        <v>45686</v>
      </c>
      <c r="C271" s="1" t="n">
        <v>45890</v>
      </c>
      <c r="D271" t="inlineStr">
        <is>
          <t>JÄMTLANDS LÄN</t>
        </is>
      </c>
      <c r="E271" t="inlineStr">
        <is>
          <t>ÖSTERSUND</t>
        </is>
      </c>
      <c r="G271" t="n">
        <v>28.4</v>
      </c>
      <c r="H271" t="n">
        <v>0</v>
      </c>
      <c r="I271" t="n">
        <v>0</v>
      </c>
      <c r="J271" t="n">
        <v>0</v>
      </c>
      <c r="K271" t="n">
        <v>0</v>
      </c>
      <c r="L271" t="n">
        <v>0</v>
      </c>
      <c r="M271" t="n">
        <v>0</v>
      </c>
      <c r="N271" t="n">
        <v>0</v>
      </c>
      <c r="O271" t="n">
        <v>0</v>
      </c>
      <c r="P271" t="n">
        <v>0</v>
      </c>
      <c r="Q271" t="n">
        <v>0</v>
      </c>
      <c r="R271" s="2" t="inlineStr"/>
    </row>
    <row r="272" ht="15" customHeight="1">
      <c r="A272" t="inlineStr">
        <is>
          <t>A 4135-2023</t>
        </is>
      </c>
      <c r="B272" s="1" t="n">
        <v>44952</v>
      </c>
      <c r="C272" s="1" t="n">
        <v>45890</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14263-2025</t>
        </is>
      </c>
      <c r="B273" s="1" t="n">
        <v>45740.63354166667</v>
      </c>
      <c r="C273" s="1" t="n">
        <v>45890</v>
      </c>
      <c r="D273" t="inlineStr">
        <is>
          <t>JÄMTLANDS LÄN</t>
        </is>
      </c>
      <c r="E273" t="inlineStr">
        <is>
          <t>ÖSTERSUND</t>
        </is>
      </c>
      <c r="F273" t="inlineStr">
        <is>
          <t>Övriga Aktiebolag</t>
        </is>
      </c>
      <c r="G273" t="n">
        <v>4.3</v>
      </c>
      <c r="H273" t="n">
        <v>0</v>
      </c>
      <c r="I273" t="n">
        <v>0</v>
      </c>
      <c r="J273" t="n">
        <v>0</v>
      </c>
      <c r="K273" t="n">
        <v>0</v>
      </c>
      <c r="L273" t="n">
        <v>0</v>
      </c>
      <c r="M273" t="n">
        <v>0</v>
      </c>
      <c r="N273" t="n">
        <v>0</v>
      </c>
      <c r="O273" t="n">
        <v>0</v>
      </c>
      <c r="P273" t="n">
        <v>0</v>
      </c>
      <c r="Q273" t="n">
        <v>0</v>
      </c>
      <c r="R273" s="2" t="inlineStr"/>
    </row>
    <row r="274" ht="15" customHeight="1">
      <c r="A274" t="inlineStr">
        <is>
          <t>A 47627-2024</t>
        </is>
      </c>
      <c r="B274" s="1" t="n">
        <v>45588.3440625</v>
      </c>
      <c r="C274" s="1" t="n">
        <v>45890</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47628-2024</t>
        </is>
      </c>
      <c r="B275" s="1" t="n">
        <v>45588.34418981482</v>
      </c>
      <c r="C275" s="1" t="n">
        <v>45890</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16682-2023</t>
        </is>
      </c>
      <c r="B276" s="1" t="n">
        <v>45028</v>
      </c>
      <c r="C276" s="1" t="n">
        <v>45890</v>
      </c>
      <c r="D276" t="inlineStr">
        <is>
          <t>JÄMTLANDS LÄN</t>
        </is>
      </c>
      <c r="E276" t="inlineStr">
        <is>
          <t>ÖSTERSUND</t>
        </is>
      </c>
      <c r="G276" t="n">
        <v>7.9</v>
      </c>
      <c r="H276" t="n">
        <v>0</v>
      </c>
      <c r="I276" t="n">
        <v>0</v>
      </c>
      <c r="J276" t="n">
        <v>0</v>
      </c>
      <c r="K276" t="n">
        <v>0</v>
      </c>
      <c r="L276" t="n">
        <v>0</v>
      </c>
      <c r="M276" t="n">
        <v>0</v>
      </c>
      <c r="N276" t="n">
        <v>0</v>
      </c>
      <c r="O276" t="n">
        <v>0</v>
      </c>
      <c r="P276" t="n">
        <v>0</v>
      </c>
      <c r="Q276" t="n">
        <v>0</v>
      </c>
      <c r="R276" s="2" t="inlineStr"/>
    </row>
    <row r="277" ht="15" customHeight="1">
      <c r="A277" t="inlineStr">
        <is>
          <t>A 42151-2023</t>
        </is>
      </c>
      <c r="B277" s="1" t="n">
        <v>45177.93612268518</v>
      </c>
      <c r="C277" s="1" t="n">
        <v>45890</v>
      </c>
      <c r="D277" t="inlineStr">
        <is>
          <t>JÄMTLANDS LÄN</t>
        </is>
      </c>
      <c r="E277" t="inlineStr">
        <is>
          <t>ÖSTERSUND</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24246-2024</t>
        </is>
      </c>
      <c r="B278" s="1" t="n">
        <v>45457.37893518519</v>
      </c>
      <c r="C278" s="1" t="n">
        <v>45890</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1670-2024</t>
        </is>
      </c>
      <c r="B279" s="1" t="n">
        <v>45306</v>
      </c>
      <c r="C279" s="1" t="n">
        <v>45890</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56111-2022</t>
        </is>
      </c>
      <c r="B280" s="1" t="n">
        <v>44889</v>
      </c>
      <c r="C280" s="1" t="n">
        <v>45890</v>
      </c>
      <c r="D280" t="inlineStr">
        <is>
          <t>JÄMTLANDS LÄN</t>
        </is>
      </c>
      <c r="E280" t="inlineStr">
        <is>
          <t>ÖSTERSUND</t>
        </is>
      </c>
      <c r="G280" t="n">
        <v>2.5</v>
      </c>
      <c r="H280" t="n">
        <v>0</v>
      </c>
      <c r="I280" t="n">
        <v>0</v>
      </c>
      <c r="J280" t="n">
        <v>0</v>
      </c>
      <c r="K280" t="n">
        <v>0</v>
      </c>
      <c r="L280" t="n">
        <v>0</v>
      </c>
      <c r="M280" t="n">
        <v>0</v>
      </c>
      <c r="N280" t="n">
        <v>0</v>
      </c>
      <c r="O280" t="n">
        <v>0</v>
      </c>
      <c r="P280" t="n">
        <v>0</v>
      </c>
      <c r="Q280" t="n">
        <v>0</v>
      </c>
      <c r="R280" s="2" t="inlineStr"/>
    </row>
    <row r="281" ht="15" customHeight="1">
      <c r="A281" t="inlineStr">
        <is>
          <t>A 59648-2022</t>
        </is>
      </c>
      <c r="B281" s="1" t="n">
        <v>44907</v>
      </c>
      <c r="C281" s="1" t="n">
        <v>45890</v>
      </c>
      <c r="D281" t="inlineStr">
        <is>
          <t>JÄMTLANDS LÄN</t>
        </is>
      </c>
      <c r="E281" t="inlineStr">
        <is>
          <t>ÖSTERSUND</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14867-2025</t>
        </is>
      </c>
      <c r="B282" s="1" t="n">
        <v>45743.44207175926</v>
      </c>
      <c r="C282" s="1" t="n">
        <v>45890</v>
      </c>
      <c r="D282" t="inlineStr">
        <is>
          <t>JÄMTLANDS LÄN</t>
        </is>
      </c>
      <c r="E282" t="inlineStr">
        <is>
          <t>ÖSTERSUND</t>
        </is>
      </c>
      <c r="G282" t="n">
        <v>3.3</v>
      </c>
      <c r="H282" t="n">
        <v>0</v>
      </c>
      <c r="I282" t="n">
        <v>0</v>
      </c>
      <c r="J282" t="n">
        <v>0</v>
      </c>
      <c r="K282" t="n">
        <v>0</v>
      </c>
      <c r="L282" t="n">
        <v>0</v>
      </c>
      <c r="M282" t="n">
        <v>0</v>
      </c>
      <c r="N282" t="n">
        <v>0</v>
      </c>
      <c r="O282" t="n">
        <v>0</v>
      </c>
      <c r="P282" t="n">
        <v>0</v>
      </c>
      <c r="Q282" t="n">
        <v>0</v>
      </c>
      <c r="R282" s="2" t="inlineStr"/>
    </row>
    <row r="283" ht="15" customHeight="1">
      <c r="A283" t="inlineStr">
        <is>
          <t>A 29128-2022</t>
        </is>
      </c>
      <c r="B283" s="1" t="n">
        <v>44750</v>
      </c>
      <c r="C283" s="1" t="n">
        <v>45890</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45338-2024</t>
        </is>
      </c>
      <c r="B284" s="1" t="n">
        <v>45576.46905092592</v>
      </c>
      <c r="C284" s="1" t="n">
        <v>45890</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5544-2025</t>
        </is>
      </c>
      <c r="B285" s="1" t="n">
        <v>45693</v>
      </c>
      <c r="C285" s="1" t="n">
        <v>45890</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14118-2025</t>
        </is>
      </c>
      <c r="B286" s="1" t="n">
        <v>45740.46325231482</v>
      </c>
      <c r="C286" s="1" t="n">
        <v>45890</v>
      </c>
      <c r="D286" t="inlineStr">
        <is>
          <t>JÄMTLANDS LÄN</t>
        </is>
      </c>
      <c r="E286" t="inlineStr">
        <is>
          <t>ÖSTERSUND</t>
        </is>
      </c>
      <c r="G286" t="n">
        <v>3.6</v>
      </c>
      <c r="H286" t="n">
        <v>0</v>
      </c>
      <c r="I286" t="n">
        <v>0</v>
      </c>
      <c r="J286" t="n">
        <v>0</v>
      </c>
      <c r="K286" t="n">
        <v>0</v>
      </c>
      <c r="L286" t="n">
        <v>0</v>
      </c>
      <c r="M286" t="n">
        <v>0</v>
      </c>
      <c r="N286" t="n">
        <v>0</v>
      </c>
      <c r="O286" t="n">
        <v>0</v>
      </c>
      <c r="P286" t="n">
        <v>0</v>
      </c>
      <c r="Q286" t="n">
        <v>0</v>
      </c>
      <c r="R286" s="2" t="inlineStr"/>
    </row>
    <row r="287" ht="15" customHeight="1">
      <c r="A287" t="inlineStr">
        <is>
          <t>A 44489-2024</t>
        </is>
      </c>
      <c r="B287" s="1" t="n">
        <v>45574.38943287037</v>
      </c>
      <c r="C287" s="1" t="n">
        <v>45890</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2984-2024</t>
        </is>
      </c>
      <c r="B288" s="1" t="n">
        <v>45315</v>
      </c>
      <c r="C288" s="1" t="n">
        <v>45890</v>
      </c>
      <c r="D288" t="inlineStr">
        <is>
          <t>JÄMTLANDS LÄN</t>
        </is>
      </c>
      <c r="E288" t="inlineStr">
        <is>
          <t>ÖSTERSUND</t>
        </is>
      </c>
      <c r="G288" t="n">
        <v>0.7</v>
      </c>
      <c r="H288" t="n">
        <v>0</v>
      </c>
      <c r="I288" t="n">
        <v>0</v>
      </c>
      <c r="J288" t="n">
        <v>0</v>
      </c>
      <c r="K288" t="n">
        <v>0</v>
      </c>
      <c r="L288" t="n">
        <v>0</v>
      </c>
      <c r="M288" t="n">
        <v>0</v>
      </c>
      <c r="N288" t="n">
        <v>0</v>
      </c>
      <c r="O288" t="n">
        <v>0</v>
      </c>
      <c r="P288" t="n">
        <v>0</v>
      </c>
      <c r="Q288" t="n">
        <v>0</v>
      </c>
      <c r="R288" s="2" t="inlineStr"/>
    </row>
    <row r="289" ht="15" customHeight="1">
      <c r="A289" t="inlineStr">
        <is>
          <t>A 14514-2025</t>
        </is>
      </c>
      <c r="B289" s="1" t="n">
        <v>45741.6369212963</v>
      </c>
      <c r="C289" s="1" t="n">
        <v>45890</v>
      </c>
      <c r="D289" t="inlineStr">
        <is>
          <t>JÄMTLANDS LÄN</t>
        </is>
      </c>
      <c r="E289" t="inlineStr">
        <is>
          <t>ÖSTERSUND</t>
        </is>
      </c>
      <c r="F289" t="inlineStr">
        <is>
          <t>SCA</t>
        </is>
      </c>
      <c r="G289" t="n">
        <v>5.4</v>
      </c>
      <c r="H289" t="n">
        <v>0</v>
      </c>
      <c r="I289" t="n">
        <v>0</v>
      </c>
      <c r="J289" t="n">
        <v>0</v>
      </c>
      <c r="K289" t="n">
        <v>0</v>
      </c>
      <c r="L289" t="n">
        <v>0</v>
      </c>
      <c r="M289" t="n">
        <v>0</v>
      </c>
      <c r="N289" t="n">
        <v>0</v>
      </c>
      <c r="O289" t="n">
        <v>0</v>
      </c>
      <c r="P289" t="n">
        <v>0</v>
      </c>
      <c r="Q289" t="n">
        <v>0</v>
      </c>
      <c r="R289" s="2" t="inlineStr"/>
    </row>
    <row r="290" ht="15" customHeight="1">
      <c r="A290" t="inlineStr">
        <is>
          <t>A 55002-2024</t>
        </is>
      </c>
      <c r="B290" s="1" t="n">
        <v>45621</v>
      </c>
      <c r="C290" s="1" t="n">
        <v>45890</v>
      </c>
      <c r="D290" t="inlineStr">
        <is>
          <t>JÄMTLANDS LÄN</t>
        </is>
      </c>
      <c r="E290" t="inlineStr">
        <is>
          <t>ÖSTERSUND</t>
        </is>
      </c>
      <c r="F290" t="inlineStr">
        <is>
          <t>Övriga Aktiebolag</t>
        </is>
      </c>
      <c r="G290" t="n">
        <v>0.3</v>
      </c>
      <c r="H290" t="n">
        <v>0</v>
      </c>
      <c r="I290" t="n">
        <v>0</v>
      </c>
      <c r="J290" t="n">
        <v>0</v>
      </c>
      <c r="K290" t="n">
        <v>0</v>
      </c>
      <c r="L290" t="n">
        <v>0</v>
      </c>
      <c r="M290" t="n">
        <v>0</v>
      </c>
      <c r="N290" t="n">
        <v>0</v>
      </c>
      <c r="O290" t="n">
        <v>0</v>
      </c>
      <c r="P290" t="n">
        <v>0</v>
      </c>
      <c r="Q290" t="n">
        <v>0</v>
      </c>
      <c r="R290" s="2" t="inlineStr"/>
    </row>
    <row r="291" ht="15" customHeight="1">
      <c r="A291" t="inlineStr">
        <is>
          <t>A 15651-2025</t>
        </is>
      </c>
      <c r="B291" s="1" t="n">
        <v>45748.40208333333</v>
      </c>
      <c r="C291" s="1" t="n">
        <v>45890</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55666-2023</t>
        </is>
      </c>
      <c r="B292" s="1" t="n">
        <v>45238.96770833333</v>
      </c>
      <c r="C292" s="1" t="n">
        <v>45890</v>
      </c>
      <c r="D292" t="inlineStr">
        <is>
          <t>JÄMTLANDS LÄN</t>
        </is>
      </c>
      <c r="E292" t="inlineStr">
        <is>
          <t>ÖSTERSUND</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9109-2024</t>
        </is>
      </c>
      <c r="B293" s="1" t="n">
        <v>45357.96106481482</v>
      </c>
      <c r="C293" s="1" t="n">
        <v>45890</v>
      </c>
      <c r="D293" t="inlineStr">
        <is>
          <t>JÄMTLANDS LÄN</t>
        </is>
      </c>
      <c r="E293" t="inlineStr">
        <is>
          <t>ÖSTERSUND</t>
        </is>
      </c>
      <c r="G293" t="n">
        <v>17.1</v>
      </c>
      <c r="H293" t="n">
        <v>0</v>
      </c>
      <c r="I293" t="n">
        <v>0</v>
      </c>
      <c r="J293" t="n">
        <v>0</v>
      </c>
      <c r="K293" t="n">
        <v>0</v>
      </c>
      <c r="L293" t="n">
        <v>0</v>
      </c>
      <c r="M293" t="n">
        <v>0</v>
      </c>
      <c r="N293" t="n">
        <v>0</v>
      </c>
      <c r="O293" t="n">
        <v>0</v>
      </c>
      <c r="P293" t="n">
        <v>0</v>
      </c>
      <c r="Q293" t="n">
        <v>0</v>
      </c>
      <c r="R293" s="2" t="inlineStr"/>
    </row>
    <row r="294" ht="15" customHeight="1">
      <c r="A294" t="inlineStr">
        <is>
          <t>A 19664-2025</t>
        </is>
      </c>
      <c r="B294" s="1" t="n">
        <v>45770.6925462963</v>
      </c>
      <c r="C294" s="1" t="n">
        <v>45890</v>
      </c>
      <c r="D294" t="inlineStr">
        <is>
          <t>JÄMTLANDS LÄN</t>
        </is>
      </c>
      <c r="E294" t="inlineStr">
        <is>
          <t>ÖSTERSUND</t>
        </is>
      </c>
      <c r="G294" t="n">
        <v>8.6</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45890</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4707-2024</t>
        </is>
      </c>
      <c r="B296" s="1" t="n">
        <v>45328</v>
      </c>
      <c r="C296" s="1" t="n">
        <v>45890</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7549-2025</t>
        </is>
      </c>
      <c r="B297" s="1" t="n">
        <v>45705.57454861111</v>
      </c>
      <c r="C297" s="1" t="n">
        <v>45890</v>
      </c>
      <c r="D297" t="inlineStr">
        <is>
          <t>JÄMTLANDS LÄN</t>
        </is>
      </c>
      <c r="E297" t="inlineStr">
        <is>
          <t>ÖSTERSUND</t>
        </is>
      </c>
      <c r="F297" t="inlineStr">
        <is>
          <t>SCA</t>
        </is>
      </c>
      <c r="G297" t="n">
        <v>6.4</v>
      </c>
      <c r="H297" t="n">
        <v>0</v>
      </c>
      <c r="I297" t="n">
        <v>0</v>
      </c>
      <c r="J297" t="n">
        <v>0</v>
      </c>
      <c r="K297" t="n">
        <v>0</v>
      </c>
      <c r="L297" t="n">
        <v>0</v>
      </c>
      <c r="M297" t="n">
        <v>0</v>
      </c>
      <c r="N297" t="n">
        <v>0</v>
      </c>
      <c r="O297" t="n">
        <v>0</v>
      </c>
      <c r="P297" t="n">
        <v>0</v>
      </c>
      <c r="Q297" t="n">
        <v>0</v>
      </c>
      <c r="R297" s="2" t="inlineStr"/>
    </row>
    <row r="298" ht="15" customHeight="1">
      <c r="A298" t="inlineStr">
        <is>
          <t>A 11740-2022</t>
        </is>
      </c>
      <c r="B298" s="1" t="n">
        <v>44634.52982638889</v>
      </c>
      <c r="C298" s="1" t="n">
        <v>45890</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231-2022</t>
        </is>
      </c>
      <c r="B299" s="1" t="n">
        <v>44564.93909722222</v>
      </c>
      <c r="C299" s="1" t="n">
        <v>45890</v>
      </c>
      <c r="D299" t="inlineStr">
        <is>
          <t>JÄMTLANDS LÄN</t>
        </is>
      </c>
      <c r="E299" t="inlineStr">
        <is>
          <t>ÖSTERSUND</t>
        </is>
      </c>
      <c r="G299" t="n">
        <v>1.9</v>
      </c>
      <c r="H299" t="n">
        <v>0</v>
      </c>
      <c r="I299" t="n">
        <v>0</v>
      </c>
      <c r="J299" t="n">
        <v>0</v>
      </c>
      <c r="K299" t="n">
        <v>0</v>
      </c>
      <c r="L299" t="n">
        <v>0</v>
      </c>
      <c r="M299" t="n">
        <v>0</v>
      </c>
      <c r="N299" t="n">
        <v>0</v>
      </c>
      <c r="O299" t="n">
        <v>0</v>
      </c>
      <c r="P299" t="n">
        <v>0</v>
      </c>
      <c r="Q299" t="n">
        <v>0</v>
      </c>
      <c r="R299" s="2" t="inlineStr"/>
    </row>
    <row r="300" ht="15" customHeight="1">
      <c r="A300" t="inlineStr">
        <is>
          <t>A 58952-2024</t>
        </is>
      </c>
      <c r="B300" s="1" t="n">
        <v>45636.5674537037</v>
      </c>
      <c r="C300" s="1" t="n">
        <v>45890</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7941-2025</t>
        </is>
      </c>
      <c r="B301" s="1" t="n">
        <v>45707</v>
      </c>
      <c r="C301" s="1" t="n">
        <v>45890</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46748-2023</t>
        </is>
      </c>
      <c r="B302" s="1" t="n">
        <v>45198</v>
      </c>
      <c r="C302" s="1" t="n">
        <v>45890</v>
      </c>
      <c r="D302" t="inlineStr">
        <is>
          <t>JÄMTLANDS LÄN</t>
        </is>
      </c>
      <c r="E302" t="inlineStr">
        <is>
          <t>ÖSTERSUND</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46763-2023</t>
        </is>
      </c>
      <c r="B303" s="1" t="n">
        <v>45198</v>
      </c>
      <c r="C303" s="1" t="n">
        <v>45890</v>
      </c>
      <c r="D303" t="inlineStr">
        <is>
          <t>JÄMTLANDS LÄN</t>
        </is>
      </c>
      <c r="E303" t="inlineStr">
        <is>
          <t>ÖSTERSUND</t>
        </is>
      </c>
      <c r="F303" t="inlineStr">
        <is>
          <t>Sveaskog</t>
        </is>
      </c>
      <c r="G303" t="n">
        <v>13.3</v>
      </c>
      <c r="H303" t="n">
        <v>0</v>
      </c>
      <c r="I303" t="n">
        <v>0</v>
      </c>
      <c r="J303" t="n">
        <v>0</v>
      </c>
      <c r="K303" t="n">
        <v>0</v>
      </c>
      <c r="L303" t="n">
        <v>0</v>
      </c>
      <c r="M303" t="n">
        <v>0</v>
      </c>
      <c r="N303" t="n">
        <v>0</v>
      </c>
      <c r="O303" t="n">
        <v>0</v>
      </c>
      <c r="P303" t="n">
        <v>0</v>
      </c>
      <c r="Q303" t="n">
        <v>0</v>
      </c>
      <c r="R303" s="2" t="inlineStr"/>
    </row>
    <row r="304" ht="15" customHeight="1">
      <c r="A304" t="inlineStr">
        <is>
          <t>A 5341-2025</t>
        </is>
      </c>
      <c r="B304" s="1" t="n">
        <v>45692.55256944444</v>
      </c>
      <c r="C304" s="1" t="n">
        <v>45890</v>
      </c>
      <c r="D304" t="inlineStr">
        <is>
          <t>JÄMTLANDS LÄN</t>
        </is>
      </c>
      <c r="E304" t="inlineStr">
        <is>
          <t>ÖSTERSUND</t>
        </is>
      </c>
      <c r="G304" t="n">
        <v>2.6</v>
      </c>
      <c r="H304" t="n">
        <v>0</v>
      </c>
      <c r="I304" t="n">
        <v>0</v>
      </c>
      <c r="J304" t="n">
        <v>0</v>
      </c>
      <c r="K304" t="n">
        <v>0</v>
      </c>
      <c r="L304" t="n">
        <v>0</v>
      </c>
      <c r="M304" t="n">
        <v>0</v>
      </c>
      <c r="N304" t="n">
        <v>0</v>
      </c>
      <c r="O304" t="n">
        <v>0</v>
      </c>
      <c r="P304" t="n">
        <v>0</v>
      </c>
      <c r="Q304" t="n">
        <v>0</v>
      </c>
      <c r="R304" s="2" t="inlineStr"/>
    </row>
    <row r="305" ht="15" customHeight="1">
      <c r="A305" t="inlineStr">
        <is>
          <t>A 21060-2025</t>
        </is>
      </c>
      <c r="B305" s="1" t="n">
        <v>45777.58025462963</v>
      </c>
      <c r="C305" s="1" t="n">
        <v>45890</v>
      </c>
      <c r="D305" t="inlineStr">
        <is>
          <t>JÄMTLANDS LÄN</t>
        </is>
      </c>
      <c r="E305" t="inlineStr">
        <is>
          <t>ÖSTERSUND</t>
        </is>
      </c>
      <c r="G305" t="n">
        <v>2.9</v>
      </c>
      <c r="H305" t="n">
        <v>0</v>
      </c>
      <c r="I305" t="n">
        <v>0</v>
      </c>
      <c r="J305" t="n">
        <v>0</v>
      </c>
      <c r="K305" t="n">
        <v>0</v>
      </c>
      <c r="L305" t="n">
        <v>0</v>
      </c>
      <c r="M305" t="n">
        <v>0</v>
      </c>
      <c r="N305" t="n">
        <v>0</v>
      </c>
      <c r="O305" t="n">
        <v>0</v>
      </c>
      <c r="P305" t="n">
        <v>0</v>
      </c>
      <c r="Q305" t="n">
        <v>0</v>
      </c>
      <c r="R305" s="2" t="inlineStr"/>
    </row>
    <row r="306" ht="15" customHeight="1">
      <c r="A306" t="inlineStr">
        <is>
          <t>A 21094-2025</t>
        </is>
      </c>
      <c r="B306" s="1" t="n">
        <v>45777.62665509259</v>
      </c>
      <c r="C306" s="1" t="n">
        <v>45890</v>
      </c>
      <c r="D306" t="inlineStr">
        <is>
          <t>JÄMTLANDS LÄN</t>
        </is>
      </c>
      <c r="E306" t="inlineStr">
        <is>
          <t>ÖSTERSUND</t>
        </is>
      </c>
      <c r="G306" t="n">
        <v>3.3</v>
      </c>
      <c r="H306" t="n">
        <v>0</v>
      </c>
      <c r="I306" t="n">
        <v>0</v>
      </c>
      <c r="J306" t="n">
        <v>0</v>
      </c>
      <c r="K306" t="n">
        <v>0</v>
      </c>
      <c r="L306" t="n">
        <v>0</v>
      </c>
      <c r="M306" t="n">
        <v>0</v>
      </c>
      <c r="N306" t="n">
        <v>0</v>
      </c>
      <c r="O306" t="n">
        <v>0</v>
      </c>
      <c r="P306" t="n">
        <v>0</v>
      </c>
      <c r="Q306" t="n">
        <v>0</v>
      </c>
      <c r="R306" s="2" t="inlineStr"/>
    </row>
    <row r="307" ht="15" customHeight="1">
      <c r="A307" t="inlineStr">
        <is>
          <t>A 20674-2025</t>
        </is>
      </c>
      <c r="B307" s="1" t="n">
        <v>45776.44195601852</v>
      </c>
      <c r="C307" s="1" t="n">
        <v>45890</v>
      </c>
      <c r="D307" t="inlineStr">
        <is>
          <t>JÄMTLANDS LÄN</t>
        </is>
      </c>
      <c r="E307" t="inlineStr">
        <is>
          <t>ÖSTERSUND</t>
        </is>
      </c>
      <c r="G307" t="n">
        <v>4.5</v>
      </c>
      <c r="H307" t="n">
        <v>0</v>
      </c>
      <c r="I307" t="n">
        <v>0</v>
      </c>
      <c r="J307" t="n">
        <v>0</v>
      </c>
      <c r="K307" t="n">
        <v>0</v>
      </c>
      <c r="L307" t="n">
        <v>0</v>
      </c>
      <c r="M307" t="n">
        <v>0</v>
      </c>
      <c r="N307" t="n">
        <v>0</v>
      </c>
      <c r="O307" t="n">
        <v>0</v>
      </c>
      <c r="P307" t="n">
        <v>0</v>
      </c>
      <c r="Q307" t="n">
        <v>0</v>
      </c>
      <c r="R307" s="2" t="inlineStr"/>
    </row>
    <row r="308" ht="15" customHeight="1">
      <c r="A308" t="inlineStr">
        <is>
          <t>A 14523-2023</t>
        </is>
      </c>
      <c r="B308" s="1" t="n">
        <v>45012</v>
      </c>
      <c r="C308" s="1" t="n">
        <v>45890</v>
      </c>
      <c r="D308" t="inlineStr">
        <is>
          <t>JÄMTLANDS LÄN</t>
        </is>
      </c>
      <c r="E308" t="inlineStr">
        <is>
          <t>ÖSTERSUND</t>
        </is>
      </c>
      <c r="G308" t="n">
        <v>4.5</v>
      </c>
      <c r="H308" t="n">
        <v>0</v>
      </c>
      <c r="I308" t="n">
        <v>0</v>
      </c>
      <c r="J308" t="n">
        <v>0</v>
      </c>
      <c r="K308" t="n">
        <v>0</v>
      </c>
      <c r="L308" t="n">
        <v>0</v>
      </c>
      <c r="M308" t="n">
        <v>0</v>
      </c>
      <c r="N308" t="n">
        <v>0</v>
      </c>
      <c r="O308" t="n">
        <v>0</v>
      </c>
      <c r="P308" t="n">
        <v>0</v>
      </c>
      <c r="Q308" t="n">
        <v>0</v>
      </c>
      <c r="R308" s="2" t="inlineStr"/>
    </row>
    <row r="309" ht="15" customHeight="1">
      <c r="A309" t="inlineStr">
        <is>
          <t>A 5549-2025</t>
        </is>
      </c>
      <c r="B309" s="1" t="n">
        <v>45693</v>
      </c>
      <c r="C309" s="1" t="n">
        <v>45890</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5553-2025</t>
        </is>
      </c>
      <c r="B310" s="1" t="n">
        <v>45693</v>
      </c>
      <c r="C310" s="1" t="n">
        <v>45890</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60560-2022</t>
        </is>
      </c>
      <c r="B311" s="1" t="n">
        <v>44911.54984953703</v>
      </c>
      <c r="C311" s="1" t="n">
        <v>45890</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11181-2025</t>
        </is>
      </c>
      <c r="B312" s="1" t="n">
        <v>45725.44039351852</v>
      </c>
      <c r="C312" s="1" t="n">
        <v>45890</v>
      </c>
      <c r="D312" t="inlineStr">
        <is>
          <t>JÄMTLANDS LÄN</t>
        </is>
      </c>
      <c r="E312" t="inlineStr">
        <is>
          <t>ÖSTERSUND</t>
        </is>
      </c>
      <c r="G312" t="n">
        <v>15.4</v>
      </c>
      <c r="H312" t="n">
        <v>0</v>
      </c>
      <c r="I312" t="n">
        <v>0</v>
      </c>
      <c r="J312" t="n">
        <v>0</v>
      </c>
      <c r="K312" t="n">
        <v>0</v>
      </c>
      <c r="L312" t="n">
        <v>0</v>
      </c>
      <c r="M312" t="n">
        <v>0</v>
      </c>
      <c r="N312" t="n">
        <v>0</v>
      </c>
      <c r="O312" t="n">
        <v>0</v>
      </c>
      <c r="P312" t="n">
        <v>0</v>
      </c>
      <c r="Q312" t="n">
        <v>0</v>
      </c>
      <c r="R312" s="2" t="inlineStr"/>
    </row>
    <row r="313" ht="15" customHeight="1">
      <c r="A313" t="inlineStr">
        <is>
          <t>A 21237-2025</t>
        </is>
      </c>
      <c r="B313" s="1" t="n">
        <v>45779</v>
      </c>
      <c r="C313" s="1" t="n">
        <v>45890</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16812-2025</t>
        </is>
      </c>
      <c r="B314" s="1" t="n">
        <v>45754</v>
      </c>
      <c r="C314" s="1" t="n">
        <v>45890</v>
      </c>
      <c r="D314" t="inlineStr">
        <is>
          <t>JÄMTLANDS LÄN</t>
        </is>
      </c>
      <c r="E314" t="inlineStr">
        <is>
          <t>ÖSTERSUND</t>
        </is>
      </c>
      <c r="F314" t="inlineStr">
        <is>
          <t>Övriga statliga verk och myndigheter</t>
        </is>
      </c>
      <c r="G314" t="n">
        <v>3.7</v>
      </c>
      <c r="H314" t="n">
        <v>0</v>
      </c>
      <c r="I314" t="n">
        <v>0</v>
      </c>
      <c r="J314" t="n">
        <v>0</v>
      </c>
      <c r="K314" t="n">
        <v>0</v>
      </c>
      <c r="L314" t="n">
        <v>0</v>
      </c>
      <c r="M314" t="n">
        <v>0</v>
      </c>
      <c r="N314" t="n">
        <v>0</v>
      </c>
      <c r="O314" t="n">
        <v>0</v>
      </c>
      <c r="P314" t="n">
        <v>0</v>
      </c>
      <c r="Q314" t="n">
        <v>0</v>
      </c>
      <c r="R314" s="2" t="inlineStr"/>
    </row>
    <row r="315" ht="15" customHeight="1">
      <c r="A315" t="inlineStr">
        <is>
          <t>A 14848-2025</t>
        </is>
      </c>
      <c r="B315" s="1" t="n">
        <v>45743.39528935185</v>
      </c>
      <c r="C315" s="1" t="n">
        <v>45890</v>
      </c>
      <c r="D315" t="inlineStr">
        <is>
          <t>JÄMTLANDS LÄN</t>
        </is>
      </c>
      <c r="E315" t="inlineStr">
        <is>
          <t>ÖSTERSUND</t>
        </is>
      </c>
      <c r="G315" t="n">
        <v>12.1</v>
      </c>
      <c r="H315" t="n">
        <v>0</v>
      </c>
      <c r="I315" t="n">
        <v>0</v>
      </c>
      <c r="J315" t="n">
        <v>0</v>
      </c>
      <c r="K315" t="n">
        <v>0</v>
      </c>
      <c r="L315" t="n">
        <v>0</v>
      </c>
      <c r="M315" t="n">
        <v>0</v>
      </c>
      <c r="N315" t="n">
        <v>0</v>
      </c>
      <c r="O315" t="n">
        <v>0</v>
      </c>
      <c r="P315" t="n">
        <v>0</v>
      </c>
      <c r="Q315" t="n">
        <v>0</v>
      </c>
      <c r="R315" s="2" t="inlineStr"/>
    </row>
    <row r="316" ht="15" customHeight="1">
      <c r="A316" t="inlineStr">
        <is>
          <t>A 16725-2025</t>
        </is>
      </c>
      <c r="B316" s="1" t="n">
        <v>45754</v>
      </c>
      <c r="C316" s="1" t="n">
        <v>45890</v>
      </c>
      <c r="D316" t="inlineStr">
        <is>
          <t>JÄMTLANDS LÄN</t>
        </is>
      </c>
      <c r="E316" t="inlineStr">
        <is>
          <t>ÖSTERSUND</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5140-2025</t>
        </is>
      </c>
      <c r="B317" s="1" t="n">
        <v>45691</v>
      </c>
      <c r="C317" s="1" t="n">
        <v>45890</v>
      </c>
      <c r="D317" t="inlineStr">
        <is>
          <t>JÄMTLANDS LÄN</t>
        </is>
      </c>
      <c r="E317" t="inlineStr">
        <is>
          <t>ÖSTERSUND</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1159-2024</t>
        </is>
      </c>
      <c r="B318" s="1" t="n">
        <v>45302.52006944444</v>
      </c>
      <c r="C318" s="1" t="n">
        <v>45890</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21704-2025</t>
        </is>
      </c>
      <c r="B319" s="1" t="n">
        <v>45783.51381944444</v>
      </c>
      <c r="C319" s="1" t="n">
        <v>45890</v>
      </c>
      <c r="D319" t="inlineStr">
        <is>
          <t>JÄMTLANDS LÄN</t>
        </is>
      </c>
      <c r="E319" t="inlineStr">
        <is>
          <t>ÖSTERSUND</t>
        </is>
      </c>
      <c r="G319" t="n">
        <v>4.2</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45890</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60174-2022</t>
        </is>
      </c>
      <c r="B321" s="1" t="n">
        <v>44909.9640162037</v>
      </c>
      <c r="C321" s="1" t="n">
        <v>45890</v>
      </c>
      <c r="D321" t="inlineStr">
        <is>
          <t>JÄMTLANDS LÄN</t>
        </is>
      </c>
      <c r="E321" t="inlineStr">
        <is>
          <t>ÖSTERSUND</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15669-2025</t>
        </is>
      </c>
      <c r="B322" s="1" t="n">
        <v>45748.4396412037</v>
      </c>
      <c r="C322" s="1" t="n">
        <v>45890</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43016-2024</t>
        </is>
      </c>
      <c r="B323" s="1" t="n">
        <v>45567.39192129629</v>
      </c>
      <c r="C323" s="1" t="n">
        <v>45890</v>
      </c>
      <c r="D323" t="inlineStr">
        <is>
          <t>JÄMTLANDS LÄN</t>
        </is>
      </c>
      <c r="E323" t="inlineStr">
        <is>
          <t>ÖSTERSUND</t>
        </is>
      </c>
      <c r="G323" t="n">
        <v>5.3</v>
      </c>
      <c r="H323" t="n">
        <v>0</v>
      </c>
      <c r="I323" t="n">
        <v>0</v>
      </c>
      <c r="J323" t="n">
        <v>0</v>
      </c>
      <c r="K323" t="n">
        <v>0</v>
      </c>
      <c r="L323" t="n">
        <v>0</v>
      </c>
      <c r="M323" t="n">
        <v>0</v>
      </c>
      <c r="N323" t="n">
        <v>0</v>
      </c>
      <c r="O323" t="n">
        <v>0</v>
      </c>
      <c r="P323" t="n">
        <v>0</v>
      </c>
      <c r="Q323" t="n">
        <v>0</v>
      </c>
      <c r="R323" s="2" t="inlineStr"/>
    </row>
    <row r="324" ht="15" customHeight="1">
      <c r="A324" t="inlineStr">
        <is>
          <t>A 4480-2025</t>
        </is>
      </c>
      <c r="B324" s="1" t="n">
        <v>45686.64175925926</v>
      </c>
      <c r="C324" s="1" t="n">
        <v>45890</v>
      </c>
      <c r="D324" t="inlineStr">
        <is>
          <t>JÄMTLANDS LÄN</t>
        </is>
      </c>
      <c r="E324" t="inlineStr">
        <is>
          <t>ÖSTERSUND</t>
        </is>
      </c>
      <c r="G324" t="n">
        <v>27.7</v>
      </c>
      <c r="H324" t="n">
        <v>0</v>
      </c>
      <c r="I324" t="n">
        <v>0</v>
      </c>
      <c r="J324" t="n">
        <v>0</v>
      </c>
      <c r="K324" t="n">
        <v>0</v>
      </c>
      <c r="L324" t="n">
        <v>0</v>
      </c>
      <c r="M324" t="n">
        <v>0</v>
      </c>
      <c r="N324" t="n">
        <v>0</v>
      </c>
      <c r="O324" t="n">
        <v>0</v>
      </c>
      <c r="P324" t="n">
        <v>0</v>
      </c>
      <c r="Q324" t="n">
        <v>0</v>
      </c>
      <c r="R324" s="2" t="inlineStr"/>
    </row>
    <row r="325" ht="15" customHeight="1">
      <c r="A325" t="inlineStr">
        <is>
          <t>A 51481-2023</t>
        </is>
      </c>
      <c r="B325" s="1" t="n">
        <v>45221.92440972223</v>
      </c>
      <c r="C325" s="1" t="n">
        <v>45890</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22612-2025</t>
        </is>
      </c>
      <c r="B326" s="1" t="n">
        <v>45789.42538194444</v>
      </c>
      <c r="C326" s="1" t="n">
        <v>45890</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3122-2025</t>
        </is>
      </c>
      <c r="B327" s="1" t="n">
        <v>45678</v>
      </c>
      <c r="C327" s="1" t="n">
        <v>45890</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60575-2022</t>
        </is>
      </c>
      <c r="B328" s="1" t="n">
        <v>44911.5662037037</v>
      </c>
      <c r="C328" s="1" t="n">
        <v>45890</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8675-2023</t>
        </is>
      </c>
      <c r="B329" s="1" t="n">
        <v>44977.98629629629</v>
      </c>
      <c r="C329" s="1" t="n">
        <v>45890</v>
      </c>
      <c r="D329" t="inlineStr">
        <is>
          <t>JÄMTLANDS LÄN</t>
        </is>
      </c>
      <c r="E329" t="inlineStr">
        <is>
          <t>ÖSTERSUND</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17948-2025</t>
        </is>
      </c>
      <c r="B330" s="1" t="n">
        <v>45760.66995370371</v>
      </c>
      <c r="C330" s="1" t="n">
        <v>45890</v>
      </c>
      <c r="D330" t="inlineStr">
        <is>
          <t>JÄMTLANDS LÄN</t>
        </is>
      </c>
      <c r="E330" t="inlineStr">
        <is>
          <t>ÖSTERSUND</t>
        </is>
      </c>
      <c r="G330" t="n">
        <v>3.9</v>
      </c>
      <c r="H330" t="n">
        <v>0</v>
      </c>
      <c r="I330" t="n">
        <v>0</v>
      </c>
      <c r="J330" t="n">
        <v>0</v>
      </c>
      <c r="K330" t="n">
        <v>0</v>
      </c>
      <c r="L330" t="n">
        <v>0</v>
      </c>
      <c r="M330" t="n">
        <v>0</v>
      </c>
      <c r="N330" t="n">
        <v>0</v>
      </c>
      <c r="O330" t="n">
        <v>0</v>
      </c>
      <c r="P330" t="n">
        <v>0</v>
      </c>
      <c r="Q330" t="n">
        <v>0</v>
      </c>
      <c r="R330" s="2" t="inlineStr"/>
    </row>
    <row r="331" ht="15" customHeight="1">
      <c r="A331" t="inlineStr">
        <is>
          <t>A 53060-2024</t>
        </is>
      </c>
      <c r="B331" s="1" t="n">
        <v>45611.46912037037</v>
      </c>
      <c r="C331" s="1" t="n">
        <v>45890</v>
      </c>
      <c r="D331" t="inlineStr">
        <is>
          <t>JÄMTLANDS LÄN</t>
        </is>
      </c>
      <c r="E331" t="inlineStr">
        <is>
          <t>ÖSTERSUND</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6048-2024</t>
        </is>
      </c>
      <c r="B332" s="1" t="n">
        <v>45336</v>
      </c>
      <c r="C332" s="1" t="n">
        <v>45890</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4520-2025</t>
        </is>
      </c>
      <c r="B333" s="1" t="n">
        <v>45686.92384259259</v>
      </c>
      <c r="C333" s="1" t="n">
        <v>45890</v>
      </c>
      <c r="D333" t="inlineStr">
        <is>
          <t>JÄMTLANDS LÄN</t>
        </is>
      </c>
      <c r="E333" t="inlineStr">
        <is>
          <t>ÖSTERSUND</t>
        </is>
      </c>
      <c r="G333" t="n">
        <v>15.2</v>
      </c>
      <c r="H333" t="n">
        <v>0</v>
      </c>
      <c r="I333" t="n">
        <v>0</v>
      </c>
      <c r="J333" t="n">
        <v>0</v>
      </c>
      <c r="K333" t="n">
        <v>0</v>
      </c>
      <c r="L333" t="n">
        <v>0</v>
      </c>
      <c r="M333" t="n">
        <v>0</v>
      </c>
      <c r="N333" t="n">
        <v>0</v>
      </c>
      <c r="O333" t="n">
        <v>0</v>
      </c>
      <c r="P333" t="n">
        <v>0</v>
      </c>
      <c r="Q333" t="n">
        <v>0</v>
      </c>
      <c r="R333" s="2" t="inlineStr"/>
    </row>
    <row r="334" ht="15" customHeight="1">
      <c r="A334" t="inlineStr">
        <is>
          <t>A 4523-2025</t>
        </is>
      </c>
      <c r="B334" s="1" t="n">
        <v>45686.92864583333</v>
      </c>
      <c r="C334" s="1" t="n">
        <v>45890</v>
      </c>
      <c r="D334" t="inlineStr">
        <is>
          <t>JÄMTLANDS LÄN</t>
        </is>
      </c>
      <c r="E334" t="inlineStr">
        <is>
          <t>ÖSTERSUND</t>
        </is>
      </c>
      <c r="G334" t="n">
        <v>15.2</v>
      </c>
      <c r="H334" t="n">
        <v>0</v>
      </c>
      <c r="I334" t="n">
        <v>0</v>
      </c>
      <c r="J334" t="n">
        <v>0</v>
      </c>
      <c r="K334" t="n">
        <v>0</v>
      </c>
      <c r="L334" t="n">
        <v>0</v>
      </c>
      <c r="M334" t="n">
        <v>0</v>
      </c>
      <c r="N334" t="n">
        <v>0</v>
      </c>
      <c r="O334" t="n">
        <v>0</v>
      </c>
      <c r="P334" t="n">
        <v>0</v>
      </c>
      <c r="Q334" t="n">
        <v>0</v>
      </c>
      <c r="R334" s="2" t="inlineStr"/>
    </row>
    <row r="335" ht="15" customHeight="1">
      <c r="A335" t="inlineStr">
        <is>
          <t>A 22713-2025</t>
        </is>
      </c>
      <c r="B335" s="1" t="n">
        <v>45789.56414351852</v>
      </c>
      <c r="C335" s="1" t="n">
        <v>45890</v>
      </c>
      <c r="D335" t="inlineStr">
        <is>
          <t>JÄMTLANDS LÄN</t>
        </is>
      </c>
      <c r="E335" t="inlineStr">
        <is>
          <t>ÖSTERSUND</t>
        </is>
      </c>
      <c r="G335" t="n">
        <v>0.8</v>
      </c>
      <c r="H335" t="n">
        <v>0</v>
      </c>
      <c r="I335" t="n">
        <v>0</v>
      </c>
      <c r="J335" t="n">
        <v>0</v>
      </c>
      <c r="K335" t="n">
        <v>0</v>
      </c>
      <c r="L335" t="n">
        <v>0</v>
      </c>
      <c r="M335" t="n">
        <v>0</v>
      </c>
      <c r="N335" t="n">
        <v>0</v>
      </c>
      <c r="O335" t="n">
        <v>0</v>
      </c>
      <c r="P335" t="n">
        <v>0</v>
      </c>
      <c r="Q335" t="n">
        <v>0</v>
      </c>
      <c r="R335" s="2" t="inlineStr"/>
    </row>
    <row r="336" ht="15" customHeight="1">
      <c r="A336" t="inlineStr">
        <is>
          <t>A 23555-2022</t>
        </is>
      </c>
      <c r="B336" s="1" t="n">
        <v>44721</v>
      </c>
      <c r="C336" s="1" t="n">
        <v>45890</v>
      </c>
      <c r="D336" t="inlineStr">
        <is>
          <t>JÄMTLANDS LÄN</t>
        </is>
      </c>
      <c r="E336" t="inlineStr">
        <is>
          <t>ÖSTERSUND</t>
        </is>
      </c>
      <c r="G336" t="n">
        <v>1.2</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45890</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54237-2024</t>
        </is>
      </c>
      <c r="B338" s="1" t="n">
        <v>45616.67833333334</v>
      </c>
      <c r="C338" s="1" t="n">
        <v>45890</v>
      </c>
      <c r="D338" t="inlineStr">
        <is>
          <t>JÄMTLANDS LÄN</t>
        </is>
      </c>
      <c r="E338" t="inlineStr">
        <is>
          <t>ÖSTERSUND</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296-2023</t>
        </is>
      </c>
      <c r="B339" s="1" t="n">
        <v>44922</v>
      </c>
      <c r="C339" s="1" t="n">
        <v>45890</v>
      </c>
      <c r="D339" t="inlineStr">
        <is>
          <t>JÄMTLANDS LÄN</t>
        </is>
      </c>
      <c r="E339" t="inlineStr">
        <is>
          <t>ÖSTERSUND</t>
        </is>
      </c>
      <c r="G339" t="n">
        <v>0.8</v>
      </c>
      <c r="H339" t="n">
        <v>0</v>
      </c>
      <c r="I339" t="n">
        <v>0</v>
      </c>
      <c r="J339" t="n">
        <v>0</v>
      </c>
      <c r="K339" t="n">
        <v>0</v>
      </c>
      <c r="L339" t="n">
        <v>0</v>
      </c>
      <c r="M339" t="n">
        <v>0</v>
      </c>
      <c r="N339" t="n">
        <v>0</v>
      </c>
      <c r="O339" t="n">
        <v>0</v>
      </c>
      <c r="P339" t="n">
        <v>0</v>
      </c>
      <c r="Q339" t="n">
        <v>0</v>
      </c>
      <c r="R339" s="2" t="inlineStr"/>
    </row>
    <row r="340" ht="15" customHeight="1">
      <c r="A340" t="inlineStr">
        <is>
          <t>A 17732-2022</t>
        </is>
      </c>
      <c r="B340" s="1" t="n">
        <v>44680.92873842592</v>
      </c>
      <c r="C340" s="1" t="n">
        <v>45890</v>
      </c>
      <c r="D340" t="inlineStr">
        <is>
          <t>JÄMTLANDS LÄN</t>
        </is>
      </c>
      <c r="E340" t="inlineStr">
        <is>
          <t>ÖSTERSUND</t>
        </is>
      </c>
      <c r="G340" t="n">
        <v>5.4</v>
      </c>
      <c r="H340" t="n">
        <v>0</v>
      </c>
      <c r="I340" t="n">
        <v>0</v>
      </c>
      <c r="J340" t="n">
        <v>0</v>
      </c>
      <c r="K340" t="n">
        <v>0</v>
      </c>
      <c r="L340" t="n">
        <v>0</v>
      </c>
      <c r="M340" t="n">
        <v>0</v>
      </c>
      <c r="N340" t="n">
        <v>0</v>
      </c>
      <c r="O340" t="n">
        <v>0</v>
      </c>
      <c r="P340" t="n">
        <v>0</v>
      </c>
      <c r="Q340" t="n">
        <v>0</v>
      </c>
      <c r="R340" s="2" t="inlineStr"/>
    </row>
    <row r="341" ht="15" customHeight="1">
      <c r="A341" t="inlineStr">
        <is>
          <t>A 22822-2025</t>
        </is>
      </c>
      <c r="B341" s="1" t="n">
        <v>45789</v>
      </c>
      <c r="C341" s="1" t="n">
        <v>45890</v>
      </c>
      <c r="D341" t="inlineStr">
        <is>
          <t>JÄMTLANDS LÄN</t>
        </is>
      </c>
      <c r="E341" t="inlineStr">
        <is>
          <t>ÖSTERSUND</t>
        </is>
      </c>
      <c r="G341" t="n">
        <v>2.2</v>
      </c>
      <c r="H341" t="n">
        <v>0</v>
      </c>
      <c r="I341" t="n">
        <v>0</v>
      </c>
      <c r="J341" t="n">
        <v>0</v>
      </c>
      <c r="K341" t="n">
        <v>0</v>
      </c>
      <c r="L341" t="n">
        <v>0</v>
      </c>
      <c r="M341" t="n">
        <v>0</v>
      </c>
      <c r="N341" t="n">
        <v>0</v>
      </c>
      <c r="O341" t="n">
        <v>0</v>
      </c>
      <c r="P341" t="n">
        <v>0</v>
      </c>
      <c r="Q341" t="n">
        <v>0</v>
      </c>
      <c r="R341" s="2" t="inlineStr"/>
    </row>
    <row r="342" ht="15" customHeight="1">
      <c r="A342" t="inlineStr">
        <is>
          <t>A 22823-2025</t>
        </is>
      </c>
      <c r="B342" s="1" t="n">
        <v>45789</v>
      </c>
      <c r="C342" s="1" t="n">
        <v>45890</v>
      </c>
      <c r="D342" t="inlineStr">
        <is>
          <t>JÄMTLANDS LÄN</t>
        </is>
      </c>
      <c r="E342" t="inlineStr">
        <is>
          <t>ÖSTERSUND</t>
        </is>
      </c>
      <c r="G342" t="n">
        <v>8</v>
      </c>
      <c r="H342" t="n">
        <v>0</v>
      </c>
      <c r="I342" t="n">
        <v>0</v>
      </c>
      <c r="J342" t="n">
        <v>0</v>
      </c>
      <c r="K342" t="n">
        <v>0</v>
      </c>
      <c r="L342" t="n">
        <v>0</v>
      </c>
      <c r="M342" t="n">
        <v>0</v>
      </c>
      <c r="N342" t="n">
        <v>0</v>
      </c>
      <c r="O342" t="n">
        <v>0</v>
      </c>
      <c r="P342" t="n">
        <v>0</v>
      </c>
      <c r="Q342" t="n">
        <v>0</v>
      </c>
      <c r="R342" s="2" t="inlineStr"/>
    </row>
    <row r="343" ht="15" customHeight="1">
      <c r="A343" t="inlineStr">
        <is>
          <t>A 22384-2025</t>
        </is>
      </c>
      <c r="B343" s="1" t="n">
        <v>45786</v>
      </c>
      <c r="C343" s="1" t="n">
        <v>45890</v>
      </c>
      <c r="D343" t="inlineStr">
        <is>
          <t>JÄMTLANDS LÄN</t>
        </is>
      </c>
      <c r="E343" t="inlineStr">
        <is>
          <t>ÖSTERSUND</t>
        </is>
      </c>
      <c r="G343" t="n">
        <v>1.4</v>
      </c>
      <c r="H343" t="n">
        <v>0</v>
      </c>
      <c r="I343" t="n">
        <v>0</v>
      </c>
      <c r="J343" t="n">
        <v>0</v>
      </c>
      <c r="K343" t="n">
        <v>0</v>
      </c>
      <c r="L343" t="n">
        <v>0</v>
      </c>
      <c r="M343" t="n">
        <v>0</v>
      </c>
      <c r="N343" t="n">
        <v>0</v>
      </c>
      <c r="O343" t="n">
        <v>0</v>
      </c>
      <c r="P343" t="n">
        <v>0</v>
      </c>
      <c r="Q343" t="n">
        <v>0</v>
      </c>
      <c r="R343" s="2" t="inlineStr"/>
    </row>
    <row r="344" ht="15" customHeight="1">
      <c r="A344" t="inlineStr">
        <is>
          <t>A 57589-2024</t>
        </is>
      </c>
      <c r="B344" s="1" t="n">
        <v>45630.49710648148</v>
      </c>
      <c r="C344" s="1" t="n">
        <v>45890</v>
      </c>
      <c r="D344" t="inlineStr">
        <is>
          <t>JÄMTLANDS LÄN</t>
        </is>
      </c>
      <c r="E344" t="inlineStr">
        <is>
          <t>ÖSTERSUND</t>
        </is>
      </c>
      <c r="G344" t="n">
        <v>1.8</v>
      </c>
      <c r="H344" t="n">
        <v>0</v>
      </c>
      <c r="I344" t="n">
        <v>0</v>
      </c>
      <c r="J344" t="n">
        <v>0</v>
      </c>
      <c r="K344" t="n">
        <v>0</v>
      </c>
      <c r="L344" t="n">
        <v>0</v>
      </c>
      <c r="M344" t="n">
        <v>0</v>
      </c>
      <c r="N344" t="n">
        <v>0</v>
      </c>
      <c r="O344" t="n">
        <v>0</v>
      </c>
      <c r="P344" t="n">
        <v>0</v>
      </c>
      <c r="Q344" t="n">
        <v>0</v>
      </c>
      <c r="R344" s="2" t="inlineStr"/>
    </row>
    <row r="345" ht="15" customHeight="1">
      <c r="A345" t="inlineStr">
        <is>
          <t>A 31040-2021</t>
        </is>
      </c>
      <c r="B345" s="1" t="n">
        <v>44368</v>
      </c>
      <c r="C345" s="1" t="n">
        <v>45890</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22082-2022</t>
        </is>
      </c>
      <c r="B346" s="1" t="n">
        <v>44711.9403587963</v>
      </c>
      <c r="C346" s="1" t="n">
        <v>45890</v>
      </c>
      <c r="D346" t="inlineStr">
        <is>
          <t>JÄMTLANDS LÄN</t>
        </is>
      </c>
      <c r="E346" t="inlineStr">
        <is>
          <t>ÖSTERSUND</t>
        </is>
      </c>
      <c r="G346" t="n">
        <v>2.6</v>
      </c>
      <c r="H346" t="n">
        <v>0</v>
      </c>
      <c r="I346" t="n">
        <v>0</v>
      </c>
      <c r="J346" t="n">
        <v>0</v>
      </c>
      <c r="K346" t="n">
        <v>0</v>
      </c>
      <c r="L346" t="n">
        <v>0</v>
      </c>
      <c r="M346" t="n">
        <v>0</v>
      </c>
      <c r="N346" t="n">
        <v>0</v>
      </c>
      <c r="O346" t="n">
        <v>0</v>
      </c>
      <c r="P346" t="n">
        <v>0</v>
      </c>
      <c r="Q346" t="n">
        <v>0</v>
      </c>
      <c r="R346" s="2" t="inlineStr"/>
    </row>
    <row r="347" ht="15" customHeight="1">
      <c r="A347" t="inlineStr">
        <is>
          <t>A 55678-2023</t>
        </is>
      </c>
      <c r="B347" s="1" t="n">
        <v>45239.33032407407</v>
      </c>
      <c r="C347" s="1" t="n">
        <v>45890</v>
      </c>
      <c r="D347" t="inlineStr">
        <is>
          <t>JÄMTLANDS LÄN</t>
        </is>
      </c>
      <c r="E347" t="inlineStr">
        <is>
          <t>ÖSTERSUND</t>
        </is>
      </c>
      <c r="F347" t="inlineStr">
        <is>
          <t>Övriga Aktiebolag</t>
        </is>
      </c>
      <c r="G347" t="n">
        <v>0.6</v>
      </c>
      <c r="H347" t="n">
        <v>0</v>
      </c>
      <c r="I347" t="n">
        <v>0</v>
      </c>
      <c r="J347" t="n">
        <v>0</v>
      </c>
      <c r="K347" t="n">
        <v>0</v>
      </c>
      <c r="L347" t="n">
        <v>0</v>
      </c>
      <c r="M347" t="n">
        <v>0</v>
      </c>
      <c r="N347" t="n">
        <v>0</v>
      </c>
      <c r="O347" t="n">
        <v>0</v>
      </c>
      <c r="P347" t="n">
        <v>0</v>
      </c>
      <c r="Q347" t="n">
        <v>0</v>
      </c>
      <c r="R347" s="2" t="inlineStr"/>
    </row>
    <row r="348" ht="15" customHeight="1">
      <c r="A348" t="inlineStr">
        <is>
          <t>A 23249-2025</t>
        </is>
      </c>
      <c r="B348" s="1" t="n">
        <v>45791</v>
      </c>
      <c r="C348" s="1" t="n">
        <v>45890</v>
      </c>
      <c r="D348" t="inlineStr">
        <is>
          <t>JÄMTLANDS LÄN</t>
        </is>
      </c>
      <c r="E348" t="inlineStr">
        <is>
          <t>ÖSTERSUND</t>
        </is>
      </c>
      <c r="G348" t="n">
        <v>10</v>
      </c>
      <c r="H348" t="n">
        <v>0</v>
      </c>
      <c r="I348" t="n">
        <v>0</v>
      </c>
      <c r="J348" t="n">
        <v>0</v>
      </c>
      <c r="K348" t="n">
        <v>0</v>
      </c>
      <c r="L348" t="n">
        <v>0</v>
      </c>
      <c r="M348" t="n">
        <v>0</v>
      </c>
      <c r="N348" t="n">
        <v>0</v>
      </c>
      <c r="O348" t="n">
        <v>0</v>
      </c>
      <c r="P348" t="n">
        <v>0</v>
      </c>
      <c r="Q348" t="n">
        <v>0</v>
      </c>
      <c r="R348" s="2" t="inlineStr"/>
    </row>
    <row r="349" ht="15" customHeight="1">
      <c r="A349" t="inlineStr">
        <is>
          <t>A 15686-2025</t>
        </is>
      </c>
      <c r="B349" s="1" t="n">
        <v>45748.46021990741</v>
      </c>
      <c r="C349" s="1" t="n">
        <v>45890</v>
      </c>
      <c r="D349" t="inlineStr">
        <is>
          <t>JÄMTLANDS LÄN</t>
        </is>
      </c>
      <c r="E349" t="inlineStr">
        <is>
          <t>ÖSTERSUND</t>
        </is>
      </c>
      <c r="G349" t="n">
        <v>1.5</v>
      </c>
      <c r="H349" t="n">
        <v>0</v>
      </c>
      <c r="I349" t="n">
        <v>0</v>
      </c>
      <c r="J349" t="n">
        <v>0</v>
      </c>
      <c r="K349" t="n">
        <v>0</v>
      </c>
      <c r="L349" t="n">
        <v>0</v>
      </c>
      <c r="M349" t="n">
        <v>0</v>
      </c>
      <c r="N349" t="n">
        <v>0</v>
      </c>
      <c r="O349" t="n">
        <v>0</v>
      </c>
      <c r="P349" t="n">
        <v>0</v>
      </c>
      <c r="Q349" t="n">
        <v>0</v>
      </c>
      <c r="R349" s="2" t="inlineStr"/>
    </row>
    <row r="350" ht="15" customHeight="1">
      <c r="A350" t="inlineStr">
        <is>
          <t>A 38142-2021</t>
        </is>
      </c>
      <c r="B350" s="1" t="n">
        <v>44405</v>
      </c>
      <c r="C350" s="1" t="n">
        <v>45890</v>
      </c>
      <c r="D350" t="inlineStr">
        <is>
          <t>JÄMTLANDS LÄN</t>
        </is>
      </c>
      <c r="E350" t="inlineStr">
        <is>
          <t>ÖSTERSUND</t>
        </is>
      </c>
      <c r="G350" t="n">
        <v>1.7</v>
      </c>
      <c r="H350" t="n">
        <v>0</v>
      </c>
      <c r="I350" t="n">
        <v>0</v>
      </c>
      <c r="J350" t="n">
        <v>0</v>
      </c>
      <c r="K350" t="n">
        <v>0</v>
      </c>
      <c r="L350" t="n">
        <v>0</v>
      </c>
      <c r="M350" t="n">
        <v>0</v>
      </c>
      <c r="N350" t="n">
        <v>0</v>
      </c>
      <c r="O350" t="n">
        <v>0</v>
      </c>
      <c r="P350" t="n">
        <v>0</v>
      </c>
      <c r="Q350" t="n">
        <v>0</v>
      </c>
      <c r="R350" s="2" t="inlineStr"/>
    </row>
    <row r="351" ht="15" customHeight="1">
      <c r="A351" t="inlineStr">
        <is>
          <t>A 7938-2025</t>
        </is>
      </c>
      <c r="B351" s="1" t="n">
        <v>45707</v>
      </c>
      <c r="C351" s="1" t="n">
        <v>45890</v>
      </c>
      <c r="D351" t="inlineStr">
        <is>
          <t>JÄMTLANDS LÄN</t>
        </is>
      </c>
      <c r="E351" t="inlineStr">
        <is>
          <t>ÖSTERSUND</t>
        </is>
      </c>
      <c r="G351" t="n">
        <v>3</v>
      </c>
      <c r="H351" t="n">
        <v>0</v>
      </c>
      <c r="I351" t="n">
        <v>0</v>
      </c>
      <c r="J351" t="n">
        <v>0</v>
      </c>
      <c r="K351" t="n">
        <v>0</v>
      </c>
      <c r="L351" t="n">
        <v>0</v>
      </c>
      <c r="M351" t="n">
        <v>0</v>
      </c>
      <c r="N351" t="n">
        <v>0</v>
      </c>
      <c r="O351" t="n">
        <v>0</v>
      </c>
      <c r="P351" t="n">
        <v>0</v>
      </c>
      <c r="Q351" t="n">
        <v>0</v>
      </c>
      <c r="R351" s="2" t="inlineStr"/>
    </row>
    <row r="352" ht="15" customHeight="1">
      <c r="A352" t="inlineStr">
        <is>
          <t>A 22952-2025</t>
        </is>
      </c>
      <c r="B352" s="1" t="n">
        <v>45790.51074074074</v>
      </c>
      <c r="C352" s="1" t="n">
        <v>45890</v>
      </c>
      <c r="D352" t="inlineStr">
        <is>
          <t>JÄMTLANDS LÄN</t>
        </is>
      </c>
      <c r="E352" t="inlineStr">
        <is>
          <t>ÖSTERSUND</t>
        </is>
      </c>
      <c r="F352" t="inlineStr">
        <is>
          <t>SCA</t>
        </is>
      </c>
      <c r="G352" t="n">
        <v>4.6</v>
      </c>
      <c r="H352" t="n">
        <v>0</v>
      </c>
      <c r="I352" t="n">
        <v>0</v>
      </c>
      <c r="J352" t="n">
        <v>0</v>
      </c>
      <c r="K352" t="n">
        <v>0</v>
      </c>
      <c r="L352" t="n">
        <v>0</v>
      </c>
      <c r="M352" t="n">
        <v>0</v>
      </c>
      <c r="N352" t="n">
        <v>0</v>
      </c>
      <c r="O352" t="n">
        <v>0</v>
      </c>
      <c r="P352" t="n">
        <v>0</v>
      </c>
      <c r="Q352" t="n">
        <v>0</v>
      </c>
      <c r="R352" s="2" t="inlineStr"/>
      <c r="U352">
        <f>HYPERLINK("https://klasma.github.io/Logging_2380/knärot/A 22952-2025 karta knärot.png", "A 22952-2025")</f>
        <v/>
      </c>
      <c r="V352">
        <f>HYPERLINK("https://klasma.github.io/Logging_2380/klagomål/A 22952-2025 FSC-klagomål.docx", "A 22952-2025")</f>
        <v/>
      </c>
      <c r="W352">
        <f>HYPERLINK("https://klasma.github.io/Logging_2380/klagomålsmail/A 22952-2025 FSC-klagomål mail.docx", "A 22952-2025")</f>
        <v/>
      </c>
      <c r="X352">
        <f>HYPERLINK("https://klasma.github.io/Logging_2380/tillsyn/A 22952-2025 tillsynsbegäran.docx", "A 22952-2025")</f>
        <v/>
      </c>
      <c r="Y352">
        <f>HYPERLINK("https://klasma.github.io/Logging_2380/tillsynsmail/A 22952-2025 tillsynsbegäran mail.docx", "A 22952-2025")</f>
        <v/>
      </c>
    </row>
    <row r="353" ht="15" customHeight="1">
      <c r="A353" t="inlineStr">
        <is>
          <t>A 61256-2022</t>
        </is>
      </c>
      <c r="B353" s="1" t="n">
        <v>44909</v>
      </c>
      <c r="C353" s="1" t="n">
        <v>45890</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45890</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55302-2021</t>
        </is>
      </c>
      <c r="B355" s="1" t="n">
        <v>44475</v>
      </c>
      <c r="C355" s="1" t="n">
        <v>45890</v>
      </c>
      <c r="D355" t="inlineStr">
        <is>
          <t>JÄMTLANDS LÄN</t>
        </is>
      </c>
      <c r="E355" t="inlineStr">
        <is>
          <t>ÖSTERSUND</t>
        </is>
      </c>
      <c r="G355" t="n">
        <v>0.3</v>
      </c>
      <c r="H355" t="n">
        <v>0</v>
      </c>
      <c r="I355" t="n">
        <v>0</v>
      </c>
      <c r="J355" t="n">
        <v>0</v>
      </c>
      <c r="K355" t="n">
        <v>0</v>
      </c>
      <c r="L355" t="n">
        <v>0</v>
      </c>
      <c r="M355" t="n">
        <v>0</v>
      </c>
      <c r="N355" t="n">
        <v>0</v>
      </c>
      <c r="O355" t="n">
        <v>0</v>
      </c>
      <c r="P355" t="n">
        <v>0</v>
      </c>
      <c r="Q355" t="n">
        <v>0</v>
      </c>
      <c r="R355" s="2" t="inlineStr"/>
    </row>
    <row r="356" ht="15" customHeight="1">
      <c r="A356" t="inlineStr">
        <is>
          <t>A 61376-2024</t>
        </is>
      </c>
      <c r="B356" s="1" t="n">
        <v>45646.39434027778</v>
      </c>
      <c r="C356" s="1" t="n">
        <v>45890</v>
      </c>
      <c r="D356" t="inlineStr">
        <is>
          <t>JÄMTLANDS LÄN</t>
        </is>
      </c>
      <c r="E356" t="inlineStr">
        <is>
          <t>ÖSTERSUND</t>
        </is>
      </c>
      <c r="G356" t="n">
        <v>4.6</v>
      </c>
      <c r="H356" t="n">
        <v>0</v>
      </c>
      <c r="I356" t="n">
        <v>0</v>
      </c>
      <c r="J356" t="n">
        <v>0</v>
      </c>
      <c r="K356" t="n">
        <v>0</v>
      </c>
      <c r="L356" t="n">
        <v>0</v>
      </c>
      <c r="M356" t="n">
        <v>0</v>
      </c>
      <c r="N356" t="n">
        <v>0</v>
      </c>
      <c r="O356" t="n">
        <v>0</v>
      </c>
      <c r="P356" t="n">
        <v>0</v>
      </c>
      <c r="Q356" t="n">
        <v>0</v>
      </c>
      <c r="R356" s="2" t="inlineStr"/>
    </row>
    <row r="357" ht="15" customHeight="1">
      <c r="A357" t="inlineStr">
        <is>
          <t>A 56847-2024</t>
        </is>
      </c>
      <c r="B357" s="1" t="n">
        <v>45628.53381944444</v>
      </c>
      <c r="C357" s="1" t="n">
        <v>45890</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23100-2025</t>
        </is>
      </c>
      <c r="B358" s="1" t="n">
        <v>45791.35212962963</v>
      </c>
      <c r="C358" s="1" t="n">
        <v>45890</v>
      </c>
      <c r="D358" t="inlineStr">
        <is>
          <t>JÄMTLANDS LÄN</t>
        </is>
      </c>
      <c r="E358" t="inlineStr">
        <is>
          <t>ÖSTERSUND</t>
        </is>
      </c>
      <c r="G358" t="n">
        <v>4.5</v>
      </c>
      <c r="H358" t="n">
        <v>0</v>
      </c>
      <c r="I358" t="n">
        <v>0</v>
      </c>
      <c r="J358" t="n">
        <v>0</v>
      </c>
      <c r="K358" t="n">
        <v>0</v>
      </c>
      <c r="L358" t="n">
        <v>0</v>
      </c>
      <c r="M358" t="n">
        <v>0</v>
      </c>
      <c r="N358" t="n">
        <v>0</v>
      </c>
      <c r="O358" t="n">
        <v>0</v>
      </c>
      <c r="P358" t="n">
        <v>0</v>
      </c>
      <c r="Q358" t="n">
        <v>0</v>
      </c>
      <c r="R358" s="2" t="inlineStr"/>
    </row>
    <row r="359" ht="15" customHeight="1">
      <c r="A359" t="inlineStr">
        <is>
          <t>A 19323-2024</t>
        </is>
      </c>
      <c r="B359" s="1" t="n">
        <v>45428.92486111111</v>
      </c>
      <c r="C359" s="1" t="n">
        <v>45890</v>
      </c>
      <c r="D359" t="inlineStr">
        <is>
          <t>JÄMTLANDS LÄN</t>
        </is>
      </c>
      <c r="E359" t="inlineStr">
        <is>
          <t>ÖSTERSUND</t>
        </is>
      </c>
      <c r="F359" t="inlineStr">
        <is>
          <t>Kommuner</t>
        </is>
      </c>
      <c r="G359" t="n">
        <v>0.2</v>
      </c>
      <c r="H359" t="n">
        <v>0</v>
      </c>
      <c r="I359" t="n">
        <v>0</v>
      </c>
      <c r="J359" t="n">
        <v>0</v>
      </c>
      <c r="K359" t="n">
        <v>0</v>
      </c>
      <c r="L359" t="n">
        <v>0</v>
      </c>
      <c r="M359" t="n">
        <v>0</v>
      </c>
      <c r="N359" t="n">
        <v>0</v>
      </c>
      <c r="O359" t="n">
        <v>0</v>
      </c>
      <c r="P359" t="n">
        <v>0</v>
      </c>
      <c r="Q359" t="n">
        <v>0</v>
      </c>
      <c r="R359" s="2" t="inlineStr"/>
    </row>
    <row r="360" ht="15" customHeight="1">
      <c r="A360" t="inlineStr">
        <is>
          <t>A 69190-2021</t>
        </is>
      </c>
      <c r="B360" s="1" t="n">
        <v>44529</v>
      </c>
      <c r="C360" s="1" t="n">
        <v>45890</v>
      </c>
      <c r="D360" t="inlineStr">
        <is>
          <t>JÄMTLANDS LÄN</t>
        </is>
      </c>
      <c r="E360" t="inlineStr">
        <is>
          <t>ÖSTERSUND</t>
        </is>
      </c>
      <c r="G360" t="n">
        <v>4.2</v>
      </c>
      <c r="H360" t="n">
        <v>0</v>
      </c>
      <c r="I360" t="n">
        <v>0</v>
      </c>
      <c r="J360" t="n">
        <v>0</v>
      </c>
      <c r="K360" t="n">
        <v>0</v>
      </c>
      <c r="L360" t="n">
        <v>0</v>
      </c>
      <c r="M360" t="n">
        <v>0</v>
      </c>
      <c r="N360" t="n">
        <v>0</v>
      </c>
      <c r="O360" t="n">
        <v>0</v>
      </c>
      <c r="P360" t="n">
        <v>0</v>
      </c>
      <c r="Q360" t="n">
        <v>0</v>
      </c>
      <c r="R360" s="2" t="inlineStr"/>
    </row>
    <row r="361" ht="15" customHeight="1">
      <c r="A361" t="inlineStr">
        <is>
          <t>A 7005-2025</t>
        </is>
      </c>
      <c r="B361" s="1" t="n">
        <v>45701.60046296296</v>
      </c>
      <c r="C361" s="1" t="n">
        <v>45890</v>
      </c>
      <c r="D361" t="inlineStr">
        <is>
          <t>JÄMTLANDS LÄN</t>
        </is>
      </c>
      <c r="E361" t="inlineStr">
        <is>
          <t>ÖSTERSUND</t>
        </is>
      </c>
      <c r="G361" t="n">
        <v>3.3</v>
      </c>
      <c r="H361" t="n">
        <v>0</v>
      </c>
      <c r="I361" t="n">
        <v>0</v>
      </c>
      <c r="J361" t="n">
        <v>0</v>
      </c>
      <c r="K361" t="n">
        <v>0</v>
      </c>
      <c r="L361" t="n">
        <v>0</v>
      </c>
      <c r="M361" t="n">
        <v>0</v>
      </c>
      <c r="N361" t="n">
        <v>0</v>
      </c>
      <c r="O361" t="n">
        <v>0</v>
      </c>
      <c r="P361" t="n">
        <v>0</v>
      </c>
      <c r="Q361" t="n">
        <v>0</v>
      </c>
      <c r="R361" s="2" t="inlineStr"/>
    </row>
    <row r="362" ht="15" customHeight="1">
      <c r="A362" t="inlineStr">
        <is>
          <t>A 11182-2025</t>
        </is>
      </c>
      <c r="B362" s="1" t="n">
        <v>45725.44297453704</v>
      </c>
      <c r="C362" s="1" t="n">
        <v>45890</v>
      </c>
      <c r="D362" t="inlineStr">
        <is>
          <t>JÄMTLANDS LÄN</t>
        </is>
      </c>
      <c r="E362" t="inlineStr">
        <is>
          <t>ÖSTERSUND</t>
        </is>
      </c>
      <c r="G362" t="n">
        <v>3.3</v>
      </c>
      <c r="H362" t="n">
        <v>0</v>
      </c>
      <c r="I362" t="n">
        <v>0</v>
      </c>
      <c r="J362" t="n">
        <v>0</v>
      </c>
      <c r="K362" t="n">
        <v>0</v>
      </c>
      <c r="L362" t="n">
        <v>0</v>
      </c>
      <c r="M362" t="n">
        <v>0</v>
      </c>
      <c r="N362" t="n">
        <v>0</v>
      </c>
      <c r="O362" t="n">
        <v>0</v>
      </c>
      <c r="P362" t="n">
        <v>0</v>
      </c>
      <c r="Q362" t="n">
        <v>0</v>
      </c>
      <c r="R362" s="2" t="inlineStr"/>
    </row>
    <row r="363" ht="15" customHeight="1">
      <c r="A363" t="inlineStr">
        <is>
          <t>A 23110-2025</t>
        </is>
      </c>
      <c r="B363" s="1" t="n">
        <v>45791.36526620371</v>
      </c>
      <c r="C363" s="1" t="n">
        <v>45890</v>
      </c>
      <c r="D363" t="inlineStr">
        <is>
          <t>JÄMTLANDS LÄN</t>
        </is>
      </c>
      <c r="E363" t="inlineStr">
        <is>
          <t>ÖSTERSUND</t>
        </is>
      </c>
      <c r="G363" t="n">
        <v>1</v>
      </c>
      <c r="H363" t="n">
        <v>0</v>
      </c>
      <c r="I363" t="n">
        <v>0</v>
      </c>
      <c r="J363" t="n">
        <v>0</v>
      </c>
      <c r="K363" t="n">
        <v>0</v>
      </c>
      <c r="L363" t="n">
        <v>0</v>
      </c>
      <c r="M363" t="n">
        <v>0</v>
      </c>
      <c r="N363" t="n">
        <v>0</v>
      </c>
      <c r="O363" t="n">
        <v>0</v>
      </c>
      <c r="P363" t="n">
        <v>0</v>
      </c>
      <c r="Q363" t="n">
        <v>0</v>
      </c>
      <c r="R363" s="2" t="inlineStr"/>
    </row>
    <row r="364" ht="15" customHeight="1">
      <c r="A364" t="inlineStr">
        <is>
          <t>A 27294-2023</t>
        </is>
      </c>
      <c r="B364" s="1" t="n">
        <v>45092</v>
      </c>
      <c r="C364" s="1" t="n">
        <v>45890</v>
      </c>
      <c r="D364" t="inlineStr">
        <is>
          <t>JÄMTLANDS LÄN</t>
        </is>
      </c>
      <c r="E364" t="inlineStr">
        <is>
          <t>ÖSTERSUND</t>
        </is>
      </c>
      <c r="G364" t="n">
        <v>2.8</v>
      </c>
      <c r="H364" t="n">
        <v>0</v>
      </c>
      <c r="I364" t="n">
        <v>0</v>
      </c>
      <c r="J364" t="n">
        <v>0</v>
      </c>
      <c r="K364" t="n">
        <v>0</v>
      </c>
      <c r="L364" t="n">
        <v>0</v>
      </c>
      <c r="M364" t="n">
        <v>0</v>
      </c>
      <c r="N364" t="n">
        <v>0</v>
      </c>
      <c r="O364" t="n">
        <v>0</v>
      </c>
      <c r="P364" t="n">
        <v>0</v>
      </c>
      <c r="Q364" t="n">
        <v>0</v>
      </c>
      <c r="R364" s="2" t="inlineStr"/>
    </row>
    <row r="365" ht="15" customHeight="1">
      <c r="A365" t="inlineStr">
        <is>
          <t>A 22920-2025</t>
        </is>
      </c>
      <c r="B365" s="1" t="n">
        <v>45790.43905092592</v>
      </c>
      <c r="C365" s="1" t="n">
        <v>45890</v>
      </c>
      <c r="D365" t="inlineStr">
        <is>
          <t>JÄMTLANDS LÄN</t>
        </is>
      </c>
      <c r="E365" t="inlineStr">
        <is>
          <t>ÖSTERSUND</t>
        </is>
      </c>
      <c r="G365" t="n">
        <v>0.4</v>
      </c>
      <c r="H365" t="n">
        <v>0</v>
      </c>
      <c r="I365" t="n">
        <v>0</v>
      </c>
      <c r="J365" t="n">
        <v>0</v>
      </c>
      <c r="K365" t="n">
        <v>0</v>
      </c>
      <c r="L365" t="n">
        <v>0</v>
      </c>
      <c r="M365" t="n">
        <v>0</v>
      </c>
      <c r="N365" t="n">
        <v>0</v>
      </c>
      <c r="O365" t="n">
        <v>0</v>
      </c>
      <c r="P365" t="n">
        <v>0</v>
      </c>
      <c r="Q365" t="n">
        <v>0</v>
      </c>
      <c r="R365" s="2" t="inlineStr"/>
    </row>
    <row r="366" ht="15" customHeight="1">
      <c r="A366" t="inlineStr">
        <is>
          <t>A 23078-2025</t>
        </is>
      </c>
      <c r="B366" s="1" t="n">
        <v>45791.27984953704</v>
      </c>
      <c r="C366" s="1" t="n">
        <v>45890</v>
      </c>
      <c r="D366" t="inlineStr">
        <is>
          <t>JÄMTLANDS LÄN</t>
        </is>
      </c>
      <c r="E366" t="inlineStr">
        <is>
          <t>ÖSTERSUND</t>
        </is>
      </c>
      <c r="G366" t="n">
        <v>2.8</v>
      </c>
      <c r="H366" t="n">
        <v>0</v>
      </c>
      <c r="I366" t="n">
        <v>0</v>
      </c>
      <c r="J366" t="n">
        <v>0</v>
      </c>
      <c r="K366" t="n">
        <v>0</v>
      </c>
      <c r="L366" t="n">
        <v>0</v>
      </c>
      <c r="M366" t="n">
        <v>0</v>
      </c>
      <c r="N366" t="n">
        <v>0</v>
      </c>
      <c r="O366" t="n">
        <v>0</v>
      </c>
      <c r="P366" t="n">
        <v>0</v>
      </c>
      <c r="Q366" t="n">
        <v>0</v>
      </c>
      <c r="R366" s="2" t="inlineStr"/>
    </row>
    <row r="367" ht="15" customHeight="1">
      <c r="A367" t="inlineStr">
        <is>
          <t>A 8389-2025</t>
        </is>
      </c>
      <c r="B367" s="1" t="n">
        <v>45709.36497685185</v>
      </c>
      <c r="C367" s="1" t="n">
        <v>45890</v>
      </c>
      <c r="D367" t="inlineStr">
        <is>
          <t>JÄMTLANDS LÄN</t>
        </is>
      </c>
      <c r="E367" t="inlineStr">
        <is>
          <t>ÖSTERSUND</t>
        </is>
      </c>
      <c r="F367" t="inlineStr">
        <is>
          <t>SCA</t>
        </is>
      </c>
      <c r="G367" t="n">
        <v>6.3</v>
      </c>
      <c r="H367" t="n">
        <v>0</v>
      </c>
      <c r="I367" t="n">
        <v>0</v>
      </c>
      <c r="J367" t="n">
        <v>0</v>
      </c>
      <c r="K367" t="n">
        <v>0</v>
      </c>
      <c r="L367" t="n">
        <v>0</v>
      </c>
      <c r="M367" t="n">
        <v>0</v>
      </c>
      <c r="N367" t="n">
        <v>0</v>
      </c>
      <c r="O367" t="n">
        <v>0</v>
      </c>
      <c r="P367" t="n">
        <v>0</v>
      </c>
      <c r="Q367" t="n">
        <v>0</v>
      </c>
      <c r="R367" s="2" t="inlineStr"/>
    </row>
    <row r="368" ht="15" customHeight="1">
      <c r="A368" t="inlineStr">
        <is>
          <t>A 53378-2023</t>
        </is>
      </c>
      <c r="B368" s="1" t="n">
        <v>45223</v>
      </c>
      <c r="C368" s="1" t="n">
        <v>45890</v>
      </c>
      <c r="D368" t="inlineStr">
        <is>
          <t>JÄMTLANDS LÄN</t>
        </is>
      </c>
      <c r="E368" t="inlineStr">
        <is>
          <t>ÖSTERSUND</t>
        </is>
      </c>
      <c r="G368" t="n">
        <v>1.5</v>
      </c>
      <c r="H368" t="n">
        <v>0</v>
      </c>
      <c r="I368" t="n">
        <v>0</v>
      </c>
      <c r="J368" t="n">
        <v>0</v>
      </c>
      <c r="K368" t="n">
        <v>0</v>
      </c>
      <c r="L368" t="n">
        <v>0</v>
      </c>
      <c r="M368" t="n">
        <v>0</v>
      </c>
      <c r="N368" t="n">
        <v>0</v>
      </c>
      <c r="O368" t="n">
        <v>0</v>
      </c>
      <c r="P368" t="n">
        <v>0</v>
      </c>
      <c r="Q368" t="n">
        <v>0</v>
      </c>
      <c r="R368" s="2" t="inlineStr"/>
    </row>
    <row r="369" ht="15" customHeight="1">
      <c r="A369" t="inlineStr">
        <is>
          <t>A 23877-2025</t>
        </is>
      </c>
      <c r="B369" s="1" t="n">
        <v>45793.68469907407</v>
      </c>
      <c r="C369" s="1" t="n">
        <v>45890</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45890</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17570-2025</t>
        </is>
      </c>
      <c r="B371" s="1" t="n">
        <v>45757.64563657407</v>
      </c>
      <c r="C371" s="1" t="n">
        <v>45890</v>
      </c>
      <c r="D371" t="inlineStr">
        <is>
          <t>JÄMTLANDS LÄN</t>
        </is>
      </c>
      <c r="E371" t="inlineStr">
        <is>
          <t>ÖSTERSUND</t>
        </is>
      </c>
      <c r="G371" t="n">
        <v>2.4</v>
      </c>
      <c r="H371" t="n">
        <v>0</v>
      </c>
      <c r="I371" t="n">
        <v>0</v>
      </c>
      <c r="J371" t="n">
        <v>0</v>
      </c>
      <c r="K371" t="n">
        <v>0</v>
      </c>
      <c r="L371" t="n">
        <v>0</v>
      </c>
      <c r="M371" t="n">
        <v>0</v>
      </c>
      <c r="N371" t="n">
        <v>0</v>
      </c>
      <c r="O371" t="n">
        <v>0</v>
      </c>
      <c r="P371" t="n">
        <v>0</v>
      </c>
      <c r="Q371" t="n">
        <v>0</v>
      </c>
      <c r="R371" s="2" t="inlineStr"/>
    </row>
    <row r="372" ht="15" customHeight="1">
      <c r="A372" t="inlineStr">
        <is>
          <t>A 41280-2024</t>
        </is>
      </c>
      <c r="B372" s="1" t="n">
        <v>45559.59476851852</v>
      </c>
      <c r="C372" s="1" t="n">
        <v>45890</v>
      </c>
      <c r="D372" t="inlineStr">
        <is>
          <t>JÄMTLANDS LÄN</t>
        </is>
      </c>
      <c r="E372" t="inlineStr">
        <is>
          <t>ÖSTERSUND</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16908-2025</t>
        </is>
      </c>
      <c r="B373" s="1" t="n">
        <v>45755.35107638889</v>
      </c>
      <c r="C373" s="1" t="n">
        <v>45890</v>
      </c>
      <c r="D373" t="inlineStr">
        <is>
          <t>JÄMTLANDS LÄN</t>
        </is>
      </c>
      <c r="E373" t="inlineStr">
        <is>
          <t>ÖSTERSUND</t>
        </is>
      </c>
      <c r="G373" t="n">
        <v>8.6</v>
      </c>
      <c r="H373" t="n">
        <v>0</v>
      </c>
      <c r="I373" t="n">
        <v>0</v>
      </c>
      <c r="J373" t="n">
        <v>0</v>
      </c>
      <c r="K373" t="n">
        <v>0</v>
      </c>
      <c r="L373" t="n">
        <v>0</v>
      </c>
      <c r="M373" t="n">
        <v>0</v>
      </c>
      <c r="N373" t="n">
        <v>0</v>
      </c>
      <c r="O373" t="n">
        <v>0</v>
      </c>
      <c r="P373" t="n">
        <v>0</v>
      </c>
      <c r="Q373" t="n">
        <v>0</v>
      </c>
      <c r="R373" s="2" t="inlineStr"/>
    </row>
    <row r="374" ht="15" customHeight="1">
      <c r="A374" t="inlineStr">
        <is>
          <t>A 24368-2025</t>
        </is>
      </c>
      <c r="B374" s="1" t="n">
        <v>45797.60623842593</v>
      </c>
      <c r="C374" s="1" t="n">
        <v>45890</v>
      </c>
      <c r="D374" t="inlineStr">
        <is>
          <t>JÄMTLANDS LÄN</t>
        </is>
      </c>
      <c r="E374" t="inlineStr">
        <is>
          <t>ÖSTERSUND</t>
        </is>
      </c>
      <c r="G374" t="n">
        <v>2.9</v>
      </c>
      <c r="H374" t="n">
        <v>0</v>
      </c>
      <c r="I374" t="n">
        <v>0</v>
      </c>
      <c r="J374" t="n">
        <v>0</v>
      </c>
      <c r="K374" t="n">
        <v>0</v>
      </c>
      <c r="L374" t="n">
        <v>0</v>
      </c>
      <c r="M374" t="n">
        <v>0</v>
      </c>
      <c r="N374" t="n">
        <v>0</v>
      </c>
      <c r="O374" t="n">
        <v>0</v>
      </c>
      <c r="P374" t="n">
        <v>0</v>
      </c>
      <c r="Q374" t="n">
        <v>0</v>
      </c>
      <c r="R374" s="2" t="inlineStr"/>
    </row>
    <row r="375" ht="15" customHeight="1">
      <c r="A375" t="inlineStr">
        <is>
          <t>A 24403-2025</t>
        </is>
      </c>
      <c r="B375" s="1" t="n">
        <v>45797.65025462963</v>
      </c>
      <c r="C375" s="1" t="n">
        <v>45890</v>
      </c>
      <c r="D375" t="inlineStr">
        <is>
          <t>JÄMTLANDS LÄN</t>
        </is>
      </c>
      <c r="E375" t="inlineStr">
        <is>
          <t>ÖSTERSUND</t>
        </is>
      </c>
      <c r="G375" t="n">
        <v>1.3</v>
      </c>
      <c r="H375" t="n">
        <v>0</v>
      </c>
      <c r="I375" t="n">
        <v>0</v>
      </c>
      <c r="J375" t="n">
        <v>0</v>
      </c>
      <c r="K375" t="n">
        <v>0</v>
      </c>
      <c r="L375" t="n">
        <v>0</v>
      </c>
      <c r="M375" t="n">
        <v>0</v>
      </c>
      <c r="N375" t="n">
        <v>0</v>
      </c>
      <c r="O375" t="n">
        <v>0</v>
      </c>
      <c r="P375" t="n">
        <v>0</v>
      </c>
      <c r="Q375" t="n">
        <v>0</v>
      </c>
      <c r="R375" s="2" t="inlineStr"/>
    </row>
    <row r="376" ht="15" customHeight="1">
      <c r="A376" t="inlineStr">
        <is>
          <t>A 27343-2022</t>
        </is>
      </c>
      <c r="B376" s="1" t="n">
        <v>44742</v>
      </c>
      <c r="C376" s="1" t="n">
        <v>45890</v>
      </c>
      <c r="D376" t="inlineStr">
        <is>
          <t>JÄMTLANDS LÄN</t>
        </is>
      </c>
      <c r="E376" t="inlineStr">
        <is>
          <t>ÖSTERSUND</t>
        </is>
      </c>
      <c r="G376" t="n">
        <v>1.5</v>
      </c>
      <c r="H376" t="n">
        <v>0</v>
      </c>
      <c r="I376" t="n">
        <v>0</v>
      </c>
      <c r="J376" t="n">
        <v>0</v>
      </c>
      <c r="K376" t="n">
        <v>0</v>
      </c>
      <c r="L376" t="n">
        <v>0</v>
      </c>
      <c r="M376" t="n">
        <v>0</v>
      </c>
      <c r="N376" t="n">
        <v>0</v>
      </c>
      <c r="O376" t="n">
        <v>0</v>
      </c>
      <c r="P376" t="n">
        <v>0</v>
      </c>
      <c r="Q376" t="n">
        <v>0</v>
      </c>
      <c r="R376" s="2" t="inlineStr"/>
    </row>
    <row r="377" ht="15" customHeight="1">
      <c r="A377" t="inlineStr">
        <is>
          <t>A 12429-2025</t>
        </is>
      </c>
      <c r="B377" s="1" t="n">
        <v>45730.45930555555</v>
      </c>
      <c r="C377" s="1" t="n">
        <v>45890</v>
      </c>
      <c r="D377" t="inlineStr">
        <is>
          <t>JÄMTLANDS LÄN</t>
        </is>
      </c>
      <c r="E377" t="inlineStr">
        <is>
          <t>ÖSTERSUND</t>
        </is>
      </c>
      <c r="F377" t="inlineStr">
        <is>
          <t>Övriga Aktiebolag</t>
        </is>
      </c>
      <c r="G377" t="n">
        <v>4.4</v>
      </c>
      <c r="H377" t="n">
        <v>0</v>
      </c>
      <c r="I377" t="n">
        <v>0</v>
      </c>
      <c r="J377" t="n">
        <v>0</v>
      </c>
      <c r="K377" t="n">
        <v>0</v>
      </c>
      <c r="L377" t="n">
        <v>0</v>
      </c>
      <c r="M377" t="n">
        <v>0</v>
      </c>
      <c r="N377" t="n">
        <v>0</v>
      </c>
      <c r="O377" t="n">
        <v>0</v>
      </c>
      <c r="P377" t="n">
        <v>0</v>
      </c>
      <c r="Q377" t="n">
        <v>0</v>
      </c>
      <c r="R377" s="2" t="inlineStr"/>
    </row>
    <row r="378" ht="15" customHeight="1">
      <c r="A378" t="inlineStr">
        <is>
          <t>A 24091-2025</t>
        </is>
      </c>
      <c r="B378" s="1" t="n">
        <v>45796.57071759259</v>
      </c>
      <c r="C378" s="1" t="n">
        <v>45890</v>
      </c>
      <c r="D378" t="inlineStr">
        <is>
          <t>JÄMTLANDS LÄN</t>
        </is>
      </c>
      <c r="E378" t="inlineStr">
        <is>
          <t>ÖSTERSUND</t>
        </is>
      </c>
      <c r="G378" t="n">
        <v>1.7</v>
      </c>
      <c r="H378" t="n">
        <v>0</v>
      </c>
      <c r="I378" t="n">
        <v>0</v>
      </c>
      <c r="J378" t="n">
        <v>0</v>
      </c>
      <c r="K378" t="n">
        <v>0</v>
      </c>
      <c r="L378" t="n">
        <v>0</v>
      </c>
      <c r="M378" t="n">
        <v>0</v>
      </c>
      <c r="N378" t="n">
        <v>0</v>
      </c>
      <c r="O378" t="n">
        <v>0</v>
      </c>
      <c r="P378" t="n">
        <v>0</v>
      </c>
      <c r="Q378" t="n">
        <v>0</v>
      </c>
      <c r="R378" s="2" t="inlineStr"/>
    </row>
    <row r="379" ht="15" customHeight="1">
      <c r="A379" t="inlineStr">
        <is>
          <t>A 7022-2025</t>
        </is>
      </c>
      <c r="B379" s="1" t="n">
        <v>45701.61899305556</v>
      </c>
      <c r="C379" s="1" t="n">
        <v>45890</v>
      </c>
      <c r="D379" t="inlineStr">
        <is>
          <t>JÄMTLANDS LÄN</t>
        </is>
      </c>
      <c r="E379" t="inlineStr">
        <is>
          <t>ÖSTERSUND</t>
        </is>
      </c>
      <c r="G379" t="n">
        <v>4.8</v>
      </c>
      <c r="H379" t="n">
        <v>0</v>
      </c>
      <c r="I379" t="n">
        <v>0</v>
      </c>
      <c r="J379" t="n">
        <v>0</v>
      </c>
      <c r="K379" t="n">
        <v>0</v>
      </c>
      <c r="L379" t="n">
        <v>0</v>
      </c>
      <c r="M379" t="n">
        <v>0</v>
      </c>
      <c r="N379" t="n">
        <v>0</v>
      </c>
      <c r="O379" t="n">
        <v>0</v>
      </c>
      <c r="P379" t="n">
        <v>0</v>
      </c>
      <c r="Q379" t="n">
        <v>0</v>
      </c>
      <c r="R379" s="2" t="inlineStr"/>
    </row>
    <row r="380" ht="15" customHeight="1">
      <c r="A380" t="inlineStr">
        <is>
          <t>A 41780-2024</t>
        </is>
      </c>
      <c r="B380" s="1" t="n">
        <v>45561.34908564815</v>
      </c>
      <c r="C380" s="1" t="n">
        <v>45890</v>
      </c>
      <c r="D380" t="inlineStr">
        <is>
          <t>JÄMTLANDS LÄN</t>
        </is>
      </c>
      <c r="E380" t="inlineStr">
        <is>
          <t>ÖSTERSUND</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24568-2025</t>
        </is>
      </c>
      <c r="B381" s="1" t="n">
        <v>45798.46913194445</v>
      </c>
      <c r="C381" s="1" t="n">
        <v>45890</v>
      </c>
      <c r="D381" t="inlineStr">
        <is>
          <t>JÄMTLANDS LÄN</t>
        </is>
      </c>
      <c r="E381" t="inlineStr">
        <is>
          <t>ÖSTERSUND</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24523-2025</t>
        </is>
      </c>
      <c r="B382" s="1" t="n">
        <v>45798.42108796296</v>
      </c>
      <c r="C382" s="1" t="n">
        <v>45890</v>
      </c>
      <c r="D382" t="inlineStr">
        <is>
          <t>JÄMTLANDS LÄN</t>
        </is>
      </c>
      <c r="E382" t="inlineStr">
        <is>
          <t>ÖSTERSUND</t>
        </is>
      </c>
      <c r="G382" t="n">
        <v>13.7</v>
      </c>
      <c r="H382" t="n">
        <v>0</v>
      </c>
      <c r="I382" t="n">
        <v>0</v>
      </c>
      <c r="J382" t="n">
        <v>0</v>
      </c>
      <c r="K382" t="n">
        <v>0</v>
      </c>
      <c r="L382" t="n">
        <v>0</v>
      </c>
      <c r="M382" t="n">
        <v>0</v>
      </c>
      <c r="N382" t="n">
        <v>0</v>
      </c>
      <c r="O382" t="n">
        <v>0</v>
      </c>
      <c r="P382" t="n">
        <v>0</v>
      </c>
      <c r="Q382" t="n">
        <v>0</v>
      </c>
      <c r="R382" s="2" t="inlineStr"/>
    </row>
    <row r="383" ht="15" customHeight="1">
      <c r="A383" t="inlineStr">
        <is>
          <t>A 46732-2024</t>
        </is>
      </c>
      <c r="B383" s="1" t="n">
        <v>45583.46936342592</v>
      </c>
      <c r="C383" s="1" t="n">
        <v>45890</v>
      </c>
      <c r="D383" t="inlineStr">
        <is>
          <t>JÄMTLANDS LÄN</t>
        </is>
      </c>
      <c r="E383" t="inlineStr">
        <is>
          <t>ÖSTERSUND</t>
        </is>
      </c>
      <c r="G383" t="n">
        <v>3.3</v>
      </c>
      <c r="H383" t="n">
        <v>0</v>
      </c>
      <c r="I383" t="n">
        <v>0</v>
      </c>
      <c r="J383" t="n">
        <v>0</v>
      </c>
      <c r="K383" t="n">
        <v>0</v>
      </c>
      <c r="L383" t="n">
        <v>0</v>
      </c>
      <c r="M383" t="n">
        <v>0</v>
      </c>
      <c r="N383" t="n">
        <v>0</v>
      </c>
      <c r="O383" t="n">
        <v>0</v>
      </c>
      <c r="P383" t="n">
        <v>0</v>
      </c>
      <c r="Q383" t="n">
        <v>0</v>
      </c>
      <c r="R383" s="2" t="inlineStr"/>
    </row>
    <row r="384" ht="15" customHeight="1">
      <c r="A384" t="inlineStr">
        <is>
          <t>A 19581-2025</t>
        </is>
      </c>
      <c r="B384" s="1" t="n">
        <v>45770.56363425926</v>
      </c>
      <c r="C384" s="1" t="n">
        <v>45890</v>
      </c>
      <c r="D384" t="inlineStr">
        <is>
          <t>JÄMTLANDS LÄN</t>
        </is>
      </c>
      <c r="E384" t="inlineStr">
        <is>
          <t>ÖSTERSUND</t>
        </is>
      </c>
      <c r="G384" t="n">
        <v>17.2</v>
      </c>
      <c r="H384" t="n">
        <v>0</v>
      </c>
      <c r="I384" t="n">
        <v>0</v>
      </c>
      <c r="J384" t="n">
        <v>0</v>
      </c>
      <c r="K384" t="n">
        <v>0</v>
      </c>
      <c r="L384" t="n">
        <v>0</v>
      </c>
      <c r="M384" t="n">
        <v>0</v>
      </c>
      <c r="N384" t="n">
        <v>0</v>
      </c>
      <c r="O384" t="n">
        <v>0</v>
      </c>
      <c r="P384" t="n">
        <v>0</v>
      </c>
      <c r="Q384" t="n">
        <v>0</v>
      </c>
      <c r="R384" s="2" t="inlineStr"/>
    </row>
    <row r="385" ht="15" customHeight="1">
      <c r="A385" t="inlineStr">
        <is>
          <t>A 25058-2025</t>
        </is>
      </c>
      <c r="B385" s="1" t="n">
        <v>45799.68418981481</v>
      </c>
      <c r="C385" s="1" t="n">
        <v>45890</v>
      </c>
      <c r="D385" t="inlineStr">
        <is>
          <t>JÄMTLANDS LÄN</t>
        </is>
      </c>
      <c r="E385" t="inlineStr">
        <is>
          <t>ÖSTERSUND</t>
        </is>
      </c>
      <c r="G385" t="n">
        <v>0.8</v>
      </c>
      <c r="H385" t="n">
        <v>0</v>
      </c>
      <c r="I385" t="n">
        <v>0</v>
      </c>
      <c r="J385" t="n">
        <v>0</v>
      </c>
      <c r="K385" t="n">
        <v>0</v>
      </c>
      <c r="L385" t="n">
        <v>0</v>
      </c>
      <c r="M385" t="n">
        <v>0</v>
      </c>
      <c r="N385" t="n">
        <v>0</v>
      </c>
      <c r="O385" t="n">
        <v>0</v>
      </c>
      <c r="P385" t="n">
        <v>0</v>
      </c>
      <c r="Q385" t="n">
        <v>0</v>
      </c>
      <c r="R385" s="2" t="inlineStr"/>
    </row>
    <row r="386" ht="15" customHeight="1">
      <c r="A386" t="inlineStr">
        <is>
          <t>A 53176-2024</t>
        </is>
      </c>
      <c r="B386" s="1" t="n">
        <v>45611.66655092593</v>
      </c>
      <c r="C386" s="1" t="n">
        <v>45890</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62111-2024</t>
        </is>
      </c>
      <c r="B387" s="1" t="n">
        <v>45656.53215277778</v>
      </c>
      <c r="C387" s="1" t="n">
        <v>45890</v>
      </c>
      <c r="D387" t="inlineStr">
        <is>
          <t>JÄMTLANDS LÄN</t>
        </is>
      </c>
      <c r="E387" t="inlineStr">
        <is>
          <t>ÖSTERSUND</t>
        </is>
      </c>
      <c r="G387" t="n">
        <v>3.4</v>
      </c>
      <c r="H387" t="n">
        <v>0</v>
      </c>
      <c r="I387" t="n">
        <v>0</v>
      </c>
      <c r="J387" t="n">
        <v>0</v>
      </c>
      <c r="K387" t="n">
        <v>0</v>
      </c>
      <c r="L387" t="n">
        <v>0</v>
      </c>
      <c r="M387" t="n">
        <v>0</v>
      </c>
      <c r="N387" t="n">
        <v>0</v>
      </c>
      <c r="O387" t="n">
        <v>0</v>
      </c>
      <c r="P387" t="n">
        <v>0</v>
      </c>
      <c r="Q387" t="n">
        <v>0</v>
      </c>
      <c r="R387" s="2" t="inlineStr"/>
    </row>
    <row r="388" ht="15" customHeight="1">
      <c r="A388" t="inlineStr">
        <is>
          <t>A 25069-2025</t>
        </is>
      </c>
      <c r="B388" s="1" t="n">
        <v>45799.7372337963</v>
      </c>
      <c r="C388" s="1" t="n">
        <v>45890</v>
      </c>
      <c r="D388" t="inlineStr">
        <is>
          <t>JÄMTLANDS LÄN</t>
        </is>
      </c>
      <c r="E388" t="inlineStr">
        <is>
          <t>ÖSTERSUND</t>
        </is>
      </c>
      <c r="G388" t="n">
        <v>3.5</v>
      </c>
      <c r="H388" t="n">
        <v>0</v>
      </c>
      <c r="I388" t="n">
        <v>0</v>
      </c>
      <c r="J388" t="n">
        <v>0</v>
      </c>
      <c r="K388" t="n">
        <v>0</v>
      </c>
      <c r="L388" t="n">
        <v>0</v>
      </c>
      <c r="M388" t="n">
        <v>0</v>
      </c>
      <c r="N388" t="n">
        <v>0</v>
      </c>
      <c r="O388" t="n">
        <v>0</v>
      </c>
      <c r="P388" t="n">
        <v>0</v>
      </c>
      <c r="Q388" t="n">
        <v>0</v>
      </c>
      <c r="R388" s="2" t="inlineStr"/>
    </row>
    <row r="389" ht="15" customHeight="1">
      <c r="A389" t="inlineStr">
        <is>
          <t>A 24946-2025</t>
        </is>
      </c>
      <c r="B389" s="1" t="n">
        <v>45799.56515046296</v>
      </c>
      <c r="C389" s="1" t="n">
        <v>45890</v>
      </c>
      <c r="D389" t="inlineStr">
        <is>
          <t>JÄMTLANDS LÄN</t>
        </is>
      </c>
      <c r="E389" t="inlineStr">
        <is>
          <t>ÖSTERSUND</t>
        </is>
      </c>
      <c r="G389" t="n">
        <v>4.8</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45890</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38926-2024</t>
        </is>
      </c>
      <c r="B391" s="1" t="n">
        <v>45547.90777777778</v>
      </c>
      <c r="C391" s="1" t="n">
        <v>45890</v>
      </c>
      <c r="D391" t="inlineStr">
        <is>
          <t>JÄMTLANDS LÄN</t>
        </is>
      </c>
      <c r="E391" t="inlineStr">
        <is>
          <t>ÖSTERSUND</t>
        </is>
      </c>
      <c r="G391" t="n">
        <v>0.4</v>
      </c>
      <c r="H391" t="n">
        <v>0</v>
      </c>
      <c r="I391" t="n">
        <v>0</v>
      </c>
      <c r="J391" t="n">
        <v>0</v>
      </c>
      <c r="K391" t="n">
        <v>0</v>
      </c>
      <c r="L391" t="n">
        <v>0</v>
      </c>
      <c r="M391" t="n">
        <v>0</v>
      </c>
      <c r="N391" t="n">
        <v>0</v>
      </c>
      <c r="O391" t="n">
        <v>0</v>
      </c>
      <c r="P391" t="n">
        <v>0</v>
      </c>
      <c r="Q391" t="n">
        <v>0</v>
      </c>
      <c r="R391" s="2" t="inlineStr"/>
    </row>
    <row r="392" ht="15" customHeight="1">
      <c r="A392" t="inlineStr">
        <is>
          <t>A 25059-2025</t>
        </is>
      </c>
      <c r="B392" s="1" t="n">
        <v>45799.69116898148</v>
      </c>
      <c r="C392" s="1" t="n">
        <v>45890</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24725-2025</t>
        </is>
      </c>
      <c r="B393" s="1" t="n">
        <v>45799.3231712963</v>
      </c>
      <c r="C393" s="1" t="n">
        <v>45890</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38335-2023</t>
        </is>
      </c>
      <c r="B394" s="1" t="n">
        <v>45161</v>
      </c>
      <c r="C394" s="1" t="n">
        <v>45890</v>
      </c>
      <c r="D394" t="inlineStr">
        <is>
          <t>JÄMTLANDS LÄN</t>
        </is>
      </c>
      <c r="E394" t="inlineStr">
        <is>
          <t>ÖSTERSUND</t>
        </is>
      </c>
      <c r="G394" t="n">
        <v>15.1</v>
      </c>
      <c r="H394" t="n">
        <v>0</v>
      </c>
      <c r="I394" t="n">
        <v>0</v>
      </c>
      <c r="J394" t="n">
        <v>0</v>
      </c>
      <c r="K394" t="n">
        <v>0</v>
      </c>
      <c r="L394" t="n">
        <v>0</v>
      </c>
      <c r="M394" t="n">
        <v>0</v>
      </c>
      <c r="N394" t="n">
        <v>0</v>
      </c>
      <c r="O394" t="n">
        <v>0</v>
      </c>
      <c r="P394" t="n">
        <v>0</v>
      </c>
      <c r="Q394" t="n">
        <v>0</v>
      </c>
      <c r="R394" s="2" t="inlineStr"/>
    </row>
    <row r="395" ht="15" customHeight="1">
      <c r="A395" t="inlineStr">
        <is>
          <t>A 14653-2022</t>
        </is>
      </c>
      <c r="B395" s="1" t="n">
        <v>44655.69303240741</v>
      </c>
      <c r="C395" s="1" t="n">
        <v>45890</v>
      </c>
      <c r="D395" t="inlineStr">
        <is>
          <t>JÄMTLANDS LÄN</t>
        </is>
      </c>
      <c r="E395" t="inlineStr">
        <is>
          <t>ÖSTERSUND</t>
        </is>
      </c>
      <c r="G395" t="n">
        <v>1.6</v>
      </c>
      <c r="H395" t="n">
        <v>0</v>
      </c>
      <c r="I395" t="n">
        <v>0</v>
      </c>
      <c r="J395" t="n">
        <v>0</v>
      </c>
      <c r="K395" t="n">
        <v>0</v>
      </c>
      <c r="L395" t="n">
        <v>0</v>
      </c>
      <c r="M395" t="n">
        <v>0</v>
      </c>
      <c r="N395" t="n">
        <v>0</v>
      </c>
      <c r="O395" t="n">
        <v>0</v>
      </c>
      <c r="P395" t="n">
        <v>0</v>
      </c>
      <c r="Q395" t="n">
        <v>0</v>
      </c>
      <c r="R395" s="2" t="inlineStr"/>
    </row>
    <row r="396" ht="15" customHeight="1">
      <c r="A396" t="inlineStr">
        <is>
          <t>A 25572-2025</t>
        </is>
      </c>
      <c r="B396" s="1" t="n">
        <v>45803</v>
      </c>
      <c r="C396" s="1" t="n">
        <v>45890</v>
      </c>
      <c r="D396" t="inlineStr">
        <is>
          <t>JÄMTLANDS LÄN</t>
        </is>
      </c>
      <c r="E396" t="inlineStr">
        <is>
          <t>ÖSTERSUND</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25252-2025</t>
        </is>
      </c>
      <c r="B397" s="1" t="n">
        <v>45800.50355324074</v>
      </c>
      <c r="C397" s="1" t="n">
        <v>45890</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55064-2024</t>
        </is>
      </c>
      <c r="B398" s="1" t="n">
        <v>45621.41050925926</v>
      </c>
      <c r="C398" s="1" t="n">
        <v>45890</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25228-2025</t>
        </is>
      </c>
      <c r="B399" s="1" t="n">
        <v>45800.48368055555</v>
      </c>
      <c r="C399" s="1" t="n">
        <v>45890</v>
      </c>
      <c r="D399" t="inlineStr">
        <is>
          <t>JÄMTLANDS LÄN</t>
        </is>
      </c>
      <c r="E399" t="inlineStr">
        <is>
          <t>ÖSTERSUND</t>
        </is>
      </c>
      <c r="G399" t="n">
        <v>1.6</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45890</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25210-2025</t>
        </is>
      </c>
      <c r="B401" s="1" t="n">
        <v>45800.46960648148</v>
      </c>
      <c r="C401" s="1" t="n">
        <v>45890</v>
      </c>
      <c r="D401" t="inlineStr">
        <is>
          <t>JÄMTLANDS LÄN</t>
        </is>
      </c>
      <c r="E401" t="inlineStr">
        <is>
          <t>ÖSTERSUND</t>
        </is>
      </c>
      <c r="G401" t="n">
        <v>3.5</v>
      </c>
      <c r="H401" t="n">
        <v>0</v>
      </c>
      <c r="I401" t="n">
        <v>0</v>
      </c>
      <c r="J401" t="n">
        <v>0</v>
      </c>
      <c r="K401" t="n">
        <v>0</v>
      </c>
      <c r="L401" t="n">
        <v>0</v>
      </c>
      <c r="M401" t="n">
        <v>0</v>
      </c>
      <c r="N401" t="n">
        <v>0</v>
      </c>
      <c r="O401" t="n">
        <v>0</v>
      </c>
      <c r="P401" t="n">
        <v>0</v>
      </c>
      <c r="Q401" t="n">
        <v>0</v>
      </c>
      <c r="R401" s="2" t="inlineStr"/>
    </row>
    <row r="402" ht="15" customHeight="1">
      <c r="A402" t="inlineStr">
        <is>
          <t>A 25221-2025</t>
        </is>
      </c>
      <c r="B402" s="1" t="n">
        <v>45800.47802083333</v>
      </c>
      <c r="C402" s="1" t="n">
        <v>45890</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3844-2024</t>
        </is>
      </c>
      <c r="B403" s="1" t="n">
        <v>45321</v>
      </c>
      <c r="C403" s="1" t="n">
        <v>45890</v>
      </c>
      <c r="D403" t="inlineStr">
        <is>
          <t>JÄMTLANDS LÄN</t>
        </is>
      </c>
      <c r="E403" t="inlineStr">
        <is>
          <t>ÖSTERSUND</t>
        </is>
      </c>
      <c r="G403" t="n">
        <v>2.2</v>
      </c>
      <c r="H403" t="n">
        <v>0</v>
      </c>
      <c r="I403" t="n">
        <v>0</v>
      </c>
      <c r="J403" t="n">
        <v>0</v>
      </c>
      <c r="K403" t="n">
        <v>0</v>
      </c>
      <c r="L403" t="n">
        <v>0</v>
      </c>
      <c r="M403" t="n">
        <v>0</v>
      </c>
      <c r="N403" t="n">
        <v>0</v>
      </c>
      <c r="O403" t="n">
        <v>0</v>
      </c>
      <c r="P403" t="n">
        <v>0</v>
      </c>
      <c r="Q403" t="n">
        <v>0</v>
      </c>
      <c r="R403" s="2" t="inlineStr"/>
    </row>
    <row r="404" ht="15" customHeight="1">
      <c r="A404" t="inlineStr">
        <is>
          <t>A 4063-2025</t>
        </is>
      </c>
      <c r="B404" s="1" t="n">
        <v>45684</v>
      </c>
      <c r="C404" s="1" t="n">
        <v>45890</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7327-2023</t>
        </is>
      </c>
      <c r="B405" s="1" t="n">
        <v>44970.97871527778</v>
      </c>
      <c r="C405" s="1" t="n">
        <v>45890</v>
      </c>
      <c r="D405" t="inlineStr">
        <is>
          <t>JÄMTLANDS LÄN</t>
        </is>
      </c>
      <c r="E405" t="inlineStr">
        <is>
          <t>ÖSTERSUND</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25995-2025</t>
        </is>
      </c>
      <c r="B406" s="1" t="n">
        <v>45804.656875</v>
      </c>
      <c r="C406" s="1" t="n">
        <v>45890</v>
      </c>
      <c r="D406" t="inlineStr">
        <is>
          <t>JÄMTLANDS LÄN</t>
        </is>
      </c>
      <c r="E406" t="inlineStr">
        <is>
          <t>ÖSTERSUND</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49192-2024</t>
        </is>
      </c>
      <c r="B407" s="1" t="n">
        <v>45595.34762731481</v>
      </c>
      <c r="C407" s="1" t="n">
        <v>45890</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26144-2025</t>
        </is>
      </c>
      <c r="B408" s="1" t="n">
        <v>45805.42827546296</v>
      </c>
      <c r="C408" s="1" t="n">
        <v>45890</v>
      </c>
      <c r="D408" t="inlineStr">
        <is>
          <t>JÄMTLANDS LÄN</t>
        </is>
      </c>
      <c r="E408" t="inlineStr">
        <is>
          <t>ÖSTERSUND</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25992-2025</t>
        </is>
      </c>
      <c r="B409" s="1" t="n">
        <v>45804.65659722222</v>
      </c>
      <c r="C409" s="1" t="n">
        <v>45890</v>
      </c>
      <c r="D409" t="inlineStr">
        <is>
          <t>JÄMTLANDS LÄN</t>
        </is>
      </c>
      <c r="E409" t="inlineStr">
        <is>
          <t>ÖSTERSUND</t>
        </is>
      </c>
      <c r="F409" t="inlineStr">
        <is>
          <t>SCA</t>
        </is>
      </c>
      <c r="G409" t="n">
        <v>4.9</v>
      </c>
      <c r="H409" t="n">
        <v>0</v>
      </c>
      <c r="I409" t="n">
        <v>0</v>
      </c>
      <c r="J409" t="n">
        <v>0</v>
      </c>
      <c r="K409" t="n">
        <v>0</v>
      </c>
      <c r="L409" t="n">
        <v>0</v>
      </c>
      <c r="M409" t="n">
        <v>0</v>
      </c>
      <c r="N409" t="n">
        <v>0</v>
      </c>
      <c r="O409" t="n">
        <v>0</v>
      </c>
      <c r="P409" t="n">
        <v>0</v>
      </c>
      <c r="Q409" t="n">
        <v>0</v>
      </c>
      <c r="R409" s="2" t="inlineStr"/>
    </row>
    <row r="410" ht="15" customHeight="1">
      <c r="A410" t="inlineStr">
        <is>
          <t>A 47357-2024</t>
        </is>
      </c>
      <c r="B410" s="1" t="n">
        <v>45587.42835648148</v>
      </c>
      <c r="C410" s="1" t="n">
        <v>45890</v>
      </c>
      <c r="D410" t="inlineStr">
        <is>
          <t>JÄMTLANDS LÄN</t>
        </is>
      </c>
      <c r="E410" t="inlineStr">
        <is>
          <t>ÖSTERSUND</t>
        </is>
      </c>
      <c r="G410" t="n">
        <v>2.4</v>
      </c>
      <c r="H410" t="n">
        <v>0</v>
      </c>
      <c r="I410" t="n">
        <v>0</v>
      </c>
      <c r="J410" t="n">
        <v>0</v>
      </c>
      <c r="K410" t="n">
        <v>0</v>
      </c>
      <c r="L410" t="n">
        <v>0</v>
      </c>
      <c r="M410" t="n">
        <v>0</v>
      </c>
      <c r="N410" t="n">
        <v>0</v>
      </c>
      <c r="O410" t="n">
        <v>0</v>
      </c>
      <c r="P410" t="n">
        <v>0</v>
      </c>
      <c r="Q410" t="n">
        <v>0</v>
      </c>
      <c r="R410" s="2" t="inlineStr"/>
    </row>
    <row r="411" ht="15" customHeight="1">
      <c r="A411" t="inlineStr">
        <is>
          <t>A 7224-2024</t>
        </is>
      </c>
      <c r="B411" s="1" t="n">
        <v>45344</v>
      </c>
      <c r="C411" s="1" t="n">
        <v>45890</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25978-2025</t>
        </is>
      </c>
      <c r="B412" s="1" t="n">
        <v>45804.63628472222</v>
      </c>
      <c r="C412" s="1" t="n">
        <v>45890</v>
      </c>
      <c r="D412" t="inlineStr">
        <is>
          <t>JÄMTLANDS LÄN</t>
        </is>
      </c>
      <c r="E412" t="inlineStr">
        <is>
          <t>ÖSTERSUND</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26373-2025</t>
        </is>
      </c>
      <c r="B413" s="1" t="n">
        <v>45806.40677083333</v>
      </c>
      <c r="C413" s="1" t="n">
        <v>45890</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62222-2022</t>
        </is>
      </c>
      <c r="B414" s="1" t="n">
        <v>44922</v>
      </c>
      <c r="C414" s="1" t="n">
        <v>45890</v>
      </c>
      <c r="D414" t="inlineStr">
        <is>
          <t>JÄMTLANDS LÄN</t>
        </is>
      </c>
      <c r="E414" t="inlineStr">
        <is>
          <t>ÖSTERSUND</t>
        </is>
      </c>
      <c r="G414" t="n">
        <v>4.1</v>
      </c>
      <c r="H414" t="n">
        <v>0</v>
      </c>
      <c r="I414" t="n">
        <v>0</v>
      </c>
      <c r="J414" t="n">
        <v>0</v>
      </c>
      <c r="K414" t="n">
        <v>0</v>
      </c>
      <c r="L414" t="n">
        <v>0</v>
      </c>
      <c r="M414" t="n">
        <v>0</v>
      </c>
      <c r="N414" t="n">
        <v>0</v>
      </c>
      <c r="O414" t="n">
        <v>0</v>
      </c>
      <c r="P414" t="n">
        <v>0</v>
      </c>
      <c r="Q414" t="n">
        <v>0</v>
      </c>
      <c r="R414" s="2" t="inlineStr"/>
    </row>
    <row r="415" ht="15" customHeight="1">
      <c r="A415" t="inlineStr">
        <is>
          <t>A 26586-2025</t>
        </is>
      </c>
      <c r="B415" s="1" t="n">
        <v>45807.74140046296</v>
      </c>
      <c r="C415" s="1" t="n">
        <v>45890</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47804-2024</t>
        </is>
      </c>
      <c r="B416" s="1" t="n">
        <v>45588.61498842593</v>
      </c>
      <c r="C416" s="1" t="n">
        <v>45890</v>
      </c>
      <c r="D416" t="inlineStr">
        <is>
          <t>JÄMTLANDS LÄN</t>
        </is>
      </c>
      <c r="E416" t="inlineStr">
        <is>
          <t>ÖSTERSUND</t>
        </is>
      </c>
      <c r="F416" t="inlineStr">
        <is>
          <t>SCA</t>
        </is>
      </c>
      <c r="G416" t="n">
        <v>7.3</v>
      </c>
      <c r="H416" t="n">
        <v>0</v>
      </c>
      <c r="I416" t="n">
        <v>0</v>
      </c>
      <c r="J416" t="n">
        <v>0</v>
      </c>
      <c r="K416" t="n">
        <v>0</v>
      </c>
      <c r="L416" t="n">
        <v>0</v>
      </c>
      <c r="M416" t="n">
        <v>0</v>
      </c>
      <c r="N416" t="n">
        <v>0</v>
      </c>
      <c r="O416" t="n">
        <v>0</v>
      </c>
      <c r="P416" t="n">
        <v>0</v>
      </c>
      <c r="Q416" t="n">
        <v>0</v>
      </c>
      <c r="R416" s="2" t="inlineStr"/>
    </row>
    <row r="417" ht="15" customHeight="1">
      <c r="A417" t="inlineStr">
        <is>
          <t>A 47805-2024</t>
        </is>
      </c>
      <c r="B417" s="1" t="n">
        <v>45588.61512731481</v>
      </c>
      <c r="C417" s="1" t="n">
        <v>45890</v>
      </c>
      <c r="D417" t="inlineStr">
        <is>
          <t>JÄMTLANDS LÄN</t>
        </is>
      </c>
      <c r="E417" t="inlineStr">
        <is>
          <t>ÖSTERSUND</t>
        </is>
      </c>
      <c r="G417" t="n">
        <v>7.4</v>
      </c>
      <c r="H417" t="n">
        <v>0</v>
      </c>
      <c r="I417" t="n">
        <v>0</v>
      </c>
      <c r="J417" t="n">
        <v>0</v>
      </c>
      <c r="K417" t="n">
        <v>0</v>
      </c>
      <c r="L417" t="n">
        <v>0</v>
      </c>
      <c r="M417" t="n">
        <v>0</v>
      </c>
      <c r="N417" t="n">
        <v>0</v>
      </c>
      <c r="O417" t="n">
        <v>0</v>
      </c>
      <c r="P417" t="n">
        <v>0</v>
      </c>
      <c r="Q417" t="n">
        <v>0</v>
      </c>
      <c r="R417" s="2" t="inlineStr"/>
    </row>
    <row r="418" ht="15" customHeight="1">
      <c r="A418" t="inlineStr">
        <is>
          <t>A 50218-2024</t>
        </is>
      </c>
      <c r="B418" s="1" t="n">
        <v>45600.53160879629</v>
      </c>
      <c r="C418" s="1" t="n">
        <v>45890</v>
      </c>
      <c r="D418" t="inlineStr">
        <is>
          <t>JÄMTLANDS LÄN</t>
        </is>
      </c>
      <c r="E418" t="inlineStr">
        <is>
          <t>ÖSTERSUND</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60780-2023</t>
        </is>
      </c>
      <c r="B419" s="1" t="n">
        <v>45260</v>
      </c>
      <c r="C419" s="1" t="n">
        <v>45890</v>
      </c>
      <c r="D419" t="inlineStr">
        <is>
          <t>JÄMTLANDS LÄN</t>
        </is>
      </c>
      <c r="E419" t="inlineStr">
        <is>
          <t>ÖSTERSUND</t>
        </is>
      </c>
      <c r="G419" t="n">
        <v>3.7</v>
      </c>
      <c r="H419" t="n">
        <v>0</v>
      </c>
      <c r="I419" t="n">
        <v>0</v>
      </c>
      <c r="J419" t="n">
        <v>0</v>
      </c>
      <c r="K419" t="n">
        <v>0</v>
      </c>
      <c r="L419" t="n">
        <v>0</v>
      </c>
      <c r="M419" t="n">
        <v>0</v>
      </c>
      <c r="N419" t="n">
        <v>0</v>
      </c>
      <c r="O419" t="n">
        <v>0</v>
      </c>
      <c r="P419" t="n">
        <v>0</v>
      </c>
      <c r="Q419" t="n">
        <v>0</v>
      </c>
      <c r="R419" s="2" t="inlineStr"/>
    </row>
    <row r="420" ht="15" customHeight="1">
      <c r="A420" t="inlineStr">
        <is>
          <t>A 60794-2023</t>
        </is>
      </c>
      <c r="B420" s="1" t="n">
        <v>45260</v>
      </c>
      <c r="C420" s="1" t="n">
        <v>45890</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26492-2025</t>
        </is>
      </c>
      <c r="B421" s="1" t="n">
        <v>45807</v>
      </c>
      <c r="C421" s="1" t="n">
        <v>45890</v>
      </c>
      <c r="D421" t="inlineStr">
        <is>
          <t>JÄMTLANDS LÄN</t>
        </is>
      </c>
      <c r="E421" t="inlineStr">
        <is>
          <t>ÖSTERSUND</t>
        </is>
      </c>
      <c r="G421" t="n">
        <v>7</v>
      </c>
      <c r="H421" t="n">
        <v>0</v>
      </c>
      <c r="I421" t="n">
        <v>0</v>
      </c>
      <c r="J421" t="n">
        <v>0</v>
      </c>
      <c r="K421" t="n">
        <v>0</v>
      </c>
      <c r="L421" t="n">
        <v>0</v>
      </c>
      <c r="M421" t="n">
        <v>0</v>
      </c>
      <c r="N421" t="n">
        <v>0</v>
      </c>
      <c r="O421" t="n">
        <v>0</v>
      </c>
      <c r="P421" t="n">
        <v>0</v>
      </c>
      <c r="Q421" t="n">
        <v>0</v>
      </c>
      <c r="R421" s="2" t="inlineStr"/>
    </row>
    <row r="422" ht="15" customHeight="1">
      <c r="A422" t="inlineStr">
        <is>
          <t>A 26500-2025</t>
        </is>
      </c>
      <c r="B422" s="1" t="n">
        <v>45807</v>
      </c>
      <c r="C422" s="1" t="n">
        <v>45890</v>
      </c>
      <c r="D422" t="inlineStr">
        <is>
          <t>JÄMTLANDS LÄN</t>
        </is>
      </c>
      <c r="E422" t="inlineStr">
        <is>
          <t>ÖSTERSUND</t>
        </is>
      </c>
      <c r="G422" t="n">
        <v>1.7</v>
      </c>
      <c r="H422" t="n">
        <v>0</v>
      </c>
      <c r="I422" t="n">
        <v>0</v>
      </c>
      <c r="J422" t="n">
        <v>0</v>
      </c>
      <c r="K422" t="n">
        <v>0</v>
      </c>
      <c r="L422" t="n">
        <v>0</v>
      </c>
      <c r="M422" t="n">
        <v>0</v>
      </c>
      <c r="N422" t="n">
        <v>0</v>
      </c>
      <c r="O422" t="n">
        <v>0</v>
      </c>
      <c r="P422" t="n">
        <v>0</v>
      </c>
      <c r="Q422" t="n">
        <v>0</v>
      </c>
      <c r="R422" s="2" t="inlineStr"/>
    </row>
    <row r="423" ht="15" customHeight="1">
      <c r="A423" t="inlineStr">
        <is>
          <t>A 11877-2024</t>
        </is>
      </c>
      <c r="B423" s="1" t="n">
        <v>45376</v>
      </c>
      <c r="C423" s="1" t="n">
        <v>45890</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5135-2025</t>
        </is>
      </c>
      <c r="B424" s="1" t="n">
        <v>45691</v>
      </c>
      <c r="C424" s="1" t="n">
        <v>45890</v>
      </c>
      <c r="D424" t="inlineStr">
        <is>
          <t>JÄMTLANDS LÄN</t>
        </is>
      </c>
      <c r="E424" t="inlineStr">
        <is>
          <t>ÖSTERSUND</t>
        </is>
      </c>
      <c r="F424" t="inlineStr">
        <is>
          <t>Övriga Aktiebolag</t>
        </is>
      </c>
      <c r="G424" t="n">
        <v>126.9</v>
      </c>
      <c r="H424" t="n">
        <v>0</v>
      </c>
      <c r="I424" t="n">
        <v>0</v>
      </c>
      <c r="J424" t="n">
        <v>0</v>
      </c>
      <c r="K424" t="n">
        <v>0</v>
      </c>
      <c r="L424" t="n">
        <v>0</v>
      </c>
      <c r="M424" t="n">
        <v>0</v>
      </c>
      <c r="N424" t="n">
        <v>0</v>
      </c>
      <c r="O424" t="n">
        <v>0</v>
      </c>
      <c r="P424" t="n">
        <v>0</v>
      </c>
      <c r="Q424" t="n">
        <v>0</v>
      </c>
      <c r="R424" s="2" t="inlineStr"/>
    </row>
    <row r="425" ht="15" customHeight="1">
      <c r="A425" t="inlineStr">
        <is>
          <t>A 3610-2024</t>
        </is>
      </c>
      <c r="B425" s="1" t="n">
        <v>45320.92060185185</v>
      </c>
      <c r="C425" s="1" t="n">
        <v>45890</v>
      </c>
      <c r="D425" t="inlineStr">
        <is>
          <t>JÄMTLANDS LÄN</t>
        </is>
      </c>
      <c r="E425" t="inlineStr">
        <is>
          <t>ÖSTERSUND</t>
        </is>
      </c>
      <c r="G425" t="n">
        <v>6.2</v>
      </c>
      <c r="H425" t="n">
        <v>0</v>
      </c>
      <c r="I425" t="n">
        <v>0</v>
      </c>
      <c r="J425" t="n">
        <v>0</v>
      </c>
      <c r="K425" t="n">
        <v>0</v>
      </c>
      <c r="L425" t="n">
        <v>0</v>
      </c>
      <c r="M425" t="n">
        <v>0</v>
      </c>
      <c r="N425" t="n">
        <v>0</v>
      </c>
      <c r="O425" t="n">
        <v>0</v>
      </c>
      <c r="P425" t="n">
        <v>0</v>
      </c>
      <c r="Q425" t="n">
        <v>0</v>
      </c>
      <c r="R425" s="2" t="inlineStr"/>
    </row>
    <row r="426" ht="15" customHeight="1">
      <c r="A426" t="inlineStr">
        <is>
          <t>A 53714-2022</t>
        </is>
      </c>
      <c r="B426" s="1" t="n">
        <v>44880</v>
      </c>
      <c r="C426" s="1" t="n">
        <v>45890</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27034-2025</t>
        </is>
      </c>
      <c r="B427" s="1" t="n">
        <v>45811.59258101852</v>
      </c>
      <c r="C427" s="1" t="n">
        <v>45890</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52128-2023</t>
        </is>
      </c>
      <c r="B428" s="1" t="n">
        <v>45223</v>
      </c>
      <c r="C428" s="1" t="n">
        <v>45890</v>
      </c>
      <c r="D428" t="inlineStr">
        <is>
          <t>JÄMTLANDS LÄN</t>
        </is>
      </c>
      <c r="E428" t="inlineStr">
        <is>
          <t>ÖSTERSUND</t>
        </is>
      </c>
      <c r="F428" t="inlineStr">
        <is>
          <t>SCA</t>
        </is>
      </c>
      <c r="G428" t="n">
        <v>11.9</v>
      </c>
      <c r="H428" t="n">
        <v>0</v>
      </c>
      <c r="I428" t="n">
        <v>0</v>
      </c>
      <c r="J428" t="n">
        <v>0</v>
      </c>
      <c r="K428" t="n">
        <v>0</v>
      </c>
      <c r="L428" t="n">
        <v>0</v>
      </c>
      <c r="M428" t="n">
        <v>0</v>
      </c>
      <c r="N428" t="n">
        <v>0</v>
      </c>
      <c r="O428" t="n">
        <v>0</v>
      </c>
      <c r="P428" t="n">
        <v>0</v>
      </c>
      <c r="Q428" t="n">
        <v>0</v>
      </c>
      <c r="R428" s="2" t="inlineStr"/>
    </row>
    <row r="429" ht="15" customHeight="1">
      <c r="A429" t="inlineStr">
        <is>
          <t>A 44013-2021</t>
        </is>
      </c>
      <c r="B429" s="1" t="n">
        <v>44434</v>
      </c>
      <c r="C429" s="1" t="n">
        <v>45890</v>
      </c>
      <c r="D429" t="inlineStr">
        <is>
          <t>JÄMTLANDS LÄN</t>
        </is>
      </c>
      <c r="E429" t="inlineStr">
        <is>
          <t>ÖSTERSUND</t>
        </is>
      </c>
      <c r="G429" t="n">
        <v>1.9</v>
      </c>
      <c r="H429" t="n">
        <v>0</v>
      </c>
      <c r="I429" t="n">
        <v>0</v>
      </c>
      <c r="J429" t="n">
        <v>0</v>
      </c>
      <c r="K429" t="n">
        <v>0</v>
      </c>
      <c r="L429" t="n">
        <v>0</v>
      </c>
      <c r="M429" t="n">
        <v>0</v>
      </c>
      <c r="N429" t="n">
        <v>0</v>
      </c>
      <c r="O429" t="n">
        <v>0</v>
      </c>
      <c r="P429" t="n">
        <v>0</v>
      </c>
      <c r="Q429" t="n">
        <v>0</v>
      </c>
      <c r="R429" s="2" t="inlineStr"/>
    </row>
    <row r="430" ht="15" customHeight="1">
      <c r="A430" t="inlineStr">
        <is>
          <t>A 79-2025</t>
        </is>
      </c>
      <c r="B430" s="1" t="n">
        <v>45659.44413194444</v>
      </c>
      <c r="C430" s="1" t="n">
        <v>45890</v>
      </c>
      <c r="D430" t="inlineStr">
        <is>
          <t>JÄMTLANDS LÄN</t>
        </is>
      </c>
      <c r="E430" t="inlineStr">
        <is>
          <t>ÖSTERSUND</t>
        </is>
      </c>
      <c r="G430" t="n">
        <v>0.6</v>
      </c>
      <c r="H430" t="n">
        <v>0</v>
      </c>
      <c r="I430" t="n">
        <v>0</v>
      </c>
      <c r="J430" t="n">
        <v>0</v>
      </c>
      <c r="K430" t="n">
        <v>0</v>
      </c>
      <c r="L430" t="n">
        <v>0</v>
      </c>
      <c r="M430" t="n">
        <v>0</v>
      </c>
      <c r="N430" t="n">
        <v>0</v>
      </c>
      <c r="O430" t="n">
        <v>0</v>
      </c>
      <c r="P430" t="n">
        <v>0</v>
      </c>
      <c r="Q430" t="n">
        <v>0</v>
      </c>
      <c r="R430" s="2" t="inlineStr"/>
    </row>
    <row r="431" ht="15" customHeight="1">
      <c r="A431" t="inlineStr">
        <is>
          <t>A 8003-2025</t>
        </is>
      </c>
      <c r="B431" s="1" t="n">
        <v>45707</v>
      </c>
      <c r="C431" s="1" t="n">
        <v>45890</v>
      </c>
      <c r="D431" t="inlineStr">
        <is>
          <t>JÄMTLANDS LÄN</t>
        </is>
      </c>
      <c r="E431" t="inlineStr">
        <is>
          <t>ÖSTERSUND</t>
        </is>
      </c>
      <c r="F431" t="inlineStr">
        <is>
          <t>Övriga Aktiebolag</t>
        </is>
      </c>
      <c r="G431" t="n">
        <v>35.1</v>
      </c>
      <c r="H431" t="n">
        <v>0</v>
      </c>
      <c r="I431" t="n">
        <v>0</v>
      </c>
      <c r="J431" t="n">
        <v>0</v>
      </c>
      <c r="K431" t="n">
        <v>0</v>
      </c>
      <c r="L431" t="n">
        <v>0</v>
      </c>
      <c r="M431" t="n">
        <v>0</v>
      </c>
      <c r="N431" t="n">
        <v>0</v>
      </c>
      <c r="O431" t="n">
        <v>0</v>
      </c>
      <c r="P431" t="n">
        <v>0</v>
      </c>
      <c r="Q431" t="n">
        <v>0</v>
      </c>
      <c r="R431" s="2" t="inlineStr"/>
    </row>
    <row r="432" ht="15" customHeight="1">
      <c r="A432" t="inlineStr">
        <is>
          <t>A 44327-2023</t>
        </is>
      </c>
      <c r="B432" s="1" t="n">
        <v>45188</v>
      </c>
      <c r="C432" s="1" t="n">
        <v>45890</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26605-2025</t>
        </is>
      </c>
      <c r="B433" s="1" t="n">
        <v>45809.86790509259</v>
      </c>
      <c r="C433" s="1" t="n">
        <v>45890</v>
      </c>
      <c r="D433" t="inlineStr">
        <is>
          <t>JÄMTLANDS LÄN</t>
        </is>
      </c>
      <c r="E433" t="inlineStr">
        <is>
          <t>ÖSTERSUND</t>
        </is>
      </c>
      <c r="G433" t="n">
        <v>1.3</v>
      </c>
      <c r="H433" t="n">
        <v>0</v>
      </c>
      <c r="I433" t="n">
        <v>0</v>
      </c>
      <c r="J433" t="n">
        <v>0</v>
      </c>
      <c r="K433" t="n">
        <v>0</v>
      </c>
      <c r="L433" t="n">
        <v>0</v>
      </c>
      <c r="M433" t="n">
        <v>0</v>
      </c>
      <c r="N433" t="n">
        <v>0</v>
      </c>
      <c r="O433" t="n">
        <v>0</v>
      </c>
      <c r="P433" t="n">
        <v>0</v>
      </c>
      <c r="Q433" t="n">
        <v>0</v>
      </c>
      <c r="R433" s="2" t="inlineStr"/>
    </row>
    <row r="434" ht="15" customHeight="1">
      <c r="A434" t="inlineStr">
        <is>
          <t>A 26587-2025</t>
        </is>
      </c>
      <c r="B434" s="1" t="n">
        <v>45807.75076388889</v>
      </c>
      <c r="C434" s="1" t="n">
        <v>45890</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7300-2025</t>
        </is>
      </c>
      <c r="B435" s="1" t="n">
        <v>45702.65655092592</v>
      </c>
      <c r="C435" s="1" t="n">
        <v>45890</v>
      </c>
      <c r="D435" t="inlineStr">
        <is>
          <t>JÄMTLANDS LÄN</t>
        </is>
      </c>
      <c r="E435" t="inlineStr">
        <is>
          <t>ÖSTERSUND</t>
        </is>
      </c>
      <c r="F435" t="inlineStr">
        <is>
          <t>SCA</t>
        </is>
      </c>
      <c r="G435" t="n">
        <v>10.4</v>
      </c>
      <c r="H435" t="n">
        <v>0</v>
      </c>
      <c r="I435" t="n">
        <v>0</v>
      </c>
      <c r="J435" t="n">
        <v>0</v>
      </c>
      <c r="K435" t="n">
        <v>0</v>
      </c>
      <c r="L435" t="n">
        <v>0</v>
      </c>
      <c r="M435" t="n">
        <v>0</v>
      </c>
      <c r="N435" t="n">
        <v>0</v>
      </c>
      <c r="O435" t="n">
        <v>0</v>
      </c>
      <c r="P435" t="n">
        <v>0</v>
      </c>
      <c r="Q435" t="n">
        <v>0</v>
      </c>
      <c r="R435" s="2" t="inlineStr"/>
    </row>
    <row r="436" ht="15" customHeight="1">
      <c r="A436" t="inlineStr">
        <is>
          <t>A 21667-2024</t>
        </is>
      </c>
      <c r="B436" s="1" t="n">
        <v>45442.38511574074</v>
      </c>
      <c r="C436" s="1" t="n">
        <v>45890</v>
      </c>
      <c r="D436" t="inlineStr">
        <is>
          <t>JÄMTLANDS LÄN</t>
        </is>
      </c>
      <c r="E436" t="inlineStr">
        <is>
          <t>ÖSTERSUND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10064-2024</t>
        </is>
      </c>
      <c r="B437" s="1" t="n">
        <v>45364.3874074074</v>
      </c>
      <c r="C437" s="1" t="n">
        <v>45890</v>
      </c>
      <c r="D437" t="inlineStr">
        <is>
          <t>JÄMTLANDS LÄN</t>
        </is>
      </c>
      <c r="E437" t="inlineStr">
        <is>
          <t>ÖSTERSUND</t>
        </is>
      </c>
      <c r="G437" t="n">
        <v>13.9</v>
      </c>
      <c r="H437" t="n">
        <v>0</v>
      </c>
      <c r="I437" t="n">
        <v>0</v>
      </c>
      <c r="J437" t="n">
        <v>0</v>
      </c>
      <c r="K437" t="n">
        <v>0</v>
      </c>
      <c r="L437" t="n">
        <v>0</v>
      </c>
      <c r="M437" t="n">
        <v>0</v>
      </c>
      <c r="N437" t="n">
        <v>0</v>
      </c>
      <c r="O437" t="n">
        <v>0</v>
      </c>
      <c r="P437" t="n">
        <v>0</v>
      </c>
      <c r="Q437" t="n">
        <v>0</v>
      </c>
      <c r="R437" s="2" t="inlineStr"/>
    </row>
    <row r="438" ht="15" customHeight="1">
      <c r="A438" t="inlineStr">
        <is>
          <t>A 13651-2025</t>
        </is>
      </c>
      <c r="B438" s="1" t="n">
        <v>45736.71818287037</v>
      </c>
      <c r="C438" s="1" t="n">
        <v>45890</v>
      </c>
      <c r="D438" t="inlineStr">
        <is>
          <t>JÄMTLANDS LÄN</t>
        </is>
      </c>
      <c r="E438" t="inlineStr">
        <is>
          <t>ÖSTERSUND</t>
        </is>
      </c>
      <c r="G438" t="n">
        <v>3.7</v>
      </c>
      <c r="H438" t="n">
        <v>0</v>
      </c>
      <c r="I438" t="n">
        <v>0</v>
      </c>
      <c r="J438" t="n">
        <v>0</v>
      </c>
      <c r="K438" t="n">
        <v>0</v>
      </c>
      <c r="L438" t="n">
        <v>0</v>
      </c>
      <c r="M438" t="n">
        <v>0</v>
      </c>
      <c r="N438" t="n">
        <v>0</v>
      </c>
      <c r="O438" t="n">
        <v>0</v>
      </c>
      <c r="P438" t="n">
        <v>0</v>
      </c>
      <c r="Q438" t="n">
        <v>0</v>
      </c>
      <c r="R438" s="2" t="inlineStr"/>
    </row>
    <row r="439" ht="15" customHeight="1">
      <c r="A439" t="inlineStr">
        <is>
          <t>A 39510-2024</t>
        </is>
      </c>
      <c r="B439" s="1" t="n">
        <v>45551.67761574074</v>
      </c>
      <c r="C439" s="1" t="n">
        <v>45890</v>
      </c>
      <c r="D439" t="inlineStr">
        <is>
          <t>JÄMTLANDS LÄN</t>
        </is>
      </c>
      <c r="E439" t="inlineStr">
        <is>
          <t>ÖSTERSUND</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12285-2022</t>
        </is>
      </c>
      <c r="B440" s="1" t="n">
        <v>44637</v>
      </c>
      <c r="C440" s="1" t="n">
        <v>45890</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27035-2025</t>
        </is>
      </c>
      <c r="B441" s="1" t="n">
        <v>45811.5928587963</v>
      </c>
      <c r="C441" s="1" t="n">
        <v>45890</v>
      </c>
      <c r="D441" t="inlineStr">
        <is>
          <t>JÄMTLANDS LÄN</t>
        </is>
      </c>
      <c r="E441" t="inlineStr">
        <is>
          <t>ÖSTERSUND</t>
        </is>
      </c>
      <c r="G441" t="n">
        <v>2.8</v>
      </c>
      <c r="H441" t="n">
        <v>0</v>
      </c>
      <c r="I441" t="n">
        <v>0</v>
      </c>
      <c r="J441" t="n">
        <v>0</v>
      </c>
      <c r="K441" t="n">
        <v>0</v>
      </c>
      <c r="L441" t="n">
        <v>0</v>
      </c>
      <c r="M441" t="n">
        <v>0</v>
      </c>
      <c r="N441" t="n">
        <v>0</v>
      </c>
      <c r="O441" t="n">
        <v>0</v>
      </c>
      <c r="P441" t="n">
        <v>0</v>
      </c>
      <c r="Q441" t="n">
        <v>0</v>
      </c>
      <c r="R441" s="2" t="inlineStr"/>
    </row>
    <row r="442" ht="15" customHeight="1">
      <c r="A442" t="inlineStr">
        <is>
          <t>A 25187-2024</t>
        </is>
      </c>
      <c r="B442" s="1" t="n">
        <v>45462.56172453704</v>
      </c>
      <c r="C442" s="1" t="n">
        <v>45890</v>
      </c>
      <c r="D442" t="inlineStr">
        <is>
          <t>JÄMTLANDS LÄN</t>
        </is>
      </c>
      <c r="E442" t="inlineStr">
        <is>
          <t>ÖSTERSUND</t>
        </is>
      </c>
      <c r="G442" t="n">
        <v>2.4</v>
      </c>
      <c r="H442" t="n">
        <v>0</v>
      </c>
      <c r="I442" t="n">
        <v>0</v>
      </c>
      <c r="J442" t="n">
        <v>0</v>
      </c>
      <c r="K442" t="n">
        <v>0</v>
      </c>
      <c r="L442" t="n">
        <v>0</v>
      </c>
      <c r="M442" t="n">
        <v>0</v>
      </c>
      <c r="N442" t="n">
        <v>0</v>
      </c>
      <c r="O442" t="n">
        <v>0</v>
      </c>
      <c r="P442" t="n">
        <v>0</v>
      </c>
      <c r="Q442" t="n">
        <v>0</v>
      </c>
      <c r="R442" s="2" t="inlineStr"/>
    </row>
    <row r="443" ht="15" customHeight="1">
      <c r="A443" t="inlineStr">
        <is>
          <t>A 25385-2024</t>
        </is>
      </c>
      <c r="B443" s="1" t="n">
        <v>45462.96347222223</v>
      </c>
      <c r="C443" s="1" t="n">
        <v>45890</v>
      </c>
      <c r="D443" t="inlineStr">
        <is>
          <t>JÄMTLANDS LÄN</t>
        </is>
      </c>
      <c r="E443" t="inlineStr">
        <is>
          <t>ÖSTERSUND</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10266-2025</t>
        </is>
      </c>
      <c r="B444" s="1" t="n">
        <v>45720.38576388889</v>
      </c>
      <c r="C444" s="1" t="n">
        <v>45890</v>
      </c>
      <c r="D444" t="inlineStr">
        <is>
          <t>JÄMTLANDS LÄN</t>
        </is>
      </c>
      <c r="E444" t="inlineStr">
        <is>
          <t>ÖSTERSUND</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27517-2025</t>
        </is>
      </c>
      <c r="B445" s="1" t="n">
        <v>45813.43966435185</v>
      </c>
      <c r="C445" s="1" t="n">
        <v>45890</v>
      </c>
      <c r="D445" t="inlineStr">
        <is>
          <t>JÄMTLANDS LÄN</t>
        </is>
      </c>
      <c r="E445" t="inlineStr">
        <is>
          <t>ÖSTERSUND</t>
        </is>
      </c>
      <c r="G445" t="n">
        <v>2.2</v>
      </c>
      <c r="H445" t="n">
        <v>0</v>
      </c>
      <c r="I445" t="n">
        <v>0</v>
      </c>
      <c r="J445" t="n">
        <v>0</v>
      </c>
      <c r="K445" t="n">
        <v>0</v>
      </c>
      <c r="L445" t="n">
        <v>0</v>
      </c>
      <c r="M445" t="n">
        <v>0</v>
      </c>
      <c r="N445" t="n">
        <v>0</v>
      </c>
      <c r="O445" t="n">
        <v>0</v>
      </c>
      <c r="P445" t="n">
        <v>0</v>
      </c>
      <c r="Q445" t="n">
        <v>0</v>
      </c>
      <c r="R445" s="2" t="inlineStr"/>
    </row>
    <row r="446" ht="15" customHeight="1">
      <c r="A446" t="inlineStr">
        <is>
          <t>A 13282-2023</t>
        </is>
      </c>
      <c r="B446" s="1" t="n">
        <v>45004</v>
      </c>
      <c r="C446" s="1" t="n">
        <v>45890</v>
      </c>
      <c r="D446" t="inlineStr">
        <is>
          <t>JÄMTLANDS LÄN</t>
        </is>
      </c>
      <c r="E446" t="inlineStr">
        <is>
          <t>ÖSTERSUND</t>
        </is>
      </c>
      <c r="G446" t="n">
        <v>28.5</v>
      </c>
      <c r="H446" t="n">
        <v>0</v>
      </c>
      <c r="I446" t="n">
        <v>0</v>
      </c>
      <c r="J446" t="n">
        <v>0</v>
      </c>
      <c r="K446" t="n">
        <v>0</v>
      </c>
      <c r="L446" t="n">
        <v>0</v>
      </c>
      <c r="M446" t="n">
        <v>0</v>
      </c>
      <c r="N446" t="n">
        <v>0</v>
      </c>
      <c r="O446" t="n">
        <v>0</v>
      </c>
      <c r="P446" t="n">
        <v>0</v>
      </c>
      <c r="Q446" t="n">
        <v>0</v>
      </c>
      <c r="R446" s="2" t="inlineStr"/>
    </row>
    <row r="447" ht="15" customHeight="1">
      <c r="A447" t="inlineStr">
        <is>
          <t>A 8027-2022</t>
        </is>
      </c>
      <c r="B447" s="1" t="n">
        <v>44609</v>
      </c>
      <c r="C447" s="1" t="n">
        <v>45890</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45890</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7956-2025</t>
        </is>
      </c>
      <c r="B449" s="1" t="n">
        <v>45707.42825231481</v>
      </c>
      <c r="C449" s="1" t="n">
        <v>45890</v>
      </c>
      <c r="D449" t="inlineStr">
        <is>
          <t>JÄMTLANDS LÄN</t>
        </is>
      </c>
      <c r="E449" t="inlineStr">
        <is>
          <t>ÖSTERSUND</t>
        </is>
      </c>
      <c r="F449" t="inlineStr">
        <is>
          <t>Övriga Aktiebolag</t>
        </is>
      </c>
      <c r="G449" t="n">
        <v>111.2</v>
      </c>
      <c r="H449" t="n">
        <v>0</v>
      </c>
      <c r="I449" t="n">
        <v>0</v>
      </c>
      <c r="J449" t="n">
        <v>0</v>
      </c>
      <c r="K449" t="n">
        <v>0</v>
      </c>
      <c r="L449" t="n">
        <v>0</v>
      </c>
      <c r="M449" t="n">
        <v>0</v>
      </c>
      <c r="N449" t="n">
        <v>0</v>
      </c>
      <c r="O449" t="n">
        <v>0</v>
      </c>
      <c r="P449" t="n">
        <v>0</v>
      </c>
      <c r="Q449" t="n">
        <v>0</v>
      </c>
      <c r="R449" s="2" t="inlineStr"/>
    </row>
    <row r="450" ht="15" customHeight="1">
      <c r="A450" t="inlineStr">
        <is>
          <t>A 10267-2025</t>
        </is>
      </c>
      <c r="B450" s="1" t="n">
        <v>45720.3859375</v>
      </c>
      <c r="C450" s="1" t="n">
        <v>45890</v>
      </c>
      <c r="D450" t="inlineStr">
        <is>
          <t>JÄMTLANDS LÄN</t>
        </is>
      </c>
      <c r="E450" t="inlineStr">
        <is>
          <t>ÖSTERSUND</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27780-2022</t>
        </is>
      </c>
      <c r="B451" s="1" t="n">
        <v>44743</v>
      </c>
      <c r="C451" s="1" t="n">
        <v>45890</v>
      </c>
      <c r="D451" t="inlineStr">
        <is>
          <t>JÄMTLANDS LÄN</t>
        </is>
      </c>
      <c r="E451" t="inlineStr">
        <is>
          <t>ÖSTERSUND</t>
        </is>
      </c>
      <c r="G451" t="n">
        <v>2.2</v>
      </c>
      <c r="H451" t="n">
        <v>0</v>
      </c>
      <c r="I451" t="n">
        <v>0</v>
      </c>
      <c r="J451" t="n">
        <v>0</v>
      </c>
      <c r="K451" t="n">
        <v>0</v>
      </c>
      <c r="L451" t="n">
        <v>0</v>
      </c>
      <c r="M451" t="n">
        <v>0</v>
      </c>
      <c r="N451" t="n">
        <v>0</v>
      </c>
      <c r="O451" t="n">
        <v>0</v>
      </c>
      <c r="P451" t="n">
        <v>0</v>
      </c>
      <c r="Q451" t="n">
        <v>0</v>
      </c>
      <c r="R451" s="2" t="inlineStr"/>
    </row>
    <row r="452" ht="15" customHeight="1">
      <c r="A452" t="inlineStr">
        <is>
          <t>A 28025-2025</t>
        </is>
      </c>
      <c r="B452" s="1" t="n">
        <v>45817</v>
      </c>
      <c r="C452" s="1" t="n">
        <v>45890</v>
      </c>
      <c r="D452" t="inlineStr">
        <is>
          <t>JÄMTLANDS LÄN</t>
        </is>
      </c>
      <c r="E452" t="inlineStr">
        <is>
          <t>ÖSTERSUND</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54608-2023</t>
        </is>
      </c>
      <c r="B453" s="1" t="n">
        <v>45233</v>
      </c>
      <c r="C453" s="1" t="n">
        <v>45890</v>
      </c>
      <c r="D453" t="inlineStr">
        <is>
          <t>JÄMTLANDS LÄN</t>
        </is>
      </c>
      <c r="E453" t="inlineStr">
        <is>
          <t>ÖSTERSUND</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43082-2024</t>
        </is>
      </c>
      <c r="B454" s="1" t="n">
        <v>45567.51068287037</v>
      </c>
      <c r="C454" s="1" t="n">
        <v>45890</v>
      </c>
      <c r="D454" t="inlineStr">
        <is>
          <t>JÄMTLANDS LÄN</t>
        </is>
      </c>
      <c r="E454" t="inlineStr">
        <is>
          <t>ÖSTERSUND</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14947-2025</t>
        </is>
      </c>
      <c r="B455" s="1" t="n">
        <v>45743.57336805556</v>
      </c>
      <c r="C455" s="1" t="n">
        <v>45890</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2753-2025</t>
        </is>
      </c>
      <c r="B456" s="1" t="n">
        <v>45677.47302083333</v>
      </c>
      <c r="C456" s="1" t="n">
        <v>45890</v>
      </c>
      <c r="D456" t="inlineStr">
        <is>
          <t>JÄMTLANDS LÄN</t>
        </is>
      </c>
      <c r="E456" t="inlineStr">
        <is>
          <t>ÖSTERSUND</t>
        </is>
      </c>
      <c r="G456" t="n">
        <v>6.4</v>
      </c>
      <c r="H456" t="n">
        <v>0</v>
      </c>
      <c r="I456" t="n">
        <v>0</v>
      </c>
      <c r="J456" t="n">
        <v>0</v>
      </c>
      <c r="K456" t="n">
        <v>0</v>
      </c>
      <c r="L456" t="n">
        <v>0</v>
      </c>
      <c r="M456" t="n">
        <v>0</v>
      </c>
      <c r="N456" t="n">
        <v>0</v>
      </c>
      <c r="O456" t="n">
        <v>0</v>
      </c>
      <c r="P456" t="n">
        <v>0</v>
      </c>
      <c r="Q456" t="n">
        <v>0</v>
      </c>
      <c r="R456" s="2" t="inlineStr"/>
    </row>
    <row r="457" ht="15" customHeight="1">
      <c r="A457" t="inlineStr">
        <is>
          <t>A 61653-2022</t>
        </is>
      </c>
      <c r="B457" s="1" t="n">
        <v>44916</v>
      </c>
      <c r="C457" s="1" t="n">
        <v>45890</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52854-2024</t>
        </is>
      </c>
      <c r="B458" s="1" t="n">
        <v>45610.61030092592</v>
      </c>
      <c r="C458" s="1" t="n">
        <v>45890</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56646-2024</t>
        </is>
      </c>
      <c r="B459" s="1" t="n">
        <v>45625</v>
      </c>
      <c r="C459" s="1" t="n">
        <v>45890</v>
      </c>
      <c r="D459" t="inlineStr">
        <is>
          <t>JÄMTLANDS LÄN</t>
        </is>
      </c>
      <c r="E459" t="inlineStr">
        <is>
          <t>ÖSTERSUND</t>
        </is>
      </c>
      <c r="G459" t="n">
        <v>18.9</v>
      </c>
      <c r="H459" t="n">
        <v>0</v>
      </c>
      <c r="I459" t="n">
        <v>0</v>
      </c>
      <c r="J459" t="n">
        <v>0</v>
      </c>
      <c r="K459" t="n">
        <v>0</v>
      </c>
      <c r="L459" t="n">
        <v>0</v>
      </c>
      <c r="M459" t="n">
        <v>0</v>
      </c>
      <c r="N459" t="n">
        <v>0</v>
      </c>
      <c r="O459" t="n">
        <v>0</v>
      </c>
      <c r="P459" t="n">
        <v>0</v>
      </c>
      <c r="Q459" t="n">
        <v>0</v>
      </c>
      <c r="R459" s="2" t="inlineStr"/>
    </row>
    <row r="460" ht="15" customHeight="1">
      <c r="A460" t="inlineStr">
        <is>
          <t>A 28595-2025</t>
        </is>
      </c>
      <c r="B460" s="1" t="n">
        <v>45819.59429398148</v>
      </c>
      <c r="C460" s="1" t="n">
        <v>45890</v>
      </c>
      <c r="D460" t="inlineStr">
        <is>
          <t>JÄMTLANDS LÄN</t>
        </is>
      </c>
      <c r="E460" t="inlineStr">
        <is>
          <t>ÖSTERSUND</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2228-2024</t>
        </is>
      </c>
      <c r="B461" s="1" t="n">
        <v>45309</v>
      </c>
      <c r="C461" s="1" t="n">
        <v>45890</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29703-2023</t>
        </is>
      </c>
      <c r="B462" s="1" t="n">
        <v>45107</v>
      </c>
      <c r="C462" s="1" t="n">
        <v>45890</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36406-2023</t>
        </is>
      </c>
      <c r="B463" s="1" t="n">
        <v>45149</v>
      </c>
      <c r="C463" s="1" t="n">
        <v>45890</v>
      </c>
      <c r="D463" t="inlineStr">
        <is>
          <t>JÄMTLANDS LÄN</t>
        </is>
      </c>
      <c r="E463" t="inlineStr">
        <is>
          <t>ÖSTERSUND</t>
        </is>
      </c>
      <c r="G463" t="n">
        <v>2.4</v>
      </c>
      <c r="H463" t="n">
        <v>0</v>
      </c>
      <c r="I463" t="n">
        <v>0</v>
      </c>
      <c r="J463" t="n">
        <v>0</v>
      </c>
      <c r="K463" t="n">
        <v>0</v>
      </c>
      <c r="L463" t="n">
        <v>0</v>
      </c>
      <c r="M463" t="n">
        <v>0</v>
      </c>
      <c r="N463" t="n">
        <v>0</v>
      </c>
      <c r="O463" t="n">
        <v>0</v>
      </c>
      <c r="P463" t="n">
        <v>0</v>
      </c>
      <c r="Q463" t="n">
        <v>0</v>
      </c>
      <c r="R463" s="2" t="inlineStr"/>
    </row>
    <row r="464" ht="15" customHeight="1">
      <c r="A464" t="inlineStr">
        <is>
          <t>A 28185-2025</t>
        </is>
      </c>
      <c r="B464" s="1" t="n">
        <v>45818.40337962963</v>
      </c>
      <c r="C464" s="1" t="n">
        <v>45890</v>
      </c>
      <c r="D464" t="inlineStr">
        <is>
          <t>JÄMTLANDS LÄN</t>
        </is>
      </c>
      <c r="E464" t="inlineStr">
        <is>
          <t>ÖSTERSUND</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20400-2024</t>
        </is>
      </c>
      <c r="B465" s="1" t="n">
        <v>45435.55372685185</v>
      </c>
      <c r="C465" s="1" t="n">
        <v>45890</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28551-2025</t>
        </is>
      </c>
      <c r="B466" s="1" t="n">
        <v>45818</v>
      </c>
      <c r="C466" s="1" t="n">
        <v>45890</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20588-2023</t>
        </is>
      </c>
      <c r="B467" s="1" t="n">
        <v>45057</v>
      </c>
      <c r="C467" s="1" t="n">
        <v>45890</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61530-2023</t>
        </is>
      </c>
      <c r="B468" s="1" t="n">
        <v>45261</v>
      </c>
      <c r="C468" s="1" t="n">
        <v>45890</v>
      </c>
      <c r="D468" t="inlineStr">
        <is>
          <t>JÄMTLANDS LÄN</t>
        </is>
      </c>
      <c r="E468" t="inlineStr">
        <is>
          <t>ÖSTERSUND</t>
        </is>
      </c>
      <c r="F468" t="inlineStr">
        <is>
          <t>Övriga statliga verk och myndigheter</t>
        </is>
      </c>
      <c r="G468" t="n">
        <v>1</v>
      </c>
      <c r="H468" t="n">
        <v>0</v>
      </c>
      <c r="I468" t="n">
        <v>0</v>
      </c>
      <c r="J468" t="n">
        <v>0</v>
      </c>
      <c r="K468" t="n">
        <v>0</v>
      </c>
      <c r="L468" t="n">
        <v>0</v>
      </c>
      <c r="M468" t="n">
        <v>0</v>
      </c>
      <c r="N468" t="n">
        <v>0</v>
      </c>
      <c r="O468" t="n">
        <v>0</v>
      </c>
      <c r="P468" t="n">
        <v>0</v>
      </c>
      <c r="Q468" t="n">
        <v>0</v>
      </c>
      <c r="R468" s="2" t="inlineStr"/>
    </row>
    <row r="469" ht="15" customHeight="1">
      <c r="A469" t="inlineStr">
        <is>
          <t>A 24781-2024</t>
        </is>
      </c>
      <c r="B469" s="1" t="n">
        <v>45460.7772800926</v>
      </c>
      <c r="C469" s="1" t="n">
        <v>45890</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27689-2024</t>
        </is>
      </c>
      <c r="B470" s="1" t="n">
        <v>45475.3378125</v>
      </c>
      <c r="C470" s="1" t="n">
        <v>45890</v>
      </c>
      <c r="D470" t="inlineStr">
        <is>
          <t>JÄMTLANDS LÄN</t>
        </is>
      </c>
      <c r="E470" t="inlineStr">
        <is>
          <t>ÖSTERSUND</t>
        </is>
      </c>
      <c r="G470" t="n">
        <v>0.6</v>
      </c>
      <c r="H470" t="n">
        <v>0</v>
      </c>
      <c r="I470" t="n">
        <v>0</v>
      </c>
      <c r="J470" t="n">
        <v>0</v>
      </c>
      <c r="K470" t="n">
        <v>0</v>
      </c>
      <c r="L470" t="n">
        <v>0</v>
      </c>
      <c r="M470" t="n">
        <v>0</v>
      </c>
      <c r="N470" t="n">
        <v>0</v>
      </c>
      <c r="O470" t="n">
        <v>0</v>
      </c>
      <c r="P470" t="n">
        <v>0</v>
      </c>
      <c r="Q470" t="n">
        <v>0</v>
      </c>
      <c r="R470" s="2" t="inlineStr"/>
    </row>
    <row r="471" ht="15" customHeight="1">
      <c r="A471" t="inlineStr">
        <is>
          <t>A 25535-2023</t>
        </is>
      </c>
      <c r="B471" s="1" t="n">
        <v>45089.54944444444</v>
      </c>
      <c r="C471" s="1" t="n">
        <v>45890</v>
      </c>
      <c r="D471" t="inlineStr">
        <is>
          <t>JÄMTLANDS LÄN</t>
        </is>
      </c>
      <c r="E471" t="inlineStr">
        <is>
          <t>ÖSTERSUND</t>
        </is>
      </c>
      <c r="G471" t="n">
        <v>1</v>
      </c>
      <c r="H471" t="n">
        <v>0</v>
      </c>
      <c r="I471" t="n">
        <v>0</v>
      </c>
      <c r="J471" t="n">
        <v>0</v>
      </c>
      <c r="K471" t="n">
        <v>0</v>
      </c>
      <c r="L471" t="n">
        <v>0</v>
      </c>
      <c r="M471" t="n">
        <v>0</v>
      </c>
      <c r="N471" t="n">
        <v>0</v>
      </c>
      <c r="O471" t="n">
        <v>0</v>
      </c>
      <c r="P471" t="n">
        <v>0</v>
      </c>
      <c r="Q471" t="n">
        <v>0</v>
      </c>
      <c r="R471" s="2" t="inlineStr"/>
    </row>
    <row r="472" ht="15" customHeight="1">
      <c r="A472" t="inlineStr">
        <is>
          <t>A 32225-2024</t>
        </is>
      </c>
      <c r="B472" s="1" t="n">
        <v>45511.92825231481</v>
      </c>
      <c r="C472" s="1" t="n">
        <v>45890</v>
      </c>
      <c r="D472" t="inlineStr">
        <is>
          <t>JÄMTLANDS LÄN</t>
        </is>
      </c>
      <c r="E472" t="inlineStr">
        <is>
          <t>ÖSTERSUND</t>
        </is>
      </c>
      <c r="G472" t="n">
        <v>2</v>
      </c>
      <c r="H472" t="n">
        <v>0</v>
      </c>
      <c r="I472" t="n">
        <v>0</v>
      </c>
      <c r="J472" t="n">
        <v>0</v>
      </c>
      <c r="K472" t="n">
        <v>0</v>
      </c>
      <c r="L472" t="n">
        <v>0</v>
      </c>
      <c r="M472" t="n">
        <v>0</v>
      </c>
      <c r="N472" t="n">
        <v>0</v>
      </c>
      <c r="O472" t="n">
        <v>0</v>
      </c>
      <c r="P472" t="n">
        <v>0</v>
      </c>
      <c r="Q472" t="n">
        <v>0</v>
      </c>
      <c r="R472" s="2" t="inlineStr"/>
    </row>
    <row r="473" ht="15" customHeight="1">
      <c r="A473" t="inlineStr">
        <is>
          <t>A 51818-2024</t>
        </is>
      </c>
      <c r="B473" s="1" t="n">
        <v>45607.49265046296</v>
      </c>
      <c r="C473" s="1" t="n">
        <v>45890</v>
      </c>
      <c r="D473" t="inlineStr">
        <is>
          <t>JÄMTLANDS LÄN</t>
        </is>
      </c>
      <c r="E473" t="inlineStr">
        <is>
          <t>ÖSTERSUND</t>
        </is>
      </c>
      <c r="G473" t="n">
        <v>4.6</v>
      </c>
      <c r="H473" t="n">
        <v>0</v>
      </c>
      <c r="I473" t="n">
        <v>0</v>
      </c>
      <c r="J473" t="n">
        <v>0</v>
      </c>
      <c r="K473" t="n">
        <v>0</v>
      </c>
      <c r="L473" t="n">
        <v>0</v>
      </c>
      <c r="M473" t="n">
        <v>0</v>
      </c>
      <c r="N473" t="n">
        <v>0</v>
      </c>
      <c r="O473" t="n">
        <v>0</v>
      </c>
      <c r="P473" t="n">
        <v>0</v>
      </c>
      <c r="Q473" t="n">
        <v>0</v>
      </c>
      <c r="R473" s="2" t="inlineStr"/>
    </row>
    <row r="474" ht="15" customHeight="1">
      <c r="A474" t="inlineStr">
        <is>
          <t>A 4311-2025</t>
        </is>
      </c>
      <c r="B474" s="1" t="n">
        <v>45685.69267361111</v>
      </c>
      <c r="C474" s="1" t="n">
        <v>45890</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36211-2025</t>
        </is>
      </c>
      <c r="B475" s="1" t="n">
        <v>45867.46946759259</v>
      </c>
      <c r="C475" s="1" t="n">
        <v>45890</v>
      </c>
      <c r="D475" t="inlineStr">
        <is>
          <t>JÄMTLANDS LÄN</t>
        </is>
      </c>
      <c r="E475" t="inlineStr">
        <is>
          <t>ÖSTERSUND</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51479-2023</t>
        </is>
      </c>
      <c r="B476" s="1" t="n">
        <v>45221.92429398148</v>
      </c>
      <c r="C476" s="1" t="n">
        <v>45890</v>
      </c>
      <c r="D476" t="inlineStr">
        <is>
          <t>JÄMTLANDS LÄN</t>
        </is>
      </c>
      <c r="E476" t="inlineStr">
        <is>
          <t>ÖSTERSUND</t>
        </is>
      </c>
      <c r="G476" t="n">
        <v>1.9</v>
      </c>
      <c r="H476" t="n">
        <v>0</v>
      </c>
      <c r="I476" t="n">
        <v>0</v>
      </c>
      <c r="J476" t="n">
        <v>0</v>
      </c>
      <c r="K476" t="n">
        <v>0</v>
      </c>
      <c r="L476" t="n">
        <v>0</v>
      </c>
      <c r="M476" t="n">
        <v>0</v>
      </c>
      <c r="N476" t="n">
        <v>0</v>
      </c>
      <c r="O476" t="n">
        <v>0</v>
      </c>
      <c r="P476" t="n">
        <v>0</v>
      </c>
      <c r="Q476" t="n">
        <v>0</v>
      </c>
      <c r="R476" s="2" t="inlineStr"/>
    </row>
    <row r="477" ht="15" customHeight="1">
      <c r="A477" t="inlineStr">
        <is>
          <t>A 34923-2025</t>
        </is>
      </c>
      <c r="B477" s="1" t="n">
        <v>45849.55601851852</v>
      </c>
      <c r="C477" s="1" t="n">
        <v>45890</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36099-2025</t>
        </is>
      </c>
      <c r="B478" s="1" t="n">
        <v>45866.51630787037</v>
      </c>
      <c r="C478" s="1" t="n">
        <v>45890</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36098-2025</t>
        </is>
      </c>
      <c r="B479" s="1" t="n">
        <v>45866.50549768518</v>
      </c>
      <c r="C479" s="1" t="n">
        <v>45890</v>
      </c>
      <c r="D479" t="inlineStr">
        <is>
          <t>JÄMTLANDS LÄN</t>
        </is>
      </c>
      <c r="E479" t="inlineStr">
        <is>
          <t>ÖSTERSUND</t>
        </is>
      </c>
      <c r="F479" t="inlineStr">
        <is>
          <t>Övriga Aktiebolag</t>
        </is>
      </c>
      <c r="G479" t="n">
        <v>1.1</v>
      </c>
      <c r="H479" t="n">
        <v>0</v>
      </c>
      <c r="I479" t="n">
        <v>0</v>
      </c>
      <c r="J479" t="n">
        <v>0</v>
      </c>
      <c r="K479" t="n">
        <v>0</v>
      </c>
      <c r="L479" t="n">
        <v>0</v>
      </c>
      <c r="M479" t="n">
        <v>0</v>
      </c>
      <c r="N479" t="n">
        <v>0</v>
      </c>
      <c r="O479" t="n">
        <v>0</v>
      </c>
      <c r="P479" t="n">
        <v>0</v>
      </c>
      <c r="Q479" t="n">
        <v>0</v>
      </c>
      <c r="R479" s="2" t="inlineStr"/>
    </row>
    <row r="480" ht="15" customHeight="1">
      <c r="A480" t="inlineStr">
        <is>
          <t>A 2978-2024</t>
        </is>
      </c>
      <c r="B480" s="1" t="n">
        <v>45315</v>
      </c>
      <c r="C480" s="1" t="n">
        <v>45890</v>
      </c>
      <c r="D480" t="inlineStr">
        <is>
          <t>JÄMTLANDS LÄN</t>
        </is>
      </c>
      <c r="E480" t="inlineStr">
        <is>
          <t>ÖSTERSUND</t>
        </is>
      </c>
      <c r="G480" t="n">
        <v>1.7</v>
      </c>
      <c r="H480" t="n">
        <v>0</v>
      </c>
      <c r="I480" t="n">
        <v>0</v>
      </c>
      <c r="J480" t="n">
        <v>0</v>
      </c>
      <c r="K480" t="n">
        <v>0</v>
      </c>
      <c r="L480" t="n">
        <v>0</v>
      </c>
      <c r="M480" t="n">
        <v>0</v>
      </c>
      <c r="N480" t="n">
        <v>0</v>
      </c>
      <c r="O480" t="n">
        <v>0</v>
      </c>
      <c r="P480" t="n">
        <v>0</v>
      </c>
      <c r="Q480" t="n">
        <v>0</v>
      </c>
      <c r="R480" s="2" t="inlineStr"/>
    </row>
    <row r="481" ht="15" customHeight="1">
      <c r="A481" t="inlineStr">
        <is>
          <t>A 30320-2025</t>
        </is>
      </c>
      <c r="B481" s="1" t="n">
        <v>45827.49415509259</v>
      </c>
      <c r="C481" s="1" t="n">
        <v>45890</v>
      </c>
      <c r="D481" t="inlineStr">
        <is>
          <t>JÄMTLANDS LÄN</t>
        </is>
      </c>
      <c r="E481" t="inlineStr">
        <is>
          <t>ÖSTERSUND</t>
        </is>
      </c>
      <c r="G481" t="n">
        <v>4.6</v>
      </c>
      <c r="H481" t="n">
        <v>0</v>
      </c>
      <c r="I481" t="n">
        <v>0</v>
      </c>
      <c r="J481" t="n">
        <v>0</v>
      </c>
      <c r="K481" t="n">
        <v>0</v>
      </c>
      <c r="L481" t="n">
        <v>0</v>
      </c>
      <c r="M481" t="n">
        <v>0</v>
      </c>
      <c r="N481" t="n">
        <v>0</v>
      </c>
      <c r="O481" t="n">
        <v>0</v>
      </c>
      <c r="P481" t="n">
        <v>0</v>
      </c>
      <c r="Q481" t="n">
        <v>0</v>
      </c>
      <c r="R481" s="2" t="inlineStr"/>
    </row>
    <row r="482" ht="15" customHeight="1">
      <c r="A482" t="inlineStr">
        <is>
          <t>A 12998-2025</t>
        </is>
      </c>
      <c r="B482" s="1" t="n">
        <v>45734.48991898148</v>
      </c>
      <c r="C482" s="1" t="n">
        <v>45890</v>
      </c>
      <c r="D482" t="inlineStr">
        <is>
          <t>JÄMTLANDS LÄN</t>
        </is>
      </c>
      <c r="E482" t="inlineStr">
        <is>
          <t>ÖSTERSUND</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28181-2024</t>
        </is>
      </c>
      <c r="B483" s="1" t="n">
        <v>45477.28482638889</v>
      </c>
      <c r="C483" s="1" t="n">
        <v>45890</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54913-2024</t>
        </is>
      </c>
      <c r="B484" s="1" t="n">
        <v>45618.6917824074</v>
      </c>
      <c r="C484" s="1" t="n">
        <v>45890</v>
      </c>
      <c r="D484" t="inlineStr">
        <is>
          <t>JÄMTLANDS LÄN</t>
        </is>
      </c>
      <c r="E484" t="inlineStr">
        <is>
          <t>ÖSTERSUND</t>
        </is>
      </c>
      <c r="G484" t="n">
        <v>4.7</v>
      </c>
      <c r="H484" t="n">
        <v>0</v>
      </c>
      <c r="I484" t="n">
        <v>0</v>
      </c>
      <c r="J484" t="n">
        <v>0</v>
      </c>
      <c r="K484" t="n">
        <v>0</v>
      </c>
      <c r="L484" t="n">
        <v>0</v>
      </c>
      <c r="M484" t="n">
        <v>0</v>
      </c>
      <c r="N484" t="n">
        <v>0</v>
      </c>
      <c r="O484" t="n">
        <v>0</v>
      </c>
      <c r="P484" t="n">
        <v>0</v>
      </c>
      <c r="Q484" t="n">
        <v>0</v>
      </c>
      <c r="R484" s="2" t="inlineStr"/>
    </row>
    <row r="485" ht="15" customHeight="1">
      <c r="A485" t="inlineStr">
        <is>
          <t>A 30210-2025</t>
        </is>
      </c>
      <c r="B485" s="1" t="n">
        <v>45827.36590277778</v>
      </c>
      <c r="C485" s="1" t="n">
        <v>45890</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61002-2024</t>
        </is>
      </c>
      <c r="B486" s="1" t="n">
        <v>45645.44158564815</v>
      </c>
      <c r="C486" s="1" t="n">
        <v>45890</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57398-2023</t>
        </is>
      </c>
      <c r="B487" s="1" t="n">
        <v>45245</v>
      </c>
      <c r="C487" s="1" t="n">
        <v>45890</v>
      </c>
      <c r="D487" t="inlineStr">
        <is>
          <t>JÄMTLANDS LÄN</t>
        </is>
      </c>
      <c r="E487" t="inlineStr">
        <is>
          <t>ÖSTERSUND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44051-2021</t>
        </is>
      </c>
      <c r="B488" s="1" t="n">
        <v>44434</v>
      </c>
      <c r="C488" s="1" t="n">
        <v>45890</v>
      </c>
      <c r="D488" t="inlineStr">
        <is>
          <t>JÄMTLANDS LÄN</t>
        </is>
      </c>
      <c r="E488" t="inlineStr">
        <is>
          <t>ÖSTERSUND</t>
        </is>
      </c>
      <c r="G488" t="n">
        <v>2.9</v>
      </c>
      <c r="H488" t="n">
        <v>0</v>
      </c>
      <c r="I488" t="n">
        <v>0</v>
      </c>
      <c r="J488" t="n">
        <v>0</v>
      </c>
      <c r="K488" t="n">
        <v>0</v>
      </c>
      <c r="L488" t="n">
        <v>0</v>
      </c>
      <c r="M488" t="n">
        <v>0</v>
      </c>
      <c r="N488" t="n">
        <v>0</v>
      </c>
      <c r="O488" t="n">
        <v>0</v>
      </c>
      <c r="P488" t="n">
        <v>0</v>
      </c>
      <c r="Q488" t="n">
        <v>0</v>
      </c>
      <c r="R488" s="2" t="inlineStr"/>
    </row>
    <row r="489" ht="15" customHeight="1">
      <c r="A489" t="inlineStr">
        <is>
          <t>A 55235-2023</t>
        </is>
      </c>
      <c r="B489" s="1" t="n">
        <v>45231</v>
      </c>
      <c r="C489" s="1" t="n">
        <v>45890</v>
      </c>
      <c r="D489" t="inlineStr">
        <is>
          <t>JÄMTLANDS LÄN</t>
        </is>
      </c>
      <c r="E489" t="inlineStr">
        <is>
          <t>ÖSTERSUND</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54587-2024</t>
        </is>
      </c>
      <c r="B490" s="1" t="n">
        <v>45617.65800925926</v>
      </c>
      <c r="C490" s="1" t="n">
        <v>45890</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38644-2021</t>
        </is>
      </c>
      <c r="B491" s="1" t="n">
        <v>44410.35376157407</v>
      </c>
      <c r="C491" s="1" t="n">
        <v>45890</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39493-2023</t>
        </is>
      </c>
      <c r="B492" s="1" t="n">
        <v>45166.9569675926</v>
      </c>
      <c r="C492" s="1" t="n">
        <v>45890</v>
      </c>
      <c r="D492" t="inlineStr">
        <is>
          <t>JÄMTLANDS LÄN</t>
        </is>
      </c>
      <c r="E492" t="inlineStr">
        <is>
          <t>ÖSTERSUND</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52913-2021</t>
        </is>
      </c>
      <c r="B493" s="1" t="n">
        <v>44466</v>
      </c>
      <c r="C493" s="1" t="n">
        <v>45890</v>
      </c>
      <c r="D493" t="inlineStr">
        <is>
          <t>JÄMTLANDS LÄN</t>
        </is>
      </c>
      <c r="E493" t="inlineStr">
        <is>
          <t>ÖSTERSUND</t>
        </is>
      </c>
      <c r="G493" t="n">
        <v>4.2</v>
      </c>
      <c r="H493" t="n">
        <v>0</v>
      </c>
      <c r="I493" t="n">
        <v>0</v>
      </c>
      <c r="J493" t="n">
        <v>0</v>
      </c>
      <c r="K493" t="n">
        <v>0</v>
      </c>
      <c r="L493" t="n">
        <v>0</v>
      </c>
      <c r="M493" t="n">
        <v>0</v>
      </c>
      <c r="N493" t="n">
        <v>0</v>
      </c>
      <c r="O493" t="n">
        <v>0</v>
      </c>
      <c r="P493" t="n">
        <v>0</v>
      </c>
      <c r="Q493" t="n">
        <v>0</v>
      </c>
      <c r="R493" s="2" t="inlineStr"/>
    </row>
    <row r="494" ht="15" customHeight="1">
      <c r="A494" t="inlineStr">
        <is>
          <t>A 54883-2023</t>
        </is>
      </c>
      <c r="B494" s="1" t="n">
        <v>45236.62300925926</v>
      </c>
      <c r="C494" s="1" t="n">
        <v>45890</v>
      </c>
      <c r="D494" t="inlineStr">
        <is>
          <t>JÄMTLANDS LÄN</t>
        </is>
      </c>
      <c r="E494" t="inlineStr">
        <is>
          <t>ÖSTERSUND</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20960-2022</t>
        </is>
      </c>
      <c r="B495" s="1" t="n">
        <v>44701.94034722223</v>
      </c>
      <c r="C495" s="1" t="n">
        <v>45890</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2730-2025</t>
        </is>
      </c>
      <c r="B496" s="1" t="n">
        <v>45677.44393518518</v>
      </c>
      <c r="C496" s="1" t="n">
        <v>45890</v>
      </c>
      <c r="D496" t="inlineStr">
        <is>
          <t>JÄMTLANDS LÄN</t>
        </is>
      </c>
      <c r="E496" t="inlineStr">
        <is>
          <t>ÖSTERSUND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37085-2025</t>
        </is>
      </c>
      <c r="B497" s="1" t="n">
        <v>45875.44840277778</v>
      </c>
      <c r="C497" s="1" t="n">
        <v>45890</v>
      </c>
      <c r="D497" t="inlineStr">
        <is>
          <t>JÄMTLANDS LÄN</t>
        </is>
      </c>
      <c r="E497" t="inlineStr">
        <is>
          <t>ÖSTERSUND</t>
        </is>
      </c>
      <c r="G497" t="n">
        <v>5.5</v>
      </c>
      <c r="H497" t="n">
        <v>0</v>
      </c>
      <c r="I497" t="n">
        <v>0</v>
      </c>
      <c r="J497" t="n">
        <v>0</v>
      </c>
      <c r="K497" t="n">
        <v>0</v>
      </c>
      <c r="L497" t="n">
        <v>0</v>
      </c>
      <c r="M497" t="n">
        <v>0</v>
      </c>
      <c r="N497" t="n">
        <v>0</v>
      </c>
      <c r="O497" t="n">
        <v>0</v>
      </c>
      <c r="P497" t="n">
        <v>0</v>
      </c>
      <c r="Q497" t="n">
        <v>0</v>
      </c>
      <c r="R497" s="2" t="inlineStr"/>
    </row>
    <row r="498" ht="15" customHeight="1">
      <c r="A498" t="inlineStr">
        <is>
          <t>A 10756-2025</t>
        </is>
      </c>
      <c r="B498" s="1" t="n">
        <v>45722.44892361111</v>
      </c>
      <c r="C498" s="1" t="n">
        <v>45890</v>
      </c>
      <c r="D498" t="inlineStr">
        <is>
          <t>JÄMTLANDS LÄN</t>
        </is>
      </c>
      <c r="E498" t="inlineStr">
        <is>
          <t>ÖSTERSUND</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62225-2022</t>
        </is>
      </c>
      <c r="B499" s="1" t="n">
        <v>44922</v>
      </c>
      <c r="C499" s="1" t="n">
        <v>45890</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8216-2025</t>
        </is>
      </c>
      <c r="B500" s="1" t="n">
        <v>45708.44947916667</v>
      </c>
      <c r="C500" s="1" t="n">
        <v>45890</v>
      </c>
      <c r="D500" t="inlineStr">
        <is>
          <t>JÄMTLANDS LÄN</t>
        </is>
      </c>
      <c r="E500" t="inlineStr">
        <is>
          <t>ÖSTERSUND</t>
        </is>
      </c>
      <c r="F500" t="inlineStr">
        <is>
          <t>Övriga Aktiebolag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20634-2023</t>
        </is>
      </c>
      <c r="B501" s="1" t="n">
        <v>45057.9441087963</v>
      </c>
      <c r="C501" s="1" t="n">
        <v>45890</v>
      </c>
      <c r="D501" t="inlineStr">
        <is>
          <t>JÄMTLANDS LÄN</t>
        </is>
      </c>
      <c r="E501" t="inlineStr">
        <is>
          <t>ÖSTERSUND</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7936-2025</t>
        </is>
      </c>
      <c r="B502" s="1" t="n">
        <v>45707</v>
      </c>
      <c r="C502" s="1" t="n">
        <v>45890</v>
      </c>
      <c r="D502" t="inlineStr">
        <is>
          <t>JÄMTLANDS LÄN</t>
        </is>
      </c>
      <c r="E502" t="inlineStr">
        <is>
          <t>ÖSTERSUND</t>
        </is>
      </c>
      <c r="G502" t="n">
        <v>0.2</v>
      </c>
      <c r="H502" t="n">
        <v>0</v>
      </c>
      <c r="I502" t="n">
        <v>0</v>
      </c>
      <c r="J502" t="n">
        <v>0</v>
      </c>
      <c r="K502" t="n">
        <v>0</v>
      </c>
      <c r="L502" t="n">
        <v>0</v>
      </c>
      <c r="M502" t="n">
        <v>0</v>
      </c>
      <c r="N502" t="n">
        <v>0</v>
      </c>
      <c r="O502" t="n">
        <v>0</v>
      </c>
      <c r="P502" t="n">
        <v>0</v>
      </c>
      <c r="Q502" t="n">
        <v>0</v>
      </c>
      <c r="R502" s="2" t="inlineStr"/>
    </row>
    <row r="503" ht="15" customHeight="1">
      <c r="A503" t="inlineStr">
        <is>
          <t>A 7940-2025</t>
        </is>
      </c>
      <c r="B503" s="1" t="n">
        <v>45707.40493055555</v>
      </c>
      <c r="C503" s="1" t="n">
        <v>45890</v>
      </c>
      <c r="D503" t="inlineStr">
        <is>
          <t>JÄMTLANDS LÄN</t>
        </is>
      </c>
      <c r="E503" t="inlineStr">
        <is>
          <t>ÖSTERSUND</t>
        </is>
      </c>
      <c r="F503" t="inlineStr">
        <is>
          <t>Övriga Aktiebolag</t>
        </is>
      </c>
      <c r="G503" t="n">
        <v>48.1</v>
      </c>
      <c r="H503" t="n">
        <v>0</v>
      </c>
      <c r="I503" t="n">
        <v>0</v>
      </c>
      <c r="J503" t="n">
        <v>0</v>
      </c>
      <c r="K503" t="n">
        <v>0</v>
      </c>
      <c r="L503" t="n">
        <v>0</v>
      </c>
      <c r="M503" t="n">
        <v>0</v>
      </c>
      <c r="N503" t="n">
        <v>0</v>
      </c>
      <c r="O503" t="n">
        <v>0</v>
      </c>
      <c r="P503" t="n">
        <v>0</v>
      </c>
      <c r="Q503" t="n">
        <v>0</v>
      </c>
      <c r="R503" s="2" t="inlineStr"/>
    </row>
    <row r="504" ht="15" customHeight="1">
      <c r="A504" t="inlineStr">
        <is>
          <t>A 36566-2025</t>
        </is>
      </c>
      <c r="B504" s="1" t="n">
        <v>45869</v>
      </c>
      <c r="C504" s="1" t="n">
        <v>45890</v>
      </c>
      <c r="D504" t="inlineStr">
        <is>
          <t>JÄMTLANDS LÄN</t>
        </is>
      </c>
      <c r="E504" t="inlineStr">
        <is>
          <t>ÖSTERSUND</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5024-2025</t>
        </is>
      </c>
      <c r="B505" s="1" t="n">
        <v>45691.40832175926</v>
      </c>
      <c r="C505" s="1" t="n">
        <v>45890</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5025-2025</t>
        </is>
      </c>
      <c r="B506" s="1" t="n">
        <v>45691.40836805556</v>
      </c>
      <c r="C506" s="1" t="n">
        <v>45890</v>
      </c>
      <c r="D506" t="inlineStr">
        <is>
          <t>JÄMTLANDS LÄN</t>
        </is>
      </c>
      <c r="E506" t="inlineStr">
        <is>
          <t>ÖSTERSUND</t>
        </is>
      </c>
      <c r="G506" t="n">
        <v>0.1</v>
      </c>
      <c r="H506" t="n">
        <v>0</v>
      </c>
      <c r="I506" t="n">
        <v>0</v>
      </c>
      <c r="J506" t="n">
        <v>0</v>
      </c>
      <c r="K506" t="n">
        <v>0</v>
      </c>
      <c r="L506" t="n">
        <v>0</v>
      </c>
      <c r="M506" t="n">
        <v>0</v>
      </c>
      <c r="N506" t="n">
        <v>0</v>
      </c>
      <c r="O506" t="n">
        <v>0</v>
      </c>
      <c r="P506" t="n">
        <v>0</v>
      </c>
      <c r="Q506" t="n">
        <v>0</v>
      </c>
      <c r="R506" s="2" t="inlineStr"/>
    </row>
    <row r="507" ht="15" customHeight="1">
      <c r="A507" t="inlineStr">
        <is>
          <t>A 10306-2023</t>
        </is>
      </c>
      <c r="B507" s="1" t="n">
        <v>44986.94196759259</v>
      </c>
      <c r="C507" s="1" t="n">
        <v>45890</v>
      </c>
      <c r="D507" t="inlineStr">
        <is>
          <t>JÄMTLANDS LÄN</t>
        </is>
      </c>
      <c r="E507" t="inlineStr">
        <is>
          <t>ÖSTERSUND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16306-2025</t>
        </is>
      </c>
      <c r="B508" s="1" t="n">
        <v>45751.34664351852</v>
      </c>
      <c r="C508" s="1" t="n">
        <v>45890</v>
      </c>
      <c r="D508" t="inlineStr">
        <is>
          <t>JÄMTLANDS LÄN</t>
        </is>
      </c>
      <c r="E508" t="inlineStr">
        <is>
          <t>ÖSTERSUND</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26321-2022</t>
        </is>
      </c>
      <c r="B509" s="1" t="n">
        <v>44735</v>
      </c>
      <c r="C509" s="1" t="n">
        <v>45890</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43252-2023</t>
        </is>
      </c>
      <c r="B510" s="1" t="n">
        <v>45183</v>
      </c>
      <c r="C510" s="1" t="n">
        <v>45890</v>
      </c>
      <c r="D510" t="inlineStr">
        <is>
          <t>JÄMTLANDS LÄN</t>
        </is>
      </c>
      <c r="E510" t="inlineStr">
        <is>
          <t>ÖSTERSUND</t>
        </is>
      </c>
      <c r="G510" t="n">
        <v>2.9</v>
      </c>
      <c r="H510" t="n">
        <v>0</v>
      </c>
      <c r="I510" t="n">
        <v>0</v>
      </c>
      <c r="J510" t="n">
        <v>0</v>
      </c>
      <c r="K510" t="n">
        <v>0</v>
      </c>
      <c r="L510" t="n">
        <v>0</v>
      </c>
      <c r="M510" t="n">
        <v>0</v>
      </c>
      <c r="N510" t="n">
        <v>0</v>
      </c>
      <c r="O510" t="n">
        <v>0</v>
      </c>
      <c r="P510" t="n">
        <v>0</v>
      </c>
      <c r="Q510" t="n">
        <v>0</v>
      </c>
      <c r="R510" s="2" t="inlineStr"/>
    </row>
    <row r="511" ht="15" customHeight="1">
      <c r="A511" t="inlineStr">
        <is>
          <t>A 55-2023</t>
        </is>
      </c>
      <c r="B511" s="1" t="n">
        <v>44928</v>
      </c>
      <c r="C511" s="1" t="n">
        <v>45890</v>
      </c>
      <c r="D511" t="inlineStr">
        <is>
          <t>JÄMTLANDS LÄN</t>
        </is>
      </c>
      <c r="E511" t="inlineStr">
        <is>
          <t>ÖSTERSUND</t>
        </is>
      </c>
      <c r="G511" t="n">
        <v>4</v>
      </c>
      <c r="H511" t="n">
        <v>0</v>
      </c>
      <c r="I511" t="n">
        <v>0</v>
      </c>
      <c r="J511" t="n">
        <v>0</v>
      </c>
      <c r="K511" t="n">
        <v>0</v>
      </c>
      <c r="L511" t="n">
        <v>0</v>
      </c>
      <c r="M511" t="n">
        <v>0</v>
      </c>
      <c r="N511" t="n">
        <v>0</v>
      </c>
      <c r="O511" t="n">
        <v>0</v>
      </c>
      <c r="P511" t="n">
        <v>0</v>
      </c>
      <c r="Q511" t="n">
        <v>0</v>
      </c>
      <c r="R511" s="2" t="inlineStr"/>
    </row>
    <row r="512" ht="15" customHeight="1">
      <c r="A512" t="inlineStr">
        <is>
          <t>A 22126-2021</t>
        </is>
      </c>
      <c r="B512" s="1" t="n">
        <v>44323</v>
      </c>
      <c r="C512" s="1" t="n">
        <v>45890</v>
      </c>
      <c r="D512" t="inlineStr">
        <is>
          <t>JÄMTLANDS LÄN</t>
        </is>
      </c>
      <c r="E512" t="inlineStr">
        <is>
          <t>ÖSTERSUND</t>
        </is>
      </c>
      <c r="G512" t="n">
        <v>1.4</v>
      </c>
      <c r="H512" t="n">
        <v>0</v>
      </c>
      <c r="I512" t="n">
        <v>0</v>
      </c>
      <c r="J512" t="n">
        <v>0</v>
      </c>
      <c r="K512" t="n">
        <v>0</v>
      </c>
      <c r="L512" t="n">
        <v>0</v>
      </c>
      <c r="M512" t="n">
        <v>0</v>
      </c>
      <c r="N512" t="n">
        <v>0</v>
      </c>
      <c r="O512" t="n">
        <v>0</v>
      </c>
      <c r="P512" t="n">
        <v>0</v>
      </c>
      <c r="Q512" t="n">
        <v>0</v>
      </c>
      <c r="R512" s="2" t="inlineStr"/>
    </row>
    <row r="513" ht="15" customHeight="1">
      <c r="A513" t="inlineStr">
        <is>
          <t>A 47727-2023</t>
        </is>
      </c>
      <c r="B513" s="1" t="n">
        <v>45203</v>
      </c>
      <c r="C513" s="1" t="n">
        <v>45890</v>
      </c>
      <c r="D513" t="inlineStr">
        <is>
          <t>JÄMTLANDS LÄN</t>
        </is>
      </c>
      <c r="E513" t="inlineStr">
        <is>
          <t>ÖSTERSUND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30217-2022</t>
        </is>
      </c>
      <c r="B514" s="1" t="n">
        <v>44757.92671296297</v>
      </c>
      <c r="C514" s="1" t="n">
        <v>45890</v>
      </c>
      <c r="D514" t="inlineStr">
        <is>
          <t>JÄMTLANDS LÄN</t>
        </is>
      </c>
      <c r="E514" t="inlineStr">
        <is>
          <t>ÖSTERSUND</t>
        </is>
      </c>
      <c r="G514" t="n">
        <v>2.9</v>
      </c>
      <c r="H514" t="n">
        <v>0</v>
      </c>
      <c r="I514" t="n">
        <v>0</v>
      </c>
      <c r="J514" t="n">
        <v>0</v>
      </c>
      <c r="K514" t="n">
        <v>0</v>
      </c>
      <c r="L514" t="n">
        <v>0</v>
      </c>
      <c r="M514" t="n">
        <v>0</v>
      </c>
      <c r="N514" t="n">
        <v>0</v>
      </c>
      <c r="O514" t="n">
        <v>0</v>
      </c>
      <c r="P514" t="n">
        <v>0</v>
      </c>
      <c r="Q514" t="n">
        <v>0</v>
      </c>
      <c r="R514" s="2" t="inlineStr"/>
    </row>
    <row r="515" ht="15" customHeight="1">
      <c r="A515" t="inlineStr">
        <is>
          <t>A 60767-2022</t>
        </is>
      </c>
      <c r="B515" s="1" t="n">
        <v>44914.35599537037</v>
      </c>
      <c r="C515" s="1" t="n">
        <v>45890</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32071-2025</t>
        </is>
      </c>
      <c r="B516" s="1" t="n">
        <v>45835.4491087963</v>
      </c>
      <c r="C516" s="1" t="n">
        <v>45890</v>
      </c>
      <c r="D516" t="inlineStr">
        <is>
          <t>JÄMTLANDS LÄN</t>
        </is>
      </c>
      <c r="E516" t="inlineStr">
        <is>
          <t>ÖSTERSUND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55140-2023</t>
        </is>
      </c>
      <c r="B517" s="1" t="n">
        <v>45237.50966435186</v>
      </c>
      <c r="C517" s="1" t="n">
        <v>45890</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54663-2022</t>
        </is>
      </c>
      <c r="B518" s="1" t="n">
        <v>44883.44737268519</v>
      </c>
      <c r="C518" s="1" t="n">
        <v>45890</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11052-2024</t>
        </is>
      </c>
      <c r="B519" s="1" t="n">
        <v>45370</v>
      </c>
      <c r="C519" s="1" t="n">
        <v>45890</v>
      </c>
      <c r="D519" t="inlineStr">
        <is>
          <t>JÄMTLANDS LÄN</t>
        </is>
      </c>
      <c r="E519" t="inlineStr">
        <is>
          <t>ÖSTERSUND</t>
        </is>
      </c>
      <c r="G519" t="n">
        <v>2.3</v>
      </c>
      <c r="H519" t="n">
        <v>0</v>
      </c>
      <c r="I519" t="n">
        <v>0</v>
      </c>
      <c r="J519" t="n">
        <v>0</v>
      </c>
      <c r="K519" t="n">
        <v>0</v>
      </c>
      <c r="L519" t="n">
        <v>0</v>
      </c>
      <c r="M519" t="n">
        <v>0</v>
      </c>
      <c r="N519" t="n">
        <v>0</v>
      </c>
      <c r="O519" t="n">
        <v>0</v>
      </c>
      <c r="P519" t="n">
        <v>0</v>
      </c>
      <c r="Q519" t="n">
        <v>0</v>
      </c>
      <c r="R519" s="2" t="inlineStr"/>
    </row>
    <row r="520" ht="15" customHeight="1">
      <c r="A520" t="inlineStr">
        <is>
          <t>A 32279-2025</t>
        </is>
      </c>
      <c r="B520" s="1" t="n">
        <v>45835.67109953704</v>
      </c>
      <c r="C520" s="1" t="n">
        <v>45890</v>
      </c>
      <c r="D520" t="inlineStr">
        <is>
          <t>JÄMTLANDS LÄN</t>
        </is>
      </c>
      <c r="E520" t="inlineStr">
        <is>
          <t>ÖSTERSUND</t>
        </is>
      </c>
      <c r="G520" t="n">
        <v>3.5</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44911.6459837963</v>
      </c>
      <c r="C521" s="1" t="n">
        <v>45890</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3615-2025</t>
        </is>
      </c>
      <c r="B522" s="1" t="n">
        <v>45681.36493055556</v>
      </c>
      <c r="C522" s="1" t="n">
        <v>45890</v>
      </c>
      <c r="D522" t="inlineStr">
        <is>
          <t>JÄMTLANDS LÄN</t>
        </is>
      </c>
      <c r="E522" t="inlineStr">
        <is>
          <t>ÖSTERSUND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3651-2025</t>
        </is>
      </c>
      <c r="B523" s="1" t="n">
        <v>45681.40689814815</v>
      </c>
      <c r="C523" s="1" t="n">
        <v>45890</v>
      </c>
      <c r="D523" t="inlineStr">
        <is>
          <t>JÄMTLANDS LÄN</t>
        </is>
      </c>
      <c r="E523" t="inlineStr">
        <is>
          <t>ÖSTERSUND</t>
        </is>
      </c>
      <c r="F523" t="inlineStr">
        <is>
          <t>SCA</t>
        </is>
      </c>
      <c r="G523" t="n">
        <v>9.6</v>
      </c>
      <c r="H523" t="n">
        <v>0</v>
      </c>
      <c r="I523" t="n">
        <v>0</v>
      </c>
      <c r="J523" t="n">
        <v>0</v>
      </c>
      <c r="K523" t="n">
        <v>0</v>
      </c>
      <c r="L523" t="n">
        <v>0</v>
      </c>
      <c r="M523" t="n">
        <v>0</v>
      </c>
      <c r="N523" t="n">
        <v>0</v>
      </c>
      <c r="O523" t="n">
        <v>0</v>
      </c>
      <c r="P523" t="n">
        <v>0</v>
      </c>
      <c r="Q523" t="n">
        <v>0</v>
      </c>
      <c r="R523" s="2" t="inlineStr"/>
    </row>
    <row r="524" ht="15" customHeight="1">
      <c r="A524" t="inlineStr">
        <is>
          <t>A 3664-2025</t>
        </is>
      </c>
      <c r="B524" s="1" t="n">
        <v>45681.4275462963</v>
      </c>
      <c r="C524" s="1" t="n">
        <v>45890</v>
      </c>
      <c r="D524" t="inlineStr">
        <is>
          <t>JÄMTLANDS LÄN</t>
        </is>
      </c>
      <c r="E524" t="inlineStr">
        <is>
          <t>ÖSTERSUND</t>
        </is>
      </c>
      <c r="F524" t="inlineStr">
        <is>
          <t>SCA</t>
        </is>
      </c>
      <c r="G524" t="n">
        <v>10.9</v>
      </c>
      <c r="H524" t="n">
        <v>0</v>
      </c>
      <c r="I524" t="n">
        <v>0</v>
      </c>
      <c r="J524" t="n">
        <v>0</v>
      </c>
      <c r="K524" t="n">
        <v>0</v>
      </c>
      <c r="L524" t="n">
        <v>0</v>
      </c>
      <c r="M524" t="n">
        <v>0</v>
      </c>
      <c r="N524" t="n">
        <v>0</v>
      </c>
      <c r="O524" t="n">
        <v>0</v>
      </c>
      <c r="P524" t="n">
        <v>0</v>
      </c>
      <c r="Q524" t="n">
        <v>0</v>
      </c>
      <c r="R524" s="2" t="inlineStr"/>
    </row>
    <row r="525" ht="15" customHeight="1">
      <c r="A525" t="inlineStr">
        <is>
          <t>A 12821-2023</t>
        </is>
      </c>
      <c r="B525" s="1" t="n">
        <v>45000</v>
      </c>
      <c r="C525" s="1" t="n">
        <v>45890</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39928-2022</t>
        </is>
      </c>
      <c r="B526" s="1" t="n">
        <v>44819</v>
      </c>
      <c r="C526" s="1" t="n">
        <v>45890</v>
      </c>
      <c r="D526" t="inlineStr">
        <is>
          <t>JÄMTLANDS LÄN</t>
        </is>
      </c>
      <c r="E526" t="inlineStr">
        <is>
          <t>ÖSTERSUND</t>
        </is>
      </c>
      <c r="F526" t="inlineStr">
        <is>
          <t>SCA</t>
        </is>
      </c>
      <c r="G526" t="n">
        <v>8.9</v>
      </c>
      <c r="H526" t="n">
        <v>0</v>
      </c>
      <c r="I526" t="n">
        <v>0</v>
      </c>
      <c r="J526" t="n">
        <v>0</v>
      </c>
      <c r="K526" t="n">
        <v>0</v>
      </c>
      <c r="L526" t="n">
        <v>0</v>
      </c>
      <c r="M526" t="n">
        <v>0</v>
      </c>
      <c r="N526" t="n">
        <v>0</v>
      </c>
      <c r="O526" t="n">
        <v>0</v>
      </c>
      <c r="P526" t="n">
        <v>0</v>
      </c>
      <c r="Q526" t="n">
        <v>0</v>
      </c>
      <c r="R526" s="2" t="inlineStr"/>
    </row>
    <row r="527" ht="15" customHeight="1">
      <c r="A527" t="inlineStr">
        <is>
          <t>A 37597-2023</t>
        </is>
      </c>
      <c r="B527" s="1" t="n">
        <v>45159.42180555555</v>
      </c>
      <c r="C527" s="1" t="n">
        <v>45890</v>
      </c>
      <c r="D527" t="inlineStr">
        <is>
          <t>JÄMTLANDS LÄN</t>
        </is>
      </c>
      <c r="E527" t="inlineStr">
        <is>
          <t>ÖSTERSUND</t>
        </is>
      </c>
      <c r="G527" t="n">
        <v>4.7</v>
      </c>
      <c r="H527" t="n">
        <v>0</v>
      </c>
      <c r="I527" t="n">
        <v>0</v>
      </c>
      <c r="J527" t="n">
        <v>0</v>
      </c>
      <c r="K527" t="n">
        <v>0</v>
      </c>
      <c r="L527" t="n">
        <v>0</v>
      </c>
      <c r="M527" t="n">
        <v>0</v>
      </c>
      <c r="N527" t="n">
        <v>0</v>
      </c>
      <c r="O527" t="n">
        <v>0</v>
      </c>
      <c r="P527" t="n">
        <v>0</v>
      </c>
      <c r="Q527" t="n">
        <v>0</v>
      </c>
      <c r="R527" s="2" t="inlineStr"/>
    </row>
    <row r="528" ht="15" customHeight="1">
      <c r="A528" t="inlineStr">
        <is>
          <t>A 32358-2025</t>
        </is>
      </c>
      <c r="B528" s="1" t="n">
        <v>45837.57481481481</v>
      </c>
      <c r="C528" s="1" t="n">
        <v>45890</v>
      </c>
      <c r="D528" t="inlineStr">
        <is>
          <t>JÄMTLANDS LÄN</t>
        </is>
      </c>
      <c r="E528" t="inlineStr">
        <is>
          <t>ÖSTERSUND</t>
        </is>
      </c>
      <c r="F528" t="inlineStr">
        <is>
          <t>Övriga Aktiebolag</t>
        </is>
      </c>
      <c r="G528" t="n">
        <v>4.8</v>
      </c>
      <c r="H528" t="n">
        <v>0</v>
      </c>
      <c r="I528" t="n">
        <v>0</v>
      </c>
      <c r="J528" t="n">
        <v>0</v>
      </c>
      <c r="K528" t="n">
        <v>0</v>
      </c>
      <c r="L528" t="n">
        <v>0</v>
      </c>
      <c r="M528" t="n">
        <v>0</v>
      </c>
      <c r="N528" t="n">
        <v>0</v>
      </c>
      <c r="O528" t="n">
        <v>0</v>
      </c>
      <c r="P528" t="n">
        <v>0</v>
      </c>
      <c r="Q528" t="n">
        <v>0</v>
      </c>
      <c r="R528" s="2" t="inlineStr"/>
    </row>
    <row r="529" ht="15" customHeight="1">
      <c r="A529" t="inlineStr">
        <is>
          <t>A 32353-2025</t>
        </is>
      </c>
      <c r="B529" s="1" t="n">
        <v>45837.51741898148</v>
      </c>
      <c r="C529" s="1" t="n">
        <v>45890</v>
      </c>
      <c r="D529" t="inlineStr">
        <is>
          <t>JÄMTLANDS LÄN</t>
        </is>
      </c>
      <c r="E529" t="inlineStr">
        <is>
          <t>ÖSTERSUND</t>
        </is>
      </c>
      <c r="F529" t="inlineStr">
        <is>
          <t>Övriga Aktiebolag</t>
        </is>
      </c>
      <c r="G529" t="n">
        <v>4.8</v>
      </c>
      <c r="H529" t="n">
        <v>0</v>
      </c>
      <c r="I529" t="n">
        <v>0</v>
      </c>
      <c r="J529" t="n">
        <v>0</v>
      </c>
      <c r="K529" t="n">
        <v>0</v>
      </c>
      <c r="L529" t="n">
        <v>0</v>
      </c>
      <c r="M529" t="n">
        <v>0</v>
      </c>
      <c r="N529" t="n">
        <v>0</v>
      </c>
      <c r="O529" t="n">
        <v>0</v>
      </c>
      <c r="P529" t="n">
        <v>0</v>
      </c>
      <c r="Q529" t="n">
        <v>0</v>
      </c>
      <c r="R529" s="2" t="inlineStr"/>
    </row>
    <row r="530" ht="15" customHeight="1">
      <c r="A530" t="inlineStr">
        <is>
          <t>A 44798-2023</t>
        </is>
      </c>
      <c r="B530" s="1" t="n">
        <v>45190</v>
      </c>
      <c r="C530" s="1" t="n">
        <v>45890</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32369-2025</t>
        </is>
      </c>
      <c r="B531" s="1" t="n">
        <v>45837.67381944445</v>
      </c>
      <c r="C531" s="1" t="n">
        <v>45890</v>
      </c>
      <c r="D531" t="inlineStr">
        <is>
          <t>JÄMTLANDS LÄN</t>
        </is>
      </c>
      <c r="E531" t="inlineStr">
        <is>
          <t>ÖSTERSUND</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55365-2024</t>
        </is>
      </c>
      <c r="B532" s="1" t="n">
        <v>45621.86827546296</v>
      </c>
      <c r="C532" s="1" t="n">
        <v>45890</v>
      </c>
      <c r="D532" t="inlineStr">
        <is>
          <t>JÄMTLANDS LÄN</t>
        </is>
      </c>
      <c r="E532" t="inlineStr">
        <is>
          <t>ÖSTERSUND</t>
        </is>
      </c>
      <c r="G532" t="n">
        <v>1.6</v>
      </c>
      <c r="H532" t="n">
        <v>0</v>
      </c>
      <c r="I532" t="n">
        <v>0</v>
      </c>
      <c r="J532" t="n">
        <v>0</v>
      </c>
      <c r="K532" t="n">
        <v>0</v>
      </c>
      <c r="L532" t="n">
        <v>0</v>
      </c>
      <c r="M532" t="n">
        <v>0</v>
      </c>
      <c r="N532" t="n">
        <v>0</v>
      </c>
      <c r="O532" t="n">
        <v>0</v>
      </c>
      <c r="P532" t="n">
        <v>0</v>
      </c>
      <c r="Q532" t="n">
        <v>0</v>
      </c>
      <c r="R532" s="2" t="inlineStr"/>
    </row>
    <row r="533" ht="15" customHeight="1">
      <c r="A533" t="inlineStr">
        <is>
          <t>A 4936-2025</t>
        </is>
      </c>
      <c r="B533" s="1" t="n">
        <v>45688.69356481481</v>
      </c>
      <c r="C533" s="1" t="n">
        <v>45890</v>
      </c>
      <c r="D533" t="inlineStr">
        <is>
          <t>JÄMTLANDS LÄN</t>
        </is>
      </c>
      <c r="E533" t="inlineStr">
        <is>
          <t>ÖSTERSUND</t>
        </is>
      </c>
      <c r="G533" t="n">
        <v>8.1</v>
      </c>
      <c r="H533" t="n">
        <v>0</v>
      </c>
      <c r="I533" t="n">
        <v>0</v>
      </c>
      <c r="J533" t="n">
        <v>0</v>
      </c>
      <c r="K533" t="n">
        <v>0</v>
      </c>
      <c r="L533" t="n">
        <v>0</v>
      </c>
      <c r="M533" t="n">
        <v>0</v>
      </c>
      <c r="N533" t="n">
        <v>0</v>
      </c>
      <c r="O533" t="n">
        <v>0</v>
      </c>
      <c r="P533" t="n">
        <v>0</v>
      </c>
      <c r="Q533" t="n">
        <v>0</v>
      </c>
      <c r="R533" s="2" t="inlineStr"/>
    </row>
    <row r="534" ht="15" customHeight="1">
      <c r="A534" t="inlineStr">
        <is>
          <t>A 44048-2024</t>
        </is>
      </c>
      <c r="B534" s="1" t="n">
        <v>45572.59430555555</v>
      </c>
      <c r="C534" s="1" t="n">
        <v>45890</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45890</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32368-2025</t>
        </is>
      </c>
      <c r="B536" s="1" t="n">
        <v>45837.66230324074</v>
      </c>
      <c r="C536" s="1" t="n">
        <v>45890</v>
      </c>
      <c r="D536" t="inlineStr">
        <is>
          <t>JÄMTLANDS LÄN</t>
        </is>
      </c>
      <c r="E536" t="inlineStr">
        <is>
          <t>ÖSTERSUND</t>
        </is>
      </c>
      <c r="F536" t="inlineStr">
        <is>
          <t>Övriga Aktiebolag</t>
        </is>
      </c>
      <c r="G536" t="n">
        <v>19.5</v>
      </c>
      <c r="H536" t="n">
        <v>0</v>
      </c>
      <c r="I536" t="n">
        <v>0</v>
      </c>
      <c r="J536" t="n">
        <v>0</v>
      </c>
      <c r="K536" t="n">
        <v>0</v>
      </c>
      <c r="L536" t="n">
        <v>0</v>
      </c>
      <c r="M536" t="n">
        <v>0</v>
      </c>
      <c r="N536" t="n">
        <v>0</v>
      </c>
      <c r="O536" t="n">
        <v>0</v>
      </c>
      <c r="P536" t="n">
        <v>0</v>
      </c>
      <c r="Q536" t="n">
        <v>0</v>
      </c>
      <c r="R536" s="2" t="inlineStr"/>
    </row>
    <row r="537" ht="15" customHeight="1">
      <c r="A537" t="inlineStr">
        <is>
          <t>A 6877-2024</t>
        </is>
      </c>
      <c r="B537" s="1" t="n">
        <v>45342</v>
      </c>
      <c r="C537" s="1" t="n">
        <v>45890</v>
      </c>
      <c r="D537" t="inlineStr">
        <is>
          <t>JÄMTLANDS LÄN</t>
        </is>
      </c>
      <c r="E537" t="inlineStr">
        <is>
          <t>ÖSTERSUND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60349-2024</t>
        </is>
      </c>
      <c r="B538" s="1" t="n">
        <v>45643.42986111111</v>
      </c>
      <c r="C538" s="1" t="n">
        <v>45890</v>
      </c>
      <c r="D538" t="inlineStr">
        <is>
          <t>JÄMTLANDS LÄN</t>
        </is>
      </c>
      <c r="E538" t="inlineStr">
        <is>
          <t>ÖSTERSUND</t>
        </is>
      </c>
      <c r="F538" t="inlineStr">
        <is>
          <t>Sveaskog</t>
        </is>
      </c>
      <c r="G538" t="n">
        <v>16.6</v>
      </c>
      <c r="H538" t="n">
        <v>0</v>
      </c>
      <c r="I538" t="n">
        <v>0</v>
      </c>
      <c r="J538" t="n">
        <v>0</v>
      </c>
      <c r="K538" t="n">
        <v>0</v>
      </c>
      <c r="L538" t="n">
        <v>0</v>
      </c>
      <c r="M538" t="n">
        <v>0</v>
      </c>
      <c r="N538" t="n">
        <v>0</v>
      </c>
      <c r="O538" t="n">
        <v>0</v>
      </c>
      <c r="P538" t="n">
        <v>0</v>
      </c>
      <c r="Q538" t="n">
        <v>0</v>
      </c>
      <c r="R538" s="2" t="inlineStr"/>
    </row>
    <row r="539" ht="15" customHeight="1">
      <c r="A539" t="inlineStr">
        <is>
          <t>A 9971-2025</t>
        </is>
      </c>
      <c r="B539" s="1" t="n">
        <v>45719.38630787037</v>
      </c>
      <c r="C539" s="1" t="n">
        <v>45890</v>
      </c>
      <c r="D539" t="inlineStr">
        <is>
          <t>JÄMTLANDS LÄN</t>
        </is>
      </c>
      <c r="E539" t="inlineStr">
        <is>
          <t>ÖSTERSUND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18627-2024</t>
        </is>
      </c>
      <c r="B540" s="1" t="n">
        <v>45425.96443287037</v>
      </c>
      <c r="C540" s="1" t="n">
        <v>45890</v>
      </c>
      <c r="D540" t="inlineStr">
        <is>
          <t>JÄMTLANDS LÄN</t>
        </is>
      </c>
      <c r="E540" t="inlineStr">
        <is>
          <t>ÖSTERSUND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17574-2022</t>
        </is>
      </c>
      <c r="B541" s="1" t="n">
        <v>44679.92574074074</v>
      </c>
      <c r="C541" s="1" t="n">
        <v>45890</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33358-2025</t>
        </is>
      </c>
      <c r="B542" s="1" t="n">
        <v>45841.38054398148</v>
      </c>
      <c r="C542" s="1" t="n">
        <v>45890</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61332-2024</t>
        </is>
      </c>
      <c r="B543" s="1" t="n">
        <v>45646.35685185185</v>
      </c>
      <c r="C543" s="1" t="n">
        <v>45890</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1322-2021</t>
        </is>
      </c>
      <c r="B544" s="1" t="n">
        <v>44208</v>
      </c>
      <c r="C544" s="1" t="n">
        <v>45890</v>
      </c>
      <c r="D544" t="inlineStr">
        <is>
          <t>JÄMTLANDS LÄN</t>
        </is>
      </c>
      <c r="E544" t="inlineStr">
        <is>
          <t>ÖSTERSUND</t>
        </is>
      </c>
      <c r="G544" t="n">
        <v>1.1</v>
      </c>
      <c r="H544" t="n">
        <v>0</v>
      </c>
      <c r="I544" t="n">
        <v>0</v>
      </c>
      <c r="J544" t="n">
        <v>0</v>
      </c>
      <c r="K544" t="n">
        <v>0</v>
      </c>
      <c r="L544" t="n">
        <v>0</v>
      </c>
      <c r="M544" t="n">
        <v>0</v>
      </c>
      <c r="N544" t="n">
        <v>0</v>
      </c>
      <c r="O544" t="n">
        <v>0</v>
      </c>
      <c r="P544" t="n">
        <v>0</v>
      </c>
      <c r="Q544" t="n">
        <v>0</v>
      </c>
      <c r="R544" s="2" t="inlineStr"/>
    </row>
    <row r="545" ht="15" customHeight="1">
      <c r="A545" t="inlineStr">
        <is>
          <t>A 32998-2021</t>
        </is>
      </c>
      <c r="B545" s="1" t="n">
        <v>44375</v>
      </c>
      <c r="C545" s="1" t="n">
        <v>45890</v>
      </c>
      <c r="D545" t="inlineStr">
        <is>
          <t>JÄMTLANDS LÄN</t>
        </is>
      </c>
      <c r="E545" t="inlineStr">
        <is>
          <t>ÖSTERSUND</t>
        </is>
      </c>
      <c r="G545" t="n">
        <v>0.1</v>
      </c>
      <c r="H545" t="n">
        <v>0</v>
      </c>
      <c r="I545" t="n">
        <v>0</v>
      </c>
      <c r="J545" t="n">
        <v>0</v>
      </c>
      <c r="K545" t="n">
        <v>0</v>
      </c>
      <c r="L545" t="n">
        <v>0</v>
      </c>
      <c r="M545" t="n">
        <v>0</v>
      </c>
      <c r="N545" t="n">
        <v>0</v>
      </c>
      <c r="O545" t="n">
        <v>0</v>
      </c>
      <c r="P545" t="n">
        <v>0</v>
      </c>
      <c r="Q545" t="n">
        <v>0</v>
      </c>
      <c r="R545" s="2" t="inlineStr"/>
    </row>
    <row r="546" ht="15" customHeight="1">
      <c r="A546" t="inlineStr">
        <is>
          <t>A 6351-2024</t>
        </is>
      </c>
      <c r="B546" s="1" t="n">
        <v>45338</v>
      </c>
      <c r="C546" s="1" t="n">
        <v>45890</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51941-2023</t>
        </is>
      </c>
      <c r="B547" s="1" t="n">
        <v>45223</v>
      </c>
      <c r="C547" s="1" t="n">
        <v>45890</v>
      </c>
      <c r="D547" t="inlineStr">
        <is>
          <t>JÄMTLANDS LÄN</t>
        </is>
      </c>
      <c r="E547" t="inlineStr">
        <is>
          <t>ÖSTERSUND</t>
        </is>
      </c>
      <c r="G547" t="n">
        <v>4.6</v>
      </c>
      <c r="H547" t="n">
        <v>0</v>
      </c>
      <c r="I547" t="n">
        <v>0</v>
      </c>
      <c r="J547" t="n">
        <v>0</v>
      </c>
      <c r="K547" t="n">
        <v>0</v>
      </c>
      <c r="L547" t="n">
        <v>0</v>
      </c>
      <c r="M547" t="n">
        <v>0</v>
      </c>
      <c r="N547" t="n">
        <v>0</v>
      </c>
      <c r="O547" t="n">
        <v>0</v>
      </c>
      <c r="P547" t="n">
        <v>0</v>
      </c>
      <c r="Q547" t="n">
        <v>0</v>
      </c>
      <c r="R547" s="2" t="inlineStr"/>
    </row>
    <row r="548" ht="15" customHeight="1">
      <c r="A548" t="inlineStr">
        <is>
          <t>A 2686-2021</t>
        </is>
      </c>
      <c r="B548" s="1" t="n">
        <v>44214</v>
      </c>
      <c r="C548" s="1" t="n">
        <v>45890</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33831-2021</t>
        </is>
      </c>
      <c r="B549" s="1" t="n">
        <v>44378</v>
      </c>
      <c r="C549" s="1" t="n">
        <v>45890</v>
      </c>
      <c r="D549" t="inlineStr">
        <is>
          <t>JÄMTLANDS LÄN</t>
        </is>
      </c>
      <c r="E549" t="inlineStr">
        <is>
          <t>ÖSTERSUND</t>
        </is>
      </c>
      <c r="G549" t="n">
        <v>2.5</v>
      </c>
      <c r="H549" t="n">
        <v>0</v>
      </c>
      <c r="I549" t="n">
        <v>0</v>
      </c>
      <c r="J549" t="n">
        <v>0</v>
      </c>
      <c r="K549" t="n">
        <v>0</v>
      </c>
      <c r="L549" t="n">
        <v>0</v>
      </c>
      <c r="M549" t="n">
        <v>0</v>
      </c>
      <c r="N549" t="n">
        <v>0</v>
      </c>
      <c r="O549" t="n">
        <v>0</v>
      </c>
      <c r="P549" t="n">
        <v>0</v>
      </c>
      <c r="Q549" t="n">
        <v>0</v>
      </c>
      <c r="R549" s="2" t="inlineStr"/>
    </row>
    <row r="550" ht="15" customHeight="1">
      <c r="A550" t="inlineStr">
        <is>
          <t>A 3749-2023</t>
        </is>
      </c>
      <c r="B550" s="1" t="n">
        <v>44949</v>
      </c>
      <c r="C550" s="1" t="n">
        <v>45890</v>
      </c>
      <c r="D550" t="inlineStr">
        <is>
          <t>JÄMTLANDS LÄN</t>
        </is>
      </c>
      <c r="E550" t="inlineStr">
        <is>
          <t>ÖSTERSUND</t>
        </is>
      </c>
      <c r="G550" t="n">
        <v>0.2</v>
      </c>
      <c r="H550" t="n">
        <v>0</v>
      </c>
      <c r="I550" t="n">
        <v>0</v>
      </c>
      <c r="J550" t="n">
        <v>0</v>
      </c>
      <c r="K550" t="n">
        <v>0</v>
      </c>
      <c r="L550" t="n">
        <v>0</v>
      </c>
      <c r="M550" t="n">
        <v>0</v>
      </c>
      <c r="N550" t="n">
        <v>0</v>
      </c>
      <c r="O550" t="n">
        <v>0</v>
      </c>
      <c r="P550" t="n">
        <v>0</v>
      </c>
      <c r="Q550" t="n">
        <v>0</v>
      </c>
      <c r="R550" s="2" t="inlineStr"/>
    </row>
    <row r="551" ht="15" customHeight="1">
      <c r="A551" t="inlineStr">
        <is>
          <t>A 38871-2025</t>
        </is>
      </c>
      <c r="B551" s="1" t="n">
        <v>45887.57407407407</v>
      </c>
      <c r="C551" s="1" t="n">
        <v>45890</v>
      </c>
      <c r="D551" t="inlineStr">
        <is>
          <t>JÄMTLANDS LÄN</t>
        </is>
      </c>
      <c r="E551" t="inlineStr">
        <is>
          <t>ÖSTERSUND</t>
        </is>
      </c>
      <c r="G551" t="n">
        <v>3</v>
      </c>
      <c r="H551" t="n">
        <v>0</v>
      </c>
      <c r="I551" t="n">
        <v>0</v>
      </c>
      <c r="J551" t="n">
        <v>0</v>
      </c>
      <c r="K551" t="n">
        <v>0</v>
      </c>
      <c r="L551" t="n">
        <v>0</v>
      </c>
      <c r="M551" t="n">
        <v>0</v>
      </c>
      <c r="N551" t="n">
        <v>0</v>
      </c>
      <c r="O551" t="n">
        <v>0</v>
      </c>
      <c r="P551" t="n">
        <v>0</v>
      </c>
      <c r="Q551" t="n">
        <v>0</v>
      </c>
      <c r="R551" s="2" t="inlineStr"/>
    </row>
    <row r="552" ht="15" customHeight="1">
      <c r="A552" t="inlineStr">
        <is>
          <t>A 3255-2025</t>
        </is>
      </c>
      <c r="B552" s="1" t="n">
        <v>45679.55256944444</v>
      </c>
      <c r="C552" s="1" t="n">
        <v>45890</v>
      </c>
      <c r="D552" t="inlineStr">
        <is>
          <t>JÄMTLANDS LÄN</t>
        </is>
      </c>
      <c r="E552" t="inlineStr">
        <is>
          <t>ÖSTERSUND</t>
        </is>
      </c>
      <c r="F552" t="inlineStr">
        <is>
          <t>SCA</t>
        </is>
      </c>
      <c r="G552" t="n">
        <v>16.7</v>
      </c>
      <c r="H552" t="n">
        <v>0</v>
      </c>
      <c r="I552" t="n">
        <v>0</v>
      </c>
      <c r="J552" t="n">
        <v>0</v>
      </c>
      <c r="K552" t="n">
        <v>0</v>
      </c>
      <c r="L552" t="n">
        <v>0</v>
      </c>
      <c r="M552" t="n">
        <v>0</v>
      </c>
      <c r="N552" t="n">
        <v>0</v>
      </c>
      <c r="O552" t="n">
        <v>0</v>
      </c>
      <c r="P552" t="n">
        <v>0</v>
      </c>
      <c r="Q552" t="n">
        <v>0</v>
      </c>
      <c r="R552" s="2" t="inlineStr"/>
    </row>
    <row r="553" ht="15" customHeight="1">
      <c r="A553" t="inlineStr">
        <is>
          <t>A 58364-2024</t>
        </is>
      </c>
      <c r="B553" s="1" t="n">
        <v>45632.68814814815</v>
      </c>
      <c r="C553" s="1" t="n">
        <v>45890</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51936-2023</t>
        </is>
      </c>
      <c r="B554" s="1" t="n">
        <v>45223.5036574074</v>
      </c>
      <c r="C554" s="1" t="n">
        <v>45890</v>
      </c>
      <c r="D554" t="inlineStr">
        <is>
          <t>JÄMTLANDS LÄN</t>
        </is>
      </c>
      <c r="E554" t="inlineStr">
        <is>
          <t>ÖSTERSUND</t>
        </is>
      </c>
      <c r="G554" t="n">
        <v>8.4</v>
      </c>
      <c r="H554" t="n">
        <v>0</v>
      </c>
      <c r="I554" t="n">
        <v>0</v>
      </c>
      <c r="J554" t="n">
        <v>0</v>
      </c>
      <c r="K554" t="n">
        <v>0</v>
      </c>
      <c r="L554" t="n">
        <v>0</v>
      </c>
      <c r="M554" t="n">
        <v>0</v>
      </c>
      <c r="N554" t="n">
        <v>0</v>
      </c>
      <c r="O554" t="n">
        <v>0</v>
      </c>
      <c r="P554" t="n">
        <v>0</v>
      </c>
      <c r="Q554" t="n">
        <v>0</v>
      </c>
      <c r="R554" s="2" t="inlineStr"/>
    </row>
    <row r="555" ht="15" customHeight="1">
      <c r="A555" t="inlineStr">
        <is>
          <t>A 38853-2025</t>
        </is>
      </c>
      <c r="B555" s="1" t="n">
        <v>45887.55666666666</v>
      </c>
      <c r="C555" s="1" t="n">
        <v>45890</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54973-2023</t>
        </is>
      </c>
      <c r="B556" s="1" t="n">
        <v>45236.92776620371</v>
      </c>
      <c r="C556" s="1" t="n">
        <v>45890</v>
      </c>
      <c r="D556" t="inlineStr">
        <is>
          <t>JÄMTLANDS LÄN</t>
        </is>
      </c>
      <c r="E556" t="inlineStr">
        <is>
          <t>ÖSTERSUND</t>
        </is>
      </c>
      <c r="G556" t="n">
        <v>15.4</v>
      </c>
      <c r="H556" t="n">
        <v>0</v>
      </c>
      <c r="I556" t="n">
        <v>0</v>
      </c>
      <c r="J556" t="n">
        <v>0</v>
      </c>
      <c r="K556" t="n">
        <v>0</v>
      </c>
      <c r="L556" t="n">
        <v>0</v>
      </c>
      <c r="M556" t="n">
        <v>0</v>
      </c>
      <c r="N556" t="n">
        <v>0</v>
      </c>
      <c r="O556" t="n">
        <v>0</v>
      </c>
      <c r="P556" t="n">
        <v>0</v>
      </c>
      <c r="Q556" t="n">
        <v>0</v>
      </c>
      <c r="R556" s="2" t="inlineStr"/>
    </row>
    <row r="557" ht="15" customHeight="1">
      <c r="A557" t="inlineStr">
        <is>
          <t>A 33801-2022</t>
        </is>
      </c>
      <c r="B557" s="1" t="n">
        <v>44790</v>
      </c>
      <c r="C557" s="1" t="n">
        <v>45890</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3997-2025</t>
        </is>
      </c>
      <c r="B558" s="1" t="n">
        <v>45684.56725694444</v>
      </c>
      <c r="C558" s="1" t="n">
        <v>45890</v>
      </c>
      <c r="D558" t="inlineStr">
        <is>
          <t>JÄMTLANDS LÄN</t>
        </is>
      </c>
      <c r="E558" t="inlineStr">
        <is>
          <t>ÖSTERSUND</t>
        </is>
      </c>
      <c r="G558" t="n">
        <v>1.9</v>
      </c>
      <c r="H558" t="n">
        <v>0</v>
      </c>
      <c r="I558" t="n">
        <v>0</v>
      </c>
      <c r="J558" t="n">
        <v>0</v>
      </c>
      <c r="K558" t="n">
        <v>0</v>
      </c>
      <c r="L558" t="n">
        <v>0</v>
      </c>
      <c r="M558" t="n">
        <v>0</v>
      </c>
      <c r="N558" t="n">
        <v>0</v>
      </c>
      <c r="O558" t="n">
        <v>0</v>
      </c>
      <c r="P558" t="n">
        <v>0</v>
      </c>
      <c r="Q558" t="n">
        <v>0</v>
      </c>
      <c r="R558" s="2" t="inlineStr"/>
    </row>
    <row r="559" ht="15" customHeight="1">
      <c r="A559" t="inlineStr">
        <is>
          <t>A 28179-2024</t>
        </is>
      </c>
      <c r="B559" s="1" t="n">
        <v>45477.26746527778</v>
      </c>
      <c r="C559" s="1" t="n">
        <v>45890</v>
      </c>
      <c r="D559" t="inlineStr">
        <is>
          <t>JÄMTLANDS LÄN</t>
        </is>
      </c>
      <c r="E559" t="inlineStr">
        <is>
          <t>ÖSTERSUND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13921-2023</t>
        </is>
      </c>
      <c r="B560" s="1" t="n">
        <v>45008</v>
      </c>
      <c r="C560" s="1" t="n">
        <v>45890</v>
      </c>
      <c r="D560" t="inlineStr">
        <is>
          <t>JÄMTLANDS LÄN</t>
        </is>
      </c>
      <c r="E560" t="inlineStr">
        <is>
          <t>ÖSTERSUND</t>
        </is>
      </c>
      <c r="G560" t="n">
        <v>0.3</v>
      </c>
      <c r="H560" t="n">
        <v>0</v>
      </c>
      <c r="I560" t="n">
        <v>0</v>
      </c>
      <c r="J560" t="n">
        <v>0</v>
      </c>
      <c r="K560" t="n">
        <v>0</v>
      </c>
      <c r="L560" t="n">
        <v>0</v>
      </c>
      <c r="M560" t="n">
        <v>0</v>
      </c>
      <c r="N560" t="n">
        <v>0</v>
      </c>
      <c r="O560" t="n">
        <v>0</v>
      </c>
      <c r="P560" t="n">
        <v>0</v>
      </c>
      <c r="Q560" t="n">
        <v>0</v>
      </c>
      <c r="R560" s="2" t="inlineStr"/>
    </row>
    <row r="561" ht="15" customHeight="1">
      <c r="A561" t="inlineStr">
        <is>
          <t>A 39030-2025</t>
        </is>
      </c>
      <c r="B561" s="1" t="n">
        <v>45888.40700231482</v>
      </c>
      <c r="C561" s="1" t="n">
        <v>45890</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34490-2025</t>
        </is>
      </c>
      <c r="B562" s="1" t="n">
        <v>45847.40722222222</v>
      </c>
      <c r="C562" s="1" t="n">
        <v>45890</v>
      </c>
      <c r="D562" t="inlineStr">
        <is>
          <t>JÄMTLANDS LÄN</t>
        </is>
      </c>
      <c r="E562" t="inlineStr">
        <is>
          <t>ÖSTERSUND</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64645-2021</t>
        </is>
      </c>
      <c r="B563" s="1" t="n">
        <v>44511.94629629629</v>
      </c>
      <c r="C563" s="1" t="n">
        <v>45890</v>
      </c>
      <c r="D563" t="inlineStr">
        <is>
          <t>JÄMTLANDS LÄN</t>
        </is>
      </c>
      <c r="E563" t="inlineStr">
        <is>
          <t>ÖSTERSUND</t>
        </is>
      </c>
      <c r="G563" t="n">
        <v>3.2</v>
      </c>
      <c r="H563" t="n">
        <v>0</v>
      </c>
      <c r="I563" t="n">
        <v>0</v>
      </c>
      <c r="J563" t="n">
        <v>0</v>
      </c>
      <c r="K563" t="n">
        <v>0</v>
      </c>
      <c r="L563" t="n">
        <v>0</v>
      </c>
      <c r="M563" t="n">
        <v>0</v>
      </c>
      <c r="N563" t="n">
        <v>0</v>
      </c>
      <c r="O563" t="n">
        <v>0</v>
      </c>
      <c r="P563" t="n">
        <v>0</v>
      </c>
      <c r="Q563" t="n">
        <v>0</v>
      </c>
      <c r="R563" s="2" t="inlineStr"/>
    </row>
    <row r="564" ht="15" customHeight="1">
      <c r="A564" t="inlineStr">
        <is>
          <t>A 207-2025</t>
        </is>
      </c>
      <c r="B564" s="1" t="n">
        <v>45660.32672453704</v>
      </c>
      <c r="C564" s="1" t="n">
        <v>45890</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34331-2025</t>
        </is>
      </c>
      <c r="B565" s="1" t="n">
        <v>45846.44827546296</v>
      </c>
      <c r="C565" s="1" t="n">
        <v>45890</v>
      </c>
      <c r="D565" t="inlineStr">
        <is>
          <t>JÄMTLANDS LÄN</t>
        </is>
      </c>
      <c r="E565" t="inlineStr">
        <is>
          <t>ÖSTERSUND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39103-2025</t>
        </is>
      </c>
      <c r="B566" s="1" t="n">
        <v>45888.52440972222</v>
      </c>
      <c r="C566" s="1" t="n">
        <v>45890</v>
      </c>
      <c r="D566" t="inlineStr">
        <is>
          <t>JÄMTLANDS LÄN</t>
        </is>
      </c>
      <c r="E566" t="inlineStr">
        <is>
          <t>ÖSTERSUND</t>
        </is>
      </c>
      <c r="G566" t="n">
        <v>23.9</v>
      </c>
      <c r="H566" t="n">
        <v>0</v>
      </c>
      <c r="I566" t="n">
        <v>0</v>
      </c>
      <c r="J566" t="n">
        <v>0</v>
      </c>
      <c r="K566" t="n">
        <v>0</v>
      </c>
      <c r="L566" t="n">
        <v>0</v>
      </c>
      <c r="M566" t="n">
        <v>0</v>
      </c>
      <c r="N566" t="n">
        <v>0</v>
      </c>
      <c r="O566" t="n">
        <v>0</v>
      </c>
      <c r="P566" t="n">
        <v>0</v>
      </c>
      <c r="Q566" t="n">
        <v>0</v>
      </c>
      <c r="R566" s="2" t="inlineStr"/>
    </row>
    <row r="567" ht="15" customHeight="1">
      <c r="A567" t="inlineStr">
        <is>
          <t>A 13738-2025</t>
        </is>
      </c>
      <c r="B567" s="1" t="n">
        <v>45737.40131944444</v>
      </c>
      <c r="C567" s="1" t="n">
        <v>45890</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34589-2025</t>
        </is>
      </c>
      <c r="B568" s="1" t="n">
        <v>45847.61561342593</v>
      </c>
      <c r="C568" s="1" t="n">
        <v>45890</v>
      </c>
      <c r="D568" t="inlineStr">
        <is>
          <t>JÄMTLANDS LÄN</t>
        </is>
      </c>
      <c r="E568" t="inlineStr">
        <is>
          <t>ÖSTERSUND</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34587-2025</t>
        </is>
      </c>
      <c r="B569" s="1" t="n">
        <v>45847.61533564814</v>
      </c>
      <c r="C569" s="1" t="n">
        <v>45890</v>
      </c>
      <c r="D569" t="inlineStr">
        <is>
          <t>JÄMTLANDS LÄN</t>
        </is>
      </c>
      <c r="E569" t="inlineStr">
        <is>
          <t>ÖSTERSUND</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14182-2025</t>
        </is>
      </c>
      <c r="B570" s="1" t="n">
        <v>45740.54168981482</v>
      </c>
      <c r="C570" s="1" t="n">
        <v>45890</v>
      </c>
      <c r="D570" t="inlineStr">
        <is>
          <t>JÄMTLANDS LÄN</t>
        </is>
      </c>
      <c r="E570" t="inlineStr">
        <is>
          <t>ÖSTERSUND</t>
        </is>
      </c>
      <c r="F570" t="inlineStr">
        <is>
          <t>Övriga Aktiebolag</t>
        </is>
      </c>
      <c r="G570" t="n">
        <v>20.1</v>
      </c>
      <c r="H570" t="n">
        <v>0</v>
      </c>
      <c r="I570" t="n">
        <v>0</v>
      </c>
      <c r="J570" t="n">
        <v>0</v>
      </c>
      <c r="K570" t="n">
        <v>0</v>
      </c>
      <c r="L570" t="n">
        <v>0</v>
      </c>
      <c r="M570" t="n">
        <v>0</v>
      </c>
      <c r="N570" t="n">
        <v>0</v>
      </c>
      <c r="O570" t="n">
        <v>0</v>
      </c>
      <c r="P570" t="n">
        <v>0</v>
      </c>
      <c r="Q570" t="n">
        <v>0</v>
      </c>
      <c r="R570" s="2" t="inlineStr"/>
    </row>
    <row r="571" ht="15" customHeight="1">
      <c r="A571" t="inlineStr">
        <is>
          <t>A 18577-2025</t>
        </is>
      </c>
      <c r="B571" s="1" t="n">
        <v>45763</v>
      </c>
      <c r="C571" s="1" t="n">
        <v>45890</v>
      </c>
      <c r="D571" t="inlineStr">
        <is>
          <t>JÄMTLANDS LÄN</t>
        </is>
      </c>
      <c r="E571" t="inlineStr">
        <is>
          <t>ÖSTERSUND</t>
        </is>
      </c>
      <c r="G571" t="n">
        <v>3.5</v>
      </c>
      <c r="H571" t="n">
        <v>0</v>
      </c>
      <c r="I571" t="n">
        <v>0</v>
      </c>
      <c r="J571" t="n">
        <v>0</v>
      </c>
      <c r="K571" t="n">
        <v>0</v>
      </c>
      <c r="L571" t="n">
        <v>0</v>
      </c>
      <c r="M571" t="n">
        <v>0</v>
      </c>
      <c r="N571" t="n">
        <v>0</v>
      </c>
      <c r="O571" t="n">
        <v>0</v>
      </c>
      <c r="P571" t="n">
        <v>0</v>
      </c>
      <c r="Q571" t="n">
        <v>0</v>
      </c>
      <c r="R571" s="2" t="inlineStr"/>
    </row>
    <row r="572" ht="15" customHeight="1">
      <c r="A572" t="inlineStr">
        <is>
          <t>A 18578-2025</t>
        </is>
      </c>
      <c r="B572" s="1" t="n">
        <v>45763</v>
      </c>
      <c r="C572" s="1" t="n">
        <v>45890</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846-2024</t>
        </is>
      </c>
      <c r="B573" s="1" t="n">
        <v>45300</v>
      </c>
      <c r="C573" s="1" t="n">
        <v>45890</v>
      </c>
      <c r="D573" t="inlineStr">
        <is>
          <t>JÄMTLANDS LÄN</t>
        </is>
      </c>
      <c r="E573" t="inlineStr">
        <is>
          <t>ÖSTERSUND</t>
        </is>
      </c>
      <c r="G573" t="n">
        <v>2.8</v>
      </c>
      <c r="H573" t="n">
        <v>0</v>
      </c>
      <c r="I573" t="n">
        <v>0</v>
      </c>
      <c r="J573" t="n">
        <v>0</v>
      </c>
      <c r="K573" t="n">
        <v>0</v>
      </c>
      <c r="L573" t="n">
        <v>0</v>
      </c>
      <c r="M573" t="n">
        <v>0</v>
      </c>
      <c r="N573" t="n">
        <v>0</v>
      </c>
      <c r="O573" t="n">
        <v>0</v>
      </c>
      <c r="P573" t="n">
        <v>0</v>
      </c>
      <c r="Q573" t="n">
        <v>0</v>
      </c>
      <c r="R573" s="2" t="inlineStr"/>
    </row>
    <row r="574" ht="15" customHeight="1">
      <c r="A574" t="inlineStr">
        <is>
          <t>A 59691-2024</t>
        </is>
      </c>
      <c r="B574" s="1" t="n">
        <v>45639.40684027778</v>
      </c>
      <c r="C574" s="1" t="n">
        <v>45890</v>
      </c>
      <c r="D574" t="inlineStr">
        <is>
          <t>JÄMTLANDS LÄN</t>
        </is>
      </c>
      <c r="E574" t="inlineStr">
        <is>
          <t>ÖSTERSUND</t>
        </is>
      </c>
      <c r="F574" t="inlineStr">
        <is>
          <t>SCA</t>
        </is>
      </c>
      <c r="G574" t="n">
        <v>15.9</v>
      </c>
      <c r="H574" t="n">
        <v>0</v>
      </c>
      <c r="I574" t="n">
        <v>0</v>
      </c>
      <c r="J574" t="n">
        <v>0</v>
      </c>
      <c r="K574" t="n">
        <v>0</v>
      </c>
      <c r="L574" t="n">
        <v>0</v>
      </c>
      <c r="M574" t="n">
        <v>0</v>
      </c>
      <c r="N574" t="n">
        <v>0</v>
      </c>
      <c r="O574" t="n">
        <v>0</v>
      </c>
      <c r="P574" t="n">
        <v>0</v>
      </c>
      <c r="Q574" t="n">
        <v>0</v>
      </c>
      <c r="R574" s="2" t="inlineStr"/>
    </row>
    <row r="575" ht="15" customHeight="1">
      <c r="A575" t="inlineStr">
        <is>
          <t>A 13655-2025</t>
        </is>
      </c>
      <c r="B575" s="1" t="n">
        <v>45736.71956018519</v>
      </c>
      <c r="C575" s="1" t="n">
        <v>45890</v>
      </c>
      <c r="D575" t="inlineStr">
        <is>
          <t>JÄMTLANDS LÄN</t>
        </is>
      </c>
      <c r="E575" t="inlineStr">
        <is>
          <t>ÖSTERSUND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12102-2025</t>
        </is>
      </c>
      <c r="B576" s="1" t="n">
        <v>45729.3425</v>
      </c>
      <c r="C576" s="1" t="n">
        <v>45890</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23563-2022</t>
        </is>
      </c>
      <c r="B577" s="1" t="n">
        <v>44721.47241898148</v>
      </c>
      <c r="C577" s="1" t="n">
        <v>45890</v>
      </c>
      <c r="D577" t="inlineStr">
        <is>
          <t>JÄMTLANDS LÄN</t>
        </is>
      </c>
      <c r="E577" t="inlineStr">
        <is>
          <t>ÖSTERSUND</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3053-2025</t>
        </is>
      </c>
      <c r="B578" s="1" t="n">
        <v>45678.61495370371</v>
      </c>
      <c r="C578" s="1" t="n">
        <v>45890</v>
      </c>
      <c r="D578" t="inlineStr">
        <is>
          <t>JÄMTLANDS LÄN</t>
        </is>
      </c>
      <c r="E578" t="inlineStr">
        <is>
          <t>ÖSTERSUND</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27118-2023</t>
        </is>
      </c>
      <c r="B579" s="1" t="n">
        <v>45096</v>
      </c>
      <c r="C579" s="1" t="n">
        <v>45890</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8972-2022</t>
        </is>
      </c>
      <c r="B580" s="1" t="n">
        <v>44614.91989583334</v>
      </c>
      <c r="C580" s="1" t="n">
        <v>45890</v>
      </c>
      <c r="D580" t="inlineStr">
        <is>
          <t>JÄMTLANDS LÄN</t>
        </is>
      </c>
      <c r="E580" t="inlineStr">
        <is>
          <t>ÖSTERSUND</t>
        </is>
      </c>
      <c r="G580" t="n">
        <v>0.8</v>
      </c>
      <c r="H580" t="n">
        <v>0</v>
      </c>
      <c r="I580" t="n">
        <v>0</v>
      </c>
      <c r="J580" t="n">
        <v>0</v>
      </c>
      <c r="K580" t="n">
        <v>0</v>
      </c>
      <c r="L580" t="n">
        <v>0</v>
      </c>
      <c r="M580" t="n">
        <v>0</v>
      </c>
      <c r="N580" t="n">
        <v>0</v>
      </c>
      <c r="O580" t="n">
        <v>0</v>
      </c>
      <c r="P580" t="n">
        <v>0</v>
      </c>
      <c r="Q580" t="n">
        <v>0</v>
      </c>
      <c r="R580" s="2" t="inlineStr"/>
    </row>
    <row r="581" ht="15" customHeight="1">
      <c r="A581" t="inlineStr">
        <is>
          <t>A 10305-2023</t>
        </is>
      </c>
      <c r="B581" s="1" t="n">
        <v>44986</v>
      </c>
      <c r="C581" s="1" t="n">
        <v>45890</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51865-2024</t>
        </is>
      </c>
      <c r="B582" s="1" t="n">
        <v>45607.55260416667</v>
      </c>
      <c r="C582" s="1" t="n">
        <v>45890</v>
      </c>
      <c r="D582" t="inlineStr">
        <is>
          <t>JÄMTLANDS LÄN</t>
        </is>
      </c>
      <c r="E582" t="inlineStr">
        <is>
          <t>ÖSTERSUND</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7233-2024</t>
        </is>
      </c>
      <c r="B583" s="1" t="n">
        <v>45344</v>
      </c>
      <c r="C583" s="1" t="n">
        <v>45890</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7030-2025</t>
        </is>
      </c>
      <c r="B584" s="1" t="n">
        <v>45701.633125</v>
      </c>
      <c r="C584" s="1" t="n">
        <v>45890</v>
      </c>
      <c r="D584" t="inlineStr">
        <is>
          <t>JÄMTLANDS LÄN</t>
        </is>
      </c>
      <c r="E584" t="inlineStr">
        <is>
          <t>ÖSTERSUND</t>
        </is>
      </c>
      <c r="G584" t="n">
        <v>4.2</v>
      </c>
      <c r="H584" t="n">
        <v>0</v>
      </c>
      <c r="I584" t="n">
        <v>0</v>
      </c>
      <c r="J584" t="n">
        <v>0</v>
      </c>
      <c r="K584" t="n">
        <v>0</v>
      </c>
      <c r="L584" t="n">
        <v>0</v>
      </c>
      <c r="M584" t="n">
        <v>0</v>
      </c>
      <c r="N584" t="n">
        <v>0</v>
      </c>
      <c r="O584" t="n">
        <v>0</v>
      </c>
      <c r="P584" t="n">
        <v>0</v>
      </c>
      <c r="Q584" t="n">
        <v>0</v>
      </c>
      <c r="R584" s="2" t="inlineStr"/>
    </row>
    <row r="585" ht="15" customHeight="1">
      <c r="A585" t="inlineStr">
        <is>
          <t>A 55235-2023</t>
        </is>
      </c>
      <c r="B585" s="1" t="n">
        <v>45231</v>
      </c>
      <c r="C585" s="1" t="n">
        <v>45890</v>
      </c>
      <c r="D585" t="inlineStr">
        <is>
          <t>JÄMTLANDS LÄN</t>
        </is>
      </c>
      <c r="E585" t="inlineStr">
        <is>
          <t>ÖSTERSUND</t>
        </is>
      </c>
      <c r="F585" t="inlineStr">
        <is>
          <t>SCA</t>
        </is>
      </c>
      <c r="G585" t="n">
        <v>0.4</v>
      </c>
      <c r="H585" t="n">
        <v>0</v>
      </c>
      <c r="I585" t="n">
        <v>0</v>
      </c>
      <c r="J585" t="n">
        <v>0</v>
      </c>
      <c r="K585" t="n">
        <v>0</v>
      </c>
      <c r="L585" t="n">
        <v>0</v>
      </c>
      <c r="M585" t="n">
        <v>0</v>
      </c>
      <c r="N585" t="n">
        <v>0</v>
      </c>
      <c r="O585" t="n">
        <v>0</v>
      </c>
      <c r="P585" t="n">
        <v>0</v>
      </c>
      <c r="Q585" t="n">
        <v>0</v>
      </c>
      <c r="R585" s="2" t="inlineStr"/>
    </row>
    <row r="586" ht="15" customHeight="1">
      <c r="A586" t="inlineStr">
        <is>
          <t>A 7953-2025</t>
        </is>
      </c>
      <c r="B586" s="1" t="n">
        <v>45707.42392361111</v>
      </c>
      <c r="C586" s="1" t="n">
        <v>45890</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4350-2024</t>
        </is>
      </c>
      <c r="B587" s="1" t="n">
        <v>45324.93804398148</v>
      </c>
      <c r="C587" s="1" t="n">
        <v>45890</v>
      </c>
      <c r="D587" t="inlineStr">
        <is>
          <t>JÄMTLANDS LÄN</t>
        </is>
      </c>
      <c r="E587" t="inlineStr">
        <is>
          <t>ÖSTERSUND</t>
        </is>
      </c>
      <c r="F587" t="inlineStr">
        <is>
          <t>SCA</t>
        </is>
      </c>
      <c r="G587" t="n">
        <v>6</v>
      </c>
      <c r="H587" t="n">
        <v>0</v>
      </c>
      <c r="I587" t="n">
        <v>0</v>
      </c>
      <c r="J587" t="n">
        <v>0</v>
      </c>
      <c r="K587" t="n">
        <v>0</v>
      </c>
      <c r="L587" t="n">
        <v>0</v>
      </c>
      <c r="M587" t="n">
        <v>0</v>
      </c>
      <c r="N587" t="n">
        <v>0</v>
      </c>
      <c r="O587" t="n">
        <v>0</v>
      </c>
      <c r="P587" t="n">
        <v>0</v>
      </c>
      <c r="Q587" t="n">
        <v>0</v>
      </c>
      <c r="R587" s="2" t="inlineStr"/>
    </row>
    <row r="588" ht="15" customHeight="1">
      <c r="A588" t="inlineStr">
        <is>
          <t>A 61791-2023</t>
        </is>
      </c>
      <c r="B588" s="1" t="n">
        <v>45265.95795138889</v>
      </c>
      <c r="C588" s="1" t="n">
        <v>45890</v>
      </c>
      <c r="D588" t="inlineStr">
        <is>
          <t>JÄMTLANDS LÄN</t>
        </is>
      </c>
      <c r="E588" t="inlineStr">
        <is>
          <t>ÖSTERSUND</t>
        </is>
      </c>
      <c r="F588" t="inlineStr">
        <is>
          <t>SCA</t>
        </is>
      </c>
      <c r="G588" t="n">
        <v>11.4</v>
      </c>
      <c r="H588" t="n">
        <v>0</v>
      </c>
      <c r="I588" t="n">
        <v>0</v>
      </c>
      <c r="J588" t="n">
        <v>0</v>
      </c>
      <c r="K588" t="n">
        <v>0</v>
      </c>
      <c r="L588" t="n">
        <v>0</v>
      </c>
      <c r="M588" t="n">
        <v>0</v>
      </c>
      <c r="N588" t="n">
        <v>0</v>
      </c>
      <c r="O588" t="n">
        <v>0</v>
      </c>
      <c r="P588" t="n">
        <v>0</v>
      </c>
      <c r="Q588" t="n">
        <v>0</v>
      </c>
      <c r="R588" s="2" t="inlineStr"/>
    </row>
    <row r="589" ht="15" customHeight="1">
      <c r="A589" t="inlineStr">
        <is>
          <t>A 47022-2024</t>
        </is>
      </c>
      <c r="B589" s="1" t="n">
        <v>45586.40660879629</v>
      </c>
      <c r="C589" s="1" t="n">
        <v>45890</v>
      </c>
      <c r="D589" t="inlineStr">
        <is>
          <t>JÄMTLANDS LÄN</t>
        </is>
      </c>
      <c r="E589" t="inlineStr">
        <is>
          <t>ÖSTERSUND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12-2023</t>
        </is>
      </c>
      <c r="B590" s="1" t="n">
        <v>44927.88021990741</v>
      </c>
      <c r="C590" s="1" t="n">
        <v>45890</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2756-2024</t>
        </is>
      </c>
      <c r="B591" s="1" t="n">
        <v>45314.58785879629</v>
      </c>
      <c r="C591" s="1" t="n">
        <v>45890</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64309-2023</t>
        </is>
      </c>
      <c r="B592" s="1" t="n">
        <v>45280</v>
      </c>
      <c r="C592" s="1" t="n">
        <v>45890</v>
      </c>
      <c r="D592" t="inlineStr">
        <is>
          <t>JÄMTLANDS LÄN</t>
        </is>
      </c>
      <c r="E592" t="inlineStr">
        <is>
          <t>ÖSTERSUND</t>
        </is>
      </c>
      <c r="G592" t="n">
        <v>0.8</v>
      </c>
      <c r="H592" t="n">
        <v>0</v>
      </c>
      <c r="I592" t="n">
        <v>0</v>
      </c>
      <c r="J592" t="n">
        <v>0</v>
      </c>
      <c r="K592" t="n">
        <v>0</v>
      </c>
      <c r="L592" t="n">
        <v>0</v>
      </c>
      <c r="M592" t="n">
        <v>0</v>
      </c>
      <c r="N592" t="n">
        <v>0</v>
      </c>
      <c r="O592" t="n">
        <v>0</v>
      </c>
      <c r="P592" t="n">
        <v>0</v>
      </c>
      <c r="Q592" t="n">
        <v>0</v>
      </c>
      <c r="R592" s="2" t="inlineStr"/>
    </row>
    <row r="593" ht="15" customHeight="1">
      <c r="A593" t="inlineStr">
        <is>
          <t>A 64314-2023</t>
        </is>
      </c>
      <c r="B593" s="1" t="n">
        <v>45280</v>
      </c>
      <c r="C593" s="1" t="n">
        <v>45890</v>
      </c>
      <c r="D593" t="inlineStr">
        <is>
          <t>JÄMTLANDS LÄN</t>
        </is>
      </c>
      <c r="E593" t="inlineStr">
        <is>
          <t>ÖSTERSUND</t>
        </is>
      </c>
      <c r="G593" t="n">
        <v>0.6</v>
      </c>
      <c r="H593" t="n">
        <v>0</v>
      </c>
      <c r="I593" t="n">
        <v>0</v>
      </c>
      <c r="J593" t="n">
        <v>0</v>
      </c>
      <c r="K593" t="n">
        <v>0</v>
      </c>
      <c r="L593" t="n">
        <v>0</v>
      </c>
      <c r="M593" t="n">
        <v>0</v>
      </c>
      <c r="N593" t="n">
        <v>0</v>
      </c>
      <c r="O593" t="n">
        <v>0</v>
      </c>
      <c r="P593" t="n">
        <v>0</v>
      </c>
      <c r="Q593" t="n">
        <v>0</v>
      </c>
      <c r="R593" s="2" t="inlineStr"/>
    </row>
    <row r="594" ht="15" customHeight="1">
      <c r="A594" t="inlineStr">
        <is>
          <t>A 27124-2023</t>
        </is>
      </c>
      <c r="B594" s="1" t="n">
        <v>45096</v>
      </c>
      <c r="C594" s="1" t="n">
        <v>45890</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16336-2025</t>
        </is>
      </c>
      <c r="B595" s="1" t="n">
        <v>45751.36519675926</v>
      </c>
      <c r="C595" s="1" t="n">
        <v>45890</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70256-2021</t>
        </is>
      </c>
      <c r="B596" s="1" t="n">
        <v>44533</v>
      </c>
      <c r="C596" s="1" t="n">
        <v>45890</v>
      </c>
      <c r="D596" t="inlineStr">
        <is>
          <t>JÄMTLANDS LÄN</t>
        </is>
      </c>
      <c r="E596" t="inlineStr">
        <is>
          <t>ÖSTERSUND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17066-2024</t>
        </is>
      </c>
      <c r="B597" s="1" t="n">
        <v>45412.46636574074</v>
      </c>
      <c r="C597" s="1" t="n">
        <v>45890</v>
      </c>
      <c r="D597" t="inlineStr">
        <is>
          <t>JÄMTLANDS LÄN</t>
        </is>
      </c>
      <c r="E597" t="inlineStr">
        <is>
          <t>ÖSTERSUND</t>
        </is>
      </c>
      <c r="G597" t="n">
        <v>4.2</v>
      </c>
      <c r="H597" t="n">
        <v>0</v>
      </c>
      <c r="I597" t="n">
        <v>0</v>
      </c>
      <c r="J597" t="n">
        <v>0</v>
      </c>
      <c r="K597" t="n">
        <v>0</v>
      </c>
      <c r="L597" t="n">
        <v>0</v>
      </c>
      <c r="M597" t="n">
        <v>0</v>
      </c>
      <c r="N597" t="n">
        <v>0</v>
      </c>
      <c r="O597" t="n">
        <v>0</v>
      </c>
      <c r="P597" t="n">
        <v>0</v>
      </c>
      <c r="Q597" t="n">
        <v>0</v>
      </c>
      <c r="R597" s="2" t="inlineStr"/>
    </row>
    <row r="598" ht="15" customHeight="1">
      <c r="A598" t="inlineStr">
        <is>
          <t>A 61449-2024</t>
        </is>
      </c>
      <c r="B598" s="1" t="n">
        <v>45646.48988425926</v>
      </c>
      <c r="C598" s="1" t="n">
        <v>45890</v>
      </c>
      <c r="D598" t="inlineStr">
        <is>
          <t>JÄMTLANDS LÄN</t>
        </is>
      </c>
      <c r="E598" t="inlineStr">
        <is>
          <t>ÖSTERSUND</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61450-2024</t>
        </is>
      </c>
      <c r="B599" s="1" t="n">
        <v>45646.49012731481</v>
      </c>
      <c r="C599" s="1" t="n">
        <v>45890</v>
      </c>
      <c r="D599" t="inlineStr">
        <is>
          <t>JÄMTLANDS LÄN</t>
        </is>
      </c>
      <c r="E599" t="inlineStr">
        <is>
          <t>ÖSTERSUND</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61451-2024</t>
        </is>
      </c>
      <c r="B600" s="1" t="n">
        <v>45646.49017361111</v>
      </c>
      <c r="C600" s="1" t="n">
        <v>45890</v>
      </c>
      <c r="D600" t="inlineStr">
        <is>
          <t>JÄMTLANDS LÄN</t>
        </is>
      </c>
      <c r="E600" t="inlineStr">
        <is>
          <t>ÖSTERSUND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8261-2025</t>
        </is>
      </c>
      <c r="B601" s="1" t="n">
        <v>45708.50256944444</v>
      </c>
      <c r="C601" s="1" t="n">
        <v>45890</v>
      </c>
      <c r="D601" t="inlineStr">
        <is>
          <t>JÄMTLANDS LÄN</t>
        </is>
      </c>
      <c r="E601" t="inlineStr">
        <is>
          <t>ÖSTERSUND</t>
        </is>
      </c>
      <c r="G601" t="n">
        <v>5.4</v>
      </c>
      <c r="H601" t="n">
        <v>0</v>
      </c>
      <c r="I601" t="n">
        <v>0</v>
      </c>
      <c r="J601" t="n">
        <v>0</v>
      </c>
      <c r="K601" t="n">
        <v>0</v>
      </c>
      <c r="L601" t="n">
        <v>0</v>
      </c>
      <c r="M601" t="n">
        <v>0</v>
      </c>
      <c r="N601" t="n">
        <v>0</v>
      </c>
      <c r="O601" t="n">
        <v>0</v>
      </c>
      <c r="P601" t="n">
        <v>0</v>
      </c>
      <c r="Q601" t="n">
        <v>0</v>
      </c>
      <c r="R601" s="2" t="inlineStr"/>
    </row>
    <row r="602" ht="15" customHeight="1">
      <c r="A602" t="inlineStr">
        <is>
          <t>A 39975-2024</t>
        </is>
      </c>
      <c r="B602" s="1" t="n">
        <v>45553.60474537037</v>
      </c>
      <c r="C602" s="1" t="n">
        <v>45890</v>
      </c>
      <c r="D602" t="inlineStr">
        <is>
          <t>JÄMTLANDS LÄN</t>
        </is>
      </c>
      <c r="E602" t="inlineStr">
        <is>
          <t>ÖSTERSUND</t>
        </is>
      </c>
      <c r="G602" t="n">
        <v>3.8</v>
      </c>
      <c r="H602" t="n">
        <v>0</v>
      </c>
      <c r="I602" t="n">
        <v>0</v>
      </c>
      <c r="J602" t="n">
        <v>0</v>
      </c>
      <c r="K602" t="n">
        <v>0</v>
      </c>
      <c r="L602" t="n">
        <v>0</v>
      </c>
      <c r="M602" t="n">
        <v>0</v>
      </c>
      <c r="N602" t="n">
        <v>0</v>
      </c>
      <c r="O602" t="n">
        <v>0</v>
      </c>
      <c r="P602" t="n">
        <v>0</v>
      </c>
      <c r="Q602" t="n">
        <v>0</v>
      </c>
      <c r="R602" s="2" t="inlineStr"/>
    </row>
    <row r="603" ht="15" customHeight="1">
      <c r="A603" t="inlineStr">
        <is>
          <t>A 61506-2023</t>
        </is>
      </c>
      <c r="B603" s="1" t="n">
        <v>45264</v>
      </c>
      <c r="C603" s="1" t="n">
        <v>45890</v>
      </c>
      <c r="D603" t="inlineStr">
        <is>
          <t>JÄMTLANDS LÄN</t>
        </is>
      </c>
      <c r="E603" t="inlineStr">
        <is>
          <t>ÖSTERSUND</t>
        </is>
      </c>
      <c r="G603" t="n">
        <v>3</v>
      </c>
      <c r="H603" t="n">
        <v>0</v>
      </c>
      <c r="I603" t="n">
        <v>0</v>
      </c>
      <c r="J603" t="n">
        <v>0</v>
      </c>
      <c r="K603" t="n">
        <v>0</v>
      </c>
      <c r="L603" t="n">
        <v>0</v>
      </c>
      <c r="M603" t="n">
        <v>0</v>
      </c>
      <c r="N603" t="n">
        <v>0</v>
      </c>
      <c r="O603" t="n">
        <v>0</v>
      </c>
      <c r="P603" t="n">
        <v>0</v>
      </c>
      <c r="Q603" t="n">
        <v>0</v>
      </c>
      <c r="R603" s="2" t="inlineStr"/>
    </row>
    <row r="604">
      <c r="A604" t="inlineStr">
        <is>
          <t>A 16753-2025</t>
        </is>
      </c>
      <c r="B604" s="1" t="n">
        <v>45754.56839120371</v>
      </c>
      <c r="C604" s="1" t="n">
        <v>45890</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2025-08-21T08:30:22Z</dcterms:created>
  <dcterms:modified xmlns:dcterms="http://purl.org/dc/terms/" xmlns:xsi="http://www.w3.org/2001/XMLSchema-instance" xsi:type="dcterms:W3CDTF">2025-08-21T08:30:23Z</dcterms:modified>
</cp:coreProperties>
</file>