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45635</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45635</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45635</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45635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45635</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45635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45635</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45635</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45635</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47367-2022</t>
        </is>
      </c>
      <c r="B15" s="1" t="n">
        <v>44851</v>
      </c>
      <c r="C15" s="1" t="n">
        <v>45635</v>
      </c>
      <c r="D15" t="inlineStr">
        <is>
          <t>JÄMTLANDS LÄN</t>
        </is>
      </c>
      <c r="E15" t="inlineStr">
        <is>
          <t>ÖSTERSUND</t>
        </is>
      </c>
      <c r="G15" t="n">
        <v>10.6</v>
      </c>
      <c r="H15" t="n">
        <v>6</v>
      </c>
      <c r="I15" t="n">
        <v>7</v>
      </c>
      <c r="J15" t="n">
        <v>5</v>
      </c>
      <c r="K15" t="n">
        <v>1</v>
      </c>
      <c r="L15" t="n">
        <v>0</v>
      </c>
      <c r="M15" t="n">
        <v>0</v>
      </c>
      <c r="N15" t="n">
        <v>0</v>
      </c>
      <c r="O15" t="n">
        <v>6</v>
      </c>
      <c r="P15" t="n">
        <v>1</v>
      </c>
      <c r="Q15" t="n">
        <v>13</v>
      </c>
      <c r="R15" s="2" t="inlineStr">
        <is>
          <t>Knärot
Garnlav
Granticka
Lunglav
Talltita
Vitgrynig nållav
Blodticka
Fjällig taggsvamp s.str.
Guckusko
Korallrot
Spindelblomster
Svavelriska
Tvåblad</t>
        </is>
      </c>
      <c r="S15">
        <f>HYPERLINK("https://klasma.github.io/Logging_2380/artfynd/A 47367-2022 artfynd.xlsx", "A 47367-2022")</f>
        <v/>
      </c>
      <c r="T15">
        <f>HYPERLINK("https://klasma.github.io/Logging_2380/kartor/A 47367-2022 karta.png", "A 47367-2022")</f>
        <v/>
      </c>
      <c r="U15">
        <f>HYPERLINK("https://klasma.github.io/Logging_2380/knärot/A 47367-2022 karta knärot.png", "A 47367-2022")</f>
        <v/>
      </c>
      <c r="V15">
        <f>HYPERLINK("https://klasma.github.io/Logging_2380/klagomål/A 47367-2022 FSC-klagomål.docx", "A 47367-2022")</f>
        <v/>
      </c>
      <c r="W15">
        <f>HYPERLINK("https://klasma.github.io/Logging_2380/klagomålsmail/A 47367-2022 FSC-klagomål mail.docx", "A 47367-2022")</f>
        <v/>
      </c>
      <c r="X15">
        <f>HYPERLINK("https://klasma.github.io/Logging_2380/tillsyn/A 47367-2022 tillsynsbegäran.docx", "A 47367-2022")</f>
        <v/>
      </c>
      <c r="Y15">
        <f>HYPERLINK("https://klasma.github.io/Logging_2380/tillsynsmail/A 47367-2022 tillsynsbegäran mail.docx", "A 47367-2022")</f>
        <v/>
      </c>
      <c r="Z15">
        <f>HYPERLINK("https://klasma.github.io/Logging_2380/fåglar/A 47367-2022 prioriterade fågelarter.docx", "A 47367-2022")</f>
        <v/>
      </c>
    </row>
    <row r="16" ht="15" customHeight="1">
      <c r="A16" t="inlineStr">
        <is>
          <t>A 2979-2023</t>
        </is>
      </c>
      <c r="B16" s="1" t="n">
        <v>44945</v>
      </c>
      <c r="C16" s="1" t="n">
        <v>45635</v>
      </c>
      <c r="D16" t="inlineStr">
        <is>
          <t>JÄMTLANDS LÄN</t>
        </is>
      </c>
      <c r="E16" t="inlineStr">
        <is>
          <t>ÖSTERSUND</t>
        </is>
      </c>
      <c r="G16" t="n">
        <v>11.5</v>
      </c>
      <c r="H16" t="n">
        <v>8</v>
      </c>
      <c r="I16" t="n">
        <v>3</v>
      </c>
      <c r="J16" t="n">
        <v>7</v>
      </c>
      <c r="K16" t="n">
        <v>1</v>
      </c>
      <c r="L16" t="n">
        <v>0</v>
      </c>
      <c r="M16" t="n">
        <v>0</v>
      </c>
      <c r="N16" t="n">
        <v>0</v>
      </c>
      <c r="O16" t="n">
        <v>8</v>
      </c>
      <c r="P16" t="n">
        <v>1</v>
      </c>
      <c r="Q16" t="n">
        <v>13</v>
      </c>
      <c r="R16" s="2" t="inlineStr">
        <is>
          <t>Knärot
Garnlav
Granticka
Lunglav
Skogsfru
Spillkråka
Talltita
Tretåig hackspett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32699-2023</t>
        </is>
      </c>
      <c r="B17" s="1" t="n">
        <v>45121</v>
      </c>
      <c r="C17" s="1" t="n">
        <v>45635</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45635</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45635</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45635</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45635</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45635</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45635</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45635</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45635</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45635</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45635</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45635</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45635</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45635</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45635</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45635</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45635</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45635</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45635</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45635</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45635</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45635</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45635</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45635</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45635</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45635</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45635</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45635</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45635</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45635</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45635</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45635</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45635</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45635</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45635</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45635</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45635</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45635</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45635</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45635</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45635</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45635</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54508-2024</t>
        </is>
      </c>
      <c r="B59" s="1" t="n">
        <v>45617</v>
      </c>
      <c r="C59" s="1" t="n">
        <v>45635</v>
      </c>
      <c r="D59" t="inlineStr">
        <is>
          <t>JÄMTLANDS LÄN</t>
        </is>
      </c>
      <c r="E59" t="inlineStr">
        <is>
          <t>ÖSTERSUND</t>
        </is>
      </c>
      <c r="G59" t="n">
        <v>7.6</v>
      </c>
      <c r="H59" t="n">
        <v>2</v>
      </c>
      <c r="I59" t="n">
        <v>0</v>
      </c>
      <c r="J59" t="n">
        <v>4</v>
      </c>
      <c r="K59" t="n">
        <v>1</v>
      </c>
      <c r="L59" t="n">
        <v>0</v>
      </c>
      <c r="M59" t="n">
        <v>0</v>
      </c>
      <c r="N59" t="n">
        <v>0</v>
      </c>
      <c r="O59" t="n">
        <v>5</v>
      </c>
      <c r="P59" t="n">
        <v>1</v>
      </c>
      <c r="Q59" t="n">
        <v>5</v>
      </c>
      <c r="R59" s="2" t="inlineStr">
        <is>
          <t>Knärot
Granticka
Harticka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54731-2024</t>
        </is>
      </c>
      <c r="B60" s="1" t="n">
        <v>45618</v>
      </c>
      <c r="C60" s="1" t="n">
        <v>45635</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45635</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45635</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45635</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45635</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45635</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45635</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45635</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45635</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45635</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45635</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45635</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45635</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45635</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45635</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45635</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45635</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45635</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45635</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45635</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45635</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45635</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45635</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45635</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45635</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45635</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45635</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45635</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45635</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45635</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35996-2019</t>
        </is>
      </c>
      <c r="B90" s="1" t="n">
        <v>43656</v>
      </c>
      <c r="C90" s="1" t="n">
        <v>45635</v>
      </c>
      <c r="D90" t="inlineStr">
        <is>
          <t>JÄMTLANDS LÄN</t>
        </is>
      </c>
      <c r="E90" t="inlineStr">
        <is>
          <t>ÖSTERSUND</t>
        </is>
      </c>
      <c r="F90" t="inlineStr">
        <is>
          <t>SCA</t>
        </is>
      </c>
      <c r="G90" t="n">
        <v>1.4</v>
      </c>
      <c r="H90" t="n">
        <v>1</v>
      </c>
      <c r="I90" t="n">
        <v>0</v>
      </c>
      <c r="J90" t="n">
        <v>1</v>
      </c>
      <c r="K90" t="n">
        <v>0</v>
      </c>
      <c r="L90" t="n">
        <v>0</v>
      </c>
      <c r="M90" t="n">
        <v>0</v>
      </c>
      <c r="N90" t="n">
        <v>0</v>
      </c>
      <c r="O90" t="n">
        <v>1</v>
      </c>
      <c r="P90" t="n">
        <v>0</v>
      </c>
      <c r="Q90" t="n">
        <v>2</v>
      </c>
      <c r="R90" s="2" t="inlineStr">
        <is>
          <t>Kolflarnlav
Blåsippa</t>
        </is>
      </c>
      <c r="S90">
        <f>HYPERLINK("https://klasma.github.io/Logging_2380/artfynd/A 35996-2019 artfynd.xlsx", "A 35996-2019")</f>
        <v/>
      </c>
      <c r="T90">
        <f>HYPERLINK("https://klasma.github.io/Logging_2380/kartor/A 35996-2019 karta.png", "A 35996-2019")</f>
        <v/>
      </c>
      <c r="V90">
        <f>HYPERLINK("https://klasma.github.io/Logging_2380/klagomål/A 35996-2019 FSC-klagomål.docx", "A 35996-2019")</f>
        <v/>
      </c>
      <c r="W90">
        <f>HYPERLINK("https://klasma.github.io/Logging_2380/klagomålsmail/A 35996-2019 FSC-klagomål mail.docx", "A 35996-2019")</f>
        <v/>
      </c>
      <c r="X90">
        <f>HYPERLINK("https://klasma.github.io/Logging_2380/tillsyn/A 35996-2019 tillsynsbegäran.docx", "A 35996-2019")</f>
        <v/>
      </c>
      <c r="Y90">
        <f>HYPERLINK("https://klasma.github.io/Logging_2380/tillsynsmail/A 35996-2019 tillsynsbegäran mail.docx", "A 35996-2019")</f>
        <v/>
      </c>
    </row>
    <row r="91" ht="15" customHeight="1">
      <c r="A91" t="inlineStr">
        <is>
          <t>A 29583-2021</t>
        </is>
      </c>
      <c r="B91" s="1" t="n">
        <v>44361</v>
      </c>
      <c r="C91" s="1" t="n">
        <v>45635</v>
      </c>
      <c r="D91" t="inlineStr">
        <is>
          <t>JÄMTLANDS LÄN</t>
        </is>
      </c>
      <c r="E91" t="inlineStr">
        <is>
          <t>ÖSTERSUND</t>
        </is>
      </c>
      <c r="G91" t="n">
        <v>11.7</v>
      </c>
      <c r="H91" t="n">
        <v>1</v>
      </c>
      <c r="I91" t="n">
        <v>1</v>
      </c>
      <c r="J91" t="n">
        <v>0</v>
      </c>
      <c r="K91" t="n">
        <v>0</v>
      </c>
      <c r="L91" t="n">
        <v>0</v>
      </c>
      <c r="M91" t="n">
        <v>0</v>
      </c>
      <c r="N91" t="n">
        <v>0</v>
      </c>
      <c r="O91" t="n">
        <v>0</v>
      </c>
      <c r="P91" t="n">
        <v>0</v>
      </c>
      <c r="Q91" t="n">
        <v>2</v>
      </c>
      <c r="R91" s="2" t="inlineStr">
        <is>
          <t>Kransrams
Blåsippa</t>
        </is>
      </c>
      <c r="S91">
        <f>HYPERLINK("https://klasma.github.io/Logging_2380/artfynd/A 29583-2021 artfynd.xlsx", "A 29583-2021")</f>
        <v/>
      </c>
      <c r="T91">
        <f>HYPERLINK("https://klasma.github.io/Logging_2380/kartor/A 29583-2021 karta.png", "A 29583-2021")</f>
        <v/>
      </c>
      <c r="V91">
        <f>HYPERLINK("https://klasma.github.io/Logging_2380/klagomål/A 29583-2021 FSC-klagomål.docx", "A 29583-2021")</f>
        <v/>
      </c>
      <c r="W91">
        <f>HYPERLINK("https://klasma.github.io/Logging_2380/klagomålsmail/A 29583-2021 FSC-klagomål mail.docx", "A 29583-2021")</f>
        <v/>
      </c>
      <c r="X91">
        <f>HYPERLINK("https://klasma.github.io/Logging_2380/tillsyn/A 29583-2021 tillsynsbegäran.docx", "A 29583-2021")</f>
        <v/>
      </c>
      <c r="Y91">
        <f>HYPERLINK("https://klasma.github.io/Logging_2380/tillsynsmail/A 29583-2021 tillsynsbegäran mail.docx", "A 29583-2021")</f>
        <v/>
      </c>
    </row>
    <row r="92" ht="15" customHeight="1">
      <c r="A92" t="inlineStr">
        <is>
          <t>A 30105-2021</t>
        </is>
      </c>
      <c r="B92" s="1" t="n">
        <v>44363</v>
      </c>
      <c r="C92" s="1" t="n">
        <v>45635</v>
      </c>
      <c r="D92" t="inlineStr">
        <is>
          <t>JÄMTLANDS LÄN</t>
        </is>
      </c>
      <c r="E92" t="inlineStr">
        <is>
          <t>ÖSTERSUND</t>
        </is>
      </c>
      <c r="G92" t="n">
        <v>2</v>
      </c>
      <c r="H92" t="n">
        <v>0</v>
      </c>
      <c r="I92" t="n">
        <v>2</v>
      </c>
      <c r="J92" t="n">
        <v>0</v>
      </c>
      <c r="K92" t="n">
        <v>0</v>
      </c>
      <c r="L92" t="n">
        <v>0</v>
      </c>
      <c r="M92" t="n">
        <v>0</v>
      </c>
      <c r="N92" t="n">
        <v>0</v>
      </c>
      <c r="O92" t="n">
        <v>0</v>
      </c>
      <c r="P92" t="n">
        <v>0</v>
      </c>
      <c r="Q92" t="n">
        <v>2</v>
      </c>
      <c r="R92" s="2" t="inlineStr">
        <is>
          <t>Grönpyrola
Ögonpyrola</t>
        </is>
      </c>
      <c r="S92">
        <f>HYPERLINK("https://klasma.github.io/Logging_2380/artfynd/A 30105-2021 artfynd.xlsx", "A 30105-2021")</f>
        <v/>
      </c>
      <c r="T92">
        <f>HYPERLINK("https://klasma.github.io/Logging_2380/kartor/A 30105-2021 karta.png", "A 30105-2021")</f>
        <v/>
      </c>
      <c r="V92">
        <f>HYPERLINK("https://klasma.github.io/Logging_2380/klagomål/A 30105-2021 FSC-klagomål.docx", "A 30105-2021")</f>
        <v/>
      </c>
      <c r="W92">
        <f>HYPERLINK("https://klasma.github.io/Logging_2380/klagomålsmail/A 30105-2021 FSC-klagomål mail.docx", "A 30105-2021")</f>
        <v/>
      </c>
      <c r="X92">
        <f>HYPERLINK("https://klasma.github.io/Logging_2380/tillsyn/A 30105-2021 tillsynsbegäran.docx", "A 30105-2021")</f>
        <v/>
      </c>
      <c r="Y92">
        <f>HYPERLINK("https://klasma.github.io/Logging_2380/tillsynsmail/A 30105-2021 tillsynsbegäran mail.docx", "A 30105-2021")</f>
        <v/>
      </c>
    </row>
    <row r="93" ht="15" customHeight="1">
      <c r="A93" t="inlineStr">
        <is>
          <t>A 46105-2021</t>
        </is>
      </c>
      <c r="B93" s="1" t="n">
        <v>44441</v>
      </c>
      <c r="C93" s="1" t="n">
        <v>45635</v>
      </c>
      <c r="D93" t="inlineStr">
        <is>
          <t>JÄMTLANDS LÄN</t>
        </is>
      </c>
      <c r="E93" t="inlineStr">
        <is>
          <t>ÖSTERSUND</t>
        </is>
      </c>
      <c r="G93" t="n">
        <v>4.4</v>
      </c>
      <c r="H93" t="n">
        <v>2</v>
      </c>
      <c r="I93" t="n">
        <v>0</v>
      </c>
      <c r="J93" t="n">
        <v>1</v>
      </c>
      <c r="K93" t="n">
        <v>1</v>
      </c>
      <c r="L93" t="n">
        <v>0</v>
      </c>
      <c r="M93" t="n">
        <v>0</v>
      </c>
      <c r="N93" t="n">
        <v>0</v>
      </c>
      <c r="O93" t="n">
        <v>2</v>
      </c>
      <c r="P93" t="n">
        <v>1</v>
      </c>
      <c r="Q93" t="n">
        <v>2</v>
      </c>
      <c r="R93" s="2" t="inlineStr">
        <is>
          <t>Tallbit
Tretåig hackspett</t>
        </is>
      </c>
      <c r="S93">
        <f>HYPERLINK("https://klasma.github.io/Logging_2380/artfynd/A 46105-2021 artfynd.xlsx", "A 46105-2021")</f>
        <v/>
      </c>
      <c r="T93">
        <f>HYPERLINK("https://klasma.github.io/Logging_2380/kartor/A 46105-2021 karta.png", "A 46105-2021")</f>
        <v/>
      </c>
      <c r="V93">
        <f>HYPERLINK("https://klasma.github.io/Logging_2380/klagomål/A 46105-2021 FSC-klagomål.docx", "A 46105-2021")</f>
        <v/>
      </c>
      <c r="W93">
        <f>HYPERLINK("https://klasma.github.io/Logging_2380/klagomålsmail/A 46105-2021 FSC-klagomål mail.docx", "A 46105-2021")</f>
        <v/>
      </c>
      <c r="X93">
        <f>HYPERLINK("https://klasma.github.io/Logging_2380/tillsyn/A 46105-2021 tillsynsbegäran.docx", "A 46105-2021")</f>
        <v/>
      </c>
      <c r="Y93">
        <f>HYPERLINK("https://klasma.github.io/Logging_2380/tillsynsmail/A 46105-2021 tillsynsbegäran mail.docx", "A 46105-2021")</f>
        <v/>
      </c>
      <c r="Z93">
        <f>HYPERLINK("https://klasma.github.io/Logging_2380/fåglar/A 46105-2021 prioriterade fågelarter.docx", "A 46105-2021")</f>
        <v/>
      </c>
    </row>
    <row r="94" ht="15" customHeight="1">
      <c r="A94" t="inlineStr">
        <is>
          <t>A 63601-2021</t>
        </is>
      </c>
      <c r="B94" s="1" t="n">
        <v>44508</v>
      </c>
      <c r="C94" s="1" t="n">
        <v>45635</v>
      </c>
      <c r="D94" t="inlineStr">
        <is>
          <t>JÄMTLANDS LÄN</t>
        </is>
      </c>
      <c r="E94" t="inlineStr">
        <is>
          <t>ÖSTERSUND</t>
        </is>
      </c>
      <c r="F94" t="inlineStr">
        <is>
          <t>SCA</t>
        </is>
      </c>
      <c r="G94" t="n">
        <v>2.9</v>
      </c>
      <c r="H94" t="n">
        <v>0</v>
      </c>
      <c r="I94" t="n">
        <v>1</v>
      </c>
      <c r="J94" t="n">
        <v>0</v>
      </c>
      <c r="K94" t="n">
        <v>1</v>
      </c>
      <c r="L94" t="n">
        <v>0</v>
      </c>
      <c r="M94" t="n">
        <v>0</v>
      </c>
      <c r="N94" t="n">
        <v>0</v>
      </c>
      <c r="O94" t="n">
        <v>1</v>
      </c>
      <c r="P94" t="n">
        <v>1</v>
      </c>
      <c r="Q94" t="n">
        <v>2</v>
      </c>
      <c r="R94" s="2" t="inlineStr">
        <is>
          <t>Läderdoftande fingersvamp
Blodvaxskivling</t>
        </is>
      </c>
      <c r="S94">
        <f>HYPERLINK("https://klasma.github.io/Logging_2380/artfynd/A 63601-2021 artfynd.xlsx", "A 63601-2021")</f>
        <v/>
      </c>
      <c r="T94">
        <f>HYPERLINK("https://klasma.github.io/Logging_2380/kartor/A 63601-2021 karta.png", "A 63601-2021")</f>
        <v/>
      </c>
      <c r="V94">
        <f>HYPERLINK("https://klasma.github.io/Logging_2380/klagomål/A 63601-2021 FSC-klagomål.docx", "A 63601-2021")</f>
        <v/>
      </c>
      <c r="W94">
        <f>HYPERLINK("https://klasma.github.io/Logging_2380/klagomålsmail/A 63601-2021 FSC-klagomål mail.docx", "A 63601-2021")</f>
        <v/>
      </c>
      <c r="X94">
        <f>HYPERLINK("https://klasma.github.io/Logging_2380/tillsyn/A 63601-2021 tillsynsbegäran.docx", "A 63601-2021")</f>
        <v/>
      </c>
      <c r="Y94">
        <f>HYPERLINK("https://klasma.github.io/Logging_2380/tillsynsmail/A 63601-2021 tillsynsbegäran mail.docx", "A 63601-2021")</f>
        <v/>
      </c>
    </row>
    <row r="95" ht="15" customHeight="1">
      <c r="A95" t="inlineStr">
        <is>
          <t>A 43935-2022</t>
        </is>
      </c>
      <c r="B95" s="1" t="n">
        <v>44838</v>
      </c>
      <c r="C95" s="1" t="n">
        <v>45635</v>
      </c>
      <c r="D95" t="inlineStr">
        <is>
          <t>JÄMTLANDS LÄN</t>
        </is>
      </c>
      <c r="E95" t="inlineStr">
        <is>
          <t>ÖSTERSUND</t>
        </is>
      </c>
      <c r="F95" t="inlineStr">
        <is>
          <t>Övriga Aktiebolag</t>
        </is>
      </c>
      <c r="G95" t="n">
        <v>19.2</v>
      </c>
      <c r="H95" t="n">
        <v>0</v>
      </c>
      <c r="I95" t="n">
        <v>0</v>
      </c>
      <c r="J95" t="n">
        <v>1</v>
      </c>
      <c r="K95" t="n">
        <v>1</v>
      </c>
      <c r="L95" t="n">
        <v>0</v>
      </c>
      <c r="M95" t="n">
        <v>0</v>
      </c>
      <c r="N95" t="n">
        <v>0</v>
      </c>
      <c r="O95" t="n">
        <v>2</v>
      </c>
      <c r="P95" t="n">
        <v>1</v>
      </c>
      <c r="Q95" t="n">
        <v>2</v>
      </c>
      <c r="R95" s="2" t="inlineStr">
        <is>
          <t>Sprickporing
Blå taggsvamp</t>
        </is>
      </c>
      <c r="S95">
        <f>HYPERLINK("https://klasma.github.io/Logging_2380/artfynd/A 43935-2022 artfynd.xlsx", "A 43935-2022")</f>
        <v/>
      </c>
      <c r="T95">
        <f>HYPERLINK("https://klasma.github.io/Logging_2380/kartor/A 43935-2022 karta.png", "A 43935-2022")</f>
        <v/>
      </c>
      <c r="V95">
        <f>HYPERLINK("https://klasma.github.io/Logging_2380/klagomål/A 43935-2022 FSC-klagomål.docx", "A 43935-2022")</f>
        <v/>
      </c>
      <c r="W95">
        <f>HYPERLINK("https://klasma.github.io/Logging_2380/klagomålsmail/A 43935-2022 FSC-klagomål mail.docx", "A 43935-2022")</f>
        <v/>
      </c>
      <c r="X95">
        <f>HYPERLINK("https://klasma.github.io/Logging_2380/tillsyn/A 43935-2022 tillsynsbegäran.docx", "A 43935-2022")</f>
        <v/>
      </c>
      <c r="Y95">
        <f>HYPERLINK("https://klasma.github.io/Logging_2380/tillsynsmail/A 43935-2022 tillsynsbegäran mail.docx", "A 43935-2022")</f>
        <v/>
      </c>
    </row>
    <row r="96" ht="15" customHeight="1">
      <c r="A96" t="inlineStr">
        <is>
          <t>A 47385-2022</t>
        </is>
      </c>
      <c r="B96" s="1" t="n">
        <v>44853</v>
      </c>
      <c r="C96" s="1" t="n">
        <v>45635</v>
      </c>
      <c r="D96" t="inlineStr">
        <is>
          <t>JÄMTLANDS LÄN</t>
        </is>
      </c>
      <c r="E96" t="inlineStr">
        <is>
          <t>ÖSTERSUND</t>
        </is>
      </c>
      <c r="G96" t="n">
        <v>0.9</v>
      </c>
      <c r="H96" t="n">
        <v>0</v>
      </c>
      <c r="I96" t="n">
        <v>0</v>
      </c>
      <c r="J96" t="n">
        <v>2</v>
      </c>
      <c r="K96" t="n">
        <v>0</v>
      </c>
      <c r="L96" t="n">
        <v>0</v>
      </c>
      <c r="M96" t="n">
        <v>0</v>
      </c>
      <c r="N96" t="n">
        <v>0</v>
      </c>
      <c r="O96" t="n">
        <v>2</v>
      </c>
      <c r="P96" t="n">
        <v>0</v>
      </c>
      <c r="Q96" t="n">
        <v>2</v>
      </c>
      <c r="R96" s="2" t="inlineStr">
        <is>
          <t>Garnlav
Ullticka</t>
        </is>
      </c>
      <c r="S96">
        <f>HYPERLINK("https://klasma.github.io/Logging_2380/artfynd/A 47385-2022 artfynd.xlsx", "A 47385-2022")</f>
        <v/>
      </c>
      <c r="T96">
        <f>HYPERLINK("https://klasma.github.io/Logging_2380/kartor/A 47385-2022 karta.png", "A 47385-2022")</f>
        <v/>
      </c>
      <c r="U96">
        <f>HYPERLINK("https://klasma.github.io/Logging_2380/knärot/A 47385-2022 karta knärot.png", "A 47385-2022")</f>
        <v/>
      </c>
      <c r="V96">
        <f>HYPERLINK("https://klasma.github.io/Logging_2380/klagomål/A 47385-2022 FSC-klagomål.docx", "A 47385-2022")</f>
        <v/>
      </c>
      <c r="W96">
        <f>HYPERLINK("https://klasma.github.io/Logging_2380/klagomålsmail/A 47385-2022 FSC-klagomål mail.docx", "A 47385-2022")</f>
        <v/>
      </c>
      <c r="X96">
        <f>HYPERLINK("https://klasma.github.io/Logging_2380/tillsyn/A 47385-2022 tillsynsbegäran.docx", "A 47385-2022")</f>
        <v/>
      </c>
      <c r="Y96">
        <f>HYPERLINK("https://klasma.github.io/Logging_2380/tillsynsmail/A 47385-2022 tillsynsbegäran mail.docx", "A 47385-2022")</f>
        <v/>
      </c>
    </row>
    <row r="97" ht="15" customHeight="1">
      <c r="A97" t="inlineStr">
        <is>
          <t>A 60534-2022</t>
        </is>
      </c>
      <c r="B97" s="1" t="n">
        <v>44904</v>
      </c>
      <c r="C97" s="1" t="n">
        <v>45635</v>
      </c>
      <c r="D97" t="inlineStr">
        <is>
          <t>JÄMTLANDS LÄN</t>
        </is>
      </c>
      <c r="E97" t="inlineStr">
        <is>
          <t>ÖSTERSUND</t>
        </is>
      </c>
      <c r="G97" t="n">
        <v>9.9</v>
      </c>
      <c r="H97" t="n">
        <v>0</v>
      </c>
      <c r="I97" t="n">
        <v>0</v>
      </c>
      <c r="J97" t="n">
        <v>2</v>
      </c>
      <c r="K97" t="n">
        <v>0</v>
      </c>
      <c r="L97" t="n">
        <v>0</v>
      </c>
      <c r="M97" t="n">
        <v>0</v>
      </c>
      <c r="N97" t="n">
        <v>0</v>
      </c>
      <c r="O97" t="n">
        <v>2</v>
      </c>
      <c r="P97" t="n">
        <v>0</v>
      </c>
      <c r="Q97" t="n">
        <v>2</v>
      </c>
      <c r="R97" s="2" t="inlineStr">
        <is>
          <t>Rosenticka
Ullticka</t>
        </is>
      </c>
      <c r="S97">
        <f>HYPERLINK("https://klasma.github.io/Logging_2380/artfynd/A 60534-2022 artfynd.xlsx", "A 60534-2022")</f>
        <v/>
      </c>
      <c r="T97">
        <f>HYPERLINK("https://klasma.github.io/Logging_2380/kartor/A 60534-2022 karta.png", "A 60534-2022")</f>
        <v/>
      </c>
      <c r="V97">
        <f>HYPERLINK("https://klasma.github.io/Logging_2380/klagomål/A 60534-2022 FSC-klagomål.docx", "A 60534-2022")</f>
        <v/>
      </c>
      <c r="W97">
        <f>HYPERLINK("https://klasma.github.io/Logging_2380/klagomålsmail/A 60534-2022 FSC-klagomål mail.docx", "A 60534-2022")</f>
        <v/>
      </c>
      <c r="X97">
        <f>HYPERLINK("https://klasma.github.io/Logging_2380/tillsyn/A 60534-2022 tillsynsbegäran.docx", "A 60534-2022")</f>
        <v/>
      </c>
      <c r="Y97">
        <f>HYPERLINK("https://klasma.github.io/Logging_2380/tillsynsmail/A 60534-2022 tillsynsbegäran mail.docx", "A 60534-2022")</f>
        <v/>
      </c>
    </row>
    <row r="98" ht="15" customHeight="1">
      <c r="A98" t="inlineStr">
        <is>
          <t>A 59793-2022</t>
        </is>
      </c>
      <c r="B98" s="1" t="n">
        <v>44908</v>
      </c>
      <c r="C98" s="1" t="n">
        <v>45635</v>
      </c>
      <c r="D98" t="inlineStr">
        <is>
          <t>JÄMTLANDS LÄN</t>
        </is>
      </c>
      <c r="E98" t="inlineStr">
        <is>
          <t>ÖSTERSUND</t>
        </is>
      </c>
      <c r="G98" t="n">
        <v>23.3</v>
      </c>
      <c r="H98" t="n">
        <v>1</v>
      </c>
      <c r="I98" t="n">
        <v>1</v>
      </c>
      <c r="J98" t="n">
        <v>1</v>
      </c>
      <c r="K98" t="n">
        <v>0</v>
      </c>
      <c r="L98" t="n">
        <v>0</v>
      </c>
      <c r="M98" t="n">
        <v>0</v>
      </c>
      <c r="N98" t="n">
        <v>0</v>
      </c>
      <c r="O98" t="n">
        <v>1</v>
      </c>
      <c r="P98" t="n">
        <v>0</v>
      </c>
      <c r="Q98" t="n">
        <v>2</v>
      </c>
      <c r="R98" s="2" t="inlineStr">
        <is>
          <t>Majviva
Spindelblomster</t>
        </is>
      </c>
      <c r="S98">
        <f>HYPERLINK("https://klasma.github.io/Logging_2380/artfynd/A 59793-2022 artfynd.xlsx", "A 59793-2022")</f>
        <v/>
      </c>
      <c r="T98">
        <f>HYPERLINK("https://klasma.github.io/Logging_2380/kartor/A 59793-2022 karta.png", "A 59793-2022")</f>
        <v/>
      </c>
      <c r="V98">
        <f>HYPERLINK("https://klasma.github.io/Logging_2380/klagomål/A 59793-2022 FSC-klagomål.docx", "A 59793-2022")</f>
        <v/>
      </c>
      <c r="W98">
        <f>HYPERLINK("https://klasma.github.io/Logging_2380/klagomålsmail/A 59793-2022 FSC-klagomål mail.docx", "A 59793-2022")</f>
        <v/>
      </c>
      <c r="X98">
        <f>HYPERLINK("https://klasma.github.io/Logging_2380/tillsyn/A 59793-2022 tillsynsbegäran.docx", "A 59793-2022")</f>
        <v/>
      </c>
      <c r="Y98">
        <f>HYPERLINK("https://klasma.github.io/Logging_2380/tillsynsmail/A 59793-2022 tillsynsbegäran mail.docx", "A 59793-2022")</f>
        <v/>
      </c>
    </row>
    <row r="99" ht="15" customHeight="1">
      <c r="A99" t="inlineStr">
        <is>
          <t>A 60614-2022</t>
        </is>
      </c>
      <c r="B99" s="1" t="n">
        <v>44911</v>
      </c>
      <c r="C99" s="1" t="n">
        <v>45635</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4916-2023</t>
        </is>
      </c>
      <c r="B100" s="1" t="n">
        <v>44956</v>
      </c>
      <c r="C100" s="1" t="n">
        <v>45635</v>
      </c>
      <c r="D100" t="inlineStr">
        <is>
          <t>JÄMTLANDS LÄN</t>
        </is>
      </c>
      <c r="E100" t="inlineStr">
        <is>
          <t>ÖSTERSUND</t>
        </is>
      </c>
      <c r="G100" t="n">
        <v>1.2</v>
      </c>
      <c r="H100" t="n">
        <v>0</v>
      </c>
      <c r="I100" t="n">
        <v>1</v>
      </c>
      <c r="J100" t="n">
        <v>0</v>
      </c>
      <c r="K100" t="n">
        <v>0</v>
      </c>
      <c r="L100" t="n">
        <v>1</v>
      </c>
      <c r="M100" t="n">
        <v>0</v>
      </c>
      <c r="N100" t="n">
        <v>0</v>
      </c>
      <c r="O100" t="n">
        <v>1</v>
      </c>
      <c r="P100" t="n">
        <v>1</v>
      </c>
      <c r="Q100" t="n">
        <v>2</v>
      </c>
      <c r="R100" s="2" t="inlineStr">
        <is>
          <t>Trolldruvemätare
Svart trolldruva</t>
        </is>
      </c>
      <c r="S100">
        <f>HYPERLINK("https://klasma.github.io/Logging_2380/artfynd/A 4916-2023 artfynd.xlsx", "A 4916-2023")</f>
        <v/>
      </c>
      <c r="T100">
        <f>HYPERLINK("https://klasma.github.io/Logging_2380/kartor/A 4916-2023 karta.png", "A 4916-2023")</f>
        <v/>
      </c>
      <c r="V100">
        <f>HYPERLINK("https://klasma.github.io/Logging_2380/klagomål/A 4916-2023 FSC-klagomål.docx", "A 4916-2023")</f>
        <v/>
      </c>
      <c r="W100">
        <f>HYPERLINK("https://klasma.github.io/Logging_2380/klagomålsmail/A 4916-2023 FSC-klagomål mail.docx", "A 4916-2023")</f>
        <v/>
      </c>
      <c r="X100">
        <f>HYPERLINK("https://klasma.github.io/Logging_2380/tillsyn/A 4916-2023 tillsynsbegäran.docx", "A 4916-2023")</f>
        <v/>
      </c>
      <c r="Y100">
        <f>HYPERLINK("https://klasma.github.io/Logging_2380/tillsynsmail/A 4916-2023 tillsynsbegäran mail.docx", "A 4916-2023")</f>
        <v/>
      </c>
    </row>
    <row r="101" ht="15" customHeight="1">
      <c r="A101" t="inlineStr">
        <is>
          <t>A 19147-2023</t>
        </is>
      </c>
      <c r="B101" s="1" t="n">
        <v>45044</v>
      </c>
      <c r="C101" s="1" t="n">
        <v>45635</v>
      </c>
      <c r="D101" t="inlineStr">
        <is>
          <t>JÄMTLANDS LÄN</t>
        </is>
      </c>
      <c r="E101" t="inlineStr">
        <is>
          <t>ÖSTERSUND</t>
        </is>
      </c>
      <c r="G101" t="n">
        <v>5</v>
      </c>
      <c r="H101" t="n">
        <v>1</v>
      </c>
      <c r="I101" t="n">
        <v>0</v>
      </c>
      <c r="J101" t="n">
        <v>1</v>
      </c>
      <c r="K101" t="n">
        <v>0</v>
      </c>
      <c r="L101" t="n">
        <v>1</v>
      </c>
      <c r="M101" t="n">
        <v>0</v>
      </c>
      <c r="N101" t="n">
        <v>0</v>
      </c>
      <c r="O101" t="n">
        <v>2</v>
      </c>
      <c r="P101" t="n">
        <v>1</v>
      </c>
      <c r="Q101" t="n">
        <v>2</v>
      </c>
      <c r="R101" s="2" t="inlineStr">
        <is>
          <t>Bredgentiana
Scharlakansvaxskivling</t>
        </is>
      </c>
      <c r="S101">
        <f>HYPERLINK("https://klasma.github.io/Logging_2380/artfynd/A 19147-2023 artfynd.xlsx", "A 19147-2023")</f>
        <v/>
      </c>
      <c r="T101">
        <f>HYPERLINK("https://klasma.github.io/Logging_2380/kartor/A 19147-2023 karta.png", "A 19147-2023")</f>
        <v/>
      </c>
      <c r="V101">
        <f>HYPERLINK("https://klasma.github.io/Logging_2380/klagomål/A 19147-2023 FSC-klagomål.docx", "A 19147-2023")</f>
        <v/>
      </c>
      <c r="W101">
        <f>HYPERLINK("https://klasma.github.io/Logging_2380/klagomålsmail/A 19147-2023 FSC-klagomål mail.docx", "A 19147-2023")</f>
        <v/>
      </c>
      <c r="X101">
        <f>HYPERLINK("https://klasma.github.io/Logging_2380/tillsyn/A 19147-2023 tillsynsbegäran.docx", "A 19147-2023")</f>
        <v/>
      </c>
      <c r="Y101">
        <f>HYPERLINK("https://klasma.github.io/Logging_2380/tillsynsmail/A 19147-2023 tillsynsbegäran mail.docx", "A 19147-2023")</f>
        <v/>
      </c>
    </row>
    <row r="102" ht="15" customHeight="1">
      <c r="A102" t="inlineStr">
        <is>
          <t>A 38334-2023</t>
        </is>
      </c>
      <c r="B102" s="1" t="n">
        <v>45161</v>
      </c>
      <c r="C102" s="1" t="n">
        <v>45635</v>
      </c>
      <c r="D102" t="inlineStr">
        <is>
          <t>JÄMTLANDS LÄN</t>
        </is>
      </c>
      <c r="E102" t="inlineStr">
        <is>
          <t>ÖSTERSUND</t>
        </is>
      </c>
      <c r="G102" t="n">
        <v>10.5</v>
      </c>
      <c r="H102" t="n">
        <v>0</v>
      </c>
      <c r="I102" t="n">
        <v>0</v>
      </c>
      <c r="J102" t="n">
        <v>0</v>
      </c>
      <c r="K102" t="n">
        <v>2</v>
      </c>
      <c r="L102" t="n">
        <v>0</v>
      </c>
      <c r="M102" t="n">
        <v>0</v>
      </c>
      <c r="N102" t="n">
        <v>0</v>
      </c>
      <c r="O102" t="n">
        <v>2</v>
      </c>
      <c r="P102" t="n">
        <v>2</v>
      </c>
      <c r="Q102" t="n">
        <v>2</v>
      </c>
      <c r="R102" s="2" t="inlineStr">
        <is>
          <t>Rynkskinn
Violett fingersvamp</t>
        </is>
      </c>
      <c r="S102">
        <f>HYPERLINK("https://klasma.github.io/Logging_2380/artfynd/A 38334-2023 artfynd.xlsx", "A 38334-2023")</f>
        <v/>
      </c>
      <c r="T102">
        <f>HYPERLINK("https://klasma.github.io/Logging_2380/kartor/A 38334-2023 karta.png", "A 38334-2023")</f>
        <v/>
      </c>
      <c r="V102">
        <f>HYPERLINK("https://klasma.github.io/Logging_2380/klagomål/A 38334-2023 FSC-klagomål.docx", "A 38334-2023")</f>
        <v/>
      </c>
      <c r="W102">
        <f>HYPERLINK("https://klasma.github.io/Logging_2380/klagomålsmail/A 38334-2023 FSC-klagomål mail.docx", "A 38334-2023")</f>
        <v/>
      </c>
      <c r="X102">
        <f>HYPERLINK("https://klasma.github.io/Logging_2380/tillsyn/A 38334-2023 tillsynsbegäran.docx", "A 38334-2023")</f>
        <v/>
      </c>
      <c r="Y102">
        <f>HYPERLINK("https://klasma.github.io/Logging_2380/tillsynsmail/A 38334-2023 tillsynsbegäran mail.docx", "A 38334-2023")</f>
        <v/>
      </c>
    </row>
    <row r="103" ht="15" customHeight="1">
      <c r="A103" t="inlineStr">
        <is>
          <t>A 52129-2023</t>
        </is>
      </c>
      <c r="B103" s="1" t="n">
        <v>45223</v>
      </c>
      <c r="C103" s="1" t="n">
        <v>45635</v>
      </c>
      <c r="D103" t="inlineStr">
        <is>
          <t>JÄMTLANDS LÄN</t>
        </is>
      </c>
      <c r="E103" t="inlineStr">
        <is>
          <t>ÖSTERSUND</t>
        </is>
      </c>
      <c r="F103" t="inlineStr">
        <is>
          <t>SCA</t>
        </is>
      </c>
      <c r="G103" t="n">
        <v>2</v>
      </c>
      <c r="H103" t="n">
        <v>0</v>
      </c>
      <c r="I103" t="n">
        <v>0</v>
      </c>
      <c r="J103" t="n">
        <v>2</v>
      </c>
      <c r="K103" t="n">
        <v>0</v>
      </c>
      <c r="L103" t="n">
        <v>0</v>
      </c>
      <c r="M103" t="n">
        <v>0</v>
      </c>
      <c r="N103" t="n">
        <v>0</v>
      </c>
      <c r="O103" t="n">
        <v>2</v>
      </c>
      <c r="P103" t="n">
        <v>0</v>
      </c>
      <c r="Q103" t="n">
        <v>2</v>
      </c>
      <c r="R103" s="2" t="inlineStr">
        <is>
          <t>Dvärgbägarlav
Kolflarnlav</t>
        </is>
      </c>
      <c r="S103">
        <f>HYPERLINK("https://klasma.github.io/Logging_2380/artfynd/A 52129-2023 artfynd.xlsx", "A 52129-2023")</f>
        <v/>
      </c>
      <c r="T103">
        <f>HYPERLINK("https://klasma.github.io/Logging_2380/kartor/A 52129-2023 karta.png", "A 52129-2023")</f>
        <v/>
      </c>
      <c r="V103">
        <f>HYPERLINK("https://klasma.github.io/Logging_2380/klagomål/A 52129-2023 FSC-klagomål.docx", "A 52129-2023")</f>
        <v/>
      </c>
      <c r="W103">
        <f>HYPERLINK("https://klasma.github.io/Logging_2380/klagomålsmail/A 52129-2023 FSC-klagomål mail.docx", "A 52129-2023")</f>
        <v/>
      </c>
      <c r="X103">
        <f>HYPERLINK("https://klasma.github.io/Logging_2380/tillsyn/A 52129-2023 tillsynsbegäran.docx", "A 52129-2023")</f>
        <v/>
      </c>
      <c r="Y103">
        <f>HYPERLINK("https://klasma.github.io/Logging_2380/tillsynsmail/A 52129-2023 tillsynsbegäran mail.docx", "A 52129-2023")</f>
        <v/>
      </c>
    </row>
    <row r="104" ht="15" customHeight="1">
      <c r="A104" t="inlineStr">
        <is>
          <t>A 56006-2023</t>
        </is>
      </c>
      <c r="B104" s="1" t="n">
        <v>45233</v>
      </c>
      <c r="C104" s="1" t="n">
        <v>45635</v>
      </c>
      <c r="D104" t="inlineStr">
        <is>
          <t>JÄMTLANDS LÄN</t>
        </is>
      </c>
      <c r="E104" t="inlineStr">
        <is>
          <t>ÖSTERSUND</t>
        </is>
      </c>
      <c r="G104" t="n">
        <v>2.3</v>
      </c>
      <c r="H104" t="n">
        <v>0</v>
      </c>
      <c r="I104" t="n">
        <v>2</v>
      </c>
      <c r="J104" t="n">
        <v>0</v>
      </c>
      <c r="K104" t="n">
        <v>0</v>
      </c>
      <c r="L104" t="n">
        <v>0</v>
      </c>
      <c r="M104" t="n">
        <v>0</v>
      </c>
      <c r="N104" t="n">
        <v>0</v>
      </c>
      <c r="O104" t="n">
        <v>0</v>
      </c>
      <c r="P104" t="n">
        <v>0</v>
      </c>
      <c r="Q104" t="n">
        <v>2</v>
      </c>
      <c r="R104" s="2" t="inlineStr">
        <is>
          <t>Korallblylav
Skinnlav</t>
        </is>
      </c>
      <c r="S104">
        <f>HYPERLINK("https://klasma.github.io/Logging_2380/artfynd/A 56006-2023 artfynd.xlsx", "A 56006-2023")</f>
        <v/>
      </c>
      <c r="T104">
        <f>HYPERLINK("https://klasma.github.io/Logging_2380/kartor/A 56006-2023 karta.png", "A 56006-2023")</f>
        <v/>
      </c>
      <c r="V104">
        <f>HYPERLINK("https://klasma.github.io/Logging_2380/klagomål/A 56006-2023 FSC-klagomål.docx", "A 56006-2023")</f>
        <v/>
      </c>
      <c r="W104">
        <f>HYPERLINK("https://klasma.github.io/Logging_2380/klagomålsmail/A 56006-2023 FSC-klagomål mail.docx", "A 56006-2023")</f>
        <v/>
      </c>
      <c r="X104">
        <f>HYPERLINK("https://klasma.github.io/Logging_2380/tillsyn/A 56006-2023 tillsynsbegäran.docx", "A 56006-2023")</f>
        <v/>
      </c>
      <c r="Y104">
        <f>HYPERLINK("https://klasma.github.io/Logging_2380/tillsynsmail/A 56006-2023 tillsynsbegäran mail.docx", "A 56006-2023")</f>
        <v/>
      </c>
    </row>
    <row r="105" ht="15" customHeight="1">
      <c r="A105" t="inlineStr">
        <is>
          <t>A 55648-2023</t>
        </is>
      </c>
      <c r="B105" s="1" t="n">
        <v>45238</v>
      </c>
      <c r="C105" s="1" t="n">
        <v>45635</v>
      </c>
      <c r="D105" t="inlineStr">
        <is>
          <t>JÄMTLANDS LÄN</t>
        </is>
      </c>
      <c r="E105" t="inlineStr">
        <is>
          <t>ÖSTERSUND</t>
        </is>
      </c>
      <c r="G105" t="n">
        <v>10.9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HYPERLINK("https://klasma.github.io/Logging_2380/artfynd/A 55648-2023 artfynd.xlsx", "A 55648-2023")</f>
        <v/>
      </c>
      <c r="T105">
        <f>HYPERLINK("https://klasma.github.io/Logging_2380/kartor/A 55648-2023 karta.png", "A 55648-2023")</f>
        <v/>
      </c>
      <c r="V105">
        <f>HYPERLINK("https://klasma.github.io/Logging_2380/klagomål/A 55648-2023 FSC-klagomål.docx", "A 55648-2023")</f>
        <v/>
      </c>
      <c r="W105">
        <f>HYPERLINK("https://klasma.github.io/Logging_2380/klagomålsmail/A 55648-2023 FSC-klagomål mail.docx", "A 55648-2023")</f>
        <v/>
      </c>
      <c r="X105">
        <f>HYPERLINK("https://klasma.github.io/Logging_2380/tillsyn/A 55648-2023 tillsynsbegäran.docx", "A 55648-2023")</f>
        <v/>
      </c>
      <c r="Y105">
        <f>HYPERLINK("https://klasma.github.io/Logging_2380/tillsynsmail/A 55648-2023 tillsynsbegäran mail.docx", "A 55648-2023")</f>
        <v/>
      </c>
      <c r="Z105">
        <f>HYPERLINK("https://klasma.github.io/Logging_2380/fåglar/A 55648-2023 prioriterade fågelarter.docx", "A 55648-2023")</f>
        <v/>
      </c>
    </row>
    <row r="106" ht="15" customHeight="1">
      <c r="A106" t="inlineStr">
        <is>
          <t>A 57491-2023</t>
        </is>
      </c>
      <c r="B106" s="1" t="n">
        <v>45246</v>
      </c>
      <c r="C106" s="1" t="n">
        <v>45635</v>
      </c>
      <c r="D106" t="inlineStr">
        <is>
          <t>JÄMTLANDS LÄN</t>
        </is>
      </c>
      <c r="E106" t="inlineStr">
        <is>
          <t>ÖSTERSUND</t>
        </is>
      </c>
      <c r="G106" t="n">
        <v>9.699999999999999</v>
      </c>
      <c r="H106" t="n">
        <v>1</v>
      </c>
      <c r="I106" t="n">
        <v>0</v>
      </c>
      <c r="J106" t="n">
        <v>1</v>
      </c>
      <c r="K106" t="n">
        <v>1</v>
      </c>
      <c r="L106" t="n">
        <v>0</v>
      </c>
      <c r="M106" t="n">
        <v>0</v>
      </c>
      <c r="N106" t="n">
        <v>0</v>
      </c>
      <c r="O106" t="n">
        <v>2</v>
      </c>
      <c r="P106" t="n">
        <v>1</v>
      </c>
      <c r="Q106" t="n">
        <v>2</v>
      </c>
      <c r="R106" s="2" t="inlineStr">
        <is>
          <t>Doftticka
Lunglav</t>
        </is>
      </c>
      <c r="S106">
        <f>HYPERLINK("https://klasma.github.io/Logging_2380/artfynd/A 57491-2023 artfynd.xlsx", "A 57491-2023")</f>
        <v/>
      </c>
      <c r="T106">
        <f>HYPERLINK("https://klasma.github.io/Logging_2380/kartor/A 57491-2023 karta.png", "A 57491-2023")</f>
        <v/>
      </c>
      <c r="V106">
        <f>HYPERLINK("https://klasma.github.io/Logging_2380/klagomål/A 57491-2023 FSC-klagomål.docx", "A 57491-2023")</f>
        <v/>
      </c>
      <c r="W106">
        <f>HYPERLINK("https://klasma.github.io/Logging_2380/klagomålsmail/A 57491-2023 FSC-klagomål mail.docx", "A 57491-2023")</f>
        <v/>
      </c>
      <c r="X106">
        <f>HYPERLINK("https://klasma.github.io/Logging_2380/tillsyn/A 57491-2023 tillsynsbegäran.docx", "A 57491-2023")</f>
        <v/>
      </c>
      <c r="Y106">
        <f>HYPERLINK("https://klasma.github.io/Logging_2380/tillsynsmail/A 57491-2023 tillsynsbegäran mail.docx", "A 57491-2023")</f>
        <v/>
      </c>
    </row>
    <row r="107" ht="15" customHeight="1">
      <c r="A107" t="inlineStr">
        <is>
          <t>A 63930-2023</t>
        </is>
      </c>
      <c r="B107" s="1" t="n">
        <v>45278</v>
      </c>
      <c r="C107" s="1" t="n">
        <v>45635</v>
      </c>
      <c r="D107" t="inlineStr">
        <is>
          <t>JÄMTLANDS LÄN</t>
        </is>
      </c>
      <c r="E107" t="inlineStr">
        <is>
          <t>ÖSTERSUND</t>
        </is>
      </c>
      <c r="G107" t="n">
        <v>2.1</v>
      </c>
      <c r="H107" t="n">
        <v>0</v>
      </c>
      <c r="I107" t="n">
        <v>2</v>
      </c>
      <c r="J107" t="n">
        <v>0</v>
      </c>
      <c r="K107" t="n">
        <v>0</v>
      </c>
      <c r="L107" t="n">
        <v>0</v>
      </c>
      <c r="M107" t="n">
        <v>0</v>
      </c>
      <c r="N107" t="n">
        <v>0</v>
      </c>
      <c r="O107" t="n">
        <v>0</v>
      </c>
      <c r="P107" t="n">
        <v>0</v>
      </c>
      <c r="Q107" t="n">
        <v>2</v>
      </c>
      <c r="R107" s="2" t="inlineStr">
        <is>
          <t>Strimspindling
Svavelriska</t>
        </is>
      </c>
      <c r="S107">
        <f>HYPERLINK("https://klasma.github.io/Logging_2380/artfynd/A 63930-2023 artfynd.xlsx", "A 63930-2023")</f>
        <v/>
      </c>
      <c r="T107">
        <f>HYPERLINK("https://klasma.github.io/Logging_2380/kartor/A 63930-2023 karta.png", "A 63930-2023")</f>
        <v/>
      </c>
      <c r="V107">
        <f>HYPERLINK("https://klasma.github.io/Logging_2380/klagomål/A 63930-2023 FSC-klagomål.docx", "A 63930-2023")</f>
        <v/>
      </c>
      <c r="W107">
        <f>HYPERLINK("https://klasma.github.io/Logging_2380/klagomålsmail/A 63930-2023 FSC-klagomål mail.docx", "A 63930-2023")</f>
        <v/>
      </c>
      <c r="X107">
        <f>HYPERLINK("https://klasma.github.io/Logging_2380/tillsyn/A 63930-2023 tillsynsbegäran.docx", "A 63930-2023")</f>
        <v/>
      </c>
      <c r="Y107">
        <f>HYPERLINK("https://klasma.github.io/Logging_2380/tillsynsmail/A 63930-2023 tillsynsbegäran mail.docx", "A 63930-2023")</f>
        <v/>
      </c>
    </row>
    <row r="108" ht="15" customHeight="1">
      <c r="A108" t="inlineStr">
        <is>
          <t>A 64270-2023</t>
        </is>
      </c>
      <c r="B108" s="1" t="n">
        <v>45279</v>
      </c>
      <c r="C108" s="1" t="n">
        <v>45635</v>
      </c>
      <c r="D108" t="inlineStr">
        <is>
          <t>JÄMTLANDS LÄN</t>
        </is>
      </c>
      <c r="E108" t="inlineStr">
        <is>
          <t>ÖSTERSUND</t>
        </is>
      </c>
      <c r="F108" t="inlineStr">
        <is>
          <t>SCA</t>
        </is>
      </c>
      <c r="G108" t="n">
        <v>0.7</v>
      </c>
      <c r="H108" t="n">
        <v>2</v>
      </c>
      <c r="I108" t="n">
        <v>0</v>
      </c>
      <c r="J108" t="n">
        <v>2</v>
      </c>
      <c r="K108" t="n">
        <v>0</v>
      </c>
      <c r="L108" t="n">
        <v>0</v>
      </c>
      <c r="M108" t="n">
        <v>0</v>
      </c>
      <c r="N108" t="n">
        <v>0</v>
      </c>
      <c r="O108" t="n">
        <v>2</v>
      </c>
      <c r="P108" t="n">
        <v>0</v>
      </c>
      <c r="Q108" t="n">
        <v>2</v>
      </c>
      <c r="R108" s="2" t="inlineStr">
        <is>
          <t>Spillkråka
Talltita</t>
        </is>
      </c>
      <c r="S108">
        <f>HYPERLINK("https://klasma.github.io/Logging_2380/artfynd/A 64270-2023 artfynd.xlsx", "A 64270-2023")</f>
        <v/>
      </c>
      <c r="T108">
        <f>HYPERLINK("https://klasma.github.io/Logging_2380/kartor/A 64270-2023 karta.png", "A 64270-2023")</f>
        <v/>
      </c>
      <c r="V108">
        <f>HYPERLINK("https://klasma.github.io/Logging_2380/klagomål/A 64270-2023 FSC-klagomål.docx", "A 64270-2023")</f>
        <v/>
      </c>
      <c r="W108">
        <f>HYPERLINK("https://klasma.github.io/Logging_2380/klagomålsmail/A 64270-2023 FSC-klagomål mail.docx", "A 64270-2023")</f>
        <v/>
      </c>
      <c r="X108">
        <f>HYPERLINK("https://klasma.github.io/Logging_2380/tillsyn/A 64270-2023 tillsynsbegäran.docx", "A 64270-2023")</f>
        <v/>
      </c>
      <c r="Y108">
        <f>HYPERLINK("https://klasma.github.io/Logging_2380/tillsynsmail/A 64270-2023 tillsynsbegäran mail.docx", "A 64270-2023")</f>
        <v/>
      </c>
      <c r="Z108">
        <f>HYPERLINK("https://klasma.github.io/Logging_2380/fåglar/A 64270-2023 prioriterade fågelarter.docx", "A 64270-2023")</f>
        <v/>
      </c>
    </row>
    <row r="109" ht="15" customHeight="1">
      <c r="A109" t="inlineStr">
        <is>
          <t>A 3846-2024</t>
        </is>
      </c>
      <c r="B109" s="1" t="n">
        <v>45321</v>
      </c>
      <c r="C109" s="1" t="n">
        <v>45635</v>
      </c>
      <c r="D109" t="inlineStr">
        <is>
          <t>JÄMTLANDS LÄN</t>
        </is>
      </c>
      <c r="E109" t="inlineStr">
        <is>
          <t>ÖSTERSUND</t>
        </is>
      </c>
      <c r="G109" t="n">
        <v>2.2</v>
      </c>
      <c r="H109" t="n">
        <v>0</v>
      </c>
      <c r="I109" t="n">
        <v>2</v>
      </c>
      <c r="J109" t="n">
        <v>0</v>
      </c>
      <c r="K109" t="n">
        <v>0</v>
      </c>
      <c r="L109" t="n">
        <v>0</v>
      </c>
      <c r="M109" t="n">
        <v>0</v>
      </c>
      <c r="N109" t="n">
        <v>0</v>
      </c>
      <c r="O109" t="n">
        <v>0</v>
      </c>
      <c r="P109" t="n">
        <v>0</v>
      </c>
      <c r="Q109" t="n">
        <v>2</v>
      </c>
      <c r="R109" s="2" t="inlineStr">
        <is>
          <t>Olivspindling
Svavelriska</t>
        </is>
      </c>
      <c r="S109">
        <f>HYPERLINK("https://klasma.github.io/Logging_2380/artfynd/A 3846-2024 artfynd.xlsx", "A 3846-2024")</f>
        <v/>
      </c>
      <c r="T109">
        <f>HYPERLINK("https://klasma.github.io/Logging_2380/kartor/A 3846-2024 karta.png", "A 3846-2024")</f>
        <v/>
      </c>
      <c r="V109">
        <f>HYPERLINK("https://klasma.github.io/Logging_2380/klagomål/A 3846-2024 FSC-klagomål.docx", "A 3846-2024")</f>
        <v/>
      </c>
      <c r="W109">
        <f>HYPERLINK("https://klasma.github.io/Logging_2380/klagomålsmail/A 3846-2024 FSC-klagomål mail.docx", "A 3846-2024")</f>
        <v/>
      </c>
      <c r="X109">
        <f>HYPERLINK("https://klasma.github.io/Logging_2380/tillsyn/A 3846-2024 tillsynsbegäran.docx", "A 3846-2024")</f>
        <v/>
      </c>
      <c r="Y109">
        <f>HYPERLINK("https://klasma.github.io/Logging_2380/tillsynsmail/A 3846-2024 tillsynsbegäran mail.docx", "A 3846-2024")</f>
        <v/>
      </c>
    </row>
    <row r="110" ht="15" customHeight="1">
      <c r="A110" t="inlineStr">
        <is>
          <t>A 7698-2024</t>
        </is>
      </c>
      <c r="B110" s="1" t="n">
        <v>45349</v>
      </c>
      <c r="C110" s="1" t="n">
        <v>45635</v>
      </c>
      <c r="D110" t="inlineStr">
        <is>
          <t>JÄMTLANDS LÄN</t>
        </is>
      </c>
      <c r="E110" t="inlineStr">
        <is>
          <t>ÖSTERSUND</t>
        </is>
      </c>
      <c r="F110" t="inlineStr">
        <is>
          <t>Övriga Aktiebolag</t>
        </is>
      </c>
      <c r="G110" t="n">
        <v>4.5</v>
      </c>
      <c r="H110" t="n">
        <v>2</v>
      </c>
      <c r="I110" t="n">
        <v>1</v>
      </c>
      <c r="J110" t="n">
        <v>0</v>
      </c>
      <c r="K110" t="n">
        <v>0</v>
      </c>
      <c r="L110" t="n">
        <v>0</v>
      </c>
      <c r="M110" t="n">
        <v>0</v>
      </c>
      <c r="N110" t="n">
        <v>0</v>
      </c>
      <c r="O110" t="n">
        <v>0</v>
      </c>
      <c r="P110" t="n">
        <v>0</v>
      </c>
      <c r="Q110" t="n">
        <v>2</v>
      </c>
      <c r="R110" s="2" t="inlineStr">
        <is>
          <t>Tvåblad
Brudsporre</t>
        </is>
      </c>
      <c r="S110">
        <f>HYPERLINK("https://klasma.github.io/Logging_2380/artfynd/A 7698-2024 artfynd.xlsx", "A 7698-2024")</f>
        <v/>
      </c>
      <c r="T110">
        <f>HYPERLINK("https://klasma.github.io/Logging_2380/kartor/A 7698-2024 karta.png", "A 7698-2024")</f>
        <v/>
      </c>
      <c r="V110">
        <f>HYPERLINK("https://klasma.github.io/Logging_2380/klagomål/A 7698-2024 FSC-klagomål.docx", "A 7698-2024")</f>
        <v/>
      </c>
      <c r="W110">
        <f>HYPERLINK("https://klasma.github.io/Logging_2380/klagomålsmail/A 7698-2024 FSC-klagomål mail.docx", "A 7698-2024")</f>
        <v/>
      </c>
      <c r="X110">
        <f>HYPERLINK("https://klasma.github.io/Logging_2380/tillsyn/A 7698-2024 tillsynsbegäran.docx", "A 7698-2024")</f>
        <v/>
      </c>
      <c r="Y110">
        <f>HYPERLINK("https://klasma.github.io/Logging_2380/tillsynsmail/A 7698-2024 tillsynsbegäran mail.docx", "A 7698-2024")</f>
        <v/>
      </c>
    </row>
    <row r="111" ht="15" customHeight="1">
      <c r="A111" t="inlineStr">
        <is>
          <t>A 18300-2024</t>
        </is>
      </c>
      <c r="B111" s="1" t="n">
        <v>45421</v>
      </c>
      <c r="C111" s="1" t="n">
        <v>45635</v>
      </c>
      <c r="D111" t="inlineStr">
        <is>
          <t>JÄMTLANDS LÄN</t>
        </is>
      </c>
      <c r="E111" t="inlineStr">
        <is>
          <t>ÖSTERSUND</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HYPERLINK("https://klasma.github.io/Logging_2380/artfynd/A 18300-2024 artfynd.xlsx", "A 18300-2024")</f>
        <v/>
      </c>
      <c r="T111">
        <f>HYPERLINK("https://klasma.github.io/Logging_2380/kartor/A 18300-2024 karta.png", "A 18300-2024")</f>
        <v/>
      </c>
      <c r="V111">
        <f>HYPERLINK("https://klasma.github.io/Logging_2380/klagomål/A 18300-2024 FSC-klagomål.docx", "A 18300-2024")</f>
        <v/>
      </c>
      <c r="W111">
        <f>HYPERLINK("https://klasma.github.io/Logging_2380/klagomålsmail/A 18300-2024 FSC-klagomål mail.docx", "A 18300-2024")</f>
        <v/>
      </c>
      <c r="X111">
        <f>HYPERLINK("https://klasma.github.io/Logging_2380/tillsyn/A 18300-2024 tillsynsbegäran.docx", "A 18300-2024")</f>
        <v/>
      </c>
      <c r="Y111">
        <f>HYPERLINK("https://klasma.github.io/Logging_2380/tillsynsmail/A 18300-2024 tillsynsbegäran mail.docx", "A 18300-2024")</f>
        <v/>
      </c>
    </row>
    <row r="112" ht="15" customHeight="1">
      <c r="A112" t="inlineStr">
        <is>
          <t>A 21615-2024</t>
        </is>
      </c>
      <c r="B112" s="1" t="n">
        <v>45442</v>
      </c>
      <c r="C112" s="1" t="n">
        <v>45635</v>
      </c>
      <c r="D112" t="inlineStr">
        <is>
          <t>JÄMTLANDS LÄN</t>
        </is>
      </c>
      <c r="E112" t="inlineStr">
        <is>
          <t>ÖSTERSUND</t>
        </is>
      </c>
      <c r="F112" t="inlineStr">
        <is>
          <t>SCA</t>
        </is>
      </c>
      <c r="G112" t="n">
        <v>4.9</v>
      </c>
      <c r="H112" t="n">
        <v>2</v>
      </c>
      <c r="I112" t="n">
        <v>0</v>
      </c>
      <c r="J112" t="n">
        <v>0</v>
      </c>
      <c r="K112" t="n">
        <v>1</v>
      </c>
      <c r="L112" t="n">
        <v>0</v>
      </c>
      <c r="M112" t="n">
        <v>0</v>
      </c>
      <c r="N112" t="n">
        <v>0</v>
      </c>
      <c r="O112" t="n">
        <v>1</v>
      </c>
      <c r="P112" t="n">
        <v>1</v>
      </c>
      <c r="Q112" t="n">
        <v>2</v>
      </c>
      <c r="R112" s="2" t="inlineStr">
        <is>
          <t>Lappuggla
Blåsippa</t>
        </is>
      </c>
      <c r="S112">
        <f>HYPERLINK("https://klasma.github.io/Logging_2380/artfynd/A 21615-2024 artfynd.xlsx", "A 21615-2024")</f>
        <v/>
      </c>
      <c r="T112">
        <f>HYPERLINK("https://klasma.github.io/Logging_2380/kartor/A 21615-2024 karta.png", "A 21615-2024")</f>
        <v/>
      </c>
      <c r="V112">
        <f>HYPERLINK("https://klasma.github.io/Logging_2380/klagomål/A 21615-2024 FSC-klagomål.docx", "A 21615-2024")</f>
        <v/>
      </c>
      <c r="W112">
        <f>HYPERLINK("https://klasma.github.io/Logging_2380/klagomålsmail/A 21615-2024 FSC-klagomål mail.docx", "A 21615-2024")</f>
        <v/>
      </c>
      <c r="X112">
        <f>HYPERLINK("https://klasma.github.io/Logging_2380/tillsyn/A 21615-2024 tillsynsbegäran.docx", "A 21615-2024")</f>
        <v/>
      </c>
      <c r="Y112">
        <f>HYPERLINK("https://klasma.github.io/Logging_2380/tillsynsmail/A 21615-2024 tillsynsbegäran mail.docx", "A 21615-2024")</f>
        <v/>
      </c>
      <c r="Z112">
        <f>HYPERLINK("https://klasma.github.io/Logging_2380/fåglar/A 21615-2024 prioriterade fågelarter.docx", "A 21615-2024")</f>
        <v/>
      </c>
    </row>
    <row r="113" ht="15" customHeight="1">
      <c r="A113" t="inlineStr">
        <is>
          <t>A 22077-2024</t>
        </is>
      </c>
      <c r="B113" s="1" t="n">
        <v>45443</v>
      </c>
      <c r="C113" s="1" t="n">
        <v>45635</v>
      </c>
      <c r="D113" t="inlineStr">
        <is>
          <t>JÄMTLANDS LÄN</t>
        </is>
      </c>
      <c r="E113" t="inlineStr">
        <is>
          <t>ÖSTERSUND</t>
        </is>
      </c>
      <c r="G113" t="n">
        <v>5</v>
      </c>
      <c r="H113" t="n">
        <v>1</v>
      </c>
      <c r="I113" t="n">
        <v>1</v>
      </c>
      <c r="J113" t="n">
        <v>0</v>
      </c>
      <c r="K113" t="n">
        <v>0</v>
      </c>
      <c r="L113" t="n">
        <v>0</v>
      </c>
      <c r="M113" t="n">
        <v>0</v>
      </c>
      <c r="N113" t="n">
        <v>0</v>
      </c>
      <c r="O113" t="n">
        <v>0</v>
      </c>
      <c r="P113" t="n">
        <v>0</v>
      </c>
      <c r="Q113" t="n">
        <v>2</v>
      </c>
      <c r="R113" s="2" t="inlineStr">
        <is>
          <t>Underviol
Blåsippa</t>
        </is>
      </c>
      <c r="S113">
        <f>HYPERLINK("https://klasma.github.io/Logging_2380/artfynd/A 22077-2024 artfynd.xlsx", "A 22077-2024")</f>
        <v/>
      </c>
      <c r="T113">
        <f>HYPERLINK("https://klasma.github.io/Logging_2380/kartor/A 22077-2024 karta.png", "A 22077-2024")</f>
        <v/>
      </c>
      <c r="V113">
        <f>HYPERLINK("https://klasma.github.io/Logging_2380/klagomål/A 22077-2024 FSC-klagomål.docx", "A 22077-2024")</f>
        <v/>
      </c>
      <c r="W113">
        <f>HYPERLINK("https://klasma.github.io/Logging_2380/klagomålsmail/A 22077-2024 FSC-klagomål mail.docx", "A 22077-2024")</f>
        <v/>
      </c>
      <c r="X113">
        <f>HYPERLINK("https://klasma.github.io/Logging_2380/tillsyn/A 22077-2024 tillsynsbegäran.docx", "A 22077-2024")</f>
        <v/>
      </c>
      <c r="Y113">
        <f>HYPERLINK("https://klasma.github.io/Logging_2380/tillsynsmail/A 22077-2024 tillsynsbegäran mail.docx", "A 22077-2024")</f>
        <v/>
      </c>
    </row>
    <row r="114" ht="15" customHeight="1">
      <c r="A114" t="inlineStr">
        <is>
          <t>A 25389-2024</t>
        </is>
      </c>
      <c r="B114" s="1" t="n">
        <v>45463</v>
      </c>
      <c r="C114" s="1" t="n">
        <v>45635</v>
      </c>
      <c r="D114" t="inlineStr">
        <is>
          <t>JÄMTLANDS LÄN</t>
        </is>
      </c>
      <c r="E114" t="inlineStr">
        <is>
          <t>ÖSTERSUND</t>
        </is>
      </c>
      <c r="G114" t="n">
        <v>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25389-2024 artfynd.xlsx", "A 25389-2024")</f>
        <v/>
      </c>
      <c r="T114">
        <f>HYPERLINK("https://klasma.github.io/Logging_2380/kartor/A 25389-2024 karta.png", "A 25389-2024")</f>
        <v/>
      </c>
      <c r="V114">
        <f>HYPERLINK("https://klasma.github.io/Logging_2380/klagomål/A 25389-2024 FSC-klagomål.docx", "A 25389-2024")</f>
        <v/>
      </c>
      <c r="W114">
        <f>HYPERLINK("https://klasma.github.io/Logging_2380/klagomålsmail/A 25389-2024 FSC-klagomål mail.docx", "A 25389-2024")</f>
        <v/>
      </c>
      <c r="X114">
        <f>HYPERLINK("https://klasma.github.io/Logging_2380/tillsyn/A 25389-2024 tillsynsbegäran.docx", "A 25389-2024")</f>
        <v/>
      </c>
      <c r="Y114">
        <f>HYPERLINK("https://klasma.github.io/Logging_2380/tillsynsmail/A 25389-2024 tillsynsbegäran mail.docx", "A 25389-2024")</f>
        <v/>
      </c>
    </row>
    <row r="115" ht="15" customHeight="1">
      <c r="A115" t="inlineStr">
        <is>
          <t>A 35977-2024</t>
        </is>
      </c>
      <c r="B115" s="1" t="n">
        <v>45533</v>
      </c>
      <c r="C115" s="1" t="n">
        <v>45635</v>
      </c>
      <c r="D115" t="inlineStr">
        <is>
          <t>JÄMTLANDS LÄN</t>
        </is>
      </c>
      <c r="E115" t="inlineStr">
        <is>
          <t>ÖSTERSUND</t>
        </is>
      </c>
      <c r="G115" t="n">
        <v>0.7</v>
      </c>
      <c r="H115" t="n">
        <v>0</v>
      </c>
      <c r="I115" t="n">
        <v>2</v>
      </c>
      <c r="J115" t="n">
        <v>0</v>
      </c>
      <c r="K115" t="n">
        <v>0</v>
      </c>
      <c r="L115" t="n">
        <v>0</v>
      </c>
      <c r="M115" t="n">
        <v>0</v>
      </c>
      <c r="N115" t="n">
        <v>0</v>
      </c>
      <c r="O115" t="n">
        <v>0</v>
      </c>
      <c r="P115" t="n">
        <v>0</v>
      </c>
      <c r="Q115" t="n">
        <v>2</v>
      </c>
      <c r="R115" s="2" t="inlineStr">
        <is>
          <t>Tibast
Trådticka</t>
        </is>
      </c>
      <c r="S115">
        <f>HYPERLINK("https://klasma.github.io/Logging_2380/artfynd/A 35977-2024 artfynd.xlsx", "A 35977-2024")</f>
        <v/>
      </c>
      <c r="T115">
        <f>HYPERLINK("https://klasma.github.io/Logging_2380/kartor/A 35977-2024 karta.png", "A 35977-2024")</f>
        <v/>
      </c>
      <c r="V115">
        <f>HYPERLINK("https://klasma.github.io/Logging_2380/klagomål/A 35977-2024 FSC-klagomål.docx", "A 35977-2024")</f>
        <v/>
      </c>
      <c r="W115">
        <f>HYPERLINK("https://klasma.github.io/Logging_2380/klagomålsmail/A 35977-2024 FSC-klagomål mail.docx", "A 35977-2024")</f>
        <v/>
      </c>
      <c r="X115">
        <f>HYPERLINK("https://klasma.github.io/Logging_2380/tillsyn/A 35977-2024 tillsynsbegäran.docx", "A 35977-2024")</f>
        <v/>
      </c>
      <c r="Y115">
        <f>HYPERLINK("https://klasma.github.io/Logging_2380/tillsynsmail/A 35977-2024 tillsynsbegäran mail.docx", "A 35977-2024")</f>
        <v/>
      </c>
    </row>
    <row r="116" ht="15" customHeight="1">
      <c r="A116" t="inlineStr">
        <is>
          <t>A 39968-2024</t>
        </is>
      </c>
      <c r="B116" s="1" t="n">
        <v>45553</v>
      </c>
      <c r="C116" s="1" t="n">
        <v>45635</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45884-2024</t>
        </is>
      </c>
      <c r="B117" s="1" t="n">
        <v>45580</v>
      </c>
      <c r="C117" s="1" t="n">
        <v>45635</v>
      </c>
      <c r="D117" t="inlineStr">
        <is>
          <t>JÄMTLANDS LÄN</t>
        </is>
      </c>
      <c r="E117" t="inlineStr">
        <is>
          <t>ÖSTERSUND</t>
        </is>
      </c>
      <c r="F117" t="inlineStr">
        <is>
          <t>SCA</t>
        </is>
      </c>
      <c r="G117" t="n">
        <v>6</v>
      </c>
      <c r="H117" t="n">
        <v>0</v>
      </c>
      <c r="I117" t="n">
        <v>1</v>
      </c>
      <c r="J117" t="n">
        <v>1</v>
      </c>
      <c r="K117" t="n">
        <v>0</v>
      </c>
      <c r="L117" t="n">
        <v>0</v>
      </c>
      <c r="M117" t="n">
        <v>0</v>
      </c>
      <c r="N117" t="n">
        <v>0</v>
      </c>
      <c r="O117" t="n">
        <v>1</v>
      </c>
      <c r="P117" t="n">
        <v>0</v>
      </c>
      <c r="Q117" t="n">
        <v>2</v>
      </c>
      <c r="R117" s="2" t="inlineStr">
        <is>
          <t>Dvärgbägarlav
Skinnlav</t>
        </is>
      </c>
      <c r="S117">
        <f>HYPERLINK("https://klasma.github.io/Logging_2380/artfynd/A 45884-2024 artfynd.xlsx", "A 45884-2024")</f>
        <v/>
      </c>
      <c r="T117">
        <f>HYPERLINK("https://klasma.github.io/Logging_2380/kartor/A 45884-2024 karta.png", "A 45884-2024")</f>
        <v/>
      </c>
      <c r="V117">
        <f>HYPERLINK("https://klasma.github.io/Logging_2380/klagomål/A 45884-2024 FSC-klagomål.docx", "A 45884-2024")</f>
        <v/>
      </c>
      <c r="W117">
        <f>HYPERLINK("https://klasma.github.io/Logging_2380/klagomålsmail/A 45884-2024 FSC-klagomål mail.docx", "A 45884-2024")</f>
        <v/>
      </c>
      <c r="X117">
        <f>HYPERLINK("https://klasma.github.io/Logging_2380/tillsyn/A 45884-2024 tillsynsbegäran.docx", "A 45884-2024")</f>
        <v/>
      </c>
      <c r="Y117">
        <f>HYPERLINK("https://klasma.github.io/Logging_2380/tillsynsmail/A 45884-2024 tillsynsbegäran mail.docx", "A 45884-2024")</f>
        <v/>
      </c>
    </row>
    <row r="118" ht="15" customHeight="1">
      <c r="A118" t="inlineStr">
        <is>
          <t>A 48407-2024</t>
        </is>
      </c>
      <c r="B118" s="1" t="n">
        <v>45590</v>
      </c>
      <c r="C118" s="1" t="n">
        <v>45635</v>
      </c>
      <c r="D118" t="inlineStr">
        <is>
          <t>JÄMTLANDS LÄN</t>
        </is>
      </c>
      <c r="E118" t="inlineStr">
        <is>
          <t>ÖSTERSUND</t>
        </is>
      </c>
      <c r="G118" t="n">
        <v>1.8</v>
      </c>
      <c r="H118" t="n">
        <v>0</v>
      </c>
      <c r="I118" t="n">
        <v>1</v>
      </c>
      <c r="J118" t="n">
        <v>0</v>
      </c>
      <c r="K118" t="n">
        <v>1</v>
      </c>
      <c r="L118" t="n">
        <v>0</v>
      </c>
      <c r="M118" t="n">
        <v>0</v>
      </c>
      <c r="N118" t="n">
        <v>0</v>
      </c>
      <c r="O118" t="n">
        <v>1</v>
      </c>
      <c r="P118" t="n">
        <v>1</v>
      </c>
      <c r="Q118" t="n">
        <v>2</v>
      </c>
      <c r="R118" s="2" t="inlineStr">
        <is>
          <t>Frösöstarr
Svart trolldruva</t>
        </is>
      </c>
      <c r="S118">
        <f>HYPERLINK("https://klasma.github.io/Logging_2380/artfynd/A 48407-2024 artfynd.xlsx", "A 48407-2024")</f>
        <v/>
      </c>
      <c r="T118">
        <f>HYPERLINK("https://klasma.github.io/Logging_2380/kartor/A 48407-2024 karta.png", "A 48407-2024")</f>
        <v/>
      </c>
      <c r="V118">
        <f>HYPERLINK("https://klasma.github.io/Logging_2380/klagomål/A 48407-2024 FSC-klagomål.docx", "A 48407-2024")</f>
        <v/>
      </c>
      <c r="W118">
        <f>HYPERLINK("https://klasma.github.io/Logging_2380/klagomålsmail/A 48407-2024 FSC-klagomål mail.docx", "A 48407-2024")</f>
        <v/>
      </c>
      <c r="X118">
        <f>HYPERLINK("https://klasma.github.io/Logging_2380/tillsyn/A 48407-2024 tillsynsbegäran.docx", "A 48407-2024")</f>
        <v/>
      </c>
      <c r="Y118">
        <f>HYPERLINK("https://klasma.github.io/Logging_2380/tillsynsmail/A 48407-2024 tillsynsbegäran mail.docx", "A 48407-2024")</f>
        <v/>
      </c>
    </row>
    <row r="119" ht="15" customHeight="1">
      <c r="A119" t="inlineStr">
        <is>
          <t>A 50125-2024</t>
        </is>
      </c>
      <c r="B119" s="1" t="n">
        <v>45600</v>
      </c>
      <c r="C119" s="1" t="n">
        <v>45635</v>
      </c>
      <c r="D119" t="inlineStr">
        <is>
          <t>JÄMTLANDS LÄN</t>
        </is>
      </c>
      <c r="E119" t="inlineStr">
        <is>
          <t>ÖSTERSUND</t>
        </is>
      </c>
      <c r="F119" t="inlineStr">
        <is>
          <t>SCA</t>
        </is>
      </c>
      <c r="G119" t="n">
        <v>2.4</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50125-2024 artfynd.xlsx", "A 50125-2024")</f>
        <v/>
      </c>
      <c r="T119">
        <f>HYPERLINK("https://klasma.github.io/Logging_2380/kartor/A 50125-2024 karta.png", "A 50125-2024")</f>
        <v/>
      </c>
      <c r="V119">
        <f>HYPERLINK("https://klasma.github.io/Logging_2380/klagomål/A 50125-2024 FSC-klagomål.docx", "A 50125-2024")</f>
        <v/>
      </c>
      <c r="W119">
        <f>HYPERLINK("https://klasma.github.io/Logging_2380/klagomålsmail/A 50125-2024 FSC-klagomål mail.docx", "A 50125-2024")</f>
        <v/>
      </c>
      <c r="X119">
        <f>HYPERLINK("https://klasma.github.io/Logging_2380/tillsyn/A 50125-2024 tillsynsbegäran.docx", "A 50125-2024")</f>
        <v/>
      </c>
      <c r="Y119">
        <f>HYPERLINK("https://klasma.github.io/Logging_2380/tillsynsmail/A 50125-2024 tillsynsbegäran mail.docx", "A 50125-2024")</f>
        <v/>
      </c>
    </row>
    <row r="120" ht="15" customHeight="1">
      <c r="A120" t="inlineStr">
        <is>
          <t>A 50895-2024</t>
        </is>
      </c>
      <c r="B120" s="1" t="n">
        <v>45602</v>
      </c>
      <c r="C120" s="1" t="n">
        <v>45635</v>
      </c>
      <c r="D120" t="inlineStr">
        <is>
          <t>JÄMTLANDS LÄN</t>
        </is>
      </c>
      <c r="E120" t="inlineStr">
        <is>
          <t>ÖSTERSUND</t>
        </is>
      </c>
      <c r="F120" t="inlineStr">
        <is>
          <t>Kommuner</t>
        </is>
      </c>
      <c r="G120" t="n">
        <v>6</v>
      </c>
      <c r="H120" t="n">
        <v>1</v>
      </c>
      <c r="I120" t="n">
        <v>0</v>
      </c>
      <c r="J120" t="n">
        <v>1</v>
      </c>
      <c r="K120" t="n">
        <v>1</v>
      </c>
      <c r="L120" t="n">
        <v>0</v>
      </c>
      <c r="M120" t="n">
        <v>0</v>
      </c>
      <c r="N120" t="n">
        <v>0</v>
      </c>
      <c r="O120" t="n">
        <v>2</v>
      </c>
      <c r="P120" t="n">
        <v>1</v>
      </c>
      <c r="Q120" t="n">
        <v>2</v>
      </c>
      <c r="R120" s="2" t="inlineStr">
        <is>
          <t>Knärot
Garnlav</t>
        </is>
      </c>
      <c r="S120">
        <f>HYPERLINK("https://klasma.github.io/Logging_2380/artfynd/A 50895-2024 artfynd.xlsx", "A 50895-2024")</f>
        <v/>
      </c>
      <c r="T120">
        <f>HYPERLINK("https://klasma.github.io/Logging_2380/kartor/A 50895-2024 karta.png", "A 50895-2024")</f>
        <v/>
      </c>
      <c r="U120">
        <f>HYPERLINK("https://klasma.github.io/Logging_2380/knärot/A 50895-2024 karta knärot.png", "A 50895-2024")</f>
        <v/>
      </c>
      <c r="V120">
        <f>HYPERLINK("https://klasma.github.io/Logging_2380/klagomål/A 50895-2024 FSC-klagomål.docx", "A 50895-2024")</f>
        <v/>
      </c>
      <c r="W120">
        <f>HYPERLINK("https://klasma.github.io/Logging_2380/klagomålsmail/A 50895-2024 FSC-klagomål mail.docx", "A 50895-2024")</f>
        <v/>
      </c>
      <c r="X120">
        <f>HYPERLINK("https://klasma.github.io/Logging_2380/tillsyn/A 50895-2024 tillsynsbegäran.docx", "A 50895-2024")</f>
        <v/>
      </c>
      <c r="Y120">
        <f>HYPERLINK("https://klasma.github.io/Logging_2380/tillsynsmail/A 50895-2024 tillsynsbegäran mail.docx", "A 50895-2024")</f>
        <v/>
      </c>
    </row>
    <row r="121" ht="15" customHeight="1">
      <c r="A121" t="inlineStr">
        <is>
          <t>A 57693-2024</t>
        </is>
      </c>
      <c r="B121" s="1" t="n">
        <v>45628</v>
      </c>
      <c r="C121" s="1" t="n">
        <v>45635</v>
      </c>
      <c r="D121" t="inlineStr">
        <is>
          <t>JÄMTLANDS LÄN</t>
        </is>
      </c>
      <c r="E121" t="inlineStr">
        <is>
          <t>ÖSTERSUND</t>
        </is>
      </c>
      <c r="G121" t="n">
        <v>27.6</v>
      </c>
      <c r="H121" t="n">
        <v>1</v>
      </c>
      <c r="I121" t="n">
        <v>2</v>
      </c>
      <c r="J121" t="n">
        <v>0</v>
      </c>
      <c r="K121" t="n">
        <v>0</v>
      </c>
      <c r="L121" t="n">
        <v>0</v>
      </c>
      <c r="M121" t="n">
        <v>0</v>
      </c>
      <c r="N121" t="n">
        <v>0</v>
      </c>
      <c r="O121" t="n">
        <v>0</v>
      </c>
      <c r="P121" t="n">
        <v>0</v>
      </c>
      <c r="Q121" t="n">
        <v>2</v>
      </c>
      <c r="R121" s="2" t="inlineStr">
        <is>
          <t>Spindelblomster
Ögonpyrola</t>
        </is>
      </c>
      <c r="S121">
        <f>HYPERLINK("https://klasma.github.io/Logging_2380/artfynd/A 57693-2024 artfynd.xlsx", "A 57693-2024")</f>
        <v/>
      </c>
      <c r="T121">
        <f>HYPERLINK("https://klasma.github.io/Logging_2380/kartor/A 57693-2024 karta.png", "A 57693-2024")</f>
        <v/>
      </c>
      <c r="V121">
        <f>HYPERLINK("https://klasma.github.io/Logging_2380/klagomål/A 57693-2024 FSC-klagomål.docx", "A 57693-2024")</f>
        <v/>
      </c>
      <c r="W121">
        <f>HYPERLINK("https://klasma.github.io/Logging_2380/klagomålsmail/A 57693-2024 FSC-klagomål mail.docx", "A 57693-2024")</f>
        <v/>
      </c>
      <c r="X121">
        <f>HYPERLINK("https://klasma.github.io/Logging_2380/tillsyn/A 57693-2024 tillsynsbegäran.docx", "A 57693-2024")</f>
        <v/>
      </c>
      <c r="Y121">
        <f>HYPERLINK("https://klasma.github.io/Logging_2380/tillsynsmail/A 57693-2024 tillsynsbegäran mail.docx", "A 57693-2024")</f>
        <v/>
      </c>
    </row>
    <row r="122" ht="15" customHeight="1">
      <c r="A122" t="inlineStr">
        <is>
          <t>A 30941-2019</t>
        </is>
      </c>
      <c r="B122" s="1" t="n">
        <v>43636</v>
      </c>
      <c r="C122" s="1" t="n">
        <v>45635</v>
      </c>
      <c r="D122" t="inlineStr">
        <is>
          <t>JÄMTLANDS LÄN</t>
        </is>
      </c>
      <c r="E122" t="inlineStr">
        <is>
          <t>ÖSTERSUND</t>
        </is>
      </c>
      <c r="F122" t="inlineStr">
        <is>
          <t>SCA</t>
        </is>
      </c>
      <c r="G122" t="n">
        <v>1.9</v>
      </c>
      <c r="H122" t="n">
        <v>1</v>
      </c>
      <c r="I122" t="n">
        <v>1</v>
      </c>
      <c r="J122" t="n">
        <v>0</v>
      </c>
      <c r="K122" t="n">
        <v>0</v>
      </c>
      <c r="L122" t="n">
        <v>0</v>
      </c>
      <c r="M122" t="n">
        <v>0</v>
      </c>
      <c r="N122" t="n">
        <v>0</v>
      </c>
      <c r="O122" t="n">
        <v>0</v>
      </c>
      <c r="P122" t="n">
        <v>0</v>
      </c>
      <c r="Q122" t="n">
        <v>1</v>
      </c>
      <c r="R122" s="2" t="inlineStr">
        <is>
          <t>Tvåblad</t>
        </is>
      </c>
      <c r="S122">
        <f>HYPERLINK("https://klasma.github.io/Logging_2380/artfynd/A 30941-2019 artfynd.xlsx", "A 30941-2019")</f>
        <v/>
      </c>
      <c r="T122">
        <f>HYPERLINK("https://klasma.github.io/Logging_2380/kartor/A 30941-2019 karta.png", "A 30941-2019")</f>
        <v/>
      </c>
      <c r="V122">
        <f>HYPERLINK("https://klasma.github.io/Logging_2380/klagomål/A 30941-2019 FSC-klagomål.docx", "A 30941-2019")</f>
        <v/>
      </c>
      <c r="W122">
        <f>HYPERLINK("https://klasma.github.io/Logging_2380/klagomålsmail/A 30941-2019 FSC-klagomål mail.docx", "A 30941-2019")</f>
        <v/>
      </c>
      <c r="X122">
        <f>HYPERLINK("https://klasma.github.io/Logging_2380/tillsyn/A 30941-2019 tillsynsbegäran.docx", "A 30941-2019")</f>
        <v/>
      </c>
      <c r="Y122">
        <f>HYPERLINK("https://klasma.github.io/Logging_2380/tillsynsmail/A 30941-2019 tillsynsbegäran mail.docx", "A 30941-2019")</f>
        <v/>
      </c>
    </row>
    <row r="123" ht="15" customHeight="1">
      <c r="A123" t="inlineStr">
        <is>
          <t>A 57757-2019</t>
        </is>
      </c>
      <c r="B123" s="1" t="n">
        <v>43768</v>
      </c>
      <c r="C123" s="1" t="n">
        <v>45635</v>
      </c>
      <c r="D123" t="inlineStr">
        <is>
          <t>JÄMTLANDS LÄN</t>
        </is>
      </c>
      <c r="E123" t="inlineStr">
        <is>
          <t>ÖSTERSUND</t>
        </is>
      </c>
      <c r="G123" t="n">
        <v>1.3</v>
      </c>
      <c r="H123" t="n">
        <v>1</v>
      </c>
      <c r="I123" t="n">
        <v>0</v>
      </c>
      <c r="J123" t="n">
        <v>0</v>
      </c>
      <c r="K123" t="n">
        <v>0</v>
      </c>
      <c r="L123" t="n">
        <v>0</v>
      </c>
      <c r="M123" t="n">
        <v>0</v>
      </c>
      <c r="N123" t="n">
        <v>0</v>
      </c>
      <c r="O123" t="n">
        <v>0</v>
      </c>
      <c r="P123" t="n">
        <v>0</v>
      </c>
      <c r="Q123" t="n">
        <v>1</v>
      </c>
      <c r="R123" s="2" t="inlineStr">
        <is>
          <t>Revlummer</t>
        </is>
      </c>
      <c r="S123">
        <f>HYPERLINK("https://klasma.github.io/Logging_2380/artfynd/A 57757-2019 artfynd.xlsx", "A 57757-2019")</f>
        <v/>
      </c>
      <c r="T123">
        <f>HYPERLINK("https://klasma.github.io/Logging_2380/kartor/A 57757-2019 karta.png", "A 57757-2019")</f>
        <v/>
      </c>
      <c r="V123">
        <f>HYPERLINK("https://klasma.github.io/Logging_2380/klagomål/A 57757-2019 FSC-klagomål.docx", "A 57757-2019")</f>
        <v/>
      </c>
      <c r="W123">
        <f>HYPERLINK("https://klasma.github.io/Logging_2380/klagomålsmail/A 57757-2019 FSC-klagomål mail.docx", "A 57757-2019")</f>
        <v/>
      </c>
      <c r="X123">
        <f>HYPERLINK("https://klasma.github.io/Logging_2380/tillsyn/A 57757-2019 tillsynsbegäran.docx", "A 57757-2019")</f>
        <v/>
      </c>
      <c r="Y123">
        <f>HYPERLINK("https://klasma.github.io/Logging_2380/tillsynsmail/A 57757-2019 tillsynsbegäran mail.docx", "A 57757-2019")</f>
        <v/>
      </c>
    </row>
    <row r="124" ht="15" customHeight="1">
      <c r="A124" t="inlineStr">
        <is>
          <t>A 61628-2019</t>
        </is>
      </c>
      <c r="B124" s="1" t="n">
        <v>43784</v>
      </c>
      <c r="C124" s="1" t="n">
        <v>45635</v>
      </c>
      <c r="D124" t="inlineStr">
        <is>
          <t>JÄMTLANDS LÄN</t>
        </is>
      </c>
      <c r="E124" t="inlineStr">
        <is>
          <t>ÖSTERSUND</t>
        </is>
      </c>
      <c r="G124" t="n">
        <v>5.6</v>
      </c>
      <c r="H124" t="n">
        <v>0</v>
      </c>
      <c r="I124" t="n">
        <v>1</v>
      </c>
      <c r="J124" t="n">
        <v>0</v>
      </c>
      <c r="K124" t="n">
        <v>0</v>
      </c>
      <c r="L124" t="n">
        <v>0</v>
      </c>
      <c r="M124" t="n">
        <v>0</v>
      </c>
      <c r="N124" t="n">
        <v>0</v>
      </c>
      <c r="O124" t="n">
        <v>0</v>
      </c>
      <c r="P124" t="n">
        <v>0</v>
      </c>
      <c r="Q124" t="n">
        <v>1</v>
      </c>
      <c r="R124" s="2" t="inlineStr">
        <is>
          <t>Tibast</t>
        </is>
      </c>
      <c r="S124">
        <f>HYPERLINK("https://klasma.github.io/Logging_2380/artfynd/A 61628-2019 artfynd.xlsx", "A 61628-2019")</f>
        <v/>
      </c>
      <c r="T124">
        <f>HYPERLINK("https://klasma.github.io/Logging_2380/kartor/A 61628-2019 karta.png", "A 61628-2019")</f>
        <v/>
      </c>
      <c r="V124">
        <f>HYPERLINK("https://klasma.github.io/Logging_2380/klagomål/A 61628-2019 FSC-klagomål.docx", "A 61628-2019")</f>
        <v/>
      </c>
      <c r="W124">
        <f>HYPERLINK("https://klasma.github.io/Logging_2380/klagomålsmail/A 61628-2019 FSC-klagomål mail.docx", "A 61628-2019")</f>
        <v/>
      </c>
      <c r="X124">
        <f>HYPERLINK("https://klasma.github.io/Logging_2380/tillsyn/A 61628-2019 tillsynsbegäran.docx", "A 61628-2019")</f>
        <v/>
      </c>
      <c r="Y124">
        <f>HYPERLINK("https://klasma.github.io/Logging_2380/tillsynsmail/A 61628-2019 tillsynsbegäran mail.docx", "A 61628-2019")</f>
        <v/>
      </c>
    </row>
    <row r="125" ht="15" customHeight="1">
      <c r="A125" t="inlineStr">
        <is>
          <t>A 11561-2020</t>
        </is>
      </c>
      <c r="B125" s="1" t="n">
        <v>43893</v>
      </c>
      <c r="C125" s="1" t="n">
        <v>45635</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Revlummer</t>
        </is>
      </c>
      <c r="S125">
        <f>HYPERLINK("https://klasma.github.io/Logging_2380/artfynd/A 11561-2020 artfynd.xlsx", "A 11561-2020")</f>
        <v/>
      </c>
      <c r="T125">
        <f>HYPERLINK("https://klasma.github.io/Logging_2380/kartor/A 11561-2020 karta.png", "A 11561-2020")</f>
        <v/>
      </c>
      <c r="V125">
        <f>HYPERLINK("https://klasma.github.io/Logging_2380/klagomål/A 11561-2020 FSC-klagomål.docx", "A 11561-2020")</f>
        <v/>
      </c>
      <c r="W125">
        <f>HYPERLINK("https://klasma.github.io/Logging_2380/klagomålsmail/A 11561-2020 FSC-klagomål mail.docx", "A 11561-2020")</f>
        <v/>
      </c>
      <c r="X125">
        <f>HYPERLINK("https://klasma.github.io/Logging_2380/tillsyn/A 11561-2020 tillsynsbegäran.docx", "A 11561-2020")</f>
        <v/>
      </c>
      <c r="Y125">
        <f>HYPERLINK("https://klasma.github.io/Logging_2380/tillsynsmail/A 11561-2020 tillsynsbegäran mail.docx", "A 11561-2020")</f>
        <v/>
      </c>
    </row>
    <row r="126" ht="15" customHeight="1">
      <c r="A126" t="inlineStr">
        <is>
          <t>A 35980-2020</t>
        </is>
      </c>
      <c r="B126" s="1" t="n">
        <v>44047</v>
      </c>
      <c r="C126" s="1" t="n">
        <v>45635</v>
      </c>
      <c r="D126" t="inlineStr">
        <is>
          <t>JÄMTLANDS LÄN</t>
        </is>
      </c>
      <c r="E126" t="inlineStr">
        <is>
          <t>ÖSTERSUND</t>
        </is>
      </c>
      <c r="G126" t="n">
        <v>0.7</v>
      </c>
      <c r="H126" t="n">
        <v>0</v>
      </c>
      <c r="I126" t="n">
        <v>0</v>
      </c>
      <c r="J126" t="n">
        <v>1</v>
      </c>
      <c r="K126" t="n">
        <v>0</v>
      </c>
      <c r="L126" t="n">
        <v>0</v>
      </c>
      <c r="M126" t="n">
        <v>0</v>
      </c>
      <c r="N126" t="n">
        <v>0</v>
      </c>
      <c r="O126" t="n">
        <v>1</v>
      </c>
      <c r="P126" t="n">
        <v>0</v>
      </c>
      <c r="Q126" t="n">
        <v>1</v>
      </c>
      <c r="R126" s="2" t="inlineStr">
        <is>
          <t>Slåtterfibbla</t>
        </is>
      </c>
      <c r="S126">
        <f>HYPERLINK("https://klasma.github.io/Logging_2380/artfynd/A 35980-2020 artfynd.xlsx", "A 35980-2020")</f>
        <v/>
      </c>
      <c r="T126">
        <f>HYPERLINK("https://klasma.github.io/Logging_2380/kartor/A 35980-2020 karta.png", "A 35980-2020")</f>
        <v/>
      </c>
      <c r="U126">
        <f>HYPERLINK("https://klasma.github.io/Logging_2380/knärot/A 35980-2020 karta knärot.png", "A 35980-2020")</f>
        <v/>
      </c>
      <c r="V126">
        <f>HYPERLINK("https://klasma.github.io/Logging_2380/klagomål/A 35980-2020 FSC-klagomål.docx", "A 35980-2020")</f>
        <v/>
      </c>
      <c r="W126">
        <f>HYPERLINK("https://klasma.github.io/Logging_2380/klagomålsmail/A 35980-2020 FSC-klagomål mail.docx", "A 35980-2020")</f>
        <v/>
      </c>
      <c r="X126">
        <f>HYPERLINK("https://klasma.github.io/Logging_2380/tillsyn/A 35980-2020 tillsynsbegäran.docx", "A 35980-2020")</f>
        <v/>
      </c>
      <c r="Y126">
        <f>HYPERLINK("https://klasma.github.io/Logging_2380/tillsynsmail/A 35980-2020 tillsynsbegäran mail.docx", "A 35980-2020")</f>
        <v/>
      </c>
    </row>
    <row r="127" ht="15" customHeight="1">
      <c r="A127" t="inlineStr">
        <is>
          <t>A 63775-2020</t>
        </is>
      </c>
      <c r="B127" s="1" t="n">
        <v>44165</v>
      </c>
      <c r="C127" s="1" t="n">
        <v>45635</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Fläcknycklar</t>
        </is>
      </c>
      <c r="S127">
        <f>HYPERLINK("https://klasma.github.io/Logging_2380/artfynd/A 63775-2020 artfynd.xlsx", "A 63775-2020")</f>
        <v/>
      </c>
      <c r="T127">
        <f>HYPERLINK("https://klasma.github.io/Logging_2380/kartor/A 63775-2020 karta.png", "A 63775-2020")</f>
        <v/>
      </c>
      <c r="V127">
        <f>HYPERLINK("https://klasma.github.io/Logging_2380/klagomål/A 63775-2020 FSC-klagomål.docx", "A 63775-2020")</f>
        <v/>
      </c>
      <c r="W127">
        <f>HYPERLINK("https://klasma.github.io/Logging_2380/klagomålsmail/A 63775-2020 FSC-klagomål mail.docx", "A 63775-2020")</f>
        <v/>
      </c>
      <c r="X127">
        <f>HYPERLINK("https://klasma.github.io/Logging_2380/tillsyn/A 63775-2020 tillsynsbegäran.docx", "A 63775-2020")</f>
        <v/>
      </c>
      <c r="Y127">
        <f>HYPERLINK("https://klasma.github.io/Logging_2380/tillsynsmail/A 63775-2020 tillsynsbegäran mail.docx", "A 63775-2020")</f>
        <v/>
      </c>
    </row>
    <row r="128" ht="15" customHeight="1">
      <c r="A128" t="inlineStr">
        <is>
          <t>A 13362-2021</t>
        </is>
      </c>
      <c r="B128" s="1" t="n">
        <v>44272</v>
      </c>
      <c r="C128" s="1" t="n">
        <v>45635</v>
      </c>
      <c r="D128" t="inlineStr">
        <is>
          <t>JÄMTLANDS LÄN</t>
        </is>
      </c>
      <c r="E128" t="inlineStr">
        <is>
          <t>ÖSTERSUND</t>
        </is>
      </c>
      <c r="G128" t="n">
        <v>0.8</v>
      </c>
      <c r="H128" t="n">
        <v>1</v>
      </c>
      <c r="I128" t="n">
        <v>0</v>
      </c>
      <c r="J128" t="n">
        <v>0</v>
      </c>
      <c r="K128" t="n">
        <v>0</v>
      </c>
      <c r="L128" t="n">
        <v>0</v>
      </c>
      <c r="M128" t="n">
        <v>0</v>
      </c>
      <c r="N128" t="n">
        <v>0</v>
      </c>
      <c r="O128" t="n">
        <v>0</v>
      </c>
      <c r="P128" t="n">
        <v>0</v>
      </c>
      <c r="Q128" t="n">
        <v>1</v>
      </c>
      <c r="R128" s="2" t="inlineStr">
        <is>
          <t>Blåsippa</t>
        </is>
      </c>
      <c r="S128">
        <f>HYPERLINK("https://klasma.github.io/Logging_2380/artfynd/A 13362-2021 artfynd.xlsx", "A 13362-2021")</f>
        <v/>
      </c>
      <c r="T128">
        <f>HYPERLINK("https://klasma.github.io/Logging_2380/kartor/A 13362-2021 karta.png", "A 13362-2021")</f>
        <v/>
      </c>
      <c r="V128">
        <f>HYPERLINK("https://klasma.github.io/Logging_2380/klagomål/A 13362-2021 FSC-klagomål.docx", "A 13362-2021")</f>
        <v/>
      </c>
      <c r="W128">
        <f>HYPERLINK("https://klasma.github.io/Logging_2380/klagomålsmail/A 13362-2021 FSC-klagomål mail.docx", "A 13362-2021")</f>
        <v/>
      </c>
      <c r="X128">
        <f>HYPERLINK("https://klasma.github.io/Logging_2380/tillsyn/A 13362-2021 tillsynsbegäran.docx", "A 13362-2021")</f>
        <v/>
      </c>
      <c r="Y128">
        <f>HYPERLINK("https://klasma.github.io/Logging_2380/tillsynsmail/A 13362-2021 tillsynsbegäran mail.docx", "A 13362-2021")</f>
        <v/>
      </c>
    </row>
    <row r="129" ht="15" customHeight="1">
      <c r="A129" t="inlineStr">
        <is>
          <t>A 17217-2021</t>
        </is>
      </c>
      <c r="B129" s="1" t="n">
        <v>44298</v>
      </c>
      <c r="C129" s="1" t="n">
        <v>45635</v>
      </c>
      <c r="D129" t="inlineStr">
        <is>
          <t>JÄMTLANDS LÄN</t>
        </is>
      </c>
      <c r="E129" t="inlineStr">
        <is>
          <t>ÖSTERSUND</t>
        </is>
      </c>
      <c r="G129" t="n">
        <v>10.4</v>
      </c>
      <c r="H129" t="n">
        <v>0</v>
      </c>
      <c r="I129" t="n">
        <v>0</v>
      </c>
      <c r="J129" t="n">
        <v>1</v>
      </c>
      <c r="K129" t="n">
        <v>0</v>
      </c>
      <c r="L129" t="n">
        <v>0</v>
      </c>
      <c r="M129" t="n">
        <v>0</v>
      </c>
      <c r="N129" t="n">
        <v>0</v>
      </c>
      <c r="O129" t="n">
        <v>1</v>
      </c>
      <c r="P129" t="n">
        <v>0</v>
      </c>
      <c r="Q129" t="n">
        <v>1</v>
      </c>
      <c r="R129" s="2" t="inlineStr">
        <is>
          <t>Rödbrun klubbdyna</t>
        </is>
      </c>
      <c r="S129">
        <f>HYPERLINK("https://klasma.github.io/Logging_2380/artfynd/A 17217-2021 artfynd.xlsx", "A 17217-2021")</f>
        <v/>
      </c>
      <c r="T129">
        <f>HYPERLINK("https://klasma.github.io/Logging_2380/kartor/A 17217-2021 karta.png", "A 17217-2021")</f>
        <v/>
      </c>
      <c r="V129">
        <f>HYPERLINK("https://klasma.github.io/Logging_2380/klagomål/A 17217-2021 FSC-klagomål.docx", "A 17217-2021")</f>
        <v/>
      </c>
      <c r="W129">
        <f>HYPERLINK("https://klasma.github.io/Logging_2380/klagomålsmail/A 17217-2021 FSC-klagomål mail.docx", "A 17217-2021")</f>
        <v/>
      </c>
      <c r="X129">
        <f>HYPERLINK("https://klasma.github.io/Logging_2380/tillsyn/A 17217-2021 tillsynsbegäran.docx", "A 17217-2021")</f>
        <v/>
      </c>
      <c r="Y129">
        <f>HYPERLINK("https://klasma.github.io/Logging_2380/tillsynsmail/A 17217-2021 tillsynsbegäran mail.docx", "A 17217-2021")</f>
        <v/>
      </c>
    </row>
    <row r="130" ht="15" customHeight="1">
      <c r="A130" t="inlineStr">
        <is>
          <t>A 25839-2021</t>
        </is>
      </c>
      <c r="B130" s="1" t="n">
        <v>44343</v>
      </c>
      <c r="C130" s="1" t="n">
        <v>45635</v>
      </c>
      <c r="D130" t="inlineStr">
        <is>
          <t>JÄMTLANDS LÄN</t>
        </is>
      </c>
      <c r="E130" t="inlineStr">
        <is>
          <t>ÖSTERSUND</t>
        </is>
      </c>
      <c r="G130" t="n">
        <v>13</v>
      </c>
      <c r="H130" t="n">
        <v>1</v>
      </c>
      <c r="I130" t="n">
        <v>0</v>
      </c>
      <c r="J130" t="n">
        <v>0</v>
      </c>
      <c r="K130" t="n">
        <v>0</v>
      </c>
      <c r="L130" t="n">
        <v>1</v>
      </c>
      <c r="M130" t="n">
        <v>0</v>
      </c>
      <c r="N130" t="n">
        <v>0</v>
      </c>
      <c r="O130" t="n">
        <v>1</v>
      </c>
      <c r="P130" t="n">
        <v>1</v>
      </c>
      <c r="Q130" t="n">
        <v>1</v>
      </c>
      <c r="R130" s="2" t="inlineStr">
        <is>
          <t>Violett guldvinge</t>
        </is>
      </c>
      <c r="S130">
        <f>HYPERLINK("https://klasma.github.io/Logging_2380/artfynd/A 25839-2021 artfynd.xlsx", "A 25839-2021")</f>
        <v/>
      </c>
      <c r="T130">
        <f>HYPERLINK("https://klasma.github.io/Logging_2380/kartor/A 25839-2021 karta.png", "A 25839-2021")</f>
        <v/>
      </c>
      <c r="V130">
        <f>HYPERLINK("https://klasma.github.io/Logging_2380/klagomål/A 25839-2021 FSC-klagomål.docx", "A 25839-2021")</f>
        <v/>
      </c>
      <c r="W130">
        <f>HYPERLINK("https://klasma.github.io/Logging_2380/klagomålsmail/A 25839-2021 FSC-klagomål mail.docx", "A 25839-2021")</f>
        <v/>
      </c>
      <c r="X130">
        <f>HYPERLINK("https://klasma.github.io/Logging_2380/tillsyn/A 25839-2021 tillsynsbegäran.docx", "A 25839-2021")</f>
        <v/>
      </c>
      <c r="Y130">
        <f>HYPERLINK("https://klasma.github.io/Logging_2380/tillsynsmail/A 25839-2021 tillsynsbegäran mail.docx", "A 25839-2021")</f>
        <v/>
      </c>
    </row>
    <row r="131" ht="15" customHeight="1">
      <c r="A131" t="inlineStr">
        <is>
          <t>A 31328-2021</t>
        </is>
      </c>
      <c r="B131" s="1" t="n">
        <v>44368</v>
      </c>
      <c r="C131" s="1" t="n">
        <v>45635</v>
      </c>
      <c r="D131" t="inlineStr">
        <is>
          <t>JÄMTLANDS LÄN</t>
        </is>
      </c>
      <c r="E131" t="inlineStr">
        <is>
          <t>ÖSTERSUND</t>
        </is>
      </c>
      <c r="G131" t="n">
        <v>6.3</v>
      </c>
      <c r="H131" t="n">
        <v>1</v>
      </c>
      <c r="I131" t="n">
        <v>0</v>
      </c>
      <c r="J131" t="n">
        <v>0</v>
      </c>
      <c r="K131" t="n">
        <v>0</v>
      </c>
      <c r="L131" t="n">
        <v>0</v>
      </c>
      <c r="M131" t="n">
        <v>0</v>
      </c>
      <c r="N131" t="n">
        <v>0</v>
      </c>
      <c r="O131" t="n">
        <v>0</v>
      </c>
      <c r="P131" t="n">
        <v>0</v>
      </c>
      <c r="Q131" t="n">
        <v>1</v>
      </c>
      <c r="R131" s="2" t="inlineStr">
        <is>
          <t>Fläcknycklar</t>
        </is>
      </c>
      <c r="S131">
        <f>HYPERLINK("https://klasma.github.io/Logging_2380/artfynd/A 31328-2021 artfynd.xlsx", "A 31328-2021")</f>
        <v/>
      </c>
      <c r="T131">
        <f>HYPERLINK("https://klasma.github.io/Logging_2380/kartor/A 31328-2021 karta.png", "A 31328-2021")</f>
        <v/>
      </c>
      <c r="V131">
        <f>HYPERLINK("https://klasma.github.io/Logging_2380/klagomål/A 31328-2021 FSC-klagomål.docx", "A 31328-2021")</f>
        <v/>
      </c>
      <c r="W131">
        <f>HYPERLINK("https://klasma.github.io/Logging_2380/klagomålsmail/A 31328-2021 FSC-klagomål mail.docx", "A 31328-2021")</f>
        <v/>
      </c>
      <c r="X131">
        <f>HYPERLINK("https://klasma.github.io/Logging_2380/tillsyn/A 31328-2021 tillsynsbegäran.docx", "A 31328-2021")</f>
        <v/>
      </c>
      <c r="Y131">
        <f>HYPERLINK("https://klasma.github.io/Logging_2380/tillsynsmail/A 31328-2021 tillsynsbegäran mail.docx", "A 31328-2021")</f>
        <v/>
      </c>
    </row>
    <row r="132" ht="15" customHeight="1">
      <c r="A132" t="inlineStr">
        <is>
          <t>A 33137-2021</t>
        </is>
      </c>
      <c r="B132" s="1" t="n">
        <v>44376</v>
      </c>
      <c r="C132" s="1" t="n">
        <v>45635</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46163-2021</t>
        </is>
      </c>
      <c r="B133" s="1" t="n">
        <v>44441</v>
      </c>
      <c r="C133" s="1" t="n">
        <v>45635</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55821-2021</t>
        </is>
      </c>
      <c r="B134" s="1" t="n">
        <v>44476</v>
      </c>
      <c r="C134" s="1" t="n">
        <v>45635</v>
      </c>
      <c r="D134" t="inlineStr">
        <is>
          <t>JÄMTLANDS LÄN</t>
        </is>
      </c>
      <c r="E134" t="inlineStr">
        <is>
          <t>ÖSTERSUND</t>
        </is>
      </c>
      <c r="G134" t="n">
        <v>7.2</v>
      </c>
      <c r="H134" t="n">
        <v>0</v>
      </c>
      <c r="I134" t="n">
        <v>0</v>
      </c>
      <c r="J134" t="n">
        <v>1</v>
      </c>
      <c r="K134" t="n">
        <v>0</v>
      </c>
      <c r="L134" t="n">
        <v>0</v>
      </c>
      <c r="M134" t="n">
        <v>0</v>
      </c>
      <c r="N134" t="n">
        <v>0</v>
      </c>
      <c r="O134" t="n">
        <v>1</v>
      </c>
      <c r="P134" t="n">
        <v>0</v>
      </c>
      <c r="Q134" t="n">
        <v>1</v>
      </c>
      <c r="R134" s="2" t="inlineStr">
        <is>
          <t>Harticka</t>
        </is>
      </c>
      <c r="S134">
        <f>HYPERLINK("https://klasma.github.io/Logging_2380/artfynd/A 55821-2021 artfynd.xlsx", "A 55821-2021")</f>
        <v/>
      </c>
      <c r="T134">
        <f>HYPERLINK("https://klasma.github.io/Logging_2380/kartor/A 55821-2021 karta.png", "A 55821-2021")</f>
        <v/>
      </c>
      <c r="V134">
        <f>HYPERLINK("https://klasma.github.io/Logging_2380/klagomål/A 55821-2021 FSC-klagomål.docx", "A 55821-2021")</f>
        <v/>
      </c>
      <c r="W134">
        <f>HYPERLINK("https://klasma.github.io/Logging_2380/klagomålsmail/A 55821-2021 FSC-klagomål mail.docx", "A 55821-2021")</f>
        <v/>
      </c>
      <c r="X134">
        <f>HYPERLINK("https://klasma.github.io/Logging_2380/tillsyn/A 55821-2021 tillsynsbegäran.docx", "A 55821-2021")</f>
        <v/>
      </c>
      <c r="Y134">
        <f>HYPERLINK("https://klasma.github.io/Logging_2380/tillsynsmail/A 55821-2021 tillsynsbegäran mail.docx", "A 55821-2021")</f>
        <v/>
      </c>
    </row>
    <row r="135" ht="15" customHeight="1">
      <c r="A135" t="inlineStr">
        <is>
          <t>A 59433-2021</t>
        </is>
      </c>
      <c r="B135" s="1" t="n">
        <v>44491</v>
      </c>
      <c r="C135" s="1" t="n">
        <v>45635</v>
      </c>
      <c r="D135" t="inlineStr">
        <is>
          <t>JÄMTLANDS LÄN</t>
        </is>
      </c>
      <c r="E135" t="inlineStr">
        <is>
          <t>ÖSTERSUND</t>
        </is>
      </c>
      <c r="F135" t="inlineStr">
        <is>
          <t>Övriga statliga verk och myndigheter</t>
        </is>
      </c>
      <c r="G135" t="n">
        <v>1.6</v>
      </c>
      <c r="H135" t="n">
        <v>0</v>
      </c>
      <c r="I135" t="n">
        <v>0</v>
      </c>
      <c r="J135" t="n">
        <v>1</v>
      </c>
      <c r="K135" t="n">
        <v>0</v>
      </c>
      <c r="L135" t="n">
        <v>0</v>
      </c>
      <c r="M135" t="n">
        <v>0</v>
      </c>
      <c r="N135" t="n">
        <v>0</v>
      </c>
      <c r="O135" t="n">
        <v>1</v>
      </c>
      <c r="P135" t="n">
        <v>0</v>
      </c>
      <c r="Q135" t="n">
        <v>1</v>
      </c>
      <c r="R135" s="2" t="inlineStr">
        <is>
          <t>Brunpudrad nållav</t>
        </is>
      </c>
      <c r="S135">
        <f>HYPERLINK("https://klasma.github.io/Logging_2380/artfynd/A 59433-2021 artfynd.xlsx", "A 59433-2021")</f>
        <v/>
      </c>
      <c r="T135">
        <f>HYPERLINK("https://klasma.github.io/Logging_2380/kartor/A 59433-2021 karta.png", "A 59433-2021")</f>
        <v/>
      </c>
      <c r="V135">
        <f>HYPERLINK("https://klasma.github.io/Logging_2380/klagomål/A 59433-2021 FSC-klagomål.docx", "A 59433-2021")</f>
        <v/>
      </c>
      <c r="W135">
        <f>HYPERLINK("https://klasma.github.io/Logging_2380/klagomålsmail/A 59433-2021 FSC-klagomål mail.docx", "A 59433-2021")</f>
        <v/>
      </c>
      <c r="X135">
        <f>HYPERLINK("https://klasma.github.io/Logging_2380/tillsyn/A 59433-2021 tillsynsbegäran.docx", "A 59433-2021")</f>
        <v/>
      </c>
      <c r="Y135">
        <f>HYPERLINK("https://klasma.github.io/Logging_2380/tillsynsmail/A 59433-2021 tillsynsbegäran mail.docx", "A 59433-2021")</f>
        <v/>
      </c>
    </row>
    <row r="136" ht="15" customHeight="1">
      <c r="A136" t="inlineStr">
        <is>
          <t>A 9739-2022</t>
        </is>
      </c>
      <c r="B136" s="1" t="n">
        <v>44617</v>
      </c>
      <c r="C136" s="1" t="n">
        <v>45635</v>
      </c>
      <c r="D136" t="inlineStr">
        <is>
          <t>JÄMTLANDS LÄN</t>
        </is>
      </c>
      <c r="E136" t="inlineStr">
        <is>
          <t>ÖSTERSUND</t>
        </is>
      </c>
      <c r="F136" t="inlineStr">
        <is>
          <t>SCA</t>
        </is>
      </c>
      <c r="G136" t="n">
        <v>13.5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9739-2022 artfynd.xlsx", "A 9739-2022")</f>
        <v/>
      </c>
      <c r="T136">
        <f>HYPERLINK("https://klasma.github.io/Logging_2380/kartor/A 9739-2022 karta.png", "A 9739-2022")</f>
        <v/>
      </c>
      <c r="V136">
        <f>HYPERLINK("https://klasma.github.io/Logging_2380/klagomål/A 9739-2022 FSC-klagomål.docx", "A 9739-2022")</f>
        <v/>
      </c>
      <c r="W136">
        <f>HYPERLINK("https://klasma.github.io/Logging_2380/klagomålsmail/A 9739-2022 FSC-klagomål mail.docx", "A 9739-2022")</f>
        <v/>
      </c>
      <c r="X136">
        <f>HYPERLINK("https://klasma.github.io/Logging_2380/tillsyn/A 9739-2022 tillsynsbegäran.docx", "A 9739-2022")</f>
        <v/>
      </c>
      <c r="Y136">
        <f>HYPERLINK("https://klasma.github.io/Logging_2380/tillsynsmail/A 9739-2022 tillsynsbegäran mail.docx", "A 9739-2022")</f>
        <v/>
      </c>
    </row>
    <row r="137" ht="15" customHeight="1">
      <c r="A137" t="inlineStr">
        <is>
          <t>A 10336-2022</t>
        </is>
      </c>
      <c r="B137" s="1" t="n">
        <v>44623</v>
      </c>
      <c r="C137" s="1" t="n">
        <v>45635</v>
      </c>
      <c r="D137" t="inlineStr">
        <is>
          <t>JÄMTLANDS LÄN</t>
        </is>
      </c>
      <c r="E137" t="inlineStr">
        <is>
          <t>ÖSTERSUND</t>
        </is>
      </c>
      <c r="G137" t="n">
        <v>0.9</v>
      </c>
      <c r="H137" t="n">
        <v>0</v>
      </c>
      <c r="I137" t="n">
        <v>1</v>
      </c>
      <c r="J137" t="n">
        <v>0</v>
      </c>
      <c r="K137" t="n">
        <v>0</v>
      </c>
      <c r="L137" t="n">
        <v>0</v>
      </c>
      <c r="M137" t="n">
        <v>0</v>
      </c>
      <c r="N137" t="n">
        <v>0</v>
      </c>
      <c r="O137" t="n">
        <v>0</v>
      </c>
      <c r="P137" t="n">
        <v>0</v>
      </c>
      <c r="Q137" t="n">
        <v>1</v>
      </c>
      <c r="R137" s="2" t="inlineStr">
        <is>
          <t>Underviol</t>
        </is>
      </c>
      <c r="S137">
        <f>HYPERLINK("https://klasma.github.io/Logging_2380/artfynd/A 10336-2022 artfynd.xlsx", "A 10336-2022")</f>
        <v/>
      </c>
      <c r="T137">
        <f>HYPERLINK("https://klasma.github.io/Logging_2380/kartor/A 10336-2022 karta.png", "A 10336-2022")</f>
        <v/>
      </c>
      <c r="V137">
        <f>HYPERLINK("https://klasma.github.io/Logging_2380/klagomål/A 10336-2022 FSC-klagomål.docx", "A 10336-2022")</f>
        <v/>
      </c>
      <c r="W137">
        <f>HYPERLINK("https://klasma.github.io/Logging_2380/klagomålsmail/A 10336-2022 FSC-klagomål mail.docx", "A 10336-2022")</f>
        <v/>
      </c>
      <c r="X137">
        <f>HYPERLINK("https://klasma.github.io/Logging_2380/tillsyn/A 10336-2022 tillsynsbegäran.docx", "A 10336-2022")</f>
        <v/>
      </c>
      <c r="Y137">
        <f>HYPERLINK("https://klasma.github.io/Logging_2380/tillsynsmail/A 10336-2022 tillsynsbegäran mail.docx", "A 10336-2022")</f>
        <v/>
      </c>
    </row>
    <row r="138" ht="15" customHeight="1">
      <c r="A138" t="inlineStr">
        <is>
          <t>A 19798-2022</t>
        </is>
      </c>
      <c r="B138" s="1" t="n">
        <v>44694</v>
      </c>
      <c r="C138" s="1" t="n">
        <v>45635</v>
      </c>
      <c r="D138" t="inlineStr">
        <is>
          <t>JÄMTLANDS LÄN</t>
        </is>
      </c>
      <c r="E138" t="inlineStr">
        <is>
          <t>ÖSTERSUND</t>
        </is>
      </c>
      <c r="F138" t="inlineStr">
        <is>
          <t>SCA</t>
        </is>
      </c>
      <c r="G138" t="n">
        <v>1</v>
      </c>
      <c r="H138" t="n">
        <v>1</v>
      </c>
      <c r="I138" t="n">
        <v>1</v>
      </c>
      <c r="J138" t="n">
        <v>0</v>
      </c>
      <c r="K138" t="n">
        <v>0</v>
      </c>
      <c r="L138" t="n">
        <v>0</v>
      </c>
      <c r="M138" t="n">
        <v>0</v>
      </c>
      <c r="N138" t="n">
        <v>0</v>
      </c>
      <c r="O138" t="n">
        <v>0</v>
      </c>
      <c r="P138" t="n">
        <v>0</v>
      </c>
      <c r="Q138" t="n">
        <v>1</v>
      </c>
      <c r="R138" s="2" t="inlineStr">
        <is>
          <t>Guckusko</t>
        </is>
      </c>
      <c r="S138">
        <f>HYPERLINK("https://klasma.github.io/Logging_2380/artfynd/A 19798-2022 artfynd.xlsx", "A 19798-2022")</f>
        <v/>
      </c>
      <c r="T138">
        <f>HYPERLINK("https://klasma.github.io/Logging_2380/kartor/A 19798-2022 karta.png", "A 19798-2022")</f>
        <v/>
      </c>
      <c r="V138">
        <f>HYPERLINK("https://klasma.github.io/Logging_2380/klagomål/A 19798-2022 FSC-klagomål.docx", "A 19798-2022")</f>
        <v/>
      </c>
      <c r="W138">
        <f>HYPERLINK("https://klasma.github.io/Logging_2380/klagomålsmail/A 19798-2022 FSC-klagomål mail.docx", "A 19798-2022")</f>
        <v/>
      </c>
      <c r="X138">
        <f>HYPERLINK("https://klasma.github.io/Logging_2380/tillsyn/A 19798-2022 tillsynsbegäran.docx", "A 19798-2022")</f>
        <v/>
      </c>
      <c r="Y138">
        <f>HYPERLINK("https://klasma.github.io/Logging_2380/tillsynsmail/A 19798-2022 tillsynsbegäran mail.docx", "A 19798-2022")</f>
        <v/>
      </c>
    </row>
    <row r="139" ht="15" customHeight="1">
      <c r="A139" t="inlineStr">
        <is>
          <t>A 27578-2022</t>
        </is>
      </c>
      <c r="B139" s="1" t="n">
        <v>44742</v>
      </c>
      <c r="C139" s="1" t="n">
        <v>45635</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27576-2022</t>
        </is>
      </c>
      <c r="B140" s="1" t="n">
        <v>44742</v>
      </c>
      <c r="C140" s="1" t="n">
        <v>45635</v>
      </c>
      <c r="D140" t="inlineStr">
        <is>
          <t>JÄMTLANDS LÄN</t>
        </is>
      </c>
      <c r="E140" t="inlineStr">
        <is>
          <t>ÖSTERSUND</t>
        </is>
      </c>
      <c r="F140" t="inlineStr">
        <is>
          <t>SCA</t>
        </is>
      </c>
      <c r="G140" t="n">
        <v>0.6</v>
      </c>
      <c r="H140" t="n">
        <v>0</v>
      </c>
      <c r="I140" t="n">
        <v>0</v>
      </c>
      <c r="J140" t="n">
        <v>1</v>
      </c>
      <c r="K140" t="n">
        <v>0</v>
      </c>
      <c r="L140" t="n">
        <v>0</v>
      </c>
      <c r="M140" t="n">
        <v>0</v>
      </c>
      <c r="N140" t="n">
        <v>0</v>
      </c>
      <c r="O140" t="n">
        <v>1</v>
      </c>
      <c r="P140" t="n">
        <v>0</v>
      </c>
      <c r="Q140" t="n">
        <v>1</v>
      </c>
      <c r="R140" s="2" t="inlineStr">
        <is>
          <t>Ullticka</t>
        </is>
      </c>
      <c r="S140">
        <f>HYPERLINK("https://klasma.github.io/Logging_2380/artfynd/A 27576-2022 artfynd.xlsx", "A 27576-2022")</f>
        <v/>
      </c>
      <c r="T140">
        <f>HYPERLINK("https://klasma.github.io/Logging_2380/kartor/A 27576-2022 karta.png", "A 27576-2022")</f>
        <v/>
      </c>
      <c r="U140">
        <f>HYPERLINK("https://klasma.github.io/Logging_2380/knärot/A 27576-2022 karta knärot.png", "A 27576-2022")</f>
        <v/>
      </c>
      <c r="V140">
        <f>HYPERLINK("https://klasma.github.io/Logging_2380/klagomål/A 27576-2022 FSC-klagomål.docx", "A 27576-2022")</f>
        <v/>
      </c>
      <c r="W140">
        <f>HYPERLINK("https://klasma.github.io/Logging_2380/klagomålsmail/A 27576-2022 FSC-klagomål mail.docx", "A 27576-2022")</f>
        <v/>
      </c>
      <c r="X140">
        <f>HYPERLINK("https://klasma.github.io/Logging_2380/tillsyn/A 27576-2022 tillsynsbegäran.docx", "A 27576-2022")</f>
        <v/>
      </c>
      <c r="Y140">
        <f>HYPERLINK("https://klasma.github.io/Logging_2380/tillsynsmail/A 27576-2022 tillsynsbegäran mail.docx", "A 27576-2022")</f>
        <v/>
      </c>
    </row>
    <row r="141" ht="15" customHeight="1">
      <c r="A141" t="inlineStr">
        <is>
          <t>A 33267-2022</t>
        </is>
      </c>
      <c r="B141" s="1" t="n">
        <v>44785</v>
      </c>
      <c r="C141" s="1" t="n">
        <v>45635</v>
      </c>
      <c r="D141" t="inlineStr">
        <is>
          <t>JÄMTLANDS LÄN</t>
        </is>
      </c>
      <c r="E141" t="inlineStr">
        <is>
          <t>ÖSTERSUND</t>
        </is>
      </c>
      <c r="G141" t="n">
        <v>0.9</v>
      </c>
      <c r="H141" t="n">
        <v>1</v>
      </c>
      <c r="I141" t="n">
        <v>0</v>
      </c>
      <c r="J141" t="n">
        <v>1</v>
      </c>
      <c r="K141" t="n">
        <v>0</v>
      </c>
      <c r="L141" t="n">
        <v>0</v>
      </c>
      <c r="M141" t="n">
        <v>0</v>
      </c>
      <c r="N141" t="n">
        <v>0</v>
      </c>
      <c r="O141" t="n">
        <v>1</v>
      </c>
      <c r="P141" t="n">
        <v>0</v>
      </c>
      <c r="Q141" t="n">
        <v>1</v>
      </c>
      <c r="R141" s="2" t="inlineStr">
        <is>
          <t>Talltita</t>
        </is>
      </c>
      <c r="S141">
        <f>HYPERLINK("https://klasma.github.io/Logging_2380/artfynd/A 33267-2022 artfynd.xlsx", "A 33267-2022")</f>
        <v/>
      </c>
      <c r="T141">
        <f>HYPERLINK("https://klasma.github.io/Logging_2380/kartor/A 33267-2022 karta.png", "A 33267-2022")</f>
        <v/>
      </c>
      <c r="V141">
        <f>HYPERLINK("https://klasma.github.io/Logging_2380/klagomål/A 33267-2022 FSC-klagomål.docx", "A 33267-2022")</f>
        <v/>
      </c>
      <c r="W141">
        <f>HYPERLINK("https://klasma.github.io/Logging_2380/klagomålsmail/A 33267-2022 FSC-klagomål mail.docx", "A 33267-2022")</f>
        <v/>
      </c>
      <c r="X141">
        <f>HYPERLINK("https://klasma.github.io/Logging_2380/tillsyn/A 33267-2022 tillsynsbegäran.docx", "A 33267-2022")</f>
        <v/>
      </c>
      <c r="Y141">
        <f>HYPERLINK("https://klasma.github.io/Logging_2380/tillsynsmail/A 33267-2022 tillsynsbegäran mail.docx", "A 33267-2022")</f>
        <v/>
      </c>
      <c r="Z141">
        <f>HYPERLINK("https://klasma.github.io/Logging_2380/fåglar/A 33267-2022 prioriterade fågelarter.docx", "A 33267-2022")</f>
        <v/>
      </c>
    </row>
    <row r="142" ht="15" customHeight="1">
      <c r="A142" t="inlineStr">
        <is>
          <t>A 43947-2022</t>
        </is>
      </c>
      <c r="B142" s="1" t="n">
        <v>44838</v>
      </c>
      <c r="C142" s="1" t="n">
        <v>45635</v>
      </c>
      <c r="D142" t="inlineStr">
        <is>
          <t>JÄMTLANDS LÄN</t>
        </is>
      </c>
      <c r="E142" t="inlineStr">
        <is>
          <t>ÖSTERSUND</t>
        </is>
      </c>
      <c r="F142" t="inlineStr">
        <is>
          <t>Övriga Aktiebolag</t>
        </is>
      </c>
      <c r="G142" t="n">
        <v>15.7</v>
      </c>
      <c r="H142" t="n">
        <v>0</v>
      </c>
      <c r="I142" t="n">
        <v>0</v>
      </c>
      <c r="J142" t="n">
        <v>0</v>
      </c>
      <c r="K142" t="n">
        <v>1</v>
      </c>
      <c r="L142" t="n">
        <v>0</v>
      </c>
      <c r="M142" t="n">
        <v>0</v>
      </c>
      <c r="N142" t="n">
        <v>0</v>
      </c>
      <c r="O142" t="n">
        <v>1</v>
      </c>
      <c r="P142" t="n">
        <v>1</v>
      </c>
      <c r="Q142" t="n">
        <v>1</v>
      </c>
      <c r="R142" s="2" t="inlineStr">
        <is>
          <t>Sprickporing</t>
        </is>
      </c>
      <c r="S142">
        <f>HYPERLINK("https://klasma.github.io/Logging_2380/artfynd/A 43947-2022 artfynd.xlsx", "A 43947-2022")</f>
        <v/>
      </c>
      <c r="T142">
        <f>HYPERLINK("https://klasma.github.io/Logging_2380/kartor/A 43947-2022 karta.png", "A 43947-2022")</f>
        <v/>
      </c>
      <c r="V142">
        <f>HYPERLINK("https://klasma.github.io/Logging_2380/klagomål/A 43947-2022 FSC-klagomål.docx", "A 43947-2022")</f>
        <v/>
      </c>
      <c r="W142">
        <f>HYPERLINK("https://klasma.github.io/Logging_2380/klagomålsmail/A 43947-2022 FSC-klagomål mail.docx", "A 43947-2022")</f>
        <v/>
      </c>
      <c r="X142">
        <f>HYPERLINK("https://klasma.github.io/Logging_2380/tillsyn/A 43947-2022 tillsynsbegäran.docx", "A 43947-2022")</f>
        <v/>
      </c>
      <c r="Y142">
        <f>HYPERLINK("https://klasma.github.io/Logging_2380/tillsynsmail/A 43947-2022 tillsynsbegäran mail.docx", "A 43947-2022")</f>
        <v/>
      </c>
    </row>
    <row r="143" ht="15" customHeight="1">
      <c r="A143" t="inlineStr">
        <is>
          <t>A 45441-2022</t>
        </is>
      </c>
      <c r="B143" s="1" t="n">
        <v>44844</v>
      </c>
      <c r="C143" s="1" t="n">
        <v>45635</v>
      </c>
      <c r="D143" t="inlineStr">
        <is>
          <t>JÄMTLANDS LÄN</t>
        </is>
      </c>
      <c r="E143" t="inlineStr">
        <is>
          <t>ÖSTERSUND</t>
        </is>
      </c>
      <c r="F143" t="inlineStr">
        <is>
          <t>SCA</t>
        </is>
      </c>
      <c r="G143" t="n">
        <v>1.8</v>
      </c>
      <c r="H143" t="n">
        <v>0</v>
      </c>
      <c r="I143" t="n">
        <v>1</v>
      </c>
      <c r="J143" t="n">
        <v>0</v>
      </c>
      <c r="K143" t="n">
        <v>0</v>
      </c>
      <c r="L143" t="n">
        <v>0</v>
      </c>
      <c r="M143" t="n">
        <v>0</v>
      </c>
      <c r="N143" t="n">
        <v>0</v>
      </c>
      <c r="O143" t="n">
        <v>0</v>
      </c>
      <c r="P143" t="n">
        <v>0</v>
      </c>
      <c r="Q143" t="n">
        <v>1</v>
      </c>
      <c r="R143" s="2" t="inlineStr">
        <is>
          <t>Korallblylav</t>
        </is>
      </c>
      <c r="S143">
        <f>HYPERLINK("https://klasma.github.io/Logging_2380/artfynd/A 45441-2022 artfynd.xlsx", "A 45441-2022")</f>
        <v/>
      </c>
      <c r="T143">
        <f>HYPERLINK("https://klasma.github.io/Logging_2380/kartor/A 45441-2022 karta.png", "A 45441-2022")</f>
        <v/>
      </c>
      <c r="V143">
        <f>HYPERLINK("https://klasma.github.io/Logging_2380/klagomål/A 45441-2022 FSC-klagomål.docx", "A 45441-2022")</f>
        <v/>
      </c>
      <c r="W143">
        <f>HYPERLINK("https://klasma.github.io/Logging_2380/klagomålsmail/A 45441-2022 FSC-klagomål mail.docx", "A 45441-2022")</f>
        <v/>
      </c>
      <c r="X143">
        <f>HYPERLINK("https://klasma.github.io/Logging_2380/tillsyn/A 45441-2022 tillsynsbegäran.docx", "A 45441-2022")</f>
        <v/>
      </c>
      <c r="Y143">
        <f>HYPERLINK("https://klasma.github.io/Logging_2380/tillsynsmail/A 45441-2022 tillsynsbegäran mail.docx", "A 45441-2022")</f>
        <v/>
      </c>
    </row>
    <row r="144" ht="15" customHeight="1">
      <c r="A144" t="inlineStr">
        <is>
          <t>A 56245-2022</t>
        </is>
      </c>
      <c r="B144" s="1" t="n">
        <v>44890</v>
      </c>
      <c r="C144" s="1" t="n">
        <v>45635</v>
      </c>
      <c r="D144" t="inlineStr">
        <is>
          <t>JÄMTLANDS LÄN</t>
        </is>
      </c>
      <c r="E144" t="inlineStr">
        <is>
          <t>ÖSTERSUND</t>
        </is>
      </c>
      <c r="F144" t="inlineStr">
        <is>
          <t>Övriga Aktiebolag</t>
        </is>
      </c>
      <c r="G144" t="n">
        <v>10.6</v>
      </c>
      <c r="H144" t="n">
        <v>0</v>
      </c>
      <c r="I144" t="n">
        <v>0</v>
      </c>
      <c r="J144" t="n">
        <v>1</v>
      </c>
      <c r="K144" t="n">
        <v>0</v>
      </c>
      <c r="L144" t="n">
        <v>0</v>
      </c>
      <c r="M144" t="n">
        <v>0</v>
      </c>
      <c r="N144" t="n">
        <v>0</v>
      </c>
      <c r="O144" t="n">
        <v>1</v>
      </c>
      <c r="P144" t="n">
        <v>0</v>
      </c>
      <c r="Q144" t="n">
        <v>1</v>
      </c>
      <c r="R144" s="2" t="inlineStr">
        <is>
          <t>Garnlav</t>
        </is>
      </c>
      <c r="S144">
        <f>HYPERLINK("https://klasma.github.io/Logging_2380/artfynd/A 56245-2022 artfynd.xlsx", "A 56245-2022")</f>
        <v/>
      </c>
      <c r="T144">
        <f>HYPERLINK("https://klasma.github.io/Logging_2380/kartor/A 56245-2022 karta.png", "A 56245-2022")</f>
        <v/>
      </c>
      <c r="V144">
        <f>HYPERLINK("https://klasma.github.io/Logging_2380/klagomål/A 56245-2022 FSC-klagomål.docx", "A 56245-2022")</f>
        <v/>
      </c>
      <c r="W144">
        <f>HYPERLINK("https://klasma.github.io/Logging_2380/klagomålsmail/A 56245-2022 FSC-klagomål mail.docx", "A 56245-2022")</f>
        <v/>
      </c>
      <c r="X144">
        <f>HYPERLINK("https://klasma.github.io/Logging_2380/tillsyn/A 56245-2022 tillsynsbegäran.docx", "A 56245-2022")</f>
        <v/>
      </c>
      <c r="Y144">
        <f>HYPERLINK("https://klasma.github.io/Logging_2380/tillsynsmail/A 56245-2022 tillsynsbegäran mail.docx", "A 56245-2022")</f>
        <v/>
      </c>
    </row>
    <row r="145" ht="15" customHeight="1">
      <c r="A145" t="inlineStr">
        <is>
          <t>A 58181-2022</t>
        </is>
      </c>
      <c r="B145" s="1" t="n">
        <v>44900</v>
      </c>
      <c r="C145" s="1" t="n">
        <v>45635</v>
      </c>
      <c r="D145" t="inlineStr">
        <is>
          <t>JÄMTLANDS LÄN</t>
        </is>
      </c>
      <c r="E145" t="inlineStr">
        <is>
          <t>ÖSTERSUND</t>
        </is>
      </c>
      <c r="G145" t="n">
        <v>14.8</v>
      </c>
      <c r="H145" t="n">
        <v>0</v>
      </c>
      <c r="I145" t="n">
        <v>1</v>
      </c>
      <c r="J145" t="n">
        <v>0</v>
      </c>
      <c r="K145" t="n">
        <v>0</v>
      </c>
      <c r="L145" t="n">
        <v>0</v>
      </c>
      <c r="M145" t="n">
        <v>0</v>
      </c>
      <c r="N145" t="n">
        <v>0</v>
      </c>
      <c r="O145" t="n">
        <v>0</v>
      </c>
      <c r="P145" t="n">
        <v>0</v>
      </c>
      <c r="Q145" t="n">
        <v>1</v>
      </c>
      <c r="R145" s="2" t="inlineStr">
        <is>
          <t>Finbräken</t>
        </is>
      </c>
      <c r="S145">
        <f>HYPERLINK("https://klasma.github.io/Logging_2380/artfynd/A 58181-2022 artfynd.xlsx", "A 58181-2022")</f>
        <v/>
      </c>
      <c r="T145">
        <f>HYPERLINK("https://klasma.github.io/Logging_2380/kartor/A 58181-2022 karta.png", "A 58181-2022")</f>
        <v/>
      </c>
      <c r="V145">
        <f>HYPERLINK("https://klasma.github.io/Logging_2380/klagomål/A 58181-2022 FSC-klagomål.docx", "A 58181-2022")</f>
        <v/>
      </c>
      <c r="W145">
        <f>HYPERLINK("https://klasma.github.io/Logging_2380/klagomålsmail/A 58181-2022 FSC-klagomål mail.docx", "A 58181-2022")</f>
        <v/>
      </c>
      <c r="X145">
        <f>HYPERLINK("https://klasma.github.io/Logging_2380/tillsyn/A 58181-2022 tillsynsbegäran.docx", "A 58181-2022")</f>
        <v/>
      </c>
      <c r="Y145">
        <f>HYPERLINK("https://klasma.github.io/Logging_2380/tillsynsmail/A 58181-2022 tillsynsbegäran mail.docx", "A 58181-2022")</f>
        <v/>
      </c>
    </row>
    <row r="146" ht="15" customHeight="1">
      <c r="A146" t="inlineStr">
        <is>
          <t>A 59739-2022</t>
        </is>
      </c>
      <c r="B146" s="1" t="n">
        <v>44908</v>
      </c>
      <c r="C146" s="1" t="n">
        <v>45635</v>
      </c>
      <c r="D146" t="inlineStr">
        <is>
          <t>JÄMTLANDS LÄN</t>
        </is>
      </c>
      <c r="E146" t="inlineStr">
        <is>
          <t>ÖSTERSUND</t>
        </is>
      </c>
      <c r="F146" t="inlineStr">
        <is>
          <t>Kommuner</t>
        </is>
      </c>
      <c r="G146" t="n">
        <v>1.9</v>
      </c>
      <c r="H146" t="n">
        <v>0</v>
      </c>
      <c r="I146" t="n">
        <v>1</v>
      </c>
      <c r="J146" t="n">
        <v>0</v>
      </c>
      <c r="K146" t="n">
        <v>0</v>
      </c>
      <c r="L146" t="n">
        <v>0</v>
      </c>
      <c r="M146" t="n">
        <v>0</v>
      </c>
      <c r="N146" t="n">
        <v>0</v>
      </c>
      <c r="O146" t="n">
        <v>0</v>
      </c>
      <c r="P146" t="n">
        <v>0</v>
      </c>
      <c r="Q146" t="n">
        <v>1</v>
      </c>
      <c r="R146" s="2" t="inlineStr">
        <is>
          <t>Vedticka</t>
        </is>
      </c>
      <c r="S146">
        <f>HYPERLINK("https://klasma.github.io/Logging_2380/artfynd/A 59739-2022 artfynd.xlsx", "A 59739-2022")</f>
        <v/>
      </c>
      <c r="T146">
        <f>HYPERLINK("https://klasma.github.io/Logging_2380/kartor/A 59739-2022 karta.png", "A 59739-2022")</f>
        <v/>
      </c>
      <c r="V146">
        <f>HYPERLINK("https://klasma.github.io/Logging_2380/klagomål/A 59739-2022 FSC-klagomål.docx", "A 59739-2022")</f>
        <v/>
      </c>
      <c r="W146">
        <f>HYPERLINK("https://klasma.github.io/Logging_2380/klagomålsmail/A 59739-2022 FSC-klagomål mail.docx", "A 59739-2022")</f>
        <v/>
      </c>
      <c r="X146">
        <f>HYPERLINK("https://klasma.github.io/Logging_2380/tillsyn/A 59739-2022 tillsynsbegäran.docx", "A 59739-2022")</f>
        <v/>
      </c>
      <c r="Y146">
        <f>HYPERLINK("https://klasma.github.io/Logging_2380/tillsynsmail/A 59739-2022 tillsynsbegäran mail.docx", "A 59739-2022")</f>
        <v/>
      </c>
    </row>
    <row r="147" ht="15" customHeight="1">
      <c r="A147" t="inlineStr">
        <is>
          <t>A 28980-2023</t>
        </is>
      </c>
      <c r="B147" s="1" t="n">
        <v>45096</v>
      </c>
      <c r="C147" s="1" t="n">
        <v>45635</v>
      </c>
      <c r="D147" t="inlineStr">
        <is>
          <t>JÄMTLANDS LÄN</t>
        </is>
      </c>
      <c r="E147" t="inlineStr">
        <is>
          <t>ÖSTERSUND</t>
        </is>
      </c>
      <c r="G147" t="n">
        <v>2.7</v>
      </c>
      <c r="H147" t="n">
        <v>0</v>
      </c>
      <c r="I147" t="n">
        <v>1</v>
      </c>
      <c r="J147" t="n">
        <v>0</v>
      </c>
      <c r="K147" t="n">
        <v>0</v>
      </c>
      <c r="L147" t="n">
        <v>0</v>
      </c>
      <c r="M147" t="n">
        <v>0</v>
      </c>
      <c r="N147" t="n">
        <v>0</v>
      </c>
      <c r="O147" t="n">
        <v>0</v>
      </c>
      <c r="P147" t="n">
        <v>0</v>
      </c>
      <c r="Q147" t="n">
        <v>1</v>
      </c>
      <c r="R147" s="2" t="inlineStr">
        <is>
          <t>Finbräken</t>
        </is>
      </c>
      <c r="S147">
        <f>HYPERLINK("https://klasma.github.io/Logging_2380/artfynd/A 28980-2023 artfynd.xlsx", "A 28980-2023")</f>
        <v/>
      </c>
      <c r="T147">
        <f>HYPERLINK("https://klasma.github.io/Logging_2380/kartor/A 28980-2023 karta.png", "A 28980-2023")</f>
        <v/>
      </c>
      <c r="V147">
        <f>HYPERLINK("https://klasma.github.io/Logging_2380/klagomål/A 28980-2023 FSC-klagomål.docx", "A 28980-2023")</f>
        <v/>
      </c>
      <c r="W147">
        <f>HYPERLINK("https://klasma.github.io/Logging_2380/klagomålsmail/A 28980-2023 FSC-klagomål mail.docx", "A 28980-2023")</f>
        <v/>
      </c>
      <c r="X147">
        <f>HYPERLINK("https://klasma.github.io/Logging_2380/tillsyn/A 28980-2023 tillsynsbegäran.docx", "A 28980-2023")</f>
        <v/>
      </c>
      <c r="Y147">
        <f>HYPERLINK("https://klasma.github.io/Logging_2380/tillsynsmail/A 28980-2023 tillsynsbegäran mail.docx", "A 28980-2023")</f>
        <v/>
      </c>
    </row>
    <row r="148" ht="15" customHeight="1">
      <c r="A148" t="inlineStr">
        <is>
          <t>A 32411-2023</t>
        </is>
      </c>
      <c r="B148" s="1" t="n">
        <v>45120</v>
      </c>
      <c r="C148" s="1" t="n">
        <v>45635</v>
      </c>
      <c r="D148" t="inlineStr">
        <is>
          <t>JÄMTLANDS LÄN</t>
        </is>
      </c>
      <c r="E148" t="inlineStr">
        <is>
          <t>ÖSTERSUND</t>
        </is>
      </c>
      <c r="G148" t="n">
        <v>8.5</v>
      </c>
      <c r="H148" t="n">
        <v>1</v>
      </c>
      <c r="I148" t="n">
        <v>1</v>
      </c>
      <c r="J148" t="n">
        <v>0</v>
      </c>
      <c r="K148" t="n">
        <v>0</v>
      </c>
      <c r="L148" t="n">
        <v>0</v>
      </c>
      <c r="M148" t="n">
        <v>0</v>
      </c>
      <c r="N148" t="n">
        <v>0</v>
      </c>
      <c r="O148" t="n">
        <v>0</v>
      </c>
      <c r="P148" t="n">
        <v>0</v>
      </c>
      <c r="Q148" t="n">
        <v>1</v>
      </c>
      <c r="R148" s="2" t="inlineStr">
        <is>
          <t>Spindelblomster</t>
        </is>
      </c>
      <c r="S148">
        <f>HYPERLINK("https://klasma.github.io/Logging_2380/artfynd/A 32411-2023 artfynd.xlsx", "A 32411-2023")</f>
        <v/>
      </c>
      <c r="T148">
        <f>HYPERLINK("https://klasma.github.io/Logging_2380/kartor/A 32411-2023 karta.png", "A 32411-2023")</f>
        <v/>
      </c>
      <c r="V148">
        <f>HYPERLINK("https://klasma.github.io/Logging_2380/klagomål/A 32411-2023 FSC-klagomål.docx", "A 32411-2023")</f>
        <v/>
      </c>
      <c r="W148">
        <f>HYPERLINK("https://klasma.github.io/Logging_2380/klagomålsmail/A 32411-2023 FSC-klagomål mail.docx", "A 32411-2023")</f>
        <v/>
      </c>
      <c r="X148">
        <f>HYPERLINK("https://klasma.github.io/Logging_2380/tillsyn/A 32411-2023 tillsynsbegäran.docx", "A 32411-2023")</f>
        <v/>
      </c>
      <c r="Y148">
        <f>HYPERLINK("https://klasma.github.io/Logging_2380/tillsynsmail/A 32411-2023 tillsynsbegäran mail.docx", "A 32411-2023")</f>
        <v/>
      </c>
    </row>
    <row r="149" ht="15" customHeight="1">
      <c r="A149" t="inlineStr">
        <is>
          <t>A 50825-2023</t>
        </is>
      </c>
      <c r="B149" s="1" t="n">
        <v>45217</v>
      </c>
      <c r="C149" s="1" t="n">
        <v>45635</v>
      </c>
      <c r="D149" t="inlineStr">
        <is>
          <t>JÄMTLANDS LÄN</t>
        </is>
      </c>
      <c r="E149" t="inlineStr">
        <is>
          <t>ÖSTERSUND</t>
        </is>
      </c>
      <c r="G149" t="n">
        <v>24.3</v>
      </c>
      <c r="H149" t="n">
        <v>0</v>
      </c>
      <c r="I149" t="n">
        <v>0</v>
      </c>
      <c r="J149" t="n">
        <v>1</v>
      </c>
      <c r="K149" t="n">
        <v>0</v>
      </c>
      <c r="L149" t="n">
        <v>0</v>
      </c>
      <c r="M149" t="n">
        <v>0</v>
      </c>
      <c r="N149" t="n">
        <v>0</v>
      </c>
      <c r="O149" t="n">
        <v>1</v>
      </c>
      <c r="P149" t="n">
        <v>0</v>
      </c>
      <c r="Q149" t="n">
        <v>1</v>
      </c>
      <c r="R149" s="2" t="inlineStr">
        <is>
          <t>Granticka</t>
        </is>
      </c>
      <c r="S149">
        <f>HYPERLINK("https://klasma.github.io/Logging_2380/artfynd/A 50825-2023 artfynd.xlsx", "A 50825-2023")</f>
        <v/>
      </c>
      <c r="T149">
        <f>HYPERLINK("https://klasma.github.io/Logging_2380/kartor/A 50825-2023 karta.png", "A 50825-2023")</f>
        <v/>
      </c>
      <c r="V149">
        <f>HYPERLINK("https://klasma.github.io/Logging_2380/klagomål/A 50825-2023 FSC-klagomål.docx", "A 50825-2023")</f>
        <v/>
      </c>
      <c r="W149">
        <f>HYPERLINK("https://klasma.github.io/Logging_2380/klagomålsmail/A 50825-2023 FSC-klagomål mail.docx", "A 50825-2023")</f>
        <v/>
      </c>
      <c r="X149">
        <f>HYPERLINK("https://klasma.github.io/Logging_2380/tillsyn/A 50825-2023 tillsynsbegäran.docx", "A 50825-2023")</f>
        <v/>
      </c>
      <c r="Y149">
        <f>HYPERLINK("https://klasma.github.io/Logging_2380/tillsynsmail/A 50825-2023 tillsynsbegäran mail.docx", "A 50825-2023")</f>
        <v/>
      </c>
    </row>
    <row r="150" ht="15" customHeight="1">
      <c r="A150" t="inlineStr">
        <is>
          <t>A 56025-2023</t>
        </is>
      </c>
      <c r="B150" s="1" t="n">
        <v>45233</v>
      </c>
      <c r="C150" s="1" t="n">
        <v>45635</v>
      </c>
      <c r="D150" t="inlineStr">
        <is>
          <t>JÄMTLANDS LÄN</t>
        </is>
      </c>
      <c r="E150" t="inlineStr">
        <is>
          <t>ÖSTERSUND</t>
        </is>
      </c>
      <c r="G150" t="n">
        <v>3.9</v>
      </c>
      <c r="H150" t="n">
        <v>1</v>
      </c>
      <c r="I150" t="n">
        <v>0</v>
      </c>
      <c r="J150" t="n">
        <v>1</v>
      </c>
      <c r="K150" t="n">
        <v>0</v>
      </c>
      <c r="L150" t="n">
        <v>0</v>
      </c>
      <c r="M150" t="n">
        <v>0</v>
      </c>
      <c r="N150" t="n">
        <v>0</v>
      </c>
      <c r="O150" t="n">
        <v>1</v>
      </c>
      <c r="P150" t="n">
        <v>0</v>
      </c>
      <c r="Q150" t="n">
        <v>1</v>
      </c>
      <c r="R150" s="2" t="inlineStr">
        <is>
          <t>Jämtlandsmaskros</t>
        </is>
      </c>
      <c r="S150">
        <f>HYPERLINK("https://klasma.github.io/Logging_2380/artfynd/A 56025-2023 artfynd.xlsx", "A 56025-2023")</f>
        <v/>
      </c>
      <c r="T150">
        <f>HYPERLINK("https://klasma.github.io/Logging_2380/kartor/A 56025-2023 karta.png", "A 56025-2023")</f>
        <v/>
      </c>
      <c r="V150">
        <f>HYPERLINK("https://klasma.github.io/Logging_2380/klagomål/A 56025-2023 FSC-klagomål.docx", "A 56025-2023")</f>
        <v/>
      </c>
      <c r="W150">
        <f>HYPERLINK("https://klasma.github.io/Logging_2380/klagomålsmail/A 56025-2023 FSC-klagomål mail.docx", "A 56025-2023")</f>
        <v/>
      </c>
      <c r="X150">
        <f>HYPERLINK("https://klasma.github.io/Logging_2380/tillsyn/A 56025-2023 tillsynsbegäran.docx", "A 56025-2023")</f>
        <v/>
      </c>
      <c r="Y150">
        <f>HYPERLINK("https://klasma.github.io/Logging_2380/tillsynsmail/A 56025-2023 tillsynsbegäran mail.docx", "A 56025-2023")</f>
        <v/>
      </c>
    </row>
    <row r="151" ht="15" customHeight="1">
      <c r="A151" t="inlineStr">
        <is>
          <t>A 57864-2023</t>
        </is>
      </c>
      <c r="B151" s="1" t="n">
        <v>45244</v>
      </c>
      <c r="C151" s="1" t="n">
        <v>45635</v>
      </c>
      <c r="D151" t="inlineStr">
        <is>
          <t>JÄMTLANDS LÄN</t>
        </is>
      </c>
      <c r="E151" t="inlineStr">
        <is>
          <t>ÖSTERSUND</t>
        </is>
      </c>
      <c r="G151" t="n">
        <v>3.1</v>
      </c>
      <c r="H151" t="n">
        <v>1</v>
      </c>
      <c r="I151" t="n">
        <v>0</v>
      </c>
      <c r="J151" t="n">
        <v>0</v>
      </c>
      <c r="K151" t="n">
        <v>0</v>
      </c>
      <c r="L151" t="n">
        <v>0</v>
      </c>
      <c r="M151" t="n">
        <v>0</v>
      </c>
      <c r="N151" t="n">
        <v>0</v>
      </c>
      <c r="O151" t="n">
        <v>0</v>
      </c>
      <c r="P151" t="n">
        <v>0</v>
      </c>
      <c r="Q151" t="n">
        <v>1</v>
      </c>
      <c r="R151" s="2" t="inlineStr">
        <is>
          <t>Mattlummer</t>
        </is>
      </c>
      <c r="S151">
        <f>HYPERLINK("https://klasma.github.io/Logging_2380/artfynd/A 57864-2023 artfynd.xlsx", "A 57864-2023")</f>
        <v/>
      </c>
      <c r="T151">
        <f>HYPERLINK("https://klasma.github.io/Logging_2380/kartor/A 57864-2023 karta.png", "A 57864-2023")</f>
        <v/>
      </c>
      <c r="V151">
        <f>HYPERLINK("https://klasma.github.io/Logging_2380/klagomål/A 57864-2023 FSC-klagomål.docx", "A 57864-2023")</f>
        <v/>
      </c>
      <c r="W151">
        <f>HYPERLINK("https://klasma.github.io/Logging_2380/klagomålsmail/A 57864-2023 FSC-klagomål mail.docx", "A 57864-2023")</f>
        <v/>
      </c>
      <c r="X151">
        <f>HYPERLINK("https://klasma.github.io/Logging_2380/tillsyn/A 57864-2023 tillsynsbegäran.docx", "A 57864-2023")</f>
        <v/>
      </c>
      <c r="Y151">
        <f>HYPERLINK("https://klasma.github.io/Logging_2380/tillsynsmail/A 57864-2023 tillsynsbegäran mail.docx", "A 57864-2023")</f>
        <v/>
      </c>
    </row>
    <row r="152" ht="15" customHeight="1">
      <c r="A152" t="inlineStr">
        <is>
          <t>A 64380-2023</t>
        </is>
      </c>
      <c r="B152" s="1" t="n">
        <v>45280</v>
      </c>
      <c r="C152" s="1" t="n">
        <v>45635</v>
      </c>
      <c r="D152" t="inlineStr">
        <is>
          <t>JÄMTLANDS LÄN</t>
        </is>
      </c>
      <c r="E152" t="inlineStr">
        <is>
          <t>ÖSTERSUND</t>
        </is>
      </c>
      <c r="G152" t="n">
        <v>12.4</v>
      </c>
      <c r="H152" t="n">
        <v>0</v>
      </c>
      <c r="I152" t="n">
        <v>0</v>
      </c>
      <c r="J152" t="n">
        <v>1</v>
      </c>
      <c r="K152" t="n">
        <v>0</v>
      </c>
      <c r="L152" t="n">
        <v>0</v>
      </c>
      <c r="M152" t="n">
        <v>0</v>
      </c>
      <c r="N152" t="n">
        <v>0</v>
      </c>
      <c r="O152" t="n">
        <v>1</v>
      </c>
      <c r="P152" t="n">
        <v>0</v>
      </c>
      <c r="Q152" t="n">
        <v>1</v>
      </c>
      <c r="R152" s="2" t="inlineStr">
        <is>
          <t>Luddfingersvamp</t>
        </is>
      </c>
      <c r="S152">
        <f>HYPERLINK("https://klasma.github.io/Logging_2380/artfynd/A 64380-2023 artfynd.xlsx", "A 64380-2023")</f>
        <v/>
      </c>
      <c r="T152">
        <f>HYPERLINK("https://klasma.github.io/Logging_2380/kartor/A 64380-2023 karta.png", "A 64380-2023")</f>
        <v/>
      </c>
      <c r="V152">
        <f>HYPERLINK("https://klasma.github.io/Logging_2380/klagomål/A 64380-2023 FSC-klagomål.docx", "A 64380-2023")</f>
        <v/>
      </c>
      <c r="W152">
        <f>HYPERLINK("https://klasma.github.io/Logging_2380/klagomålsmail/A 64380-2023 FSC-klagomål mail.docx", "A 64380-2023")</f>
        <v/>
      </c>
      <c r="X152">
        <f>HYPERLINK("https://klasma.github.io/Logging_2380/tillsyn/A 64380-2023 tillsynsbegäran.docx", "A 64380-2023")</f>
        <v/>
      </c>
      <c r="Y152">
        <f>HYPERLINK("https://klasma.github.io/Logging_2380/tillsynsmail/A 64380-2023 tillsynsbegäran mail.docx", "A 64380-2023")</f>
        <v/>
      </c>
    </row>
    <row r="153" ht="15" customHeight="1">
      <c r="A153" t="inlineStr">
        <is>
          <t>A 3272-2024</t>
        </is>
      </c>
      <c r="B153" s="1" t="n">
        <v>45316</v>
      </c>
      <c r="C153" s="1" t="n">
        <v>45635</v>
      </c>
      <c r="D153" t="inlineStr">
        <is>
          <t>JÄMTLANDS LÄN</t>
        </is>
      </c>
      <c r="E153" t="inlineStr">
        <is>
          <t>ÖSTERSUND</t>
        </is>
      </c>
      <c r="G153" t="n">
        <v>5.6</v>
      </c>
      <c r="H153" t="n">
        <v>1</v>
      </c>
      <c r="I153" t="n">
        <v>1</v>
      </c>
      <c r="J153" t="n">
        <v>0</v>
      </c>
      <c r="K153" t="n">
        <v>0</v>
      </c>
      <c r="L153" t="n">
        <v>0</v>
      </c>
      <c r="M153" t="n">
        <v>0</v>
      </c>
      <c r="N153" t="n">
        <v>0</v>
      </c>
      <c r="O153" t="n">
        <v>0</v>
      </c>
      <c r="P153" t="n">
        <v>0</v>
      </c>
      <c r="Q153" t="n">
        <v>1</v>
      </c>
      <c r="R153" s="2" t="inlineStr">
        <is>
          <t>Korallrot</t>
        </is>
      </c>
      <c r="S153">
        <f>HYPERLINK("https://klasma.github.io/Logging_2380/artfynd/A 3272-2024 artfynd.xlsx", "A 3272-2024")</f>
        <v/>
      </c>
      <c r="T153">
        <f>HYPERLINK("https://klasma.github.io/Logging_2380/kartor/A 3272-2024 karta.png", "A 3272-2024")</f>
        <v/>
      </c>
      <c r="V153">
        <f>HYPERLINK("https://klasma.github.io/Logging_2380/klagomål/A 3272-2024 FSC-klagomål.docx", "A 3272-2024")</f>
        <v/>
      </c>
      <c r="W153">
        <f>HYPERLINK("https://klasma.github.io/Logging_2380/klagomålsmail/A 3272-2024 FSC-klagomål mail.docx", "A 3272-2024")</f>
        <v/>
      </c>
      <c r="X153">
        <f>HYPERLINK("https://klasma.github.io/Logging_2380/tillsyn/A 3272-2024 tillsynsbegäran.docx", "A 3272-2024")</f>
        <v/>
      </c>
      <c r="Y153">
        <f>HYPERLINK("https://klasma.github.io/Logging_2380/tillsynsmail/A 3272-2024 tillsynsbegäran mail.docx", "A 3272-2024")</f>
        <v/>
      </c>
    </row>
    <row r="154" ht="15" customHeight="1">
      <c r="A154" t="inlineStr">
        <is>
          <t>A 5781-2024</t>
        </is>
      </c>
      <c r="B154" s="1" t="n">
        <v>45335</v>
      </c>
      <c r="C154" s="1" t="n">
        <v>45635</v>
      </c>
      <c r="D154" t="inlineStr">
        <is>
          <t>JÄMTLANDS LÄN</t>
        </is>
      </c>
      <c r="E154" t="inlineStr">
        <is>
          <t>ÖSTERSUND</t>
        </is>
      </c>
      <c r="G154" t="n">
        <v>8.800000000000001</v>
      </c>
      <c r="H154" t="n">
        <v>1</v>
      </c>
      <c r="I154" t="n">
        <v>1</v>
      </c>
      <c r="J154" t="n">
        <v>0</v>
      </c>
      <c r="K154" t="n">
        <v>0</v>
      </c>
      <c r="L154" t="n">
        <v>0</v>
      </c>
      <c r="M154" t="n">
        <v>0</v>
      </c>
      <c r="N154" t="n">
        <v>0</v>
      </c>
      <c r="O154" t="n">
        <v>0</v>
      </c>
      <c r="P154" t="n">
        <v>0</v>
      </c>
      <c r="Q154" t="n">
        <v>1</v>
      </c>
      <c r="R154" s="2" t="inlineStr">
        <is>
          <t>Guckusko</t>
        </is>
      </c>
      <c r="S154">
        <f>HYPERLINK("https://klasma.github.io/Logging_2380/artfynd/A 5781-2024 artfynd.xlsx", "A 5781-2024")</f>
        <v/>
      </c>
      <c r="T154">
        <f>HYPERLINK("https://klasma.github.io/Logging_2380/kartor/A 5781-2024 karta.png", "A 5781-2024")</f>
        <v/>
      </c>
      <c r="V154">
        <f>HYPERLINK("https://klasma.github.io/Logging_2380/klagomål/A 5781-2024 FSC-klagomål.docx", "A 5781-2024")</f>
        <v/>
      </c>
      <c r="W154">
        <f>HYPERLINK("https://klasma.github.io/Logging_2380/klagomålsmail/A 5781-2024 FSC-klagomål mail.docx", "A 5781-2024")</f>
        <v/>
      </c>
      <c r="X154">
        <f>HYPERLINK("https://klasma.github.io/Logging_2380/tillsyn/A 5781-2024 tillsynsbegäran.docx", "A 5781-2024")</f>
        <v/>
      </c>
      <c r="Y154">
        <f>HYPERLINK("https://klasma.github.io/Logging_2380/tillsynsmail/A 5781-2024 tillsynsbegäran mail.docx", "A 5781-2024")</f>
        <v/>
      </c>
    </row>
    <row r="155" ht="15" customHeight="1">
      <c r="A155" t="inlineStr">
        <is>
          <t>A 5779-2024</t>
        </is>
      </c>
      <c r="B155" s="1" t="n">
        <v>45335</v>
      </c>
      <c r="C155" s="1" t="n">
        <v>45635</v>
      </c>
      <c r="D155" t="inlineStr">
        <is>
          <t>JÄMTLANDS LÄN</t>
        </is>
      </c>
      <c r="E155" t="inlineStr">
        <is>
          <t>ÖSTERSUND</t>
        </is>
      </c>
      <c r="G155" t="n">
        <v>9.9</v>
      </c>
      <c r="H155" t="n">
        <v>0</v>
      </c>
      <c r="I155" t="n">
        <v>1</v>
      </c>
      <c r="J155" t="n">
        <v>0</v>
      </c>
      <c r="K155" t="n">
        <v>0</v>
      </c>
      <c r="L155" t="n">
        <v>0</v>
      </c>
      <c r="M155" t="n">
        <v>0</v>
      </c>
      <c r="N155" t="n">
        <v>0</v>
      </c>
      <c r="O155" t="n">
        <v>0</v>
      </c>
      <c r="P155" t="n">
        <v>0</v>
      </c>
      <c r="Q155" t="n">
        <v>1</v>
      </c>
      <c r="R155" s="2" t="inlineStr">
        <is>
          <t>Kransrams</t>
        </is>
      </c>
      <c r="S155">
        <f>HYPERLINK("https://klasma.github.io/Logging_2380/artfynd/A 5779-2024 artfynd.xlsx", "A 5779-2024")</f>
        <v/>
      </c>
      <c r="T155">
        <f>HYPERLINK("https://klasma.github.io/Logging_2380/kartor/A 5779-2024 karta.png", "A 5779-2024")</f>
        <v/>
      </c>
      <c r="V155">
        <f>HYPERLINK("https://klasma.github.io/Logging_2380/klagomål/A 5779-2024 FSC-klagomål.docx", "A 5779-2024")</f>
        <v/>
      </c>
      <c r="W155">
        <f>HYPERLINK("https://klasma.github.io/Logging_2380/klagomålsmail/A 5779-2024 FSC-klagomål mail.docx", "A 5779-2024")</f>
        <v/>
      </c>
      <c r="X155">
        <f>HYPERLINK("https://klasma.github.io/Logging_2380/tillsyn/A 5779-2024 tillsynsbegäran.docx", "A 5779-2024")</f>
        <v/>
      </c>
      <c r="Y155">
        <f>HYPERLINK("https://klasma.github.io/Logging_2380/tillsynsmail/A 5779-2024 tillsynsbegäran mail.docx", "A 5779-2024")</f>
        <v/>
      </c>
    </row>
    <row r="156" ht="15" customHeight="1">
      <c r="A156" t="inlineStr">
        <is>
          <t>A 11513-2024</t>
        </is>
      </c>
      <c r="B156" s="1" t="n">
        <v>45372</v>
      </c>
      <c r="C156" s="1" t="n">
        <v>45635</v>
      </c>
      <c r="D156" t="inlineStr">
        <is>
          <t>JÄMTLANDS LÄN</t>
        </is>
      </c>
      <c r="E156" t="inlineStr">
        <is>
          <t>ÖSTERSUND</t>
        </is>
      </c>
      <c r="G156" t="n">
        <v>21.2</v>
      </c>
      <c r="H156" t="n">
        <v>0</v>
      </c>
      <c r="I156" t="n">
        <v>1</v>
      </c>
      <c r="J156" t="n">
        <v>0</v>
      </c>
      <c r="K156" t="n">
        <v>0</v>
      </c>
      <c r="L156" t="n">
        <v>0</v>
      </c>
      <c r="M156" t="n">
        <v>0</v>
      </c>
      <c r="N156" t="n">
        <v>0</v>
      </c>
      <c r="O156" t="n">
        <v>0</v>
      </c>
      <c r="P156" t="n">
        <v>0</v>
      </c>
      <c r="Q156" t="n">
        <v>1</v>
      </c>
      <c r="R156" s="2" t="inlineStr">
        <is>
          <t>Tibast</t>
        </is>
      </c>
      <c r="S156">
        <f>HYPERLINK("https://klasma.github.io/Logging_2380/artfynd/A 11513-2024 artfynd.xlsx", "A 11513-2024")</f>
        <v/>
      </c>
      <c r="T156">
        <f>HYPERLINK("https://klasma.github.io/Logging_2380/kartor/A 11513-2024 karta.png", "A 11513-2024")</f>
        <v/>
      </c>
      <c r="V156">
        <f>HYPERLINK("https://klasma.github.io/Logging_2380/klagomål/A 11513-2024 FSC-klagomål.docx", "A 11513-2024")</f>
        <v/>
      </c>
      <c r="W156">
        <f>HYPERLINK("https://klasma.github.io/Logging_2380/klagomålsmail/A 11513-2024 FSC-klagomål mail.docx", "A 11513-2024")</f>
        <v/>
      </c>
      <c r="X156">
        <f>HYPERLINK("https://klasma.github.io/Logging_2380/tillsyn/A 11513-2024 tillsynsbegäran.docx", "A 11513-2024")</f>
        <v/>
      </c>
      <c r="Y156">
        <f>HYPERLINK("https://klasma.github.io/Logging_2380/tillsynsmail/A 11513-2024 tillsynsbegäran mail.docx", "A 11513-2024")</f>
        <v/>
      </c>
    </row>
    <row r="157" ht="15" customHeight="1">
      <c r="A157" t="inlineStr">
        <is>
          <t>A 15090-2024</t>
        </is>
      </c>
      <c r="B157" s="1" t="n">
        <v>45399</v>
      </c>
      <c r="C157" s="1" t="n">
        <v>45635</v>
      </c>
      <c r="D157" t="inlineStr">
        <is>
          <t>JÄMTLANDS LÄN</t>
        </is>
      </c>
      <c r="E157" t="inlineStr">
        <is>
          <t>ÖSTERSUND</t>
        </is>
      </c>
      <c r="G157" t="n">
        <v>18</v>
      </c>
      <c r="H157" t="n">
        <v>0</v>
      </c>
      <c r="I157" t="n">
        <v>1</v>
      </c>
      <c r="J157" t="n">
        <v>0</v>
      </c>
      <c r="K157" t="n">
        <v>0</v>
      </c>
      <c r="L157" t="n">
        <v>0</v>
      </c>
      <c r="M157" t="n">
        <v>0</v>
      </c>
      <c r="N157" t="n">
        <v>0</v>
      </c>
      <c r="O157" t="n">
        <v>0</v>
      </c>
      <c r="P157" t="n">
        <v>0</v>
      </c>
      <c r="Q157" t="n">
        <v>1</v>
      </c>
      <c r="R157" s="2" t="inlineStr">
        <is>
          <t>Svavelriska</t>
        </is>
      </c>
      <c r="S157">
        <f>HYPERLINK("https://klasma.github.io/Logging_2380/artfynd/A 15090-2024 artfynd.xlsx", "A 15090-2024")</f>
        <v/>
      </c>
      <c r="T157">
        <f>HYPERLINK("https://klasma.github.io/Logging_2380/kartor/A 15090-2024 karta.png", "A 15090-2024")</f>
        <v/>
      </c>
      <c r="V157">
        <f>HYPERLINK("https://klasma.github.io/Logging_2380/klagomål/A 15090-2024 FSC-klagomål.docx", "A 15090-2024")</f>
        <v/>
      </c>
      <c r="W157">
        <f>HYPERLINK("https://klasma.github.io/Logging_2380/klagomålsmail/A 15090-2024 FSC-klagomål mail.docx", "A 15090-2024")</f>
        <v/>
      </c>
      <c r="X157">
        <f>HYPERLINK("https://klasma.github.io/Logging_2380/tillsyn/A 15090-2024 tillsynsbegäran.docx", "A 15090-2024")</f>
        <v/>
      </c>
      <c r="Y157">
        <f>HYPERLINK("https://klasma.github.io/Logging_2380/tillsynsmail/A 15090-2024 tillsynsbegäran mail.docx", "A 15090-2024")</f>
        <v/>
      </c>
    </row>
    <row r="158" ht="15" customHeight="1">
      <c r="A158" t="inlineStr">
        <is>
          <t>A 18951-2024</t>
        </is>
      </c>
      <c r="B158" s="1" t="n">
        <v>45427</v>
      </c>
      <c r="C158" s="1" t="n">
        <v>45635</v>
      </c>
      <c r="D158" t="inlineStr">
        <is>
          <t>JÄMTLANDS LÄN</t>
        </is>
      </c>
      <c r="E158" t="inlineStr">
        <is>
          <t>ÖSTERSUND</t>
        </is>
      </c>
      <c r="G158" t="n">
        <v>1.7</v>
      </c>
      <c r="H158" t="n">
        <v>1</v>
      </c>
      <c r="I158" t="n">
        <v>0</v>
      </c>
      <c r="J158" t="n">
        <v>0</v>
      </c>
      <c r="K158" t="n">
        <v>0</v>
      </c>
      <c r="L158" t="n">
        <v>0</v>
      </c>
      <c r="M158" t="n">
        <v>0</v>
      </c>
      <c r="N158" t="n">
        <v>0</v>
      </c>
      <c r="O158" t="n">
        <v>0</v>
      </c>
      <c r="P158" t="n">
        <v>0</v>
      </c>
      <c r="Q158" t="n">
        <v>1</v>
      </c>
      <c r="R158" s="2" t="inlineStr">
        <is>
          <t>Blåsippa</t>
        </is>
      </c>
      <c r="S158">
        <f>HYPERLINK("https://klasma.github.io/Logging_2380/artfynd/A 18951-2024 artfynd.xlsx", "A 18951-2024")</f>
        <v/>
      </c>
      <c r="T158">
        <f>HYPERLINK("https://klasma.github.io/Logging_2380/kartor/A 18951-2024 karta.png", "A 18951-2024")</f>
        <v/>
      </c>
      <c r="V158">
        <f>HYPERLINK("https://klasma.github.io/Logging_2380/klagomål/A 18951-2024 FSC-klagomål.docx", "A 18951-2024")</f>
        <v/>
      </c>
      <c r="W158">
        <f>HYPERLINK("https://klasma.github.io/Logging_2380/klagomålsmail/A 18951-2024 FSC-klagomål mail.docx", "A 18951-2024")</f>
        <v/>
      </c>
      <c r="X158">
        <f>HYPERLINK("https://klasma.github.io/Logging_2380/tillsyn/A 18951-2024 tillsynsbegäran.docx", "A 18951-2024")</f>
        <v/>
      </c>
      <c r="Y158">
        <f>HYPERLINK("https://klasma.github.io/Logging_2380/tillsynsmail/A 18951-2024 tillsynsbegäran mail.docx", "A 18951-2024")</f>
        <v/>
      </c>
    </row>
    <row r="159" ht="15" customHeight="1">
      <c r="A159" t="inlineStr">
        <is>
          <t>A 21614-2024</t>
        </is>
      </c>
      <c r="B159" s="1" t="n">
        <v>45442</v>
      </c>
      <c r="C159" s="1" t="n">
        <v>45635</v>
      </c>
      <c r="D159" t="inlineStr">
        <is>
          <t>JÄMTLANDS LÄN</t>
        </is>
      </c>
      <c r="E159" t="inlineStr">
        <is>
          <t>ÖSTERSUND</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HYPERLINK("https://klasma.github.io/Logging_2380/artfynd/A 21614-2024 artfynd.xlsx", "A 21614-2024")</f>
        <v/>
      </c>
      <c r="T159">
        <f>HYPERLINK("https://klasma.github.io/Logging_2380/kartor/A 21614-2024 karta.png", "A 21614-2024")</f>
        <v/>
      </c>
      <c r="U159">
        <f>HYPERLINK("https://klasma.github.io/Logging_2380/knärot/A 21614-2024 karta knärot.png", "A 21614-2024")</f>
        <v/>
      </c>
      <c r="V159">
        <f>HYPERLINK("https://klasma.github.io/Logging_2380/klagomål/A 21614-2024 FSC-klagomål.docx", "A 21614-2024")</f>
        <v/>
      </c>
      <c r="W159">
        <f>HYPERLINK("https://klasma.github.io/Logging_2380/klagomålsmail/A 21614-2024 FSC-klagomål mail.docx", "A 21614-2024")</f>
        <v/>
      </c>
      <c r="X159">
        <f>HYPERLINK("https://klasma.github.io/Logging_2380/tillsyn/A 21614-2024 tillsynsbegäran.docx", "A 21614-2024")</f>
        <v/>
      </c>
      <c r="Y159">
        <f>HYPERLINK("https://klasma.github.io/Logging_2380/tillsynsmail/A 21614-2024 tillsynsbegäran mail.docx", "A 21614-2024")</f>
        <v/>
      </c>
    </row>
    <row r="160" ht="15" customHeight="1">
      <c r="A160" t="inlineStr">
        <is>
          <t>A 31883-2024</t>
        </is>
      </c>
      <c r="B160" s="1" t="n">
        <v>45510</v>
      </c>
      <c r="C160" s="1" t="n">
        <v>45635</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35422-2024</t>
        </is>
      </c>
      <c r="B161" s="1" t="n">
        <v>45531</v>
      </c>
      <c r="C161" s="1" t="n">
        <v>45635</v>
      </c>
      <c r="D161" t="inlineStr">
        <is>
          <t>JÄMTLANDS LÄN</t>
        </is>
      </c>
      <c r="E161" t="inlineStr">
        <is>
          <t>ÖSTERSUND</t>
        </is>
      </c>
      <c r="F161" t="inlineStr">
        <is>
          <t>SCA</t>
        </is>
      </c>
      <c r="G161" t="n">
        <v>1.9</v>
      </c>
      <c r="H161" t="n">
        <v>0</v>
      </c>
      <c r="I161" t="n">
        <v>0</v>
      </c>
      <c r="J161" t="n">
        <v>1</v>
      </c>
      <c r="K161" t="n">
        <v>0</v>
      </c>
      <c r="L161" t="n">
        <v>0</v>
      </c>
      <c r="M161" t="n">
        <v>0</v>
      </c>
      <c r="N161" t="n">
        <v>0</v>
      </c>
      <c r="O161" t="n">
        <v>1</v>
      </c>
      <c r="P161" t="n">
        <v>0</v>
      </c>
      <c r="Q161" t="n">
        <v>1</v>
      </c>
      <c r="R161" s="2" t="inlineStr">
        <is>
          <t>Lunglav</t>
        </is>
      </c>
      <c r="S161">
        <f>HYPERLINK("https://klasma.github.io/Logging_2380/artfynd/A 35422-2024 artfynd.xlsx", "A 35422-2024")</f>
        <v/>
      </c>
      <c r="T161">
        <f>HYPERLINK("https://klasma.github.io/Logging_2380/kartor/A 35422-2024 karta.png", "A 35422-2024")</f>
        <v/>
      </c>
      <c r="V161">
        <f>HYPERLINK("https://klasma.github.io/Logging_2380/klagomål/A 35422-2024 FSC-klagomål.docx", "A 35422-2024")</f>
        <v/>
      </c>
      <c r="W161">
        <f>HYPERLINK("https://klasma.github.io/Logging_2380/klagomålsmail/A 35422-2024 FSC-klagomål mail.docx", "A 35422-2024")</f>
        <v/>
      </c>
      <c r="X161">
        <f>HYPERLINK("https://klasma.github.io/Logging_2380/tillsyn/A 35422-2024 tillsynsbegäran.docx", "A 35422-2024")</f>
        <v/>
      </c>
      <c r="Y161">
        <f>HYPERLINK("https://klasma.github.io/Logging_2380/tillsynsmail/A 35422-2024 tillsynsbegäran mail.docx", "A 35422-2024")</f>
        <v/>
      </c>
    </row>
    <row r="162" ht="15" customHeight="1">
      <c r="A162" t="inlineStr">
        <is>
          <t>A 35421-2024</t>
        </is>
      </c>
      <c r="B162" s="1" t="n">
        <v>45531</v>
      </c>
      <c r="C162" s="1" t="n">
        <v>45635</v>
      </c>
      <c r="D162" t="inlineStr">
        <is>
          <t>JÄMTLANDS LÄN</t>
        </is>
      </c>
      <c r="E162" t="inlineStr">
        <is>
          <t>ÖSTERSUND</t>
        </is>
      </c>
      <c r="F162" t="inlineStr">
        <is>
          <t>SCA</t>
        </is>
      </c>
      <c r="G162" t="n">
        <v>1.6</v>
      </c>
      <c r="H162" t="n">
        <v>0</v>
      </c>
      <c r="I162" t="n">
        <v>1</v>
      </c>
      <c r="J162" t="n">
        <v>0</v>
      </c>
      <c r="K162" t="n">
        <v>0</v>
      </c>
      <c r="L162" t="n">
        <v>0</v>
      </c>
      <c r="M162" t="n">
        <v>0</v>
      </c>
      <c r="N162" t="n">
        <v>0</v>
      </c>
      <c r="O162" t="n">
        <v>0</v>
      </c>
      <c r="P162" t="n">
        <v>0</v>
      </c>
      <c r="Q162" t="n">
        <v>1</v>
      </c>
      <c r="R162" s="2" t="inlineStr">
        <is>
          <t>Dropptaggsvamp</t>
        </is>
      </c>
      <c r="S162">
        <f>HYPERLINK("https://klasma.github.io/Logging_2380/artfynd/A 35421-2024 artfynd.xlsx", "A 35421-2024")</f>
        <v/>
      </c>
      <c r="T162">
        <f>HYPERLINK("https://klasma.github.io/Logging_2380/kartor/A 35421-2024 karta.png", "A 35421-2024")</f>
        <v/>
      </c>
      <c r="V162">
        <f>HYPERLINK("https://klasma.github.io/Logging_2380/klagomål/A 35421-2024 FSC-klagomål.docx", "A 35421-2024")</f>
        <v/>
      </c>
      <c r="W162">
        <f>HYPERLINK("https://klasma.github.io/Logging_2380/klagomålsmail/A 35421-2024 FSC-klagomål mail.docx", "A 35421-2024")</f>
        <v/>
      </c>
      <c r="X162">
        <f>HYPERLINK("https://klasma.github.io/Logging_2380/tillsyn/A 35421-2024 tillsynsbegäran.docx", "A 35421-2024")</f>
        <v/>
      </c>
      <c r="Y162">
        <f>HYPERLINK("https://klasma.github.io/Logging_2380/tillsynsmail/A 35421-2024 tillsynsbegäran mail.docx", "A 35421-2024")</f>
        <v/>
      </c>
    </row>
    <row r="163" ht="15" customHeight="1">
      <c r="A163" t="inlineStr">
        <is>
          <t>A 36472-2024</t>
        </is>
      </c>
      <c r="B163" s="1" t="n">
        <v>45537</v>
      </c>
      <c r="C163" s="1" t="n">
        <v>45635</v>
      </c>
      <c r="D163" t="inlineStr">
        <is>
          <t>JÄMTLANDS LÄN</t>
        </is>
      </c>
      <c r="E163" t="inlineStr">
        <is>
          <t>ÖSTERSUND</t>
        </is>
      </c>
      <c r="F163" t="inlineStr">
        <is>
          <t>SCA</t>
        </is>
      </c>
      <c r="G163" t="n">
        <v>2.1</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36472-2024 artfynd.xlsx", "A 36472-2024")</f>
        <v/>
      </c>
      <c r="T163">
        <f>HYPERLINK("https://klasma.github.io/Logging_2380/kartor/A 36472-2024 karta.png", "A 36472-2024")</f>
        <v/>
      </c>
      <c r="V163">
        <f>HYPERLINK("https://klasma.github.io/Logging_2380/klagomål/A 36472-2024 FSC-klagomål.docx", "A 36472-2024")</f>
        <v/>
      </c>
      <c r="W163">
        <f>HYPERLINK("https://klasma.github.io/Logging_2380/klagomålsmail/A 36472-2024 FSC-klagomål mail.docx", "A 36472-2024")</f>
        <v/>
      </c>
      <c r="X163">
        <f>HYPERLINK("https://klasma.github.io/Logging_2380/tillsyn/A 36472-2024 tillsynsbegäran.docx", "A 36472-2024")</f>
        <v/>
      </c>
      <c r="Y163">
        <f>HYPERLINK("https://klasma.github.io/Logging_2380/tillsynsmail/A 36472-2024 tillsynsbegäran mail.docx", "A 36472-2024")</f>
        <v/>
      </c>
    </row>
    <row r="164" ht="15" customHeight="1">
      <c r="A164" t="inlineStr">
        <is>
          <t>A 40694-2024</t>
        </is>
      </c>
      <c r="B164" s="1" t="n">
        <v>45558</v>
      </c>
      <c r="C164" s="1" t="n">
        <v>45635</v>
      </c>
      <c r="D164" t="inlineStr">
        <is>
          <t>JÄMTLANDS LÄN</t>
        </is>
      </c>
      <c r="E164" t="inlineStr">
        <is>
          <t>ÖSTERSUND</t>
        </is>
      </c>
      <c r="F164" t="inlineStr">
        <is>
          <t>SCA</t>
        </is>
      </c>
      <c r="G164" t="n">
        <v>6.2</v>
      </c>
      <c r="H164" t="n">
        <v>0</v>
      </c>
      <c r="I164" t="n">
        <v>0</v>
      </c>
      <c r="J164" t="n">
        <v>1</v>
      </c>
      <c r="K164" t="n">
        <v>0</v>
      </c>
      <c r="L164" t="n">
        <v>0</v>
      </c>
      <c r="M164" t="n">
        <v>0</v>
      </c>
      <c r="N164" t="n">
        <v>0</v>
      </c>
      <c r="O164" t="n">
        <v>1</v>
      </c>
      <c r="P164" t="n">
        <v>0</v>
      </c>
      <c r="Q164" t="n">
        <v>1</v>
      </c>
      <c r="R164" s="2" t="inlineStr">
        <is>
          <t>Reliktbock</t>
        </is>
      </c>
      <c r="S164">
        <f>HYPERLINK("https://klasma.github.io/Logging_2380/artfynd/A 40694-2024 artfynd.xlsx", "A 40694-2024")</f>
        <v/>
      </c>
      <c r="T164">
        <f>HYPERLINK("https://klasma.github.io/Logging_2380/kartor/A 40694-2024 karta.png", "A 40694-2024")</f>
        <v/>
      </c>
      <c r="V164">
        <f>HYPERLINK("https://klasma.github.io/Logging_2380/klagomål/A 40694-2024 FSC-klagomål.docx", "A 40694-2024")</f>
        <v/>
      </c>
      <c r="W164">
        <f>HYPERLINK("https://klasma.github.io/Logging_2380/klagomålsmail/A 40694-2024 FSC-klagomål mail.docx", "A 40694-2024")</f>
        <v/>
      </c>
      <c r="X164">
        <f>HYPERLINK("https://klasma.github.io/Logging_2380/tillsyn/A 40694-2024 tillsynsbegäran.docx", "A 40694-2024")</f>
        <v/>
      </c>
      <c r="Y164">
        <f>HYPERLINK("https://klasma.github.io/Logging_2380/tillsynsmail/A 40694-2024 tillsynsbegäran mail.docx", "A 40694-2024")</f>
        <v/>
      </c>
    </row>
    <row r="165" ht="15" customHeight="1">
      <c r="A165" t="inlineStr">
        <is>
          <t>A 40692-2024</t>
        </is>
      </c>
      <c r="B165" s="1" t="n">
        <v>45558</v>
      </c>
      <c r="C165" s="1" t="n">
        <v>45635</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40696-2024</t>
        </is>
      </c>
      <c r="B166" s="1" t="n">
        <v>45558</v>
      </c>
      <c r="C166" s="1" t="n">
        <v>45635</v>
      </c>
      <c r="D166" t="inlineStr">
        <is>
          <t>JÄMTLANDS LÄN</t>
        </is>
      </c>
      <c r="E166" t="inlineStr">
        <is>
          <t>ÖSTERSUND</t>
        </is>
      </c>
      <c r="F166" t="inlineStr">
        <is>
          <t>SCA</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HYPERLINK("https://klasma.github.io/Logging_2380/artfynd/A 40696-2024 artfynd.xlsx", "A 40696-2024")</f>
        <v/>
      </c>
      <c r="T166">
        <f>HYPERLINK("https://klasma.github.io/Logging_2380/kartor/A 40696-2024 karta.png", "A 40696-2024")</f>
        <v/>
      </c>
      <c r="V166">
        <f>HYPERLINK("https://klasma.github.io/Logging_2380/klagomål/A 40696-2024 FSC-klagomål.docx", "A 40696-2024")</f>
        <v/>
      </c>
      <c r="W166">
        <f>HYPERLINK("https://klasma.github.io/Logging_2380/klagomålsmail/A 40696-2024 FSC-klagomål mail.docx", "A 40696-2024")</f>
        <v/>
      </c>
      <c r="X166">
        <f>HYPERLINK("https://klasma.github.io/Logging_2380/tillsyn/A 40696-2024 tillsynsbegäran.docx", "A 40696-2024")</f>
        <v/>
      </c>
      <c r="Y166">
        <f>HYPERLINK("https://klasma.github.io/Logging_2380/tillsynsmail/A 40696-2024 tillsynsbegäran mail.docx", "A 40696-2024")</f>
        <v/>
      </c>
    </row>
    <row r="167" ht="15" customHeight="1">
      <c r="A167" t="inlineStr">
        <is>
          <t>A 41312-2024</t>
        </is>
      </c>
      <c r="B167" s="1" t="n">
        <v>45559</v>
      </c>
      <c r="C167" s="1" t="n">
        <v>45635</v>
      </c>
      <c r="D167" t="inlineStr">
        <is>
          <t>JÄMTLANDS LÄN</t>
        </is>
      </c>
      <c r="E167" t="inlineStr">
        <is>
          <t>ÖSTERSUND</t>
        </is>
      </c>
      <c r="F167" t="inlineStr">
        <is>
          <t>SCA</t>
        </is>
      </c>
      <c r="G167" t="n">
        <v>2.6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41312-2024 artfynd.xlsx", "A 41312-2024")</f>
        <v/>
      </c>
      <c r="T167">
        <f>HYPERLINK("https://klasma.github.io/Logging_2380/kartor/A 41312-2024 karta.png", "A 41312-2024")</f>
        <v/>
      </c>
      <c r="V167">
        <f>HYPERLINK("https://klasma.github.io/Logging_2380/klagomål/A 41312-2024 FSC-klagomål.docx", "A 41312-2024")</f>
        <v/>
      </c>
      <c r="W167">
        <f>HYPERLINK("https://klasma.github.io/Logging_2380/klagomålsmail/A 41312-2024 FSC-klagomål mail.docx", "A 41312-2024")</f>
        <v/>
      </c>
      <c r="X167">
        <f>HYPERLINK("https://klasma.github.io/Logging_2380/tillsyn/A 41312-2024 tillsynsbegäran.docx", "A 41312-2024")</f>
        <v/>
      </c>
      <c r="Y167">
        <f>HYPERLINK("https://klasma.github.io/Logging_2380/tillsynsmail/A 41312-2024 tillsynsbegäran mail.docx", "A 41312-2024")</f>
        <v/>
      </c>
    </row>
    <row r="168" ht="15" customHeight="1">
      <c r="A168" t="inlineStr">
        <is>
          <t>A 41275-2024</t>
        </is>
      </c>
      <c r="B168" s="1" t="n">
        <v>45559</v>
      </c>
      <c r="C168" s="1" t="n">
        <v>45635</v>
      </c>
      <c r="D168" t="inlineStr">
        <is>
          <t>JÄMTLANDS LÄN</t>
        </is>
      </c>
      <c r="E168" t="inlineStr">
        <is>
          <t>ÖSTERSUND</t>
        </is>
      </c>
      <c r="F168" t="inlineStr">
        <is>
          <t>SCA</t>
        </is>
      </c>
      <c r="G168" t="n">
        <v>3.3</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41275-2024 artfynd.xlsx", "A 41275-2024")</f>
        <v/>
      </c>
      <c r="T168">
        <f>HYPERLINK("https://klasma.github.io/Logging_2380/kartor/A 41275-2024 karta.png", "A 41275-2024")</f>
        <v/>
      </c>
      <c r="V168">
        <f>HYPERLINK("https://klasma.github.io/Logging_2380/klagomål/A 41275-2024 FSC-klagomål.docx", "A 41275-2024")</f>
        <v/>
      </c>
      <c r="W168">
        <f>HYPERLINK("https://klasma.github.io/Logging_2380/klagomålsmail/A 41275-2024 FSC-klagomål mail.docx", "A 41275-2024")</f>
        <v/>
      </c>
      <c r="X168">
        <f>HYPERLINK("https://klasma.github.io/Logging_2380/tillsyn/A 41275-2024 tillsynsbegäran.docx", "A 41275-2024")</f>
        <v/>
      </c>
      <c r="Y168">
        <f>HYPERLINK("https://klasma.github.io/Logging_2380/tillsynsmail/A 41275-2024 tillsynsbegäran mail.docx", "A 41275-2024")</f>
        <v/>
      </c>
    </row>
    <row r="169" ht="15" customHeight="1">
      <c r="A169" t="inlineStr">
        <is>
          <t>A 41279-2024</t>
        </is>
      </c>
      <c r="B169" s="1" t="n">
        <v>45559</v>
      </c>
      <c r="C169" s="1" t="n">
        <v>45635</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41286-2024</t>
        </is>
      </c>
      <c r="B170" s="1" t="n">
        <v>45559</v>
      </c>
      <c r="C170" s="1" t="n">
        <v>45635</v>
      </c>
      <c r="D170" t="inlineStr">
        <is>
          <t>JÄMTLANDS LÄN</t>
        </is>
      </c>
      <c r="E170" t="inlineStr">
        <is>
          <t>ÖSTERSUND</t>
        </is>
      </c>
      <c r="F170" t="inlineStr">
        <is>
          <t>SCA</t>
        </is>
      </c>
      <c r="G170" t="n">
        <v>4.4</v>
      </c>
      <c r="H170" t="n">
        <v>0</v>
      </c>
      <c r="I170" t="n">
        <v>0</v>
      </c>
      <c r="J170" t="n">
        <v>1</v>
      </c>
      <c r="K170" t="n">
        <v>0</v>
      </c>
      <c r="L170" t="n">
        <v>0</v>
      </c>
      <c r="M170" t="n">
        <v>0</v>
      </c>
      <c r="N170" t="n">
        <v>0</v>
      </c>
      <c r="O170" t="n">
        <v>1</v>
      </c>
      <c r="P170" t="n">
        <v>0</v>
      </c>
      <c r="Q170" t="n">
        <v>1</v>
      </c>
      <c r="R170" s="2" t="inlineStr">
        <is>
          <t>Lunglav</t>
        </is>
      </c>
      <c r="S170">
        <f>HYPERLINK("https://klasma.github.io/Logging_2380/artfynd/A 41286-2024 artfynd.xlsx", "A 41286-2024")</f>
        <v/>
      </c>
      <c r="T170">
        <f>HYPERLINK("https://klasma.github.io/Logging_2380/kartor/A 41286-2024 karta.png", "A 41286-2024")</f>
        <v/>
      </c>
      <c r="V170">
        <f>HYPERLINK("https://klasma.github.io/Logging_2380/klagomål/A 41286-2024 FSC-klagomål.docx", "A 41286-2024")</f>
        <v/>
      </c>
      <c r="W170">
        <f>HYPERLINK("https://klasma.github.io/Logging_2380/klagomålsmail/A 41286-2024 FSC-klagomål mail.docx", "A 41286-2024")</f>
        <v/>
      </c>
      <c r="X170">
        <f>HYPERLINK("https://klasma.github.io/Logging_2380/tillsyn/A 41286-2024 tillsynsbegäran.docx", "A 41286-2024")</f>
        <v/>
      </c>
      <c r="Y170">
        <f>HYPERLINK("https://klasma.github.io/Logging_2380/tillsynsmail/A 41286-2024 tillsynsbegäran mail.docx", "A 41286-2024")</f>
        <v/>
      </c>
    </row>
    <row r="171" ht="15" customHeight="1">
      <c r="A171" t="inlineStr">
        <is>
          <t>A 41755-2024</t>
        </is>
      </c>
      <c r="B171" s="1" t="n">
        <v>45561</v>
      </c>
      <c r="C171" s="1" t="n">
        <v>45635</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41755-2024 artfynd.xlsx", "A 41755-2024")</f>
        <v/>
      </c>
      <c r="T171">
        <f>HYPERLINK("https://klasma.github.io/Logging_2380/kartor/A 41755-2024 karta.png", "A 41755-2024")</f>
        <v/>
      </c>
      <c r="V171">
        <f>HYPERLINK("https://klasma.github.io/Logging_2380/klagomål/A 41755-2024 FSC-klagomål.docx", "A 41755-2024")</f>
        <v/>
      </c>
      <c r="W171">
        <f>HYPERLINK("https://klasma.github.io/Logging_2380/klagomålsmail/A 41755-2024 FSC-klagomål mail.docx", "A 41755-2024")</f>
        <v/>
      </c>
      <c r="X171">
        <f>HYPERLINK("https://klasma.github.io/Logging_2380/tillsyn/A 41755-2024 tillsynsbegäran.docx", "A 41755-2024")</f>
        <v/>
      </c>
      <c r="Y171">
        <f>HYPERLINK("https://klasma.github.io/Logging_2380/tillsynsmail/A 41755-2024 tillsynsbegäran mail.docx", "A 41755-2024")</f>
        <v/>
      </c>
    </row>
    <row r="172" ht="15" customHeight="1">
      <c r="A172" t="inlineStr">
        <is>
          <t>A 41762-2024</t>
        </is>
      </c>
      <c r="B172" s="1" t="n">
        <v>45561</v>
      </c>
      <c r="C172" s="1" t="n">
        <v>45635</v>
      </c>
      <c r="D172" t="inlineStr">
        <is>
          <t>JÄMTLANDS LÄN</t>
        </is>
      </c>
      <c r="E172" t="inlineStr">
        <is>
          <t>ÖSTERSUND</t>
        </is>
      </c>
      <c r="F172" t="inlineStr">
        <is>
          <t>SCA</t>
        </is>
      </c>
      <c r="G172" t="n">
        <v>5.9</v>
      </c>
      <c r="H172" t="n">
        <v>0</v>
      </c>
      <c r="I172" t="n">
        <v>1</v>
      </c>
      <c r="J172" t="n">
        <v>0</v>
      </c>
      <c r="K172" t="n">
        <v>0</v>
      </c>
      <c r="L172" t="n">
        <v>0</v>
      </c>
      <c r="M172" t="n">
        <v>0</v>
      </c>
      <c r="N172" t="n">
        <v>0</v>
      </c>
      <c r="O172" t="n">
        <v>0</v>
      </c>
      <c r="P172" t="n">
        <v>0</v>
      </c>
      <c r="Q172" t="n">
        <v>1</v>
      </c>
      <c r="R172" s="2" t="inlineStr">
        <is>
          <t>Dropptaggsvamp</t>
        </is>
      </c>
      <c r="S172">
        <f>HYPERLINK("https://klasma.github.io/Logging_2380/artfynd/A 41762-2024 artfynd.xlsx", "A 41762-2024")</f>
        <v/>
      </c>
      <c r="T172">
        <f>HYPERLINK("https://klasma.github.io/Logging_2380/kartor/A 41762-2024 karta.png", "A 41762-2024")</f>
        <v/>
      </c>
      <c r="V172">
        <f>HYPERLINK("https://klasma.github.io/Logging_2380/klagomål/A 41762-2024 FSC-klagomål.docx", "A 41762-2024")</f>
        <v/>
      </c>
      <c r="W172">
        <f>HYPERLINK("https://klasma.github.io/Logging_2380/klagomålsmail/A 41762-2024 FSC-klagomål mail.docx", "A 41762-2024")</f>
        <v/>
      </c>
      <c r="X172">
        <f>HYPERLINK("https://klasma.github.io/Logging_2380/tillsyn/A 41762-2024 tillsynsbegäran.docx", "A 41762-2024")</f>
        <v/>
      </c>
      <c r="Y172">
        <f>HYPERLINK("https://klasma.github.io/Logging_2380/tillsynsmail/A 41762-2024 tillsynsbegäran mail.docx", "A 41762-2024")</f>
        <v/>
      </c>
    </row>
    <row r="173" ht="15" customHeight="1">
      <c r="A173" t="inlineStr">
        <is>
          <t>A 41770-2024</t>
        </is>
      </c>
      <c r="B173" s="1" t="n">
        <v>45561</v>
      </c>
      <c r="C173" s="1" t="n">
        <v>45635</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44049-2024</t>
        </is>
      </c>
      <c r="B174" s="1" t="n">
        <v>45572</v>
      </c>
      <c r="C174" s="1" t="n">
        <v>45635</v>
      </c>
      <c r="D174" t="inlineStr">
        <is>
          <t>JÄMTLANDS LÄN</t>
        </is>
      </c>
      <c r="E174" t="inlineStr">
        <is>
          <t>ÖSTERSUND</t>
        </is>
      </c>
      <c r="F174" t="inlineStr">
        <is>
          <t>SCA</t>
        </is>
      </c>
      <c r="G174" t="n">
        <v>4.5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44049-2024 artfynd.xlsx", "A 44049-2024")</f>
        <v/>
      </c>
      <c r="T174">
        <f>HYPERLINK("https://klasma.github.io/Logging_2380/kartor/A 44049-2024 karta.png", "A 44049-2024")</f>
        <v/>
      </c>
      <c r="V174">
        <f>HYPERLINK("https://klasma.github.io/Logging_2380/klagomål/A 44049-2024 FSC-klagomål.docx", "A 44049-2024")</f>
        <v/>
      </c>
      <c r="W174">
        <f>HYPERLINK("https://klasma.github.io/Logging_2380/klagomålsmail/A 44049-2024 FSC-klagomål mail.docx", "A 44049-2024")</f>
        <v/>
      </c>
      <c r="X174">
        <f>HYPERLINK("https://klasma.github.io/Logging_2380/tillsyn/A 44049-2024 tillsynsbegäran.docx", "A 44049-2024")</f>
        <v/>
      </c>
      <c r="Y174">
        <f>HYPERLINK("https://klasma.github.io/Logging_2380/tillsynsmail/A 44049-2024 tillsynsbegäran mail.docx", "A 44049-2024")</f>
        <v/>
      </c>
    </row>
    <row r="175" ht="15" customHeight="1">
      <c r="A175" t="inlineStr">
        <is>
          <t>A 44737-2024</t>
        </is>
      </c>
      <c r="B175" s="1" t="n">
        <v>45574</v>
      </c>
      <c r="C175" s="1" t="n">
        <v>45635</v>
      </c>
      <c r="D175" t="inlineStr">
        <is>
          <t>JÄMTLANDS LÄN</t>
        </is>
      </c>
      <c r="E175" t="inlineStr">
        <is>
          <t>ÖSTERSUND</t>
        </is>
      </c>
      <c r="F175" t="inlineStr">
        <is>
          <t>SCA</t>
        </is>
      </c>
      <c r="G175" t="n">
        <v>6.3</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44737-2024 artfynd.xlsx", "A 44737-2024")</f>
        <v/>
      </c>
      <c r="T175">
        <f>HYPERLINK("https://klasma.github.io/Logging_2380/kartor/A 44737-2024 karta.png", "A 44737-2024")</f>
        <v/>
      </c>
      <c r="V175">
        <f>HYPERLINK("https://klasma.github.io/Logging_2380/klagomål/A 44737-2024 FSC-klagomål.docx", "A 44737-2024")</f>
        <v/>
      </c>
      <c r="W175">
        <f>HYPERLINK("https://klasma.github.io/Logging_2380/klagomålsmail/A 44737-2024 FSC-klagomål mail.docx", "A 44737-2024")</f>
        <v/>
      </c>
      <c r="X175">
        <f>HYPERLINK("https://klasma.github.io/Logging_2380/tillsyn/A 44737-2024 tillsynsbegäran.docx", "A 44737-2024")</f>
        <v/>
      </c>
      <c r="Y175">
        <f>HYPERLINK("https://klasma.github.io/Logging_2380/tillsynsmail/A 44737-2024 tillsynsbegäran mail.docx", "A 44737-2024")</f>
        <v/>
      </c>
    </row>
    <row r="176" ht="15" customHeight="1">
      <c r="A176" t="inlineStr">
        <is>
          <t>A 45267-2024</t>
        </is>
      </c>
      <c r="B176" s="1" t="n">
        <v>45576</v>
      </c>
      <c r="C176" s="1" t="n">
        <v>45635</v>
      </c>
      <c r="D176" t="inlineStr">
        <is>
          <t>JÄMTLANDS LÄN</t>
        </is>
      </c>
      <c r="E176" t="inlineStr">
        <is>
          <t>ÖSTERSUND</t>
        </is>
      </c>
      <c r="G176" t="n">
        <v>8.6</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45267-2024 artfynd.xlsx", "A 45267-2024")</f>
        <v/>
      </c>
      <c r="T176">
        <f>HYPERLINK("https://klasma.github.io/Logging_2380/kartor/A 45267-2024 karta.png", "A 45267-2024")</f>
        <v/>
      </c>
      <c r="V176">
        <f>HYPERLINK("https://klasma.github.io/Logging_2380/klagomål/A 45267-2024 FSC-klagomål.docx", "A 45267-2024")</f>
        <v/>
      </c>
      <c r="W176">
        <f>HYPERLINK("https://klasma.github.io/Logging_2380/klagomålsmail/A 45267-2024 FSC-klagomål mail.docx", "A 45267-2024")</f>
        <v/>
      </c>
      <c r="X176">
        <f>HYPERLINK("https://klasma.github.io/Logging_2380/tillsyn/A 45267-2024 tillsynsbegäran.docx", "A 45267-2024")</f>
        <v/>
      </c>
      <c r="Y176">
        <f>HYPERLINK("https://klasma.github.io/Logging_2380/tillsynsmail/A 45267-2024 tillsynsbegäran mail.docx", "A 45267-2024")</f>
        <v/>
      </c>
      <c r="Z176">
        <f>HYPERLINK("https://klasma.github.io/Logging_2380/fåglar/A 45267-2024 prioriterade fågelarter.docx", "A 45267-2024")</f>
        <v/>
      </c>
    </row>
    <row r="177" ht="15" customHeight="1">
      <c r="A177" t="inlineStr">
        <is>
          <t>A 47176-2024</t>
        </is>
      </c>
      <c r="B177" s="1" t="n">
        <v>45586</v>
      </c>
      <c r="C177" s="1" t="n">
        <v>45635</v>
      </c>
      <c r="D177" t="inlineStr">
        <is>
          <t>JÄMTLANDS LÄN</t>
        </is>
      </c>
      <c r="E177" t="inlineStr">
        <is>
          <t>ÖSTERSUND</t>
        </is>
      </c>
      <c r="F177" t="inlineStr">
        <is>
          <t>SCA</t>
        </is>
      </c>
      <c r="G177" t="n">
        <v>2.9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47176-2024 artfynd.xlsx", "A 47176-2024")</f>
        <v/>
      </c>
      <c r="T177">
        <f>HYPERLINK("https://klasma.github.io/Logging_2380/kartor/A 47176-2024 karta.png", "A 47176-2024")</f>
        <v/>
      </c>
      <c r="V177">
        <f>HYPERLINK("https://klasma.github.io/Logging_2380/klagomål/A 47176-2024 FSC-klagomål.docx", "A 47176-2024")</f>
        <v/>
      </c>
      <c r="W177">
        <f>HYPERLINK("https://klasma.github.io/Logging_2380/klagomålsmail/A 47176-2024 FSC-klagomål mail.docx", "A 47176-2024")</f>
        <v/>
      </c>
      <c r="X177">
        <f>HYPERLINK("https://klasma.github.io/Logging_2380/tillsyn/A 47176-2024 tillsynsbegäran.docx", "A 47176-2024")</f>
        <v/>
      </c>
      <c r="Y177">
        <f>HYPERLINK("https://klasma.github.io/Logging_2380/tillsynsmail/A 47176-2024 tillsynsbegäran mail.docx", "A 47176-2024")</f>
        <v/>
      </c>
    </row>
    <row r="178" ht="15" customHeight="1">
      <c r="A178" t="inlineStr">
        <is>
          <t>A 56201-2024</t>
        </is>
      </c>
      <c r="B178" s="1" t="n">
        <v>45624</v>
      </c>
      <c r="C178" s="1" t="n">
        <v>45635</v>
      </c>
      <c r="D178" t="inlineStr">
        <is>
          <t>JÄMTLANDS LÄN</t>
        </is>
      </c>
      <c r="E178" t="inlineStr">
        <is>
          <t>ÖSTERSUND</t>
        </is>
      </c>
      <c r="F178" t="inlineStr">
        <is>
          <t>SCA</t>
        </is>
      </c>
      <c r="G178" t="n">
        <v>5.9</v>
      </c>
      <c r="H178" t="n">
        <v>1</v>
      </c>
      <c r="I178" t="n">
        <v>0</v>
      </c>
      <c r="J178" t="n">
        <v>0</v>
      </c>
      <c r="K178" t="n">
        <v>1</v>
      </c>
      <c r="L178" t="n">
        <v>0</v>
      </c>
      <c r="M178" t="n">
        <v>0</v>
      </c>
      <c r="N178" t="n">
        <v>0</v>
      </c>
      <c r="O178" t="n">
        <v>1</v>
      </c>
      <c r="P178" t="n">
        <v>1</v>
      </c>
      <c r="Q178" t="n">
        <v>1</v>
      </c>
      <c r="R178" s="2" t="inlineStr">
        <is>
          <t>Doftticka</t>
        </is>
      </c>
      <c r="S178">
        <f>HYPERLINK("https://klasma.github.io/Logging_2380/artfynd/A 56201-2024 artfynd.xlsx", "A 56201-2024")</f>
        <v/>
      </c>
      <c r="T178">
        <f>HYPERLINK("https://klasma.github.io/Logging_2380/kartor/A 56201-2024 karta.png", "A 56201-2024")</f>
        <v/>
      </c>
      <c r="V178">
        <f>HYPERLINK("https://klasma.github.io/Logging_2380/klagomål/A 56201-2024 FSC-klagomål.docx", "A 56201-2024")</f>
        <v/>
      </c>
      <c r="W178">
        <f>HYPERLINK("https://klasma.github.io/Logging_2380/klagomålsmail/A 56201-2024 FSC-klagomål mail.docx", "A 56201-2024")</f>
        <v/>
      </c>
      <c r="X178">
        <f>HYPERLINK("https://klasma.github.io/Logging_2380/tillsyn/A 56201-2024 tillsynsbegäran.docx", "A 56201-2024")</f>
        <v/>
      </c>
      <c r="Y178">
        <f>HYPERLINK("https://klasma.github.io/Logging_2380/tillsynsmail/A 56201-2024 tillsynsbegäran mail.docx", "A 56201-2024")</f>
        <v/>
      </c>
    </row>
    <row r="179" ht="15" customHeight="1">
      <c r="A179" t="inlineStr">
        <is>
          <t>A 57065-2024</t>
        </is>
      </c>
      <c r="B179" s="1" t="n">
        <v>45629</v>
      </c>
      <c r="C179" s="1" t="n">
        <v>45635</v>
      </c>
      <c r="D179" t="inlineStr">
        <is>
          <t>JÄMTLANDS LÄN</t>
        </is>
      </c>
      <c r="E179" t="inlineStr">
        <is>
          <t>ÖSTERSUND</t>
        </is>
      </c>
      <c r="F179" t="inlineStr">
        <is>
          <t>SCA</t>
        </is>
      </c>
      <c r="G179" t="n">
        <v>6.3</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57065-2024 artfynd.xlsx", "A 57065-2024")</f>
        <v/>
      </c>
      <c r="T179">
        <f>HYPERLINK("https://klasma.github.io/Logging_2380/kartor/A 57065-2024 karta.png", "A 57065-2024")</f>
        <v/>
      </c>
      <c r="V179">
        <f>HYPERLINK("https://klasma.github.io/Logging_2380/klagomål/A 57065-2024 FSC-klagomål.docx", "A 57065-2024")</f>
        <v/>
      </c>
      <c r="W179">
        <f>HYPERLINK("https://klasma.github.io/Logging_2380/klagomålsmail/A 57065-2024 FSC-klagomål mail.docx", "A 57065-2024")</f>
        <v/>
      </c>
      <c r="X179">
        <f>HYPERLINK("https://klasma.github.io/Logging_2380/tillsyn/A 57065-2024 tillsynsbegäran.docx", "A 57065-2024")</f>
        <v/>
      </c>
      <c r="Y179">
        <f>HYPERLINK("https://klasma.github.io/Logging_2380/tillsynsmail/A 57065-2024 tillsynsbegäran mail.docx", "A 57065-2024")</f>
        <v/>
      </c>
      <c r="Z179">
        <f>HYPERLINK("https://klasma.github.io/Logging_2380/fåglar/A 57065-2024 prioriterade fågelarter.docx", "A 57065-2024")</f>
        <v/>
      </c>
    </row>
    <row r="180" ht="15" customHeight="1">
      <c r="A180" t="inlineStr">
        <is>
          <t>A 20319-2019</t>
        </is>
      </c>
      <c r="B180" s="1" t="n">
        <v>43571</v>
      </c>
      <c r="C180" s="1" t="n">
        <v>45635</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21727-2019</t>
        </is>
      </c>
      <c r="B181" s="1" t="n">
        <v>43581</v>
      </c>
      <c r="C181" s="1" t="n">
        <v>45635</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21793-2019</t>
        </is>
      </c>
      <c r="B182" s="1" t="n">
        <v>43581</v>
      </c>
      <c r="C182" s="1" t="n">
        <v>45635</v>
      </c>
      <c r="D182" t="inlineStr">
        <is>
          <t>JÄMTLANDS LÄN</t>
        </is>
      </c>
      <c r="E182" t="inlineStr">
        <is>
          <t>ÖSTERSUND</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22119-2019</t>
        </is>
      </c>
      <c r="B183" s="1" t="n">
        <v>43584</v>
      </c>
      <c r="C183" s="1" t="n">
        <v>45635</v>
      </c>
      <c r="D183" t="inlineStr">
        <is>
          <t>JÄMTLANDS LÄN</t>
        </is>
      </c>
      <c r="E183" t="inlineStr">
        <is>
          <t>ÖSTERSUND</t>
        </is>
      </c>
      <c r="G183" t="n">
        <v>7</v>
      </c>
      <c r="H183" t="n">
        <v>0</v>
      </c>
      <c r="I183" t="n">
        <v>0</v>
      </c>
      <c r="J183" t="n">
        <v>0</v>
      </c>
      <c r="K183" t="n">
        <v>0</v>
      </c>
      <c r="L183" t="n">
        <v>0</v>
      </c>
      <c r="M183" t="n">
        <v>0</v>
      </c>
      <c r="N183" t="n">
        <v>0</v>
      </c>
      <c r="O183" t="n">
        <v>0</v>
      </c>
      <c r="P183" t="n">
        <v>0</v>
      </c>
      <c r="Q183" t="n">
        <v>0</v>
      </c>
      <c r="R183" s="2" t="inlineStr"/>
    </row>
    <row r="184" ht="15" customHeight="1">
      <c r="A184" t="inlineStr">
        <is>
          <t>A 22115-2019</t>
        </is>
      </c>
      <c r="B184" s="1" t="n">
        <v>43584</v>
      </c>
      <c r="C184" s="1" t="n">
        <v>45635</v>
      </c>
      <c r="D184" t="inlineStr">
        <is>
          <t>JÄMTLANDS LÄN</t>
        </is>
      </c>
      <c r="E184" t="inlineStr">
        <is>
          <t>ÖSTERSUND</t>
        </is>
      </c>
      <c r="G184" t="n">
        <v>15.1</v>
      </c>
      <c r="H184" t="n">
        <v>0</v>
      </c>
      <c r="I184" t="n">
        <v>0</v>
      </c>
      <c r="J184" t="n">
        <v>0</v>
      </c>
      <c r="K184" t="n">
        <v>0</v>
      </c>
      <c r="L184" t="n">
        <v>0</v>
      </c>
      <c r="M184" t="n">
        <v>0</v>
      </c>
      <c r="N184" t="n">
        <v>0</v>
      </c>
      <c r="O184" t="n">
        <v>0</v>
      </c>
      <c r="P184" t="n">
        <v>0</v>
      </c>
      <c r="Q184" t="n">
        <v>0</v>
      </c>
      <c r="R184" s="2" t="inlineStr"/>
      <c r="U184">
        <f>HYPERLINK("https://klasma.github.io/Logging_2380/knärot/A 22115-2019 karta knärot.png", "A 22115-2019")</f>
        <v/>
      </c>
      <c r="V184">
        <f>HYPERLINK("https://klasma.github.io/Logging_2380/klagomål/A 22115-2019 FSC-klagomål.docx", "A 22115-2019")</f>
        <v/>
      </c>
      <c r="W184">
        <f>HYPERLINK("https://klasma.github.io/Logging_2380/klagomålsmail/A 22115-2019 FSC-klagomål mail.docx", "A 22115-2019")</f>
        <v/>
      </c>
      <c r="X184">
        <f>HYPERLINK("https://klasma.github.io/Logging_2380/tillsyn/A 22115-2019 tillsynsbegäran.docx", "A 22115-2019")</f>
        <v/>
      </c>
      <c r="Y184">
        <f>HYPERLINK("https://klasma.github.io/Logging_2380/tillsynsmail/A 22115-2019 tillsynsbegäran mail.docx", "A 22115-2019")</f>
        <v/>
      </c>
    </row>
    <row r="185" ht="15" customHeight="1">
      <c r="A185" t="inlineStr">
        <is>
          <t>A 23609-2019</t>
        </is>
      </c>
      <c r="B185" s="1" t="n">
        <v>43594</v>
      </c>
      <c r="C185" s="1" t="n">
        <v>45635</v>
      </c>
      <c r="D185" t="inlineStr">
        <is>
          <t>JÄMTLANDS LÄN</t>
        </is>
      </c>
      <c r="E185" t="inlineStr">
        <is>
          <t>ÖSTERSUND</t>
        </is>
      </c>
      <c r="G185" t="n">
        <v>2.5</v>
      </c>
      <c r="H185" t="n">
        <v>0</v>
      </c>
      <c r="I185" t="n">
        <v>0</v>
      </c>
      <c r="J185" t="n">
        <v>0</v>
      </c>
      <c r="K185" t="n">
        <v>0</v>
      </c>
      <c r="L185" t="n">
        <v>0</v>
      </c>
      <c r="M185" t="n">
        <v>0</v>
      </c>
      <c r="N185" t="n">
        <v>0</v>
      </c>
      <c r="O185" t="n">
        <v>0</v>
      </c>
      <c r="P185" t="n">
        <v>0</v>
      </c>
      <c r="Q185" t="n">
        <v>0</v>
      </c>
      <c r="R185" s="2" t="inlineStr"/>
    </row>
    <row r="186" ht="15" customHeight="1">
      <c r="A186" t="inlineStr">
        <is>
          <t>A 23940-2019</t>
        </is>
      </c>
      <c r="B186" s="1" t="n">
        <v>43595</v>
      </c>
      <c r="C186" s="1" t="n">
        <v>45635</v>
      </c>
      <c r="D186" t="inlineStr">
        <is>
          <t>JÄMTLANDS LÄN</t>
        </is>
      </c>
      <c r="E186" t="inlineStr">
        <is>
          <t>ÖSTERSUND</t>
        </is>
      </c>
      <c r="F186" t="inlineStr">
        <is>
          <t>SCA</t>
        </is>
      </c>
      <c r="G186" t="n">
        <v>0.7</v>
      </c>
      <c r="H186" t="n">
        <v>0</v>
      </c>
      <c r="I186" t="n">
        <v>0</v>
      </c>
      <c r="J186" t="n">
        <v>0</v>
      </c>
      <c r="K186" t="n">
        <v>0</v>
      </c>
      <c r="L186" t="n">
        <v>0</v>
      </c>
      <c r="M186" t="n">
        <v>0</v>
      </c>
      <c r="N186" t="n">
        <v>0</v>
      </c>
      <c r="O186" t="n">
        <v>0</v>
      </c>
      <c r="P186" t="n">
        <v>0</v>
      </c>
      <c r="Q186" t="n">
        <v>0</v>
      </c>
      <c r="R186" s="2" t="inlineStr"/>
    </row>
    <row r="187" ht="15" customHeight="1">
      <c r="A187" t="inlineStr">
        <is>
          <t>A 25205-2019</t>
        </is>
      </c>
      <c r="B187" s="1" t="n">
        <v>43600</v>
      </c>
      <c r="C187" s="1" t="n">
        <v>45635</v>
      </c>
      <c r="D187" t="inlineStr">
        <is>
          <t>JÄMTLANDS LÄN</t>
        </is>
      </c>
      <c r="E187" t="inlineStr">
        <is>
          <t>ÖSTERSUND</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28892-2019</t>
        </is>
      </c>
      <c r="B188" s="1" t="n">
        <v>43619</v>
      </c>
      <c r="C188" s="1" t="n">
        <v>45635</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28899-2019</t>
        </is>
      </c>
      <c r="B189" s="1" t="n">
        <v>43619</v>
      </c>
      <c r="C189" s="1" t="n">
        <v>45635</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28884-2019</t>
        </is>
      </c>
      <c r="B190" s="1" t="n">
        <v>43619</v>
      </c>
      <c r="C190" s="1" t="n">
        <v>45635</v>
      </c>
      <c r="D190" t="inlineStr">
        <is>
          <t>JÄMTLANDS LÄN</t>
        </is>
      </c>
      <c r="E190" t="inlineStr">
        <is>
          <t>ÖSTERSUND</t>
        </is>
      </c>
      <c r="G190" t="n">
        <v>0.3</v>
      </c>
      <c r="H190" t="n">
        <v>0</v>
      </c>
      <c r="I190" t="n">
        <v>0</v>
      </c>
      <c r="J190" t="n">
        <v>0</v>
      </c>
      <c r="K190" t="n">
        <v>0</v>
      </c>
      <c r="L190" t="n">
        <v>0</v>
      </c>
      <c r="M190" t="n">
        <v>0</v>
      </c>
      <c r="N190" t="n">
        <v>0</v>
      </c>
      <c r="O190" t="n">
        <v>0</v>
      </c>
      <c r="P190" t="n">
        <v>0</v>
      </c>
      <c r="Q190" t="n">
        <v>0</v>
      </c>
      <c r="R190" s="2" t="inlineStr"/>
    </row>
    <row r="191" ht="15" customHeight="1">
      <c r="A191" t="inlineStr">
        <is>
          <t>A 27977-2019</t>
        </is>
      </c>
      <c r="B191" s="1" t="n">
        <v>43620</v>
      </c>
      <c r="C191" s="1" t="n">
        <v>45635</v>
      </c>
      <c r="D191" t="inlineStr">
        <is>
          <t>JÄMTLANDS LÄN</t>
        </is>
      </c>
      <c r="E191" t="inlineStr">
        <is>
          <t>ÖSTERSUND</t>
        </is>
      </c>
      <c r="G191" t="n">
        <v>1</v>
      </c>
      <c r="H191" t="n">
        <v>0</v>
      </c>
      <c r="I191" t="n">
        <v>0</v>
      </c>
      <c r="J191" t="n">
        <v>0</v>
      </c>
      <c r="K191" t="n">
        <v>0</v>
      </c>
      <c r="L191" t="n">
        <v>0</v>
      </c>
      <c r="M191" t="n">
        <v>0</v>
      </c>
      <c r="N191" t="n">
        <v>0</v>
      </c>
      <c r="O191" t="n">
        <v>0</v>
      </c>
      <c r="P191" t="n">
        <v>0</v>
      </c>
      <c r="Q191" t="n">
        <v>0</v>
      </c>
      <c r="R191" s="2" t="inlineStr"/>
    </row>
    <row r="192" ht="15" customHeight="1">
      <c r="A192" t="inlineStr">
        <is>
          <t>A 29058-2019</t>
        </is>
      </c>
      <c r="B192" s="1" t="n">
        <v>43621</v>
      </c>
      <c r="C192" s="1" t="n">
        <v>45635</v>
      </c>
      <c r="D192" t="inlineStr">
        <is>
          <t>JÄMTLANDS LÄN</t>
        </is>
      </c>
      <c r="E192" t="inlineStr">
        <is>
          <t>ÖSTERSUND</t>
        </is>
      </c>
      <c r="G192" t="n">
        <v>1.4</v>
      </c>
      <c r="H192" t="n">
        <v>0</v>
      </c>
      <c r="I192" t="n">
        <v>0</v>
      </c>
      <c r="J192" t="n">
        <v>0</v>
      </c>
      <c r="K192" t="n">
        <v>0</v>
      </c>
      <c r="L192" t="n">
        <v>0</v>
      </c>
      <c r="M192" t="n">
        <v>0</v>
      </c>
      <c r="N192" t="n">
        <v>0</v>
      </c>
      <c r="O192" t="n">
        <v>0</v>
      </c>
      <c r="P192" t="n">
        <v>0</v>
      </c>
      <c r="Q192" t="n">
        <v>0</v>
      </c>
      <c r="R192" s="2" t="inlineStr"/>
    </row>
    <row r="193" ht="15" customHeight="1">
      <c r="A193" t="inlineStr">
        <is>
          <t>A 31189-2019</t>
        </is>
      </c>
      <c r="B193" s="1" t="n">
        <v>43635</v>
      </c>
      <c r="C193" s="1" t="n">
        <v>45635</v>
      </c>
      <c r="D193" t="inlineStr">
        <is>
          <t>JÄMTLANDS LÄN</t>
        </is>
      </c>
      <c r="E193" t="inlineStr">
        <is>
          <t>ÖSTERSUND</t>
        </is>
      </c>
      <c r="G193" t="n">
        <v>5.5</v>
      </c>
      <c r="H193" t="n">
        <v>0</v>
      </c>
      <c r="I193" t="n">
        <v>0</v>
      </c>
      <c r="J193" t="n">
        <v>0</v>
      </c>
      <c r="K193" t="n">
        <v>0</v>
      </c>
      <c r="L193" t="n">
        <v>0</v>
      </c>
      <c r="M193" t="n">
        <v>0</v>
      </c>
      <c r="N193" t="n">
        <v>0</v>
      </c>
      <c r="O193" t="n">
        <v>0</v>
      </c>
      <c r="P193" t="n">
        <v>0</v>
      </c>
      <c r="Q193" t="n">
        <v>0</v>
      </c>
      <c r="R193" s="2" t="inlineStr"/>
    </row>
    <row r="194" ht="15" customHeight="1">
      <c r="A194" t="inlineStr">
        <is>
          <t>A 30940-2019</t>
        </is>
      </c>
      <c r="B194" s="1" t="n">
        <v>43637</v>
      </c>
      <c r="C194" s="1" t="n">
        <v>45635</v>
      </c>
      <c r="D194" t="inlineStr">
        <is>
          <t>JÄMTLANDS LÄN</t>
        </is>
      </c>
      <c r="E194" t="inlineStr">
        <is>
          <t>ÖSTERSUND</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30946-2019</t>
        </is>
      </c>
      <c r="B195" s="1" t="n">
        <v>43636</v>
      </c>
      <c r="C195" s="1" t="n">
        <v>45635</v>
      </c>
      <c r="D195" t="inlineStr">
        <is>
          <t>JÄMTLANDS LÄN</t>
        </is>
      </c>
      <c r="E195" t="inlineStr">
        <is>
          <t>ÖSTERSUND</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31617-2019</t>
        </is>
      </c>
      <c r="B196" s="1" t="n">
        <v>43640</v>
      </c>
      <c r="C196" s="1" t="n">
        <v>45635</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31621-2019</t>
        </is>
      </c>
      <c r="B197" s="1" t="n">
        <v>43640</v>
      </c>
      <c r="C197" s="1" t="n">
        <v>45635</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34903-2019</t>
        </is>
      </c>
      <c r="B198" s="1" t="n">
        <v>43650</v>
      </c>
      <c r="C198" s="1" t="n">
        <v>45635</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35500-2019</t>
        </is>
      </c>
      <c r="B199" s="1" t="n">
        <v>43651</v>
      </c>
      <c r="C199" s="1" t="n">
        <v>45635</v>
      </c>
      <c r="D199" t="inlineStr">
        <is>
          <t>JÄMTLANDS LÄN</t>
        </is>
      </c>
      <c r="E199" t="inlineStr">
        <is>
          <t>ÖSTERSUND</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35535-2019</t>
        </is>
      </c>
      <c r="B200" s="1" t="n">
        <v>43654</v>
      </c>
      <c r="C200" s="1" t="n">
        <v>45635</v>
      </c>
      <c r="D200" t="inlineStr">
        <is>
          <t>JÄMTLANDS LÄN</t>
        </is>
      </c>
      <c r="E200" t="inlineStr">
        <is>
          <t>ÖSTERSUND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34109-2019</t>
        </is>
      </c>
      <c r="B201" s="1" t="n">
        <v>43654</v>
      </c>
      <c r="C201" s="1" t="n">
        <v>45635</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34246-2019</t>
        </is>
      </c>
      <c r="B202" s="1" t="n">
        <v>43655</v>
      </c>
      <c r="C202" s="1" t="n">
        <v>45635</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35678-2019</t>
        </is>
      </c>
      <c r="B203" s="1" t="n">
        <v>43656</v>
      </c>
      <c r="C203" s="1" t="n">
        <v>45635</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35688-2019</t>
        </is>
      </c>
      <c r="B204" s="1" t="n">
        <v>43656</v>
      </c>
      <c r="C204" s="1" t="n">
        <v>45635</v>
      </c>
      <c r="D204" t="inlineStr">
        <is>
          <t>JÄMTLANDS LÄN</t>
        </is>
      </c>
      <c r="E204" t="inlineStr">
        <is>
          <t>ÖSTERSUND</t>
        </is>
      </c>
      <c r="G204" t="n">
        <v>12.6</v>
      </c>
      <c r="H204" t="n">
        <v>0</v>
      </c>
      <c r="I204" t="n">
        <v>0</v>
      </c>
      <c r="J204" t="n">
        <v>0</v>
      </c>
      <c r="K204" t="n">
        <v>0</v>
      </c>
      <c r="L204" t="n">
        <v>0</v>
      </c>
      <c r="M204" t="n">
        <v>0</v>
      </c>
      <c r="N204" t="n">
        <v>0</v>
      </c>
      <c r="O204" t="n">
        <v>0</v>
      </c>
      <c r="P204" t="n">
        <v>0</v>
      </c>
      <c r="Q204" t="n">
        <v>0</v>
      </c>
      <c r="R204" s="2" t="inlineStr"/>
    </row>
    <row r="205" ht="15" customHeight="1">
      <c r="A205" t="inlineStr">
        <is>
          <t>A 36003-2019</t>
        </is>
      </c>
      <c r="B205" s="1" t="n">
        <v>43657</v>
      </c>
      <c r="C205" s="1" t="n">
        <v>45635</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36652-2019</t>
        </is>
      </c>
      <c r="B206" s="1" t="n">
        <v>43670</v>
      </c>
      <c r="C206" s="1" t="n">
        <v>45635</v>
      </c>
      <c r="D206" t="inlineStr">
        <is>
          <t>JÄMTLANDS LÄN</t>
        </is>
      </c>
      <c r="E206" t="inlineStr">
        <is>
          <t>ÖSTERSUND</t>
        </is>
      </c>
      <c r="G206" t="n">
        <v>2.9</v>
      </c>
      <c r="H206" t="n">
        <v>0</v>
      </c>
      <c r="I206" t="n">
        <v>0</v>
      </c>
      <c r="J206" t="n">
        <v>0</v>
      </c>
      <c r="K206" t="n">
        <v>0</v>
      </c>
      <c r="L206" t="n">
        <v>0</v>
      </c>
      <c r="M206" t="n">
        <v>0</v>
      </c>
      <c r="N206" t="n">
        <v>0</v>
      </c>
      <c r="O206" t="n">
        <v>0</v>
      </c>
      <c r="P206" t="n">
        <v>0</v>
      </c>
      <c r="Q206" t="n">
        <v>0</v>
      </c>
      <c r="R206" s="2" t="inlineStr"/>
    </row>
    <row r="207" ht="15" customHeight="1">
      <c r="A207" t="inlineStr">
        <is>
          <t>A 37222-2019</t>
        </is>
      </c>
      <c r="B207" s="1" t="n">
        <v>43676</v>
      </c>
      <c r="C207" s="1" t="n">
        <v>45635</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38662-2019</t>
        </is>
      </c>
      <c r="B208" s="1" t="n">
        <v>43684</v>
      </c>
      <c r="C208" s="1" t="n">
        <v>45635</v>
      </c>
      <c r="D208" t="inlineStr">
        <is>
          <t>JÄMTLANDS LÄN</t>
        </is>
      </c>
      <c r="E208" t="inlineStr">
        <is>
          <t>ÖSTERSUND</t>
        </is>
      </c>
      <c r="G208" t="n">
        <v>2.2</v>
      </c>
      <c r="H208" t="n">
        <v>0</v>
      </c>
      <c r="I208" t="n">
        <v>0</v>
      </c>
      <c r="J208" t="n">
        <v>0</v>
      </c>
      <c r="K208" t="n">
        <v>0</v>
      </c>
      <c r="L208" t="n">
        <v>0</v>
      </c>
      <c r="M208" t="n">
        <v>0</v>
      </c>
      <c r="N208" t="n">
        <v>0</v>
      </c>
      <c r="O208" t="n">
        <v>0</v>
      </c>
      <c r="P208" t="n">
        <v>0</v>
      </c>
      <c r="Q208" t="n">
        <v>0</v>
      </c>
      <c r="R208" s="2" t="inlineStr"/>
    </row>
    <row r="209" ht="15" customHeight="1">
      <c r="A209" t="inlineStr">
        <is>
          <t>A 39459-2019</t>
        </is>
      </c>
      <c r="B209" s="1" t="n">
        <v>43686</v>
      </c>
      <c r="C209" s="1" t="n">
        <v>45635</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40530-2019</t>
        </is>
      </c>
      <c r="B210" s="1" t="n">
        <v>43696</v>
      </c>
      <c r="C210" s="1" t="n">
        <v>45635</v>
      </c>
      <c r="D210" t="inlineStr">
        <is>
          <t>JÄMTLANDS LÄN</t>
        </is>
      </c>
      <c r="E210" t="inlineStr">
        <is>
          <t>ÖSTERSUND</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41364-2019</t>
        </is>
      </c>
      <c r="B211" s="1" t="n">
        <v>43696</v>
      </c>
      <c r="C211" s="1" t="n">
        <v>45635</v>
      </c>
      <c r="D211" t="inlineStr">
        <is>
          <t>JÄMTLANDS LÄN</t>
        </is>
      </c>
      <c r="E211" t="inlineStr">
        <is>
          <t>ÖSTERSUND</t>
        </is>
      </c>
      <c r="G211" t="n">
        <v>1.2</v>
      </c>
      <c r="H211" t="n">
        <v>0</v>
      </c>
      <c r="I211" t="n">
        <v>0</v>
      </c>
      <c r="J211" t="n">
        <v>0</v>
      </c>
      <c r="K211" t="n">
        <v>0</v>
      </c>
      <c r="L211" t="n">
        <v>0</v>
      </c>
      <c r="M211" t="n">
        <v>0</v>
      </c>
      <c r="N211" t="n">
        <v>0</v>
      </c>
      <c r="O211" t="n">
        <v>0</v>
      </c>
      <c r="P211" t="n">
        <v>0</v>
      </c>
      <c r="Q211" t="n">
        <v>0</v>
      </c>
      <c r="R211" s="2" t="inlineStr"/>
    </row>
    <row r="212" ht="15" customHeight="1">
      <c r="A212" t="inlineStr">
        <is>
          <t>A 40531-2019</t>
        </is>
      </c>
      <c r="B212" s="1" t="n">
        <v>43696</v>
      </c>
      <c r="C212" s="1" t="n">
        <v>45635</v>
      </c>
      <c r="D212" t="inlineStr">
        <is>
          <t>JÄMTLANDS LÄN</t>
        </is>
      </c>
      <c r="E212" t="inlineStr">
        <is>
          <t>ÖSTERSUND</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41556-2019</t>
        </is>
      </c>
      <c r="B213" s="1" t="n">
        <v>43696</v>
      </c>
      <c r="C213" s="1" t="n">
        <v>45635</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41588-2019</t>
        </is>
      </c>
      <c r="B214" s="1" t="n">
        <v>43699</v>
      </c>
      <c r="C214" s="1" t="n">
        <v>45635</v>
      </c>
      <c r="D214" t="inlineStr">
        <is>
          <t>JÄMTLANDS LÄN</t>
        </is>
      </c>
      <c r="E214" t="inlineStr">
        <is>
          <t>ÖSTERSUND</t>
        </is>
      </c>
      <c r="G214" t="n">
        <v>26.7</v>
      </c>
      <c r="H214" t="n">
        <v>0</v>
      </c>
      <c r="I214" t="n">
        <v>0</v>
      </c>
      <c r="J214" t="n">
        <v>0</v>
      </c>
      <c r="K214" t="n">
        <v>0</v>
      </c>
      <c r="L214" t="n">
        <v>0</v>
      </c>
      <c r="M214" t="n">
        <v>0</v>
      </c>
      <c r="N214" t="n">
        <v>0</v>
      </c>
      <c r="O214" t="n">
        <v>0</v>
      </c>
      <c r="P214" t="n">
        <v>0</v>
      </c>
      <c r="Q214" t="n">
        <v>0</v>
      </c>
      <c r="R214" s="2" t="inlineStr"/>
    </row>
    <row r="215" ht="15" customHeight="1">
      <c r="A215" t="inlineStr">
        <is>
          <t>A 43249-2019</t>
        </is>
      </c>
      <c r="B215" s="1" t="n">
        <v>43703</v>
      </c>
      <c r="C215" s="1" t="n">
        <v>45635</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43425-2019</t>
        </is>
      </c>
      <c r="B216" s="1" t="n">
        <v>43703</v>
      </c>
      <c r="C216" s="1" t="n">
        <v>45635</v>
      </c>
      <c r="D216" t="inlineStr">
        <is>
          <t>JÄMTLANDS LÄN</t>
        </is>
      </c>
      <c r="E216" t="inlineStr">
        <is>
          <t>ÖSTERSUND</t>
        </is>
      </c>
      <c r="G216" t="n">
        <v>2.4</v>
      </c>
      <c r="H216" t="n">
        <v>0</v>
      </c>
      <c r="I216" t="n">
        <v>0</v>
      </c>
      <c r="J216" t="n">
        <v>0</v>
      </c>
      <c r="K216" t="n">
        <v>0</v>
      </c>
      <c r="L216" t="n">
        <v>0</v>
      </c>
      <c r="M216" t="n">
        <v>0</v>
      </c>
      <c r="N216" t="n">
        <v>0</v>
      </c>
      <c r="O216" t="n">
        <v>0</v>
      </c>
      <c r="P216" t="n">
        <v>0</v>
      </c>
      <c r="Q216" t="n">
        <v>0</v>
      </c>
      <c r="R216" s="2" t="inlineStr"/>
    </row>
    <row r="217" ht="15" customHeight="1">
      <c r="A217" t="inlineStr">
        <is>
          <t>A 46346-2019</t>
        </is>
      </c>
      <c r="B217" s="1" t="n">
        <v>43718</v>
      </c>
      <c r="C217" s="1" t="n">
        <v>45635</v>
      </c>
      <c r="D217" t="inlineStr">
        <is>
          <t>JÄMTLANDS LÄN</t>
        </is>
      </c>
      <c r="E217" t="inlineStr">
        <is>
          <t>ÖSTERSUND</t>
        </is>
      </c>
      <c r="F217" t="inlineStr">
        <is>
          <t>SCA</t>
        </is>
      </c>
      <c r="G217" t="n">
        <v>6.5</v>
      </c>
      <c r="H217" t="n">
        <v>0</v>
      </c>
      <c r="I217" t="n">
        <v>0</v>
      </c>
      <c r="J217" t="n">
        <v>0</v>
      </c>
      <c r="K217" t="n">
        <v>0</v>
      </c>
      <c r="L217" t="n">
        <v>0</v>
      </c>
      <c r="M217" t="n">
        <v>0</v>
      </c>
      <c r="N217" t="n">
        <v>0</v>
      </c>
      <c r="O217" t="n">
        <v>0</v>
      </c>
      <c r="P217" t="n">
        <v>0</v>
      </c>
      <c r="Q217" t="n">
        <v>0</v>
      </c>
      <c r="R217" s="2" t="inlineStr"/>
    </row>
    <row r="218" ht="15" customHeight="1">
      <c r="A218" t="inlineStr">
        <is>
          <t>A 47810-2019</t>
        </is>
      </c>
      <c r="B218" s="1" t="n">
        <v>43724</v>
      </c>
      <c r="C218" s="1" t="n">
        <v>45635</v>
      </c>
      <c r="D218" t="inlineStr">
        <is>
          <t>JÄMTLANDS LÄN</t>
        </is>
      </c>
      <c r="E218" t="inlineStr">
        <is>
          <t>ÖSTERSUND</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48115-2019</t>
        </is>
      </c>
      <c r="B219" s="1" t="n">
        <v>43725</v>
      </c>
      <c r="C219" s="1" t="n">
        <v>45635</v>
      </c>
      <c r="D219" t="inlineStr">
        <is>
          <t>JÄMTLANDS LÄN</t>
        </is>
      </c>
      <c r="E219" t="inlineStr">
        <is>
          <t>ÖSTERSUND</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48680-2019</t>
        </is>
      </c>
      <c r="B220" s="1" t="n">
        <v>43727</v>
      </c>
      <c r="C220" s="1" t="n">
        <v>45635</v>
      </c>
      <c r="D220" t="inlineStr">
        <is>
          <t>JÄMTLANDS LÄN</t>
        </is>
      </c>
      <c r="E220" t="inlineStr">
        <is>
          <t>ÖSTERSUND</t>
        </is>
      </c>
      <c r="G220" t="n">
        <v>3</v>
      </c>
      <c r="H220" t="n">
        <v>0</v>
      </c>
      <c r="I220" t="n">
        <v>0</v>
      </c>
      <c r="J220" t="n">
        <v>0</v>
      </c>
      <c r="K220" t="n">
        <v>0</v>
      </c>
      <c r="L220" t="n">
        <v>0</v>
      </c>
      <c r="M220" t="n">
        <v>0</v>
      </c>
      <c r="N220" t="n">
        <v>0</v>
      </c>
      <c r="O220" t="n">
        <v>0</v>
      </c>
      <c r="P220" t="n">
        <v>0</v>
      </c>
      <c r="Q220" t="n">
        <v>0</v>
      </c>
      <c r="R220" s="2" t="inlineStr"/>
    </row>
    <row r="221" ht="15" customHeight="1">
      <c r="A221" t="inlineStr">
        <is>
          <t>A 49629-2019</t>
        </is>
      </c>
      <c r="B221" s="1" t="n">
        <v>43732</v>
      </c>
      <c r="C221" s="1" t="n">
        <v>45635</v>
      </c>
      <c r="D221" t="inlineStr">
        <is>
          <t>JÄMTLANDS LÄN</t>
        </is>
      </c>
      <c r="E221" t="inlineStr">
        <is>
          <t>ÖSTERSUND</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51347-2019</t>
        </is>
      </c>
      <c r="B222" s="1" t="n">
        <v>43732</v>
      </c>
      <c r="C222" s="1" t="n">
        <v>45635</v>
      </c>
      <c r="D222" t="inlineStr">
        <is>
          <t>JÄMTLANDS LÄN</t>
        </is>
      </c>
      <c r="E222" t="inlineStr">
        <is>
          <t>ÖSTERSUND</t>
        </is>
      </c>
      <c r="G222" t="n">
        <v>3.8</v>
      </c>
      <c r="H222" t="n">
        <v>0</v>
      </c>
      <c r="I222" t="n">
        <v>0</v>
      </c>
      <c r="J222" t="n">
        <v>0</v>
      </c>
      <c r="K222" t="n">
        <v>0</v>
      </c>
      <c r="L222" t="n">
        <v>0</v>
      </c>
      <c r="M222" t="n">
        <v>0</v>
      </c>
      <c r="N222" t="n">
        <v>0</v>
      </c>
      <c r="O222" t="n">
        <v>0</v>
      </c>
      <c r="P222" t="n">
        <v>0</v>
      </c>
      <c r="Q222" t="n">
        <v>0</v>
      </c>
      <c r="R222" s="2" t="inlineStr"/>
    </row>
    <row r="223" ht="15" customHeight="1">
      <c r="A223" t="inlineStr">
        <is>
          <t>A 49997-2019</t>
        </is>
      </c>
      <c r="B223" s="1" t="n">
        <v>43733</v>
      </c>
      <c r="C223" s="1" t="n">
        <v>45635</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50316-2019</t>
        </is>
      </c>
      <c r="B224" s="1" t="n">
        <v>43735</v>
      </c>
      <c r="C224" s="1" t="n">
        <v>45635</v>
      </c>
      <c r="D224" t="inlineStr">
        <is>
          <t>JÄMTLANDS LÄN</t>
        </is>
      </c>
      <c r="E224" t="inlineStr">
        <is>
          <t>ÖSTERSUND</t>
        </is>
      </c>
      <c r="G224" t="n">
        <v>9.5</v>
      </c>
      <c r="H224" t="n">
        <v>0</v>
      </c>
      <c r="I224" t="n">
        <v>0</v>
      </c>
      <c r="J224" t="n">
        <v>0</v>
      </c>
      <c r="K224" t="n">
        <v>0</v>
      </c>
      <c r="L224" t="n">
        <v>0</v>
      </c>
      <c r="M224" t="n">
        <v>0</v>
      </c>
      <c r="N224" t="n">
        <v>0</v>
      </c>
      <c r="O224" t="n">
        <v>0</v>
      </c>
      <c r="P224" t="n">
        <v>0</v>
      </c>
      <c r="Q224" t="n">
        <v>0</v>
      </c>
      <c r="R224" s="2" t="inlineStr"/>
    </row>
    <row r="225" ht="15" customHeight="1">
      <c r="A225" t="inlineStr">
        <is>
          <t>A 50779-2019</t>
        </is>
      </c>
      <c r="B225" s="1" t="n">
        <v>43738</v>
      </c>
      <c r="C225" s="1" t="n">
        <v>45635</v>
      </c>
      <c r="D225" t="inlineStr">
        <is>
          <t>JÄMTLANDS LÄN</t>
        </is>
      </c>
      <c r="E225" t="inlineStr">
        <is>
          <t>ÖSTERSUND</t>
        </is>
      </c>
      <c r="G225" t="n">
        <v>0.2</v>
      </c>
      <c r="H225" t="n">
        <v>0</v>
      </c>
      <c r="I225" t="n">
        <v>0</v>
      </c>
      <c r="J225" t="n">
        <v>0</v>
      </c>
      <c r="K225" t="n">
        <v>0</v>
      </c>
      <c r="L225" t="n">
        <v>0</v>
      </c>
      <c r="M225" t="n">
        <v>0</v>
      </c>
      <c r="N225" t="n">
        <v>0</v>
      </c>
      <c r="O225" t="n">
        <v>0</v>
      </c>
      <c r="P225" t="n">
        <v>0</v>
      </c>
      <c r="Q225" t="n">
        <v>0</v>
      </c>
      <c r="R225" s="2" t="inlineStr"/>
    </row>
    <row r="226" ht="15" customHeight="1">
      <c r="A226" t="inlineStr">
        <is>
          <t>A 50968-2019</t>
        </is>
      </c>
      <c r="B226" s="1" t="n">
        <v>43738</v>
      </c>
      <c r="C226" s="1" t="n">
        <v>45635</v>
      </c>
      <c r="D226" t="inlineStr">
        <is>
          <t>JÄMTLANDS LÄN</t>
        </is>
      </c>
      <c r="E226" t="inlineStr">
        <is>
          <t>ÖSTERSUND</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54498-2019</t>
        </is>
      </c>
      <c r="B227" s="1" t="n">
        <v>43747</v>
      </c>
      <c r="C227" s="1" t="n">
        <v>45635</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53297-2019</t>
        </is>
      </c>
      <c r="B228" s="1" t="n">
        <v>43748</v>
      </c>
      <c r="C228" s="1" t="n">
        <v>45635</v>
      </c>
      <c r="D228" t="inlineStr">
        <is>
          <t>JÄMTLANDS LÄN</t>
        </is>
      </c>
      <c r="E228" t="inlineStr">
        <is>
          <t>ÖSTERSUND</t>
        </is>
      </c>
      <c r="G228" t="n">
        <v>0.6</v>
      </c>
      <c r="H228" t="n">
        <v>0</v>
      </c>
      <c r="I228" t="n">
        <v>0</v>
      </c>
      <c r="J228" t="n">
        <v>0</v>
      </c>
      <c r="K228" t="n">
        <v>0</v>
      </c>
      <c r="L228" t="n">
        <v>0</v>
      </c>
      <c r="M228" t="n">
        <v>0</v>
      </c>
      <c r="N228" t="n">
        <v>0</v>
      </c>
      <c r="O228" t="n">
        <v>0</v>
      </c>
      <c r="P228" t="n">
        <v>0</v>
      </c>
      <c r="Q228" t="n">
        <v>0</v>
      </c>
      <c r="R228" s="2" t="inlineStr"/>
    </row>
    <row r="229" ht="15" customHeight="1">
      <c r="A229" t="inlineStr">
        <is>
          <t>A 53533-2019</t>
        </is>
      </c>
      <c r="B229" s="1" t="n">
        <v>43749</v>
      </c>
      <c r="C229" s="1" t="n">
        <v>45635</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53859-2019</t>
        </is>
      </c>
      <c r="B230" s="1" t="n">
        <v>43752</v>
      </c>
      <c r="C230" s="1" t="n">
        <v>45635</v>
      </c>
      <c r="D230" t="inlineStr">
        <is>
          <t>JÄMTLANDS LÄN</t>
        </is>
      </c>
      <c r="E230" t="inlineStr">
        <is>
          <t>ÖSTERSUND</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57466-2019</t>
        </is>
      </c>
      <c r="B231" s="1" t="n">
        <v>43761</v>
      </c>
      <c r="C231" s="1" t="n">
        <v>45635</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56512-2019</t>
        </is>
      </c>
      <c r="B232" s="1" t="n">
        <v>43762</v>
      </c>
      <c r="C232" s="1" t="n">
        <v>45635</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57845-2019</t>
        </is>
      </c>
      <c r="B233" s="1" t="n">
        <v>43768</v>
      </c>
      <c r="C233" s="1" t="n">
        <v>45635</v>
      </c>
      <c r="D233" t="inlineStr">
        <is>
          <t>JÄMTLANDS LÄN</t>
        </is>
      </c>
      <c r="E233" t="inlineStr">
        <is>
          <t>ÖSTERSUND</t>
        </is>
      </c>
      <c r="G233" t="n">
        <v>3.7</v>
      </c>
      <c r="H233" t="n">
        <v>0</v>
      </c>
      <c r="I233" t="n">
        <v>0</v>
      </c>
      <c r="J233" t="n">
        <v>0</v>
      </c>
      <c r="K233" t="n">
        <v>0</v>
      </c>
      <c r="L233" t="n">
        <v>0</v>
      </c>
      <c r="M233" t="n">
        <v>0</v>
      </c>
      <c r="N233" t="n">
        <v>0</v>
      </c>
      <c r="O233" t="n">
        <v>0</v>
      </c>
      <c r="P233" t="n">
        <v>0</v>
      </c>
      <c r="Q233" t="n">
        <v>0</v>
      </c>
      <c r="R233" s="2" t="inlineStr"/>
    </row>
    <row r="234" ht="15" customHeight="1">
      <c r="A234" t="inlineStr">
        <is>
          <t>A 58216-2019</t>
        </is>
      </c>
      <c r="B234" s="1" t="n">
        <v>43770</v>
      </c>
      <c r="C234" s="1" t="n">
        <v>45635</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58210-2019</t>
        </is>
      </c>
      <c r="B235" s="1" t="n">
        <v>43770</v>
      </c>
      <c r="C235" s="1" t="n">
        <v>45635</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59437-2019</t>
        </is>
      </c>
      <c r="B236" s="1" t="n">
        <v>43773</v>
      </c>
      <c r="C236" s="1" t="n">
        <v>45635</v>
      </c>
      <c r="D236" t="inlineStr">
        <is>
          <t>JÄMTLANDS LÄN</t>
        </is>
      </c>
      <c r="E236" t="inlineStr">
        <is>
          <t>ÖSTERSUND</t>
        </is>
      </c>
      <c r="G236" t="n">
        <v>6.2</v>
      </c>
      <c r="H236" t="n">
        <v>0</v>
      </c>
      <c r="I236" t="n">
        <v>0</v>
      </c>
      <c r="J236" t="n">
        <v>0</v>
      </c>
      <c r="K236" t="n">
        <v>0</v>
      </c>
      <c r="L236" t="n">
        <v>0</v>
      </c>
      <c r="M236" t="n">
        <v>0</v>
      </c>
      <c r="N236" t="n">
        <v>0</v>
      </c>
      <c r="O236" t="n">
        <v>0</v>
      </c>
      <c r="P236" t="n">
        <v>0</v>
      </c>
      <c r="Q236" t="n">
        <v>0</v>
      </c>
      <c r="R236" s="2" t="inlineStr"/>
    </row>
    <row r="237" ht="15" customHeight="1">
      <c r="A237" t="inlineStr">
        <is>
          <t>A 60240-2019</t>
        </is>
      </c>
      <c r="B237" s="1" t="n">
        <v>43776</v>
      </c>
      <c r="C237" s="1" t="n">
        <v>45635</v>
      </c>
      <c r="D237" t="inlineStr">
        <is>
          <t>JÄMTLANDS LÄN</t>
        </is>
      </c>
      <c r="E237" t="inlineStr">
        <is>
          <t>ÖSTERSUND</t>
        </is>
      </c>
      <c r="G237" t="n">
        <v>3.9</v>
      </c>
      <c r="H237" t="n">
        <v>0</v>
      </c>
      <c r="I237" t="n">
        <v>0</v>
      </c>
      <c r="J237" t="n">
        <v>0</v>
      </c>
      <c r="K237" t="n">
        <v>0</v>
      </c>
      <c r="L237" t="n">
        <v>0</v>
      </c>
      <c r="M237" t="n">
        <v>0</v>
      </c>
      <c r="N237" t="n">
        <v>0</v>
      </c>
      <c r="O237" t="n">
        <v>0</v>
      </c>
      <c r="P237" t="n">
        <v>0</v>
      </c>
      <c r="Q237" t="n">
        <v>0</v>
      </c>
      <c r="R237" s="2" t="inlineStr"/>
    </row>
    <row r="238" ht="15" customHeight="1">
      <c r="A238" t="inlineStr">
        <is>
          <t>A 60001-2019</t>
        </is>
      </c>
      <c r="B238" s="1" t="n">
        <v>43777</v>
      </c>
      <c r="C238" s="1" t="n">
        <v>45635</v>
      </c>
      <c r="D238" t="inlineStr">
        <is>
          <t>JÄMTLANDS LÄN</t>
        </is>
      </c>
      <c r="E238" t="inlineStr">
        <is>
          <t>ÖSTERSUND</t>
        </is>
      </c>
      <c r="G238" t="n">
        <v>3.2</v>
      </c>
      <c r="H238" t="n">
        <v>0</v>
      </c>
      <c r="I238" t="n">
        <v>0</v>
      </c>
      <c r="J238" t="n">
        <v>0</v>
      </c>
      <c r="K238" t="n">
        <v>0</v>
      </c>
      <c r="L238" t="n">
        <v>0</v>
      </c>
      <c r="M238" t="n">
        <v>0</v>
      </c>
      <c r="N238" t="n">
        <v>0</v>
      </c>
      <c r="O238" t="n">
        <v>0</v>
      </c>
      <c r="P238" t="n">
        <v>0</v>
      </c>
      <c r="Q238" t="n">
        <v>0</v>
      </c>
      <c r="R238" s="2" t="inlineStr"/>
    </row>
    <row r="239" ht="15" customHeight="1">
      <c r="A239" t="inlineStr">
        <is>
          <t>A 60669-2019</t>
        </is>
      </c>
      <c r="B239" s="1" t="n">
        <v>43781</v>
      </c>
      <c r="C239" s="1" t="n">
        <v>45635</v>
      </c>
      <c r="D239" t="inlineStr">
        <is>
          <t>JÄMTLANDS LÄN</t>
        </is>
      </c>
      <c r="E239" t="inlineStr">
        <is>
          <t>ÖSTERSUND</t>
        </is>
      </c>
      <c r="G239" t="n">
        <v>3.6</v>
      </c>
      <c r="H239" t="n">
        <v>0</v>
      </c>
      <c r="I239" t="n">
        <v>0</v>
      </c>
      <c r="J239" t="n">
        <v>0</v>
      </c>
      <c r="K239" t="n">
        <v>0</v>
      </c>
      <c r="L239" t="n">
        <v>0</v>
      </c>
      <c r="M239" t="n">
        <v>0</v>
      </c>
      <c r="N239" t="n">
        <v>0</v>
      </c>
      <c r="O239" t="n">
        <v>0</v>
      </c>
      <c r="P239" t="n">
        <v>0</v>
      </c>
      <c r="Q239" t="n">
        <v>0</v>
      </c>
      <c r="R239" s="2" t="inlineStr"/>
    </row>
    <row r="240" ht="15" customHeight="1">
      <c r="A240" t="inlineStr">
        <is>
          <t>A 60604-2019</t>
        </is>
      </c>
      <c r="B240" s="1" t="n">
        <v>43781</v>
      </c>
      <c r="C240" s="1" t="n">
        <v>45635</v>
      </c>
      <c r="D240" t="inlineStr">
        <is>
          <t>JÄMTLANDS LÄN</t>
        </is>
      </c>
      <c r="E240" t="inlineStr">
        <is>
          <t>ÖSTERSUND</t>
        </is>
      </c>
      <c r="G240" t="n">
        <v>8.9</v>
      </c>
      <c r="H240" t="n">
        <v>0</v>
      </c>
      <c r="I240" t="n">
        <v>0</v>
      </c>
      <c r="J240" t="n">
        <v>0</v>
      </c>
      <c r="K240" t="n">
        <v>0</v>
      </c>
      <c r="L240" t="n">
        <v>0</v>
      </c>
      <c r="M240" t="n">
        <v>0</v>
      </c>
      <c r="N240" t="n">
        <v>0</v>
      </c>
      <c r="O240" t="n">
        <v>0</v>
      </c>
      <c r="P240" t="n">
        <v>0</v>
      </c>
      <c r="Q240" t="n">
        <v>0</v>
      </c>
      <c r="R240" s="2" t="inlineStr"/>
    </row>
    <row r="241" ht="15" customHeight="1">
      <c r="A241" t="inlineStr">
        <is>
          <t>A 62234-2019</t>
        </is>
      </c>
      <c r="B241" s="1" t="n">
        <v>43784</v>
      </c>
      <c r="C241" s="1" t="n">
        <v>45635</v>
      </c>
      <c r="D241" t="inlineStr">
        <is>
          <t>JÄMTLANDS LÄN</t>
        </is>
      </c>
      <c r="E241" t="inlineStr">
        <is>
          <t>ÖSTERSUND</t>
        </is>
      </c>
      <c r="G241" t="n">
        <v>1.3</v>
      </c>
      <c r="H241" t="n">
        <v>0</v>
      </c>
      <c r="I241" t="n">
        <v>0</v>
      </c>
      <c r="J241" t="n">
        <v>0</v>
      </c>
      <c r="K241" t="n">
        <v>0</v>
      </c>
      <c r="L241" t="n">
        <v>0</v>
      </c>
      <c r="M241" t="n">
        <v>0</v>
      </c>
      <c r="N241" t="n">
        <v>0</v>
      </c>
      <c r="O241" t="n">
        <v>0</v>
      </c>
      <c r="P241" t="n">
        <v>0</v>
      </c>
      <c r="Q241" t="n">
        <v>0</v>
      </c>
      <c r="R241" s="2" t="inlineStr"/>
    </row>
    <row r="242" ht="15" customHeight="1">
      <c r="A242" t="inlineStr">
        <is>
          <t>A 62136-2019</t>
        </is>
      </c>
      <c r="B242" s="1" t="n">
        <v>43787</v>
      </c>
      <c r="C242" s="1" t="n">
        <v>45635</v>
      </c>
      <c r="D242" t="inlineStr">
        <is>
          <t>JÄMTLANDS LÄN</t>
        </is>
      </c>
      <c r="E242" t="inlineStr">
        <is>
          <t>ÖSTERSUND</t>
        </is>
      </c>
      <c r="F242" t="inlineStr">
        <is>
          <t>Övriga Aktiebolag</t>
        </is>
      </c>
      <c r="G242" t="n">
        <v>35.2</v>
      </c>
      <c r="H242" t="n">
        <v>0</v>
      </c>
      <c r="I242" t="n">
        <v>0</v>
      </c>
      <c r="J242" t="n">
        <v>0</v>
      </c>
      <c r="K242" t="n">
        <v>0</v>
      </c>
      <c r="L242" t="n">
        <v>0</v>
      </c>
      <c r="M242" t="n">
        <v>0</v>
      </c>
      <c r="N242" t="n">
        <v>0</v>
      </c>
      <c r="O242" t="n">
        <v>0</v>
      </c>
      <c r="P242" t="n">
        <v>0</v>
      </c>
      <c r="Q242" t="n">
        <v>0</v>
      </c>
      <c r="R242" s="2" t="inlineStr"/>
    </row>
    <row r="243" ht="15" customHeight="1">
      <c r="A243" t="inlineStr">
        <is>
          <t>A 64622-2019</t>
        </is>
      </c>
      <c r="B243" s="1" t="n">
        <v>43794</v>
      </c>
      <c r="C243" s="1" t="n">
        <v>45635</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65335-2019</t>
        </is>
      </c>
      <c r="B244" s="1" t="n">
        <v>43802</v>
      </c>
      <c r="C244" s="1" t="n">
        <v>45635</v>
      </c>
      <c r="D244" t="inlineStr">
        <is>
          <t>JÄMTLANDS LÄN</t>
        </is>
      </c>
      <c r="E244" t="inlineStr">
        <is>
          <t>ÖSTERSUND</t>
        </is>
      </c>
      <c r="G244" t="n">
        <v>2.8</v>
      </c>
      <c r="H244" t="n">
        <v>0</v>
      </c>
      <c r="I244" t="n">
        <v>0</v>
      </c>
      <c r="J244" t="n">
        <v>0</v>
      </c>
      <c r="K244" t="n">
        <v>0</v>
      </c>
      <c r="L244" t="n">
        <v>0</v>
      </c>
      <c r="M244" t="n">
        <v>0</v>
      </c>
      <c r="N244" t="n">
        <v>0</v>
      </c>
      <c r="O244" t="n">
        <v>0</v>
      </c>
      <c r="P244" t="n">
        <v>0</v>
      </c>
      <c r="Q244" t="n">
        <v>0</v>
      </c>
      <c r="R244" s="2" t="inlineStr"/>
    </row>
    <row r="245" ht="15" customHeight="1">
      <c r="A245" t="inlineStr">
        <is>
          <t>A 67010-2019</t>
        </is>
      </c>
      <c r="B245" s="1" t="n">
        <v>43805</v>
      </c>
      <c r="C245" s="1" t="n">
        <v>45635</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66592-2019</t>
        </is>
      </c>
      <c r="B246" s="1" t="n">
        <v>43809</v>
      </c>
      <c r="C246" s="1" t="n">
        <v>45635</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67863-2019</t>
        </is>
      </c>
      <c r="B247" s="1" t="n">
        <v>43809</v>
      </c>
      <c r="C247" s="1" t="n">
        <v>45635</v>
      </c>
      <c r="D247" t="inlineStr">
        <is>
          <t>JÄMTLANDS LÄN</t>
        </is>
      </c>
      <c r="E247" t="inlineStr">
        <is>
          <t>ÖSTERSUND</t>
        </is>
      </c>
      <c r="G247" t="n">
        <v>2.3</v>
      </c>
      <c r="H247" t="n">
        <v>0</v>
      </c>
      <c r="I247" t="n">
        <v>0</v>
      </c>
      <c r="J247" t="n">
        <v>0</v>
      </c>
      <c r="K247" t="n">
        <v>0</v>
      </c>
      <c r="L247" t="n">
        <v>0</v>
      </c>
      <c r="M247" t="n">
        <v>0</v>
      </c>
      <c r="N247" t="n">
        <v>0</v>
      </c>
      <c r="O247" t="n">
        <v>0</v>
      </c>
      <c r="P247" t="n">
        <v>0</v>
      </c>
      <c r="Q247" t="n">
        <v>0</v>
      </c>
      <c r="R247" s="2" t="inlineStr"/>
    </row>
    <row r="248" ht="15" customHeight="1">
      <c r="A248" t="inlineStr">
        <is>
          <t>A 68238-2019</t>
        </is>
      </c>
      <c r="B248" s="1" t="n">
        <v>43817</v>
      </c>
      <c r="C248" s="1" t="n">
        <v>45635</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745-2020</t>
        </is>
      </c>
      <c r="B249" s="1" t="n">
        <v>43838</v>
      </c>
      <c r="C249" s="1" t="n">
        <v>45635</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1088-2020</t>
        </is>
      </c>
      <c r="B250" s="1" t="n">
        <v>43840</v>
      </c>
      <c r="C250" s="1" t="n">
        <v>45635</v>
      </c>
      <c r="D250" t="inlineStr">
        <is>
          <t>JÄMTLANDS LÄN</t>
        </is>
      </c>
      <c r="E250" t="inlineStr">
        <is>
          <t>ÖSTERSUND</t>
        </is>
      </c>
      <c r="G250" t="n">
        <v>4.4</v>
      </c>
      <c r="H250" t="n">
        <v>0</v>
      </c>
      <c r="I250" t="n">
        <v>0</v>
      </c>
      <c r="J250" t="n">
        <v>0</v>
      </c>
      <c r="K250" t="n">
        <v>0</v>
      </c>
      <c r="L250" t="n">
        <v>0</v>
      </c>
      <c r="M250" t="n">
        <v>0</v>
      </c>
      <c r="N250" t="n">
        <v>0</v>
      </c>
      <c r="O250" t="n">
        <v>0</v>
      </c>
      <c r="P250" t="n">
        <v>0</v>
      </c>
      <c r="Q250" t="n">
        <v>0</v>
      </c>
      <c r="R250" s="2" t="inlineStr"/>
    </row>
    <row r="251" ht="15" customHeight="1">
      <c r="A251" t="inlineStr">
        <is>
          <t>A 1268-2020</t>
        </is>
      </c>
      <c r="B251" s="1" t="n">
        <v>43840</v>
      </c>
      <c r="C251" s="1" t="n">
        <v>45635</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1077-2020</t>
        </is>
      </c>
      <c r="B252" s="1" t="n">
        <v>43840</v>
      </c>
      <c r="C252" s="1" t="n">
        <v>45635</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5905-2020</t>
        </is>
      </c>
      <c r="B253" s="1" t="n">
        <v>43861</v>
      </c>
      <c r="C253" s="1" t="n">
        <v>45635</v>
      </c>
      <c r="D253" t="inlineStr">
        <is>
          <t>JÄMTLANDS LÄN</t>
        </is>
      </c>
      <c r="E253" t="inlineStr">
        <is>
          <t>ÖSTERSUND</t>
        </is>
      </c>
      <c r="G253" t="n">
        <v>2.6</v>
      </c>
      <c r="H253" t="n">
        <v>0</v>
      </c>
      <c r="I253" t="n">
        <v>0</v>
      </c>
      <c r="J253" t="n">
        <v>0</v>
      </c>
      <c r="K253" t="n">
        <v>0</v>
      </c>
      <c r="L253" t="n">
        <v>0</v>
      </c>
      <c r="M253" t="n">
        <v>0</v>
      </c>
      <c r="N253" t="n">
        <v>0</v>
      </c>
      <c r="O253" t="n">
        <v>0</v>
      </c>
      <c r="P253" t="n">
        <v>0</v>
      </c>
      <c r="Q253" t="n">
        <v>0</v>
      </c>
      <c r="R253" s="2" t="inlineStr"/>
    </row>
    <row r="254" ht="15" customHeight="1">
      <c r="A254" t="inlineStr">
        <is>
          <t>A 6028-2020</t>
        </is>
      </c>
      <c r="B254" s="1" t="n">
        <v>43864</v>
      </c>
      <c r="C254" s="1" t="n">
        <v>45635</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6522-2020</t>
        </is>
      </c>
      <c r="B255" s="1" t="n">
        <v>43864</v>
      </c>
      <c r="C255" s="1" t="n">
        <v>45635</v>
      </c>
      <c r="D255" t="inlineStr">
        <is>
          <t>JÄMTLANDS LÄN</t>
        </is>
      </c>
      <c r="E255" t="inlineStr">
        <is>
          <t>ÖSTERSUND</t>
        </is>
      </c>
      <c r="G255" t="n">
        <v>1.5</v>
      </c>
      <c r="H255" t="n">
        <v>0</v>
      </c>
      <c r="I255" t="n">
        <v>0</v>
      </c>
      <c r="J255" t="n">
        <v>0</v>
      </c>
      <c r="K255" t="n">
        <v>0</v>
      </c>
      <c r="L255" t="n">
        <v>0</v>
      </c>
      <c r="M255" t="n">
        <v>0</v>
      </c>
      <c r="N255" t="n">
        <v>0</v>
      </c>
      <c r="O255" t="n">
        <v>0</v>
      </c>
      <c r="P255" t="n">
        <v>0</v>
      </c>
      <c r="Q255" t="n">
        <v>0</v>
      </c>
      <c r="R255" s="2" t="inlineStr"/>
    </row>
    <row r="256" ht="15" customHeight="1">
      <c r="A256" t="inlineStr">
        <is>
          <t>A 6566-2020</t>
        </is>
      </c>
      <c r="B256" s="1" t="n">
        <v>43865</v>
      </c>
      <c r="C256" s="1" t="n">
        <v>45635</v>
      </c>
      <c r="D256" t="inlineStr">
        <is>
          <t>JÄMTLANDS LÄN</t>
        </is>
      </c>
      <c r="E256" t="inlineStr">
        <is>
          <t>ÖSTERSUND</t>
        </is>
      </c>
      <c r="G256" t="n">
        <v>2.8</v>
      </c>
      <c r="H256" t="n">
        <v>0</v>
      </c>
      <c r="I256" t="n">
        <v>0</v>
      </c>
      <c r="J256" t="n">
        <v>0</v>
      </c>
      <c r="K256" t="n">
        <v>0</v>
      </c>
      <c r="L256" t="n">
        <v>0</v>
      </c>
      <c r="M256" t="n">
        <v>0</v>
      </c>
      <c r="N256" t="n">
        <v>0</v>
      </c>
      <c r="O256" t="n">
        <v>0</v>
      </c>
      <c r="P256" t="n">
        <v>0</v>
      </c>
      <c r="Q256" t="n">
        <v>0</v>
      </c>
      <c r="R256" s="2" t="inlineStr"/>
    </row>
    <row r="257" ht="15" customHeight="1">
      <c r="A257" t="inlineStr">
        <is>
          <t>A 7255-2020</t>
        </is>
      </c>
      <c r="B257" s="1" t="n">
        <v>43871</v>
      </c>
      <c r="C257" s="1" t="n">
        <v>45635</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7570-2020</t>
        </is>
      </c>
      <c r="B258" s="1" t="n">
        <v>43871</v>
      </c>
      <c r="C258" s="1" t="n">
        <v>45635</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8401-2020</t>
        </is>
      </c>
      <c r="B259" s="1" t="n">
        <v>43875</v>
      </c>
      <c r="C259" s="1" t="n">
        <v>45635</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11566-2020</t>
        </is>
      </c>
      <c r="B260" s="1" t="n">
        <v>43893</v>
      </c>
      <c r="C260" s="1" t="n">
        <v>45635</v>
      </c>
      <c r="D260" t="inlineStr">
        <is>
          <t>JÄMTLANDS LÄN</t>
        </is>
      </c>
      <c r="E260" t="inlineStr">
        <is>
          <t>ÖSTERSUND</t>
        </is>
      </c>
      <c r="G260" t="n">
        <v>2</v>
      </c>
      <c r="H260" t="n">
        <v>0</v>
      </c>
      <c r="I260" t="n">
        <v>0</v>
      </c>
      <c r="J260" t="n">
        <v>0</v>
      </c>
      <c r="K260" t="n">
        <v>0</v>
      </c>
      <c r="L260" t="n">
        <v>0</v>
      </c>
      <c r="M260" t="n">
        <v>0</v>
      </c>
      <c r="N260" t="n">
        <v>0</v>
      </c>
      <c r="O260" t="n">
        <v>0</v>
      </c>
      <c r="P260" t="n">
        <v>0</v>
      </c>
      <c r="Q260" t="n">
        <v>0</v>
      </c>
      <c r="R260" s="2" t="inlineStr"/>
    </row>
    <row r="261" ht="15" customHeight="1">
      <c r="A261" t="inlineStr">
        <is>
          <t>A 12202-2020</t>
        </is>
      </c>
      <c r="B261" s="1" t="n">
        <v>43895</v>
      </c>
      <c r="C261" s="1" t="n">
        <v>45635</v>
      </c>
      <c r="D261" t="inlineStr">
        <is>
          <t>JÄMTLANDS LÄN</t>
        </is>
      </c>
      <c r="E261" t="inlineStr">
        <is>
          <t>ÖSTERSUND</t>
        </is>
      </c>
      <c r="G261" t="n">
        <v>1.2</v>
      </c>
      <c r="H261" t="n">
        <v>0</v>
      </c>
      <c r="I261" t="n">
        <v>0</v>
      </c>
      <c r="J261" t="n">
        <v>0</v>
      </c>
      <c r="K261" t="n">
        <v>0</v>
      </c>
      <c r="L261" t="n">
        <v>0</v>
      </c>
      <c r="M261" t="n">
        <v>0</v>
      </c>
      <c r="N261" t="n">
        <v>0</v>
      </c>
      <c r="O261" t="n">
        <v>0</v>
      </c>
      <c r="P261" t="n">
        <v>0</v>
      </c>
      <c r="Q261" t="n">
        <v>0</v>
      </c>
      <c r="R261" s="2" t="inlineStr"/>
    </row>
    <row r="262" ht="15" customHeight="1">
      <c r="A262" t="inlineStr">
        <is>
          <t>A 13264-2020</t>
        </is>
      </c>
      <c r="B262" s="1" t="n">
        <v>43901</v>
      </c>
      <c r="C262" s="1" t="n">
        <v>45635</v>
      </c>
      <c r="D262" t="inlineStr">
        <is>
          <t>JÄMTLANDS LÄN</t>
        </is>
      </c>
      <c r="E262" t="inlineStr">
        <is>
          <t>ÖSTERSUND</t>
        </is>
      </c>
      <c r="G262" t="n">
        <v>4.4</v>
      </c>
      <c r="H262" t="n">
        <v>0</v>
      </c>
      <c r="I262" t="n">
        <v>0</v>
      </c>
      <c r="J262" t="n">
        <v>0</v>
      </c>
      <c r="K262" t="n">
        <v>0</v>
      </c>
      <c r="L262" t="n">
        <v>0</v>
      </c>
      <c r="M262" t="n">
        <v>0</v>
      </c>
      <c r="N262" t="n">
        <v>0</v>
      </c>
      <c r="O262" t="n">
        <v>0</v>
      </c>
      <c r="P262" t="n">
        <v>0</v>
      </c>
      <c r="Q262" t="n">
        <v>0</v>
      </c>
      <c r="R262" s="2" t="inlineStr"/>
    </row>
    <row r="263" ht="15" customHeight="1">
      <c r="A263" t="inlineStr">
        <is>
          <t>A 14917-2020</t>
        </is>
      </c>
      <c r="B263" s="1" t="n">
        <v>43906</v>
      </c>
      <c r="C263" s="1" t="n">
        <v>45635</v>
      </c>
      <c r="D263" t="inlineStr">
        <is>
          <t>JÄMTLANDS LÄN</t>
        </is>
      </c>
      <c r="E263" t="inlineStr">
        <is>
          <t>ÖSTERSUND</t>
        </is>
      </c>
      <c r="G263" t="n">
        <v>12.9</v>
      </c>
      <c r="H263" t="n">
        <v>0</v>
      </c>
      <c r="I263" t="n">
        <v>0</v>
      </c>
      <c r="J263" t="n">
        <v>0</v>
      </c>
      <c r="K263" t="n">
        <v>0</v>
      </c>
      <c r="L263" t="n">
        <v>0</v>
      </c>
      <c r="M263" t="n">
        <v>0</v>
      </c>
      <c r="N263" t="n">
        <v>0</v>
      </c>
      <c r="O263" t="n">
        <v>0</v>
      </c>
      <c r="P263" t="n">
        <v>0</v>
      </c>
      <c r="Q263" t="n">
        <v>0</v>
      </c>
      <c r="R263" s="2" t="inlineStr"/>
    </row>
    <row r="264" ht="15" customHeight="1">
      <c r="A264" t="inlineStr">
        <is>
          <t>A 15797-2020</t>
        </is>
      </c>
      <c r="B264" s="1" t="n">
        <v>43909</v>
      </c>
      <c r="C264" s="1" t="n">
        <v>45635</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14903-2020</t>
        </is>
      </c>
      <c r="B265" s="1" t="n">
        <v>43910</v>
      </c>
      <c r="C265" s="1" t="n">
        <v>45635</v>
      </c>
      <c r="D265" t="inlineStr">
        <is>
          <t>JÄMTLANDS LÄN</t>
        </is>
      </c>
      <c r="E265" t="inlineStr">
        <is>
          <t>ÖSTERSUND</t>
        </is>
      </c>
      <c r="F265" t="inlineStr">
        <is>
          <t>Kyrkan</t>
        </is>
      </c>
      <c r="G265" t="n">
        <v>2.3</v>
      </c>
      <c r="H265" t="n">
        <v>0</v>
      </c>
      <c r="I265" t="n">
        <v>0</v>
      </c>
      <c r="J265" t="n">
        <v>0</v>
      </c>
      <c r="K265" t="n">
        <v>0</v>
      </c>
      <c r="L265" t="n">
        <v>0</v>
      </c>
      <c r="M265" t="n">
        <v>0</v>
      </c>
      <c r="N265" t="n">
        <v>0</v>
      </c>
      <c r="O265" t="n">
        <v>0</v>
      </c>
      <c r="P265" t="n">
        <v>0</v>
      </c>
      <c r="Q265" t="n">
        <v>0</v>
      </c>
      <c r="R265" s="2" t="inlineStr"/>
    </row>
    <row r="266" ht="15" customHeight="1">
      <c r="A266" t="inlineStr">
        <is>
          <t>A 17464-2020</t>
        </is>
      </c>
      <c r="B266" s="1" t="n">
        <v>43917</v>
      </c>
      <c r="C266" s="1" t="n">
        <v>45635</v>
      </c>
      <c r="D266" t="inlineStr">
        <is>
          <t>JÄMTLANDS LÄN</t>
        </is>
      </c>
      <c r="E266" t="inlineStr">
        <is>
          <t>ÖSTERSUND</t>
        </is>
      </c>
      <c r="G266" t="n">
        <v>3.8</v>
      </c>
      <c r="H266" t="n">
        <v>0</v>
      </c>
      <c r="I266" t="n">
        <v>0</v>
      </c>
      <c r="J266" t="n">
        <v>0</v>
      </c>
      <c r="K266" t="n">
        <v>0</v>
      </c>
      <c r="L266" t="n">
        <v>0</v>
      </c>
      <c r="M266" t="n">
        <v>0</v>
      </c>
      <c r="N266" t="n">
        <v>0</v>
      </c>
      <c r="O266" t="n">
        <v>0</v>
      </c>
      <c r="P266" t="n">
        <v>0</v>
      </c>
      <c r="Q266" t="n">
        <v>0</v>
      </c>
      <c r="R266" s="2" t="inlineStr"/>
    </row>
    <row r="267" ht="15" customHeight="1">
      <c r="A267" t="inlineStr">
        <is>
          <t>A 18339-2020</t>
        </is>
      </c>
      <c r="B267" s="1" t="n">
        <v>43928</v>
      </c>
      <c r="C267" s="1" t="n">
        <v>45635</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18683-2020</t>
        </is>
      </c>
      <c r="B268" s="1" t="n">
        <v>43930</v>
      </c>
      <c r="C268" s="1" t="n">
        <v>45635</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19631-2020</t>
        </is>
      </c>
      <c r="B269" s="1" t="n">
        <v>43936</v>
      </c>
      <c r="C269" s="1" t="n">
        <v>45635</v>
      </c>
      <c r="D269" t="inlineStr">
        <is>
          <t>JÄMTLANDS LÄN</t>
        </is>
      </c>
      <c r="E269" t="inlineStr">
        <is>
          <t>ÖSTERSUND</t>
        </is>
      </c>
      <c r="G269" t="n">
        <v>5.5</v>
      </c>
      <c r="H269" t="n">
        <v>0</v>
      </c>
      <c r="I269" t="n">
        <v>0</v>
      </c>
      <c r="J269" t="n">
        <v>0</v>
      </c>
      <c r="K269" t="n">
        <v>0</v>
      </c>
      <c r="L269" t="n">
        <v>0</v>
      </c>
      <c r="M269" t="n">
        <v>0</v>
      </c>
      <c r="N269" t="n">
        <v>0</v>
      </c>
      <c r="O269" t="n">
        <v>0</v>
      </c>
      <c r="P269" t="n">
        <v>0</v>
      </c>
      <c r="Q269" t="n">
        <v>0</v>
      </c>
      <c r="R269" s="2" t="inlineStr"/>
    </row>
    <row r="270" ht="15" customHeight="1">
      <c r="A270" t="inlineStr">
        <is>
          <t>A 19923-2020</t>
        </is>
      </c>
      <c r="B270" s="1" t="n">
        <v>43943</v>
      </c>
      <c r="C270" s="1" t="n">
        <v>45635</v>
      </c>
      <c r="D270" t="inlineStr">
        <is>
          <t>JÄMTLANDS LÄN</t>
        </is>
      </c>
      <c r="E270" t="inlineStr">
        <is>
          <t>ÖSTERSUND</t>
        </is>
      </c>
      <c r="G270" t="n">
        <v>0.5</v>
      </c>
      <c r="H270" t="n">
        <v>0</v>
      </c>
      <c r="I270" t="n">
        <v>0</v>
      </c>
      <c r="J270" t="n">
        <v>0</v>
      </c>
      <c r="K270" t="n">
        <v>0</v>
      </c>
      <c r="L270" t="n">
        <v>0</v>
      </c>
      <c r="M270" t="n">
        <v>0</v>
      </c>
      <c r="N270" t="n">
        <v>0</v>
      </c>
      <c r="O270" t="n">
        <v>0</v>
      </c>
      <c r="P270" t="n">
        <v>0</v>
      </c>
      <c r="Q270" t="n">
        <v>0</v>
      </c>
      <c r="R270" s="2" t="inlineStr"/>
    </row>
    <row r="271" ht="15" customHeight="1">
      <c r="A271" t="inlineStr">
        <is>
          <t>A 20198-2020</t>
        </is>
      </c>
      <c r="B271" s="1" t="n">
        <v>43944</v>
      </c>
      <c r="C271" s="1" t="n">
        <v>45635</v>
      </c>
      <c r="D271" t="inlineStr">
        <is>
          <t>JÄMTLANDS LÄN</t>
        </is>
      </c>
      <c r="E271" t="inlineStr">
        <is>
          <t>ÖSTERSUND</t>
        </is>
      </c>
      <c r="G271" t="n">
        <v>2</v>
      </c>
      <c r="H271" t="n">
        <v>0</v>
      </c>
      <c r="I271" t="n">
        <v>0</v>
      </c>
      <c r="J271" t="n">
        <v>0</v>
      </c>
      <c r="K271" t="n">
        <v>0</v>
      </c>
      <c r="L271" t="n">
        <v>0</v>
      </c>
      <c r="M271" t="n">
        <v>0</v>
      </c>
      <c r="N271" t="n">
        <v>0</v>
      </c>
      <c r="O271" t="n">
        <v>0</v>
      </c>
      <c r="P271" t="n">
        <v>0</v>
      </c>
      <c r="Q271" t="n">
        <v>0</v>
      </c>
      <c r="R271" s="2" t="inlineStr"/>
    </row>
    <row r="272" ht="15" customHeight="1">
      <c r="A272" t="inlineStr">
        <is>
          <t>A 23507-2020</t>
        </is>
      </c>
      <c r="B272" s="1" t="n">
        <v>43969</v>
      </c>
      <c r="C272" s="1" t="n">
        <v>45635</v>
      </c>
      <c r="D272" t="inlineStr">
        <is>
          <t>JÄMTLANDS LÄN</t>
        </is>
      </c>
      <c r="E272" t="inlineStr">
        <is>
          <t>ÖSTERSUND</t>
        </is>
      </c>
      <c r="G272" t="n">
        <v>5.8</v>
      </c>
      <c r="H272" t="n">
        <v>0</v>
      </c>
      <c r="I272" t="n">
        <v>0</v>
      </c>
      <c r="J272" t="n">
        <v>0</v>
      </c>
      <c r="K272" t="n">
        <v>0</v>
      </c>
      <c r="L272" t="n">
        <v>0</v>
      </c>
      <c r="M272" t="n">
        <v>0</v>
      </c>
      <c r="N272" t="n">
        <v>0</v>
      </c>
      <c r="O272" t="n">
        <v>0</v>
      </c>
      <c r="P272" t="n">
        <v>0</v>
      </c>
      <c r="Q272" t="n">
        <v>0</v>
      </c>
      <c r="R272" s="2" t="inlineStr"/>
    </row>
    <row r="273" ht="15" customHeight="1">
      <c r="A273" t="inlineStr">
        <is>
          <t>A 23445-2020</t>
        </is>
      </c>
      <c r="B273" s="1" t="n">
        <v>43969</v>
      </c>
      <c r="C273" s="1" t="n">
        <v>45635</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24259-2020</t>
        </is>
      </c>
      <c r="B274" s="1" t="n">
        <v>43970</v>
      </c>
      <c r="C274" s="1" t="n">
        <v>45635</v>
      </c>
      <c r="D274" t="inlineStr">
        <is>
          <t>JÄMTLANDS LÄN</t>
        </is>
      </c>
      <c r="E274" t="inlineStr">
        <is>
          <t>ÖSTERSUND</t>
        </is>
      </c>
      <c r="G274" t="n">
        <v>0.6</v>
      </c>
      <c r="H274" t="n">
        <v>0</v>
      </c>
      <c r="I274" t="n">
        <v>0</v>
      </c>
      <c r="J274" t="n">
        <v>0</v>
      </c>
      <c r="K274" t="n">
        <v>0</v>
      </c>
      <c r="L274" t="n">
        <v>0</v>
      </c>
      <c r="M274" t="n">
        <v>0</v>
      </c>
      <c r="N274" t="n">
        <v>0</v>
      </c>
      <c r="O274" t="n">
        <v>0</v>
      </c>
      <c r="P274" t="n">
        <v>0</v>
      </c>
      <c r="Q274" t="n">
        <v>0</v>
      </c>
      <c r="R274" s="2" t="inlineStr"/>
    </row>
    <row r="275" ht="15" customHeight="1">
      <c r="A275" t="inlineStr">
        <is>
          <t>A 24253-2020</t>
        </is>
      </c>
      <c r="B275" s="1" t="n">
        <v>43970</v>
      </c>
      <c r="C275" s="1" t="n">
        <v>45635</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25148-2020</t>
        </is>
      </c>
      <c r="B276" s="1" t="n">
        <v>43978</v>
      </c>
      <c r="C276" s="1" t="n">
        <v>45635</v>
      </c>
      <c r="D276" t="inlineStr">
        <is>
          <t>JÄMTLANDS LÄN</t>
        </is>
      </c>
      <c r="E276" t="inlineStr">
        <is>
          <t>ÖSTERSUND</t>
        </is>
      </c>
      <c r="G276" t="n">
        <v>0.4</v>
      </c>
      <c r="H276" t="n">
        <v>0</v>
      </c>
      <c r="I276" t="n">
        <v>0</v>
      </c>
      <c r="J276" t="n">
        <v>0</v>
      </c>
      <c r="K276" t="n">
        <v>0</v>
      </c>
      <c r="L276" t="n">
        <v>0</v>
      </c>
      <c r="M276" t="n">
        <v>0</v>
      </c>
      <c r="N276" t="n">
        <v>0</v>
      </c>
      <c r="O276" t="n">
        <v>0</v>
      </c>
      <c r="P276" t="n">
        <v>0</v>
      </c>
      <c r="Q276" t="n">
        <v>0</v>
      </c>
      <c r="R276" s="2" t="inlineStr"/>
    </row>
    <row r="277" ht="15" customHeight="1">
      <c r="A277" t="inlineStr">
        <is>
          <t>A 26410-2020</t>
        </is>
      </c>
      <c r="B277" s="1" t="n">
        <v>43986</v>
      </c>
      <c r="C277" s="1" t="n">
        <v>45635</v>
      </c>
      <c r="D277" t="inlineStr">
        <is>
          <t>JÄMTLANDS LÄN</t>
        </is>
      </c>
      <c r="E277" t="inlineStr">
        <is>
          <t>ÖSTERSUND</t>
        </is>
      </c>
      <c r="G277" t="n">
        <v>2.1</v>
      </c>
      <c r="H277" t="n">
        <v>0</v>
      </c>
      <c r="I277" t="n">
        <v>0</v>
      </c>
      <c r="J277" t="n">
        <v>0</v>
      </c>
      <c r="K277" t="n">
        <v>0</v>
      </c>
      <c r="L277" t="n">
        <v>0</v>
      </c>
      <c r="M277" t="n">
        <v>0</v>
      </c>
      <c r="N277" t="n">
        <v>0</v>
      </c>
      <c r="O277" t="n">
        <v>0</v>
      </c>
      <c r="P277" t="n">
        <v>0</v>
      </c>
      <c r="Q277" t="n">
        <v>0</v>
      </c>
      <c r="R277" s="2" t="inlineStr"/>
    </row>
    <row r="278" ht="15" customHeight="1">
      <c r="A278" t="inlineStr">
        <is>
          <t>A 27576-2020</t>
        </is>
      </c>
      <c r="B278" s="1" t="n">
        <v>43992</v>
      </c>
      <c r="C278" s="1" t="n">
        <v>45635</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29635-2020</t>
        </is>
      </c>
      <c r="B279" s="1" t="n">
        <v>44000</v>
      </c>
      <c r="C279" s="1" t="n">
        <v>45635</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29435-2020</t>
        </is>
      </c>
      <c r="B280" s="1" t="n">
        <v>44004</v>
      </c>
      <c r="C280" s="1" t="n">
        <v>45635</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29479-2020</t>
        </is>
      </c>
      <c r="B281" s="1" t="n">
        <v>44005</v>
      </c>
      <c r="C281" s="1" t="n">
        <v>45635</v>
      </c>
      <c r="D281" t="inlineStr">
        <is>
          <t>JÄMTLANDS LÄN</t>
        </is>
      </c>
      <c r="E281" t="inlineStr">
        <is>
          <t>ÖSTERSUND</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29581-2020</t>
        </is>
      </c>
      <c r="B282" s="1" t="n">
        <v>44004</v>
      </c>
      <c r="C282" s="1" t="n">
        <v>45635</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30676-2020</t>
        </is>
      </c>
      <c r="B283" s="1" t="n">
        <v>44008</v>
      </c>
      <c r="C283" s="1" t="n">
        <v>45635</v>
      </c>
      <c r="D283" t="inlineStr">
        <is>
          <t>JÄMTLANDS LÄN</t>
        </is>
      </c>
      <c r="E283" t="inlineStr">
        <is>
          <t>ÖSTERSUND</t>
        </is>
      </c>
      <c r="G283" t="n">
        <v>2.4</v>
      </c>
      <c r="H283" t="n">
        <v>0</v>
      </c>
      <c r="I283" t="n">
        <v>0</v>
      </c>
      <c r="J283" t="n">
        <v>0</v>
      </c>
      <c r="K283" t="n">
        <v>0</v>
      </c>
      <c r="L283" t="n">
        <v>0</v>
      </c>
      <c r="M283" t="n">
        <v>0</v>
      </c>
      <c r="N283" t="n">
        <v>0</v>
      </c>
      <c r="O283" t="n">
        <v>0</v>
      </c>
      <c r="P283" t="n">
        <v>0</v>
      </c>
      <c r="Q283" t="n">
        <v>0</v>
      </c>
      <c r="R283" s="2" t="inlineStr"/>
    </row>
    <row r="284" ht="15" customHeight="1">
      <c r="A284" t="inlineStr">
        <is>
          <t>A 33945-2020</t>
        </is>
      </c>
      <c r="B284" s="1" t="n">
        <v>44027</v>
      </c>
      <c r="C284" s="1" t="n">
        <v>45635</v>
      </c>
      <c r="D284" t="inlineStr">
        <is>
          <t>JÄMTLANDS LÄN</t>
        </is>
      </c>
      <c r="E284" t="inlineStr">
        <is>
          <t>ÖSTERSUND</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34703-2020</t>
        </is>
      </c>
      <c r="B285" s="1" t="n">
        <v>44035</v>
      </c>
      <c r="C285" s="1" t="n">
        <v>45635</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37500-2020</t>
        </is>
      </c>
      <c r="B286" s="1" t="n">
        <v>44055</v>
      </c>
      <c r="C286" s="1" t="n">
        <v>45635</v>
      </c>
      <c r="D286" t="inlineStr">
        <is>
          <t>JÄMTLANDS LÄN</t>
        </is>
      </c>
      <c r="E286" t="inlineStr">
        <is>
          <t>ÖSTERSUND</t>
        </is>
      </c>
      <c r="G286" t="n">
        <v>4.8</v>
      </c>
      <c r="H286" t="n">
        <v>0</v>
      </c>
      <c r="I286" t="n">
        <v>0</v>
      </c>
      <c r="J286" t="n">
        <v>0</v>
      </c>
      <c r="K286" t="n">
        <v>0</v>
      </c>
      <c r="L286" t="n">
        <v>0</v>
      </c>
      <c r="M286" t="n">
        <v>0</v>
      </c>
      <c r="N286" t="n">
        <v>0</v>
      </c>
      <c r="O286" t="n">
        <v>0</v>
      </c>
      <c r="P286" t="n">
        <v>0</v>
      </c>
      <c r="Q286" t="n">
        <v>0</v>
      </c>
      <c r="R286" s="2" t="inlineStr"/>
    </row>
    <row r="287" ht="15" customHeight="1">
      <c r="A287" t="inlineStr">
        <is>
          <t>A 38099-2020</t>
        </is>
      </c>
      <c r="B287" s="1" t="n">
        <v>44057</v>
      </c>
      <c r="C287" s="1" t="n">
        <v>45635</v>
      </c>
      <c r="D287" t="inlineStr">
        <is>
          <t>JÄMTLANDS LÄN</t>
        </is>
      </c>
      <c r="E287" t="inlineStr">
        <is>
          <t>ÖSTERSUND</t>
        </is>
      </c>
      <c r="F287" t="inlineStr">
        <is>
          <t>SCA</t>
        </is>
      </c>
      <c r="G287" t="n">
        <v>5.5</v>
      </c>
      <c r="H287" t="n">
        <v>0</v>
      </c>
      <c r="I287" t="n">
        <v>0</v>
      </c>
      <c r="J287" t="n">
        <v>0</v>
      </c>
      <c r="K287" t="n">
        <v>0</v>
      </c>
      <c r="L287" t="n">
        <v>0</v>
      </c>
      <c r="M287" t="n">
        <v>0</v>
      </c>
      <c r="N287" t="n">
        <v>0</v>
      </c>
      <c r="O287" t="n">
        <v>0</v>
      </c>
      <c r="P287" t="n">
        <v>0</v>
      </c>
      <c r="Q287" t="n">
        <v>0</v>
      </c>
      <c r="R287" s="2" t="inlineStr"/>
    </row>
    <row r="288" ht="15" customHeight="1">
      <c r="A288" t="inlineStr">
        <is>
          <t>A 41354-2020</t>
        </is>
      </c>
      <c r="B288" s="1" t="n">
        <v>44072</v>
      </c>
      <c r="C288" s="1" t="n">
        <v>45635</v>
      </c>
      <c r="D288" t="inlineStr">
        <is>
          <t>JÄMTLANDS LÄN</t>
        </is>
      </c>
      <c r="E288" t="inlineStr">
        <is>
          <t>ÖSTERSUND</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42712-2020</t>
        </is>
      </c>
      <c r="B289" s="1" t="n">
        <v>44076</v>
      </c>
      <c r="C289" s="1" t="n">
        <v>45635</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42749-2020</t>
        </is>
      </c>
      <c r="B290" s="1" t="n">
        <v>44078</v>
      </c>
      <c r="C290" s="1" t="n">
        <v>45635</v>
      </c>
      <c r="D290" t="inlineStr">
        <is>
          <t>JÄMTLANDS LÄN</t>
        </is>
      </c>
      <c r="E290" t="inlineStr">
        <is>
          <t>ÖSTERSUND</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42765-2020</t>
        </is>
      </c>
      <c r="B291" s="1" t="n">
        <v>44077</v>
      </c>
      <c r="C291" s="1" t="n">
        <v>45635</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42766-2020</t>
        </is>
      </c>
      <c r="B292" s="1" t="n">
        <v>44077</v>
      </c>
      <c r="C292" s="1" t="n">
        <v>45635</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43796-2020</t>
        </is>
      </c>
      <c r="B293" s="1" t="n">
        <v>44082</v>
      </c>
      <c r="C293" s="1" t="n">
        <v>45635</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45820-2020</t>
        </is>
      </c>
      <c r="B294" s="1" t="n">
        <v>44090</v>
      </c>
      <c r="C294" s="1" t="n">
        <v>45635</v>
      </c>
      <c r="D294" t="inlineStr">
        <is>
          <t>JÄMTLANDS LÄN</t>
        </is>
      </c>
      <c r="E294" t="inlineStr">
        <is>
          <t>ÖSTERSUND</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50121-2020</t>
        </is>
      </c>
      <c r="B295" s="1" t="n">
        <v>44106</v>
      </c>
      <c r="C295" s="1" t="n">
        <v>45635</v>
      </c>
      <c r="D295" t="inlineStr">
        <is>
          <t>JÄMTLANDS LÄN</t>
        </is>
      </c>
      <c r="E295" t="inlineStr">
        <is>
          <t>ÖSTERSUND</t>
        </is>
      </c>
      <c r="F295" t="inlineStr">
        <is>
          <t>Övriga statliga verk och myndigheter</t>
        </is>
      </c>
      <c r="G295" t="n">
        <v>5.2</v>
      </c>
      <c r="H295" t="n">
        <v>0</v>
      </c>
      <c r="I295" t="n">
        <v>0</v>
      </c>
      <c r="J295" t="n">
        <v>0</v>
      </c>
      <c r="K295" t="n">
        <v>0</v>
      </c>
      <c r="L295" t="n">
        <v>0</v>
      </c>
      <c r="M295" t="n">
        <v>0</v>
      </c>
      <c r="N295" t="n">
        <v>0</v>
      </c>
      <c r="O295" t="n">
        <v>0</v>
      </c>
      <c r="P295" t="n">
        <v>0</v>
      </c>
      <c r="Q295" t="n">
        <v>0</v>
      </c>
      <c r="R295" s="2" t="inlineStr"/>
    </row>
    <row r="296" ht="15" customHeight="1">
      <c r="A296" t="inlineStr">
        <is>
          <t>A 50153-2020</t>
        </is>
      </c>
      <c r="B296" s="1" t="n">
        <v>44106</v>
      </c>
      <c r="C296" s="1" t="n">
        <v>45635</v>
      </c>
      <c r="D296" t="inlineStr">
        <is>
          <t>JÄMTLANDS LÄN</t>
        </is>
      </c>
      <c r="E296" t="inlineStr">
        <is>
          <t>ÖSTERSUND</t>
        </is>
      </c>
      <c r="F296" t="inlineStr">
        <is>
          <t>Övriga statliga verk och myndigheter</t>
        </is>
      </c>
      <c r="G296" t="n">
        <v>4.6</v>
      </c>
      <c r="H296" t="n">
        <v>0</v>
      </c>
      <c r="I296" t="n">
        <v>0</v>
      </c>
      <c r="J296" t="n">
        <v>0</v>
      </c>
      <c r="K296" t="n">
        <v>0</v>
      </c>
      <c r="L296" t="n">
        <v>0</v>
      </c>
      <c r="M296" t="n">
        <v>0</v>
      </c>
      <c r="N296" t="n">
        <v>0</v>
      </c>
      <c r="O296" t="n">
        <v>0</v>
      </c>
      <c r="P296" t="n">
        <v>0</v>
      </c>
      <c r="Q296" t="n">
        <v>0</v>
      </c>
      <c r="R296" s="2" t="inlineStr"/>
    </row>
    <row r="297" ht="15" customHeight="1">
      <c r="A297" t="inlineStr">
        <is>
          <t>A 50144-2020</t>
        </is>
      </c>
      <c r="B297" s="1" t="n">
        <v>44106</v>
      </c>
      <c r="C297" s="1" t="n">
        <v>45635</v>
      </c>
      <c r="D297" t="inlineStr">
        <is>
          <t>JÄMTLANDS LÄN</t>
        </is>
      </c>
      <c r="E297" t="inlineStr">
        <is>
          <t>ÖSTERSUND</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50632-2020</t>
        </is>
      </c>
      <c r="B298" s="1" t="n">
        <v>44110</v>
      </c>
      <c r="C298" s="1" t="n">
        <v>45635</v>
      </c>
      <c r="D298" t="inlineStr">
        <is>
          <t>JÄMTLANDS LÄN</t>
        </is>
      </c>
      <c r="E298" t="inlineStr">
        <is>
          <t>ÖSTERSUND</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52478-2020</t>
        </is>
      </c>
      <c r="B299" s="1" t="n">
        <v>44113</v>
      </c>
      <c r="C299" s="1" t="n">
        <v>45635</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52535-2020</t>
        </is>
      </c>
      <c r="B300" s="1" t="n">
        <v>44118</v>
      </c>
      <c r="C300" s="1" t="n">
        <v>45635</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52777-2020</t>
        </is>
      </c>
      <c r="B301" s="1" t="n">
        <v>44118</v>
      </c>
      <c r="C301" s="1" t="n">
        <v>45635</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52791-2020</t>
        </is>
      </c>
      <c r="B302" s="1" t="n">
        <v>44118</v>
      </c>
      <c r="C302" s="1" t="n">
        <v>45635</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53323-2020</t>
        </is>
      </c>
      <c r="B303" s="1" t="n">
        <v>44123</v>
      </c>
      <c r="C303" s="1" t="n">
        <v>45635</v>
      </c>
      <c r="D303" t="inlineStr">
        <is>
          <t>JÄMTLANDS LÄN</t>
        </is>
      </c>
      <c r="E303" t="inlineStr">
        <is>
          <t>ÖSTERSUND</t>
        </is>
      </c>
      <c r="F303" t="inlineStr">
        <is>
          <t>Övriga Aktiebolag</t>
        </is>
      </c>
      <c r="G303" t="n">
        <v>2.2</v>
      </c>
      <c r="H303" t="n">
        <v>0</v>
      </c>
      <c r="I303" t="n">
        <v>0</v>
      </c>
      <c r="J303" t="n">
        <v>0</v>
      </c>
      <c r="K303" t="n">
        <v>0</v>
      </c>
      <c r="L303" t="n">
        <v>0</v>
      </c>
      <c r="M303" t="n">
        <v>0</v>
      </c>
      <c r="N303" t="n">
        <v>0</v>
      </c>
      <c r="O303" t="n">
        <v>0</v>
      </c>
      <c r="P303" t="n">
        <v>0</v>
      </c>
      <c r="Q303" t="n">
        <v>0</v>
      </c>
      <c r="R303" s="2" t="inlineStr"/>
    </row>
    <row r="304" ht="15" customHeight="1">
      <c r="A304" t="inlineStr">
        <is>
          <t>A 53967-2020</t>
        </is>
      </c>
      <c r="B304" s="1" t="n">
        <v>44125</v>
      </c>
      <c r="C304" s="1" t="n">
        <v>45635</v>
      </c>
      <c r="D304" t="inlineStr">
        <is>
          <t>JÄMTLANDS LÄN</t>
        </is>
      </c>
      <c r="E304" t="inlineStr">
        <is>
          <t>ÖSTERSUND</t>
        </is>
      </c>
      <c r="G304" t="n">
        <v>25.8</v>
      </c>
      <c r="H304" t="n">
        <v>0</v>
      </c>
      <c r="I304" t="n">
        <v>0</v>
      </c>
      <c r="J304" t="n">
        <v>0</v>
      </c>
      <c r="K304" t="n">
        <v>0</v>
      </c>
      <c r="L304" t="n">
        <v>0</v>
      </c>
      <c r="M304" t="n">
        <v>0</v>
      </c>
      <c r="N304" t="n">
        <v>0</v>
      </c>
      <c r="O304" t="n">
        <v>0</v>
      </c>
      <c r="P304" t="n">
        <v>0</v>
      </c>
      <c r="Q304" t="n">
        <v>0</v>
      </c>
      <c r="R304" s="2" t="inlineStr"/>
    </row>
    <row r="305" ht="15" customHeight="1">
      <c r="A305" t="inlineStr">
        <is>
          <t>A 54539-2020</t>
        </is>
      </c>
      <c r="B305" s="1" t="n">
        <v>44126</v>
      </c>
      <c r="C305" s="1" t="n">
        <v>45635</v>
      </c>
      <c r="D305" t="inlineStr">
        <is>
          <t>JÄMTLANDS LÄN</t>
        </is>
      </c>
      <c r="E305" t="inlineStr">
        <is>
          <t>ÖSTERSUND</t>
        </is>
      </c>
      <c r="G305" t="n">
        <v>4.2</v>
      </c>
      <c r="H305" t="n">
        <v>0</v>
      </c>
      <c r="I305" t="n">
        <v>0</v>
      </c>
      <c r="J305" t="n">
        <v>0</v>
      </c>
      <c r="K305" t="n">
        <v>0</v>
      </c>
      <c r="L305" t="n">
        <v>0</v>
      </c>
      <c r="M305" t="n">
        <v>0</v>
      </c>
      <c r="N305" t="n">
        <v>0</v>
      </c>
      <c r="O305" t="n">
        <v>0</v>
      </c>
      <c r="P305" t="n">
        <v>0</v>
      </c>
      <c r="Q305" t="n">
        <v>0</v>
      </c>
      <c r="R305" s="2" t="inlineStr"/>
    </row>
    <row r="306" ht="15" customHeight="1">
      <c r="A306" t="inlineStr">
        <is>
          <t>A 54844-2020</t>
        </is>
      </c>
      <c r="B306" s="1" t="n">
        <v>44126</v>
      </c>
      <c r="C306" s="1" t="n">
        <v>45635</v>
      </c>
      <c r="D306" t="inlineStr">
        <is>
          <t>JÄMTLANDS LÄN</t>
        </is>
      </c>
      <c r="E306" t="inlineStr">
        <is>
          <t>ÖSTERSUND</t>
        </is>
      </c>
      <c r="G306" t="n">
        <v>6.9</v>
      </c>
      <c r="H306" t="n">
        <v>0</v>
      </c>
      <c r="I306" t="n">
        <v>0</v>
      </c>
      <c r="J306" t="n">
        <v>0</v>
      </c>
      <c r="K306" t="n">
        <v>0</v>
      </c>
      <c r="L306" t="n">
        <v>0</v>
      </c>
      <c r="M306" t="n">
        <v>0</v>
      </c>
      <c r="N306" t="n">
        <v>0</v>
      </c>
      <c r="O306" t="n">
        <v>0</v>
      </c>
      <c r="P306" t="n">
        <v>0</v>
      </c>
      <c r="Q306" t="n">
        <v>0</v>
      </c>
      <c r="R306" s="2" t="inlineStr"/>
    </row>
    <row r="307" ht="15" customHeight="1">
      <c r="A307" t="inlineStr">
        <is>
          <t>A 56220-2020</t>
        </is>
      </c>
      <c r="B307" s="1" t="n">
        <v>44133</v>
      </c>
      <c r="C307" s="1" t="n">
        <v>45635</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56486-2020</t>
        </is>
      </c>
      <c r="B308" s="1" t="n">
        <v>44137</v>
      </c>
      <c r="C308" s="1" t="n">
        <v>45635</v>
      </c>
      <c r="D308" t="inlineStr">
        <is>
          <t>JÄMTLANDS LÄN</t>
        </is>
      </c>
      <c r="E308" t="inlineStr">
        <is>
          <t>ÖSTERSUND</t>
        </is>
      </c>
      <c r="G308" t="n">
        <v>5.8</v>
      </c>
      <c r="H308" t="n">
        <v>0</v>
      </c>
      <c r="I308" t="n">
        <v>0</v>
      </c>
      <c r="J308" t="n">
        <v>0</v>
      </c>
      <c r="K308" t="n">
        <v>0</v>
      </c>
      <c r="L308" t="n">
        <v>0</v>
      </c>
      <c r="M308" t="n">
        <v>0</v>
      </c>
      <c r="N308" t="n">
        <v>0</v>
      </c>
      <c r="O308" t="n">
        <v>0</v>
      </c>
      <c r="P308" t="n">
        <v>0</v>
      </c>
      <c r="Q308" t="n">
        <v>0</v>
      </c>
      <c r="R308" s="2" t="inlineStr"/>
    </row>
    <row r="309" ht="15" customHeight="1">
      <c r="A309" t="inlineStr">
        <is>
          <t>A 56636-2020</t>
        </is>
      </c>
      <c r="B309" s="1" t="n">
        <v>44137</v>
      </c>
      <c r="C309" s="1" t="n">
        <v>45635</v>
      </c>
      <c r="D309" t="inlineStr">
        <is>
          <t>JÄMTLANDS LÄN</t>
        </is>
      </c>
      <c r="E309" t="inlineStr">
        <is>
          <t>ÖSTERSUND</t>
        </is>
      </c>
      <c r="F309" t="inlineStr">
        <is>
          <t>Övriga Aktiebolag</t>
        </is>
      </c>
      <c r="G309" t="n">
        <v>16.2</v>
      </c>
      <c r="H309" t="n">
        <v>0</v>
      </c>
      <c r="I309" t="n">
        <v>0</v>
      </c>
      <c r="J309" t="n">
        <v>0</v>
      </c>
      <c r="K309" t="n">
        <v>0</v>
      </c>
      <c r="L309" t="n">
        <v>0</v>
      </c>
      <c r="M309" t="n">
        <v>0</v>
      </c>
      <c r="N309" t="n">
        <v>0</v>
      </c>
      <c r="O309" t="n">
        <v>0</v>
      </c>
      <c r="P309" t="n">
        <v>0</v>
      </c>
      <c r="Q309" t="n">
        <v>0</v>
      </c>
      <c r="R309" s="2" t="inlineStr"/>
    </row>
    <row r="310" ht="15" customHeight="1">
      <c r="A310" t="inlineStr">
        <is>
          <t>A 56642-2020</t>
        </is>
      </c>
      <c r="B310" s="1" t="n">
        <v>44137</v>
      </c>
      <c r="C310" s="1" t="n">
        <v>45635</v>
      </c>
      <c r="D310" t="inlineStr">
        <is>
          <t>JÄMTLANDS LÄN</t>
        </is>
      </c>
      <c r="E310" t="inlineStr">
        <is>
          <t>ÖSTERSUND</t>
        </is>
      </c>
      <c r="F310" t="inlineStr">
        <is>
          <t>Övriga Aktiebolag</t>
        </is>
      </c>
      <c r="G310" t="n">
        <v>6</v>
      </c>
      <c r="H310" t="n">
        <v>0</v>
      </c>
      <c r="I310" t="n">
        <v>0</v>
      </c>
      <c r="J310" t="n">
        <v>0</v>
      </c>
      <c r="K310" t="n">
        <v>0</v>
      </c>
      <c r="L310" t="n">
        <v>0</v>
      </c>
      <c r="M310" t="n">
        <v>0</v>
      </c>
      <c r="N310" t="n">
        <v>0</v>
      </c>
      <c r="O310" t="n">
        <v>0</v>
      </c>
      <c r="P310" t="n">
        <v>0</v>
      </c>
      <c r="Q310" t="n">
        <v>0</v>
      </c>
      <c r="R310" s="2" t="inlineStr"/>
    </row>
    <row r="311" ht="15" customHeight="1">
      <c r="A311" t="inlineStr">
        <is>
          <t>A 57616-2020</t>
        </is>
      </c>
      <c r="B311" s="1" t="n">
        <v>44140</v>
      </c>
      <c r="C311" s="1" t="n">
        <v>45635</v>
      </c>
      <c r="D311" t="inlineStr">
        <is>
          <t>JÄMTLANDS LÄN</t>
        </is>
      </c>
      <c r="E311" t="inlineStr">
        <is>
          <t>ÖSTERSUND</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57624-2020</t>
        </is>
      </c>
      <c r="B312" s="1" t="n">
        <v>44140</v>
      </c>
      <c r="C312" s="1" t="n">
        <v>45635</v>
      </c>
      <c r="D312" t="inlineStr">
        <is>
          <t>JÄMTLANDS LÄN</t>
        </is>
      </c>
      <c r="E312" t="inlineStr">
        <is>
          <t>ÖSTERSUND</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57791-2020</t>
        </is>
      </c>
      <c r="B313" s="1" t="n">
        <v>44141</v>
      </c>
      <c r="C313" s="1" t="n">
        <v>45635</v>
      </c>
      <c r="D313" t="inlineStr">
        <is>
          <t>JÄMTLANDS LÄN</t>
        </is>
      </c>
      <c r="E313" t="inlineStr">
        <is>
          <t>ÖSTERSUND</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57771-2020</t>
        </is>
      </c>
      <c r="B314" s="1" t="n">
        <v>44141</v>
      </c>
      <c r="C314" s="1" t="n">
        <v>45635</v>
      </c>
      <c r="D314" t="inlineStr">
        <is>
          <t>JÄMTLANDS LÄN</t>
        </is>
      </c>
      <c r="E314" t="inlineStr">
        <is>
          <t>ÖSTERSUND</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60050-2020</t>
        </is>
      </c>
      <c r="B315" s="1" t="n">
        <v>44151</v>
      </c>
      <c r="C315" s="1" t="n">
        <v>45635</v>
      </c>
      <c r="D315" t="inlineStr">
        <is>
          <t>JÄMTLANDS LÄN</t>
        </is>
      </c>
      <c r="E315" t="inlineStr">
        <is>
          <t>ÖSTERSUND</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60126-2020</t>
        </is>
      </c>
      <c r="B316" s="1" t="n">
        <v>44152</v>
      </c>
      <c r="C316" s="1" t="n">
        <v>45635</v>
      </c>
      <c r="D316" t="inlineStr">
        <is>
          <t>JÄMTLANDS LÄN</t>
        </is>
      </c>
      <c r="E316" t="inlineStr">
        <is>
          <t>ÖSTERSUND</t>
        </is>
      </c>
      <c r="G316" t="n">
        <v>1</v>
      </c>
      <c r="H316" t="n">
        <v>0</v>
      </c>
      <c r="I316" t="n">
        <v>0</v>
      </c>
      <c r="J316" t="n">
        <v>0</v>
      </c>
      <c r="K316" t="n">
        <v>0</v>
      </c>
      <c r="L316" t="n">
        <v>0</v>
      </c>
      <c r="M316" t="n">
        <v>0</v>
      </c>
      <c r="N316" t="n">
        <v>0</v>
      </c>
      <c r="O316" t="n">
        <v>0</v>
      </c>
      <c r="P316" t="n">
        <v>0</v>
      </c>
      <c r="Q316" t="n">
        <v>0</v>
      </c>
      <c r="R316" s="2" t="inlineStr"/>
    </row>
    <row r="317" ht="15" customHeight="1">
      <c r="A317" t="inlineStr">
        <is>
          <t>A 63171-2020</t>
        </is>
      </c>
      <c r="B317" s="1" t="n">
        <v>44162</v>
      </c>
      <c r="C317" s="1" t="n">
        <v>45635</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65410-2020</t>
        </is>
      </c>
      <c r="B318" s="1" t="n">
        <v>44173</v>
      </c>
      <c r="C318" s="1" t="n">
        <v>45635</v>
      </c>
      <c r="D318" t="inlineStr">
        <is>
          <t>JÄMTLANDS LÄN</t>
        </is>
      </c>
      <c r="E318" t="inlineStr">
        <is>
          <t>ÖSTERSUND</t>
        </is>
      </c>
      <c r="F318" t="inlineStr">
        <is>
          <t>Kommuner</t>
        </is>
      </c>
      <c r="G318" t="n">
        <v>0.8</v>
      </c>
      <c r="H318" t="n">
        <v>0</v>
      </c>
      <c r="I318" t="n">
        <v>0</v>
      </c>
      <c r="J318" t="n">
        <v>0</v>
      </c>
      <c r="K318" t="n">
        <v>0</v>
      </c>
      <c r="L318" t="n">
        <v>0</v>
      </c>
      <c r="M318" t="n">
        <v>0</v>
      </c>
      <c r="N318" t="n">
        <v>0</v>
      </c>
      <c r="O318" t="n">
        <v>0</v>
      </c>
      <c r="P318" t="n">
        <v>0</v>
      </c>
      <c r="Q318" t="n">
        <v>0</v>
      </c>
      <c r="R318" s="2" t="inlineStr"/>
    </row>
    <row r="319" ht="15" customHeight="1">
      <c r="A319" t="inlineStr">
        <is>
          <t>A 66269-2020</t>
        </is>
      </c>
      <c r="B319" s="1" t="n">
        <v>44174</v>
      </c>
      <c r="C319" s="1" t="n">
        <v>45635</v>
      </c>
      <c r="D319" t="inlineStr">
        <is>
          <t>JÄMTLANDS LÄN</t>
        </is>
      </c>
      <c r="E319" t="inlineStr">
        <is>
          <t>ÖSTERSUND</t>
        </is>
      </c>
      <c r="F319" t="inlineStr">
        <is>
          <t>Övriga statliga verk och myndigheter</t>
        </is>
      </c>
      <c r="G319" t="n">
        <v>10</v>
      </c>
      <c r="H319" t="n">
        <v>0</v>
      </c>
      <c r="I319" t="n">
        <v>0</v>
      </c>
      <c r="J319" t="n">
        <v>0</v>
      </c>
      <c r="K319" t="n">
        <v>0</v>
      </c>
      <c r="L319" t="n">
        <v>0</v>
      </c>
      <c r="M319" t="n">
        <v>0</v>
      </c>
      <c r="N319" t="n">
        <v>0</v>
      </c>
      <c r="O319" t="n">
        <v>0</v>
      </c>
      <c r="P319" t="n">
        <v>0</v>
      </c>
      <c r="Q319" t="n">
        <v>0</v>
      </c>
      <c r="R319" s="2" t="inlineStr"/>
    </row>
    <row r="320" ht="15" customHeight="1">
      <c r="A320" t="inlineStr">
        <is>
          <t>A 66288-2020</t>
        </is>
      </c>
      <c r="B320" s="1" t="n">
        <v>44174</v>
      </c>
      <c r="C320" s="1" t="n">
        <v>45635</v>
      </c>
      <c r="D320" t="inlineStr">
        <is>
          <t>JÄMTLANDS LÄN</t>
        </is>
      </c>
      <c r="E320" t="inlineStr">
        <is>
          <t>ÖSTERSUND</t>
        </is>
      </c>
      <c r="F320" t="inlineStr">
        <is>
          <t>Övriga statliga verk och myndigheter</t>
        </is>
      </c>
      <c r="G320" t="n">
        <v>1.2</v>
      </c>
      <c r="H320" t="n">
        <v>0</v>
      </c>
      <c r="I320" t="n">
        <v>0</v>
      </c>
      <c r="J320" t="n">
        <v>0</v>
      </c>
      <c r="K320" t="n">
        <v>0</v>
      </c>
      <c r="L320" t="n">
        <v>0</v>
      </c>
      <c r="M320" t="n">
        <v>0</v>
      </c>
      <c r="N320" t="n">
        <v>0</v>
      </c>
      <c r="O320" t="n">
        <v>0</v>
      </c>
      <c r="P320" t="n">
        <v>0</v>
      </c>
      <c r="Q320" t="n">
        <v>0</v>
      </c>
      <c r="R320" s="2" t="inlineStr"/>
    </row>
    <row r="321" ht="15" customHeight="1">
      <c r="A321" t="inlineStr">
        <is>
          <t>A 66286-2020</t>
        </is>
      </c>
      <c r="B321" s="1" t="n">
        <v>44174</v>
      </c>
      <c r="C321" s="1" t="n">
        <v>45635</v>
      </c>
      <c r="D321" t="inlineStr">
        <is>
          <t>JÄMTLANDS LÄN</t>
        </is>
      </c>
      <c r="E321" t="inlineStr">
        <is>
          <t>ÖSTERSUND</t>
        </is>
      </c>
      <c r="F321" t="inlineStr">
        <is>
          <t>Övriga statliga verk och myndigheter</t>
        </is>
      </c>
      <c r="G321" t="n">
        <v>1.1</v>
      </c>
      <c r="H321" t="n">
        <v>0</v>
      </c>
      <c r="I321" t="n">
        <v>0</v>
      </c>
      <c r="J321" t="n">
        <v>0</v>
      </c>
      <c r="K321" t="n">
        <v>0</v>
      </c>
      <c r="L321" t="n">
        <v>0</v>
      </c>
      <c r="M321" t="n">
        <v>0</v>
      </c>
      <c r="N321" t="n">
        <v>0</v>
      </c>
      <c r="O321" t="n">
        <v>0</v>
      </c>
      <c r="P321" t="n">
        <v>0</v>
      </c>
      <c r="Q321" t="n">
        <v>0</v>
      </c>
      <c r="R321" s="2" t="inlineStr"/>
    </row>
    <row r="322" ht="15" customHeight="1">
      <c r="A322" t="inlineStr">
        <is>
          <t>A 67646-2020</t>
        </is>
      </c>
      <c r="B322" s="1" t="n">
        <v>44180</v>
      </c>
      <c r="C322" s="1" t="n">
        <v>45635</v>
      </c>
      <c r="D322" t="inlineStr">
        <is>
          <t>JÄMTLANDS LÄN</t>
        </is>
      </c>
      <c r="E322" t="inlineStr">
        <is>
          <t>ÖSTERSUND</t>
        </is>
      </c>
      <c r="G322" t="n">
        <v>1.9</v>
      </c>
      <c r="H322" t="n">
        <v>0</v>
      </c>
      <c r="I322" t="n">
        <v>0</v>
      </c>
      <c r="J322" t="n">
        <v>0</v>
      </c>
      <c r="K322" t="n">
        <v>0</v>
      </c>
      <c r="L322" t="n">
        <v>0</v>
      </c>
      <c r="M322" t="n">
        <v>0</v>
      </c>
      <c r="N322" t="n">
        <v>0</v>
      </c>
      <c r="O322" t="n">
        <v>0</v>
      </c>
      <c r="P322" t="n">
        <v>0</v>
      </c>
      <c r="Q322" t="n">
        <v>0</v>
      </c>
      <c r="R322" s="2" t="inlineStr"/>
    </row>
    <row r="323" ht="15" customHeight="1">
      <c r="A323" t="inlineStr">
        <is>
          <t>A 67643-2020</t>
        </is>
      </c>
      <c r="B323" s="1" t="n">
        <v>44180</v>
      </c>
      <c r="C323" s="1" t="n">
        <v>45635</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68408-2020</t>
        </is>
      </c>
      <c r="B324" s="1" t="n">
        <v>44186</v>
      </c>
      <c r="C324" s="1" t="n">
        <v>45635</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68937-2020</t>
        </is>
      </c>
      <c r="B325" s="1" t="n">
        <v>44187</v>
      </c>
      <c r="C325" s="1" t="n">
        <v>45635</v>
      </c>
      <c r="D325" t="inlineStr">
        <is>
          <t>JÄMTLANDS LÄN</t>
        </is>
      </c>
      <c r="E325" t="inlineStr">
        <is>
          <t>ÖSTERSUND</t>
        </is>
      </c>
      <c r="G325" t="n">
        <v>4.7</v>
      </c>
      <c r="H325" t="n">
        <v>0</v>
      </c>
      <c r="I325" t="n">
        <v>0</v>
      </c>
      <c r="J325" t="n">
        <v>0</v>
      </c>
      <c r="K325" t="n">
        <v>0</v>
      </c>
      <c r="L325" t="n">
        <v>0</v>
      </c>
      <c r="M325" t="n">
        <v>0</v>
      </c>
      <c r="N325" t="n">
        <v>0</v>
      </c>
      <c r="O325" t="n">
        <v>0</v>
      </c>
      <c r="P325" t="n">
        <v>0</v>
      </c>
      <c r="Q325" t="n">
        <v>0</v>
      </c>
      <c r="R325" s="2" t="inlineStr"/>
    </row>
    <row r="326" ht="15" customHeight="1">
      <c r="A326" t="inlineStr">
        <is>
          <t>A 126-2021</t>
        </is>
      </c>
      <c r="B326" s="1" t="n">
        <v>44200</v>
      </c>
      <c r="C326" s="1" t="n">
        <v>45635</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501-2021</t>
        </is>
      </c>
      <c r="B327" s="1" t="n">
        <v>44200</v>
      </c>
      <c r="C327" s="1" t="n">
        <v>45635</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1322-2021</t>
        </is>
      </c>
      <c r="B328" s="1" t="n">
        <v>44208</v>
      </c>
      <c r="C328" s="1" t="n">
        <v>45635</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2686-2021</t>
        </is>
      </c>
      <c r="B329" s="1" t="n">
        <v>44214</v>
      </c>
      <c r="C329" s="1" t="n">
        <v>45635</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5460-2021</t>
        </is>
      </c>
      <c r="B330" s="1" t="n">
        <v>44229</v>
      </c>
      <c r="C330" s="1" t="n">
        <v>45635</v>
      </c>
      <c r="D330" t="inlineStr">
        <is>
          <t>JÄMTLANDS LÄN</t>
        </is>
      </c>
      <c r="E330" t="inlineStr">
        <is>
          <t>ÖSTERSUND</t>
        </is>
      </c>
      <c r="G330" t="n">
        <v>14.2</v>
      </c>
      <c r="H330" t="n">
        <v>0</v>
      </c>
      <c r="I330" t="n">
        <v>0</v>
      </c>
      <c r="J330" t="n">
        <v>0</v>
      </c>
      <c r="K330" t="n">
        <v>0</v>
      </c>
      <c r="L330" t="n">
        <v>0</v>
      </c>
      <c r="M330" t="n">
        <v>0</v>
      </c>
      <c r="N330" t="n">
        <v>0</v>
      </c>
      <c r="O330" t="n">
        <v>0</v>
      </c>
      <c r="P330" t="n">
        <v>0</v>
      </c>
      <c r="Q330" t="n">
        <v>0</v>
      </c>
      <c r="R330" s="2" t="inlineStr"/>
    </row>
    <row r="331" ht="15" customHeight="1">
      <c r="A331" t="inlineStr">
        <is>
          <t>A 6578-2021</t>
        </is>
      </c>
      <c r="B331" s="1" t="n">
        <v>44236</v>
      </c>
      <c r="C331" s="1" t="n">
        <v>45635</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8396-2021</t>
        </is>
      </c>
      <c r="B332" s="1" t="n">
        <v>44238</v>
      </c>
      <c r="C332" s="1" t="n">
        <v>45635</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10590-2021</t>
        </is>
      </c>
      <c r="B333" s="1" t="n">
        <v>44258</v>
      </c>
      <c r="C333" s="1" t="n">
        <v>45635</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10911-2021</t>
        </is>
      </c>
      <c r="B334" s="1" t="n">
        <v>44259</v>
      </c>
      <c r="C334" s="1" t="n">
        <v>45635</v>
      </c>
      <c r="D334" t="inlineStr">
        <is>
          <t>JÄMTLANDS LÄN</t>
        </is>
      </c>
      <c r="E334" t="inlineStr">
        <is>
          <t>ÖSTERSUND</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10834-2021</t>
        </is>
      </c>
      <c r="B335" s="1" t="n">
        <v>44259</v>
      </c>
      <c r="C335" s="1" t="n">
        <v>45635</v>
      </c>
      <c r="D335" t="inlineStr">
        <is>
          <t>JÄMTLANDS LÄN</t>
        </is>
      </c>
      <c r="E335" t="inlineStr">
        <is>
          <t>ÖSTERSUND</t>
        </is>
      </c>
      <c r="G335" t="n">
        <v>12.2</v>
      </c>
      <c r="H335" t="n">
        <v>0</v>
      </c>
      <c r="I335" t="n">
        <v>0</v>
      </c>
      <c r="J335" t="n">
        <v>0</v>
      </c>
      <c r="K335" t="n">
        <v>0</v>
      </c>
      <c r="L335" t="n">
        <v>0</v>
      </c>
      <c r="M335" t="n">
        <v>0</v>
      </c>
      <c r="N335" t="n">
        <v>0</v>
      </c>
      <c r="O335" t="n">
        <v>0</v>
      </c>
      <c r="P335" t="n">
        <v>0</v>
      </c>
      <c r="Q335" t="n">
        <v>0</v>
      </c>
      <c r="R335" s="2" t="inlineStr"/>
    </row>
    <row r="336" ht="15" customHeight="1">
      <c r="A336" t="inlineStr">
        <is>
          <t>A 12710-2021</t>
        </is>
      </c>
      <c r="B336" s="1" t="n">
        <v>44270</v>
      </c>
      <c r="C336" s="1" t="n">
        <v>45635</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12705-2021</t>
        </is>
      </c>
      <c r="B337" s="1" t="n">
        <v>44270</v>
      </c>
      <c r="C337" s="1" t="n">
        <v>45635</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14155-2021</t>
        </is>
      </c>
      <c r="B338" s="1" t="n">
        <v>44278</v>
      </c>
      <c r="C338" s="1" t="n">
        <v>45635</v>
      </c>
      <c r="D338" t="inlineStr">
        <is>
          <t>JÄMTLANDS LÄN</t>
        </is>
      </c>
      <c r="E338" t="inlineStr">
        <is>
          <t>ÖSTERSUND</t>
        </is>
      </c>
      <c r="G338" t="n">
        <v>2.6</v>
      </c>
      <c r="H338" t="n">
        <v>0</v>
      </c>
      <c r="I338" t="n">
        <v>0</v>
      </c>
      <c r="J338" t="n">
        <v>0</v>
      </c>
      <c r="K338" t="n">
        <v>0</v>
      </c>
      <c r="L338" t="n">
        <v>0</v>
      </c>
      <c r="M338" t="n">
        <v>0</v>
      </c>
      <c r="N338" t="n">
        <v>0</v>
      </c>
      <c r="O338" t="n">
        <v>0</v>
      </c>
      <c r="P338" t="n">
        <v>0</v>
      </c>
      <c r="Q338" t="n">
        <v>0</v>
      </c>
      <c r="R338" s="2" t="inlineStr"/>
    </row>
    <row r="339" ht="15" customHeight="1">
      <c r="A339" t="inlineStr">
        <is>
          <t>A 15659-2021</t>
        </is>
      </c>
      <c r="B339" s="1" t="n">
        <v>44298</v>
      </c>
      <c r="C339" s="1" t="n">
        <v>45635</v>
      </c>
      <c r="D339" t="inlineStr">
        <is>
          <t>JÄMTLANDS LÄN</t>
        </is>
      </c>
      <c r="E339" t="inlineStr">
        <is>
          <t>ÖSTERSUND</t>
        </is>
      </c>
      <c r="G339" t="n">
        <v>13.3</v>
      </c>
      <c r="H339" t="n">
        <v>0</v>
      </c>
      <c r="I339" t="n">
        <v>0</v>
      </c>
      <c r="J339" t="n">
        <v>0</v>
      </c>
      <c r="K339" t="n">
        <v>0</v>
      </c>
      <c r="L339" t="n">
        <v>0</v>
      </c>
      <c r="M339" t="n">
        <v>0</v>
      </c>
      <c r="N339" t="n">
        <v>0</v>
      </c>
      <c r="O339" t="n">
        <v>0</v>
      </c>
      <c r="P339" t="n">
        <v>0</v>
      </c>
      <c r="Q339" t="n">
        <v>0</v>
      </c>
      <c r="R339" s="2" t="inlineStr"/>
    </row>
    <row r="340" ht="15" customHeight="1">
      <c r="A340" t="inlineStr">
        <is>
          <t>A 17362-2021</t>
        </is>
      </c>
      <c r="B340" s="1" t="n">
        <v>44298</v>
      </c>
      <c r="C340" s="1" t="n">
        <v>45635</v>
      </c>
      <c r="D340" t="inlineStr">
        <is>
          <t>JÄMTLANDS LÄN</t>
        </is>
      </c>
      <c r="E340" t="inlineStr">
        <is>
          <t>ÖSTERSUND</t>
        </is>
      </c>
      <c r="G340" t="n">
        <v>3.7</v>
      </c>
      <c r="H340" t="n">
        <v>0</v>
      </c>
      <c r="I340" t="n">
        <v>0</v>
      </c>
      <c r="J340" t="n">
        <v>0</v>
      </c>
      <c r="K340" t="n">
        <v>0</v>
      </c>
      <c r="L340" t="n">
        <v>0</v>
      </c>
      <c r="M340" t="n">
        <v>0</v>
      </c>
      <c r="N340" t="n">
        <v>0</v>
      </c>
      <c r="O340" t="n">
        <v>0</v>
      </c>
      <c r="P340" t="n">
        <v>0</v>
      </c>
      <c r="Q340" t="n">
        <v>0</v>
      </c>
      <c r="R340" s="2" t="inlineStr"/>
    </row>
    <row r="341" ht="15" customHeight="1">
      <c r="A341" t="inlineStr">
        <is>
          <t>A 17596-2021</t>
        </is>
      </c>
      <c r="B341" s="1" t="n">
        <v>44299</v>
      </c>
      <c r="C341" s="1" t="n">
        <v>45635</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19541-2021</t>
        </is>
      </c>
      <c r="B342" s="1" t="n">
        <v>44312</v>
      </c>
      <c r="C342" s="1" t="n">
        <v>45635</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20290-2021</t>
        </is>
      </c>
      <c r="B343" s="1" t="n">
        <v>44314</v>
      </c>
      <c r="C343" s="1" t="n">
        <v>45635</v>
      </c>
      <c r="D343" t="inlineStr">
        <is>
          <t>JÄMTLANDS LÄN</t>
        </is>
      </c>
      <c r="E343" t="inlineStr">
        <is>
          <t>ÖSTERSUND</t>
        </is>
      </c>
      <c r="F343" t="inlineStr">
        <is>
          <t>SCA</t>
        </is>
      </c>
      <c r="G343" t="n">
        <v>8.1</v>
      </c>
      <c r="H343" t="n">
        <v>0</v>
      </c>
      <c r="I343" t="n">
        <v>0</v>
      </c>
      <c r="J343" t="n">
        <v>0</v>
      </c>
      <c r="K343" t="n">
        <v>0</v>
      </c>
      <c r="L343" t="n">
        <v>0</v>
      </c>
      <c r="M343" t="n">
        <v>0</v>
      </c>
      <c r="N343" t="n">
        <v>0</v>
      </c>
      <c r="O343" t="n">
        <v>0</v>
      </c>
      <c r="P343" t="n">
        <v>0</v>
      </c>
      <c r="Q343" t="n">
        <v>0</v>
      </c>
      <c r="R343" s="2" t="inlineStr"/>
    </row>
    <row r="344" ht="15" customHeight="1">
      <c r="A344" t="inlineStr">
        <is>
          <t>A 20620-2021</t>
        </is>
      </c>
      <c r="B344" s="1" t="n">
        <v>44316</v>
      </c>
      <c r="C344" s="1" t="n">
        <v>45635</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21306-2021</t>
        </is>
      </c>
      <c r="B345" s="1" t="n">
        <v>44320</v>
      </c>
      <c r="C345" s="1" t="n">
        <v>45635</v>
      </c>
      <c r="D345" t="inlineStr">
        <is>
          <t>JÄMTLANDS LÄN</t>
        </is>
      </c>
      <c r="E345" t="inlineStr">
        <is>
          <t>ÖSTERSUND</t>
        </is>
      </c>
      <c r="G345" t="n">
        <v>4.5</v>
      </c>
      <c r="H345" t="n">
        <v>0</v>
      </c>
      <c r="I345" t="n">
        <v>0</v>
      </c>
      <c r="J345" t="n">
        <v>0</v>
      </c>
      <c r="K345" t="n">
        <v>0</v>
      </c>
      <c r="L345" t="n">
        <v>0</v>
      </c>
      <c r="M345" t="n">
        <v>0</v>
      </c>
      <c r="N345" t="n">
        <v>0</v>
      </c>
      <c r="O345" t="n">
        <v>0</v>
      </c>
      <c r="P345" t="n">
        <v>0</v>
      </c>
      <c r="Q345" t="n">
        <v>0</v>
      </c>
      <c r="R345" s="2" t="inlineStr"/>
    </row>
    <row r="346" ht="15" customHeight="1">
      <c r="A346" t="inlineStr">
        <is>
          <t>A 21849-2021</t>
        </is>
      </c>
      <c r="B346" s="1" t="n">
        <v>44322</v>
      </c>
      <c r="C346" s="1" t="n">
        <v>45635</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22126-2021</t>
        </is>
      </c>
      <c r="B347" s="1" t="n">
        <v>44323</v>
      </c>
      <c r="C347" s="1" t="n">
        <v>45635</v>
      </c>
      <c r="D347" t="inlineStr">
        <is>
          <t>JÄMTLANDS LÄN</t>
        </is>
      </c>
      <c r="E347" t="inlineStr">
        <is>
          <t>ÖSTERSUND</t>
        </is>
      </c>
      <c r="G347" t="n">
        <v>1.4</v>
      </c>
      <c r="H347" t="n">
        <v>0</v>
      </c>
      <c r="I347" t="n">
        <v>0</v>
      </c>
      <c r="J347" t="n">
        <v>0</v>
      </c>
      <c r="K347" t="n">
        <v>0</v>
      </c>
      <c r="L347" t="n">
        <v>0</v>
      </c>
      <c r="M347" t="n">
        <v>0</v>
      </c>
      <c r="N347" t="n">
        <v>0</v>
      </c>
      <c r="O347" t="n">
        <v>0</v>
      </c>
      <c r="P347" t="n">
        <v>0</v>
      </c>
      <c r="Q347" t="n">
        <v>0</v>
      </c>
      <c r="R347" s="2" t="inlineStr"/>
    </row>
    <row r="348" ht="15" customHeight="1">
      <c r="A348" t="inlineStr">
        <is>
          <t>A 23187-2021</t>
        </is>
      </c>
      <c r="B348" s="1" t="n">
        <v>44328</v>
      </c>
      <c r="C348" s="1" t="n">
        <v>45635</v>
      </c>
      <c r="D348" t="inlineStr">
        <is>
          <t>JÄMTLANDS LÄN</t>
        </is>
      </c>
      <c r="E348" t="inlineStr">
        <is>
          <t>ÖSTERSUND</t>
        </is>
      </c>
      <c r="G348" t="n">
        <v>1.8</v>
      </c>
      <c r="H348" t="n">
        <v>0</v>
      </c>
      <c r="I348" t="n">
        <v>0</v>
      </c>
      <c r="J348" t="n">
        <v>0</v>
      </c>
      <c r="K348" t="n">
        <v>0</v>
      </c>
      <c r="L348" t="n">
        <v>0</v>
      </c>
      <c r="M348" t="n">
        <v>0</v>
      </c>
      <c r="N348" t="n">
        <v>0</v>
      </c>
      <c r="O348" t="n">
        <v>0</v>
      </c>
      <c r="P348" t="n">
        <v>0</v>
      </c>
      <c r="Q348" t="n">
        <v>0</v>
      </c>
      <c r="R348" s="2" t="inlineStr"/>
    </row>
    <row r="349" ht="15" customHeight="1">
      <c r="A349" t="inlineStr">
        <is>
          <t>A 23895-2021</t>
        </is>
      </c>
      <c r="B349" s="1" t="n">
        <v>44335</v>
      </c>
      <c r="C349" s="1" t="n">
        <v>45635</v>
      </c>
      <c r="D349" t="inlineStr">
        <is>
          <t>JÄMTLANDS LÄN</t>
        </is>
      </c>
      <c r="E349" t="inlineStr">
        <is>
          <t>ÖSTERSUND</t>
        </is>
      </c>
      <c r="G349" t="n">
        <v>0.6</v>
      </c>
      <c r="H349" t="n">
        <v>0</v>
      </c>
      <c r="I349" t="n">
        <v>0</v>
      </c>
      <c r="J349" t="n">
        <v>0</v>
      </c>
      <c r="K349" t="n">
        <v>0</v>
      </c>
      <c r="L349" t="n">
        <v>0</v>
      </c>
      <c r="M349" t="n">
        <v>0</v>
      </c>
      <c r="N349" t="n">
        <v>0</v>
      </c>
      <c r="O349" t="n">
        <v>0</v>
      </c>
      <c r="P349" t="n">
        <v>0</v>
      </c>
      <c r="Q349" t="n">
        <v>0</v>
      </c>
      <c r="R349" s="2" t="inlineStr"/>
    </row>
    <row r="350" ht="15" customHeight="1">
      <c r="A350" t="inlineStr">
        <is>
          <t>A 24312-2021</t>
        </is>
      </c>
      <c r="B350" s="1" t="n">
        <v>44336</v>
      </c>
      <c r="C350" s="1" t="n">
        <v>45635</v>
      </c>
      <c r="D350" t="inlineStr">
        <is>
          <t>JÄMTLANDS LÄN</t>
        </is>
      </c>
      <c r="E350" t="inlineStr">
        <is>
          <t>ÖSTERSUND</t>
        </is>
      </c>
      <c r="G350" t="n">
        <v>10.6</v>
      </c>
      <c r="H350" t="n">
        <v>0</v>
      </c>
      <c r="I350" t="n">
        <v>0</v>
      </c>
      <c r="J350" t="n">
        <v>0</v>
      </c>
      <c r="K350" t="n">
        <v>0</v>
      </c>
      <c r="L350" t="n">
        <v>0</v>
      </c>
      <c r="M350" t="n">
        <v>0</v>
      </c>
      <c r="N350" t="n">
        <v>0</v>
      </c>
      <c r="O350" t="n">
        <v>0</v>
      </c>
      <c r="P350" t="n">
        <v>0</v>
      </c>
      <c r="Q350" t="n">
        <v>0</v>
      </c>
      <c r="R350" s="2" t="inlineStr"/>
    </row>
    <row r="351" ht="15" customHeight="1">
      <c r="A351" t="inlineStr">
        <is>
          <t>A 24706-2021</t>
        </is>
      </c>
      <c r="B351" s="1" t="n">
        <v>44340</v>
      </c>
      <c r="C351" s="1" t="n">
        <v>45635</v>
      </c>
      <c r="D351" t="inlineStr">
        <is>
          <t>JÄMTLANDS LÄN</t>
        </is>
      </c>
      <c r="E351" t="inlineStr">
        <is>
          <t>ÖSTERSUND</t>
        </is>
      </c>
      <c r="G351" t="n">
        <v>5.6</v>
      </c>
      <c r="H351" t="n">
        <v>0</v>
      </c>
      <c r="I351" t="n">
        <v>0</v>
      </c>
      <c r="J351" t="n">
        <v>0</v>
      </c>
      <c r="K351" t="n">
        <v>0</v>
      </c>
      <c r="L351" t="n">
        <v>0</v>
      </c>
      <c r="M351" t="n">
        <v>0</v>
      </c>
      <c r="N351" t="n">
        <v>0</v>
      </c>
      <c r="O351" t="n">
        <v>0</v>
      </c>
      <c r="P351" t="n">
        <v>0</v>
      </c>
      <c r="Q351" t="n">
        <v>0</v>
      </c>
      <c r="R351" s="2" t="inlineStr"/>
    </row>
    <row r="352" ht="15" customHeight="1">
      <c r="A352" t="inlineStr">
        <is>
          <t>A 24721-2021</t>
        </is>
      </c>
      <c r="B352" s="1" t="n">
        <v>44340</v>
      </c>
      <c r="C352" s="1" t="n">
        <v>45635</v>
      </c>
      <c r="D352" t="inlineStr">
        <is>
          <t>JÄMTLANDS LÄN</t>
        </is>
      </c>
      <c r="E352" t="inlineStr">
        <is>
          <t>ÖSTERSUND</t>
        </is>
      </c>
      <c r="G352" t="n">
        <v>2.7</v>
      </c>
      <c r="H352" t="n">
        <v>0</v>
      </c>
      <c r="I352" t="n">
        <v>0</v>
      </c>
      <c r="J352" t="n">
        <v>0</v>
      </c>
      <c r="K352" t="n">
        <v>0</v>
      </c>
      <c r="L352" t="n">
        <v>0</v>
      </c>
      <c r="M352" t="n">
        <v>0</v>
      </c>
      <c r="N352" t="n">
        <v>0</v>
      </c>
      <c r="O352" t="n">
        <v>0</v>
      </c>
      <c r="P352" t="n">
        <v>0</v>
      </c>
      <c r="Q352" t="n">
        <v>0</v>
      </c>
      <c r="R352" s="2" t="inlineStr"/>
    </row>
    <row r="353" ht="15" customHeight="1">
      <c r="A353" t="inlineStr">
        <is>
          <t>A 26254-2021</t>
        </is>
      </c>
      <c r="B353" s="1" t="n">
        <v>44347</v>
      </c>
      <c r="C353" s="1" t="n">
        <v>45635</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26259-2021</t>
        </is>
      </c>
      <c r="B354" s="1" t="n">
        <v>44347</v>
      </c>
      <c r="C354" s="1" t="n">
        <v>45635</v>
      </c>
      <c r="D354" t="inlineStr">
        <is>
          <t>JÄMTLANDS LÄN</t>
        </is>
      </c>
      <c r="E354" t="inlineStr">
        <is>
          <t>ÖSTERSUND</t>
        </is>
      </c>
      <c r="G354" t="n">
        <v>4.3</v>
      </c>
      <c r="H354" t="n">
        <v>0</v>
      </c>
      <c r="I354" t="n">
        <v>0</v>
      </c>
      <c r="J354" t="n">
        <v>0</v>
      </c>
      <c r="K354" t="n">
        <v>0</v>
      </c>
      <c r="L354" t="n">
        <v>0</v>
      </c>
      <c r="M354" t="n">
        <v>0</v>
      </c>
      <c r="N354" t="n">
        <v>0</v>
      </c>
      <c r="O354" t="n">
        <v>0</v>
      </c>
      <c r="P354" t="n">
        <v>0</v>
      </c>
      <c r="Q354" t="n">
        <v>0</v>
      </c>
      <c r="R354" s="2" t="inlineStr"/>
    </row>
    <row r="355" ht="15" customHeight="1">
      <c r="A355" t="inlineStr">
        <is>
          <t>A 27061-2021</t>
        </is>
      </c>
      <c r="B355" s="1" t="n">
        <v>44349</v>
      </c>
      <c r="C355" s="1" t="n">
        <v>45635</v>
      </c>
      <c r="D355" t="inlineStr">
        <is>
          <t>JÄMTLANDS LÄN</t>
        </is>
      </c>
      <c r="E355" t="inlineStr">
        <is>
          <t>ÖSTERSUND</t>
        </is>
      </c>
      <c r="G355" t="n">
        <v>3.2</v>
      </c>
      <c r="H355" t="n">
        <v>0</v>
      </c>
      <c r="I355" t="n">
        <v>0</v>
      </c>
      <c r="J355" t="n">
        <v>0</v>
      </c>
      <c r="K355" t="n">
        <v>0</v>
      </c>
      <c r="L355" t="n">
        <v>0</v>
      </c>
      <c r="M355" t="n">
        <v>0</v>
      </c>
      <c r="N355" t="n">
        <v>0</v>
      </c>
      <c r="O355" t="n">
        <v>0</v>
      </c>
      <c r="P355" t="n">
        <v>0</v>
      </c>
      <c r="Q355" t="n">
        <v>0</v>
      </c>
      <c r="R355" s="2" t="inlineStr"/>
    </row>
    <row r="356" ht="15" customHeight="1">
      <c r="A356" t="inlineStr">
        <is>
          <t>A 27004-2021</t>
        </is>
      </c>
      <c r="B356" s="1" t="n">
        <v>44349</v>
      </c>
      <c r="C356" s="1" t="n">
        <v>45635</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29582-2021</t>
        </is>
      </c>
      <c r="B357" s="1" t="n">
        <v>44362</v>
      </c>
      <c r="C357" s="1" t="n">
        <v>45635</v>
      </c>
      <c r="D357" t="inlineStr">
        <is>
          <t>JÄMTLANDS LÄN</t>
        </is>
      </c>
      <c r="E357" t="inlineStr">
        <is>
          <t>ÖSTERSUND</t>
        </is>
      </c>
      <c r="G357" t="n">
        <v>31.5</v>
      </c>
      <c r="H357" t="n">
        <v>0</v>
      </c>
      <c r="I357" t="n">
        <v>0</v>
      </c>
      <c r="J357" t="n">
        <v>0</v>
      </c>
      <c r="K357" t="n">
        <v>0</v>
      </c>
      <c r="L357" t="n">
        <v>0</v>
      </c>
      <c r="M357" t="n">
        <v>0</v>
      </c>
      <c r="N357" t="n">
        <v>0</v>
      </c>
      <c r="O357" t="n">
        <v>0</v>
      </c>
      <c r="P357" t="n">
        <v>0</v>
      </c>
      <c r="Q357" t="n">
        <v>0</v>
      </c>
      <c r="R357" s="2" t="inlineStr"/>
    </row>
    <row r="358" ht="15" customHeight="1">
      <c r="A358" t="inlineStr">
        <is>
          <t>A 29707-2021</t>
        </is>
      </c>
      <c r="B358" s="1" t="n">
        <v>44362</v>
      </c>
      <c r="C358" s="1" t="n">
        <v>45635</v>
      </c>
      <c r="D358" t="inlineStr">
        <is>
          <t>JÄMTLANDS LÄN</t>
        </is>
      </c>
      <c r="E358" t="inlineStr">
        <is>
          <t>ÖSTERSUND</t>
        </is>
      </c>
      <c r="G358" t="n">
        <v>4</v>
      </c>
      <c r="H358" t="n">
        <v>0</v>
      </c>
      <c r="I358" t="n">
        <v>0</v>
      </c>
      <c r="J358" t="n">
        <v>0</v>
      </c>
      <c r="K358" t="n">
        <v>0</v>
      </c>
      <c r="L358" t="n">
        <v>0</v>
      </c>
      <c r="M358" t="n">
        <v>0</v>
      </c>
      <c r="N358" t="n">
        <v>0</v>
      </c>
      <c r="O358" t="n">
        <v>0</v>
      </c>
      <c r="P358" t="n">
        <v>0</v>
      </c>
      <c r="Q358" t="n">
        <v>0</v>
      </c>
      <c r="R358" s="2" t="inlineStr"/>
    </row>
    <row r="359" ht="15" customHeight="1">
      <c r="A359" t="inlineStr">
        <is>
          <t>A 31040-2021</t>
        </is>
      </c>
      <c r="B359" s="1" t="n">
        <v>44368</v>
      </c>
      <c r="C359" s="1" t="n">
        <v>45635</v>
      </c>
      <c r="D359" t="inlineStr">
        <is>
          <t>JÄMTLANDS LÄN</t>
        </is>
      </c>
      <c r="E359" t="inlineStr">
        <is>
          <t>ÖSTERSUND</t>
        </is>
      </c>
      <c r="G359" t="n">
        <v>4.3</v>
      </c>
      <c r="H359" t="n">
        <v>0</v>
      </c>
      <c r="I359" t="n">
        <v>0</v>
      </c>
      <c r="J359" t="n">
        <v>0</v>
      </c>
      <c r="K359" t="n">
        <v>0</v>
      </c>
      <c r="L359" t="n">
        <v>0</v>
      </c>
      <c r="M359" t="n">
        <v>0</v>
      </c>
      <c r="N359" t="n">
        <v>0</v>
      </c>
      <c r="O359" t="n">
        <v>0</v>
      </c>
      <c r="P359" t="n">
        <v>0</v>
      </c>
      <c r="Q359" t="n">
        <v>0</v>
      </c>
      <c r="R359" s="2" t="inlineStr"/>
    </row>
    <row r="360" ht="15" customHeight="1">
      <c r="A360" t="inlineStr">
        <is>
          <t>A 32994-2021</t>
        </is>
      </c>
      <c r="B360" s="1" t="n">
        <v>44375</v>
      </c>
      <c r="C360" s="1" t="n">
        <v>45635</v>
      </c>
      <c r="D360" t="inlineStr">
        <is>
          <t>JÄMTLANDS LÄN</t>
        </is>
      </c>
      <c r="E360" t="inlineStr">
        <is>
          <t>ÖSTERSUND</t>
        </is>
      </c>
      <c r="G360" t="n">
        <v>0.1</v>
      </c>
      <c r="H360" t="n">
        <v>0</v>
      </c>
      <c r="I360" t="n">
        <v>0</v>
      </c>
      <c r="J360" t="n">
        <v>0</v>
      </c>
      <c r="K360" t="n">
        <v>0</v>
      </c>
      <c r="L360" t="n">
        <v>0</v>
      </c>
      <c r="M360" t="n">
        <v>0</v>
      </c>
      <c r="N360" t="n">
        <v>0</v>
      </c>
      <c r="O360" t="n">
        <v>0</v>
      </c>
      <c r="P360" t="n">
        <v>0</v>
      </c>
      <c r="Q360" t="n">
        <v>0</v>
      </c>
      <c r="R360" s="2" t="inlineStr"/>
    </row>
    <row r="361" ht="15" customHeight="1">
      <c r="A361" t="inlineStr">
        <is>
          <t>A 33004-2021</t>
        </is>
      </c>
      <c r="B361" s="1" t="n">
        <v>44375</v>
      </c>
      <c r="C361" s="1" t="n">
        <v>45635</v>
      </c>
      <c r="D361" t="inlineStr">
        <is>
          <t>JÄMTLANDS LÄN</t>
        </is>
      </c>
      <c r="E361" t="inlineStr">
        <is>
          <t>ÖSTERSUND</t>
        </is>
      </c>
      <c r="G361" t="n">
        <v>0.6</v>
      </c>
      <c r="H361" t="n">
        <v>0</v>
      </c>
      <c r="I361" t="n">
        <v>0</v>
      </c>
      <c r="J361" t="n">
        <v>0</v>
      </c>
      <c r="K361" t="n">
        <v>0</v>
      </c>
      <c r="L361" t="n">
        <v>0</v>
      </c>
      <c r="M361" t="n">
        <v>0</v>
      </c>
      <c r="N361" t="n">
        <v>0</v>
      </c>
      <c r="O361" t="n">
        <v>0</v>
      </c>
      <c r="P361" t="n">
        <v>0</v>
      </c>
      <c r="Q361" t="n">
        <v>0</v>
      </c>
      <c r="R361" s="2" t="inlineStr"/>
    </row>
    <row r="362" ht="15" customHeight="1">
      <c r="A362" t="inlineStr">
        <is>
          <t>A 32998-2021</t>
        </is>
      </c>
      <c r="B362" s="1" t="n">
        <v>44375</v>
      </c>
      <c r="C362" s="1" t="n">
        <v>45635</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32986-2021</t>
        </is>
      </c>
      <c r="B363" s="1" t="n">
        <v>44375</v>
      </c>
      <c r="C363" s="1" t="n">
        <v>45635</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33002-2021</t>
        </is>
      </c>
      <c r="B364" s="1" t="n">
        <v>44375</v>
      </c>
      <c r="C364" s="1" t="n">
        <v>45635</v>
      </c>
      <c r="D364" t="inlineStr">
        <is>
          <t>JÄMTLANDS LÄN</t>
        </is>
      </c>
      <c r="E364" t="inlineStr">
        <is>
          <t>ÖSTERSUND</t>
        </is>
      </c>
      <c r="G364" t="n">
        <v>0.2</v>
      </c>
      <c r="H364" t="n">
        <v>0</v>
      </c>
      <c r="I364" t="n">
        <v>0</v>
      </c>
      <c r="J364" t="n">
        <v>0</v>
      </c>
      <c r="K364" t="n">
        <v>0</v>
      </c>
      <c r="L364" t="n">
        <v>0</v>
      </c>
      <c r="M364" t="n">
        <v>0</v>
      </c>
      <c r="N364" t="n">
        <v>0</v>
      </c>
      <c r="O364" t="n">
        <v>0</v>
      </c>
      <c r="P364" t="n">
        <v>0</v>
      </c>
      <c r="Q364" t="n">
        <v>0</v>
      </c>
      <c r="R364" s="2" t="inlineStr"/>
    </row>
    <row r="365" ht="15" customHeight="1">
      <c r="A365" t="inlineStr">
        <is>
          <t>A 32990-2021</t>
        </is>
      </c>
      <c r="B365" s="1" t="n">
        <v>44375</v>
      </c>
      <c r="C365" s="1" t="n">
        <v>45635</v>
      </c>
      <c r="D365" t="inlineStr">
        <is>
          <t>JÄMTLANDS LÄN</t>
        </is>
      </c>
      <c r="E365" t="inlineStr">
        <is>
          <t>ÖSTERSUND</t>
        </is>
      </c>
      <c r="G365" t="n">
        <v>0.2</v>
      </c>
      <c r="H365" t="n">
        <v>0</v>
      </c>
      <c r="I365" t="n">
        <v>0</v>
      </c>
      <c r="J365" t="n">
        <v>0</v>
      </c>
      <c r="K365" t="n">
        <v>0</v>
      </c>
      <c r="L365" t="n">
        <v>0</v>
      </c>
      <c r="M365" t="n">
        <v>0</v>
      </c>
      <c r="N365" t="n">
        <v>0</v>
      </c>
      <c r="O365" t="n">
        <v>0</v>
      </c>
      <c r="P365" t="n">
        <v>0</v>
      </c>
      <c r="Q365" t="n">
        <v>0</v>
      </c>
      <c r="R365" s="2" t="inlineStr"/>
    </row>
    <row r="366" ht="15" customHeight="1">
      <c r="A366" t="inlineStr">
        <is>
          <t>A 33831-2021</t>
        </is>
      </c>
      <c r="B366" s="1" t="n">
        <v>44378</v>
      </c>
      <c r="C366" s="1" t="n">
        <v>45635</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35032-2021</t>
        </is>
      </c>
      <c r="B367" s="1" t="n">
        <v>44383</v>
      </c>
      <c r="C367" s="1" t="n">
        <v>45635</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35755-2021</t>
        </is>
      </c>
      <c r="B368" s="1" t="n">
        <v>44385</v>
      </c>
      <c r="C368" s="1" t="n">
        <v>45635</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38142-2021</t>
        </is>
      </c>
      <c r="B369" s="1" t="n">
        <v>44405</v>
      </c>
      <c r="C369" s="1" t="n">
        <v>45635</v>
      </c>
      <c r="D369" t="inlineStr">
        <is>
          <t>JÄMTLANDS LÄN</t>
        </is>
      </c>
      <c r="E369" t="inlineStr">
        <is>
          <t>ÖSTERSUND</t>
        </is>
      </c>
      <c r="G369" t="n">
        <v>1.7</v>
      </c>
      <c r="H369" t="n">
        <v>0</v>
      </c>
      <c r="I369" t="n">
        <v>0</v>
      </c>
      <c r="J369" t="n">
        <v>0</v>
      </c>
      <c r="K369" t="n">
        <v>0</v>
      </c>
      <c r="L369" t="n">
        <v>0</v>
      </c>
      <c r="M369" t="n">
        <v>0</v>
      </c>
      <c r="N369" t="n">
        <v>0</v>
      </c>
      <c r="O369" t="n">
        <v>0</v>
      </c>
      <c r="P369" t="n">
        <v>0</v>
      </c>
      <c r="Q369" t="n">
        <v>0</v>
      </c>
      <c r="R369" s="2" t="inlineStr"/>
    </row>
    <row r="370" ht="15" customHeight="1">
      <c r="A370" t="inlineStr">
        <is>
          <t>A 38647-2021</t>
        </is>
      </c>
      <c r="B370" s="1" t="n">
        <v>44410</v>
      </c>
      <c r="C370" s="1" t="n">
        <v>45635</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38644-2021</t>
        </is>
      </c>
      <c r="B371" s="1" t="n">
        <v>44410</v>
      </c>
      <c r="C371" s="1" t="n">
        <v>45635</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39735-2021</t>
        </is>
      </c>
      <c r="B372" s="1" t="n">
        <v>44414</v>
      </c>
      <c r="C372" s="1" t="n">
        <v>45635</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40038-2021</t>
        </is>
      </c>
      <c r="B373" s="1" t="n">
        <v>44418</v>
      </c>
      <c r="C373" s="1" t="n">
        <v>45635</v>
      </c>
      <c r="D373" t="inlineStr">
        <is>
          <t>JÄMTLANDS LÄN</t>
        </is>
      </c>
      <c r="E373" t="inlineStr">
        <is>
          <t>ÖSTERSUND</t>
        </is>
      </c>
      <c r="G373" t="n">
        <v>7</v>
      </c>
      <c r="H373" t="n">
        <v>0</v>
      </c>
      <c r="I373" t="n">
        <v>0</v>
      </c>
      <c r="J373" t="n">
        <v>0</v>
      </c>
      <c r="K373" t="n">
        <v>0</v>
      </c>
      <c r="L373" t="n">
        <v>0</v>
      </c>
      <c r="M373" t="n">
        <v>0</v>
      </c>
      <c r="N373" t="n">
        <v>0</v>
      </c>
      <c r="O373" t="n">
        <v>0</v>
      </c>
      <c r="P373" t="n">
        <v>0</v>
      </c>
      <c r="Q373" t="n">
        <v>0</v>
      </c>
      <c r="R373" s="2" t="inlineStr"/>
    </row>
    <row r="374" ht="15" customHeight="1">
      <c r="A374" t="inlineStr">
        <is>
          <t>A 41802-2021</t>
        </is>
      </c>
      <c r="B374" s="1" t="n">
        <v>44425</v>
      </c>
      <c r="C374" s="1" t="n">
        <v>45635</v>
      </c>
      <c r="D374" t="inlineStr">
        <is>
          <t>JÄMTLANDS LÄN</t>
        </is>
      </c>
      <c r="E374" t="inlineStr">
        <is>
          <t>ÖSTERSUND</t>
        </is>
      </c>
      <c r="G374" t="n">
        <v>1.7</v>
      </c>
      <c r="H374" t="n">
        <v>0</v>
      </c>
      <c r="I374" t="n">
        <v>0</v>
      </c>
      <c r="J374" t="n">
        <v>0</v>
      </c>
      <c r="K374" t="n">
        <v>0</v>
      </c>
      <c r="L374" t="n">
        <v>0</v>
      </c>
      <c r="M374" t="n">
        <v>0</v>
      </c>
      <c r="N374" t="n">
        <v>0</v>
      </c>
      <c r="O374" t="n">
        <v>0</v>
      </c>
      <c r="P374" t="n">
        <v>0</v>
      </c>
      <c r="Q374" t="n">
        <v>0</v>
      </c>
      <c r="R374" s="2" t="inlineStr"/>
    </row>
    <row r="375" ht="15" customHeight="1">
      <c r="A375" t="inlineStr">
        <is>
          <t>A 42469-2021</t>
        </is>
      </c>
      <c r="B375" s="1" t="n">
        <v>44427</v>
      </c>
      <c r="C375" s="1" t="n">
        <v>45635</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42793-2021</t>
        </is>
      </c>
      <c r="B376" s="1" t="n">
        <v>44428</v>
      </c>
      <c r="C376" s="1" t="n">
        <v>45635</v>
      </c>
      <c r="D376" t="inlineStr">
        <is>
          <t>JÄMTLANDS LÄN</t>
        </is>
      </c>
      <c r="E376" t="inlineStr">
        <is>
          <t>ÖSTERSUND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42832-2021</t>
        </is>
      </c>
      <c r="B377" s="1" t="n">
        <v>44430</v>
      </c>
      <c r="C377" s="1" t="n">
        <v>45635</v>
      </c>
      <c r="D377" t="inlineStr">
        <is>
          <t>JÄMTLANDS LÄN</t>
        </is>
      </c>
      <c r="E377" t="inlineStr">
        <is>
          <t>ÖSTERSUND</t>
        </is>
      </c>
      <c r="G377" t="n">
        <v>9</v>
      </c>
      <c r="H377" t="n">
        <v>0</v>
      </c>
      <c r="I377" t="n">
        <v>0</v>
      </c>
      <c r="J377" t="n">
        <v>0</v>
      </c>
      <c r="K377" t="n">
        <v>0</v>
      </c>
      <c r="L377" t="n">
        <v>0</v>
      </c>
      <c r="M377" t="n">
        <v>0</v>
      </c>
      <c r="N377" t="n">
        <v>0</v>
      </c>
      <c r="O377" t="n">
        <v>0</v>
      </c>
      <c r="P377" t="n">
        <v>0</v>
      </c>
      <c r="Q377" t="n">
        <v>0</v>
      </c>
      <c r="R377" s="2" t="inlineStr"/>
    </row>
    <row r="378" ht="15" customHeight="1">
      <c r="A378" t="inlineStr">
        <is>
          <t>A 43310-2021</t>
        </is>
      </c>
      <c r="B378" s="1" t="n">
        <v>44432</v>
      </c>
      <c r="C378" s="1" t="n">
        <v>45635</v>
      </c>
      <c r="D378" t="inlineStr">
        <is>
          <t>JÄMTLANDS LÄN</t>
        </is>
      </c>
      <c r="E378" t="inlineStr">
        <is>
          <t>ÖSTERSUND</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44013-2021</t>
        </is>
      </c>
      <c r="B379" s="1" t="n">
        <v>44434</v>
      </c>
      <c r="C379" s="1" t="n">
        <v>45635</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44051-2021</t>
        </is>
      </c>
      <c r="B380" s="1" t="n">
        <v>44434</v>
      </c>
      <c r="C380" s="1" t="n">
        <v>45635</v>
      </c>
      <c r="D380" t="inlineStr">
        <is>
          <t>JÄMTLANDS LÄN</t>
        </is>
      </c>
      <c r="E380" t="inlineStr">
        <is>
          <t>ÖSTERSUND</t>
        </is>
      </c>
      <c r="G380" t="n">
        <v>2.9</v>
      </c>
      <c r="H380" t="n">
        <v>0</v>
      </c>
      <c r="I380" t="n">
        <v>0</v>
      </c>
      <c r="J380" t="n">
        <v>0</v>
      </c>
      <c r="K380" t="n">
        <v>0</v>
      </c>
      <c r="L380" t="n">
        <v>0</v>
      </c>
      <c r="M380" t="n">
        <v>0</v>
      </c>
      <c r="N380" t="n">
        <v>0</v>
      </c>
      <c r="O380" t="n">
        <v>0</v>
      </c>
      <c r="P380" t="n">
        <v>0</v>
      </c>
      <c r="Q380" t="n">
        <v>0</v>
      </c>
      <c r="R380" s="2" t="inlineStr"/>
    </row>
    <row r="381" ht="15" customHeight="1">
      <c r="A381" t="inlineStr">
        <is>
          <t>A 44267-2021</t>
        </is>
      </c>
      <c r="B381" s="1" t="n">
        <v>44434</v>
      </c>
      <c r="C381" s="1" t="n">
        <v>45635</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46002-2021</t>
        </is>
      </c>
      <c r="B382" s="1" t="n">
        <v>44441</v>
      </c>
      <c r="C382" s="1" t="n">
        <v>45635</v>
      </c>
      <c r="D382" t="inlineStr">
        <is>
          <t>JÄMTLANDS LÄN</t>
        </is>
      </c>
      <c r="E382" t="inlineStr">
        <is>
          <t>ÖSTERSUND</t>
        </is>
      </c>
      <c r="G382" t="n">
        <v>3.6</v>
      </c>
      <c r="H382" t="n">
        <v>0</v>
      </c>
      <c r="I382" t="n">
        <v>0</v>
      </c>
      <c r="J382" t="n">
        <v>0</v>
      </c>
      <c r="K382" t="n">
        <v>0</v>
      </c>
      <c r="L382" t="n">
        <v>0</v>
      </c>
      <c r="M382" t="n">
        <v>0</v>
      </c>
      <c r="N382" t="n">
        <v>0</v>
      </c>
      <c r="O382" t="n">
        <v>0</v>
      </c>
      <c r="P382" t="n">
        <v>0</v>
      </c>
      <c r="Q382" t="n">
        <v>0</v>
      </c>
      <c r="R382" s="2" t="inlineStr"/>
    </row>
    <row r="383" ht="15" customHeight="1">
      <c r="A383" t="inlineStr">
        <is>
          <t>A 46004-2021</t>
        </is>
      </c>
      <c r="B383" s="1" t="n">
        <v>44441</v>
      </c>
      <c r="C383" s="1" t="n">
        <v>45635</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46111-2021</t>
        </is>
      </c>
      <c r="B384" s="1" t="n">
        <v>44441</v>
      </c>
      <c r="C384" s="1" t="n">
        <v>45635</v>
      </c>
      <c r="D384" t="inlineStr">
        <is>
          <t>JÄMTLANDS LÄN</t>
        </is>
      </c>
      <c r="E384" t="inlineStr">
        <is>
          <t>ÖSTERSUND</t>
        </is>
      </c>
      <c r="G384" t="n">
        <v>4.6</v>
      </c>
      <c r="H384" t="n">
        <v>0</v>
      </c>
      <c r="I384" t="n">
        <v>0</v>
      </c>
      <c r="J384" t="n">
        <v>0</v>
      </c>
      <c r="K384" t="n">
        <v>0</v>
      </c>
      <c r="L384" t="n">
        <v>0</v>
      </c>
      <c r="M384" t="n">
        <v>0</v>
      </c>
      <c r="N384" t="n">
        <v>0</v>
      </c>
      <c r="O384" t="n">
        <v>0</v>
      </c>
      <c r="P384" t="n">
        <v>0</v>
      </c>
      <c r="Q384" t="n">
        <v>0</v>
      </c>
      <c r="R384" s="2" t="inlineStr"/>
    </row>
    <row r="385" ht="15" customHeight="1">
      <c r="A385" t="inlineStr">
        <is>
          <t>A 46139-2021</t>
        </is>
      </c>
      <c r="B385" s="1" t="n">
        <v>44441</v>
      </c>
      <c r="C385" s="1" t="n">
        <v>45635</v>
      </c>
      <c r="D385" t="inlineStr">
        <is>
          <t>JÄMTLANDS LÄN</t>
        </is>
      </c>
      <c r="E385" t="inlineStr">
        <is>
          <t>ÖSTERSUND</t>
        </is>
      </c>
      <c r="G385" t="n">
        <v>12.8</v>
      </c>
      <c r="H385" t="n">
        <v>0</v>
      </c>
      <c r="I385" t="n">
        <v>0</v>
      </c>
      <c r="J385" t="n">
        <v>0</v>
      </c>
      <c r="K385" t="n">
        <v>0</v>
      </c>
      <c r="L385" t="n">
        <v>0</v>
      </c>
      <c r="M385" t="n">
        <v>0</v>
      </c>
      <c r="N385" t="n">
        <v>0</v>
      </c>
      <c r="O385" t="n">
        <v>0</v>
      </c>
      <c r="P385" t="n">
        <v>0</v>
      </c>
      <c r="Q385" t="n">
        <v>0</v>
      </c>
      <c r="R385" s="2" t="inlineStr"/>
    </row>
    <row r="386" ht="15" customHeight="1">
      <c r="A386" t="inlineStr">
        <is>
          <t>A 48947-2021</t>
        </is>
      </c>
      <c r="B386" s="1" t="n">
        <v>44453</v>
      </c>
      <c r="C386" s="1" t="n">
        <v>45635</v>
      </c>
      <c r="D386" t="inlineStr">
        <is>
          <t>JÄMTLANDS LÄN</t>
        </is>
      </c>
      <c r="E386" t="inlineStr">
        <is>
          <t>ÖSTERSUND</t>
        </is>
      </c>
      <c r="G386" t="n">
        <v>22.3</v>
      </c>
      <c r="H386" t="n">
        <v>0</v>
      </c>
      <c r="I386" t="n">
        <v>0</v>
      </c>
      <c r="J386" t="n">
        <v>0</v>
      </c>
      <c r="K386" t="n">
        <v>0</v>
      </c>
      <c r="L386" t="n">
        <v>0</v>
      </c>
      <c r="M386" t="n">
        <v>0</v>
      </c>
      <c r="N386" t="n">
        <v>0</v>
      </c>
      <c r="O386" t="n">
        <v>0</v>
      </c>
      <c r="P386" t="n">
        <v>0</v>
      </c>
      <c r="Q386" t="n">
        <v>0</v>
      </c>
      <c r="R386" s="2" t="inlineStr"/>
    </row>
    <row r="387" ht="15" customHeight="1">
      <c r="A387" t="inlineStr">
        <is>
          <t>A 52913-2021</t>
        </is>
      </c>
      <c r="B387" s="1" t="n">
        <v>44466</v>
      </c>
      <c r="C387" s="1" t="n">
        <v>45635</v>
      </c>
      <c r="D387" t="inlineStr">
        <is>
          <t>JÄMTLANDS LÄN</t>
        </is>
      </c>
      <c r="E387" t="inlineStr">
        <is>
          <t>ÖSTERSUND</t>
        </is>
      </c>
      <c r="G387" t="n">
        <v>4.2</v>
      </c>
      <c r="H387" t="n">
        <v>0</v>
      </c>
      <c r="I387" t="n">
        <v>0</v>
      </c>
      <c r="J387" t="n">
        <v>0</v>
      </c>
      <c r="K387" t="n">
        <v>0</v>
      </c>
      <c r="L387" t="n">
        <v>0</v>
      </c>
      <c r="M387" t="n">
        <v>0</v>
      </c>
      <c r="N387" t="n">
        <v>0</v>
      </c>
      <c r="O387" t="n">
        <v>0</v>
      </c>
      <c r="P387" t="n">
        <v>0</v>
      </c>
      <c r="Q387" t="n">
        <v>0</v>
      </c>
      <c r="R387" s="2" t="inlineStr"/>
    </row>
    <row r="388" ht="15" customHeight="1">
      <c r="A388" t="inlineStr">
        <is>
          <t>A 55302-2021</t>
        </is>
      </c>
      <c r="B388" s="1" t="n">
        <v>44475</v>
      </c>
      <c r="C388" s="1" t="n">
        <v>45635</v>
      </c>
      <c r="D388" t="inlineStr">
        <is>
          <t>JÄMTLANDS LÄN</t>
        </is>
      </c>
      <c r="E388" t="inlineStr">
        <is>
          <t>ÖSTERSUND</t>
        </is>
      </c>
      <c r="G388" t="n">
        <v>0.3</v>
      </c>
      <c r="H388" t="n">
        <v>0</v>
      </c>
      <c r="I388" t="n">
        <v>0</v>
      </c>
      <c r="J388" t="n">
        <v>0</v>
      </c>
      <c r="K388" t="n">
        <v>0</v>
      </c>
      <c r="L388" t="n">
        <v>0</v>
      </c>
      <c r="M388" t="n">
        <v>0</v>
      </c>
      <c r="N388" t="n">
        <v>0</v>
      </c>
      <c r="O388" t="n">
        <v>0</v>
      </c>
      <c r="P388" t="n">
        <v>0</v>
      </c>
      <c r="Q388" t="n">
        <v>0</v>
      </c>
      <c r="R388" s="2" t="inlineStr"/>
    </row>
    <row r="389" ht="15" customHeight="1">
      <c r="A389" t="inlineStr">
        <is>
          <t>A 61631-2021</t>
        </is>
      </c>
      <c r="B389" s="1" t="n">
        <v>44501</v>
      </c>
      <c r="C389" s="1" t="n">
        <v>45635</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64092-2021</t>
        </is>
      </c>
      <c r="B390" s="1" t="n">
        <v>44510</v>
      </c>
      <c r="C390" s="1" t="n">
        <v>45635</v>
      </c>
      <c r="D390" t="inlineStr">
        <is>
          <t>JÄMTLANDS LÄN</t>
        </is>
      </c>
      <c r="E390" t="inlineStr">
        <is>
          <t>ÖSTERSUND</t>
        </is>
      </c>
      <c r="G390" t="n">
        <v>5.6</v>
      </c>
      <c r="H390" t="n">
        <v>0</v>
      </c>
      <c r="I390" t="n">
        <v>0</v>
      </c>
      <c r="J390" t="n">
        <v>0</v>
      </c>
      <c r="K390" t="n">
        <v>0</v>
      </c>
      <c r="L390" t="n">
        <v>0</v>
      </c>
      <c r="M390" t="n">
        <v>0</v>
      </c>
      <c r="N390" t="n">
        <v>0</v>
      </c>
      <c r="O390" t="n">
        <v>0</v>
      </c>
      <c r="P390" t="n">
        <v>0</v>
      </c>
      <c r="Q390" t="n">
        <v>0</v>
      </c>
      <c r="R390" s="2" t="inlineStr"/>
    </row>
    <row r="391" ht="15" customHeight="1">
      <c r="A391" t="inlineStr">
        <is>
          <t>A 64645-2021</t>
        </is>
      </c>
      <c r="B391" s="1" t="n">
        <v>44511</v>
      </c>
      <c r="C391" s="1" t="n">
        <v>45635</v>
      </c>
      <c r="D391" t="inlineStr">
        <is>
          <t>JÄMTLANDS LÄN</t>
        </is>
      </c>
      <c r="E391" t="inlineStr">
        <is>
          <t>ÖSTERSUND</t>
        </is>
      </c>
      <c r="G391" t="n">
        <v>3.2</v>
      </c>
      <c r="H391" t="n">
        <v>0</v>
      </c>
      <c r="I391" t="n">
        <v>0</v>
      </c>
      <c r="J391" t="n">
        <v>0</v>
      </c>
      <c r="K391" t="n">
        <v>0</v>
      </c>
      <c r="L391" t="n">
        <v>0</v>
      </c>
      <c r="M391" t="n">
        <v>0</v>
      </c>
      <c r="N391" t="n">
        <v>0</v>
      </c>
      <c r="O391" t="n">
        <v>0</v>
      </c>
      <c r="P391" t="n">
        <v>0</v>
      </c>
      <c r="Q391" t="n">
        <v>0</v>
      </c>
      <c r="R391" s="2" t="inlineStr"/>
    </row>
    <row r="392" ht="15" customHeight="1">
      <c r="A392" t="inlineStr">
        <is>
          <t>A 65428-2021</t>
        </is>
      </c>
      <c r="B392" s="1" t="n">
        <v>44515</v>
      </c>
      <c r="C392" s="1" t="n">
        <v>45635</v>
      </c>
      <c r="D392" t="inlineStr">
        <is>
          <t>JÄMTLANDS LÄN</t>
        </is>
      </c>
      <c r="E392" t="inlineStr">
        <is>
          <t>ÖSTERSUND</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65866-2021</t>
        </is>
      </c>
      <c r="B393" s="1" t="n">
        <v>44516</v>
      </c>
      <c r="C393" s="1" t="n">
        <v>45635</v>
      </c>
      <c r="D393" t="inlineStr">
        <is>
          <t>JÄMTLANDS LÄN</t>
        </is>
      </c>
      <c r="E393" t="inlineStr">
        <is>
          <t>ÖSTERSUND</t>
        </is>
      </c>
      <c r="G393" t="n">
        <v>2.6</v>
      </c>
      <c r="H393" t="n">
        <v>0</v>
      </c>
      <c r="I393" t="n">
        <v>0</v>
      </c>
      <c r="J393" t="n">
        <v>0</v>
      </c>
      <c r="K393" t="n">
        <v>0</v>
      </c>
      <c r="L393" t="n">
        <v>0</v>
      </c>
      <c r="M393" t="n">
        <v>0</v>
      </c>
      <c r="N393" t="n">
        <v>0</v>
      </c>
      <c r="O393" t="n">
        <v>0</v>
      </c>
      <c r="P393" t="n">
        <v>0</v>
      </c>
      <c r="Q393" t="n">
        <v>0</v>
      </c>
      <c r="R393" s="2" t="inlineStr"/>
    </row>
    <row r="394" ht="15" customHeight="1">
      <c r="A394" t="inlineStr">
        <is>
          <t>A 65991-2021</t>
        </is>
      </c>
      <c r="B394" s="1" t="n">
        <v>44517</v>
      </c>
      <c r="C394" s="1" t="n">
        <v>45635</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66940-2021</t>
        </is>
      </c>
      <c r="B395" s="1" t="n">
        <v>44522</v>
      </c>
      <c r="C395" s="1" t="n">
        <v>45635</v>
      </c>
      <c r="D395" t="inlineStr">
        <is>
          <t>JÄMTLANDS LÄN</t>
        </is>
      </c>
      <c r="E395" t="inlineStr">
        <is>
          <t>ÖSTERSUND</t>
        </is>
      </c>
      <c r="G395" t="n">
        <v>3.6</v>
      </c>
      <c r="H395" t="n">
        <v>0</v>
      </c>
      <c r="I395" t="n">
        <v>0</v>
      </c>
      <c r="J395" t="n">
        <v>0</v>
      </c>
      <c r="K395" t="n">
        <v>0</v>
      </c>
      <c r="L395" t="n">
        <v>0</v>
      </c>
      <c r="M395" t="n">
        <v>0</v>
      </c>
      <c r="N395" t="n">
        <v>0</v>
      </c>
      <c r="O395" t="n">
        <v>0</v>
      </c>
      <c r="P395" t="n">
        <v>0</v>
      </c>
      <c r="Q395" t="n">
        <v>0</v>
      </c>
      <c r="R395" s="2" t="inlineStr"/>
    </row>
    <row r="396" ht="15" customHeight="1">
      <c r="A396" t="inlineStr">
        <is>
          <t>A 67695-2021</t>
        </is>
      </c>
      <c r="B396" s="1" t="n">
        <v>44524</v>
      </c>
      <c r="C396" s="1" t="n">
        <v>45635</v>
      </c>
      <c r="D396" t="inlineStr">
        <is>
          <t>JÄMTLANDS LÄN</t>
        </is>
      </c>
      <c r="E396" t="inlineStr">
        <is>
          <t>ÖSTERSUND</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67694-2021</t>
        </is>
      </c>
      <c r="B397" s="1" t="n">
        <v>44524</v>
      </c>
      <c r="C397" s="1" t="n">
        <v>45635</v>
      </c>
      <c r="D397" t="inlineStr">
        <is>
          <t>JÄMTLANDS LÄN</t>
        </is>
      </c>
      <c r="E397" t="inlineStr">
        <is>
          <t>ÖSTERSUND</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69190-2021</t>
        </is>
      </c>
      <c r="B398" s="1" t="n">
        <v>44529</v>
      </c>
      <c r="C398" s="1" t="n">
        <v>45635</v>
      </c>
      <c r="D398" t="inlineStr">
        <is>
          <t>JÄMTLANDS LÄN</t>
        </is>
      </c>
      <c r="E398" t="inlineStr">
        <is>
          <t>ÖSTERSUND</t>
        </is>
      </c>
      <c r="G398" t="n">
        <v>4.2</v>
      </c>
      <c r="H398" t="n">
        <v>0</v>
      </c>
      <c r="I398" t="n">
        <v>0</v>
      </c>
      <c r="J398" t="n">
        <v>0</v>
      </c>
      <c r="K398" t="n">
        <v>0</v>
      </c>
      <c r="L398" t="n">
        <v>0</v>
      </c>
      <c r="M398" t="n">
        <v>0</v>
      </c>
      <c r="N398" t="n">
        <v>0</v>
      </c>
      <c r="O398" t="n">
        <v>0</v>
      </c>
      <c r="P398" t="n">
        <v>0</v>
      </c>
      <c r="Q398" t="n">
        <v>0</v>
      </c>
      <c r="R398" s="2" t="inlineStr"/>
    </row>
    <row r="399" ht="15" customHeight="1">
      <c r="A399" t="inlineStr">
        <is>
          <t>A 70256-2021</t>
        </is>
      </c>
      <c r="B399" s="1" t="n">
        <v>44533</v>
      </c>
      <c r="C399" s="1" t="n">
        <v>45635</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70678-2021</t>
        </is>
      </c>
      <c r="B400" s="1" t="n">
        <v>44537</v>
      </c>
      <c r="C400" s="1" t="n">
        <v>45635</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70816-2021</t>
        </is>
      </c>
      <c r="B401" s="1" t="n">
        <v>44537</v>
      </c>
      <c r="C401" s="1" t="n">
        <v>45635</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71823-2021</t>
        </is>
      </c>
      <c r="B402" s="1" t="n">
        <v>44539</v>
      </c>
      <c r="C402" s="1" t="n">
        <v>45635</v>
      </c>
      <c r="D402" t="inlineStr">
        <is>
          <t>JÄMTLANDS LÄN</t>
        </is>
      </c>
      <c r="E402" t="inlineStr">
        <is>
          <t>ÖSTERSUND</t>
        </is>
      </c>
      <c r="G402" t="n">
        <v>10.5</v>
      </c>
      <c r="H402" t="n">
        <v>0</v>
      </c>
      <c r="I402" t="n">
        <v>0</v>
      </c>
      <c r="J402" t="n">
        <v>0</v>
      </c>
      <c r="K402" t="n">
        <v>0</v>
      </c>
      <c r="L402" t="n">
        <v>0</v>
      </c>
      <c r="M402" t="n">
        <v>0</v>
      </c>
      <c r="N402" t="n">
        <v>0</v>
      </c>
      <c r="O402" t="n">
        <v>0</v>
      </c>
      <c r="P402" t="n">
        <v>0</v>
      </c>
      <c r="Q402" t="n">
        <v>0</v>
      </c>
      <c r="R402" s="2" t="inlineStr"/>
    </row>
    <row r="403" ht="15" customHeight="1">
      <c r="A403" t="inlineStr">
        <is>
          <t>A 72089-2021</t>
        </is>
      </c>
      <c r="B403" s="1" t="n">
        <v>44540</v>
      </c>
      <c r="C403" s="1" t="n">
        <v>45635</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72041-2021</t>
        </is>
      </c>
      <c r="B404" s="1" t="n">
        <v>44540</v>
      </c>
      <c r="C404" s="1" t="n">
        <v>45635</v>
      </c>
      <c r="D404" t="inlineStr">
        <is>
          <t>JÄMTLANDS LÄN</t>
        </is>
      </c>
      <c r="E404" t="inlineStr">
        <is>
          <t>ÖSTERSUND</t>
        </is>
      </c>
      <c r="G404" t="n">
        <v>0.4</v>
      </c>
      <c r="H404" t="n">
        <v>0</v>
      </c>
      <c r="I404" t="n">
        <v>0</v>
      </c>
      <c r="J404" t="n">
        <v>0</v>
      </c>
      <c r="K404" t="n">
        <v>0</v>
      </c>
      <c r="L404" t="n">
        <v>0</v>
      </c>
      <c r="M404" t="n">
        <v>0</v>
      </c>
      <c r="N404" t="n">
        <v>0</v>
      </c>
      <c r="O404" t="n">
        <v>0</v>
      </c>
      <c r="P404" t="n">
        <v>0</v>
      </c>
      <c r="Q404" t="n">
        <v>0</v>
      </c>
      <c r="R404" s="2" t="inlineStr"/>
    </row>
    <row r="405" ht="15" customHeight="1">
      <c r="A405" t="inlineStr">
        <is>
          <t>A 72258-2021</t>
        </is>
      </c>
      <c r="B405" s="1" t="n">
        <v>44540</v>
      </c>
      <c r="C405" s="1" t="n">
        <v>45635</v>
      </c>
      <c r="D405" t="inlineStr">
        <is>
          <t>JÄMTLANDS LÄN</t>
        </is>
      </c>
      <c r="E405" t="inlineStr">
        <is>
          <t>ÖSTERSUND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72061-2021</t>
        </is>
      </c>
      <c r="B406" s="1" t="n">
        <v>44540</v>
      </c>
      <c r="C406" s="1" t="n">
        <v>45635</v>
      </c>
      <c r="D406" t="inlineStr">
        <is>
          <t>JÄMTLANDS LÄN</t>
        </is>
      </c>
      <c r="E406" t="inlineStr">
        <is>
          <t>ÖSTERSUND</t>
        </is>
      </c>
      <c r="G406" t="n">
        <v>5.3</v>
      </c>
      <c r="H406" t="n">
        <v>0</v>
      </c>
      <c r="I406" t="n">
        <v>0</v>
      </c>
      <c r="J406" t="n">
        <v>0</v>
      </c>
      <c r="K406" t="n">
        <v>0</v>
      </c>
      <c r="L406" t="n">
        <v>0</v>
      </c>
      <c r="M406" t="n">
        <v>0</v>
      </c>
      <c r="N406" t="n">
        <v>0</v>
      </c>
      <c r="O406" t="n">
        <v>0</v>
      </c>
      <c r="P406" t="n">
        <v>0</v>
      </c>
      <c r="Q406" t="n">
        <v>0</v>
      </c>
      <c r="R406" s="2" t="inlineStr"/>
    </row>
    <row r="407" ht="15" customHeight="1">
      <c r="A407" t="inlineStr">
        <is>
          <t>A 71956-2021</t>
        </is>
      </c>
      <c r="B407" s="1" t="n">
        <v>44544</v>
      </c>
      <c r="C407" s="1" t="n">
        <v>45635</v>
      </c>
      <c r="D407" t="inlineStr">
        <is>
          <t>JÄMTLANDS LÄN</t>
        </is>
      </c>
      <c r="E407" t="inlineStr">
        <is>
          <t>ÖSTERSUND</t>
        </is>
      </c>
      <c r="G407" t="n">
        <v>0.8</v>
      </c>
      <c r="H407" t="n">
        <v>0</v>
      </c>
      <c r="I407" t="n">
        <v>0</v>
      </c>
      <c r="J407" t="n">
        <v>0</v>
      </c>
      <c r="K407" t="n">
        <v>0</v>
      </c>
      <c r="L407" t="n">
        <v>0</v>
      </c>
      <c r="M407" t="n">
        <v>0</v>
      </c>
      <c r="N407" t="n">
        <v>0</v>
      </c>
      <c r="O407" t="n">
        <v>0</v>
      </c>
      <c r="P407" t="n">
        <v>0</v>
      </c>
      <c r="Q407" t="n">
        <v>0</v>
      </c>
      <c r="R407" s="2" t="inlineStr"/>
    </row>
    <row r="408" ht="15" customHeight="1">
      <c r="A408" t="inlineStr">
        <is>
          <t>A 72938-2021</t>
        </is>
      </c>
      <c r="B408" s="1" t="n">
        <v>44547</v>
      </c>
      <c r="C408" s="1" t="n">
        <v>45635</v>
      </c>
      <c r="D408" t="inlineStr">
        <is>
          <t>JÄMTLANDS LÄN</t>
        </is>
      </c>
      <c r="E408" t="inlineStr">
        <is>
          <t>ÖSTERSUND</t>
        </is>
      </c>
      <c r="G408" t="n">
        <v>4.5</v>
      </c>
      <c r="H408" t="n">
        <v>0</v>
      </c>
      <c r="I408" t="n">
        <v>0</v>
      </c>
      <c r="J408" t="n">
        <v>0</v>
      </c>
      <c r="K408" t="n">
        <v>0</v>
      </c>
      <c r="L408" t="n">
        <v>0</v>
      </c>
      <c r="M408" t="n">
        <v>0</v>
      </c>
      <c r="N408" t="n">
        <v>0</v>
      </c>
      <c r="O408" t="n">
        <v>0</v>
      </c>
      <c r="P408" t="n">
        <v>0</v>
      </c>
      <c r="Q408" t="n">
        <v>0</v>
      </c>
      <c r="R408" s="2" t="inlineStr"/>
    </row>
    <row r="409" ht="15" customHeight="1">
      <c r="A409" t="inlineStr">
        <is>
          <t>A 73078-2021</t>
        </is>
      </c>
      <c r="B409" s="1" t="n">
        <v>44550</v>
      </c>
      <c r="C409" s="1" t="n">
        <v>45635</v>
      </c>
      <c r="D409" t="inlineStr">
        <is>
          <t>JÄMTLANDS LÄN</t>
        </is>
      </c>
      <c r="E409" t="inlineStr">
        <is>
          <t>ÖSTERSUND</t>
        </is>
      </c>
      <c r="G409" t="n">
        <v>1.2</v>
      </c>
      <c r="H409" t="n">
        <v>0</v>
      </c>
      <c r="I409" t="n">
        <v>0</v>
      </c>
      <c r="J409" t="n">
        <v>0</v>
      </c>
      <c r="K409" t="n">
        <v>0</v>
      </c>
      <c r="L409" t="n">
        <v>0</v>
      </c>
      <c r="M409" t="n">
        <v>0</v>
      </c>
      <c r="N409" t="n">
        <v>0</v>
      </c>
      <c r="O409" t="n">
        <v>0</v>
      </c>
      <c r="P409" t="n">
        <v>0</v>
      </c>
      <c r="Q409" t="n">
        <v>0</v>
      </c>
      <c r="R409" s="2" t="inlineStr"/>
    </row>
    <row r="410" ht="15" customHeight="1">
      <c r="A410" t="inlineStr">
        <is>
          <t>A 73066-2021</t>
        </is>
      </c>
      <c r="B410" s="1" t="n">
        <v>44550</v>
      </c>
      <c r="C410" s="1" t="n">
        <v>45635</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73875-2021</t>
        </is>
      </c>
      <c r="B411" s="1" t="n">
        <v>44553</v>
      </c>
      <c r="C411" s="1" t="n">
        <v>45635</v>
      </c>
      <c r="D411" t="inlineStr">
        <is>
          <t>JÄMTLANDS LÄN</t>
        </is>
      </c>
      <c r="E411" t="inlineStr">
        <is>
          <t>ÖSTERSUND</t>
        </is>
      </c>
      <c r="G411" t="n">
        <v>1.3</v>
      </c>
      <c r="H411" t="n">
        <v>0</v>
      </c>
      <c r="I411" t="n">
        <v>0</v>
      </c>
      <c r="J411" t="n">
        <v>0</v>
      </c>
      <c r="K411" t="n">
        <v>0</v>
      </c>
      <c r="L411" t="n">
        <v>0</v>
      </c>
      <c r="M411" t="n">
        <v>0</v>
      </c>
      <c r="N411" t="n">
        <v>0</v>
      </c>
      <c r="O411" t="n">
        <v>0</v>
      </c>
      <c r="P411" t="n">
        <v>0</v>
      </c>
      <c r="Q411" t="n">
        <v>0</v>
      </c>
      <c r="R411" s="2" t="inlineStr"/>
    </row>
    <row r="412" ht="15" customHeight="1">
      <c r="A412" t="inlineStr">
        <is>
          <t>A 73870-2021</t>
        </is>
      </c>
      <c r="B412" s="1" t="n">
        <v>44553</v>
      </c>
      <c r="C412" s="1" t="n">
        <v>45635</v>
      </c>
      <c r="D412" t="inlineStr">
        <is>
          <t>JÄMTLANDS LÄN</t>
        </is>
      </c>
      <c r="E412" t="inlineStr">
        <is>
          <t>ÖSTERSUND</t>
        </is>
      </c>
      <c r="G412" t="n">
        <v>5.3</v>
      </c>
      <c r="H412" t="n">
        <v>0</v>
      </c>
      <c r="I412" t="n">
        <v>0</v>
      </c>
      <c r="J412" t="n">
        <v>0</v>
      </c>
      <c r="K412" t="n">
        <v>0</v>
      </c>
      <c r="L412" t="n">
        <v>0</v>
      </c>
      <c r="M412" t="n">
        <v>0</v>
      </c>
      <c r="N412" t="n">
        <v>0</v>
      </c>
      <c r="O412" t="n">
        <v>0</v>
      </c>
      <c r="P412" t="n">
        <v>0</v>
      </c>
      <c r="Q412" t="n">
        <v>0</v>
      </c>
      <c r="R412" s="2" t="inlineStr"/>
    </row>
    <row r="413" ht="15" customHeight="1">
      <c r="A413" t="inlineStr">
        <is>
          <t>A 154-2022</t>
        </is>
      </c>
      <c r="B413" s="1" t="n">
        <v>44561</v>
      </c>
      <c r="C413" s="1" t="n">
        <v>45635</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231-2022</t>
        </is>
      </c>
      <c r="B414" s="1" t="n">
        <v>44564</v>
      </c>
      <c r="C414" s="1" t="n">
        <v>45635</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681-2022</t>
        </is>
      </c>
      <c r="B415" s="1" t="n">
        <v>44566</v>
      </c>
      <c r="C415" s="1" t="n">
        <v>45635</v>
      </c>
      <c r="D415" t="inlineStr">
        <is>
          <t>JÄMTLANDS LÄN</t>
        </is>
      </c>
      <c r="E415" t="inlineStr">
        <is>
          <t>ÖSTERSUND</t>
        </is>
      </c>
      <c r="G415" t="n">
        <v>2.3</v>
      </c>
      <c r="H415" t="n">
        <v>0</v>
      </c>
      <c r="I415" t="n">
        <v>0</v>
      </c>
      <c r="J415" t="n">
        <v>0</v>
      </c>
      <c r="K415" t="n">
        <v>0</v>
      </c>
      <c r="L415" t="n">
        <v>0</v>
      </c>
      <c r="M415" t="n">
        <v>0</v>
      </c>
      <c r="N415" t="n">
        <v>0</v>
      </c>
      <c r="O415" t="n">
        <v>0</v>
      </c>
      <c r="P415" t="n">
        <v>0</v>
      </c>
      <c r="Q415" t="n">
        <v>0</v>
      </c>
      <c r="R415" s="2" t="inlineStr"/>
    </row>
    <row r="416" ht="15" customHeight="1">
      <c r="A416" t="inlineStr">
        <is>
          <t>A 695-2022</t>
        </is>
      </c>
      <c r="B416" s="1" t="n">
        <v>44566</v>
      </c>
      <c r="C416" s="1" t="n">
        <v>45635</v>
      </c>
      <c r="D416" t="inlineStr">
        <is>
          <t>JÄMTLANDS LÄN</t>
        </is>
      </c>
      <c r="E416" t="inlineStr">
        <is>
          <t>ÖSTERSUND</t>
        </is>
      </c>
      <c r="G416" t="n">
        <v>14.9</v>
      </c>
      <c r="H416" t="n">
        <v>0</v>
      </c>
      <c r="I416" t="n">
        <v>0</v>
      </c>
      <c r="J416" t="n">
        <v>0</v>
      </c>
      <c r="K416" t="n">
        <v>0</v>
      </c>
      <c r="L416" t="n">
        <v>0</v>
      </c>
      <c r="M416" t="n">
        <v>0</v>
      </c>
      <c r="N416" t="n">
        <v>0</v>
      </c>
      <c r="O416" t="n">
        <v>0</v>
      </c>
      <c r="P416" t="n">
        <v>0</v>
      </c>
      <c r="Q416" t="n">
        <v>0</v>
      </c>
      <c r="R416" s="2" t="inlineStr"/>
    </row>
    <row r="417" ht="15" customHeight="1">
      <c r="A417" t="inlineStr">
        <is>
          <t>A 2431-2022</t>
        </is>
      </c>
      <c r="B417" s="1" t="n">
        <v>44579</v>
      </c>
      <c r="C417" s="1" t="n">
        <v>45635</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2763-2022</t>
        </is>
      </c>
      <c r="B418" s="1" t="n">
        <v>44580</v>
      </c>
      <c r="C418" s="1" t="n">
        <v>45635</v>
      </c>
      <c r="D418" t="inlineStr">
        <is>
          <t>JÄMTLANDS LÄN</t>
        </is>
      </c>
      <c r="E418" t="inlineStr">
        <is>
          <t>ÖSTERSUND</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2880-2022</t>
        </is>
      </c>
      <c r="B419" s="1" t="n">
        <v>44581</v>
      </c>
      <c r="C419" s="1" t="n">
        <v>45635</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3016-2022</t>
        </is>
      </c>
      <c r="B420" s="1" t="n">
        <v>44581</v>
      </c>
      <c r="C420" s="1" t="n">
        <v>45635</v>
      </c>
      <c r="D420" t="inlineStr">
        <is>
          <t>JÄMTLANDS LÄN</t>
        </is>
      </c>
      <c r="E420" t="inlineStr">
        <is>
          <t>ÖSTERSUND</t>
        </is>
      </c>
      <c r="G420" t="n">
        <v>3.3</v>
      </c>
      <c r="H420" t="n">
        <v>0</v>
      </c>
      <c r="I420" t="n">
        <v>0</v>
      </c>
      <c r="J420" t="n">
        <v>0</v>
      </c>
      <c r="K420" t="n">
        <v>0</v>
      </c>
      <c r="L420" t="n">
        <v>0</v>
      </c>
      <c r="M420" t="n">
        <v>0</v>
      </c>
      <c r="N420" t="n">
        <v>0</v>
      </c>
      <c r="O420" t="n">
        <v>0</v>
      </c>
      <c r="P420" t="n">
        <v>0</v>
      </c>
      <c r="Q420" t="n">
        <v>0</v>
      </c>
      <c r="R420" s="2" t="inlineStr"/>
    </row>
    <row r="421" ht="15" customHeight="1">
      <c r="A421" t="inlineStr">
        <is>
          <t>A 5145-2022</t>
        </is>
      </c>
      <c r="B421" s="1" t="n">
        <v>44594</v>
      </c>
      <c r="C421" s="1" t="n">
        <v>45635</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5670-2022</t>
        </is>
      </c>
      <c r="B422" s="1" t="n">
        <v>44595</v>
      </c>
      <c r="C422" s="1" t="n">
        <v>45635</v>
      </c>
      <c r="D422" t="inlineStr">
        <is>
          <t>JÄMTLANDS LÄN</t>
        </is>
      </c>
      <c r="E422" t="inlineStr">
        <is>
          <t>ÖSTERSUND</t>
        </is>
      </c>
      <c r="G422" t="n">
        <v>2.7</v>
      </c>
      <c r="H422" t="n">
        <v>0</v>
      </c>
      <c r="I422" t="n">
        <v>0</v>
      </c>
      <c r="J422" t="n">
        <v>0</v>
      </c>
      <c r="K422" t="n">
        <v>0</v>
      </c>
      <c r="L422" t="n">
        <v>0</v>
      </c>
      <c r="M422" t="n">
        <v>0</v>
      </c>
      <c r="N422" t="n">
        <v>0</v>
      </c>
      <c r="O422" t="n">
        <v>0</v>
      </c>
      <c r="P422" t="n">
        <v>0</v>
      </c>
      <c r="Q422" t="n">
        <v>0</v>
      </c>
      <c r="R422" s="2" t="inlineStr"/>
    </row>
    <row r="423" ht="15" customHeight="1">
      <c r="A423" t="inlineStr">
        <is>
          <t>A 6013-2022</t>
        </is>
      </c>
      <c r="B423" s="1" t="n">
        <v>44599</v>
      </c>
      <c r="C423" s="1" t="n">
        <v>45635</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6458-2022</t>
        </is>
      </c>
      <c r="B424" s="1" t="n">
        <v>44601</v>
      </c>
      <c r="C424" s="1" t="n">
        <v>45635</v>
      </c>
      <c r="D424" t="inlineStr">
        <is>
          <t>JÄMTLANDS LÄN</t>
        </is>
      </c>
      <c r="E424" t="inlineStr">
        <is>
          <t>ÖSTERSUND</t>
        </is>
      </c>
      <c r="G424" t="n">
        <v>3.1</v>
      </c>
      <c r="H424" t="n">
        <v>0</v>
      </c>
      <c r="I424" t="n">
        <v>0</v>
      </c>
      <c r="J424" t="n">
        <v>0</v>
      </c>
      <c r="K424" t="n">
        <v>0</v>
      </c>
      <c r="L424" t="n">
        <v>0</v>
      </c>
      <c r="M424" t="n">
        <v>0</v>
      </c>
      <c r="N424" t="n">
        <v>0</v>
      </c>
      <c r="O424" t="n">
        <v>0</v>
      </c>
      <c r="P424" t="n">
        <v>0</v>
      </c>
      <c r="Q424" t="n">
        <v>0</v>
      </c>
      <c r="R424" s="2" t="inlineStr"/>
    </row>
    <row r="425" ht="15" customHeight="1">
      <c r="A425" t="inlineStr">
        <is>
          <t>A 7573-2022</t>
        </is>
      </c>
      <c r="B425" s="1" t="n">
        <v>44607</v>
      </c>
      <c r="C425" s="1" t="n">
        <v>45635</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8027-2022</t>
        </is>
      </c>
      <c r="B426" s="1" t="n">
        <v>44609</v>
      </c>
      <c r="C426" s="1" t="n">
        <v>45635</v>
      </c>
      <c r="D426" t="inlineStr">
        <is>
          <t>JÄMTLANDS LÄN</t>
        </is>
      </c>
      <c r="E426" t="inlineStr">
        <is>
          <t>ÖSTERSUND</t>
        </is>
      </c>
      <c r="G426" t="n">
        <v>1.6</v>
      </c>
      <c r="H426" t="n">
        <v>0</v>
      </c>
      <c r="I426" t="n">
        <v>0</v>
      </c>
      <c r="J426" t="n">
        <v>0</v>
      </c>
      <c r="K426" t="n">
        <v>0</v>
      </c>
      <c r="L426" t="n">
        <v>0</v>
      </c>
      <c r="M426" t="n">
        <v>0</v>
      </c>
      <c r="N426" t="n">
        <v>0</v>
      </c>
      <c r="O426" t="n">
        <v>0</v>
      </c>
      <c r="P426" t="n">
        <v>0</v>
      </c>
      <c r="Q426" t="n">
        <v>0</v>
      </c>
      <c r="R426" s="2" t="inlineStr"/>
    </row>
    <row r="427" ht="15" customHeight="1">
      <c r="A427" t="inlineStr">
        <is>
          <t>A 8227-2022</t>
        </is>
      </c>
      <c r="B427" s="1" t="n">
        <v>44609</v>
      </c>
      <c r="C427" s="1" t="n">
        <v>45635</v>
      </c>
      <c r="D427" t="inlineStr">
        <is>
          <t>JÄMTLANDS LÄN</t>
        </is>
      </c>
      <c r="E427" t="inlineStr">
        <is>
          <t>ÖSTERSUND</t>
        </is>
      </c>
      <c r="G427" t="n">
        <v>6.6</v>
      </c>
      <c r="H427" t="n">
        <v>0</v>
      </c>
      <c r="I427" t="n">
        <v>0</v>
      </c>
      <c r="J427" t="n">
        <v>0</v>
      </c>
      <c r="K427" t="n">
        <v>0</v>
      </c>
      <c r="L427" t="n">
        <v>0</v>
      </c>
      <c r="M427" t="n">
        <v>0</v>
      </c>
      <c r="N427" t="n">
        <v>0</v>
      </c>
      <c r="O427" t="n">
        <v>0</v>
      </c>
      <c r="P427" t="n">
        <v>0</v>
      </c>
      <c r="Q427" t="n">
        <v>0</v>
      </c>
      <c r="R427" s="2" t="inlineStr"/>
    </row>
    <row r="428" ht="15" customHeight="1">
      <c r="A428" t="inlineStr">
        <is>
          <t>A 8647-2022</t>
        </is>
      </c>
      <c r="B428" s="1" t="n">
        <v>44613</v>
      </c>
      <c r="C428" s="1" t="n">
        <v>45635</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8972-2022</t>
        </is>
      </c>
      <c r="B429" s="1" t="n">
        <v>44614</v>
      </c>
      <c r="C429" s="1" t="n">
        <v>45635</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11740-2022</t>
        </is>
      </c>
      <c r="B430" s="1" t="n">
        <v>44634</v>
      </c>
      <c r="C430" s="1" t="n">
        <v>45635</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11933-2022</t>
        </is>
      </c>
      <c r="B431" s="1" t="n">
        <v>44635</v>
      </c>
      <c r="C431" s="1" t="n">
        <v>45635</v>
      </c>
      <c r="D431" t="inlineStr">
        <is>
          <t>JÄMTLANDS LÄN</t>
        </is>
      </c>
      <c r="E431" t="inlineStr">
        <is>
          <t>ÖSTERSUND</t>
        </is>
      </c>
      <c r="G431" t="n">
        <v>0.7</v>
      </c>
      <c r="H431" t="n">
        <v>0</v>
      </c>
      <c r="I431" t="n">
        <v>0</v>
      </c>
      <c r="J431" t="n">
        <v>0</v>
      </c>
      <c r="K431" t="n">
        <v>0</v>
      </c>
      <c r="L431" t="n">
        <v>0</v>
      </c>
      <c r="M431" t="n">
        <v>0</v>
      </c>
      <c r="N431" t="n">
        <v>0</v>
      </c>
      <c r="O431" t="n">
        <v>0</v>
      </c>
      <c r="P431" t="n">
        <v>0</v>
      </c>
      <c r="Q431" t="n">
        <v>0</v>
      </c>
      <c r="R431" s="2" t="inlineStr"/>
    </row>
    <row r="432" ht="15" customHeight="1">
      <c r="A432" t="inlineStr">
        <is>
          <t>A 12301-2022</t>
        </is>
      </c>
      <c r="B432" s="1" t="n">
        <v>44637</v>
      </c>
      <c r="C432" s="1" t="n">
        <v>45635</v>
      </c>
      <c r="D432" t="inlineStr">
        <is>
          <t>JÄMTLANDS LÄN</t>
        </is>
      </c>
      <c r="E432" t="inlineStr">
        <is>
          <t>ÖSTERSUND</t>
        </is>
      </c>
      <c r="G432" t="n">
        <v>5.8</v>
      </c>
      <c r="H432" t="n">
        <v>0</v>
      </c>
      <c r="I432" t="n">
        <v>0</v>
      </c>
      <c r="J432" t="n">
        <v>0</v>
      </c>
      <c r="K432" t="n">
        <v>0</v>
      </c>
      <c r="L432" t="n">
        <v>0</v>
      </c>
      <c r="M432" t="n">
        <v>0</v>
      </c>
      <c r="N432" t="n">
        <v>0</v>
      </c>
      <c r="O432" t="n">
        <v>0</v>
      </c>
      <c r="P432" t="n">
        <v>0</v>
      </c>
      <c r="Q432" t="n">
        <v>0</v>
      </c>
      <c r="R432" s="2" t="inlineStr"/>
    </row>
    <row r="433" ht="15" customHeight="1">
      <c r="A433" t="inlineStr">
        <is>
          <t>A 12285-2022</t>
        </is>
      </c>
      <c r="B433" s="1" t="n">
        <v>44637</v>
      </c>
      <c r="C433" s="1" t="n">
        <v>45635</v>
      </c>
      <c r="D433" t="inlineStr">
        <is>
          <t>JÄMTLANDS LÄN</t>
        </is>
      </c>
      <c r="E433" t="inlineStr">
        <is>
          <t>ÖSTERSUND</t>
        </is>
      </c>
      <c r="G433" t="n">
        <v>1.4</v>
      </c>
      <c r="H433" t="n">
        <v>0</v>
      </c>
      <c r="I433" t="n">
        <v>0</v>
      </c>
      <c r="J433" t="n">
        <v>0</v>
      </c>
      <c r="K433" t="n">
        <v>0</v>
      </c>
      <c r="L433" t="n">
        <v>0</v>
      </c>
      <c r="M433" t="n">
        <v>0</v>
      </c>
      <c r="N433" t="n">
        <v>0</v>
      </c>
      <c r="O433" t="n">
        <v>0</v>
      </c>
      <c r="P433" t="n">
        <v>0</v>
      </c>
      <c r="Q433" t="n">
        <v>0</v>
      </c>
      <c r="R433" s="2" t="inlineStr"/>
    </row>
    <row r="434" ht="15" customHeight="1">
      <c r="A434" t="inlineStr">
        <is>
          <t>A 12946-2022</t>
        </is>
      </c>
      <c r="B434" s="1" t="n">
        <v>44642</v>
      </c>
      <c r="C434" s="1" t="n">
        <v>45635</v>
      </c>
      <c r="D434" t="inlineStr">
        <is>
          <t>JÄMTLANDS LÄN</t>
        </is>
      </c>
      <c r="E434" t="inlineStr">
        <is>
          <t>ÖSTERSUND</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13024-2022</t>
        </is>
      </c>
      <c r="B435" s="1" t="n">
        <v>44643</v>
      </c>
      <c r="C435" s="1" t="n">
        <v>45635</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14653-2022</t>
        </is>
      </c>
      <c r="B436" s="1" t="n">
        <v>44655</v>
      </c>
      <c r="C436" s="1" t="n">
        <v>45635</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14657-2022</t>
        </is>
      </c>
      <c r="B437" s="1" t="n">
        <v>44655</v>
      </c>
      <c r="C437" s="1" t="n">
        <v>45635</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14658-2022</t>
        </is>
      </c>
      <c r="B438" s="1" t="n">
        <v>44655</v>
      </c>
      <c r="C438" s="1" t="n">
        <v>45635</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16025-2022</t>
        </is>
      </c>
      <c r="B439" s="1" t="n">
        <v>44665</v>
      </c>
      <c r="C439" s="1" t="n">
        <v>45635</v>
      </c>
      <c r="D439" t="inlineStr">
        <is>
          <t>JÄMTLANDS LÄN</t>
        </is>
      </c>
      <c r="E439" t="inlineStr">
        <is>
          <t>ÖSTERSUND</t>
        </is>
      </c>
      <c r="G439" t="n">
        <v>6</v>
      </c>
      <c r="H439" t="n">
        <v>0</v>
      </c>
      <c r="I439" t="n">
        <v>0</v>
      </c>
      <c r="J439" t="n">
        <v>0</v>
      </c>
      <c r="K439" t="n">
        <v>0</v>
      </c>
      <c r="L439" t="n">
        <v>0</v>
      </c>
      <c r="M439" t="n">
        <v>0</v>
      </c>
      <c r="N439" t="n">
        <v>0</v>
      </c>
      <c r="O439" t="n">
        <v>0</v>
      </c>
      <c r="P439" t="n">
        <v>0</v>
      </c>
      <c r="Q439" t="n">
        <v>0</v>
      </c>
      <c r="R439" s="2" t="inlineStr"/>
    </row>
    <row r="440" ht="15" customHeight="1">
      <c r="A440" t="inlineStr">
        <is>
          <t>A 16034-2022</t>
        </is>
      </c>
      <c r="B440" s="1" t="n">
        <v>44665</v>
      </c>
      <c r="C440" s="1" t="n">
        <v>45635</v>
      </c>
      <c r="D440" t="inlineStr">
        <is>
          <t>JÄMTLANDS LÄN</t>
        </is>
      </c>
      <c r="E440" t="inlineStr">
        <is>
          <t>ÖSTERSUND</t>
        </is>
      </c>
      <c r="G440" t="n">
        <v>5.2</v>
      </c>
      <c r="H440" t="n">
        <v>0</v>
      </c>
      <c r="I440" t="n">
        <v>0</v>
      </c>
      <c r="J440" t="n">
        <v>0</v>
      </c>
      <c r="K440" t="n">
        <v>0</v>
      </c>
      <c r="L440" t="n">
        <v>0</v>
      </c>
      <c r="M440" t="n">
        <v>0</v>
      </c>
      <c r="N440" t="n">
        <v>0</v>
      </c>
      <c r="O440" t="n">
        <v>0</v>
      </c>
      <c r="P440" t="n">
        <v>0</v>
      </c>
      <c r="Q440" t="n">
        <v>0</v>
      </c>
      <c r="R440" s="2" t="inlineStr"/>
    </row>
    <row r="441" ht="15" customHeight="1">
      <c r="A441" t="inlineStr">
        <is>
          <t>A 17574-2022</t>
        </is>
      </c>
      <c r="B441" s="1" t="n">
        <v>44680</v>
      </c>
      <c r="C441" s="1" t="n">
        <v>45635</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17732-2022</t>
        </is>
      </c>
      <c r="B442" s="1" t="n">
        <v>44681</v>
      </c>
      <c r="C442" s="1" t="n">
        <v>45635</v>
      </c>
      <c r="D442" t="inlineStr">
        <is>
          <t>JÄMTLANDS LÄN</t>
        </is>
      </c>
      <c r="E442" t="inlineStr">
        <is>
          <t>ÖSTERSUND</t>
        </is>
      </c>
      <c r="G442" t="n">
        <v>5.4</v>
      </c>
      <c r="H442" t="n">
        <v>0</v>
      </c>
      <c r="I442" t="n">
        <v>0</v>
      </c>
      <c r="J442" t="n">
        <v>0</v>
      </c>
      <c r="K442" t="n">
        <v>0</v>
      </c>
      <c r="L442" t="n">
        <v>0</v>
      </c>
      <c r="M442" t="n">
        <v>0</v>
      </c>
      <c r="N442" t="n">
        <v>0</v>
      </c>
      <c r="O442" t="n">
        <v>0</v>
      </c>
      <c r="P442" t="n">
        <v>0</v>
      </c>
      <c r="Q442" t="n">
        <v>0</v>
      </c>
      <c r="R442" s="2" t="inlineStr"/>
    </row>
    <row r="443" ht="15" customHeight="1">
      <c r="A443" t="inlineStr">
        <is>
          <t>A 17734-2022</t>
        </is>
      </c>
      <c r="B443" s="1" t="n">
        <v>44680</v>
      </c>
      <c r="C443" s="1" t="n">
        <v>45635</v>
      </c>
      <c r="D443" t="inlineStr">
        <is>
          <t>JÄMTLANDS LÄN</t>
        </is>
      </c>
      <c r="E443" t="inlineStr">
        <is>
          <t>ÖSTERSUND</t>
        </is>
      </c>
      <c r="G443" t="n">
        <v>26.4</v>
      </c>
      <c r="H443" t="n">
        <v>0</v>
      </c>
      <c r="I443" t="n">
        <v>0</v>
      </c>
      <c r="J443" t="n">
        <v>0</v>
      </c>
      <c r="K443" t="n">
        <v>0</v>
      </c>
      <c r="L443" t="n">
        <v>0</v>
      </c>
      <c r="M443" t="n">
        <v>0</v>
      </c>
      <c r="N443" t="n">
        <v>0</v>
      </c>
      <c r="O443" t="n">
        <v>0</v>
      </c>
      <c r="P443" t="n">
        <v>0</v>
      </c>
      <c r="Q443" t="n">
        <v>0</v>
      </c>
      <c r="R443" s="2" t="inlineStr"/>
    </row>
    <row r="444" ht="15" customHeight="1">
      <c r="A444" t="inlineStr">
        <is>
          <t>A 19022-2022</t>
        </is>
      </c>
      <c r="B444" s="1" t="n">
        <v>44690</v>
      </c>
      <c r="C444" s="1" t="n">
        <v>45635</v>
      </c>
      <c r="D444" t="inlineStr">
        <is>
          <t>JÄMTLANDS LÄN</t>
        </is>
      </c>
      <c r="E444" t="inlineStr">
        <is>
          <t>ÖSTERSUND</t>
        </is>
      </c>
      <c r="G444" t="n">
        <v>17.9</v>
      </c>
      <c r="H444" t="n">
        <v>0</v>
      </c>
      <c r="I444" t="n">
        <v>0</v>
      </c>
      <c r="J444" t="n">
        <v>0</v>
      </c>
      <c r="K444" t="n">
        <v>0</v>
      </c>
      <c r="L444" t="n">
        <v>0</v>
      </c>
      <c r="M444" t="n">
        <v>0</v>
      </c>
      <c r="N444" t="n">
        <v>0</v>
      </c>
      <c r="O444" t="n">
        <v>0</v>
      </c>
      <c r="P444" t="n">
        <v>0</v>
      </c>
      <c r="Q444" t="n">
        <v>0</v>
      </c>
      <c r="R444" s="2" t="inlineStr"/>
    </row>
    <row r="445" ht="15" customHeight="1">
      <c r="A445" t="inlineStr">
        <is>
          <t>A 20960-2022</t>
        </is>
      </c>
      <c r="B445" s="1" t="n">
        <v>44702</v>
      </c>
      <c r="C445" s="1" t="n">
        <v>45635</v>
      </c>
      <c r="D445" t="inlineStr">
        <is>
          <t>JÄMTLANDS LÄN</t>
        </is>
      </c>
      <c r="E445" t="inlineStr">
        <is>
          <t>ÖSTERSUND</t>
        </is>
      </c>
      <c r="G445" t="n">
        <v>3.6</v>
      </c>
      <c r="H445" t="n">
        <v>0</v>
      </c>
      <c r="I445" t="n">
        <v>0</v>
      </c>
      <c r="J445" t="n">
        <v>0</v>
      </c>
      <c r="K445" t="n">
        <v>0</v>
      </c>
      <c r="L445" t="n">
        <v>0</v>
      </c>
      <c r="M445" t="n">
        <v>0</v>
      </c>
      <c r="N445" t="n">
        <v>0</v>
      </c>
      <c r="O445" t="n">
        <v>0</v>
      </c>
      <c r="P445" t="n">
        <v>0</v>
      </c>
      <c r="Q445" t="n">
        <v>0</v>
      </c>
      <c r="R445" s="2" t="inlineStr"/>
    </row>
    <row r="446" ht="15" customHeight="1">
      <c r="A446" t="inlineStr">
        <is>
          <t>A 20983-2022</t>
        </is>
      </c>
      <c r="B446" s="1" t="n">
        <v>44703</v>
      </c>
      <c r="C446" s="1" t="n">
        <v>45635</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21211-2022</t>
        </is>
      </c>
      <c r="B447" s="1" t="n">
        <v>44705</v>
      </c>
      <c r="C447" s="1" t="n">
        <v>45635</v>
      </c>
      <c r="D447" t="inlineStr">
        <is>
          <t>JÄMTLANDS LÄN</t>
        </is>
      </c>
      <c r="E447" t="inlineStr">
        <is>
          <t>ÖSTERSUND</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21495-2022</t>
        </is>
      </c>
      <c r="B448" s="1" t="n">
        <v>44706</v>
      </c>
      <c r="C448" s="1" t="n">
        <v>45635</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22083-2022</t>
        </is>
      </c>
      <c r="B449" s="1" t="n">
        <v>44711</v>
      </c>
      <c r="C449" s="1" t="n">
        <v>45635</v>
      </c>
      <c r="D449" t="inlineStr">
        <is>
          <t>JÄMTLANDS LÄN</t>
        </is>
      </c>
      <c r="E449" t="inlineStr">
        <is>
          <t>ÖSTERSUND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22085-2022</t>
        </is>
      </c>
      <c r="B450" s="1" t="n">
        <v>44711</v>
      </c>
      <c r="C450" s="1" t="n">
        <v>45635</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22084-2022</t>
        </is>
      </c>
      <c r="B451" s="1" t="n">
        <v>44711</v>
      </c>
      <c r="C451" s="1" t="n">
        <v>45635</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22082-2022</t>
        </is>
      </c>
      <c r="B452" s="1" t="n">
        <v>44712</v>
      </c>
      <c r="C452" s="1" t="n">
        <v>45635</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23555-2022</t>
        </is>
      </c>
      <c r="B453" s="1" t="n">
        <v>44721</v>
      </c>
      <c r="C453" s="1" t="n">
        <v>45635</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23563-2022</t>
        </is>
      </c>
      <c r="B454" s="1" t="n">
        <v>44721</v>
      </c>
      <c r="C454" s="1" t="n">
        <v>45635</v>
      </c>
      <c r="D454" t="inlineStr">
        <is>
          <t>JÄMTLANDS LÄN</t>
        </is>
      </c>
      <c r="E454" t="inlineStr">
        <is>
          <t>ÖSTERSUND</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23551-2022</t>
        </is>
      </c>
      <c r="B455" s="1" t="n">
        <v>44721</v>
      </c>
      <c r="C455" s="1" t="n">
        <v>45635</v>
      </c>
      <c r="D455" t="inlineStr">
        <is>
          <t>JÄMTLANDS LÄN</t>
        </is>
      </c>
      <c r="E455" t="inlineStr">
        <is>
          <t>ÖSTERSUND</t>
        </is>
      </c>
      <c r="G455" t="n">
        <v>0.3</v>
      </c>
      <c r="H455" t="n">
        <v>0</v>
      </c>
      <c r="I455" t="n">
        <v>0</v>
      </c>
      <c r="J455" t="n">
        <v>0</v>
      </c>
      <c r="K455" t="n">
        <v>0</v>
      </c>
      <c r="L455" t="n">
        <v>0</v>
      </c>
      <c r="M455" t="n">
        <v>0</v>
      </c>
      <c r="N455" t="n">
        <v>0</v>
      </c>
      <c r="O455" t="n">
        <v>0</v>
      </c>
      <c r="P455" t="n">
        <v>0</v>
      </c>
      <c r="Q455" t="n">
        <v>0</v>
      </c>
      <c r="R455" s="2" t="inlineStr"/>
    </row>
    <row r="456" ht="15" customHeight="1">
      <c r="A456" t="inlineStr">
        <is>
          <t>A 23992-2022</t>
        </is>
      </c>
      <c r="B456" s="1" t="n">
        <v>44722</v>
      </c>
      <c r="C456" s="1" t="n">
        <v>45635</v>
      </c>
      <c r="D456" t="inlineStr">
        <is>
          <t>JÄMTLANDS LÄN</t>
        </is>
      </c>
      <c r="E456" t="inlineStr">
        <is>
          <t>ÖSTERSUND</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23993-2022</t>
        </is>
      </c>
      <c r="B457" s="1" t="n">
        <v>44723</v>
      </c>
      <c r="C457" s="1" t="n">
        <v>45635</v>
      </c>
      <c r="D457" t="inlineStr">
        <is>
          <t>JÄMTLANDS LÄN</t>
        </is>
      </c>
      <c r="E457" t="inlineStr">
        <is>
          <t>ÖSTERSUND</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26321-2022</t>
        </is>
      </c>
      <c r="B458" s="1" t="n">
        <v>44735</v>
      </c>
      <c r="C458" s="1" t="n">
        <v>45635</v>
      </c>
      <c r="D458" t="inlineStr">
        <is>
          <t>JÄMTLANDS LÄN</t>
        </is>
      </c>
      <c r="E458" t="inlineStr">
        <is>
          <t>ÖSTERSUND</t>
        </is>
      </c>
      <c r="G458" t="n">
        <v>1</v>
      </c>
      <c r="H458" t="n">
        <v>0</v>
      </c>
      <c r="I458" t="n">
        <v>0</v>
      </c>
      <c r="J458" t="n">
        <v>0</v>
      </c>
      <c r="K458" t="n">
        <v>0</v>
      </c>
      <c r="L458" t="n">
        <v>0</v>
      </c>
      <c r="M458" t="n">
        <v>0</v>
      </c>
      <c r="N458" t="n">
        <v>0</v>
      </c>
      <c r="O458" t="n">
        <v>0</v>
      </c>
      <c r="P458" t="n">
        <v>0</v>
      </c>
      <c r="Q458" t="n">
        <v>0</v>
      </c>
      <c r="R458" s="2" t="inlineStr"/>
    </row>
    <row r="459" ht="15" customHeight="1">
      <c r="A459" t="inlineStr">
        <is>
          <t>A 26731-2022</t>
        </is>
      </c>
      <c r="B459" s="1" t="n">
        <v>44740</v>
      </c>
      <c r="C459" s="1" t="n">
        <v>45635</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27343-2022</t>
        </is>
      </c>
      <c r="B460" s="1" t="n">
        <v>44742</v>
      </c>
      <c r="C460" s="1" t="n">
        <v>45635</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27582-2022</t>
        </is>
      </c>
      <c r="B461" s="1" t="n">
        <v>44743</v>
      </c>
      <c r="C461" s="1" t="n">
        <v>45635</v>
      </c>
      <c r="D461" t="inlineStr">
        <is>
          <t>JÄMTLANDS LÄN</t>
        </is>
      </c>
      <c r="E461" t="inlineStr">
        <is>
          <t>ÖSTERSUND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27575-2022</t>
        </is>
      </c>
      <c r="B462" s="1" t="n">
        <v>44742</v>
      </c>
      <c r="C462" s="1" t="n">
        <v>45635</v>
      </c>
      <c r="D462" t="inlineStr">
        <is>
          <t>JÄMTLANDS LÄN</t>
        </is>
      </c>
      <c r="E462" t="inlineStr">
        <is>
          <t>ÖSTERSUND</t>
        </is>
      </c>
      <c r="F462" t="inlineStr">
        <is>
          <t>SCA</t>
        </is>
      </c>
      <c r="G462" t="n">
        <v>2.4</v>
      </c>
      <c r="H462" t="n">
        <v>0</v>
      </c>
      <c r="I462" t="n">
        <v>0</v>
      </c>
      <c r="J462" t="n">
        <v>0</v>
      </c>
      <c r="K462" t="n">
        <v>0</v>
      </c>
      <c r="L462" t="n">
        <v>0</v>
      </c>
      <c r="M462" t="n">
        <v>0</v>
      </c>
      <c r="N462" t="n">
        <v>0</v>
      </c>
      <c r="O462" t="n">
        <v>0</v>
      </c>
      <c r="P462" t="n">
        <v>0</v>
      </c>
      <c r="Q462" t="n">
        <v>0</v>
      </c>
      <c r="R462" s="2" t="inlineStr"/>
      <c r="U462">
        <f>HYPERLINK("https://klasma.github.io/Logging_2380/knärot/A 27575-2022 karta knärot.png", "A 27575-2022")</f>
        <v/>
      </c>
      <c r="V462">
        <f>HYPERLINK("https://klasma.github.io/Logging_2380/klagomål/A 27575-2022 FSC-klagomål.docx", "A 27575-2022")</f>
        <v/>
      </c>
      <c r="W462">
        <f>HYPERLINK("https://klasma.github.io/Logging_2380/klagomålsmail/A 27575-2022 FSC-klagomål mail.docx", "A 27575-2022")</f>
        <v/>
      </c>
      <c r="X462">
        <f>HYPERLINK("https://klasma.github.io/Logging_2380/tillsyn/A 27575-2022 tillsynsbegäran.docx", "A 27575-2022")</f>
        <v/>
      </c>
      <c r="Y462">
        <f>HYPERLINK("https://klasma.github.io/Logging_2380/tillsynsmail/A 27575-2022 tillsynsbegäran mail.docx", "A 27575-2022")</f>
        <v/>
      </c>
    </row>
    <row r="463" ht="15" customHeight="1">
      <c r="A463" t="inlineStr">
        <is>
          <t>A 27581-2022</t>
        </is>
      </c>
      <c r="B463" s="1" t="n">
        <v>44742</v>
      </c>
      <c r="C463" s="1" t="n">
        <v>45635</v>
      </c>
      <c r="D463" t="inlineStr">
        <is>
          <t>JÄMTLANDS LÄN</t>
        </is>
      </c>
      <c r="E463" t="inlineStr">
        <is>
          <t>ÖSTERSUND</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27780-2022</t>
        </is>
      </c>
      <c r="B464" s="1" t="n">
        <v>44743</v>
      </c>
      <c r="C464" s="1" t="n">
        <v>45635</v>
      </c>
      <c r="D464" t="inlineStr">
        <is>
          <t>JÄMTLANDS LÄN</t>
        </is>
      </c>
      <c r="E464" t="inlineStr">
        <is>
          <t>ÖSTERSUND</t>
        </is>
      </c>
      <c r="G464" t="n">
        <v>2.2</v>
      </c>
      <c r="H464" t="n">
        <v>0</v>
      </c>
      <c r="I464" t="n">
        <v>0</v>
      </c>
      <c r="J464" t="n">
        <v>0</v>
      </c>
      <c r="K464" t="n">
        <v>0</v>
      </c>
      <c r="L464" t="n">
        <v>0</v>
      </c>
      <c r="M464" t="n">
        <v>0</v>
      </c>
      <c r="N464" t="n">
        <v>0</v>
      </c>
      <c r="O464" t="n">
        <v>0</v>
      </c>
      <c r="P464" t="n">
        <v>0</v>
      </c>
      <c r="Q464" t="n">
        <v>0</v>
      </c>
      <c r="R464" s="2" t="inlineStr"/>
    </row>
    <row r="465" ht="15" customHeight="1">
      <c r="A465" t="inlineStr">
        <is>
          <t>A 29094-2022</t>
        </is>
      </c>
      <c r="B465" s="1" t="n">
        <v>44750</v>
      </c>
      <c r="C465" s="1" t="n">
        <v>45635</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29128-2022</t>
        </is>
      </c>
      <c r="B466" s="1" t="n">
        <v>44750</v>
      </c>
      <c r="C466" s="1" t="n">
        <v>45635</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29829-2022</t>
        </is>
      </c>
      <c r="B467" s="1" t="n">
        <v>44755</v>
      </c>
      <c r="C467" s="1" t="n">
        <v>45635</v>
      </c>
      <c r="D467" t="inlineStr">
        <is>
          <t>JÄMTLANDS LÄN</t>
        </is>
      </c>
      <c r="E467" t="inlineStr">
        <is>
          <t>ÖSTERSUND</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29828-2022</t>
        </is>
      </c>
      <c r="B468" s="1" t="n">
        <v>44755</v>
      </c>
      <c r="C468" s="1" t="n">
        <v>45635</v>
      </c>
      <c r="D468" t="inlineStr">
        <is>
          <t>JÄMTLANDS LÄN</t>
        </is>
      </c>
      <c r="E468" t="inlineStr">
        <is>
          <t>ÖSTERSUND</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30217-2022</t>
        </is>
      </c>
      <c r="B469" s="1" t="n">
        <v>44758</v>
      </c>
      <c r="C469" s="1" t="n">
        <v>45635</v>
      </c>
      <c r="D469" t="inlineStr">
        <is>
          <t>JÄMTLANDS LÄN</t>
        </is>
      </c>
      <c r="E469" t="inlineStr">
        <is>
          <t>ÖSTERSUND</t>
        </is>
      </c>
      <c r="G469" t="n">
        <v>2.9</v>
      </c>
      <c r="H469" t="n">
        <v>0</v>
      </c>
      <c r="I469" t="n">
        <v>0</v>
      </c>
      <c r="J469" t="n">
        <v>0</v>
      </c>
      <c r="K469" t="n">
        <v>0</v>
      </c>
      <c r="L469" t="n">
        <v>0</v>
      </c>
      <c r="M469" t="n">
        <v>0</v>
      </c>
      <c r="N469" t="n">
        <v>0</v>
      </c>
      <c r="O469" t="n">
        <v>0</v>
      </c>
      <c r="P469" t="n">
        <v>0</v>
      </c>
      <c r="Q469" t="n">
        <v>0</v>
      </c>
      <c r="R469" s="2" t="inlineStr"/>
    </row>
    <row r="470" ht="15" customHeight="1">
      <c r="A470" t="inlineStr">
        <is>
          <t>A 33804-2022</t>
        </is>
      </c>
      <c r="B470" s="1" t="n">
        <v>44790</v>
      </c>
      <c r="C470" s="1" t="n">
        <v>45635</v>
      </c>
      <c r="D470" t="inlineStr">
        <is>
          <t>JÄMTLANDS LÄN</t>
        </is>
      </c>
      <c r="E470" t="inlineStr">
        <is>
          <t>ÖSTERSUND</t>
        </is>
      </c>
      <c r="G470" t="n">
        <v>1.8</v>
      </c>
      <c r="H470" t="n">
        <v>0</v>
      </c>
      <c r="I470" t="n">
        <v>0</v>
      </c>
      <c r="J470" t="n">
        <v>0</v>
      </c>
      <c r="K470" t="n">
        <v>0</v>
      </c>
      <c r="L470" t="n">
        <v>0</v>
      </c>
      <c r="M470" t="n">
        <v>0</v>
      </c>
      <c r="N470" t="n">
        <v>0</v>
      </c>
      <c r="O470" t="n">
        <v>0</v>
      </c>
      <c r="P470" t="n">
        <v>0</v>
      </c>
      <c r="Q470" t="n">
        <v>0</v>
      </c>
      <c r="R470" s="2" t="inlineStr"/>
    </row>
    <row r="471" ht="15" customHeight="1">
      <c r="A471" t="inlineStr">
        <is>
          <t>A 33808-2022</t>
        </is>
      </c>
      <c r="B471" s="1" t="n">
        <v>44790</v>
      </c>
      <c r="C471" s="1" t="n">
        <v>45635</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33813-2022</t>
        </is>
      </c>
      <c r="B472" s="1" t="n">
        <v>44790</v>
      </c>
      <c r="C472" s="1" t="n">
        <v>45635</v>
      </c>
      <c r="D472" t="inlineStr">
        <is>
          <t>JÄMTLANDS LÄN</t>
        </is>
      </c>
      <c r="E472" t="inlineStr">
        <is>
          <t>ÖSTERSUND</t>
        </is>
      </c>
      <c r="G472" t="n">
        <v>7.9</v>
      </c>
      <c r="H472" t="n">
        <v>0</v>
      </c>
      <c r="I472" t="n">
        <v>0</v>
      </c>
      <c r="J472" t="n">
        <v>0</v>
      </c>
      <c r="K472" t="n">
        <v>0</v>
      </c>
      <c r="L472" t="n">
        <v>0</v>
      </c>
      <c r="M472" t="n">
        <v>0</v>
      </c>
      <c r="N472" t="n">
        <v>0</v>
      </c>
      <c r="O472" t="n">
        <v>0</v>
      </c>
      <c r="P472" t="n">
        <v>0</v>
      </c>
      <c r="Q472" t="n">
        <v>0</v>
      </c>
      <c r="R472" s="2" t="inlineStr"/>
    </row>
    <row r="473" ht="15" customHeight="1">
      <c r="A473" t="inlineStr">
        <is>
          <t>A 33786-2022</t>
        </is>
      </c>
      <c r="B473" s="1" t="n">
        <v>44790</v>
      </c>
      <c r="C473" s="1" t="n">
        <v>45635</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33801-2022</t>
        </is>
      </c>
      <c r="B474" s="1" t="n">
        <v>44790</v>
      </c>
      <c r="C474" s="1" t="n">
        <v>45635</v>
      </c>
      <c r="D474" t="inlineStr">
        <is>
          <t>JÄMTLANDS LÄN</t>
        </is>
      </c>
      <c r="E474" t="inlineStr">
        <is>
          <t>ÖSTERSUND</t>
        </is>
      </c>
      <c r="G474" t="n">
        <v>7.6</v>
      </c>
      <c r="H474" t="n">
        <v>0</v>
      </c>
      <c r="I474" t="n">
        <v>0</v>
      </c>
      <c r="J474" t="n">
        <v>0</v>
      </c>
      <c r="K474" t="n">
        <v>0</v>
      </c>
      <c r="L474" t="n">
        <v>0</v>
      </c>
      <c r="M474" t="n">
        <v>0</v>
      </c>
      <c r="N474" t="n">
        <v>0</v>
      </c>
      <c r="O474" t="n">
        <v>0</v>
      </c>
      <c r="P474" t="n">
        <v>0</v>
      </c>
      <c r="Q474" t="n">
        <v>0</v>
      </c>
      <c r="R474" s="2" t="inlineStr"/>
    </row>
    <row r="475" ht="15" customHeight="1">
      <c r="A475" t="inlineStr">
        <is>
          <t>A 35556-2022</t>
        </is>
      </c>
      <c r="B475" s="1" t="n">
        <v>44799</v>
      </c>
      <c r="C475" s="1" t="n">
        <v>45635</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39828-2022</t>
        </is>
      </c>
      <c r="B476" s="1" t="n">
        <v>44817</v>
      </c>
      <c r="C476" s="1" t="n">
        <v>45635</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39928-2022</t>
        </is>
      </c>
      <c r="B477" s="1" t="n">
        <v>44819</v>
      </c>
      <c r="C477" s="1" t="n">
        <v>45635</v>
      </c>
      <c r="D477" t="inlineStr">
        <is>
          <t>JÄMTLANDS LÄN</t>
        </is>
      </c>
      <c r="E477" t="inlineStr">
        <is>
          <t>ÖSTERSUND</t>
        </is>
      </c>
      <c r="F477" t="inlineStr">
        <is>
          <t>SCA</t>
        </is>
      </c>
      <c r="G477" t="n">
        <v>8.9</v>
      </c>
      <c r="H477" t="n">
        <v>0</v>
      </c>
      <c r="I477" t="n">
        <v>0</v>
      </c>
      <c r="J477" t="n">
        <v>0</v>
      </c>
      <c r="K477" t="n">
        <v>0</v>
      </c>
      <c r="L477" t="n">
        <v>0</v>
      </c>
      <c r="M477" t="n">
        <v>0</v>
      </c>
      <c r="N477" t="n">
        <v>0</v>
      </c>
      <c r="O477" t="n">
        <v>0</v>
      </c>
      <c r="P477" t="n">
        <v>0</v>
      </c>
      <c r="Q477" t="n">
        <v>0</v>
      </c>
      <c r="R477" s="2" t="inlineStr"/>
    </row>
    <row r="478" ht="15" customHeight="1">
      <c r="A478" t="inlineStr">
        <is>
          <t>A 40885-2022</t>
        </is>
      </c>
      <c r="B478" s="1" t="n">
        <v>44820</v>
      </c>
      <c r="C478" s="1" t="n">
        <v>45635</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43511-2022</t>
        </is>
      </c>
      <c r="B479" s="1" t="n">
        <v>44837</v>
      </c>
      <c r="C479" s="1" t="n">
        <v>45635</v>
      </c>
      <c r="D479" t="inlineStr">
        <is>
          <t>JÄMTLANDS LÄN</t>
        </is>
      </c>
      <c r="E479" t="inlineStr">
        <is>
          <t>ÖSTERSUND</t>
        </is>
      </c>
      <c r="G479" t="n">
        <v>3.7</v>
      </c>
      <c r="H479" t="n">
        <v>0</v>
      </c>
      <c r="I479" t="n">
        <v>0</v>
      </c>
      <c r="J479" t="n">
        <v>0</v>
      </c>
      <c r="K479" t="n">
        <v>0</v>
      </c>
      <c r="L479" t="n">
        <v>0</v>
      </c>
      <c r="M479" t="n">
        <v>0</v>
      </c>
      <c r="N479" t="n">
        <v>0</v>
      </c>
      <c r="O479" t="n">
        <v>0</v>
      </c>
      <c r="P479" t="n">
        <v>0</v>
      </c>
      <c r="Q479" t="n">
        <v>0</v>
      </c>
      <c r="R479" s="2" t="inlineStr"/>
    </row>
    <row r="480" ht="15" customHeight="1">
      <c r="A480" t="inlineStr">
        <is>
          <t>A 43951-2022</t>
        </is>
      </c>
      <c r="B480" s="1" t="n">
        <v>44838</v>
      </c>
      <c r="C480" s="1" t="n">
        <v>45635</v>
      </c>
      <c r="D480" t="inlineStr">
        <is>
          <t>JÄMTLANDS LÄN</t>
        </is>
      </c>
      <c r="E480" t="inlineStr">
        <is>
          <t>ÖSTERSUND</t>
        </is>
      </c>
      <c r="F480" t="inlineStr">
        <is>
          <t>Övriga Aktiebolag</t>
        </is>
      </c>
      <c r="G480" t="n">
        <v>2.9</v>
      </c>
      <c r="H480" t="n">
        <v>0</v>
      </c>
      <c r="I480" t="n">
        <v>0</v>
      </c>
      <c r="J480" t="n">
        <v>0</v>
      </c>
      <c r="K480" t="n">
        <v>0</v>
      </c>
      <c r="L480" t="n">
        <v>0</v>
      </c>
      <c r="M480" t="n">
        <v>0</v>
      </c>
      <c r="N480" t="n">
        <v>0</v>
      </c>
      <c r="O480" t="n">
        <v>0</v>
      </c>
      <c r="P480" t="n">
        <v>0</v>
      </c>
      <c r="Q480" t="n">
        <v>0</v>
      </c>
      <c r="R480" s="2" t="inlineStr"/>
    </row>
    <row r="481" ht="15" customHeight="1">
      <c r="A481" t="inlineStr">
        <is>
          <t>A 44909-2022</t>
        </is>
      </c>
      <c r="B481" s="1" t="n">
        <v>44840</v>
      </c>
      <c r="C481" s="1" t="n">
        <v>45635</v>
      </c>
      <c r="D481" t="inlineStr">
        <is>
          <t>JÄMTLANDS LÄN</t>
        </is>
      </c>
      <c r="E481" t="inlineStr">
        <is>
          <t>ÖSTERSUND</t>
        </is>
      </c>
      <c r="G481" t="n">
        <v>1.5</v>
      </c>
      <c r="H481" t="n">
        <v>0</v>
      </c>
      <c r="I481" t="n">
        <v>0</v>
      </c>
      <c r="J481" t="n">
        <v>0</v>
      </c>
      <c r="K481" t="n">
        <v>0</v>
      </c>
      <c r="L481" t="n">
        <v>0</v>
      </c>
      <c r="M481" t="n">
        <v>0</v>
      </c>
      <c r="N481" t="n">
        <v>0</v>
      </c>
      <c r="O481" t="n">
        <v>0</v>
      </c>
      <c r="P481" t="n">
        <v>0</v>
      </c>
      <c r="Q481" t="n">
        <v>0</v>
      </c>
      <c r="R481" s="2" t="inlineStr"/>
    </row>
    <row r="482" ht="15" customHeight="1">
      <c r="A482" t="inlineStr">
        <is>
          <t>A 45004-2022</t>
        </is>
      </c>
      <c r="B482" s="1" t="n">
        <v>44840</v>
      </c>
      <c r="C482" s="1" t="n">
        <v>45635</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45654-2022</t>
        </is>
      </c>
      <c r="B483" s="1" t="n">
        <v>44845</v>
      </c>
      <c r="C483" s="1" t="n">
        <v>45635</v>
      </c>
      <c r="D483" t="inlineStr">
        <is>
          <t>JÄMTLANDS LÄN</t>
        </is>
      </c>
      <c r="E483" t="inlineStr">
        <is>
          <t>ÖSTERSUND</t>
        </is>
      </c>
      <c r="G483" t="n">
        <v>0.4</v>
      </c>
      <c r="H483" t="n">
        <v>0</v>
      </c>
      <c r="I483" t="n">
        <v>0</v>
      </c>
      <c r="J483" t="n">
        <v>0</v>
      </c>
      <c r="K483" t="n">
        <v>0</v>
      </c>
      <c r="L483" t="n">
        <v>0</v>
      </c>
      <c r="M483" t="n">
        <v>0</v>
      </c>
      <c r="N483" t="n">
        <v>0</v>
      </c>
      <c r="O483" t="n">
        <v>0</v>
      </c>
      <c r="P483" t="n">
        <v>0</v>
      </c>
      <c r="Q483" t="n">
        <v>0</v>
      </c>
      <c r="R483" s="2" t="inlineStr"/>
    </row>
    <row r="484" ht="15" customHeight="1">
      <c r="A484" t="inlineStr">
        <is>
          <t>A 46913-2022</t>
        </is>
      </c>
      <c r="B484" s="1" t="n">
        <v>44851</v>
      </c>
      <c r="C484" s="1" t="n">
        <v>45635</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47296-2022</t>
        </is>
      </c>
      <c r="B485" s="1" t="n">
        <v>44853</v>
      </c>
      <c r="C485" s="1" t="n">
        <v>45635</v>
      </c>
      <c r="D485" t="inlineStr">
        <is>
          <t>JÄMTLANDS LÄN</t>
        </is>
      </c>
      <c r="E485" t="inlineStr">
        <is>
          <t>ÖSTERSUND</t>
        </is>
      </c>
      <c r="G485" t="n">
        <v>0.5</v>
      </c>
      <c r="H485" t="n">
        <v>0</v>
      </c>
      <c r="I485" t="n">
        <v>0</v>
      </c>
      <c r="J485" t="n">
        <v>0</v>
      </c>
      <c r="K485" t="n">
        <v>0</v>
      </c>
      <c r="L485" t="n">
        <v>0</v>
      </c>
      <c r="M485" t="n">
        <v>0</v>
      </c>
      <c r="N485" t="n">
        <v>0</v>
      </c>
      <c r="O485" t="n">
        <v>0</v>
      </c>
      <c r="P485" t="n">
        <v>0</v>
      </c>
      <c r="Q485" t="n">
        <v>0</v>
      </c>
      <c r="R485" s="2" t="inlineStr"/>
    </row>
    <row r="486" ht="15" customHeight="1">
      <c r="A486" t="inlineStr">
        <is>
          <t>A 47294-2022</t>
        </is>
      </c>
      <c r="B486" s="1" t="n">
        <v>44852</v>
      </c>
      <c r="C486" s="1" t="n">
        <v>45635</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47295-2022</t>
        </is>
      </c>
      <c r="B487" s="1" t="n">
        <v>44852</v>
      </c>
      <c r="C487" s="1" t="n">
        <v>45635</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49389-2022</t>
        </is>
      </c>
      <c r="B488" s="1" t="n">
        <v>44861</v>
      </c>
      <c r="C488" s="1" t="n">
        <v>45635</v>
      </c>
      <c r="D488" t="inlineStr">
        <is>
          <t>JÄMTLANDS LÄN</t>
        </is>
      </c>
      <c r="E488" t="inlineStr">
        <is>
          <t>ÖSTERSUND</t>
        </is>
      </c>
      <c r="F488" t="inlineStr">
        <is>
          <t>Övriga Aktiebolag</t>
        </is>
      </c>
      <c r="G488" t="n">
        <v>19.2</v>
      </c>
      <c r="H488" t="n">
        <v>0</v>
      </c>
      <c r="I488" t="n">
        <v>0</v>
      </c>
      <c r="J488" t="n">
        <v>0</v>
      </c>
      <c r="K488" t="n">
        <v>0</v>
      </c>
      <c r="L488" t="n">
        <v>0</v>
      </c>
      <c r="M488" t="n">
        <v>0</v>
      </c>
      <c r="N488" t="n">
        <v>0</v>
      </c>
      <c r="O488" t="n">
        <v>0</v>
      </c>
      <c r="P488" t="n">
        <v>0</v>
      </c>
      <c r="Q488" t="n">
        <v>0</v>
      </c>
      <c r="R488" s="2" t="inlineStr"/>
    </row>
    <row r="489" ht="15" customHeight="1">
      <c r="A489" t="inlineStr">
        <is>
          <t>A 50932-2022</t>
        </is>
      </c>
      <c r="B489" s="1" t="n">
        <v>44867</v>
      </c>
      <c r="C489" s="1" t="n">
        <v>45635</v>
      </c>
      <c r="D489" t="inlineStr">
        <is>
          <t>JÄMTLANDS LÄN</t>
        </is>
      </c>
      <c r="E489" t="inlineStr">
        <is>
          <t>ÖSTERSUND</t>
        </is>
      </c>
      <c r="F489" t="inlineStr">
        <is>
          <t>Övriga Aktiebolag</t>
        </is>
      </c>
      <c r="G489" t="n">
        <v>3.9</v>
      </c>
      <c r="H489" t="n">
        <v>0</v>
      </c>
      <c r="I489" t="n">
        <v>0</v>
      </c>
      <c r="J489" t="n">
        <v>0</v>
      </c>
      <c r="K489" t="n">
        <v>0</v>
      </c>
      <c r="L489" t="n">
        <v>0</v>
      </c>
      <c r="M489" t="n">
        <v>0</v>
      </c>
      <c r="N489" t="n">
        <v>0</v>
      </c>
      <c r="O489" t="n">
        <v>0</v>
      </c>
      <c r="P489" t="n">
        <v>0</v>
      </c>
      <c r="Q489" t="n">
        <v>0</v>
      </c>
      <c r="R489" s="2" t="inlineStr"/>
    </row>
    <row r="490" ht="15" customHeight="1">
      <c r="A490" t="inlineStr">
        <is>
          <t>A 51164-2022</t>
        </is>
      </c>
      <c r="B490" s="1" t="n">
        <v>44868</v>
      </c>
      <c r="C490" s="1" t="n">
        <v>45635</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52155-2022</t>
        </is>
      </c>
      <c r="B491" s="1" t="n">
        <v>44873</v>
      </c>
      <c r="C491" s="1" t="n">
        <v>45635</v>
      </c>
      <c r="D491" t="inlineStr">
        <is>
          <t>JÄMTLANDS LÄN</t>
        </is>
      </c>
      <c r="E491" t="inlineStr">
        <is>
          <t>ÖSTERSUND</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52898-2022</t>
        </is>
      </c>
      <c r="B492" s="1" t="n">
        <v>44875</v>
      </c>
      <c r="C492" s="1" t="n">
        <v>45635</v>
      </c>
      <c r="D492" t="inlineStr">
        <is>
          <t>JÄMTLANDS LÄN</t>
        </is>
      </c>
      <c r="E492" t="inlineStr">
        <is>
          <t>ÖSTERSUND</t>
        </is>
      </c>
      <c r="F492" t="inlineStr">
        <is>
          <t>Övriga Aktiebolag</t>
        </is>
      </c>
      <c r="G492" t="n">
        <v>12.1</v>
      </c>
      <c r="H492" t="n">
        <v>0</v>
      </c>
      <c r="I492" t="n">
        <v>0</v>
      </c>
      <c r="J492" t="n">
        <v>0</v>
      </c>
      <c r="K492" t="n">
        <v>0</v>
      </c>
      <c r="L492" t="n">
        <v>0</v>
      </c>
      <c r="M492" t="n">
        <v>0</v>
      </c>
      <c r="N492" t="n">
        <v>0</v>
      </c>
      <c r="O492" t="n">
        <v>0</v>
      </c>
      <c r="P492" t="n">
        <v>0</v>
      </c>
      <c r="Q492" t="n">
        <v>0</v>
      </c>
      <c r="R492" s="2" t="inlineStr"/>
    </row>
    <row r="493" ht="15" customHeight="1">
      <c r="A493" t="inlineStr">
        <is>
          <t>A 53802-2022</t>
        </is>
      </c>
      <c r="B493" s="1" t="n">
        <v>44875</v>
      </c>
      <c r="C493" s="1" t="n">
        <v>45635</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53764-2022</t>
        </is>
      </c>
      <c r="B494" s="1" t="n">
        <v>44875</v>
      </c>
      <c r="C494" s="1" t="n">
        <v>45635</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53807-2022</t>
        </is>
      </c>
      <c r="B495" s="1" t="n">
        <v>44875</v>
      </c>
      <c r="C495" s="1" t="n">
        <v>45635</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53453-2022</t>
        </is>
      </c>
      <c r="B496" s="1" t="n">
        <v>44879</v>
      </c>
      <c r="C496" s="1" t="n">
        <v>45635</v>
      </c>
      <c r="D496" t="inlineStr">
        <is>
          <t>JÄMTLANDS LÄN</t>
        </is>
      </c>
      <c r="E496" t="inlineStr">
        <is>
          <t>ÖSTERSUND</t>
        </is>
      </c>
      <c r="G496" t="n">
        <v>22.2</v>
      </c>
      <c r="H496" t="n">
        <v>0</v>
      </c>
      <c r="I496" t="n">
        <v>0</v>
      </c>
      <c r="J496" t="n">
        <v>0</v>
      </c>
      <c r="K496" t="n">
        <v>0</v>
      </c>
      <c r="L496" t="n">
        <v>0</v>
      </c>
      <c r="M496" t="n">
        <v>0</v>
      </c>
      <c r="N496" t="n">
        <v>0</v>
      </c>
      <c r="O496" t="n">
        <v>0</v>
      </c>
      <c r="P496" t="n">
        <v>0</v>
      </c>
      <c r="Q496" t="n">
        <v>0</v>
      </c>
      <c r="R496" s="2" t="inlineStr"/>
    </row>
    <row r="497" ht="15" customHeight="1">
      <c r="A497" t="inlineStr">
        <is>
          <t>A 53556-2022</t>
        </is>
      </c>
      <c r="B497" s="1" t="n">
        <v>44879</v>
      </c>
      <c r="C497" s="1" t="n">
        <v>45635</v>
      </c>
      <c r="D497" t="inlineStr">
        <is>
          <t>JÄMTLANDS LÄN</t>
        </is>
      </c>
      <c r="E497" t="inlineStr">
        <is>
          <t>ÖSTERSUND</t>
        </is>
      </c>
      <c r="F497" t="inlineStr">
        <is>
          <t>Övriga Aktiebolag</t>
        </is>
      </c>
      <c r="G497" t="n">
        <v>3.5</v>
      </c>
      <c r="H497" t="n">
        <v>0</v>
      </c>
      <c r="I497" t="n">
        <v>0</v>
      </c>
      <c r="J497" t="n">
        <v>0</v>
      </c>
      <c r="K497" t="n">
        <v>0</v>
      </c>
      <c r="L497" t="n">
        <v>0</v>
      </c>
      <c r="M497" t="n">
        <v>0</v>
      </c>
      <c r="N497" t="n">
        <v>0</v>
      </c>
      <c r="O497" t="n">
        <v>0</v>
      </c>
      <c r="P497" t="n">
        <v>0</v>
      </c>
      <c r="Q497" t="n">
        <v>0</v>
      </c>
      <c r="R497" s="2" t="inlineStr"/>
    </row>
    <row r="498" ht="15" customHeight="1">
      <c r="A498" t="inlineStr">
        <is>
          <t>A 53714-2022</t>
        </is>
      </c>
      <c r="B498" s="1" t="n">
        <v>44880</v>
      </c>
      <c r="C498" s="1" t="n">
        <v>45635</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54712-2022</t>
        </is>
      </c>
      <c r="B499" s="1" t="n">
        <v>44883</v>
      </c>
      <c r="C499" s="1" t="n">
        <v>45635</v>
      </c>
      <c r="D499" t="inlineStr">
        <is>
          <t>JÄMTLANDS LÄN</t>
        </is>
      </c>
      <c r="E499" t="inlineStr">
        <is>
          <t>ÖSTERSUND</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54663-2022</t>
        </is>
      </c>
      <c r="B500" s="1" t="n">
        <v>44883</v>
      </c>
      <c r="C500" s="1" t="n">
        <v>45635</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55102-2022</t>
        </is>
      </c>
      <c r="B501" s="1" t="n">
        <v>44886</v>
      </c>
      <c r="C501" s="1" t="n">
        <v>45635</v>
      </c>
      <c r="D501" t="inlineStr">
        <is>
          <t>JÄMTLANDS LÄN</t>
        </is>
      </c>
      <c r="E501" t="inlineStr">
        <is>
          <t>ÖSTERSUND</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55008-2022</t>
        </is>
      </c>
      <c r="B502" s="1" t="n">
        <v>44886</v>
      </c>
      <c r="C502" s="1" t="n">
        <v>45635</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55105-2022</t>
        </is>
      </c>
      <c r="B503" s="1" t="n">
        <v>44886</v>
      </c>
      <c r="C503" s="1" t="n">
        <v>45635</v>
      </c>
      <c r="D503" t="inlineStr">
        <is>
          <t>JÄMTLANDS LÄN</t>
        </is>
      </c>
      <c r="E503" t="inlineStr">
        <is>
          <t>ÖSTERSUND</t>
        </is>
      </c>
      <c r="F503" t="inlineStr">
        <is>
          <t>Övriga Aktiebolag</t>
        </is>
      </c>
      <c r="G503" t="n">
        <v>2.4</v>
      </c>
      <c r="H503" t="n">
        <v>0</v>
      </c>
      <c r="I503" t="n">
        <v>0</v>
      </c>
      <c r="J503" t="n">
        <v>0</v>
      </c>
      <c r="K503" t="n">
        <v>0</v>
      </c>
      <c r="L503" t="n">
        <v>0</v>
      </c>
      <c r="M503" t="n">
        <v>0</v>
      </c>
      <c r="N503" t="n">
        <v>0</v>
      </c>
      <c r="O503" t="n">
        <v>0</v>
      </c>
      <c r="P503" t="n">
        <v>0</v>
      </c>
      <c r="Q503" t="n">
        <v>0</v>
      </c>
      <c r="R503" s="2" t="inlineStr"/>
      <c r="U503">
        <f>HYPERLINK("https://klasma.github.io/Logging_2380/knärot/A 55105-2022 karta knärot.png", "A 55105-2022")</f>
        <v/>
      </c>
      <c r="V503">
        <f>HYPERLINK("https://klasma.github.io/Logging_2380/klagomål/A 55105-2022 FSC-klagomål.docx", "A 55105-2022")</f>
        <v/>
      </c>
      <c r="W503">
        <f>HYPERLINK("https://klasma.github.io/Logging_2380/klagomålsmail/A 55105-2022 FSC-klagomål mail.docx", "A 55105-2022")</f>
        <v/>
      </c>
      <c r="X503">
        <f>HYPERLINK("https://klasma.github.io/Logging_2380/tillsyn/A 55105-2022 tillsynsbegäran.docx", "A 55105-2022")</f>
        <v/>
      </c>
      <c r="Y503">
        <f>HYPERLINK("https://klasma.github.io/Logging_2380/tillsynsmail/A 55105-2022 tillsynsbegäran mail.docx", "A 55105-2022")</f>
        <v/>
      </c>
    </row>
    <row r="504" ht="15" customHeight="1">
      <c r="A504" t="inlineStr">
        <is>
          <t>A 55371-2022</t>
        </is>
      </c>
      <c r="B504" s="1" t="n">
        <v>44887</v>
      </c>
      <c r="C504" s="1" t="n">
        <v>45635</v>
      </c>
      <c r="D504" t="inlineStr">
        <is>
          <t>JÄMTLANDS LÄN</t>
        </is>
      </c>
      <c r="E504" t="inlineStr">
        <is>
          <t>ÖSTERSUND</t>
        </is>
      </c>
      <c r="F504" t="inlineStr">
        <is>
          <t>Övriga Aktiebolag</t>
        </is>
      </c>
      <c r="G504" t="n">
        <v>15.4</v>
      </c>
      <c r="H504" t="n">
        <v>0</v>
      </c>
      <c r="I504" t="n">
        <v>0</v>
      </c>
      <c r="J504" t="n">
        <v>0</v>
      </c>
      <c r="K504" t="n">
        <v>0</v>
      </c>
      <c r="L504" t="n">
        <v>0</v>
      </c>
      <c r="M504" t="n">
        <v>0</v>
      </c>
      <c r="N504" t="n">
        <v>0</v>
      </c>
      <c r="O504" t="n">
        <v>0</v>
      </c>
      <c r="P504" t="n">
        <v>0</v>
      </c>
      <c r="Q504" t="n">
        <v>0</v>
      </c>
      <c r="R504" s="2" t="inlineStr"/>
    </row>
    <row r="505" ht="15" customHeight="1">
      <c r="A505" t="inlineStr">
        <is>
          <t>A 55448-2022</t>
        </is>
      </c>
      <c r="B505" s="1" t="n">
        <v>44887</v>
      </c>
      <c r="C505" s="1" t="n">
        <v>45635</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56067-2022</t>
        </is>
      </c>
      <c r="B506" s="1" t="n">
        <v>44889</v>
      </c>
      <c r="C506" s="1" t="n">
        <v>45635</v>
      </c>
      <c r="D506" t="inlineStr">
        <is>
          <t>JÄMTLANDS LÄN</t>
        </is>
      </c>
      <c r="E506" t="inlineStr">
        <is>
          <t>ÖSTERSUND</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56148-2022</t>
        </is>
      </c>
      <c r="B507" s="1" t="n">
        <v>44889</v>
      </c>
      <c r="C507" s="1" t="n">
        <v>45635</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56111-2022</t>
        </is>
      </c>
      <c r="B508" s="1" t="n">
        <v>44889</v>
      </c>
      <c r="C508" s="1" t="n">
        <v>45635</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57009-2022</t>
        </is>
      </c>
      <c r="B509" s="1" t="n">
        <v>44894</v>
      </c>
      <c r="C509" s="1" t="n">
        <v>45635</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59266-2022</t>
        </is>
      </c>
      <c r="B510" s="1" t="n">
        <v>44904</v>
      </c>
      <c r="C510" s="1" t="n">
        <v>45635</v>
      </c>
      <c r="D510" t="inlineStr">
        <is>
          <t>JÄMTLANDS LÄN</t>
        </is>
      </c>
      <c r="E510" t="inlineStr">
        <is>
          <t>ÖSTERSUND</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59648-2022</t>
        </is>
      </c>
      <c r="B511" s="1" t="n">
        <v>44907</v>
      </c>
      <c r="C511" s="1" t="n">
        <v>45635</v>
      </c>
      <c r="D511" t="inlineStr">
        <is>
          <t>JÄMTLANDS LÄN</t>
        </is>
      </c>
      <c r="E511" t="inlineStr">
        <is>
          <t>ÖSTERSUND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59649-2022</t>
        </is>
      </c>
      <c r="B512" s="1" t="n">
        <v>44908</v>
      </c>
      <c r="C512" s="1" t="n">
        <v>45635</v>
      </c>
      <c r="D512" t="inlineStr">
        <is>
          <t>JÄMTLANDS LÄN</t>
        </is>
      </c>
      <c r="E512" t="inlineStr">
        <is>
          <t>ÖSTERSUND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60174-2022</t>
        </is>
      </c>
      <c r="B513" s="1" t="n">
        <v>44910</v>
      </c>
      <c r="C513" s="1" t="n">
        <v>45635</v>
      </c>
      <c r="D513" t="inlineStr">
        <is>
          <t>JÄMTLANDS LÄN</t>
        </is>
      </c>
      <c r="E513" t="inlineStr">
        <is>
          <t>ÖSTERSUND</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61256-2022</t>
        </is>
      </c>
      <c r="B514" s="1" t="n">
        <v>44909</v>
      </c>
      <c r="C514" s="1" t="n">
        <v>45635</v>
      </c>
      <c r="D514" t="inlineStr">
        <is>
          <t>JÄMTLANDS LÄN</t>
        </is>
      </c>
      <c r="E514" t="inlineStr">
        <is>
          <t>ÖSTERSUND</t>
        </is>
      </c>
      <c r="G514" t="n">
        <v>3.9</v>
      </c>
      <c r="H514" t="n">
        <v>0</v>
      </c>
      <c r="I514" t="n">
        <v>0</v>
      </c>
      <c r="J514" t="n">
        <v>0</v>
      </c>
      <c r="K514" t="n">
        <v>0</v>
      </c>
      <c r="L514" t="n">
        <v>0</v>
      </c>
      <c r="M514" t="n">
        <v>0</v>
      </c>
      <c r="N514" t="n">
        <v>0</v>
      </c>
      <c r="O514" t="n">
        <v>0</v>
      </c>
      <c r="P514" t="n">
        <v>0</v>
      </c>
      <c r="Q514" t="n">
        <v>0</v>
      </c>
      <c r="R514" s="2" t="inlineStr"/>
    </row>
    <row r="515" ht="15" customHeight="1">
      <c r="A515" t="inlineStr">
        <is>
          <t>A 60430-2022</t>
        </is>
      </c>
      <c r="B515" s="1" t="n">
        <v>44911</v>
      </c>
      <c r="C515" s="1" t="n">
        <v>45635</v>
      </c>
      <c r="D515" t="inlineStr">
        <is>
          <t>JÄMTLANDS LÄN</t>
        </is>
      </c>
      <c r="E515" t="inlineStr">
        <is>
          <t>ÖSTERSUND</t>
        </is>
      </c>
      <c r="F515" t="inlineStr">
        <is>
          <t>Övriga Aktiebolag</t>
        </is>
      </c>
      <c r="G515" t="n">
        <v>24.2</v>
      </c>
      <c r="H515" t="n">
        <v>0</v>
      </c>
      <c r="I515" t="n">
        <v>0</v>
      </c>
      <c r="J515" t="n">
        <v>0</v>
      </c>
      <c r="K515" t="n">
        <v>0</v>
      </c>
      <c r="L515" t="n">
        <v>0</v>
      </c>
      <c r="M515" t="n">
        <v>0</v>
      </c>
      <c r="N515" t="n">
        <v>0</v>
      </c>
      <c r="O515" t="n">
        <v>0</v>
      </c>
      <c r="P515" t="n">
        <v>0</v>
      </c>
      <c r="Q515" t="n">
        <v>0</v>
      </c>
      <c r="R515" s="2" t="inlineStr"/>
    </row>
    <row r="516" ht="15" customHeight="1">
      <c r="A516" t="inlineStr">
        <is>
          <t>A 60575-2022</t>
        </is>
      </c>
      <c r="B516" s="1" t="n">
        <v>44911</v>
      </c>
      <c r="C516" s="1" t="n">
        <v>45635</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60674-2022</t>
        </is>
      </c>
      <c r="B517" s="1" t="n">
        <v>44911</v>
      </c>
      <c r="C517" s="1" t="n">
        <v>45635</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60677-2022</t>
        </is>
      </c>
      <c r="B518" s="1" t="n">
        <v>44911</v>
      </c>
      <c r="C518" s="1" t="n">
        <v>45635</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60681-2022</t>
        </is>
      </c>
      <c r="B519" s="1" t="n">
        <v>44911</v>
      </c>
      <c r="C519" s="1" t="n">
        <v>45635</v>
      </c>
      <c r="D519" t="inlineStr">
        <is>
          <t>JÄMTLANDS LÄN</t>
        </is>
      </c>
      <c r="E519" t="inlineStr">
        <is>
          <t>ÖSTERSUND</t>
        </is>
      </c>
      <c r="G519" t="n">
        <v>0.7</v>
      </c>
      <c r="H519" t="n">
        <v>0</v>
      </c>
      <c r="I519" t="n">
        <v>0</v>
      </c>
      <c r="J519" t="n">
        <v>0</v>
      </c>
      <c r="K519" t="n">
        <v>0</v>
      </c>
      <c r="L519" t="n">
        <v>0</v>
      </c>
      <c r="M519" t="n">
        <v>0</v>
      </c>
      <c r="N519" t="n">
        <v>0</v>
      </c>
      <c r="O519" t="n">
        <v>0</v>
      </c>
      <c r="P519" t="n">
        <v>0</v>
      </c>
      <c r="Q519" t="n">
        <v>0</v>
      </c>
      <c r="R519" s="2" t="inlineStr"/>
    </row>
    <row r="520" ht="15" customHeight="1">
      <c r="A520" t="inlineStr">
        <is>
          <t>A 60678-2022</t>
        </is>
      </c>
      <c r="B520" s="1" t="n">
        <v>44911</v>
      </c>
      <c r="C520" s="1" t="n">
        <v>45635</v>
      </c>
      <c r="D520" t="inlineStr">
        <is>
          <t>JÄMTLANDS LÄN</t>
        </is>
      </c>
      <c r="E520" t="inlineStr">
        <is>
          <t>ÖSTERSUND</t>
        </is>
      </c>
      <c r="G520" t="n">
        <v>4.1</v>
      </c>
      <c r="H520" t="n">
        <v>0</v>
      </c>
      <c r="I520" t="n">
        <v>0</v>
      </c>
      <c r="J520" t="n">
        <v>0</v>
      </c>
      <c r="K520" t="n">
        <v>0</v>
      </c>
      <c r="L520" t="n">
        <v>0</v>
      </c>
      <c r="M520" t="n">
        <v>0</v>
      </c>
      <c r="N520" t="n">
        <v>0</v>
      </c>
      <c r="O520" t="n">
        <v>0</v>
      </c>
      <c r="P520" t="n">
        <v>0</v>
      </c>
      <c r="Q520" t="n">
        <v>0</v>
      </c>
      <c r="R520" s="2" t="inlineStr"/>
    </row>
    <row r="521" ht="15" customHeight="1">
      <c r="A521" t="inlineStr">
        <is>
          <t>A 60560-2022</t>
        </is>
      </c>
      <c r="B521" s="1" t="n">
        <v>44911</v>
      </c>
      <c r="C521" s="1" t="n">
        <v>45635</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60676-2022</t>
        </is>
      </c>
      <c r="B522" s="1" t="n">
        <v>44911</v>
      </c>
      <c r="C522" s="1" t="n">
        <v>45635</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60680-2022</t>
        </is>
      </c>
      <c r="B523" s="1" t="n">
        <v>44911</v>
      </c>
      <c r="C523" s="1" t="n">
        <v>45635</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60623-2022</t>
        </is>
      </c>
      <c r="B524" s="1" t="n">
        <v>44911</v>
      </c>
      <c r="C524" s="1" t="n">
        <v>45635</v>
      </c>
      <c r="D524" t="inlineStr">
        <is>
          <t>JÄMTLANDS LÄN</t>
        </is>
      </c>
      <c r="E524" t="inlineStr">
        <is>
          <t>ÖSTERSUND</t>
        </is>
      </c>
      <c r="G524" t="n">
        <v>10.9</v>
      </c>
      <c r="H524" t="n">
        <v>0</v>
      </c>
      <c r="I524" t="n">
        <v>0</v>
      </c>
      <c r="J524" t="n">
        <v>0</v>
      </c>
      <c r="K524" t="n">
        <v>0</v>
      </c>
      <c r="L524" t="n">
        <v>0</v>
      </c>
      <c r="M524" t="n">
        <v>0</v>
      </c>
      <c r="N524" t="n">
        <v>0</v>
      </c>
      <c r="O524" t="n">
        <v>0</v>
      </c>
      <c r="P524" t="n">
        <v>0</v>
      </c>
      <c r="Q524" t="n">
        <v>0</v>
      </c>
      <c r="R524" s="2" t="inlineStr"/>
    </row>
    <row r="525" ht="15" customHeight="1">
      <c r="A525" t="inlineStr">
        <is>
          <t>A 60675-2022</t>
        </is>
      </c>
      <c r="B525" s="1" t="n">
        <v>44911</v>
      </c>
      <c r="C525" s="1" t="n">
        <v>45635</v>
      </c>
      <c r="D525" t="inlineStr">
        <is>
          <t>JÄMTLANDS LÄN</t>
        </is>
      </c>
      <c r="E525" t="inlineStr">
        <is>
          <t>ÖSTERSUND</t>
        </is>
      </c>
      <c r="G525" t="n">
        <v>4.3</v>
      </c>
      <c r="H525" t="n">
        <v>0</v>
      </c>
      <c r="I525" t="n">
        <v>0</v>
      </c>
      <c r="J525" t="n">
        <v>0</v>
      </c>
      <c r="K525" t="n">
        <v>0</v>
      </c>
      <c r="L525" t="n">
        <v>0</v>
      </c>
      <c r="M525" t="n">
        <v>0</v>
      </c>
      <c r="N525" t="n">
        <v>0</v>
      </c>
      <c r="O525" t="n">
        <v>0</v>
      </c>
      <c r="P525" t="n">
        <v>0</v>
      </c>
      <c r="Q525" t="n">
        <v>0</v>
      </c>
      <c r="R525" s="2" t="inlineStr"/>
    </row>
    <row r="526" ht="15" customHeight="1">
      <c r="A526" t="inlineStr">
        <is>
          <t>A 60679-2022</t>
        </is>
      </c>
      <c r="B526" s="1" t="n">
        <v>44911</v>
      </c>
      <c r="C526" s="1" t="n">
        <v>45635</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60767-2022</t>
        </is>
      </c>
      <c r="B527" s="1" t="n">
        <v>44914</v>
      </c>
      <c r="C527" s="1" t="n">
        <v>45635</v>
      </c>
      <c r="D527" t="inlineStr">
        <is>
          <t>JÄMTLANDS LÄN</t>
        </is>
      </c>
      <c r="E527" t="inlineStr">
        <is>
          <t>ÖSTERSUND</t>
        </is>
      </c>
      <c r="G527" t="n">
        <v>1.6</v>
      </c>
      <c r="H527" t="n">
        <v>0</v>
      </c>
      <c r="I527" t="n">
        <v>0</v>
      </c>
      <c r="J527" t="n">
        <v>0</v>
      </c>
      <c r="K527" t="n">
        <v>0</v>
      </c>
      <c r="L527" t="n">
        <v>0</v>
      </c>
      <c r="M527" t="n">
        <v>0</v>
      </c>
      <c r="N527" t="n">
        <v>0</v>
      </c>
      <c r="O527" t="n">
        <v>0</v>
      </c>
      <c r="P527" t="n">
        <v>0</v>
      </c>
      <c r="Q527" t="n">
        <v>0</v>
      </c>
      <c r="R527" s="2" t="inlineStr"/>
    </row>
    <row r="528" ht="15" customHeight="1">
      <c r="A528" t="inlineStr">
        <is>
          <t>A 61653-2022</t>
        </is>
      </c>
      <c r="B528" s="1" t="n">
        <v>44916</v>
      </c>
      <c r="C528" s="1" t="n">
        <v>45635</v>
      </c>
      <c r="D528" t="inlineStr">
        <is>
          <t>JÄMTLANDS LÄN</t>
        </is>
      </c>
      <c r="E528" t="inlineStr">
        <is>
          <t>ÖSTERSUND</t>
        </is>
      </c>
      <c r="G528" t="n">
        <v>7.6</v>
      </c>
      <c r="H528" t="n">
        <v>0</v>
      </c>
      <c r="I528" t="n">
        <v>0</v>
      </c>
      <c r="J528" t="n">
        <v>0</v>
      </c>
      <c r="K528" t="n">
        <v>0</v>
      </c>
      <c r="L528" t="n">
        <v>0</v>
      </c>
      <c r="M528" t="n">
        <v>0</v>
      </c>
      <c r="N528" t="n">
        <v>0</v>
      </c>
      <c r="O528" t="n">
        <v>0</v>
      </c>
      <c r="P528" t="n">
        <v>0</v>
      </c>
      <c r="Q528" t="n">
        <v>0</v>
      </c>
      <c r="R528" s="2" t="inlineStr"/>
    </row>
    <row r="529" ht="15" customHeight="1">
      <c r="A529" t="inlineStr">
        <is>
          <t>A 62040-2022</t>
        </is>
      </c>
      <c r="B529" s="1" t="n">
        <v>44918</v>
      </c>
      <c r="C529" s="1" t="n">
        <v>45635</v>
      </c>
      <c r="D529" t="inlineStr">
        <is>
          <t>JÄMTLANDS LÄN</t>
        </is>
      </c>
      <c r="E529" t="inlineStr">
        <is>
          <t>ÖSTERSUND</t>
        </is>
      </c>
      <c r="G529" t="n">
        <v>2.6</v>
      </c>
      <c r="H529" t="n">
        <v>0</v>
      </c>
      <c r="I529" t="n">
        <v>0</v>
      </c>
      <c r="J529" t="n">
        <v>0</v>
      </c>
      <c r="K529" t="n">
        <v>0</v>
      </c>
      <c r="L529" t="n">
        <v>0</v>
      </c>
      <c r="M529" t="n">
        <v>0</v>
      </c>
      <c r="N529" t="n">
        <v>0</v>
      </c>
      <c r="O529" t="n">
        <v>0</v>
      </c>
      <c r="P529" t="n">
        <v>0</v>
      </c>
      <c r="Q529" t="n">
        <v>0</v>
      </c>
      <c r="R529" s="2" t="inlineStr"/>
    </row>
    <row r="530" ht="15" customHeight="1">
      <c r="A530" t="inlineStr">
        <is>
          <t>A 62043-2022</t>
        </is>
      </c>
      <c r="B530" s="1" t="n">
        <v>44918</v>
      </c>
      <c r="C530" s="1" t="n">
        <v>45635</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62227-2022</t>
        </is>
      </c>
      <c r="B531" s="1" t="n">
        <v>44922</v>
      </c>
      <c r="C531" s="1" t="n">
        <v>45635</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62225-2022</t>
        </is>
      </c>
      <c r="B532" s="1" t="n">
        <v>44922</v>
      </c>
      <c r="C532" s="1" t="n">
        <v>45635</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62222-2022</t>
        </is>
      </c>
      <c r="B533" s="1" t="n">
        <v>44922</v>
      </c>
      <c r="C533" s="1" t="n">
        <v>45635</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296-2023</t>
        </is>
      </c>
      <c r="B534" s="1" t="n">
        <v>44922</v>
      </c>
      <c r="C534" s="1" t="n">
        <v>45635</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12-2023</t>
        </is>
      </c>
      <c r="B535" s="1" t="n">
        <v>44927</v>
      </c>
      <c r="C535" s="1" t="n">
        <v>45635</v>
      </c>
      <c r="D535" t="inlineStr">
        <is>
          <t>JÄMTLANDS LÄN</t>
        </is>
      </c>
      <c r="E535" t="inlineStr">
        <is>
          <t>ÖSTERSUND</t>
        </is>
      </c>
      <c r="G535" t="n">
        <v>4.7</v>
      </c>
      <c r="H535" t="n">
        <v>0</v>
      </c>
      <c r="I535" t="n">
        <v>0</v>
      </c>
      <c r="J535" t="n">
        <v>0</v>
      </c>
      <c r="K535" t="n">
        <v>0</v>
      </c>
      <c r="L535" t="n">
        <v>0</v>
      </c>
      <c r="M535" t="n">
        <v>0</v>
      </c>
      <c r="N535" t="n">
        <v>0</v>
      </c>
      <c r="O535" t="n">
        <v>0</v>
      </c>
      <c r="P535" t="n">
        <v>0</v>
      </c>
      <c r="Q535" t="n">
        <v>0</v>
      </c>
      <c r="R535" s="2" t="inlineStr"/>
    </row>
    <row r="536" ht="15" customHeight="1">
      <c r="A536" t="inlineStr">
        <is>
          <t>A 257-2023</t>
        </is>
      </c>
      <c r="B536" s="1" t="n">
        <v>44928</v>
      </c>
      <c r="C536" s="1" t="n">
        <v>45635</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55-2023</t>
        </is>
      </c>
      <c r="B537" s="1" t="n">
        <v>44928</v>
      </c>
      <c r="C537" s="1" t="n">
        <v>45635</v>
      </c>
      <c r="D537" t="inlineStr">
        <is>
          <t>JÄMTLANDS LÄN</t>
        </is>
      </c>
      <c r="E537" t="inlineStr">
        <is>
          <t>ÖSTERSUND</t>
        </is>
      </c>
      <c r="G537" t="n">
        <v>4</v>
      </c>
      <c r="H537" t="n">
        <v>0</v>
      </c>
      <c r="I537" t="n">
        <v>0</v>
      </c>
      <c r="J537" t="n">
        <v>0</v>
      </c>
      <c r="K537" t="n">
        <v>0</v>
      </c>
      <c r="L537" t="n">
        <v>0</v>
      </c>
      <c r="M537" t="n">
        <v>0</v>
      </c>
      <c r="N537" t="n">
        <v>0</v>
      </c>
      <c r="O537" t="n">
        <v>0</v>
      </c>
      <c r="P537" t="n">
        <v>0</v>
      </c>
      <c r="Q537" t="n">
        <v>0</v>
      </c>
      <c r="R537" s="2" t="inlineStr"/>
    </row>
    <row r="538" ht="15" customHeight="1">
      <c r="A538" t="inlineStr">
        <is>
          <t>A 1234-2023</t>
        </is>
      </c>
      <c r="B538" s="1" t="n">
        <v>44936</v>
      </c>
      <c r="C538" s="1" t="n">
        <v>45635</v>
      </c>
      <c r="D538" t="inlineStr">
        <is>
          <t>JÄMTLANDS LÄN</t>
        </is>
      </c>
      <c r="E538" t="inlineStr">
        <is>
          <t>ÖSTERSUND</t>
        </is>
      </c>
      <c r="G538" t="n">
        <v>2.3</v>
      </c>
      <c r="H538" t="n">
        <v>0</v>
      </c>
      <c r="I538" t="n">
        <v>0</v>
      </c>
      <c r="J538" t="n">
        <v>0</v>
      </c>
      <c r="K538" t="n">
        <v>0</v>
      </c>
      <c r="L538" t="n">
        <v>0</v>
      </c>
      <c r="M538" t="n">
        <v>0</v>
      </c>
      <c r="N538" t="n">
        <v>0</v>
      </c>
      <c r="O538" t="n">
        <v>0</v>
      </c>
      <c r="P538" t="n">
        <v>0</v>
      </c>
      <c r="Q538" t="n">
        <v>0</v>
      </c>
      <c r="R538" s="2" t="inlineStr"/>
    </row>
    <row r="539" ht="15" customHeight="1">
      <c r="A539" t="inlineStr">
        <is>
          <t>A 1893-2023</t>
        </is>
      </c>
      <c r="B539" s="1" t="n">
        <v>44937</v>
      </c>
      <c r="C539" s="1" t="n">
        <v>45635</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2420-2023</t>
        </is>
      </c>
      <c r="B540" s="1" t="n">
        <v>44943</v>
      </c>
      <c r="C540" s="1" t="n">
        <v>45635</v>
      </c>
      <c r="D540" t="inlineStr">
        <is>
          <t>JÄMTLANDS LÄN</t>
        </is>
      </c>
      <c r="E540" t="inlineStr">
        <is>
          <t>ÖSTERSUND</t>
        </is>
      </c>
      <c r="G540" t="n">
        <v>0.9</v>
      </c>
      <c r="H540" t="n">
        <v>0</v>
      </c>
      <c r="I540" t="n">
        <v>0</v>
      </c>
      <c r="J540" t="n">
        <v>0</v>
      </c>
      <c r="K540" t="n">
        <v>0</v>
      </c>
      <c r="L540" t="n">
        <v>0</v>
      </c>
      <c r="M540" t="n">
        <v>0</v>
      </c>
      <c r="N540" t="n">
        <v>0</v>
      </c>
      <c r="O540" t="n">
        <v>0</v>
      </c>
      <c r="P540" t="n">
        <v>0</v>
      </c>
      <c r="Q540" t="n">
        <v>0</v>
      </c>
      <c r="R540" s="2" t="inlineStr"/>
    </row>
    <row r="541" ht="15" customHeight="1">
      <c r="A541" t="inlineStr">
        <is>
          <t>A 3339-2023</t>
        </is>
      </c>
      <c r="B541" s="1" t="n">
        <v>44949</v>
      </c>
      <c r="C541" s="1" t="n">
        <v>45635</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3749-2023</t>
        </is>
      </c>
      <c r="B542" s="1" t="n">
        <v>44949</v>
      </c>
      <c r="C542" s="1" t="n">
        <v>45635</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3949-2023</t>
        </is>
      </c>
      <c r="B543" s="1" t="n">
        <v>44950</v>
      </c>
      <c r="C543" s="1" t="n">
        <v>45635</v>
      </c>
      <c r="D543" t="inlineStr">
        <is>
          <t>JÄMTLANDS LÄN</t>
        </is>
      </c>
      <c r="E543" t="inlineStr">
        <is>
          <t>ÖSTERSUND</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4134-2023</t>
        </is>
      </c>
      <c r="B544" s="1" t="n">
        <v>44952</v>
      </c>
      <c r="C544" s="1" t="n">
        <v>45635</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4135-2023</t>
        </is>
      </c>
      <c r="B545" s="1" t="n">
        <v>44952</v>
      </c>
      <c r="C545" s="1" t="n">
        <v>45635</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4136-2023</t>
        </is>
      </c>
      <c r="B546" s="1" t="n">
        <v>44952</v>
      </c>
      <c r="C546" s="1" t="n">
        <v>45635</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4345-2023</t>
        </is>
      </c>
      <c r="B547" s="1" t="n">
        <v>44954</v>
      </c>
      <c r="C547" s="1" t="n">
        <v>45635</v>
      </c>
      <c r="D547" t="inlineStr">
        <is>
          <t>JÄMTLANDS LÄN</t>
        </is>
      </c>
      <c r="E547" t="inlineStr">
        <is>
          <t>ÖSTERSUND</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5197-2023</t>
        </is>
      </c>
      <c r="B548" s="1" t="n">
        <v>44953</v>
      </c>
      <c r="C548" s="1" t="n">
        <v>45635</v>
      </c>
      <c r="D548" t="inlineStr">
        <is>
          <t>JÄMTLANDS LÄN</t>
        </is>
      </c>
      <c r="E548" t="inlineStr">
        <is>
          <t>ÖSTERSUND</t>
        </is>
      </c>
      <c r="G548" t="n">
        <v>1.5</v>
      </c>
      <c r="H548" t="n">
        <v>0</v>
      </c>
      <c r="I548" t="n">
        <v>0</v>
      </c>
      <c r="J548" t="n">
        <v>0</v>
      </c>
      <c r="K548" t="n">
        <v>0</v>
      </c>
      <c r="L548" t="n">
        <v>0</v>
      </c>
      <c r="M548" t="n">
        <v>0</v>
      </c>
      <c r="N548" t="n">
        <v>0</v>
      </c>
      <c r="O548" t="n">
        <v>0</v>
      </c>
      <c r="P548" t="n">
        <v>0</v>
      </c>
      <c r="Q548" t="n">
        <v>0</v>
      </c>
      <c r="R548" s="2" t="inlineStr"/>
    </row>
    <row r="549" ht="15" customHeight="1">
      <c r="A549" t="inlineStr">
        <is>
          <t>A 4872-2023</t>
        </is>
      </c>
      <c r="B549" s="1" t="n">
        <v>44957</v>
      </c>
      <c r="C549" s="1" t="n">
        <v>45635</v>
      </c>
      <c r="D549" t="inlineStr">
        <is>
          <t>JÄMTLANDS LÄN</t>
        </is>
      </c>
      <c r="E549" t="inlineStr">
        <is>
          <t>ÖSTERSUND</t>
        </is>
      </c>
      <c r="G549" t="n">
        <v>10.7</v>
      </c>
      <c r="H549" t="n">
        <v>0</v>
      </c>
      <c r="I549" t="n">
        <v>0</v>
      </c>
      <c r="J549" t="n">
        <v>0</v>
      </c>
      <c r="K549" t="n">
        <v>0</v>
      </c>
      <c r="L549" t="n">
        <v>0</v>
      </c>
      <c r="M549" t="n">
        <v>0</v>
      </c>
      <c r="N549" t="n">
        <v>0</v>
      </c>
      <c r="O549" t="n">
        <v>0</v>
      </c>
      <c r="P549" t="n">
        <v>0</v>
      </c>
      <c r="Q549" t="n">
        <v>0</v>
      </c>
      <c r="R549" s="2" t="inlineStr"/>
    </row>
    <row r="550" ht="15" customHeight="1">
      <c r="A550" t="inlineStr">
        <is>
          <t>A 5951-2023</t>
        </is>
      </c>
      <c r="B550" s="1" t="n">
        <v>44963</v>
      </c>
      <c r="C550" s="1" t="n">
        <v>45635</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5950-2023</t>
        </is>
      </c>
      <c r="B551" s="1" t="n">
        <v>44963</v>
      </c>
      <c r="C551" s="1" t="n">
        <v>45635</v>
      </c>
      <c r="D551" t="inlineStr">
        <is>
          <t>JÄMTLANDS LÄN</t>
        </is>
      </c>
      <c r="E551" t="inlineStr">
        <is>
          <t>ÖSTERSUND</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6341-2023</t>
        </is>
      </c>
      <c r="B552" s="1" t="n">
        <v>44965</v>
      </c>
      <c r="C552" s="1" t="n">
        <v>45635</v>
      </c>
      <c r="D552" t="inlineStr">
        <is>
          <t>JÄMTLANDS LÄN</t>
        </is>
      </c>
      <c r="E552" t="inlineStr">
        <is>
          <t>ÖSTERSUND</t>
        </is>
      </c>
      <c r="G552" t="n">
        <v>6</v>
      </c>
      <c r="H552" t="n">
        <v>0</v>
      </c>
      <c r="I552" t="n">
        <v>0</v>
      </c>
      <c r="J552" t="n">
        <v>0</v>
      </c>
      <c r="K552" t="n">
        <v>0</v>
      </c>
      <c r="L552" t="n">
        <v>0</v>
      </c>
      <c r="M552" t="n">
        <v>0</v>
      </c>
      <c r="N552" t="n">
        <v>0</v>
      </c>
      <c r="O552" t="n">
        <v>0</v>
      </c>
      <c r="P552" t="n">
        <v>0</v>
      </c>
      <c r="Q552" t="n">
        <v>0</v>
      </c>
      <c r="R552" s="2" t="inlineStr"/>
    </row>
    <row r="553" ht="15" customHeight="1">
      <c r="A553" t="inlineStr">
        <is>
          <t>A 7327-2023</t>
        </is>
      </c>
      <c r="B553" s="1" t="n">
        <v>44971</v>
      </c>
      <c r="C553" s="1" t="n">
        <v>45635</v>
      </c>
      <c r="D553" t="inlineStr">
        <is>
          <t>JÄMTLANDS LÄN</t>
        </is>
      </c>
      <c r="E553" t="inlineStr">
        <is>
          <t>ÖSTERSUND</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7983-2023</t>
        </is>
      </c>
      <c r="B554" s="1" t="n">
        <v>44970</v>
      </c>
      <c r="C554" s="1" t="n">
        <v>45635</v>
      </c>
      <c r="D554" t="inlineStr">
        <is>
          <t>JÄMTLANDS LÄN</t>
        </is>
      </c>
      <c r="E554" t="inlineStr">
        <is>
          <t>ÖSTERSUND</t>
        </is>
      </c>
      <c r="G554" t="n">
        <v>1.8</v>
      </c>
      <c r="H554" t="n">
        <v>0</v>
      </c>
      <c r="I554" t="n">
        <v>0</v>
      </c>
      <c r="J554" t="n">
        <v>0</v>
      </c>
      <c r="K554" t="n">
        <v>0</v>
      </c>
      <c r="L554" t="n">
        <v>0</v>
      </c>
      <c r="M554" t="n">
        <v>0</v>
      </c>
      <c r="N554" t="n">
        <v>0</v>
      </c>
      <c r="O554" t="n">
        <v>0</v>
      </c>
      <c r="P554" t="n">
        <v>0</v>
      </c>
      <c r="Q554" t="n">
        <v>0</v>
      </c>
      <c r="R554" s="2" t="inlineStr"/>
    </row>
    <row r="555" ht="15" customHeight="1">
      <c r="A555" t="inlineStr">
        <is>
          <t>A 8223-2023</t>
        </is>
      </c>
      <c r="B555" s="1" t="n">
        <v>44971</v>
      </c>
      <c r="C555" s="1" t="n">
        <v>45635</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8423-2023</t>
        </is>
      </c>
      <c r="B556" s="1" t="n">
        <v>44977</v>
      </c>
      <c r="C556" s="1" t="n">
        <v>45635</v>
      </c>
      <c r="D556" t="inlineStr">
        <is>
          <t>JÄMTLANDS LÄN</t>
        </is>
      </c>
      <c r="E556" t="inlineStr">
        <is>
          <t>ÖSTERSUND</t>
        </is>
      </c>
      <c r="F556" t="inlineStr">
        <is>
          <t>Övriga Aktiebolag</t>
        </is>
      </c>
      <c r="G556" t="n">
        <v>53.1</v>
      </c>
      <c r="H556" t="n">
        <v>0</v>
      </c>
      <c r="I556" t="n">
        <v>0</v>
      </c>
      <c r="J556" t="n">
        <v>0</v>
      </c>
      <c r="K556" t="n">
        <v>0</v>
      </c>
      <c r="L556" t="n">
        <v>0</v>
      </c>
      <c r="M556" t="n">
        <v>0</v>
      </c>
      <c r="N556" t="n">
        <v>0</v>
      </c>
      <c r="O556" t="n">
        <v>0</v>
      </c>
      <c r="P556" t="n">
        <v>0</v>
      </c>
      <c r="Q556" t="n">
        <v>0</v>
      </c>
      <c r="R556" s="2" t="inlineStr"/>
    </row>
    <row r="557" ht="15" customHeight="1">
      <c r="A557" t="inlineStr">
        <is>
          <t>A 8675-2023</t>
        </is>
      </c>
      <c r="B557" s="1" t="n">
        <v>44978</v>
      </c>
      <c r="C557" s="1" t="n">
        <v>45635</v>
      </c>
      <c r="D557" t="inlineStr">
        <is>
          <t>JÄMTLANDS LÄN</t>
        </is>
      </c>
      <c r="E557" t="inlineStr">
        <is>
          <t>ÖSTERSUND</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10306-2023</t>
        </is>
      </c>
      <c r="B558" s="1" t="n">
        <v>44986</v>
      </c>
      <c r="C558" s="1" t="n">
        <v>45635</v>
      </c>
      <c r="D558" t="inlineStr">
        <is>
          <t>JÄMTLANDS LÄN</t>
        </is>
      </c>
      <c r="E558" t="inlineStr">
        <is>
          <t>ÖSTERSUND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10308-2023</t>
        </is>
      </c>
      <c r="B559" s="1" t="n">
        <v>44986</v>
      </c>
      <c r="C559" s="1" t="n">
        <v>45635</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10307-2023</t>
        </is>
      </c>
      <c r="B560" s="1" t="n">
        <v>44986</v>
      </c>
      <c r="C560" s="1" t="n">
        <v>45635</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10315-2023</t>
        </is>
      </c>
      <c r="B561" s="1" t="n">
        <v>44986</v>
      </c>
      <c r="C561" s="1" t="n">
        <v>45635</v>
      </c>
      <c r="D561" t="inlineStr">
        <is>
          <t>JÄMTLANDS LÄN</t>
        </is>
      </c>
      <c r="E561" t="inlineStr">
        <is>
          <t>ÖSTERSUND</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10305-2023</t>
        </is>
      </c>
      <c r="B562" s="1" t="n">
        <v>44986</v>
      </c>
      <c r="C562" s="1" t="n">
        <v>45635</v>
      </c>
      <c r="D562" t="inlineStr">
        <is>
          <t>JÄMTLANDS LÄN</t>
        </is>
      </c>
      <c r="E562" t="inlineStr">
        <is>
          <t>ÖSTERSUND</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11356-2023</t>
        </is>
      </c>
      <c r="B563" s="1" t="n">
        <v>44993</v>
      </c>
      <c r="C563" s="1" t="n">
        <v>45635</v>
      </c>
      <c r="D563" t="inlineStr">
        <is>
          <t>JÄMTLANDS LÄN</t>
        </is>
      </c>
      <c r="E563" t="inlineStr">
        <is>
          <t>ÖSTERSUND</t>
        </is>
      </c>
      <c r="G563" t="n">
        <v>8.1</v>
      </c>
      <c r="H563" t="n">
        <v>0</v>
      </c>
      <c r="I563" t="n">
        <v>0</v>
      </c>
      <c r="J563" t="n">
        <v>0</v>
      </c>
      <c r="K563" t="n">
        <v>0</v>
      </c>
      <c r="L563" t="n">
        <v>0</v>
      </c>
      <c r="M563" t="n">
        <v>0</v>
      </c>
      <c r="N563" t="n">
        <v>0</v>
      </c>
      <c r="O563" t="n">
        <v>0</v>
      </c>
      <c r="P563" t="n">
        <v>0</v>
      </c>
      <c r="Q563" t="n">
        <v>0</v>
      </c>
      <c r="R563" s="2" t="inlineStr"/>
    </row>
    <row r="564" ht="15" customHeight="1">
      <c r="A564" t="inlineStr">
        <is>
          <t>A 12821-2023</t>
        </is>
      </c>
      <c r="B564" s="1" t="n">
        <v>45000</v>
      </c>
      <c r="C564" s="1" t="n">
        <v>45635</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13166-2023</t>
        </is>
      </c>
      <c r="B565" s="1" t="n">
        <v>45002</v>
      </c>
      <c r="C565" s="1" t="n">
        <v>45635</v>
      </c>
      <c r="D565" t="inlineStr">
        <is>
          <t>JÄMTLANDS LÄN</t>
        </is>
      </c>
      <c r="E565" t="inlineStr">
        <is>
          <t>ÖSTERSUND</t>
        </is>
      </c>
      <c r="F565" t="inlineStr">
        <is>
          <t>Övriga statliga verk och myndigheter</t>
        </is>
      </c>
      <c r="G565" t="n">
        <v>1</v>
      </c>
      <c r="H565" t="n">
        <v>0</v>
      </c>
      <c r="I565" t="n">
        <v>0</v>
      </c>
      <c r="J565" t="n">
        <v>0</v>
      </c>
      <c r="K565" t="n">
        <v>0</v>
      </c>
      <c r="L565" t="n">
        <v>0</v>
      </c>
      <c r="M565" t="n">
        <v>0</v>
      </c>
      <c r="N565" t="n">
        <v>0</v>
      </c>
      <c r="O565" t="n">
        <v>0</v>
      </c>
      <c r="P565" t="n">
        <v>0</v>
      </c>
      <c r="Q565" t="n">
        <v>0</v>
      </c>
      <c r="R565" s="2" t="inlineStr"/>
    </row>
    <row r="566" ht="15" customHeight="1">
      <c r="A566" t="inlineStr">
        <is>
          <t>A 13148-2023</t>
        </is>
      </c>
      <c r="B566" s="1" t="n">
        <v>45002</v>
      </c>
      <c r="C566" s="1" t="n">
        <v>45635</v>
      </c>
      <c r="D566" t="inlineStr">
        <is>
          <t>JÄMTLANDS LÄN</t>
        </is>
      </c>
      <c r="E566" t="inlineStr">
        <is>
          <t>ÖSTERSUND</t>
        </is>
      </c>
      <c r="G566" t="n">
        <v>1.8</v>
      </c>
      <c r="H566" t="n">
        <v>0</v>
      </c>
      <c r="I566" t="n">
        <v>0</v>
      </c>
      <c r="J566" t="n">
        <v>0</v>
      </c>
      <c r="K566" t="n">
        <v>0</v>
      </c>
      <c r="L566" t="n">
        <v>0</v>
      </c>
      <c r="M566" t="n">
        <v>0</v>
      </c>
      <c r="N566" t="n">
        <v>0</v>
      </c>
      <c r="O566" t="n">
        <v>0</v>
      </c>
      <c r="P566" t="n">
        <v>0</v>
      </c>
      <c r="Q566" t="n">
        <v>0</v>
      </c>
      <c r="R566" s="2" t="inlineStr"/>
    </row>
    <row r="567" ht="15" customHeight="1">
      <c r="A567" t="inlineStr">
        <is>
          <t>A 13152-2023</t>
        </is>
      </c>
      <c r="B567" s="1" t="n">
        <v>45002</v>
      </c>
      <c r="C567" s="1" t="n">
        <v>45635</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13282-2023</t>
        </is>
      </c>
      <c r="B568" s="1" t="n">
        <v>45004</v>
      </c>
      <c r="C568" s="1" t="n">
        <v>45635</v>
      </c>
      <c r="D568" t="inlineStr">
        <is>
          <t>JÄMTLANDS LÄN</t>
        </is>
      </c>
      <c r="E568" t="inlineStr">
        <is>
          <t>ÖSTERSUND</t>
        </is>
      </c>
      <c r="G568" t="n">
        <v>28.5</v>
      </c>
      <c r="H568" t="n">
        <v>0</v>
      </c>
      <c r="I568" t="n">
        <v>0</v>
      </c>
      <c r="J568" t="n">
        <v>0</v>
      </c>
      <c r="K568" t="n">
        <v>0</v>
      </c>
      <c r="L568" t="n">
        <v>0</v>
      </c>
      <c r="M568" t="n">
        <v>0</v>
      </c>
      <c r="N568" t="n">
        <v>0</v>
      </c>
      <c r="O568" t="n">
        <v>0</v>
      </c>
      <c r="P568" t="n">
        <v>0</v>
      </c>
      <c r="Q568" t="n">
        <v>0</v>
      </c>
      <c r="R568" s="2" t="inlineStr"/>
    </row>
    <row r="569" ht="15" customHeight="1">
      <c r="A569" t="inlineStr">
        <is>
          <t>A 13921-2023</t>
        </is>
      </c>
      <c r="B569" s="1" t="n">
        <v>45008</v>
      </c>
      <c r="C569" s="1" t="n">
        <v>45635</v>
      </c>
      <c r="D569" t="inlineStr">
        <is>
          <t>JÄMTLANDS LÄN</t>
        </is>
      </c>
      <c r="E569" t="inlineStr">
        <is>
          <t>ÖSTERSUND</t>
        </is>
      </c>
      <c r="G569" t="n">
        <v>0.3</v>
      </c>
      <c r="H569" t="n">
        <v>0</v>
      </c>
      <c r="I569" t="n">
        <v>0</v>
      </c>
      <c r="J569" t="n">
        <v>0</v>
      </c>
      <c r="K569" t="n">
        <v>0</v>
      </c>
      <c r="L569" t="n">
        <v>0</v>
      </c>
      <c r="M569" t="n">
        <v>0</v>
      </c>
      <c r="N569" t="n">
        <v>0</v>
      </c>
      <c r="O569" t="n">
        <v>0</v>
      </c>
      <c r="P569" t="n">
        <v>0</v>
      </c>
      <c r="Q569" t="n">
        <v>0</v>
      </c>
      <c r="R569" s="2" t="inlineStr"/>
    </row>
    <row r="570" ht="15" customHeight="1">
      <c r="A570" t="inlineStr">
        <is>
          <t>A 14520-2023</t>
        </is>
      </c>
      <c r="B570" s="1" t="n">
        <v>45012</v>
      </c>
      <c r="C570" s="1" t="n">
        <v>45635</v>
      </c>
      <c r="D570" t="inlineStr">
        <is>
          <t>JÄMTLANDS LÄN</t>
        </is>
      </c>
      <c r="E570" t="inlineStr">
        <is>
          <t>ÖSTERSUND</t>
        </is>
      </c>
      <c r="G570" t="n">
        <v>1.4</v>
      </c>
      <c r="H570" t="n">
        <v>0</v>
      </c>
      <c r="I570" t="n">
        <v>0</v>
      </c>
      <c r="J570" t="n">
        <v>0</v>
      </c>
      <c r="K570" t="n">
        <v>0</v>
      </c>
      <c r="L570" t="n">
        <v>0</v>
      </c>
      <c r="M570" t="n">
        <v>0</v>
      </c>
      <c r="N570" t="n">
        <v>0</v>
      </c>
      <c r="O570" t="n">
        <v>0</v>
      </c>
      <c r="P570" t="n">
        <v>0</v>
      </c>
      <c r="Q570" t="n">
        <v>0</v>
      </c>
      <c r="R570" s="2" t="inlineStr"/>
    </row>
    <row r="571" ht="15" customHeight="1">
      <c r="A571" t="inlineStr">
        <is>
          <t>A 14523-2023</t>
        </is>
      </c>
      <c r="B571" s="1" t="n">
        <v>45012</v>
      </c>
      <c r="C571" s="1" t="n">
        <v>45635</v>
      </c>
      <c r="D571" t="inlineStr">
        <is>
          <t>JÄMTLANDS LÄN</t>
        </is>
      </c>
      <c r="E571" t="inlineStr">
        <is>
          <t>ÖSTERSUND</t>
        </is>
      </c>
      <c r="G571" t="n">
        <v>4.5</v>
      </c>
      <c r="H571" t="n">
        <v>0</v>
      </c>
      <c r="I571" t="n">
        <v>0</v>
      </c>
      <c r="J571" t="n">
        <v>0</v>
      </c>
      <c r="K571" t="n">
        <v>0</v>
      </c>
      <c r="L571" t="n">
        <v>0</v>
      </c>
      <c r="M571" t="n">
        <v>0</v>
      </c>
      <c r="N571" t="n">
        <v>0</v>
      </c>
      <c r="O571" t="n">
        <v>0</v>
      </c>
      <c r="P571" t="n">
        <v>0</v>
      </c>
      <c r="Q571" t="n">
        <v>0</v>
      </c>
      <c r="R571" s="2" t="inlineStr"/>
    </row>
    <row r="572" ht="15" customHeight="1">
      <c r="A572" t="inlineStr">
        <is>
          <t>A 14521-2023</t>
        </is>
      </c>
      <c r="B572" s="1" t="n">
        <v>45013</v>
      </c>
      <c r="C572" s="1" t="n">
        <v>45635</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14518-2023</t>
        </is>
      </c>
      <c r="B573" s="1" t="n">
        <v>45012</v>
      </c>
      <c r="C573" s="1" t="n">
        <v>45635</v>
      </c>
      <c r="D573" t="inlineStr">
        <is>
          <t>JÄMTLANDS LÄN</t>
        </is>
      </c>
      <c r="E573" t="inlineStr">
        <is>
          <t>ÖSTERSUND</t>
        </is>
      </c>
      <c r="G573" t="n">
        <v>14.4</v>
      </c>
      <c r="H573" t="n">
        <v>0</v>
      </c>
      <c r="I573" t="n">
        <v>0</v>
      </c>
      <c r="J573" t="n">
        <v>0</v>
      </c>
      <c r="K573" t="n">
        <v>0</v>
      </c>
      <c r="L573" t="n">
        <v>0</v>
      </c>
      <c r="M573" t="n">
        <v>0</v>
      </c>
      <c r="N573" t="n">
        <v>0</v>
      </c>
      <c r="O573" t="n">
        <v>0</v>
      </c>
      <c r="P573" t="n">
        <v>0</v>
      </c>
      <c r="Q573" t="n">
        <v>0</v>
      </c>
      <c r="R573" s="2" t="inlineStr"/>
    </row>
    <row r="574" ht="15" customHeight="1">
      <c r="A574" t="inlineStr">
        <is>
          <t>A 15984-2023</t>
        </is>
      </c>
      <c r="B574" s="1" t="n">
        <v>45022</v>
      </c>
      <c r="C574" s="1" t="n">
        <v>45635</v>
      </c>
      <c r="D574" t="inlineStr">
        <is>
          <t>JÄMTLANDS LÄN</t>
        </is>
      </c>
      <c r="E574" t="inlineStr">
        <is>
          <t>ÖSTERSUND</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16666-2023</t>
        </is>
      </c>
      <c r="B575" s="1" t="n">
        <v>45028</v>
      </c>
      <c r="C575" s="1" t="n">
        <v>45635</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16682-2023</t>
        </is>
      </c>
      <c r="B576" s="1" t="n">
        <v>45028</v>
      </c>
      <c r="C576" s="1" t="n">
        <v>45635</v>
      </c>
      <c r="D576" t="inlineStr">
        <is>
          <t>JÄMTLANDS LÄN</t>
        </is>
      </c>
      <c r="E576" t="inlineStr">
        <is>
          <t>ÖSTERSUND</t>
        </is>
      </c>
      <c r="G576" t="n">
        <v>7.9</v>
      </c>
      <c r="H576" t="n">
        <v>0</v>
      </c>
      <c r="I576" t="n">
        <v>0</v>
      </c>
      <c r="J576" t="n">
        <v>0</v>
      </c>
      <c r="K576" t="n">
        <v>0</v>
      </c>
      <c r="L576" t="n">
        <v>0</v>
      </c>
      <c r="M576" t="n">
        <v>0</v>
      </c>
      <c r="N576" t="n">
        <v>0</v>
      </c>
      <c r="O576" t="n">
        <v>0</v>
      </c>
      <c r="P576" t="n">
        <v>0</v>
      </c>
      <c r="Q576" t="n">
        <v>0</v>
      </c>
      <c r="R576" s="2" t="inlineStr"/>
    </row>
    <row r="577" ht="15" customHeight="1">
      <c r="A577" t="inlineStr">
        <is>
          <t>A 17225-2023</t>
        </is>
      </c>
      <c r="B577" s="1" t="n">
        <v>45035</v>
      </c>
      <c r="C577" s="1" t="n">
        <v>45635</v>
      </c>
      <c r="D577" t="inlineStr">
        <is>
          <t>JÄMTLANDS LÄN</t>
        </is>
      </c>
      <c r="E577" t="inlineStr">
        <is>
          <t>ÖSTERSUND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19573-2023</t>
        </is>
      </c>
      <c r="B578" s="1" t="n">
        <v>45049</v>
      </c>
      <c r="C578" s="1" t="n">
        <v>45635</v>
      </c>
      <c r="D578" t="inlineStr">
        <is>
          <t>JÄMTLANDS LÄN</t>
        </is>
      </c>
      <c r="E578" t="inlineStr">
        <is>
          <t>ÖSTERSUND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19750-2023</t>
        </is>
      </c>
      <c r="B579" s="1" t="n">
        <v>45050</v>
      </c>
      <c r="C579" s="1" t="n">
        <v>45635</v>
      </c>
      <c r="D579" t="inlineStr">
        <is>
          <t>JÄMTLANDS LÄN</t>
        </is>
      </c>
      <c r="E579" t="inlineStr">
        <is>
          <t>ÖSTERSUND</t>
        </is>
      </c>
      <c r="G579" t="n">
        <v>3.2</v>
      </c>
      <c r="H579" t="n">
        <v>0</v>
      </c>
      <c r="I579" t="n">
        <v>0</v>
      </c>
      <c r="J579" t="n">
        <v>0</v>
      </c>
      <c r="K579" t="n">
        <v>0</v>
      </c>
      <c r="L579" t="n">
        <v>0</v>
      </c>
      <c r="M579" t="n">
        <v>0</v>
      </c>
      <c r="N579" t="n">
        <v>0</v>
      </c>
      <c r="O579" t="n">
        <v>0</v>
      </c>
      <c r="P579" t="n">
        <v>0</v>
      </c>
      <c r="Q579" t="n">
        <v>0</v>
      </c>
      <c r="R579" s="2" t="inlineStr"/>
    </row>
    <row r="580" ht="15" customHeight="1">
      <c r="A580" t="inlineStr">
        <is>
          <t>A 20606-2023</t>
        </is>
      </c>
      <c r="B580" s="1" t="n">
        <v>45057</v>
      </c>
      <c r="C580" s="1" t="n">
        <v>45635</v>
      </c>
      <c r="D580" t="inlineStr">
        <is>
          <t>JÄMTLANDS LÄN</t>
        </is>
      </c>
      <c r="E580" t="inlineStr">
        <is>
          <t>ÖSTERSUND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20634-2023</t>
        </is>
      </c>
      <c r="B581" s="1" t="n">
        <v>45058</v>
      </c>
      <c r="C581" s="1" t="n">
        <v>45635</v>
      </c>
      <c r="D581" t="inlineStr">
        <is>
          <t>JÄMTLANDS LÄN</t>
        </is>
      </c>
      <c r="E581" t="inlineStr">
        <is>
          <t>ÖSTERSUND</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20588-2023</t>
        </is>
      </c>
      <c r="B582" s="1" t="n">
        <v>45057</v>
      </c>
      <c r="C582" s="1" t="n">
        <v>45635</v>
      </c>
      <c r="D582" t="inlineStr">
        <is>
          <t>JÄMTLANDS LÄN</t>
        </is>
      </c>
      <c r="E582" t="inlineStr">
        <is>
          <t>ÖSTERSUND</t>
        </is>
      </c>
      <c r="G582" t="n">
        <v>0.9</v>
      </c>
      <c r="H582" t="n">
        <v>0</v>
      </c>
      <c r="I582" t="n">
        <v>0</v>
      </c>
      <c r="J582" t="n">
        <v>0</v>
      </c>
      <c r="K582" t="n">
        <v>0</v>
      </c>
      <c r="L582" t="n">
        <v>0</v>
      </c>
      <c r="M582" t="n">
        <v>0</v>
      </c>
      <c r="N582" t="n">
        <v>0</v>
      </c>
      <c r="O582" t="n">
        <v>0</v>
      </c>
      <c r="P582" t="n">
        <v>0</v>
      </c>
      <c r="Q582" t="n">
        <v>0</v>
      </c>
      <c r="R582" s="2" t="inlineStr"/>
    </row>
    <row r="583" ht="15" customHeight="1">
      <c r="A583" t="inlineStr">
        <is>
          <t>A 20635-2023</t>
        </is>
      </c>
      <c r="B583" s="1" t="n">
        <v>45058</v>
      </c>
      <c r="C583" s="1" t="n">
        <v>45635</v>
      </c>
      <c r="D583" t="inlineStr">
        <is>
          <t>JÄMTLANDS LÄN</t>
        </is>
      </c>
      <c r="E583" t="inlineStr">
        <is>
          <t>ÖSTERSUND</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20633-2023</t>
        </is>
      </c>
      <c r="B584" s="1" t="n">
        <v>45058</v>
      </c>
      <c r="C584" s="1" t="n">
        <v>45635</v>
      </c>
      <c r="D584" t="inlineStr">
        <is>
          <t>JÄMTLANDS LÄN</t>
        </is>
      </c>
      <c r="E584" t="inlineStr">
        <is>
          <t>ÖSTERSUND</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20636-2023</t>
        </is>
      </c>
      <c r="B585" s="1" t="n">
        <v>45058</v>
      </c>
      <c r="C585" s="1" t="n">
        <v>45635</v>
      </c>
      <c r="D585" t="inlineStr">
        <is>
          <t>JÄMTLANDS LÄN</t>
        </is>
      </c>
      <c r="E585" t="inlineStr">
        <is>
          <t>ÖSTERSUND</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24515-2023</t>
        </is>
      </c>
      <c r="B586" s="1" t="n">
        <v>45077</v>
      </c>
      <c r="C586" s="1" t="n">
        <v>45635</v>
      </c>
      <c r="D586" t="inlineStr">
        <is>
          <t>JÄMTLANDS LÄN</t>
        </is>
      </c>
      <c r="E586" t="inlineStr">
        <is>
          <t>ÖSTERSUND</t>
        </is>
      </c>
      <c r="G586" t="n">
        <v>27.8</v>
      </c>
      <c r="H586" t="n">
        <v>0</v>
      </c>
      <c r="I586" t="n">
        <v>0</v>
      </c>
      <c r="J586" t="n">
        <v>0</v>
      </c>
      <c r="K586" t="n">
        <v>0</v>
      </c>
      <c r="L586" t="n">
        <v>0</v>
      </c>
      <c r="M586" t="n">
        <v>0</v>
      </c>
      <c r="N586" t="n">
        <v>0</v>
      </c>
      <c r="O586" t="n">
        <v>0</v>
      </c>
      <c r="P586" t="n">
        <v>0</v>
      </c>
      <c r="Q586" t="n">
        <v>0</v>
      </c>
      <c r="R586" s="2" t="inlineStr"/>
    </row>
    <row r="587" ht="15" customHeight="1">
      <c r="A587" t="inlineStr">
        <is>
          <t>A 24396-2023</t>
        </is>
      </c>
      <c r="B587" s="1" t="n">
        <v>45082</v>
      </c>
      <c r="C587" s="1" t="n">
        <v>45635</v>
      </c>
      <c r="D587" t="inlineStr">
        <is>
          <t>JÄMTLANDS LÄN</t>
        </is>
      </c>
      <c r="E587" t="inlineStr">
        <is>
          <t>ÖSTERSUND</t>
        </is>
      </c>
      <c r="F587" t="inlineStr">
        <is>
          <t>Kyrkan</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25727-2023</t>
        </is>
      </c>
      <c r="B588" s="1" t="n">
        <v>45084</v>
      </c>
      <c r="C588" s="1" t="n">
        <v>45635</v>
      </c>
      <c r="D588" t="inlineStr">
        <is>
          <t>JÄMTLANDS LÄN</t>
        </is>
      </c>
      <c r="E588" t="inlineStr">
        <is>
          <t>ÖSTERSUND</t>
        </is>
      </c>
      <c r="G588" t="n">
        <v>1.1</v>
      </c>
      <c r="H588" t="n">
        <v>0</v>
      </c>
      <c r="I588" t="n">
        <v>0</v>
      </c>
      <c r="J588" t="n">
        <v>0</v>
      </c>
      <c r="K588" t="n">
        <v>0</v>
      </c>
      <c r="L588" t="n">
        <v>0</v>
      </c>
      <c r="M588" t="n">
        <v>0</v>
      </c>
      <c r="N588" t="n">
        <v>0</v>
      </c>
      <c r="O588" t="n">
        <v>0</v>
      </c>
      <c r="P588" t="n">
        <v>0</v>
      </c>
      <c r="Q588" t="n">
        <v>0</v>
      </c>
      <c r="R588" s="2" t="inlineStr"/>
    </row>
    <row r="589" ht="15" customHeight="1">
      <c r="A589" t="inlineStr">
        <is>
          <t>A 25866-2023</t>
        </is>
      </c>
      <c r="B589" s="1" t="n">
        <v>45084</v>
      </c>
      <c r="C589" s="1" t="n">
        <v>45635</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25496-2023</t>
        </is>
      </c>
      <c r="B590" s="1" t="n">
        <v>45089</v>
      </c>
      <c r="C590" s="1" t="n">
        <v>45635</v>
      </c>
      <c r="D590" t="inlineStr">
        <is>
          <t>JÄMTLANDS LÄN</t>
        </is>
      </c>
      <c r="E590" t="inlineStr">
        <is>
          <t>ÖSTERSUND</t>
        </is>
      </c>
      <c r="F590" t="inlineStr">
        <is>
          <t>Kyrkan</t>
        </is>
      </c>
      <c r="G590" t="n">
        <v>5.7</v>
      </c>
      <c r="H590" t="n">
        <v>0</v>
      </c>
      <c r="I590" t="n">
        <v>0</v>
      </c>
      <c r="J590" t="n">
        <v>0</v>
      </c>
      <c r="K590" t="n">
        <v>0</v>
      </c>
      <c r="L590" t="n">
        <v>0</v>
      </c>
      <c r="M590" t="n">
        <v>0</v>
      </c>
      <c r="N590" t="n">
        <v>0</v>
      </c>
      <c r="O590" t="n">
        <v>0</v>
      </c>
      <c r="P590" t="n">
        <v>0</v>
      </c>
      <c r="Q590" t="n">
        <v>0</v>
      </c>
      <c r="R590" s="2" t="inlineStr"/>
    </row>
    <row r="591" ht="15" customHeight="1">
      <c r="A591" t="inlineStr">
        <is>
          <t>A 25535-2023</t>
        </is>
      </c>
      <c r="B591" s="1" t="n">
        <v>45089</v>
      </c>
      <c r="C591" s="1" t="n">
        <v>45635</v>
      </c>
      <c r="D591" t="inlineStr">
        <is>
          <t>JÄMTLANDS LÄN</t>
        </is>
      </c>
      <c r="E591" t="inlineStr">
        <is>
          <t>ÖSTERSUND</t>
        </is>
      </c>
      <c r="G591" t="n">
        <v>1</v>
      </c>
      <c r="H591" t="n">
        <v>0</v>
      </c>
      <c r="I591" t="n">
        <v>0</v>
      </c>
      <c r="J591" t="n">
        <v>0</v>
      </c>
      <c r="K591" t="n">
        <v>0</v>
      </c>
      <c r="L591" t="n">
        <v>0</v>
      </c>
      <c r="M591" t="n">
        <v>0</v>
      </c>
      <c r="N591" t="n">
        <v>0</v>
      </c>
      <c r="O591" t="n">
        <v>0</v>
      </c>
      <c r="P591" t="n">
        <v>0</v>
      </c>
      <c r="Q591" t="n">
        <v>0</v>
      </c>
      <c r="R591" s="2" t="inlineStr"/>
    </row>
    <row r="592" ht="15" customHeight="1">
      <c r="A592" t="inlineStr">
        <is>
          <t>A 25514-2023</t>
        </is>
      </c>
      <c r="B592" s="1" t="n">
        <v>45089</v>
      </c>
      <c r="C592" s="1" t="n">
        <v>45635</v>
      </c>
      <c r="D592" t="inlineStr">
        <is>
          <t>JÄMTLANDS LÄN</t>
        </is>
      </c>
      <c r="E592" t="inlineStr">
        <is>
          <t>ÖSTERSUND</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26565-2023</t>
        </is>
      </c>
      <c r="B593" s="1" t="n">
        <v>45089</v>
      </c>
      <c r="C593" s="1" t="n">
        <v>45635</v>
      </c>
      <c r="D593" t="inlineStr">
        <is>
          <t>JÄMTLANDS LÄN</t>
        </is>
      </c>
      <c r="E593" t="inlineStr">
        <is>
          <t>ÖSTERSUND</t>
        </is>
      </c>
      <c r="G593" t="n">
        <v>5.2</v>
      </c>
      <c r="H593" t="n">
        <v>0</v>
      </c>
      <c r="I593" t="n">
        <v>0</v>
      </c>
      <c r="J593" t="n">
        <v>0</v>
      </c>
      <c r="K593" t="n">
        <v>0</v>
      </c>
      <c r="L593" t="n">
        <v>0</v>
      </c>
      <c r="M593" t="n">
        <v>0</v>
      </c>
      <c r="N593" t="n">
        <v>0</v>
      </c>
      <c r="O593" t="n">
        <v>0</v>
      </c>
      <c r="P593" t="n">
        <v>0</v>
      </c>
      <c r="Q593" t="n">
        <v>0</v>
      </c>
      <c r="R593" s="2" t="inlineStr"/>
    </row>
    <row r="594" ht="15" customHeight="1">
      <c r="A594" t="inlineStr">
        <is>
          <t>A 26521-2023</t>
        </is>
      </c>
      <c r="B594" s="1" t="n">
        <v>45089</v>
      </c>
      <c r="C594" s="1" t="n">
        <v>45635</v>
      </c>
      <c r="D594" t="inlineStr">
        <is>
          <t>JÄMTLANDS LÄN</t>
        </is>
      </c>
      <c r="E594" t="inlineStr">
        <is>
          <t>ÖSTERSUND</t>
        </is>
      </c>
      <c r="G594" t="n">
        <v>11.7</v>
      </c>
      <c r="H594" t="n">
        <v>0</v>
      </c>
      <c r="I594" t="n">
        <v>0</v>
      </c>
      <c r="J594" t="n">
        <v>0</v>
      </c>
      <c r="K594" t="n">
        <v>0</v>
      </c>
      <c r="L594" t="n">
        <v>0</v>
      </c>
      <c r="M594" t="n">
        <v>0</v>
      </c>
      <c r="N594" t="n">
        <v>0</v>
      </c>
      <c r="O594" t="n">
        <v>0</v>
      </c>
      <c r="P594" t="n">
        <v>0</v>
      </c>
      <c r="Q594" t="n">
        <v>0</v>
      </c>
      <c r="R594" s="2" t="inlineStr"/>
    </row>
    <row r="595" ht="15" customHeight="1">
      <c r="A595" t="inlineStr">
        <is>
          <t>A 25789-2023</t>
        </is>
      </c>
      <c r="B595" s="1" t="n">
        <v>45090</v>
      </c>
      <c r="C595" s="1" t="n">
        <v>45635</v>
      </c>
      <c r="D595" t="inlineStr">
        <is>
          <t>JÄMTLANDS LÄN</t>
        </is>
      </c>
      <c r="E595" t="inlineStr">
        <is>
          <t>ÖSTERSUND</t>
        </is>
      </c>
      <c r="G595" t="n">
        <v>3.1</v>
      </c>
      <c r="H595" t="n">
        <v>0</v>
      </c>
      <c r="I595" t="n">
        <v>0</v>
      </c>
      <c r="J595" t="n">
        <v>0</v>
      </c>
      <c r="K595" t="n">
        <v>0</v>
      </c>
      <c r="L595" t="n">
        <v>0</v>
      </c>
      <c r="M595" t="n">
        <v>0</v>
      </c>
      <c r="N595" t="n">
        <v>0</v>
      </c>
      <c r="O595" t="n">
        <v>0</v>
      </c>
      <c r="P595" t="n">
        <v>0</v>
      </c>
      <c r="Q595" t="n">
        <v>0</v>
      </c>
      <c r="R595" s="2" t="inlineStr"/>
    </row>
    <row r="596" ht="15" customHeight="1">
      <c r="A596" t="inlineStr">
        <is>
          <t>A 26012-2023</t>
        </is>
      </c>
      <c r="B596" s="1" t="n">
        <v>45091</v>
      </c>
      <c r="C596" s="1" t="n">
        <v>45635</v>
      </c>
      <c r="D596" t="inlineStr">
        <is>
          <t>JÄMTLANDS LÄN</t>
        </is>
      </c>
      <c r="E596" t="inlineStr">
        <is>
          <t>ÖSTERSUND</t>
        </is>
      </c>
      <c r="G596" t="n">
        <v>3.6</v>
      </c>
      <c r="H596" t="n">
        <v>0</v>
      </c>
      <c r="I596" t="n">
        <v>0</v>
      </c>
      <c r="J596" t="n">
        <v>0</v>
      </c>
      <c r="K596" t="n">
        <v>0</v>
      </c>
      <c r="L596" t="n">
        <v>0</v>
      </c>
      <c r="M596" t="n">
        <v>0</v>
      </c>
      <c r="N596" t="n">
        <v>0</v>
      </c>
      <c r="O596" t="n">
        <v>0</v>
      </c>
      <c r="P596" t="n">
        <v>0</v>
      </c>
      <c r="Q596" t="n">
        <v>0</v>
      </c>
      <c r="R596" s="2" t="inlineStr"/>
    </row>
    <row r="597" ht="15" customHeight="1">
      <c r="A597" t="inlineStr">
        <is>
          <t>A 27294-2023</t>
        </is>
      </c>
      <c r="B597" s="1" t="n">
        <v>45092</v>
      </c>
      <c r="C597" s="1" t="n">
        <v>45635</v>
      </c>
      <c r="D597" t="inlineStr">
        <is>
          <t>JÄMTLANDS LÄN</t>
        </is>
      </c>
      <c r="E597" t="inlineStr">
        <is>
          <t>ÖSTERSUND</t>
        </is>
      </c>
      <c r="G597" t="n">
        <v>2.8</v>
      </c>
      <c r="H597" t="n">
        <v>0</v>
      </c>
      <c r="I597" t="n">
        <v>0</v>
      </c>
      <c r="J597" t="n">
        <v>0</v>
      </c>
      <c r="K597" t="n">
        <v>0</v>
      </c>
      <c r="L597" t="n">
        <v>0</v>
      </c>
      <c r="M597" t="n">
        <v>0</v>
      </c>
      <c r="N597" t="n">
        <v>0</v>
      </c>
      <c r="O597" t="n">
        <v>0</v>
      </c>
      <c r="P597" t="n">
        <v>0</v>
      </c>
      <c r="Q597" t="n">
        <v>0</v>
      </c>
      <c r="R597" s="2" t="inlineStr"/>
    </row>
    <row r="598" ht="15" customHeight="1">
      <c r="A598" t="inlineStr">
        <is>
          <t>A 27004-2023</t>
        </is>
      </c>
      <c r="B598" s="1" t="n">
        <v>45094</v>
      </c>
      <c r="C598" s="1" t="n">
        <v>45635</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27124-2023</t>
        </is>
      </c>
      <c r="B599" s="1" t="n">
        <v>45096</v>
      </c>
      <c r="C599" s="1" t="n">
        <v>45635</v>
      </c>
      <c r="D599" t="inlineStr">
        <is>
          <t>JÄMTLANDS LÄN</t>
        </is>
      </c>
      <c r="E599" t="inlineStr">
        <is>
          <t>ÖSTERSUND</t>
        </is>
      </c>
      <c r="G599" t="n">
        <v>1.9</v>
      </c>
      <c r="H599" t="n">
        <v>0</v>
      </c>
      <c r="I599" t="n">
        <v>0</v>
      </c>
      <c r="J599" t="n">
        <v>0</v>
      </c>
      <c r="K599" t="n">
        <v>0</v>
      </c>
      <c r="L599" t="n">
        <v>0</v>
      </c>
      <c r="M599" t="n">
        <v>0</v>
      </c>
      <c r="N599" t="n">
        <v>0</v>
      </c>
      <c r="O599" t="n">
        <v>0</v>
      </c>
      <c r="P599" t="n">
        <v>0</v>
      </c>
      <c r="Q599" t="n">
        <v>0</v>
      </c>
      <c r="R599" s="2" t="inlineStr"/>
    </row>
    <row r="600" ht="15" customHeight="1">
      <c r="A600" t="inlineStr">
        <is>
          <t>A 27118-2023</t>
        </is>
      </c>
      <c r="B600" s="1" t="n">
        <v>45096</v>
      </c>
      <c r="C600" s="1" t="n">
        <v>45635</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27130-2023</t>
        </is>
      </c>
      <c r="B601" s="1" t="n">
        <v>45096</v>
      </c>
      <c r="C601" s="1" t="n">
        <v>45635</v>
      </c>
      <c r="D601" t="inlineStr">
        <is>
          <t>JÄMTLANDS LÄN</t>
        </is>
      </c>
      <c r="E601" t="inlineStr">
        <is>
          <t>ÖSTERSUND</t>
        </is>
      </c>
      <c r="G601" t="n">
        <v>1.1</v>
      </c>
      <c r="H601" t="n">
        <v>0</v>
      </c>
      <c r="I601" t="n">
        <v>0</v>
      </c>
      <c r="J601" t="n">
        <v>0</v>
      </c>
      <c r="K601" t="n">
        <v>0</v>
      </c>
      <c r="L601" t="n">
        <v>0</v>
      </c>
      <c r="M601" t="n">
        <v>0</v>
      </c>
      <c r="N601" t="n">
        <v>0</v>
      </c>
      <c r="O601" t="n">
        <v>0</v>
      </c>
      <c r="P601" t="n">
        <v>0</v>
      </c>
      <c r="Q601" t="n">
        <v>0</v>
      </c>
      <c r="R601" s="2" t="inlineStr"/>
    </row>
    <row r="602" ht="15" customHeight="1">
      <c r="A602" t="inlineStr">
        <is>
          <t>A 29548-2023</t>
        </is>
      </c>
      <c r="B602" s="1" t="n">
        <v>45098</v>
      </c>
      <c r="C602" s="1" t="n">
        <v>45635</v>
      </c>
      <c r="D602" t="inlineStr">
        <is>
          <t>JÄMTLANDS LÄN</t>
        </is>
      </c>
      <c r="E602" t="inlineStr">
        <is>
          <t>ÖSTERSUND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30244-2023</t>
        </is>
      </c>
      <c r="B603" s="1" t="n">
        <v>45099</v>
      </c>
      <c r="C603" s="1" t="n">
        <v>45635</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30262-2023</t>
        </is>
      </c>
      <c r="B604" s="1" t="n">
        <v>45099</v>
      </c>
      <c r="C604" s="1" t="n">
        <v>45635</v>
      </c>
      <c r="D604" t="inlineStr">
        <is>
          <t>JÄMTLANDS LÄN</t>
        </is>
      </c>
      <c r="E604" t="inlineStr">
        <is>
          <t>ÖSTERSUND</t>
        </is>
      </c>
      <c r="G604" t="n">
        <v>5.2</v>
      </c>
      <c r="H604" t="n">
        <v>0</v>
      </c>
      <c r="I604" t="n">
        <v>0</v>
      </c>
      <c r="J604" t="n">
        <v>0</v>
      </c>
      <c r="K604" t="n">
        <v>0</v>
      </c>
      <c r="L604" t="n">
        <v>0</v>
      </c>
      <c r="M604" t="n">
        <v>0</v>
      </c>
      <c r="N604" t="n">
        <v>0</v>
      </c>
      <c r="O604" t="n">
        <v>0</v>
      </c>
      <c r="P604" t="n">
        <v>0</v>
      </c>
      <c r="Q604" t="n">
        <v>0</v>
      </c>
      <c r="R604" s="2" t="inlineStr"/>
    </row>
    <row r="605" ht="15" customHeight="1">
      <c r="A605" t="inlineStr">
        <is>
          <t>A 30255-2023</t>
        </is>
      </c>
      <c r="B605" s="1" t="n">
        <v>45099</v>
      </c>
      <c r="C605" s="1" t="n">
        <v>45635</v>
      </c>
      <c r="D605" t="inlineStr">
        <is>
          <t>JÄMTLANDS LÄN</t>
        </is>
      </c>
      <c r="E605" t="inlineStr">
        <is>
          <t>ÖSTERSUND</t>
        </is>
      </c>
      <c r="G605" t="n">
        <v>20.2</v>
      </c>
      <c r="H605" t="n">
        <v>0</v>
      </c>
      <c r="I605" t="n">
        <v>0</v>
      </c>
      <c r="J605" t="n">
        <v>0</v>
      </c>
      <c r="K605" t="n">
        <v>0</v>
      </c>
      <c r="L605" t="n">
        <v>0</v>
      </c>
      <c r="M605" t="n">
        <v>0</v>
      </c>
      <c r="N605" t="n">
        <v>0</v>
      </c>
      <c r="O605" t="n">
        <v>0</v>
      </c>
      <c r="P605" t="n">
        <v>0</v>
      </c>
      <c r="Q605" t="n">
        <v>0</v>
      </c>
      <c r="R605" s="2" t="inlineStr"/>
    </row>
    <row r="606" ht="15" customHeight="1">
      <c r="A606" t="inlineStr">
        <is>
          <t>A 30264-2023</t>
        </is>
      </c>
      <c r="B606" s="1" t="n">
        <v>45099</v>
      </c>
      <c r="C606" s="1" t="n">
        <v>45635</v>
      </c>
      <c r="D606" t="inlineStr">
        <is>
          <t>JÄMTLANDS LÄN</t>
        </is>
      </c>
      <c r="E606" t="inlineStr">
        <is>
          <t>ÖSTERSUND</t>
        </is>
      </c>
      <c r="G606" t="n">
        <v>10</v>
      </c>
      <c r="H606" t="n">
        <v>0</v>
      </c>
      <c r="I606" t="n">
        <v>0</v>
      </c>
      <c r="J606" t="n">
        <v>0</v>
      </c>
      <c r="K606" t="n">
        <v>0</v>
      </c>
      <c r="L606" t="n">
        <v>0</v>
      </c>
      <c r="M606" t="n">
        <v>0</v>
      </c>
      <c r="N606" t="n">
        <v>0</v>
      </c>
      <c r="O606" t="n">
        <v>0</v>
      </c>
      <c r="P606" t="n">
        <v>0</v>
      </c>
      <c r="Q606" t="n">
        <v>0</v>
      </c>
      <c r="R606" s="2" t="inlineStr"/>
    </row>
    <row r="607" ht="15" customHeight="1">
      <c r="A607" t="inlineStr">
        <is>
          <t>A 30206-2023</t>
        </is>
      </c>
      <c r="B607" s="1" t="n">
        <v>45099</v>
      </c>
      <c r="C607" s="1" t="n">
        <v>45635</v>
      </c>
      <c r="D607" t="inlineStr">
        <is>
          <t>JÄMTLANDS LÄN</t>
        </is>
      </c>
      <c r="E607" t="inlineStr">
        <is>
          <t>ÖSTERSUND</t>
        </is>
      </c>
      <c r="G607" t="n">
        <v>3.9</v>
      </c>
      <c r="H607" t="n">
        <v>0</v>
      </c>
      <c r="I607" t="n">
        <v>0</v>
      </c>
      <c r="J607" t="n">
        <v>0</v>
      </c>
      <c r="K607" t="n">
        <v>0</v>
      </c>
      <c r="L607" t="n">
        <v>0</v>
      </c>
      <c r="M607" t="n">
        <v>0</v>
      </c>
      <c r="N607" t="n">
        <v>0</v>
      </c>
      <c r="O607" t="n">
        <v>0</v>
      </c>
      <c r="P607" t="n">
        <v>0</v>
      </c>
      <c r="Q607" t="n">
        <v>0</v>
      </c>
      <c r="R607" s="2" t="inlineStr"/>
    </row>
    <row r="608" ht="15" customHeight="1">
      <c r="A608" t="inlineStr">
        <is>
          <t>A 30236-2023</t>
        </is>
      </c>
      <c r="B608" s="1" t="n">
        <v>45099</v>
      </c>
      <c r="C608" s="1" t="n">
        <v>45635</v>
      </c>
      <c r="D608" t="inlineStr">
        <is>
          <t>JÄMTLANDS LÄN</t>
        </is>
      </c>
      <c r="E608" t="inlineStr">
        <is>
          <t>ÖSTERSUND</t>
        </is>
      </c>
      <c r="G608" t="n">
        <v>3.5</v>
      </c>
      <c r="H608" t="n">
        <v>0</v>
      </c>
      <c r="I608" t="n">
        <v>0</v>
      </c>
      <c r="J608" t="n">
        <v>0</v>
      </c>
      <c r="K608" t="n">
        <v>0</v>
      </c>
      <c r="L608" t="n">
        <v>0</v>
      </c>
      <c r="M608" t="n">
        <v>0</v>
      </c>
      <c r="N608" t="n">
        <v>0</v>
      </c>
      <c r="O608" t="n">
        <v>0</v>
      </c>
      <c r="P608" t="n">
        <v>0</v>
      </c>
      <c r="Q608" t="n">
        <v>0</v>
      </c>
      <c r="R608" s="2" t="inlineStr"/>
    </row>
    <row r="609" ht="15" customHeight="1">
      <c r="A609" t="inlineStr">
        <is>
          <t>A 28747-2023</t>
        </is>
      </c>
      <c r="B609" s="1" t="n">
        <v>45103</v>
      </c>
      <c r="C609" s="1" t="n">
        <v>45635</v>
      </c>
      <c r="D609" t="inlineStr">
        <is>
          <t>JÄMTLANDS LÄN</t>
        </is>
      </c>
      <c r="E609" t="inlineStr">
        <is>
          <t>ÖSTERSUND</t>
        </is>
      </c>
      <c r="F609" t="inlineStr">
        <is>
          <t>SCA</t>
        </is>
      </c>
      <c r="G609" t="n">
        <v>8</v>
      </c>
      <c r="H609" t="n">
        <v>0</v>
      </c>
      <c r="I609" t="n">
        <v>0</v>
      </c>
      <c r="J609" t="n">
        <v>0</v>
      </c>
      <c r="K609" t="n">
        <v>0</v>
      </c>
      <c r="L609" t="n">
        <v>0</v>
      </c>
      <c r="M609" t="n">
        <v>0</v>
      </c>
      <c r="N609" t="n">
        <v>0</v>
      </c>
      <c r="O609" t="n">
        <v>0</v>
      </c>
      <c r="P609" t="n">
        <v>0</v>
      </c>
      <c r="Q609" t="n">
        <v>0</v>
      </c>
      <c r="R609" s="2" t="inlineStr"/>
    </row>
    <row r="610" ht="15" customHeight="1">
      <c r="A610" t="inlineStr">
        <is>
          <t>A 31870-2023</t>
        </is>
      </c>
      <c r="B610" s="1" t="n">
        <v>45106</v>
      </c>
      <c r="C610" s="1" t="n">
        <v>45635</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29703-2023</t>
        </is>
      </c>
      <c r="B611" s="1" t="n">
        <v>45107</v>
      </c>
      <c r="C611" s="1" t="n">
        <v>45635</v>
      </c>
      <c r="D611" t="inlineStr">
        <is>
          <t>JÄMTLANDS LÄN</t>
        </is>
      </c>
      <c r="E611" t="inlineStr">
        <is>
          <t>ÖSTERSUND</t>
        </is>
      </c>
      <c r="G611" t="n">
        <v>0.3</v>
      </c>
      <c r="H611" t="n">
        <v>0</v>
      </c>
      <c r="I611" t="n">
        <v>0</v>
      </c>
      <c r="J611" t="n">
        <v>0</v>
      </c>
      <c r="K611" t="n">
        <v>0</v>
      </c>
      <c r="L611" t="n">
        <v>0</v>
      </c>
      <c r="M611" t="n">
        <v>0</v>
      </c>
      <c r="N611" t="n">
        <v>0</v>
      </c>
      <c r="O611" t="n">
        <v>0</v>
      </c>
      <c r="P611" t="n">
        <v>0</v>
      </c>
      <c r="Q611" t="n">
        <v>0</v>
      </c>
      <c r="R611" s="2" t="inlineStr"/>
    </row>
    <row r="612" ht="15" customHeight="1">
      <c r="A612" t="inlineStr">
        <is>
          <t>A 29682-2023</t>
        </is>
      </c>
      <c r="B612" s="1" t="n">
        <v>45107</v>
      </c>
      <c r="C612" s="1" t="n">
        <v>45635</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30602-2023</t>
        </is>
      </c>
      <c r="B613" s="1" t="n">
        <v>45112</v>
      </c>
      <c r="C613" s="1" t="n">
        <v>45635</v>
      </c>
      <c r="D613" t="inlineStr">
        <is>
          <t>JÄMTLANDS LÄN</t>
        </is>
      </c>
      <c r="E613" t="inlineStr">
        <is>
          <t>ÖSTERSUND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31551-2023</t>
        </is>
      </c>
      <c r="B614" s="1" t="n">
        <v>45117</v>
      </c>
      <c r="C614" s="1" t="n">
        <v>45635</v>
      </c>
      <c r="D614" t="inlineStr">
        <is>
          <t>JÄMTLANDS LÄN</t>
        </is>
      </c>
      <c r="E614" t="inlineStr">
        <is>
          <t>ÖSTERSUND</t>
        </is>
      </c>
      <c r="G614" t="n">
        <v>0.6</v>
      </c>
      <c r="H614" t="n">
        <v>0</v>
      </c>
      <c r="I614" t="n">
        <v>0</v>
      </c>
      <c r="J614" t="n">
        <v>0</v>
      </c>
      <c r="K614" t="n">
        <v>0</v>
      </c>
      <c r="L614" t="n">
        <v>0</v>
      </c>
      <c r="M614" t="n">
        <v>0</v>
      </c>
      <c r="N614" t="n">
        <v>0</v>
      </c>
      <c r="O614" t="n">
        <v>0</v>
      </c>
      <c r="P614" t="n">
        <v>0</v>
      </c>
      <c r="Q614" t="n">
        <v>0</v>
      </c>
      <c r="R614" s="2" t="inlineStr"/>
    </row>
    <row r="615" ht="15" customHeight="1">
      <c r="A615" t="inlineStr">
        <is>
          <t>A 31600-2023</t>
        </is>
      </c>
      <c r="B615" s="1" t="n">
        <v>45117</v>
      </c>
      <c r="C615" s="1" t="n">
        <v>45635</v>
      </c>
      <c r="D615" t="inlineStr">
        <is>
          <t>JÄMTLANDS LÄN</t>
        </is>
      </c>
      <c r="E615" t="inlineStr">
        <is>
          <t>ÖSTERSUND</t>
        </is>
      </c>
      <c r="F615" t="inlineStr">
        <is>
          <t>Övriga Aktiebolag</t>
        </is>
      </c>
      <c r="G615" t="n">
        <v>2.7</v>
      </c>
      <c r="H615" t="n">
        <v>0</v>
      </c>
      <c r="I615" t="n">
        <v>0</v>
      </c>
      <c r="J615" t="n">
        <v>0</v>
      </c>
      <c r="K615" t="n">
        <v>0</v>
      </c>
      <c r="L615" t="n">
        <v>0</v>
      </c>
      <c r="M615" t="n">
        <v>0</v>
      </c>
      <c r="N615" t="n">
        <v>0</v>
      </c>
      <c r="O615" t="n">
        <v>0</v>
      </c>
      <c r="P615" t="n">
        <v>0</v>
      </c>
      <c r="Q615" t="n">
        <v>0</v>
      </c>
      <c r="R615" s="2" t="inlineStr"/>
    </row>
    <row r="616" ht="15" customHeight="1">
      <c r="A616" t="inlineStr">
        <is>
          <t>A 31549-2023</t>
        </is>
      </c>
      <c r="B616" s="1" t="n">
        <v>45117</v>
      </c>
      <c r="C616" s="1" t="n">
        <v>45635</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33501-2023</t>
        </is>
      </c>
      <c r="B617" s="1" t="n">
        <v>45118</v>
      </c>
      <c r="C617" s="1" t="n">
        <v>45635</v>
      </c>
      <c r="D617" t="inlineStr">
        <is>
          <t>JÄMTLANDS LÄN</t>
        </is>
      </c>
      <c r="E617" t="inlineStr">
        <is>
          <t>ÖSTERSUND</t>
        </is>
      </c>
      <c r="G617" t="n">
        <v>5.8</v>
      </c>
      <c r="H617" t="n">
        <v>0</v>
      </c>
      <c r="I617" t="n">
        <v>0</v>
      </c>
      <c r="J617" t="n">
        <v>0</v>
      </c>
      <c r="K617" t="n">
        <v>0</v>
      </c>
      <c r="L617" t="n">
        <v>0</v>
      </c>
      <c r="M617" t="n">
        <v>0</v>
      </c>
      <c r="N617" t="n">
        <v>0</v>
      </c>
      <c r="O617" t="n">
        <v>0</v>
      </c>
      <c r="P617" t="n">
        <v>0</v>
      </c>
      <c r="Q617" t="n">
        <v>0</v>
      </c>
      <c r="R617" s="2" t="inlineStr"/>
    </row>
    <row r="618" ht="15" customHeight="1">
      <c r="A618" t="inlineStr">
        <is>
          <t>A 33502-2023</t>
        </is>
      </c>
      <c r="B618" s="1" t="n">
        <v>45118</v>
      </c>
      <c r="C618" s="1" t="n">
        <v>45635</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32568-2023</t>
        </is>
      </c>
      <c r="B619" s="1" t="n">
        <v>45121</v>
      </c>
      <c r="C619" s="1" t="n">
        <v>45635</v>
      </c>
      <c r="D619" t="inlineStr">
        <is>
          <t>JÄMTLANDS LÄN</t>
        </is>
      </c>
      <c r="E619" t="inlineStr">
        <is>
          <t>ÖSTERSUND</t>
        </is>
      </c>
      <c r="G619" t="n">
        <v>14.9</v>
      </c>
      <c r="H619" t="n">
        <v>0</v>
      </c>
      <c r="I619" t="n">
        <v>0</v>
      </c>
      <c r="J619" t="n">
        <v>0</v>
      </c>
      <c r="K619" t="n">
        <v>0</v>
      </c>
      <c r="L619" t="n">
        <v>0</v>
      </c>
      <c r="M619" t="n">
        <v>0</v>
      </c>
      <c r="N619" t="n">
        <v>0</v>
      </c>
      <c r="O619" t="n">
        <v>0</v>
      </c>
      <c r="P619" t="n">
        <v>0</v>
      </c>
      <c r="Q619" t="n">
        <v>0</v>
      </c>
      <c r="R619" s="2" t="inlineStr"/>
    </row>
    <row r="620" ht="15" customHeight="1">
      <c r="A620" t="inlineStr">
        <is>
          <t>A 34052-2023</t>
        </is>
      </c>
      <c r="B620" s="1" t="n">
        <v>45125</v>
      </c>
      <c r="C620" s="1" t="n">
        <v>45635</v>
      </c>
      <c r="D620" t="inlineStr">
        <is>
          <t>JÄMTLANDS LÄN</t>
        </is>
      </c>
      <c r="E620" t="inlineStr">
        <is>
          <t>ÖSTERSUND</t>
        </is>
      </c>
      <c r="G620" t="n">
        <v>4</v>
      </c>
      <c r="H620" t="n">
        <v>0</v>
      </c>
      <c r="I620" t="n">
        <v>0</v>
      </c>
      <c r="J620" t="n">
        <v>0</v>
      </c>
      <c r="K620" t="n">
        <v>0</v>
      </c>
      <c r="L620" t="n">
        <v>0</v>
      </c>
      <c r="M620" t="n">
        <v>0</v>
      </c>
      <c r="N620" t="n">
        <v>0</v>
      </c>
      <c r="O620" t="n">
        <v>0</v>
      </c>
      <c r="P620" t="n">
        <v>0</v>
      </c>
      <c r="Q620" t="n">
        <v>0</v>
      </c>
      <c r="R620" s="2" t="inlineStr"/>
    </row>
    <row r="621" ht="15" customHeight="1">
      <c r="A621" t="inlineStr">
        <is>
          <t>A 33875-2023</t>
        </is>
      </c>
      <c r="B621" s="1" t="n">
        <v>45134</v>
      </c>
      <c r="C621" s="1" t="n">
        <v>45635</v>
      </c>
      <c r="D621" t="inlineStr">
        <is>
          <t>JÄMTLANDS LÄN</t>
        </is>
      </c>
      <c r="E621" t="inlineStr">
        <is>
          <t>ÖSTERSUND</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34482-2023</t>
        </is>
      </c>
      <c r="B622" s="1" t="n">
        <v>45140</v>
      </c>
      <c r="C622" s="1" t="n">
        <v>45635</v>
      </c>
      <c r="D622" t="inlineStr">
        <is>
          <t>JÄMTLANDS LÄN</t>
        </is>
      </c>
      <c r="E622" t="inlineStr">
        <is>
          <t>ÖSTERSUND</t>
        </is>
      </c>
      <c r="F622" t="inlineStr">
        <is>
          <t>SCA</t>
        </is>
      </c>
      <c r="G622" t="n">
        <v>50</v>
      </c>
      <c r="H622" t="n">
        <v>0</v>
      </c>
      <c r="I622" t="n">
        <v>0</v>
      </c>
      <c r="J622" t="n">
        <v>0</v>
      </c>
      <c r="K622" t="n">
        <v>0</v>
      </c>
      <c r="L622" t="n">
        <v>0</v>
      </c>
      <c r="M622" t="n">
        <v>0</v>
      </c>
      <c r="N622" t="n">
        <v>0</v>
      </c>
      <c r="O622" t="n">
        <v>0</v>
      </c>
      <c r="P622" t="n">
        <v>0</v>
      </c>
      <c r="Q622" t="n">
        <v>0</v>
      </c>
      <c r="R622" s="2" t="inlineStr"/>
    </row>
    <row r="623" ht="15" customHeight="1">
      <c r="A623" t="inlineStr">
        <is>
          <t>A 34688-2023</t>
        </is>
      </c>
      <c r="B623" s="1" t="n">
        <v>45141</v>
      </c>
      <c r="C623" s="1" t="n">
        <v>45635</v>
      </c>
      <c r="D623" t="inlineStr">
        <is>
          <t>JÄMTLANDS LÄN</t>
        </is>
      </c>
      <c r="E623" t="inlineStr">
        <is>
          <t>ÖSTERSUND</t>
        </is>
      </c>
      <c r="G623" t="n">
        <v>7.4</v>
      </c>
      <c r="H623" t="n">
        <v>0</v>
      </c>
      <c r="I623" t="n">
        <v>0</v>
      </c>
      <c r="J623" t="n">
        <v>0</v>
      </c>
      <c r="K623" t="n">
        <v>0</v>
      </c>
      <c r="L623" t="n">
        <v>0</v>
      </c>
      <c r="M623" t="n">
        <v>0</v>
      </c>
      <c r="N623" t="n">
        <v>0</v>
      </c>
      <c r="O623" t="n">
        <v>0</v>
      </c>
      <c r="P623" t="n">
        <v>0</v>
      </c>
      <c r="Q623" t="n">
        <v>0</v>
      </c>
      <c r="R623" s="2" t="inlineStr"/>
    </row>
    <row r="624" ht="15" customHeight="1">
      <c r="A624" t="inlineStr">
        <is>
          <t>A 36406-2023</t>
        </is>
      </c>
      <c r="B624" s="1" t="n">
        <v>45149</v>
      </c>
      <c r="C624" s="1" t="n">
        <v>45635</v>
      </c>
      <c r="D624" t="inlineStr">
        <is>
          <t>JÄMTLANDS LÄN</t>
        </is>
      </c>
      <c r="E624" t="inlineStr">
        <is>
          <t>ÖSTERSUND</t>
        </is>
      </c>
      <c r="G624" t="n">
        <v>2.4</v>
      </c>
      <c r="H624" t="n">
        <v>0</v>
      </c>
      <c r="I624" t="n">
        <v>0</v>
      </c>
      <c r="J624" t="n">
        <v>0</v>
      </c>
      <c r="K624" t="n">
        <v>0</v>
      </c>
      <c r="L624" t="n">
        <v>0</v>
      </c>
      <c r="M624" t="n">
        <v>0</v>
      </c>
      <c r="N624" t="n">
        <v>0</v>
      </c>
      <c r="O624" t="n">
        <v>0</v>
      </c>
      <c r="P624" t="n">
        <v>0</v>
      </c>
      <c r="Q624" t="n">
        <v>0</v>
      </c>
      <c r="R624" s="2" t="inlineStr"/>
    </row>
    <row r="625" ht="15" customHeight="1">
      <c r="A625" t="inlineStr">
        <is>
          <t>A 37140-2023</t>
        </is>
      </c>
      <c r="B625" s="1" t="n">
        <v>45154</v>
      </c>
      <c r="C625" s="1" t="n">
        <v>45635</v>
      </c>
      <c r="D625" t="inlineStr">
        <is>
          <t>JÄMTLANDS LÄN</t>
        </is>
      </c>
      <c r="E625" t="inlineStr">
        <is>
          <t>ÖSTERSUND</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37597-2023</t>
        </is>
      </c>
      <c r="B626" s="1" t="n">
        <v>45159</v>
      </c>
      <c r="C626" s="1" t="n">
        <v>45635</v>
      </c>
      <c r="D626" t="inlineStr">
        <is>
          <t>JÄMTLANDS LÄN</t>
        </is>
      </c>
      <c r="E626" t="inlineStr">
        <is>
          <t>ÖSTERSUND</t>
        </is>
      </c>
      <c r="G626" t="n">
        <v>4.7</v>
      </c>
      <c r="H626" t="n">
        <v>0</v>
      </c>
      <c r="I626" t="n">
        <v>0</v>
      </c>
      <c r="J626" t="n">
        <v>0</v>
      </c>
      <c r="K626" t="n">
        <v>0</v>
      </c>
      <c r="L626" t="n">
        <v>0</v>
      </c>
      <c r="M626" t="n">
        <v>0</v>
      </c>
      <c r="N626" t="n">
        <v>0</v>
      </c>
      <c r="O626" t="n">
        <v>0</v>
      </c>
      <c r="P626" t="n">
        <v>0</v>
      </c>
      <c r="Q626" t="n">
        <v>0</v>
      </c>
      <c r="R626" s="2" t="inlineStr"/>
    </row>
    <row r="627" ht="15" customHeight="1">
      <c r="A627" t="inlineStr">
        <is>
          <t>A 37645-2023</t>
        </is>
      </c>
      <c r="B627" s="1" t="n">
        <v>45159</v>
      </c>
      <c r="C627" s="1" t="n">
        <v>45635</v>
      </c>
      <c r="D627" t="inlineStr">
        <is>
          <t>JÄMTLANDS LÄN</t>
        </is>
      </c>
      <c r="E627" t="inlineStr">
        <is>
          <t>ÖSTERSUND</t>
        </is>
      </c>
      <c r="F627" t="inlineStr">
        <is>
          <t>Övriga Aktiebolag</t>
        </is>
      </c>
      <c r="G627" t="n">
        <v>3.5</v>
      </c>
      <c r="H627" t="n">
        <v>0</v>
      </c>
      <c r="I627" t="n">
        <v>0</v>
      </c>
      <c r="J627" t="n">
        <v>0</v>
      </c>
      <c r="K627" t="n">
        <v>0</v>
      </c>
      <c r="L627" t="n">
        <v>0</v>
      </c>
      <c r="M627" t="n">
        <v>0</v>
      </c>
      <c r="N627" t="n">
        <v>0</v>
      </c>
      <c r="O627" t="n">
        <v>0</v>
      </c>
      <c r="P627" t="n">
        <v>0</v>
      </c>
      <c r="Q627" t="n">
        <v>0</v>
      </c>
      <c r="R627" s="2" t="inlineStr"/>
    </row>
    <row r="628" ht="15" customHeight="1">
      <c r="A628" t="inlineStr">
        <is>
          <t>A 38335-2023</t>
        </is>
      </c>
      <c r="B628" s="1" t="n">
        <v>45161</v>
      </c>
      <c r="C628" s="1" t="n">
        <v>45635</v>
      </c>
      <c r="D628" t="inlineStr">
        <is>
          <t>JÄMTLANDS LÄN</t>
        </is>
      </c>
      <c r="E628" t="inlineStr">
        <is>
          <t>ÖSTERSUND</t>
        </is>
      </c>
      <c r="G628" t="n">
        <v>15.1</v>
      </c>
      <c r="H628" t="n">
        <v>0</v>
      </c>
      <c r="I628" t="n">
        <v>0</v>
      </c>
      <c r="J628" t="n">
        <v>0</v>
      </c>
      <c r="K628" t="n">
        <v>0</v>
      </c>
      <c r="L628" t="n">
        <v>0</v>
      </c>
      <c r="M628" t="n">
        <v>0</v>
      </c>
      <c r="N628" t="n">
        <v>0</v>
      </c>
      <c r="O628" t="n">
        <v>0</v>
      </c>
      <c r="P628" t="n">
        <v>0</v>
      </c>
      <c r="Q628" t="n">
        <v>0</v>
      </c>
      <c r="R628" s="2" t="inlineStr"/>
    </row>
    <row r="629" ht="15" customHeight="1">
      <c r="A629" t="inlineStr">
        <is>
          <t>A 38713-2023</t>
        </is>
      </c>
      <c r="B629" s="1" t="n">
        <v>45163</v>
      </c>
      <c r="C629" s="1" t="n">
        <v>45635</v>
      </c>
      <c r="D629" t="inlineStr">
        <is>
          <t>JÄMTLANDS LÄN</t>
        </is>
      </c>
      <c r="E629" t="inlineStr">
        <is>
          <t>ÖSTERSUND</t>
        </is>
      </c>
      <c r="G629" t="n">
        <v>6</v>
      </c>
      <c r="H629" t="n">
        <v>0</v>
      </c>
      <c r="I629" t="n">
        <v>0</v>
      </c>
      <c r="J629" t="n">
        <v>0</v>
      </c>
      <c r="K629" t="n">
        <v>0</v>
      </c>
      <c r="L629" t="n">
        <v>0</v>
      </c>
      <c r="M629" t="n">
        <v>0</v>
      </c>
      <c r="N629" t="n">
        <v>0</v>
      </c>
      <c r="O629" t="n">
        <v>0</v>
      </c>
      <c r="P629" t="n">
        <v>0</v>
      </c>
      <c r="Q629" t="n">
        <v>0</v>
      </c>
      <c r="R629" s="2" t="inlineStr"/>
    </row>
    <row r="630" ht="15" customHeight="1">
      <c r="A630" t="inlineStr">
        <is>
          <t>A 39494-2023</t>
        </is>
      </c>
      <c r="B630" s="1" t="n">
        <v>45166</v>
      </c>
      <c r="C630" s="1" t="n">
        <v>45635</v>
      </c>
      <c r="D630" t="inlineStr">
        <is>
          <t>JÄMTLANDS LÄN</t>
        </is>
      </c>
      <c r="E630" t="inlineStr">
        <is>
          <t>ÖSTERSUND</t>
        </is>
      </c>
      <c r="F630" t="inlineStr">
        <is>
          <t>SCA</t>
        </is>
      </c>
      <c r="G630" t="n">
        <v>8.1</v>
      </c>
      <c r="H630" t="n">
        <v>0</v>
      </c>
      <c r="I630" t="n">
        <v>0</v>
      </c>
      <c r="J630" t="n">
        <v>0</v>
      </c>
      <c r="K630" t="n">
        <v>0</v>
      </c>
      <c r="L630" t="n">
        <v>0</v>
      </c>
      <c r="M630" t="n">
        <v>0</v>
      </c>
      <c r="N630" t="n">
        <v>0</v>
      </c>
      <c r="O630" t="n">
        <v>0</v>
      </c>
      <c r="P630" t="n">
        <v>0</v>
      </c>
      <c r="Q630" t="n">
        <v>0</v>
      </c>
      <c r="R630" s="2" t="inlineStr"/>
    </row>
    <row r="631" ht="15" customHeight="1">
      <c r="A631" t="inlineStr">
        <is>
          <t>A 39493-2023</t>
        </is>
      </c>
      <c r="B631" s="1" t="n">
        <v>45167</v>
      </c>
      <c r="C631" s="1" t="n">
        <v>45635</v>
      </c>
      <c r="D631" t="inlineStr">
        <is>
          <t>JÄMTLANDS LÄN</t>
        </is>
      </c>
      <c r="E631" t="inlineStr">
        <is>
          <t>ÖSTERSUND</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39647-2023</t>
        </is>
      </c>
      <c r="B632" s="1" t="n">
        <v>45167</v>
      </c>
      <c r="C632" s="1" t="n">
        <v>45635</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39652-2023</t>
        </is>
      </c>
      <c r="B633" s="1" t="n">
        <v>45167</v>
      </c>
      <c r="C633" s="1" t="n">
        <v>45635</v>
      </c>
      <c r="D633" t="inlineStr">
        <is>
          <t>JÄMTLANDS LÄN</t>
        </is>
      </c>
      <c r="E633" t="inlineStr">
        <is>
          <t>ÖSTERSUND</t>
        </is>
      </c>
      <c r="G633" t="n">
        <v>2.6</v>
      </c>
      <c r="H633" t="n">
        <v>0</v>
      </c>
      <c r="I633" t="n">
        <v>0</v>
      </c>
      <c r="J633" t="n">
        <v>0</v>
      </c>
      <c r="K633" t="n">
        <v>0</v>
      </c>
      <c r="L633" t="n">
        <v>0</v>
      </c>
      <c r="M633" t="n">
        <v>0</v>
      </c>
      <c r="N633" t="n">
        <v>0</v>
      </c>
      <c r="O633" t="n">
        <v>0</v>
      </c>
      <c r="P633" t="n">
        <v>0</v>
      </c>
      <c r="Q633" t="n">
        <v>0</v>
      </c>
      <c r="R633" s="2" t="inlineStr"/>
    </row>
    <row r="634" ht="15" customHeight="1">
      <c r="A634" t="inlineStr">
        <is>
          <t>A 39805-2023</t>
        </is>
      </c>
      <c r="B634" s="1" t="n">
        <v>45168</v>
      </c>
      <c r="C634" s="1" t="n">
        <v>45635</v>
      </c>
      <c r="D634" t="inlineStr">
        <is>
          <t>JÄMTLANDS LÄN</t>
        </is>
      </c>
      <c r="E634" t="inlineStr">
        <is>
          <t>ÖSTERSUND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40423-2023</t>
        </is>
      </c>
      <c r="B635" s="1" t="n">
        <v>45169</v>
      </c>
      <c r="C635" s="1" t="n">
        <v>45635</v>
      </c>
      <c r="D635" t="inlineStr">
        <is>
          <t>JÄMTLANDS LÄN</t>
        </is>
      </c>
      <c r="E635" t="inlineStr">
        <is>
          <t>ÖSTERSUND</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40422-2023</t>
        </is>
      </c>
      <c r="B636" s="1" t="n">
        <v>45170</v>
      </c>
      <c r="C636" s="1" t="n">
        <v>45635</v>
      </c>
      <c r="D636" t="inlineStr">
        <is>
          <t>JÄMTLANDS LÄN</t>
        </is>
      </c>
      <c r="E636" t="inlineStr">
        <is>
          <t>ÖSTERSUND</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40792-2023</t>
        </is>
      </c>
      <c r="B637" s="1" t="n">
        <v>45170</v>
      </c>
      <c r="C637" s="1" t="n">
        <v>45635</v>
      </c>
      <c r="D637" t="inlineStr">
        <is>
          <t>JÄMTLANDS LÄN</t>
        </is>
      </c>
      <c r="E637" t="inlineStr">
        <is>
          <t>ÖSTERSUND</t>
        </is>
      </c>
      <c r="G637" t="n">
        <v>22.4</v>
      </c>
      <c r="H637" t="n">
        <v>0</v>
      </c>
      <c r="I637" t="n">
        <v>0</v>
      </c>
      <c r="J637" t="n">
        <v>0</v>
      </c>
      <c r="K637" t="n">
        <v>0</v>
      </c>
      <c r="L637" t="n">
        <v>0</v>
      </c>
      <c r="M637" t="n">
        <v>0</v>
      </c>
      <c r="N637" t="n">
        <v>0</v>
      </c>
      <c r="O637" t="n">
        <v>0</v>
      </c>
      <c r="P637" t="n">
        <v>0</v>
      </c>
      <c r="Q637" t="n">
        <v>0</v>
      </c>
      <c r="R637" s="2" t="inlineStr"/>
    </row>
    <row r="638" ht="15" customHeight="1">
      <c r="A638" t="inlineStr">
        <is>
          <t>A 40772-2023</t>
        </is>
      </c>
      <c r="B638" s="1" t="n">
        <v>45171</v>
      </c>
      <c r="C638" s="1" t="n">
        <v>45635</v>
      </c>
      <c r="D638" t="inlineStr">
        <is>
          <t>JÄMTLANDS LÄN</t>
        </is>
      </c>
      <c r="E638" t="inlineStr">
        <is>
          <t>ÖSTERSUND</t>
        </is>
      </c>
      <c r="F638" t="inlineStr">
        <is>
          <t>SCA</t>
        </is>
      </c>
      <c r="G638" t="n">
        <v>17.6</v>
      </c>
      <c r="H638" t="n">
        <v>0</v>
      </c>
      <c r="I638" t="n">
        <v>0</v>
      </c>
      <c r="J638" t="n">
        <v>0</v>
      </c>
      <c r="K638" t="n">
        <v>0</v>
      </c>
      <c r="L638" t="n">
        <v>0</v>
      </c>
      <c r="M638" t="n">
        <v>0</v>
      </c>
      <c r="N638" t="n">
        <v>0</v>
      </c>
      <c r="O638" t="n">
        <v>0</v>
      </c>
      <c r="P638" t="n">
        <v>0</v>
      </c>
      <c r="Q638" t="n">
        <v>0</v>
      </c>
      <c r="R638" s="2" t="inlineStr"/>
    </row>
    <row r="639" ht="15" customHeight="1">
      <c r="A639" t="inlineStr">
        <is>
          <t>A 41224-2023</t>
        </is>
      </c>
      <c r="B639" s="1" t="n">
        <v>45174</v>
      </c>
      <c r="C639" s="1" t="n">
        <v>45635</v>
      </c>
      <c r="D639" t="inlineStr">
        <is>
          <t>JÄMTLANDS LÄN</t>
        </is>
      </c>
      <c r="E639" t="inlineStr">
        <is>
          <t>ÖSTERSUND</t>
        </is>
      </c>
      <c r="G639" t="n">
        <v>13.3</v>
      </c>
      <c r="H639" t="n">
        <v>0</v>
      </c>
      <c r="I639" t="n">
        <v>0</v>
      </c>
      <c r="J639" t="n">
        <v>0</v>
      </c>
      <c r="K639" t="n">
        <v>0</v>
      </c>
      <c r="L639" t="n">
        <v>0</v>
      </c>
      <c r="M639" t="n">
        <v>0</v>
      </c>
      <c r="N639" t="n">
        <v>0</v>
      </c>
      <c r="O639" t="n">
        <v>0</v>
      </c>
      <c r="P639" t="n">
        <v>0</v>
      </c>
      <c r="Q639" t="n">
        <v>0</v>
      </c>
      <c r="R639" s="2" t="inlineStr"/>
    </row>
    <row r="640" ht="15" customHeight="1">
      <c r="A640" t="inlineStr">
        <is>
          <t>A 41649-2023</t>
        </is>
      </c>
      <c r="B640" s="1" t="n">
        <v>45176</v>
      </c>
      <c r="C640" s="1" t="n">
        <v>45635</v>
      </c>
      <c r="D640" t="inlineStr">
        <is>
          <t>JÄMTLANDS LÄN</t>
        </is>
      </c>
      <c r="E640" t="inlineStr">
        <is>
          <t>ÖSTERSUND</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41919-2023</t>
        </is>
      </c>
      <c r="B641" s="1" t="n">
        <v>45177</v>
      </c>
      <c r="C641" s="1" t="n">
        <v>45635</v>
      </c>
      <c r="D641" t="inlineStr">
        <is>
          <t>JÄMTLANDS LÄN</t>
        </is>
      </c>
      <c r="E641" t="inlineStr">
        <is>
          <t>ÖSTERSUND</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41918-2023</t>
        </is>
      </c>
      <c r="B642" s="1" t="n">
        <v>45177</v>
      </c>
      <c r="C642" s="1" t="n">
        <v>45635</v>
      </c>
      <c r="D642" t="inlineStr">
        <is>
          <t>JÄMTLANDS LÄN</t>
        </is>
      </c>
      <c r="E642" t="inlineStr">
        <is>
          <t>ÖSTERSUND</t>
        </is>
      </c>
      <c r="F642" t="inlineStr">
        <is>
          <t>SCA</t>
        </is>
      </c>
      <c r="G642" t="n">
        <v>10.5</v>
      </c>
      <c r="H642" t="n">
        <v>0</v>
      </c>
      <c r="I642" t="n">
        <v>0</v>
      </c>
      <c r="J642" t="n">
        <v>0</v>
      </c>
      <c r="K642" t="n">
        <v>0</v>
      </c>
      <c r="L642" t="n">
        <v>0</v>
      </c>
      <c r="M642" t="n">
        <v>0</v>
      </c>
      <c r="N642" t="n">
        <v>0</v>
      </c>
      <c r="O642" t="n">
        <v>0</v>
      </c>
      <c r="P642" t="n">
        <v>0</v>
      </c>
      <c r="Q642" t="n">
        <v>0</v>
      </c>
      <c r="R642" s="2" t="inlineStr"/>
    </row>
    <row r="643" ht="15" customHeight="1">
      <c r="A643" t="inlineStr">
        <is>
          <t>A 41900-2023</t>
        </is>
      </c>
      <c r="B643" s="1" t="n">
        <v>45176</v>
      </c>
      <c r="C643" s="1" t="n">
        <v>45635</v>
      </c>
      <c r="D643" t="inlineStr">
        <is>
          <t>JÄMTLANDS LÄN</t>
        </is>
      </c>
      <c r="E643" t="inlineStr">
        <is>
          <t>ÖSTERSUND</t>
        </is>
      </c>
      <c r="G643" t="n">
        <v>24.4</v>
      </c>
      <c r="H643" t="n">
        <v>0</v>
      </c>
      <c r="I643" t="n">
        <v>0</v>
      </c>
      <c r="J643" t="n">
        <v>0</v>
      </c>
      <c r="K643" t="n">
        <v>0</v>
      </c>
      <c r="L643" t="n">
        <v>0</v>
      </c>
      <c r="M643" t="n">
        <v>0</v>
      </c>
      <c r="N643" t="n">
        <v>0</v>
      </c>
      <c r="O643" t="n">
        <v>0</v>
      </c>
      <c r="P643" t="n">
        <v>0</v>
      </c>
      <c r="Q643" t="n">
        <v>0</v>
      </c>
      <c r="R643" s="2" t="inlineStr"/>
    </row>
    <row r="644" ht="15" customHeight="1">
      <c r="A644" t="inlineStr">
        <is>
          <t>A 42151-2023</t>
        </is>
      </c>
      <c r="B644" s="1" t="n">
        <v>45178</v>
      </c>
      <c r="C644" s="1" t="n">
        <v>45635</v>
      </c>
      <c r="D644" t="inlineStr">
        <is>
          <t>JÄMTLANDS LÄN</t>
        </is>
      </c>
      <c r="E644" t="inlineStr">
        <is>
          <t>ÖSTERSUND</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43557-2023</t>
        </is>
      </c>
      <c r="B645" s="1" t="n">
        <v>45181</v>
      </c>
      <c r="C645" s="1" t="n">
        <v>45635</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42664-2023</t>
        </is>
      </c>
      <c r="B646" s="1" t="n">
        <v>45181</v>
      </c>
      <c r="C646" s="1" t="n">
        <v>45635</v>
      </c>
      <c r="D646" t="inlineStr">
        <is>
          <t>JÄMTLANDS LÄN</t>
        </is>
      </c>
      <c r="E646" t="inlineStr">
        <is>
          <t>ÖSTERSUND</t>
        </is>
      </c>
      <c r="F646" t="inlineStr">
        <is>
          <t>Övriga Aktiebolag</t>
        </is>
      </c>
      <c r="G646" t="n">
        <v>3.7</v>
      </c>
      <c r="H646" t="n">
        <v>0</v>
      </c>
      <c r="I646" t="n">
        <v>0</v>
      </c>
      <c r="J646" t="n">
        <v>0</v>
      </c>
      <c r="K646" t="n">
        <v>0</v>
      </c>
      <c r="L646" t="n">
        <v>0</v>
      </c>
      <c r="M646" t="n">
        <v>0</v>
      </c>
      <c r="N646" t="n">
        <v>0</v>
      </c>
      <c r="O646" t="n">
        <v>0</v>
      </c>
      <c r="P646" t="n">
        <v>0</v>
      </c>
      <c r="Q646" t="n">
        <v>0</v>
      </c>
      <c r="R646" s="2" t="inlineStr"/>
    </row>
    <row r="647" ht="15" customHeight="1">
      <c r="A647" t="inlineStr">
        <is>
          <t>A 42679-2023</t>
        </is>
      </c>
      <c r="B647" s="1" t="n">
        <v>45181</v>
      </c>
      <c r="C647" s="1" t="n">
        <v>45635</v>
      </c>
      <c r="D647" t="inlineStr">
        <is>
          <t>JÄMTLANDS LÄN</t>
        </is>
      </c>
      <c r="E647" t="inlineStr">
        <is>
          <t>ÖSTERSUND</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43740-2023</t>
        </is>
      </c>
      <c r="B648" s="1" t="n">
        <v>45182</v>
      </c>
      <c r="C648" s="1" t="n">
        <v>45635</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43135-2023</t>
        </is>
      </c>
      <c r="B649" s="1" t="n">
        <v>45183</v>
      </c>
      <c r="C649" s="1" t="n">
        <v>45635</v>
      </c>
      <c r="D649" t="inlineStr">
        <is>
          <t>JÄMTLANDS LÄN</t>
        </is>
      </c>
      <c r="E649" t="inlineStr">
        <is>
          <t>ÖSTERSUND</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43252-2023</t>
        </is>
      </c>
      <c r="B650" s="1" t="n">
        <v>45183</v>
      </c>
      <c r="C650" s="1" t="n">
        <v>45635</v>
      </c>
      <c r="D650" t="inlineStr">
        <is>
          <t>JÄMTLANDS LÄN</t>
        </is>
      </c>
      <c r="E650" t="inlineStr">
        <is>
          <t>ÖSTERSUND</t>
        </is>
      </c>
      <c r="G650" t="n">
        <v>2.9</v>
      </c>
      <c r="H650" t="n">
        <v>0</v>
      </c>
      <c r="I650" t="n">
        <v>0</v>
      </c>
      <c r="J650" t="n">
        <v>0</v>
      </c>
      <c r="K650" t="n">
        <v>0</v>
      </c>
      <c r="L650" t="n">
        <v>0</v>
      </c>
      <c r="M650" t="n">
        <v>0</v>
      </c>
      <c r="N650" t="n">
        <v>0</v>
      </c>
      <c r="O650" t="n">
        <v>0</v>
      </c>
      <c r="P650" t="n">
        <v>0</v>
      </c>
      <c r="Q650" t="n">
        <v>0</v>
      </c>
      <c r="R650" s="2" t="inlineStr"/>
    </row>
    <row r="651" ht="15" customHeight="1">
      <c r="A651" t="inlineStr">
        <is>
          <t>A 44327-2023</t>
        </is>
      </c>
      <c r="B651" s="1" t="n">
        <v>45188</v>
      </c>
      <c r="C651" s="1" t="n">
        <v>45635</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44359-2023</t>
        </is>
      </c>
      <c r="B652" s="1" t="n">
        <v>45188</v>
      </c>
      <c r="C652" s="1" t="n">
        <v>45635</v>
      </c>
      <c r="D652" t="inlineStr">
        <is>
          <t>JÄMTLANDS LÄN</t>
        </is>
      </c>
      <c r="E652" t="inlineStr">
        <is>
          <t>ÖSTERSUND</t>
        </is>
      </c>
      <c r="G652" t="n">
        <v>8.1</v>
      </c>
      <c r="H652" t="n">
        <v>0</v>
      </c>
      <c r="I652" t="n">
        <v>0</v>
      </c>
      <c r="J652" t="n">
        <v>0</v>
      </c>
      <c r="K652" t="n">
        <v>0</v>
      </c>
      <c r="L652" t="n">
        <v>0</v>
      </c>
      <c r="M652" t="n">
        <v>0</v>
      </c>
      <c r="N652" t="n">
        <v>0</v>
      </c>
      <c r="O652" t="n">
        <v>0</v>
      </c>
      <c r="P652" t="n">
        <v>0</v>
      </c>
      <c r="Q652" t="n">
        <v>0</v>
      </c>
      <c r="R652" s="2" t="inlineStr"/>
    </row>
    <row r="653" ht="15" customHeight="1">
      <c r="A653" t="inlineStr">
        <is>
          <t>A 45980-2023</t>
        </is>
      </c>
      <c r="B653" s="1" t="n">
        <v>45189</v>
      </c>
      <c r="C653" s="1" t="n">
        <v>45635</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44719-2023</t>
        </is>
      </c>
      <c r="B654" s="1" t="n">
        <v>45190</v>
      </c>
      <c r="C654" s="1" t="n">
        <v>45635</v>
      </c>
      <c r="D654" t="inlineStr">
        <is>
          <t>JÄMTLANDS LÄN</t>
        </is>
      </c>
      <c r="E654" t="inlineStr">
        <is>
          <t>ÖSTERSUND</t>
        </is>
      </c>
      <c r="G654" t="n">
        <v>17.5</v>
      </c>
      <c r="H654" t="n">
        <v>0</v>
      </c>
      <c r="I654" t="n">
        <v>0</v>
      </c>
      <c r="J654" t="n">
        <v>0</v>
      </c>
      <c r="K654" t="n">
        <v>0</v>
      </c>
      <c r="L654" t="n">
        <v>0</v>
      </c>
      <c r="M654" t="n">
        <v>0</v>
      </c>
      <c r="N654" t="n">
        <v>0</v>
      </c>
      <c r="O654" t="n">
        <v>0</v>
      </c>
      <c r="P654" t="n">
        <v>0</v>
      </c>
      <c r="Q654" t="n">
        <v>0</v>
      </c>
      <c r="R654" s="2" t="inlineStr"/>
    </row>
    <row r="655" ht="15" customHeight="1">
      <c r="A655" t="inlineStr">
        <is>
          <t>A 44798-2023</t>
        </is>
      </c>
      <c r="B655" s="1" t="n">
        <v>45190</v>
      </c>
      <c r="C655" s="1" t="n">
        <v>45635</v>
      </c>
      <c r="D655" t="inlineStr">
        <is>
          <t>JÄMTLANDS LÄN</t>
        </is>
      </c>
      <c r="E655" t="inlineStr">
        <is>
          <t>ÖSTERSUND</t>
        </is>
      </c>
      <c r="G655" t="n">
        <v>1.1</v>
      </c>
      <c r="H655" t="n">
        <v>0</v>
      </c>
      <c r="I655" t="n">
        <v>0</v>
      </c>
      <c r="J655" t="n">
        <v>0</v>
      </c>
      <c r="K655" t="n">
        <v>0</v>
      </c>
      <c r="L655" t="n">
        <v>0</v>
      </c>
      <c r="M655" t="n">
        <v>0</v>
      </c>
      <c r="N655" t="n">
        <v>0</v>
      </c>
      <c r="O655" t="n">
        <v>0</v>
      </c>
      <c r="P655" t="n">
        <v>0</v>
      </c>
      <c r="Q655" t="n">
        <v>0</v>
      </c>
      <c r="R655" s="2" t="inlineStr"/>
    </row>
    <row r="656" ht="15" customHeight="1">
      <c r="A656" t="inlineStr">
        <is>
          <t>A 46375-2023</t>
        </is>
      </c>
      <c r="B656" s="1" t="n">
        <v>45197</v>
      </c>
      <c r="C656" s="1" t="n">
        <v>45635</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46763-2023</t>
        </is>
      </c>
      <c r="B657" s="1" t="n">
        <v>45198</v>
      </c>
      <c r="C657" s="1" t="n">
        <v>45635</v>
      </c>
      <c r="D657" t="inlineStr">
        <is>
          <t>JÄMTLANDS LÄN</t>
        </is>
      </c>
      <c r="E657" t="inlineStr">
        <is>
          <t>ÖSTERSUND</t>
        </is>
      </c>
      <c r="F657" t="inlineStr">
        <is>
          <t>Sveaskog</t>
        </is>
      </c>
      <c r="G657" t="n">
        <v>13.3</v>
      </c>
      <c r="H657" t="n">
        <v>0</v>
      </c>
      <c r="I657" t="n">
        <v>0</v>
      </c>
      <c r="J657" t="n">
        <v>0</v>
      </c>
      <c r="K657" t="n">
        <v>0</v>
      </c>
      <c r="L657" t="n">
        <v>0</v>
      </c>
      <c r="M657" t="n">
        <v>0</v>
      </c>
      <c r="N657" t="n">
        <v>0</v>
      </c>
      <c r="O657" t="n">
        <v>0</v>
      </c>
      <c r="P657" t="n">
        <v>0</v>
      </c>
      <c r="Q657" t="n">
        <v>0</v>
      </c>
      <c r="R657" s="2" t="inlineStr"/>
    </row>
    <row r="658" ht="15" customHeight="1">
      <c r="A658" t="inlineStr">
        <is>
          <t>A 46748-2023</t>
        </is>
      </c>
      <c r="B658" s="1" t="n">
        <v>45198</v>
      </c>
      <c r="C658" s="1" t="n">
        <v>45635</v>
      </c>
      <c r="D658" t="inlineStr">
        <is>
          <t>JÄMTLANDS LÄN</t>
        </is>
      </c>
      <c r="E658" t="inlineStr">
        <is>
          <t>ÖSTERSUND</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47086-2023</t>
        </is>
      </c>
      <c r="B659" s="1" t="n">
        <v>45201</v>
      </c>
      <c r="C659" s="1" t="n">
        <v>45635</v>
      </c>
      <c r="D659" t="inlineStr">
        <is>
          <t>JÄMTLANDS LÄN</t>
        </is>
      </c>
      <c r="E659" t="inlineStr">
        <is>
          <t>ÖSTERSUND</t>
        </is>
      </c>
      <c r="G659" t="n">
        <v>12</v>
      </c>
      <c r="H659" t="n">
        <v>0</v>
      </c>
      <c r="I659" t="n">
        <v>0</v>
      </c>
      <c r="J659" t="n">
        <v>0</v>
      </c>
      <c r="K659" t="n">
        <v>0</v>
      </c>
      <c r="L659" t="n">
        <v>0</v>
      </c>
      <c r="M659" t="n">
        <v>0</v>
      </c>
      <c r="N659" t="n">
        <v>0</v>
      </c>
      <c r="O659" t="n">
        <v>0</v>
      </c>
      <c r="P659" t="n">
        <v>0</v>
      </c>
      <c r="Q659" t="n">
        <v>0</v>
      </c>
      <c r="R659" s="2" t="inlineStr"/>
    </row>
    <row r="660" ht="15" customHeight="1">
      <c r="A660" t="inlineStr">
        <is>
          <t>A 47252-2023</t>
        </is>
      </c>
      <c r="B660" s="1" t="n">
        <v>45202</v>
      </c>
      <c r="C660" s="1" t="n">
        <v>45635</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47727-2023</t>
        </is>
      </c>
      <c r="B661" s="1" t="n">
        <v>45203</v>
      </c>
      <c r="C661" s="1" t="n">
        <v>45635</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48374-2023</t>
        </is>
      </c>
      <c r="B662" s="1" t="n">
        <v>45205</v>
      </c>
      <c r="C662" s="1" t="n">
        <v>45635</v>
      </c>
      <c r="D662" t="inlineStr">
        <is>
          <t>JÄMTLANDS LÄN</t>
        </is>
      </c>
      <c r="E662" t="inlineStr">
        <is>
          <t>ÖSTERSUND</t>
        </is>
      </c>
      <c r="G662" t="n">
        <v>5.6</v>
      </c>
      <c r="H662" t="n">
        <v>0</v>
      </c>
      <c r="I662" t="n">
        <v>0</v>
      </c>
      <c r="J662" t="n">
        <v>0</v>
      </c>
      <c r="K662" t="n">
        <v>0</v>
      </c>
      <c r="L662" t="n">
        <v>0</v>
      </c>
      <c r="M662" t="n">
        <v>0</v>
      </c>
      <c r="N662" t="n">
        <v>0</v>
      </c>
      <c r="O662" t="n">
        <v>0</v>
      </c>
      <c r="P662" t="n">
        <v>0</v>
      </c>
      <c r="Q662" t="n">
        <v>0</v>
      </c>
      <c r="R662" s="2" t="inlineStr"/>
    </row>
    <row r="663" ht="15" customHeight="1">
      <c r="A663" t="inlineStr">
        <is>
          <t>A 50753-2023</t>
        </is>
      </c>
      <c r="B663" s="1" t="n">
        <v>45210</v>
      </c>
      <c r="C663" s="1" t="n">
        <v>45635</v>
      </c>
      <c r="D663" t="inlineStr">
        <is>
          <t>JÄMTLANDS LÄN</t>
        </is>
      </c>
      <c r="E663" t="inlineStr">
        <is>
          <t>ÖSTERSUND</t>
        </is>
      </c>
      <c r="G663" t="n">
        <v>29.3</v>
      </c>
      <c r="H663" t="n">
        <v>0</v>
      </c>
      <c r="I663" t="n">
        <v>0</v>
      </c>
      <c r="J663" t="n">
        <v>0</v>
      </c>
      <c r="K663" t="n">
        <v>0</v>
      </c>
      <c r="L663" t="n">
        <v>0</v>
      </c>
      <c r="M663" t="n">
        <v>0</v>
      </c>
      <c r="N663" t="n">
        <v>0</v>
      </c>
      <c r="O663" t="n">
        <v>0</v>
      </c>
      <c r="P663" t="n">
        <v>0</v>
      </c>
      <c r="Q663" t="n">
        <v>0</v>
      </c>
      <c r="R663" s="2" t="inlineStr"/>
    </row>
    <row r="664" ht="15" customHeight="1">
      <c r="A664" t="inlineStr">
        <is>
          <t>A 50953-2023</t>
        </is>
      </c>
      <c r="B664" s="1" t="n">
        <v>45211</v>
      </c>
      <c r="C664" s="1" t="n">
        <v>45635</v>
      </c>
      <c r="D664" t="inlineStr">
        <is>
          <t>JÄMTLANDS LÄN</t>
        </is>
      </c>
      <c r="E664" t="inlineStr">
        <is>
          <t>ÖSTERSUND</t>
        </is>
      </c>
      <c r="G664" t="n">
        <v>2.2</v>
      </c>
      <c r="H664" t="n">
        <v>0</v>
      </c>
      <c r="I664" t="n">
        <v>0</v>
      </c>
      <c r="J664" t="n">
        <v>0</v>
      </c>
      <c r="K664" t="n">
        <v>0</v>
      </c>
      <c r="L664" t="n">
        <v>0</v>
      </c>
      <c r="M664" t="n">
        <v>0</v>
      </c>
      <c r="N664" t="n">
        <v>0</v>
      </c>
      <c r="O664" t="n">
        <v>0</v>
      </c>
      <c r="P664" t="n">
        <v>0</v>
      </c>
      <c r="Q664" t="n">
        <v>0</v>
      </c>
      <c r="R664" s="2" t="inlineStr"/>
    </row>
    <row r="665" ht="15" customHeight="1">
      <c r="A665" t="inlineStr">
        <is>
          <t>A 51701-2023</t>
        </is>
      </c>
      <c r="B665" s="1" t="n">
        <v>45215</v>
      </c>
      <c r="C665" s="1" t="n">
        <v>45635</v>
      </c>
      <c r="D665" t="inlineStr">
        <is>
          <t>JÄMTLANDS LÄN</t>
        </is>
      </c>
      <c r="E665" t="inlineStr">
        <is>
          <t>ÖSTERSUND</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52209-2023</t>
        </is>
      </c>
      <c r="B666" s="1" t="n">
        <v>45217</v>
      </c>
      <c r="C666" s="1" t="n">
        <v>45635</v>
      </c>
      <c r="D666" t="inlineStr">
        <is>
          <t>JÄMTLANDS LÄN</t>
        </is>
      </c>
      <c r="E666" t="inlineStr">
        <is>
          <t>ÖSTERSUND</t>
        </is>
      </c>
      <c r="G666" t="n">
        <v>1.7</v>
      </c>
      <c r="H666" t="n">
        <v>0</v>
      </c>
      <c r="I666" t="n">
        <v>0</v>
      </c>
      <c r="J666" t="n">
        <v>0</v>
      </c>
      <c r="K666" t="n">
        <v>0</v>
      </c>
      <c r="L666" t="n">
        <v>0</v>
      </c>
      <c r="M666" t="n">
        <v>0</v>
      </c>
      <c r="N666" t="n">
        <v>0</v>
      </c>
      <c r="O666" t="n">
        <v>0</v>
      </c>
      <c r="P666" t="n">
        <v>0</v>
      </c>
      <c r="Q666" t="n">
        <v>0</v>
      </c>
      <c r="R666" s="2" t="inlineStr"/>
    </row>
    <row r="667" ht="15" customHeight="1">
      <c r="A667" t="inlineStr">
        <is>
          <t>A 50965-2023</t>
        </is>
      </c>
      <c r="B667" s="1" t="n">
        <v>45218</v>
      </c>
      <c r="C667" s="1" t="n">
        <v>45635</v>
      </c>
      <c r="D667" t="inlineStr">
        <is>
          <t>JÄMTLANDS LÄN</t>
        </is>
      </c>
      <c r="E667" t="inlineStr">
        <is>
          <t>ÖSTERSUND</t>
        </is>
      </c>
      <c r="G667" t="n">
        <v>3.5</v>
      </c>
      <c r="H667" t="n">
        <v>0</v>
      </c>
      <c r="I667" t="n">
        <v>0</v>
      </c>
      <c r="J667" t="n">
        <v>0</v>
      </c>
      <c r="K667" t="n">
        <v>0</v>
      </c>
      <c r="L667" t="n">
        <v>0</v>
      </c>
      <c r="M667" t="n">
        <v>0</v>
      </c>
      <c r="N667" t="n">
        <v>0</v>
      </c>
      <c r="O667" t="n">
        <v>0</v>
      </c>
      <c r="P667" t="n">
        <v>0</v>
      </c>
      <c r="Q667" t="n">
        <v>0</v>
      </c>
      <c r="R667" s="2" t="inlineStr"/>
    </row>
    <row r="668" ht="15" customHeight="1">
      <c r="A668" t="inlineStr">
        <is>
          <t>A 51480-2023</t>
        </is>
      </c>
      <c r="B668" s="1" t="n">
        <v>45222</v>
      </c>
      <c r="C668" s="1" t="n">
        <v>45635</v>
      </c>
      <c r="D668" t="inlineStr">
        <is>
          <t>JÄMTLANDS LÄN</t>
        </is>
      </c>
      <c r="E668" t="inlineStr">
        <is>
          <t>ÖSTERSUND</t>
        </is>
      </c>
      <c r="G668" t="n">
        <v>1.3</v>
      </c>
      <c r="H668" t="n">
        <v>0</v>
      </c>
      <c r="I668" t="n">
        <v>0</v>
      </c>
      <c r="J668" t="n">
        <v>0</v>
      </c>
      <c r="K668" t="n">
        <v>0</v>
      </c>
      <c r="L668" t="n">
        <v>0</v>
      </c>
      <c r="M668" t="n">
        <v>0</v>
      </c>
      <c r="N668" t="n">
        <v>0</v>
      </c>
      <c r="O668" t="n">
        <v>0</v>
      </c>
      <c r="P668" t="n">
        <v>0</v>
      </c>
      <c r="Q668" t="n">
        <v>0</v>
      </c>
      <c r="R668" s="2" t="inlineStr"/>
    </row>
    <row r="669" ht="15" customHeight="1">
      <c r="A669" t="inlineStr">
        <is>
          <t>A 51482-2023</t>
        </is>
      </c>
      <c r="B669" s="1" t="n">
        <v>45222</v>
      </c>
      <c r="C669" s="1" t="n">
        <v>45635</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51481-2023</t>
        </is>
      </c>
      <c r="B670" s="1" t="n">
        <v>45222</v>
      </c>
      <c r="C670" s="1" t="n">
        <v>45635</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51479-2023</t>
        </is>
      </c>
      <c r="B671" s="1" t="n">
        <v>45222</v>
      </c>
      <c r="C671" s="1" t="n">
        <v>45635</v>
      </c>
      <c r="D671" t="inlineStr">
        <is>
          <t>JÄMTLANDS LÄN</t>
        </is>
      </c>
      <c r="E671" t="inlineStr">
        <is>
          <t>ÖSTERSUND</t>
        </is>
      </c>
      <c r="G671" t="n">
        <v>1.9</v>
      </c>
      <c r="H671" t="n">
        <v>0</v>
      </c>
      <c r="I671" t="n">
        <v>0</v>
      </c>
      <c r="J671" t="n">
        <v>0</v>
      </c>
      <c r="K671" t="n">
        <v>0</v>
      </c>
      <c r="L671" t="n">
        <v>0</v>
      </c>
      <c r="M671" t="n">
        <v>0</v>
      </c>
      <c r="N671" t="n">
        <v>0</v>
      </c>
      <c r="O671" t="n">
        <v>0</v>
      </c>
      <c r="P671" t="n">
        <v>0</v>
      </c>
      <c r="Q671" t="n">
        <v>0</v>
      </c>
      <c r="R671" s="2" t="inlineStr"/>
    </row>
    <row r="672" ht="15" customHeight="1">
      <c r="A672" t="inlineStr">
        <is>
          <t>A 53152-2023</t>
        </is>
      </c>
      <c r="B672" s="1" t="n">
        <v>45222</v>
      </c>
      <c r="C672" s="1" t="n">
        <v>45635</v>
      </c>
      <c r="D672" t="inlineStr">
        <is>
          <t>JÄMTLANDS LÄN</t>
        </is>
      </c>
      <c r="E672" t="inlineStr">
        <is>
          <t>ÖSTERSUND</t>
        </is>
      </c>
      <c r="G672" t="n">
        <v>1</v>
      </c>
      <c r="H672" t="n">
        <v>0</v>
      </c>
      <c r="I672" t="n">
        <v>0</v>
      </c>
      <c r="J672" t="n">
        <v>0</v>
      </c>
      <c r="K672" t="n">
        <v>0</v>
      </c>
      <c r="L672" t="n">
        <v>0</v>
      </c>
      <c r="M672" t="n">
        <v>0</v>
      </c>
      <c r="N672" t="n">
        <v>0</v>
      </c>
      <c r="O672" t="n">
        <v>0</v>
      </c>
      <c r="P672" t="n">
        <v>0</v>
      </c>
      <c r="Q672" t="n">
        <v>0</v>
      </c>
      <c r="R672" s="2" t="inlineStr"/>
    </row>
    <row r="673" ht="15" customHeight="1">
      <c r="A673" t="inlineStr">
        <is>
          <t>A 51818-2023</t>
        </is>
      </c>
      <c r="B673" s="1" t="n">
        <v>45223</v>
      </c>
      <c r="C673" s="1" t="n">
        <v>45635</v>
      </c>
      <c r="D673" t="inlineStr">
        <is>
          <t>JÄMTLANDS LÄN</t>
        </is>
      </c>
      <c r="E673" t="inlineStr">
        <is>
          <t>ÖSTERSUND</t>
        </is>
      </c>
      <c r="G673" t="n">
        <v>4.7</v>
      </c>
      <c r="H673" t="n">
        <v>0</v>
      </c>
      <c r="I673" t="n">
        <v>0</v>
      </c>
      <c r="J673" t="n">
        <v>0</v>
      </c>
      <c r="K673" t="n">
        <v>0</v>
      </c>
      <c r="L673" t="n">
        <v>0</v>
      </c>
      <c r="M673" t="n">
        <v>0</v>
      </c>
      <c r="N673" t="n">
        <v>0</v>
      </c>
      <c r="O673" t="n">
        <v>0</v>
      </c>
      <c r="P673" t="n">
        <v>0</v>
      </c>
      <c r="Q673" t="n">
        <v>0</v>
      </c>
      <c r="R673" s="2" t="inlineStr"/>
    </row>
    <row r="674" ht="15" customHeight="1">
      <c r="A674" t="inlineStr">
        <is>
          <t>A 51913-2023</t>
        </is>
      </c>
      <c r="B674" s="1" t="n">
        <v>45223</v>
      </c>
      <c r="C674" s="1" t="n">
        <v>45635</v>
      </c>
      <c r="D674" t="inlineStr">
        <is>
          <t>JÄMTLANDS LÄN</t>
        </is>
      </c>
      <c r="E674" t="inlineStr">
        <is>
          <t>ÖSTERSUND</t>
        </is>
      </c>
      <c r="F674" t="inlineStr">
        <is>
          <t>Övriga Aktiebolag</t>
        </is>
      </c>
      <c r="G674" t="n">
        <v>3.4</v>
      </c>
      <c r="H674" t="n">
        <v>0</v>
      </c>
      <c r="I674" t="n">
        <v>0</v>
      </c>
      <c r="J674" t="n">
        <v>0</v>
      </c>
      <c r="K674" t="n">
        <v>0</v>
      </c>
      <c r="L674" t="n">
        <v>0</v>
      </c>
      <c r="M674" t="n">
        <v>0</v>
      </c>
      <c r="N674" t="n">
        <v>0</v>
      </c>
      <c r="O674" t="n">
        <v>0</v>
      </c>
      <c r="P674" t="n">
        <v>0</v>
      </c>
      <c r="Q674" t="n">
        <v>0</v>
      </c>
      <c r="R674" s="2" t="inlineStr"/>
    </row>
    <row r="675" ht="15" customHeight="1">
      <c r="A675" t="inlineStr">
        <is>
          <t>A 51942-2023</t>
        </is>
      </c>
      <c r="B675" s="1" t="n">
        <v>45223</v>
      </c>
      <c r="C675" s="1" t="n">
        <v>45635</v>
      </c>
      <c r="D675" t="inlineStr">
        <is>
          <t>JÄMTLANDS LÄN</t>
        </is>
      </c>
      <c r="E675" t="inlineStr">
        <is>
          <t>ÖSTERSUND</t>
        </is>
      </c>
      <c r="F675" t="inlineStr">
        <is>
          <t>Övriga Aktiebolag</t>
        </is>
      </c>
      <c r="G675" t="n">
        <v>0.6</v>
      </c>
      <c r="H675" t="n">
        <v>0</v>
      </c>
      <c r="I675" t="n">
        <v>0</v>
      </c>
      <c r="J675" t="n">
        <v>0</v>
      </c>
      <c r="K675" t="n">
        <v>0</v>
      </c>
      <c r="L675" t="n">
        <v>0</v>
      </c>
      <c r="M675" t="n">
        <v>0</v>
      </c>
      <c r="N675" t="n">
        <v>0</v>
      </c>
      <c r="O675" t="n">
        <v>0</v>
      </c>
      <c r="P675" t="n">
        <v>0</v>
      </c>
      <c r="Q675" t="n">
        <v>0</v>
      </c>
      <c r="R675" s="2" t="inlineStr"/>
    </row>
    <row r="676" ht="15" customHeight="1">
      <c r="A676" t="inlineStr">
        <is>
          <t>A 52128-2023</t>
        </is>
      </c>
      <c r="B676" s="1" t="n">
        <v>45223</v>
      </c>
      <c r="C676" s="1" t="n">
        <v>45635</v>
      </c>
      <c r="D676" t="inlineStr">
        <is>
          <t>JÄMTLANDS LÄN</t>
        </is>
      </c>
      <c r="E676" t="inlineStr">
        <is>
          <t>ÖSTERSUND</t>
        </is>
      </c>
      <c r="F676" t="inlineStr">
        <is>
          <t>SCA</t>
        </is>
      </c>
      <c r="G676" t="n">
        <v>11.9</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v>
      </c>
      <c r="C677" s="1" t="n">
        <v>45635</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45635</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53378-2023</t>
        </is>
      </c>
      <c r="B679" s="1" t="n">
        <v>45223</v>
      </c>
      <c r="C679" s="1" t="n">
        <v>45635</v>
      </c>
      <c r="D679" t="inlineStr">
        <is>
          <t>JÄMTLANDS LÄN</t>
        </is>
      </c>
      <c r="E679" t="inlineStr">
        <is>
          <t>ÖSTERSUND</t>
        </is>
      </c>
      <c r="G679" t="n">
        <v>1.5</v>
      </c>
      <c r="H679" t="n">
        <v>0</v>
      </c>
      <c r="I679" t="n">
        <v>0</v>
      </c>
      <c r="J679" t="n">
        <v>0</v>
      </c>
      <c r="K679" t="n">
        <v>0</v>
      </c>
      <c r="L679" t="n">
        <v>0</v>
      </c>
      <c r="M679" t="n">
        <v>0</v>
      </c>
      <c r="N679" t="n">
        <v>0</v>
      </c>
      <c r="O679" t="n">
        <v>0</v>
      </c>
      <c r="P679" t="n">
        <v>0</v>
      </c>
      <c r="Q679" t="n">
        <v>0</v>
      </c>
      <c r="R679" s="2" t="inlineStr"/>
    </row>
    <row r="680" ht="15" customHeight="1">
      <c r="A680" t="inlineStr">
        <is>
          <t>A 53380-2023</t>
        </is>
      </c>
      <c r="B680" s="1" t="n">
        <v>45223</v>
      </c>
      <c r="C680" s="1" t="n">
        <v>45635</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52553-2023</t>
        </is>
      </c>
      <c r="B681" s="1" t="n">
        <v>45225</v>
      </c>
      <c r="C681" s="1" t="n">
        <v>45635</v>
      </c>
      <c r="D681" t="inlineStr">
        <is>
          <t>JÄMTLANDS LÄN</t>
        </is>
      </c>
      <c r="E681" t="inlineStr">
        <is>
          <t>ÖSTERSUND</t>
        </is>
      </c>
      <c r="G681" t="n">
        <v>19.9</v>
      </c>
      <c r="H681" t="n">
        <v>0</v>
      </c>
      <c r="I681" t="n">
        <v>0</v>
      </c>
      <c r="J681" t="n">
        <v>0</v>
      </c>
      <c r="K681" t="n">
        <v>0</v>
      </c>
      <c r="L681" t="n">
        <v>0</v>
      </c>
      <c r="M681" t="n">
        <v>0</v>
      </c>
      <c r="N681" t="n">
        <v>0</v>
      </c>
      <c r="O681" t="n">
        <v>0</v>
      </c>
      <c r="P681" t="n">
        <v>0</v>
      </c>
      <c r="Q681" t="n">
        <v>0</v>
      </c>
      <c r="R681" s="2" t="inlineStr"/>
    </row>
    <row r="682" ht="15" customHeight="1">
      <c r="A682" t="inlineStr">
        <is>
          <t>A 55235-2023</t>
        </is>
      </c>
      <c r="B682" s="1" t="n">
        <v>45231</v>
      </c>
      <c r="C682" s="1" t="n">
        <v>45635</v>
      </c>
      <c r="D682" t="inlineStr">
        <is>
          <t>JÄMTLANDS LÄN</t>
        </is>
      </c>
      <c r="E682" t="inlineStr">
        <is>
          <t>ÖSTERSUND</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55251-2023</t>
        </is>
      </c>
      <c r="B683" s="1" t="n">
        <v>45231</v>
      </c>
      <c r="C683" s="1" t="n">
        <v>45635</v>
      </c>
      <c r="D683" t="inlineStr">
        <is>
          <t>JÄMTLANDS LÄN</t>
        </is>
      </c>
      <c r="E683" t="inlineStr">
        <is>
          <t>ÖSTERSUND</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55400-2023</t>
        </is>
      </c>
      <c r="B684" s="1" t="n">
        <v>45231</v>
      </c>
      <c r="C684" s="1" t="n">
        <v>45635</v>
      </c>
      <c r="D684" t="inlineStr">
        <is>
          <t>JÄMTLANDS LÄN</t>
        </is>
      </c>
      <c r="E684" t="inlineStr">
        <is>
          <t>ÖSTERSUND</t>
        </is>
      </c>
      <c r="G684" t="n">
        <v>1.7</v>
      </c>
      <c r="H684" t="n">
        <v>0</v>
      </c>
      <c r="I684" t="n">
        <v>0</v>
      </c>
      <c r="J684" t="n">
        <v>0</v>
      </c>
      <c r="K684" t="n">
        <v>0</v>
      </c>
      <c r="L684" t="n">
        <v>0</v>
      </c>
      <c r="M684" t="n">
        <v>0</v>
      </c>
      <c r="N684" t="n">
        <v>0</v>
      </c>
      <c r="O684" t="n">
        <v>0</v>
      </c>
      <c r="P684" t="n">
        <v>0</v>
      </c>
      <c r="Q684" t="n">
        <v>0</v>
      </c>
      <c r="R684" s="2" t="inlineStr"/>
    </row>
    <row r="685" ht="15" customHeight="1">
      <c r="A685" t="inlineStr">
        <is>
          <t>A 54131-2023</t>
        </is>
      </c>
      <c r="B685" s="1" t="n">
        <v>45232</v>
      </c>
      <c r="C685" s="1" t="n">
        <v>45635</v>
      </c>
      <c r="D685" t="inlineStr">
        <is>
          <t>JÄMTLANDS LÄN</t>
        </is>
      </c>
      <c r="E685" t="inlineStr">
        <is>
          <t>ÖSTERSUND</t>
        </is>
      </c>
      <c r="G685" t="n">
        <v>5.5</v>
      </c>
      <c r="H685" t="n">
        <v>0</v>
      </c>
      <c r="I685" t="n">
        <v>0</v>
      </c>
      <c r="J685" t="n">
        <v>0</v>
      </c>
      <c r="K685" t="n">
        <v>0</v>
      </c>
      <c r="L685" t="n">
        <v>0</v>
      </c>
      <c r="M685" t="n">
        <v>0</v>
      </c>
      <c r="N685" t="n">
        <v>0</v>
      </c>
      <c r="O685" t="n">
        <v>0</v>
      </c>
      <c r="P685" t="n">
        <v>0</v>
      </c>
      <c r="Q685" t="n">
        <v>0</v>
      </c>
      <c r="R685" s="2" t="inlineStr"/>
    </row>
    <row r="686" ht="15" customHeight="1">
      <c r="A686" t="inlineStr">
        <is>
          <t>A 54608-2023</t>
        </is>
      </c>
      <c r="B686" s="1" t="n">
        <v>45233</v>
      </c>
      <c r="C686" s="1" t="n">
        <v>45635</v>
      </c>
      <c r="D686" t="inlineStr">
        <is>
          <t>JÄMTLANDS LÄN</t>
        </is>
      </c>
      <c r="E686" t="inlineStr">
        <is>
          <t>ÖSTERSUND</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55996-2023</t>
        </is>
      </c>
      <c r="B687" s="1" t="n">
        <v>45233</v>
      </c>
      <c r="C687" s="1" t="n">
        <v>45635</v>
      </c>
      <c r="D687" t="inlineStr">
        <is>
          <t>JÄMTLANDS LÄN</t>
        </is>
      </c>
      <c r="E687" t="inlineStr">
        <is>
          <t>ÖSTERSUND</t>
        </is>
      </c>
      <c r="G687" t="n">
        <v>2.4</v>
      </c>
      <c r="H687" t="n">
        <v>0</v>
      </c>
      <c r="I687" t="n">
        <v>0</v>
      </c>
      <c r="J687" t="n">
        <v>0</v>
      </c>
      <c r="K687" t="n">
        <v>0</v>
      </c>
      <c r="L687" t="n">
        <v>0</v>
      </c>
      <c r="M687" t="n">
        <v>0</v>
      </c>
      <c r="N687" t="n">
        <v>0</v>
      </c>
      <c r="O687" t="n">
        <v>0</v>
      </c>
      <c r="P687" t="n">
        <v>0</v>
      </c>
      <c r="Q687" t="n">
        <v>0</v>
      </c>
      <c r="R687" s="2" t="inlineStr"/>
    </row>
    <row r="688" ht="15" customHeight="1">
      <c r="A688" t="inlineStr">
        <is>
          <t>A 56043-2023</t>
        </is>
      </c>
      <c r="B688" s="1" t="n">
        <v>45233</v>
      </c>
      <c r="C688" s="1" t="n">
        <v>45635</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54576-2023</t>
        </is>
      </c>
      <c r="B689" s="1" t="n">
        <v>45233</v>
      </c>
      <c r="C689" s="1" t="n">
        <v>45635</v>
      </c>
      <c r="D689" t="inlineStr">
        <is>
          <t>JÄMTLANDS LÄN</t>
        </is>
      </c>
      <c r="E689" t="inlineStr">
        <is>
          <t>ÖSTERSUND</t>
        </is>
      </c>
      <c r="F689" t="inlineStr">
        <is>
          <t>Övriga Aktiebolag</t>
        </is>
      </c>
      <c r="G689" t="n">
        <v>7.3</v>
      </c>
      <c r="H689" t="n">
        <v>0</v>
      </c>
      <c r="I689" t="n">
        <v>0</v>
      </c>
      <c r="J689" t="n">
        <v>0</v>
      </c>
      <c r="K689" t="n">
        <v>0</v>
      </c>
      <c r="L689" t="n">
        <v>0</v>
      </c>
      <c r="M689" t="n">
        <v>0</v>
      </c>
      <c r="N689" t="n">
        <v>0</v>
      </c>
      <c r="O689" t="n">
        <v>0</v>
      </c>
      <c r="P689" t="n">
        <v>0</v>
      </c>
      <c r="Q689" t="n">
        <v>0</v>
      </c>
      <c r="R689" s="2" t="inlineStr"/>
    </row>
    <row r="690" ht="15" customHeight="1">
      <c r="A690" t="inlineStr">
        <is>
          <t>A 54762-2023</t>
        </is>
      </c>
      <c r="B690" s="1" t="n">
        <v>45236</v>
      </c>
      <c r="C690" s="1" t="n">
        <v>45635</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54883-2023</t>
        </is>
      </c>
      <c r="B691" s="1" t="n">
        <v>45236</v>
      </c>
      <c r="C691" s="1" t="n">
        <v>45635</v>
      </c>
      <c r="D691" t="inlineStr">
        <is>
          <t>JÄMTLANDS LÄN</t>
        </is>
      </c>
      <c r="E691" t="inlineStr">
        <is>
          <t>ÖSTERSUND</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54973-2023</t>
        </is>
      </c>
      <c r="B692" s="1" t="n">
        <v>45236</v>
      </c>
      <c r="C692" s="1" t="n">
        <v>45635</v>
      </c>
      <c r="D692" t="inlineStr">
        <is>
          <t>JÄMTLANDS LÄN</t>
        </is>
      </c>
      <c r="E692" t="inlineStr">
        <is>
          <t>ÖSTERSUND</t>
        </is>
      </c>
      <c r="G692" t="n">
        <v>15.4</v>
      </c>
      <c r="H692" t="n">
        <v>0</v>
      </c>
      <c r="I692" t="n">
        <v>0</v>
      </c>
      <c r="J692" t="n">
        <v>0</v>
      </c>
      <c r="K692" t="n">
        <v>0</v>
      </c>
      <c r="L692" t="n">
        <v>0</v>
      </c>
      <c r="M692" t="n">
        <v>0</v>
      </c>
      <c r="N692" t="n">
        <v>0</v>
      </c>
      <c r="O692" t="n">
        <v>0</v>
      </c>
      <c r="P692" t="n">
        <v>0</v>
      </c>
      <c r="Q692" t="n">
        <v>0</v>
      </c>
      <c r="R692" s="2" t="inlineStr"/>
    </row>
    <row r="693" ht="15" customHeight="1">
      <c r="A693" t="inlineStr">
        <is>
          <t>A 55140-2023</t>
        </is>
      </c>
      <c r="B693" s="1" t="n">
        <v>45237</v>
      </c>
      <c r="C693" s="1" t="n">
        <v>45635</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55237-2023</t>
        </is>
      </c>
      <c r="B694" s="1" t="n">
        <v>45237</v>
      </c>
      <c r="C694" s="1" t="n">
        <v>45635</v>
      </c>
      <c r="D694" t="inlineStr">
        <is>
          <t>JÄMTLANDS LÄN</t>
        </is>
      </c>
      <c r="E694" t="inlineStr">
        <is>
          <t>ÖSTERSUND</t>
        </is>
      </c>
      <c r="G694" t="n">
        <v>2.7</v>
      </c>
      <c r="H694" t="n">
        <v>0</v>
      </c>
      <c r="I694" t="n">
        <v>0</v>
      </c>
      <c r="J694" t="n">
        <v>0</v>
      </c>
      <c r="K694" t="n">
        <v>0</v>
      </c>
      <c r="L694" t="n">
        <v>0</v>
      </c>
      <c r="M694" t="n">
        <v>0</v>
      </c>
      <c r="N694" t="n">
        <v>0</v>
      </c>
      <c r="O694" t="n">
        <v>0</v>
      </c>
      <c r="P694" t="n">
        <v>0</v>
      </c>
      <c r="Q694" t="n">
        <v>0</v>
      </c>
      <c r="R694" s="2" t="inlineStr"/>
    </row>
    <row r="695" ht="15" customHeight="1">
      <c r="A695" t="inlineStr">
        <is>
          <t>A 55233-2023</t>
        </is>
      </c>
      <c r="B695" s="1" t="n">
        <v>45237</v>
      </c>
      <c r="C695" s="1" t="n">
        <v>45635</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56440-2023</t>
        </is>
      </c>
      <c r="B696" s="1" t="n">
        <v>45237</v>
      </c>
      <c r="C696" s="1" t="n">
        <v>45635</v>
      </c>
      <c r="D696" t="inlineStr">
        <is>
          <t>JÄMTLANDS LÄN</t>
        </is>
      </c>
      <c r="E696" t="inlineStr">
        <is>
          <t>ÖSTERSUND</t>
        </is>
      </c>
      <c r="G696" t="n">
        <v>10.2</v>
      </c>
      <c r="H696" t="n">
        <v>0</v>
      </c>
      <c r="I696" t="n">
        <v>0</v>
      </c>
      <c r="J696" t="n">
        <v>0</v>
      </c>
      <c r="K696" t="n">
        <v>0</v>
      </c>
      <c r="L696" t="n">
        <v>0</v>
      </c>
      <c r="M696" t="n">
        <v>0</v>
      </c>
      <c r="N696" t="n">
        <v>0</v>
      </c>
      <c r="O696" t="n">
        <v>0</v>
      </c>
      <c r="P696" t="n">
        <v>0</v>
      </c>
      <c r="Q696" t="n">
        <v>0</v>
      </c>
      <c r="R696" s="2" t="inlineStr"/>
    </row>
    <row r="697" ht="15" customHeight="1">
      <c r="A697" t="inlineStr">
        <is>
          <t>A 55666-2023</t>
        </is>
      </c>
      <c r="B697" s="1" t="n">
        <v>45239</v>
      </c>
      <c r="C697" s="1" t="n">
        <v>45635</v>
      </c>
      <c r="D697" t="inlineStr">
        <is>
          <t>JÄMTLANDS LÄN</t>
        </is>
      </c>
      <c r="E697" t="inlineStr">
        <is>
          <t>ÖSTERSUND</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56597-2023</t>
        </is>
      </c>
      <c r="B698" s="1" t="n">
        <v>45238</v>
      </c>
      <c r="C698" s="1" t="n">
        <v>45635</v>
      </c>
      <c r="D698" t="inlineStr">
        <is>
          <t>JÄMTLANDS LÄN</t>
        </is>
      </c>
      <c r="E698" t="inlineStr">
        <is>
          <t>ÖSTERSUND</t>
        </is>
      </c>
      <c r="G698" t="n">
        <v>5.1</v>
      </c>
      <c r="H698" t="n">
        <v>0</v>
      </c>
      <c r="I698" t="n">
        <v>0</v>
      </c>
      <c r="J698" t="n">
        <v>0</v>
      </c>
      <c r="K698" t="n">
        <v>0</v>
      </c>
      <c r="L698" t="n">
        <v>0</v>
      </c>
      <c r="M698" t="n">
        <v>0</v>
      </c>
      <c r="N698" t="n">
        <v>0</v>
      </c>
      <c r="O698" t="n">
        <v>0</v>
      </c>
      <c r="P698" t="n">
        <v>0</v>
      </c>
      <c r="Q698" t="n">
        <v>0</v>
      </c>
      <c r="R698" s="2" t="inlineStr"/>
    </row>
    <row r="699" ht="15" customHeight="1">
      <c r="A699" t="inlineStr">
        <is>
          <t>A 55678-2023</t>
        </is>
      </c>
      <c r="B699" s="1" t="n">
        <v>45239</v>
      </c>
      <c r="C699" s="1" t="n">
        <v>45635</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55785-2023</t>
        </is>
      </c>
      <c r="B700" s="1" t="n">
        <v>45239</v>
      </c>
      <c r="C700" s="1" t="n">
        <v>45635</v>
      </c>
      <c r="D700" t="inlineStr">
        <is>
          <t>JÄMTLANDS LÄN</t>
        </is>
      </c>
      <c r="E700" t="inlineStr">
        <is>
          <t>ÖSTERSUND</t>
        </is>
      </c>
      <c r="F700" t="inlineStr">
        <is>
          <t>Övriga Aktiebolag</t>
        </is>
      </c>
      <c r="G700" t="n">
        <v>16.4</v>
      </c>
      <c r="H700" t="n">
        <v>0</v>
      </c>
      <c r="I700" t="n">
        <v>0</v>
      </c>
      <c r="J700" t="n">
        <v>0</v>
      </c>
      <c r="K700" t="n">
        <v>0</v>
      </c>
      <c r="L700" t="n">
        <v>0</v>
      </c>
      <c r="M700" t="n">
        <v>0</v>
      </c>
      <c r="N700" t="n">
        <v>0</v>
      </c>
      <c r="O700" t="n">
        <v>0</v>
      </c>
      <c r="P700" t="n">
        <v>0</v>
      </c>
      <c r="Q700" t="n">
        <v>0</v>
      </c>
      <c r="R700" s="2" t="inlineStr"/>
    </row>
    <row r="701" ht="15" customHeight="1">
      <c r="A701" t="inlineStr">
        <is>
          <t>A 55827-2023</t>
        </is>
      </c>
      <c r="B701" s="1" t="n">
        <v>45239</v>
      </c>
      <c r="C701" s="1" t="n">
        <v>45635</v>
      </c>
      <c r="D701" t="inlineStr">
        <is>
          <t>JÄMTLANDS LÄN</t>
        </is>
      </c>
      <c r="E701" t="inlineStr">
        <is>
          <t>ÖSTERSUND</t>
        </is>
      </c>
      <c r="F701" t="inlineStr">
        <is>
          <t>Övriga Aktiebolag</t>
        </is>
      </c>
      <c r="G701" t="n">
        <v>9.1</v>
      </c>
      <c r="H701" t="n">
        <v>0</v>
      </c>
      <c r="I701" t="n">
        <v>0</v>
      </c>
      <c r="J701" t="n">
        <v>0</v>
      </c>
      <c r="K701" t="n">
        <v>0</v>
      </c>
      <c r="L701" t="n">
        <v>0</v>
      </c>
      <c r="M701" t="n">
        <v>0</v>
      </c>
      <c r="N701" t="n">
        <v>0</v>
      </c>
      <c r="O701" t="n">
        <v>0</v>
      </c>
      <c r="P701" t="n">
        <v>0</v>
      </c>
      <c r="Q701" t="n">
        <v>0</v>
      </c>
      <c r="R701" s="2" t="inlineStr"/>
    </row>
    <row r="702" ht="15" customHeight="1">
      <c r="A702" t="inlineStr">
        <is>
          <t>A 56465-2023</t>
        </is>
      </c>
      <c r="B702" s="1" t="n">
        <v>45243</v>
      </c>
      <c r="C702" s="1" t="n">
        <v>45635</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56478-2023</t>
        </is>
      </c>
      <c r="B703" s="1" t="n">
        <v>45243</v>
      </c>
      <c r="C703" s="1" t="n">
        <v>45635</v>
      </c>
      <c r="D703" t="inlineStr">
        <is>
          <t>JÄMTLANDS LÄN</t>
        </is>
      </c>
      <c r="E703" t="inlineStr">
        <is>
          <t>ÖSTERSUND</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57863-2023</t>
        </is>
      </c>
      <c r="B704" s="1" t="n">
        <v>45244</v>
      </c>
      <c r="C704" s="1" t="n">
        <v>45635</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57398-2023</t>
        </is>
      </c>
      <c r="B705" s="1" t="n">
        <v>45245</v>
      </c>
      <c r="C705" s="1" t="n">
        <v>45635</v>
      </c>
      <c r="D705" t="inlineStr">
        <is>
          <t>JÄMTLANDS LÄN</t>
        </is>
      </c>
      <c r="E705" t="inlineStr">
        <is>
          <t>ÖSTERSUND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58809-2023</t>
        </is>
      </c>
      <c r="B706" s="1" t="n">
        <v>45247</v>
      </c>
      <c r="C706" s="1" t="n">
        <v>45635</v>
      </c>
      <c r="D706" t="inlineStr">
        <is>
          <t>JÄMTLANDS LÄN</t>
        </is>
      </c>
      <c r="E706" t="inlineStr">
        <is>
          <t>ÖSTERSUND</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58818-2023</t>
        </is>
      </c>
      <c r="B707" s="1" t="n">
        <v>45247</v>
      </c>
      <c r="C707" s="1" t="n">
        <v>45635</v>
      </c>
      <c r="D707" t="inlineStr">
        <is>
          <t>JÄMTLANDS LÄN</t>
        </is>
      </c>
      <c r="E707" t="inlineStr">
        <is>
          <t>ÖSTERSUND</t>
        </is>
      </c>
      <c r="G707" t="n">
        <v>6.7</v>
      </c>
      <c r="H707" t="n">
        <v>0</v>
      </c>
      <c r="I707" t="n">
        <v>0</v>
      </c>
      <c r="J707" t="n">
        <v>0</v>
      </c>
      <c r="K707" t="n">
        <v>0</v>
      </c>
      <c r="L707" t="n">
        <v>0</v>
      </c>
      <c r="M707" t="n">
        <v>0</v>
      </c>
      <c r="N707" t="n">
        <v>0</v>
      </c>
      <c r="O707" t="n">
        <v>0</v>
      </c>
      <c r="P707" t="n">
        <v>0</v>
      </c>
      <c r="Q707" t="n">
        <v>0</v>
      </c>
      <c r="R707" s="2" t="inlineStr"/>
    </row>
    <row r="708" ht="15" customHeight="1">
      <c r="A708" t="inlineStr">
        <is>
          <t>A 57839-2023</t>
        </is>
      </c>
      <c r="B708" s="1" t="n">
        <v>45247</v>
      </c>
      <c r="C708" s="1" t="n">
        <v>45635</v>
      </c>
      <c r="D708" t="inlineStr">
        <is>
          <t>JÄMTLANDS LÄN</t>
        </is>
      </c>
      <c r="E708" t="inlineStr">
        <is>
          <t>ÖSTERSUND</t>
        </is>
      </c>
      <c r="G708" t="n">
        <v>6.1</v>
      </c>
      <c r="H708" t="n">
        <v>0</v>
      </c>
      <c r="I708" t="n">
        <v>0</v>
      </c>
      <c r="J708" t="n">
        <v>0</v>
      </c>
      <c r="K708" t="n">
        <v>0</v>
      </c>
      <c r="L708" t="n">
        <v>0</v>
      </c>
      <c r="M708" t="n">
        <v>0</v>
      </c>
      <c r="N708" t="n">
        <v>0</v>
      </c>
      <c r="O708" t="n">
        <v>0</v>
      </c>
      <c r="P708" t="n">
        <v>0</v>
      </c>
      <c r="Q708" t="n">
        <v>0</v>
      </c>
      <c r="R708" s="2" t="inlineStr"/>
    </row>
    <row r="709" ht="15" customHeight="1">
      <c r="A709" t="inlineStr">
        <is>
          <t>A 59021-2023</t>
        </is>
      </c>
      <c r="B709" s="1" t="n">
        <v>45250</v>
      </c>
      <c r="C709" s="1" t="n">
        <v>45635</v>
      </c>
      <c r="D709" t="inlineStr">
        <is>
          <t>JÄMTLANDS LÄN</t>
        </is>
      </c>
      <c r="E709" t="inlineStr">
        <is>
          <t>ÖSTERSUND</t>
        </is>
      </c>
      <c r="G709" t="n">
        <v>7</v>
      </c>
      <c r="H709" t="n">
        <v>0</v>
      </c>
      <c r="I709" t="n">
        <v>0</v>
      </c>
      <c r="J709" t="n">
        <v>0</v>
      </c>
      <c r="K709" t="n">
        <v>0</v>
      </c>
      <c r="L709" t="n">
        <v>0</v>
      </c>
      <c r="M709" t="n">
        <v>0</v>
      </c>
      <c r="N709" t="n">
        <v>0</v>
      </c>
      <c r="O709" t="n">
        <v>0</v>
      </c>
      <c r="P709" t="n">
        <v>0</v>
      </c>
      <c r="Q709" t="n">
        <v>0</v>
      </c>
      <c r="R709" s="2" t="inlineStr"/>
    </row>
    <row r="710" ht="15" customHeight="1">
      <c r="A710" t="inlineStr">
        <is>
          <t>A 59094-2023</t>
        </is>
      </c>
      <c r="B710" s="1" t="n">
        <v>45253</v>
      </c>
      <c r="C710" s="1" t="n">
        <v>45635</v>
      </c>
      <c r="D710" t="inlineStr">
        <is>
          <t>JÄMTLANDS LÄN</t>
        </is>
      </c>
      <c r="E710" t="inlineStr">
        <is>
          <t>ÖSTERSUND</t>
        </is>
      </c>
      <c r="G710" t="n">
        <v>0.8</v>
      </c>
      <c r="H710" t="n">
        <v>0</v>
      </c>
      <c r="I710" t="n">
        <v>0</v>
      </c>
      <c r="J710" t="n">
        <v>0</v>
      </c>
      <c r="K710" t="n">
        <v>0</v>
      </c>
      <c r="L710" t="n">
        <v>0</v>
      </c>
      <c r="M710" t="n">
        <v>0</v>
      </c>
      <c r="N710" t="n">
        <v>0</v>
      </c>
      <c r="O710" t="n">
        <v>0</v>
      </c>
      <c r="P710" t="n">
        <v>0</v>
      </c>
      <c r="Q710" t="n">
        <v>0</v>
      </c>
      <c r="R710" s="2" t="inlineStr"/>
    </row>
    <row r="711" ht="15" customHeight="1">
      <c r="A711" t="inlineStr">
        <is>
          <t>A 59095-2023</t>
        </is>
      </c>
      <c r="B711" s="1" t="n">
        <v>45253</v>
      </c>
      <c r="C711" s="1" t="n">
        <v>45635</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59611-2023</t>
        </is>
      </c>
      <c r="B712" s="1" t="n">
        <v>45254</v>
      </c>
      <c r="C712" s="1" t="n">
        <v>45635</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59953-2023</t>
        </is>
      </c>
      <c r="B713" s="1" t="n">
        <v>45254</v>
      </c>
      <c r="C713" s="1" t="n">
        <v>45635</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59694-2023</t>
        </is>
      </c>
      <c r="B714" s="1" t="n">
        <v>45256</v>
      </c>
      <c r="C714" s="1" t="n">
        <v>45635</v>
      </c>
      <c r="D714" t="inlineStr">
        <is>
          <t>JÄMTLANDS LÄN</t>
        </is>
      </c>
      <c r="E714" t="inlineStr">
        <is>
          <t>ÖSTERSUND</t>
        </is>
      </c>
      <c r="G714" t="n">
        <v>4.1</v>
      </c>
      <c r="H714" t="n">
        <v>0</v>
      </c>
      <c r="I714" t="n">
        <v>0</v>
      </c>
      <c r="J714" t="n">
        <v>0</v>
      </c>
      <c r="K714" t="n">
        <v>0</v>
      </c>
      <c r="L714" t="n">
        <v>0</v>
      </c>
      <c r="M714" t="n">
        <v>0</v>
      </c>
      <c r="N714" t="n">
        <v>0</v>
      </c>
      <c r="O714" t="n">
        <v>0</v>
      </c>
      <c r="P714" t="n">
        <v>0</v>
      </c>
      <c r="Q714" t="n">
        <v>0</v>
      </c>
      <c r="R714" s="2" t="inlineStr"/>
    </row>
    <row r="715" ht="15" customHeight="1">
      <c r="A715" t="inlineStr">
        <is>
          <t>A 59813-2023</t>
        </is>
      </c>
      <c r="B715" s="1" t="n">
        <v>45257</v>
      </c>
      <c r="C715" s="1" t="n">
        <v>45635</v>
      </c>
      <c r="D715" t="inlineStr">
        <is>
          <t>JÄMTLANDS LÄN</t>
        </is>
      </c>
      <c r="E715" t="inlineStr">
        <is>
          <t>ÖSTERSUND</t>
        </is>
      </c>
      <c r="G715" t="n">
        <v>3.8</v>
      </c>
      <c r="H715" t="n">
        <v>0</v>
      </c>
      <c r="I715" t="n">
        <v>0</v>
      </c>
      <c r="J715" t="n">
        <v>0</v>
      </c>
      <c r="K715" t="n">
        <v>0</v>
      </c>
      <c r="L715" t="n">
        <v>0</v>
      </c>
      <c r="M715" t="n">
        <v>0</v>
      </c>
      <c r="N715" t="n">
        <v>0</v>
      </c>
      <c r="O715" t="n">
        <v>0</v>
      </c>
      <c r="P715" t="n">
        <v>0</v>
      </c>
      <c r="Q715" t="n">
        <v>0</v>
      </c>
      <c r="R715" s="2" t="inlineStr"/>
    </row>
    <row r="716" ht="15" customHeight="1">
      <c r="A716" t="inlineStr">
        <is>
          <t>A 60029-2023</t>
        </is>
      </c>
      <c r="B716" s="1" t="n">
        <v>45258</v>
      </c>
      <c r="C716" s="1" t="n">
        <v>45635</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60477-2023</t>
        </is>
      </c>
      <c r="B717" s="1" t="n">
        <v>45258</v>
      </c>
      <c r="C717" s="1" t="n">
        <v>45635</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60794-2023</t>
        </is>
      </c>
      <c r="B718" s="1" t="n">
        <v>45260</v>
      </c>
      <c r="C718" s="1" t="n">
        <v>45635</v>
      </c>
      <c r="D718" t="inlineStr">
        <is>
          <t>JÄMTLANDS LÄN</t>
        </is>
      </c>
      <c r="E718" t="inlineStr">
        <is>
          <t>ÖSTERSUND</t>
        </is>
      </c>
      <c r="G718" t="n">
        <v>3.6</v>
      </c>
      <c r="H718" t="n">
        <v>0</v>
      </c>
      <c r="I718" t="n">
        <v>0</v>
      </c>
      <c r="J718" t="n">
        <v>0</v>
      </c>
      <c r="K718" t="n">
        <v>0</v>
      </c>
      <c r="L718" t="n">
        <v>0</v>
      </c>
      <c r="M718" t="n">
        <v>0</v>
      </c>
      <c r="N718" t="n">
        <v>0</v>
      </c>
      <c r="O718" t="n">
        <v>0</v>
      </c>
      <c r="P718" t="n">
        <v>0</v>
      </c>
      <c r="Q718" t="n">
        <v>0</v>
      </c>
      <c r="R718" s="2" t="inlineStr"/>
    </row>
    <row r="719" ht="15" customHeight="1">
      <c r="A719" t="inlineStr">
        <is>
          <t>A 60780-2023</t>
        </is>
      </c>
      <c r="B719" s="1" t="n">
        <v>45260</v>
      </c>
      <c r="C719" s="1" t="n">
        <v>45635</v>
      </c>
      <c r="D719" t="inlineStr">
        <is>
          <t>JÄMTLANDS LÄN</t>
        </is>
      </c>
      <c r="E719" t="inlineStr">
        <is>
          <t>ÖSTERSUND</t>
        </is>
      </c>
      <c r="G719" t="n">
        <v>3.7</v>
      </c>
      <c r="H719" t="n">
        <v>0</v>
      </c>
      <c r="I719" t="n">
        <v>0</v>
      </c>
      <c r="J719" t="n">
        <v>0</v>
      </c>
      <c r="K719" t="n">
        <v>0</v>
      </c>
      <c r="L719" t="n">
        <v>0</v>
      </c>
      <c r="M719" t="n">
        <v>0</v>
      </c>
      <c r="N719" t="n">
        <v>0</v>
      </c>
      <c r="O719" t="n">
        <v>0</v>
      </c>
      <c r="P719" t="n">
        <v>0</v>
      </c>
      <c r="Q719" t="n">
        <v>0</v>
      </c>
      <c r="R719" s="2" t="inlineStr"/>
    </row>
    <row r="720" ht="15" customHeight="1">
      <c r="A720" t="inlineStr">
        <is>
          <t>A 61135-2023</t>
        </is>
      </c>
      <c r="B720" s="1" t="n">
        <v>45261</v>
      </c>
      <c r="C720" s="1" t="n">
        <v>45635</v>
      </c>
      <c r="D720" t="inlineStr">
        <is>
          <t>JÄMTLANDS LÄN</t>
        </is>
      </c>
      <c r="E720" t="inlineStr">
        <is>
          <t>ÖSTERSUND</t>
        </is>
      </c>
      <c r="G720" t="n">
        <v>7.3</v>
      </c>
      <c r="H720" t="n">
        <v>0</v>
      </c>
      <c r="I720" t="n">
        <v>0</v>
      </c>
      <c r="J720" t="n">
        <v>0</v>
      </c>
      <c r="K720" t="n">
        <v>0</v>
      </c>
      <c r="L720" t="n">
        <v>0</v>
      </c>
      <c r="M720" t="n">
        <v>0</v>
      </c>
      <c r="N720" t="n">
        <v>0</v>
      </c>
      <c r="O720" t="n">
        <v>0</v>
      </c>
      <c r="P720" t="n">
        <v>0</v>
      </c>
      <c r="Q720" t="n">
        <v>0</v>
      </c>
      <c r="R720" s="2" t="inlineStr"/>
    </row>
    <row r="721" ht="15" customHeight="1">
      <c r="A721" t="inlineStr">
        <is>
          <t>A 61535-2023</t>
        </is>
      </c>
      <c r="B721" s="1" t="n">
        <v>45261</v>
      </c>
      <c r="C721" s="1" t="n">
        <v>45635</v>
      </c>
      <c r="D721" t="inlineStr">
        <is>
          <t>JÄMTLANDS LÄN</t>
        </is>
      </c>
      <c r="E721" t="inlineStr">
        <is>
          <t>ÖSTERSUND</t>
        </is>
      </c>
      <c r="F721" t="inlineStr">
        <is>
          <t>Övriga statliga verk och myndigheter</t>
        </is>
      </c>
      <c r="G721" t="n">
        <v>2.6</v>
      </c>
      <c r="H721" t="n">
        <v>0</v>
      </c>
      <c r="I721" t="n">
        <v>0</v>
      </c>
      <c r="J721" t="n">
        <v>0</v>
      </c>
      <c r="K721" t="n">
        <v>0</v>
      </c>
      <c r="L721" t="n">
        <v>0</v>
      </c>
      <c r="M721" t="n">
        <v>0</v>
      </c>
      <c r="N721" t="n">
        <v>0</v>
      </c>
      <c r="O721" t="n">
        <v>0</v>
      </c>
      <c r="P721" t="n">
        <v>0</v>
      </c>
      <c r="Q721" t="n">
        <v>0</v>
      </c>
      <c r="R721" s="2" t="inlineStr"/>
    </row>
    <row r="722" ht="15" customHeight="1">
      <c r="A722" t="inlineStr">
        <is>
          <t>A 61530-2023</t>
        </is>
      </c>
      <c r="B722" s="1" t="n">
        <v>45261</v>
      </c>
      <c r="C722" s="1" t="n">
        <v>45635</v>
      </c>
      <c r="D722" t="inlineStr">
        <is>
          <t>JÄMTLANDS LÄN</t>
        </is>
      </c>
      <c r="E722" t="inlineStr">
        <is>
          <t>ÖSTERSUND</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61635-2023</t>
        </is>
      </c>
      <c r="B723" s="1" t="n">
        <v>45261</v>
      </c>
      <c r="C723" s="1" t="n">
        <v>45635</v>
      </c>
      <c r="D723" t="inlineStr">
        <is>
          <t>JÄMTLANDS LÄN</t>
        </is>
      </c>
      <c r="E723" t="inlineStr">
        <is>
          <t>ÖSTERSUND</t>
        </is>
      </c>
      <c r="G723" t="n">
        <v>2.2</v>
      </c>
      <c r="H723" t="n">
        <v>0</v>
      </c>
      <c r="I723" t="n">
        <v>0</v>
      </c>
      <c r="J723" t="n">
        <v>0</v>
      </c>
      <c r="K723" t="n">
        <v>0</v>
      </c>
      <c r="L723" t="n">
        <v>0</v>
      </c>
      <c r="M723" t="n">
        <v>0</v>
      </c>
      <c r="N723" t="n">
        <v>0</v>
      </c>
      <c r="O723" t="n">
        <v>0</v>
      </c>
      <c r="P723" t="n">
        <v>0</v>
      </c>
      <c r="Q723" t="n">
        <v>0</v>
      </c>
      <c r="R723" s="2" t="inlineStr"/>
    </row>
    <row r="724" ht="15" customHeight="1">
      <c r="A724" t="inlineStr">
        <is>
          <t>A 61506-2023</t>
        </is>
      </c>
      <c r="B724" s="1" t="n">
        <v>45264</v>
      </c>
      <c r="C724" s="1" t="n">
        <v>45635</v>
      </c>
      <c r="D724" t="inlineStr">
        <is>
          <t>JÄMTLANDS LÄN</t>
        </is>
      </c>
      <c r="E724" t="inlineStr">
        <is>
          <t>ÖSTERSUND</t>
        </is>
      </c>
      <c r="G724" t="n">
        <v>3</v>
      </c>
      <c r="H724" t="n">
        <v>0</v>
      </c>
      <c r="I724" t="n">
        <v>0</v>
      </c>
      <c r="J724" t="n">
        <v>0</v>
      </c>
      <c r="K724" t="n">
        <v>0</v>
      </c>
      <c r="L724" t="n">
        <v>0</v>
      </c>
      <c r="M724" t="n">
        <v>0</v>
      </c>
      <c r="N724" t="n">
        <v>0</v>
      </c>
      <c r="O724" t="n">
        <v>0</v>
      </c>
      <c r="P724" t="n">
        <v>0</v>
      </c>
      <c r="Q724" t="n">
        <v>0</v>
      </c>
      <c r="R724" s="2" t="inlineStr"/>
    </row>
    <row r="725" ht="15" customHeight="1">
      <c r="A725" t="inlineStr">
        <is>
          <t>A 61499-2023</t>
        </is>
      </c>
      <c r="B725" s="1" t="n">
        <v>45264</v>
      </c>
      <c r="C725" s="1" t="n">
        <v>45635</v>
      </c>
      <c r="D725" t="inlineStr">
        <is>
          <t>JÄMTLANDS LÄN</t>
        </is>
      </c>
      <c r="E725" t="inlineStr">
        <is>
          <t>ÖSTERSUND</t>
        </is>
      </c>
      <c r="F725" t="inlineStr">
        <is>
          <t>SCA</t>
        </is>
      </c>
      <c r="G725" t="n">
        <v>7</v>
      </c>
      <c r="H725" t="n">
        <v>0</v>
      </c>
      <c r="I725" t="n">
        <v>0</v>
      </c>
      <c r="J725" t="n">
        <v>0</v>
      </c>
      <c r="K725" t="n">
        <v>0</v>
      </c>
      <c r="L725" t="n">
        <v>0</v>
      </c>
      <c r="M725" t="n">
        <v>0</v>
      </c>
      <c r="N725" t="n">
        <v>0</v>
      </c>
      <c r="O725" t="n">
        <v>0</v>
      </c>
      <c r="P725" t="n">
        <v>0</v>
      </c>
      <c r="Q725" t="n">
        <v>0</v>
      </c>
      <c r="R725" s="2" t="inlineStr"/>
    </row>
    <row r="726" ht="15" customHeight="1">
      <c r="A726" t="inlineStr">
        <is>
          <t>A 62052-2023</t>
        </is>
      </c>
      <c r="B726" s="1" t="n">
        <v>45265</v>
      </c>
      <c r="C726" s="1" t="n">
        <v>45635</v>
      </c>
      <c r="D726" t="inlineStr">
        <is>
          <t>JÄMTLANDS LÄN</t>
        </is>
      </c>
      <c r="E726" t="inlineStr">
        <is>
          <t>ÖSTERSUND</t>
        </is>
      </c>
      <c r="G726" t="n">
        <v>3.3</v>
      </c>
      <c r="H726" t="n">
        <v>0</v>
      </c>
      <c r="I726" t="n">
        <v>0</v>
      </c>
      <c r="J726" t="n">
        <v>0</v>
      </c>
      <c r="K726" t="n">
        <v>0</v>
      </c>
      <c r="L726" t="n">
        <v>0</v>
      </c>
      <c r="M726" t="n">
        <v>0</v>
      </c>
      <c r="N726" t="n">
        <v>0</v>
      </c>
      <c r="O726" t="n">
        <v>0</v>
      </c>
      <c r="P726" t="n">
        <v>0</v>
      </c>
      <c r="Q726" t="n">
        <v>0</v>
      </c>
      <c r="R726" s="2" t="inlineStr"/>
    </row>
    <row r="727" ht="15" customHeight="1">
      <c r="A727" t="inlineStr">
        <is>
          <t>A 61791-2023</t>
        </is>
      </c>
      <c r="B727" s="1" t="n">
        <v>45265</v>
      </c>
      <c r="C727" s="1" t="n">
        <v>45635</v>
      </c>
      <c r="D727" t="inlineStr">
        <is>
          <t>JÄMTLANDS LÄN</t>
        </is>
      </c>
      <c r="E727" t="inlineStr">
        <is>
          <t>ÖSTERSUND</t>
        </is>
      </c>
      <c r="F727" t="inlineStr">
        <is>
          <t>SCA</t>
        </is>
      </c>
      <c r="G727" t="n">
        <v>11.4</v>
      </c>
      <c r="H727" t="n">
        <v>0</v>
      </c>
      <c r="I727" t="n">
        <v>0</v>
      </c>
      <c r="J727" t="n">
        <v>0</v>
      </c>
      <c r="K727" t="n">
        <v>0</v>
      </c>
      <c r="L727" t="n">
        <v>0</v>
      </c>
      <c r="M727" t="n">
        <v>0</v>
      </c>
      <c r="N727" t="n">
        <v>0</v>
      </c>
      <c r="O727" t="n">
        <v>0</v>
      </c>
      <c r="P727" t="n">
        <v>0</v>
      </c>
      <c r="Q727" t="n">
        <v>0</v>
      </c>
      <c r="R727" s="2" t="inlineStr"/>
    </row>
    <row r="728" ht="15" customHeight="1">
      <c r="A728" t="inlineStr">
        <is>
          <t>A 62835-2023</t>
        </is>
      </c>
      <c r="B728" s="1" t="n">
        <v>45271</v>
      </c>
      <c r="C728" s="1" t="n">
        <v>45635</v>
      </c>
      <c r="D728" t="inlineStr">
        <is>
          <t>JÄMTLANDS LÄN</t>
        </is>
      </c>
      <c r="E728" t="inlineStr">
        <is>
          <t>ÖSTERSUND</t>
        </is>
      </c>
      <c r="F728" t="inlineStr">
        <is>
          <t>SCA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62834-2023</t>
        </is>
      </c>
      <c r="B729" s="1" t="n">
        <v>45271</v>
      </c>
      <c r="C729" s="1" t="n">
        <v>45635</v>
      </c>
      <c r="D729" t="inlineStr">
        <is>
          <t>JÄMTLANDS LÄN</t>
        </is>
      </c>
      <c r="E729" t="inlineStr">
        <is>
          <t>ÖSTERSUND</t>
        </is>
      </c>
      <c r="F729" t="inlineStr">
        <is>
          <t>SCA</t>
        </is>
      </c>
      <c r="G729" t="n">
        <v>12.2</v>
      </c>
      <c r="H729" t="n">
        <v>0</v>
      </c>
      <c r="I729" t="n">
        <v>0</v>
      </c>
      <c r="J729" t="n">
        <v>0</v>
      </c>
      <c r="K729" t="n">
        <v>0</v>
      </c>
      <c r="L729" t="n">
        <v>0</v>
      </c>
      <c r="M729" t="n">
        <v>0</v>
      </c>
      <c r="N729" t="n">
        <v>0</v>
      </c>
      <c r="O729" t="n">
        <v>0</v>
      </c>
      <c r="P729" t="n">
        <v>0</v>
      </c>
      <c r="Q729" t="n">
        <v>0</v>
      </c>
      <c r="R729" s="2" t="inlineStr"/>
    </row>
    <row r="730" ht="15" customHeight="1">
      <c r="A730" t="inlineStr">
        <is>
          <t>A 63086-2023</t>
        </is>
      </c>
      <c r="B730" s="1" t="n">
        <v>45272</v>
      </c>
      <c r="C730" s="1" t="n">
        <v>45635</v>
      </c>
      <c r="D730" t="inlineStr">
        <is>
          <t>JÄMTLANDS LÄN</t>
        </is>
      </c>
      <c r="E730" t="inlineStr">
        <is>
          <t>ÖSTERSUND</t>
        </is>
      </c>
      <c r="F730" t="inlineStr">
        <is>
          <t>Övriga statliga verk och myndigheter</t>
        </is>
      </c>
      <c r="G730" t="n">
        <v>2.9</v>
      </c>
      <c r="H730" t="n">
        <v>0</v>
      </c>
      <c r="I730" t="n">
        <v>0</v>
      </c>
      <c r="J730" t="n">
        <v>0</v>
      </c>
      <c r="K730" t="n">
        <v>0</v>
      </c>
      <c r="L730" t="n">
        <v>0</v>
      </c>
      <c r="M730" t="n">
        <v>0</v>
      </c>
      <c r="N730" t="n">
        <v>0</v>
      </c>
      <c r="O730" t="n">
        <v>0</v>
      </c>
      <c r="P730" t="n">
        <v>0</v>
      </c>
      <c r="Q730" t="n">
        <v>0</v>
      </c>
      <c r="R730" s="2" t="inlineStr"/>
    </row>
    <row r="731" ht="15" customHeight="1">
      <c r="A731" t="inlineStr">
        <is>
          <t>A 63101-2023</t>
        </is>
      </c>
      <c r="B731" s="1" t="n">
        <v>45273</v>
      </c>
      <c r="C731" s="1" t="n">
        <v>45635</v>
      </c>
      <c r="D731" t="inlineStr">
        <is>
          <t>JÄMTLANDS LÄN</t>
        </is>
      </c>
      <c r="E731" t="inlineStr">
        <is>
          <t>ÖSTERSUND</t>
        </is>
      </c>
      <c r="G731" t="n">
        <v>2.1</v>
      </c>
      <c r="H731" t="n">
        <v>0</v>
      </c>
      <c r="I731" t="n">
        <v>0</v>
      </c>
      <c r="J731" t="n">
        <v>0</v>
      </c>
      <c r="K731" t="n">
        <v>0</v>
      </c>
      <c r="L731" t="n">
        <v>0</v>
      </c>
      <c r="M731" t="n">
        <v>0</v>
      </c>
      <c r="N731" t="n">
        <v>0</v>
      </c>
      <c r="O731" t="n">
        <v>0</v>
      </c>
      <c r="P731" t="n">
        <v>0</v>
      </c>
      <c r="Q731" t="n">
        <v>0</v>
      </c>
      <c r="R731" s="2" t="inlineStr"/>
    </row>
    <row r="732" ht="15" customHeight="1">
      <c r="A732" t="inlineStr">
        <is>
          <t>A 63099-2023</t>
        </is>
      </c>
      <c r="B732" s="1" t="n">
        <v>45273</v>
      </c>
      <c r="C732" s="1" t="n">
        <v>45635</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63320-2023</t>
        </is>
      </c>
      <c r="B733" s="1" t="n">
        <v>45273</v>
      </c>
      <c r="C733" s="1" t="n">
        <v>45635</v>
      </c>
      <c r="D733" t="inlineStr">
        <is>
          <t>JÄMTLANDS LÄN</t>
        </is>
      </c>
      <c r="E733" t="inlineStr">
        <is>
          <t>ÖSTERSUND</t>
        </is>
      </c>
      <c r="G733" t="n">
        <v>11.3</v>
      </c>
      <c r="H733" t="n">
        <v>0</v>
      </c>
      <c r="I733" t="n">
        <v>0</v>
      </c>
      <c r="J733" t="n">
        <v>0</v>
      </c>
      <c r="K733" t="n">
        <v>0</v>
      </c>
      <c r="L733" t="n">
        <v>0</v>
      </c>
      <c r="M733" t="n">
        <v>0</v>
      </c>
      <c r="N733" t="n">
        <v>0</v>
      </c>
      <c r="O733" t="n">
        <v>0</v>
      </c>
      <c r="P733" t="n">
        <v>0</v>
      </c>
      <c r="Q733" t="n">
        <v>0</v>
      </c>
      <c r="R733" s="2" t="inlineStr"/>
    </row>
    <row r="734" ht="15" customHeight="1">
      <c r="A734" t="inlineStr">
        <is>
          <t>A 63739-2023</t>
        </is>
      </c>
      <c r="B734" s="1" t="n">
        <v>45277</v>
      </c>
      <c r="C734" s="1" t="n">
        <v>45635</v>
      </c>
      <c r="D734" t="inlineStr">
        <is>
          <t>JÄMTLANDS LÄN</t>
        </is>
      </c>
      <c r="E734" t="inlineStr">
        <is>
          <t>ÖSTERSUND</t>
        </is>
      </c>
      <c r="G734" t="n">
        <v>5.1</v>
      </c>
      <c r="H734" t="n">
        <v>0</v>
      </c>
      <c r="I734" t="n">
        <v>0</v>
      </c>
      <c r="J734" t="n">
        <v>0</v>
      </c>
      <c r="K734" t="n">
        <v>0</v>
      </c>
      <c r="L734" t="n">
        <v>0</v>
      </c>
      <c r="M734" t="n">
        <v>0</v>
      </c>
      <c r="N734" t="n">
        <v>0</v>
      </c>
      <c r="O734" t="n">
        <v>0</v>
      </c>
      <c r="P734" t="n">
        <v>0</v>
      </c>
      <c r="Q734" t="n">
        <v>0</v>
      </c>
      <c r="R734" s="2" t="inlineStr"/>
    </row>
    <row r="735" ht="15" customHeight="1">
      <c r="A735" t="inlineStr">
        <is>
          <t>A 63740-2023</t>
        </is>
      </c>
      <c r="B735" s="1" t="n">
        <v>45277</v>
      </c>
      <c r="C735" s="1" t="n">
        <v>45635</v>
      </c>
      <c r="D735" t="inlineStr">
        <is>
          <t>JÄMTLANDS LÄN</t>
        </is>
      </c>
      <c r="E735" t="inlineStr">
        <is>
          <t>ÖSTERSUND</t>
        </is>
      </c>
      <c r="G735" t="n">
        <v>3.9</v>
      </c>
      <c r="H735" t="n">
        <v>0</v>
      </c>
      <c r="I735" t="n">
        <v>0</v>
      </c>
      <c r="J735" t="n">
        <v>0</v>
      </c>
      <c r="K735" t="n">
        <v>0</v>
      </c>
      <c r="L735" t="n">
        <v>0</v>
      </c>
      <c r="M735" t="n">
        <v>0</v>
      </c>
      <c r="N735" t="n">
        <v>0</v>
      </c>
      <c r="O735" t="n">
        <v>0</v>
      </c>
      <c r="P735" t="n">
        <v>0</v>
      </c>
      <c r="Q735" t="n">
        <v>0</v>
      </c>
      <c r="R735" s="2" t="inlineStr"/>
    </row>
    <row r="736" ht="15" customHeight="1">
      <c r="A736" t="inlineStr">
        <is>
          <t>A 64233-2023</t>
        </is>
      </c>
      <c r="B736" s="1" t="n">
        <v>45279</v>
      </c>
      <c r="C736" s="1" t="n">
        <v>45635</v>
      </c>
      <c r="D736" t="inlineStr">
        <is>
          <t>JÄMTLANDS LÄN</t>
        </is>
      </c>
      <c r="E736" t="inlineStr">
        <is>
          <t>ÖSTERSUND</t>
        </is>
      </c>
      <c r="G736" t="n">
        <v>3.3</v>
      </c>
      <c r="H736" t="n">
        <v>0</v>
      </c>
      <c r="I736" t="n">
        <v>0</v>
      </c>
      <c r="J736" t="n">
        <v>0</v>
      </c>
      <c r="K736" t="n">
        <v>0</v>
      </c>
      <c r="L736" t="n">
        <v>0</v>
      </c>
      <c r="M736" t="n">
        <v>0</v>
      </c>
      <c r="N736" t="n">
        <v>0</v>
      </c>
      <c r="O736" t="n">
        <v>0</v>
      </c>
      <c r="P736" t="n">
        <v>0</v>
      </c>
      <c r="Q736" t="n">
        <v>0</v>
      </c>
      <c r="R736" s="2" t="inlineStr"/>
    </row>
    <row r="737" ht="15" customHeight="1">
      <c r="A737" t="inlineStr">
        <is>
          <t>A 64267-2023</t>
        </is>
      </c>
      <c r="B737" s="1" t="n">
        <v>45279</v>
      </c>
      <c r="C737" s="1" t="n">
        <v>45635</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64314-2023</t>
        </is>
      </c>
      <c r="B738" s="1" t="n">
        <v>45280</v>
      </c>
      <c r="C738" s="1" t="n">
        <v>45635</v>
      </c>
      <c r="D738" t="inlineStr">
        <is>
          <t>JÄMTLANDS LÄN</t>
        </is>
      </c>
      <c r="E738" t="inlineStr">
        <is>
          <t>ÖSTERSUND</t>
        </is>
      </c>
      <c r="G738" t="n">
        <v>0.6</v>
      </c>
      <c r="H738" t="n">
        <v>0</v>
      </c>
      <c r="I738" t="n">
        <v>0</v>
      </c>
      <c r="J738" t="n">
        <v>0</v>
      </c>
      <c r="K738" t="n">
        <v>0</v>
      </c>
      <c r="L738" t="n">
        <v>0</v>
      </c>
      <c r="M738" t="n">
        <v>0</v>
      </c>
      <c r="N738" t="n">
        <v>0</v>
      </c>
      <c r="O738" t="n">
        <v>0</v>
      </c>
      <c r="P738" t="n">
        <v>0</v>
      </c>
      <c r="Q738" t="n">
        <v>0</v>
      </c>
      <c r="R738" s="2" t="inlineStr"/>
    </row>
    <row r="739" ht="15" customHeight="1">
      <c r="A739" t="inlineStr">
        <is>
          <t>A 64309-2023</t>
        </is>
      </c>
      <c r="B739" s="1" t="n">
        <v>45280</v>
      </c>
      <c r="C739" s="1" t="n">
        <v>45635</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64811-2023</t>
        </is>
      </c>
      <c r="B740" s="1" t="n">
        <v>45281</v>
      </c>
      <c r="C740" s="1" t="n">
        <v>45635</v>
      </c>
      <c r="D740" t="inlineStr">
        <is>
          <t>JÄMTLANDS LÄN</t>
        </is>
      </c>
      <c r="E740" t="inlineStr">
        <is>
          <t>ÖSTERSUND</t>
        </is>
      </c>
      <c r="G740" t="n">
        <v>7.6</v>
      </c>
      <c r="H740" t="n">
        <v>0</v>
      </c>
      <c r="I740" t="n">
        <v>0</v>
      </c>
      <c r="J740" t="n">
        <v>0</v>
      </c>
      <c r="K740" t="n">
        <v>0</v>
      </c>
      <c r="L740" t="n">
        <v>0</v>
      </c>
      <c r="M740" t="n">
        <v>0</v>
      </c>
      <c r="N740" t="n">
        <v>0</v>
      </c>
      <c r="O740" t="n">
        <v>0</v>
      </c>
      <c r="P740" t="n">
        <v>0</v>
      </c>
      <c r="Q740" t="n">
        <v>0</v>
      </c>
      <c r="R740" s="2" t="inlineStr"/>
    </row>
    <row r="741" ht="15" customHeight="1">
      <c r="A741" t="inlineStr">
        <is>
          <t>A 64954-2023</t>
        </is>
      </c>
      <c r="B741" s="1" t="n">
        <v>45282</v>
      </c>
      <c r="C741" s="1" t="n">
        <v>45635</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64953-2023</t>
        </is>
      </c>
      <c r="B742" s="1" t="n">
        <v>45282</v>
      </c>
      <c r="C742" s="1" t="n">
        <v>45635</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440-2024</t>
        </is>
      </c>
      <c r="B743" s="1" t="n">
        <v>45296</v>
      </c>
      <c r="C743" s="1" t="n">
        <v>45635</v>
      </c>
      <c r="D743" t="inlineStr">
        <is>
          <t>JÄMTLANDS LÄN</t>
        </is>
      </c>
      <c r="E743" t="inlineStr">
        <is>
          <t>ÖSTERSUND</t>
        </is>
      </c>
      <c r="F743" t="inlineStr">
        <is>
          <t>Kommuner</t>
        </is>
      </c>
      <c r="G743" t="n">
        <v>10.1</v>
      </c>
      <c r="H743" t="n">
        <v>0</v>
      </c>
      <c r="I743" t="n">
        <v>0</v>
      </c>
      <c r="J743" t="n">
        <v>0</v>
      </c>
      <c r="K743" t="n">
        <v>0</v>
      </c>
      <c r="L743" t="n">
        <v>0</v>
      </c>
      <c r="M743" t="n">
        <v>0</v>
      </c>
      <c r="N743" t="n">
        <v>0</v>
      </c>
      <c r="O743" t="n">
        <v>0</v>
      </c>
      <c r="P743" t="n">
        <v>0</v>
      </c>
      <c r="Q743" t="n">
        <v>0</v>
      </c>
      <c r="R743" s="2" t="inlineStr"/>
    </row>
    <row r="744" ht="15" customHeight="1">
      <c r="A744" t="inlineStr">
        <is>
          <t>A 484-2024</t>
        </is>
      </c>
      <c r="B744" s="1" t="n">
        <v>45298</v>
      </c>
      <c r="C744" s="1" t="n">
        <v>45635</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485-2024</t>
        </is>
      </c>
      <c r="B745" s="1" t="n">
        <v>45298</v>
      </c>
      <c r="C745" s="1" t="n">
        <v>45635</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846-2024</t>
        </is>
      </c>
      <c r="B746" s="1" t="n">
        <v>45300</v>
      </c>
      <c r="C746" s="1" t="n">
        <v>45635</v>
      </c>
      <c r="D746" t="inlineStr">
        <is>
          <t>JÄMTLANDS LÄN</t>
        </is>
      </c>
      <c r="E746" t="inlineStr">
        <is>
          <t>ÖSTERSUND</t>
        </is>
      </c>
      <c r="G746" t="n">
        <v>2.8</v>
      </c>
      <c r="H746" t="n">
        <v>0</v>
      </c>
      <c r="I746" t="n">
        <v>0</v>
      </c>
      <c r="J746" t="n">
        <v>0</v>
      </c>
      <c r="K746" t="n">
        <v>0</v>
      </c>
      <c r="L746" t="n">
        <v>0</v>
      </c>
      <c r="M746" t="n">
        <v>0</v>
      </c>
      <c r="N746" t="n">
        <v>0</v>
      </c>
      <c r="O746" t="n">
        <v>0</v>
      </c>
      <c r="P746" t="n">
        <v>0</v>
      </c>
      <c r="Q746" t="n">
        <v>0</v>
      </c>
      <c r="R746" s="2" t="inlineStr"/>
    </row>
    <row r="747" ht="15" customHeight="1">
      <c r="A747" t="inlineStr">
        <is>
          <t>A 748-2024</t>
        </is>
      </c>
      <c r="B747" s="1" t="n">
        <v>45300</v>
      </c>
      <c r="C747" s="1" t="n">
        <v>45635</v>
      </c>
      <c r="D747" t="inlineStr">
        <is>
          <t>JÄMTLANDS LÄN</t>
        </is>
      </c>
      <c r="E747" t="inlineStr">
        <is>
          <t>ÖSTERSUND</t>
        </is>
      </c>
      <c r="G747" t="n">
        <v>3.3</v>
      </c>
      <c r="H747" t="n">
        <v>0</v>
      </c>
      <c r="I747" t="n">
        <v>0</v>
      </c>
      <c r="J747" t="n">
        <v>0</v>
      </c>
      <c r="K747" t="n">
        <v>0</v>
      </c>
      <c r="L747" t="n">
        <v>0</v>
      </c>
      <c r="M747" t="n">
        <v>0</v>
      </c>
      <c r="N747" t="n">
        <v>0</v>
      </c>
      <c r="O747" t="n">
        <v>0</v>
      </c>
      <c r="P747" t="n">
        <v>0</v>
      </c>
      <c r="Q747" t="n">
        <v>0</v>
      </c>
      <c r="R747" s="2" t="inlineStr"/>
    </row>
    <row r="748" ht="15" customHeight="1">
      <c r="A748" t="inlineStr">
        <is>
          <t>A 1159-2024</t>
        </is>
      </c>
      <c r="B748" s="1" t="n">
        <v>45302</v>
      </c>
      <c r="C748" s="1" t="n">
        <v>45635</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1669-2024</t>
        </is>
      </c>
      <c r="B749" s="1" t="n">
        <v>45306</v>
      </c>
      <c r="C749" s="1" t="n">
        <v>45635</v>
      </c>
      <c r="D749" t="inlineStr">
        <is>
          <t>JÄMTLANDS LÄN</t>
        </is>
      </c>
      <c r="E749" t="inlineStr">
        <is>
          <t>ÖSTERSUND</t>
        </is>
      </c>
      <c r="G749" t="n">
        <v>1.6</v>
      </c>
      <c r="H749" t="n">
        <v>0</v>
      </c>
      <c r="I749" t="n">
        <v>0</v>
      </c>
      <c r="J749" t="n">
        <v>0</v>
      </c>
      <c r="K749" t="n">
        <v>0</v>
      </c>
      <c r="L749" t="n">
        <v>0</v>
      </c>
      <c r="M749" t="n">
        <v>0</v>
      </c>
      <c r="N749" t="n">
        <v>0</v>
      </c>
      <c r="O749" t="n">
        <v>0</v>
      </c>
      <c r="P749" t="n">
        <v>0</v>
      </c>
      <c r="Q749" t="n">
        <v>0</v>
      </c>
      <c r="R749" s="2" t="inlineStr"/>
    </row>
    <row r="750" ht="15" customHeight="1">
      <c r="A750" t="inlineStr">
        <is>
          <t>A 1670-2024</t>
        </is>
      </c>
      <c r="B750" s="1" t="n">
        <v>45306</v>
      </c>
      <c r="C750" s="1" t="n">
        <v>45635</v>
      </c>
      <c r="D750" t="inlineStr">
        <is>
          <t>JÄMTLANDS LÄN</t>
        </is>
      </c>
      <c r="E750" t="inlineStr">
        <is>
          <t>ÖSTERSUND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1873-2024</t>
        </is>
      </c>
      <c r="B751" s="1" t="n">
        <v>45307</v>
      </c>
      <c r="C751" s="1" t="n">
        <v>45635</v>
      </c>
      <c r="D751" t="inlineStr">
        <is>
          <t>JÄMTLANDS LÄN</t>
        </is>
      </c>
      <c r="E751" t="inlineStr">
        <is>
          <t>ÖSTERSUND</t>
        </is>
      </c>
      <c r="G751" t="n">
        <v>4.3</v>
      </c>
      <c r="H751" t="n">
        <v>0</v>
      </c>
      <c r="I751" t="n">
        <v>0</v>
      </c>
      <c r="J751" t="n">
        <v>0</v>
      </c>
      <c r="K751" t="n">
        <v>0</v>
      </c>
      <c r="L751" t="n">
        <v>0</v>
      </c>
      <c r="M751" t="n">
        <v>0</v>
      </c>
      <c r="N751" t="n">
        <v>0</v>
      </c>
      <c r="O751" t="n">
        <v>0</v>
      </c>
      <c r="P751" t="n">
        <v>0</v>
      </c>
      <c r="Q751" t="n">
        <v>0</v>
      </c>
      <c r="R751" s="2" t="inlineStr"/>
    </row>
    <row r="752" ht="15" customHeight="1">
      <c r="A752" t="inlineStr">
        <is>
          <t>A 2228-2024</t>
        </is>
      </c>
      <c r="B752" s="1" t="n">
        <v>45309</v>
      </c>
      <c r="C752" s="1" t="n">
        <v>45635</v>
      </c>
      <c r="D752" t="inlineStr">
        <is>
          <t>JÄMTLANDS LÄN</t>
        </is>
      </c>
      <c r="E752" t="inlineStr">
        <is>
          <t>ÖSTERSUND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2615-2024</t>
        </is>
      </c>
      <c r="B753" s="1" t="n">
        <v>45313</v>
      </c>
      <c r="C753" s="1" t="n">
        <v>45635</v>
      </c>
      <c r="D753" t="inlineStr">
        <is>
          <t>JÄMTLANDS LÄN</t>
        </is>
      </c>
      <c r="E753" t="inlineStr">
        <is>
          <t>ÖSTERSUND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2627-2024</t>
        </is>
      </c>
      <c r="B754" s="1" t="n">
        <v>45313</v>
      </c>
      <c r="C754" s="1" t="n">
        <v>45635</v>
      </c>
      <c r="D754" t="inlineStr">
        <is>
          <t>JÄMTLANDS LÄN</t>
        </is>
      </c>
      <c r="E754" t="inlineStr">
        <is>
          <t>ÖSTERSUND</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2756-2024</t>
        </is>
      </c>
      <c r="B755" s="1" t="n">
        <v>45314</v>
      </c>
      <c r="C755" s="1" t="n">
        <v>45635</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2984-2024</t>
        </is>
      </c>
      <c r="B756" s="1" t="n">
        <v>45315</v>
      </c>
      <c r="C756" s="1" t="n">
        <v>45635</v>
      </c>
      <c r="D756" t="inlineStr">
        <is>
          <t>JÄMTLANDS LÄN</t>
        </is>
      </c>
      <c r="E756" t="inlineStr">
        <is>
          <t>ÖSTERSUND</t>
        </is>
      </c>
      <c r="G756" t="n">
        <v>0.7</v>
      </c>
      <c r="H756" t="n">
        <v>0</v>
      </c>
      <c r="I756" t="n">
        <v>0</v>
      </c>
      <c r="J756" t="n">
        <v>0</v>
      </c>
      <c r="K756" t="n">
        <v>0</v>
      </c>
      <c r="L756" t="n">
        <v>0</v>
      </c>
      <c r="M756" t="n">
        <v>0</v>
      </c>
      <c r="N756" t="n">
        <v>0</v>
      </c>
      <c r="O756" t="n">
        <v>0</v>
      </c>
      <c r="P756" t="n">
        <v>0</v>
      </c>
      <c r="Q756" t="n">
        <v>0</v>
      </c>
      <c r="R756" s="2" t="inlineStr"/>
    </row>
    <row r="757" ht="15" customHeight="1">
      <c r="A757" t="inlineStr">
        <is>
          <t>A 2978-2024</t>
        </is>
      </c>
      <c r="B757" s="1" t="n">
        <v>45315</v>
      </c>
      <c r="C757" s="1" t="n">
        <v>45635</v>
      </c>
      <c r="D757" t="inlineStr">
        <is>
          <t>JÄMTLANDS LÄN</t>
        </is>
      </c>
      <c r="E757" t="inlineStr">
        <is>
          <t>ÖSTERSUND</t>
        </is>
      </c>
      <c r="G757" t="n">
        <v>1.7</v>
      </c>
      <c r="H757" t="n">
        <v>0</v>
      </c>
      <c r="I757" t="n">
        <v>0</v>
      </c>
      <c r="J757" t="n">
        <v>0</v>
      </c>
      <c r="K757" t="n">
        <v>0</v>
      </c>
      <c r="L757" t="n">
        <v>0</v>
      </c>
      <c r="M757" t="n">
        <v>0</v>
      </c>
      <c r="N757" t="n">
        <v>0</v>
      </c>
      <c r="O757" t="n">
        <v>0</v>
      </c>
      <c r="P757" t="n">
        <v>0</v>
      </c>
      <c r="Q757" t="n">
        <v>0</v>
      </c>
      <c r="R757" s="2" t="inlineStr"/>
    </row>
    <row r="758" ht="15" customHeight="1">
      <c r="A758" t="inlineStr">
        <is>
          <t>A 3186-2024</t>
        </is>
      </c>
      <c r="B758" s="1" t="n">
        <v>45316</v>
      </c>
      <c r="C758" s="1" t="n">
        <v>45635</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3230-2024</t>
        </is>
      </c>
      <c r="B759" s="1" t="n">
        <v>45316</v>
      </c>
      <c r="C759" s="1" t="n">
        <v>45635</v>
      </c>
      <c r="D759" t="inlineStr">
        <is>
          <t>JÄMTLANDS LÄN</t>
        </is>
      </c>
      <c r="E759" t="inlineStr">
        <is>
          <t>ÖSTERSUND</t>
        </is>
      </c>
      <c r="G759" t="n">
        <v>4.4</v>
      </c>
      <c r="H759" t="n">
        <v>0</v>
      </c>
      <c r="I759" t="n">
        <v>0</v>
      </c>
      <c r="J759" t="n">
        <v>0</v>
      </c>
      <c r="K759" t="n">
        <v>0</v>
      </c>
      <c r="L759" t="n">
        <v>0</v>
      </c>
      <c r="M759" t="n">
        <v>0</v>
      </c>
      <c r="N759" t="n">
        <v>0</v>
      </c>
      <c r="O759" t="n">
        <v>0</v>
      </c>
      <c r="P759" t="n">
        <v>0</v>
      </c>
      <c r="Q759" t="n">
        <v>0</v>
      </c>
      <c r="R759" s="2" t="inlineStr"/>
    </row>
    <row r="760" ht="15" customHeight="1">
      <c r="A760" t="inlineStr">
        <is>
          <t>A 3270-2024</t>
        </is>
      </c>
      <c r="B760" s="1" t="n">
        <v>45316</v>
      </c>
      <c r="C760" s="1" t="n">
        <v>45635</v>
      </c>
      <c r="D760" t="inlineStr">
        <is>
          <t>JÄMTLANDS LÄN</t>
        </is>
      </c>
      <c r="E760" t="inlineStr">
        <is>
          <t>ÖSTERSUND</t>
        </is>
      </c>
      <c r="G760" t="n">
        <v>7.5</v>
      </c>
      <c r="H760" t="n">
        <v>0</v>
      </c>
      <c r="I760" t="n">
        <v>0</v>
      </c>
      <c r="J760" t="n">
        <v>0</v>
      </c>
      <c r="K760" t="n">
        <v>0</v>
      </c>
      <c r="L760" t="n">
        <v>0</v>
      </c>
      <c r="M760" t="n">
        <v>0</v>
      </c>
      <c r="N760" t="n">
        <v>0</v>
      </c>
      <c r="O760" t="n">
        <v>0</v>
      </c>
      <c r="P760" t="n">
        <v>0</v>
      </c>
      <c r="Q760" t="n">
        <v>0</v>
      </c>
      <c r="R760" s="2" t="inlineStr"/>
    </row>
    <row r="761" ht="15" customHeight="1">
      <c r="A761" t="inlineStr">
        <is>
          <t>A 3610-2024</t>
        </is>
      </c>
      <c r="B761" s="1" t="n">
        <v>45320</v>
      </c>
      <c r="C761" s="1" t="n">
        <v>45635</v>
      </c>
      <c r="D761" t="inlineStr">
        <is>
          <t>JÄMTLANDS LÄN</t>
        </is>
      </c>
      <c r="E761" t="inlineStr">
        <is>
          <t>ÖSTERSUND</t>
        </is>
      </c>
      <c r="G761" t="n">
        <v>6.2</v>
      </c>
      <c r="H761" t="n">
        <v>0</v>
      </c>
      <c r="I761" t="n">
        <v>0</v>
      </c>
      <c r="J761" t="n">
        <v>0</v>
      </c>
      <c r="K761" t="n">
        <v>0</v>
      </c>
      <c r="L761" t="n">
        <v>0</v>
      </c>
      <c r="M761" t="n">
        <v>0</v>
      </c>
      <c r="N761" t="n">
        <v>0</v>
      </c>
      <c r="O761" t="n">
        <v>0</v>
      </c>
      <c r="P761" t="n">
        <v>0</v>
      </c>
      <c r="Q761" t="n">
        <v>0</v>
      </c>
      <c r="R761" s="2" t="inlineStr"/>
    </row>
    <row r="762" ht="15" customHeight="1">
      <c r="A762" t="inlineStr">
        <is>
          <t>A 3844-2024</t>
        </is>
      </c>
      <c r="B762" s="1" t="n">
        <v>45321</v>
      </c>
      <c r="C762" s="1" t="n">
        <v>45635</v>
      </c>
      <c r="D762" t="inlineStr">
        <is>
          <t>JÄMTLANDS LÄN</t>
        </is>
      </c>
      <c r="E762" t="inlineStr">
        <is>
          <t>ÖSTERSUND</t>
        </is>
      </c>
      <c r="G762" t="n">
        <v>2.2</v>
      </c>
      <c r="H762" t="n">
        <v>0</v>
      </c>
      <c r="I762" t="n">
        <v>0</v>
      </c>
      <c r="J762" t="n">
        <v>0</v>
      </c>
      <c r="K762" t="n">
        <v>0</v>
      </c>
      <c r="L762" t="n">
        <v>0</v>
      </c>
      <c r="M762" t="n">
        <v>0</v>
      </c>
      <c r="N762" t="n">
        <v>0</v>
      </c>
      <c r="O762" t="n">
        <v>0</v>
      </c>
      <c r="P762" t="n">
        <v>0</v>
      </c>
      <c r="Q762" t="n">
        <v>0</v>
      </c>
      <c r="R762" s="2" t="inlineStr"/>
    </row>
    <row r="763" ht="15" customHeight="1">
      <c r="A763" t="inlineStr">
        <is>
          <t>A 4176-2024</t>
        </is>
      </c>
      <c r="B763" s="1" t="n">
        <v>45323</v>
      </c>
      <c r="C763" s="1" t="n">
        <v>45635</v>
      </c>
      <c r="D763" t="inlineStr">
        <is>
          <t>JÄMTLANDS LÄN</t>
        </is>
      </c>
      <c r="E763" t="inlineStr">
        <is>
          <t>ÖSTERSUND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4350-2024</t>
        </is>
      </c>
      <c r="B764" s="1" t="n">
        <v>45324</v>
      </c>
      <c r="C764" s="1" t="n">
        <v>45635</v>
      </c>
      <c r="D764" t="inlineStr">
        <is>
          <t>JÄMTLANDS LÄN</t>
        </is>
      </c>
      <c r="E764" t="inlineStr">
        <is>
          <t>ÖSTERSUND</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4707-2024</t>
        </is>
      </c>
      <c r="B765" s="1" t="n">
        <v>45328</v>
      </c>
      <c r="C765" s="1" t="n">
        <v>45635</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5455-2024</t>
        </is>
      </c>
      <c r="B766" s="1" t="n">
        <v>45331</v>
      </c>
      <c r="C766" s="1" t="n">
        <v>45635</v>
      </c>
      <c r="D766" t="inlineStr">
        <is>
          <t>JÄMTLANDS LÄN</t>
        </is>
      </c>
      <c r="E766" t="inlineStr">
        <is>
          <t>ÖSTERSUND</t>
        </is>
      </c>
      <c r="G766" t="n">
        <v>4.8</v>
      </c>
      <c r="H766" t="n">
        <v>0</v>
      </c>
      <c r="I766" t="n">
        <v>0</v>
      </c>
      <c r="J766" t="n">
        <v>0</v>
      </c>
      <c r="K766" t="n">
        <v>0</v>
      </c>
      <c r="L766" t="n">
        <v>0</v>
      </c>
      <c r="M766" t="n">
        <v>0</v>
      </c>
      <c r="N766" t="n">
        <v>0</v>
      </c>
      <c r="O766" t="n">
        <v>0</v>
      </c>
      <c r="P766" t="n">
        <v>0</v>
      </c>
      <c r="Q766" t="n">
        <v>0</v>
      </c>
      <c r="R766" s="2" t="inlineStr"/>
    </row>
    <row r="767" ht="15" customHeight="1">
      <c r="A767" t="inlineStr">
        <is>
          <t>A 5920-2024</t>
        </is>
      </c>
      <c r="B767" s="1" t="n">
        <v>45335</v>
      </c>
      <c r="C767" s="1" t="n">
        <v>45635</v>
      </c>
      <c r="D767" t="inlineStr">
        <is>
          <t>JÄMTLANDS LÄN</t>
        </is>
      </c>
      <c r="E767" t="inlineStr">
        <is>
          <t>ÖSTERSUND</t>
        </is>
      </c>
      <c r="F767" t="inlineStr">
        <is>
          <t>SCA</t>
        </is>
      </c>
      <c r="G767" t="n">
        <v>17.8</v>
      </c>
      <c r="H767" t="n">
        <v>0</v>
      </c>
      <c r="I767" t="n">
        <v>0</v>
      </c>
      <c r="J767" t="n">
        <v>0</v>
      </c>
      <c r="K767" t="n">
        <v>0</v>
      </c>
      <c r="L767" t="n">
        <v>0</v>
      </c>
      <c r="M767" t="n">
        <v>0</v>
      </c>
      <c r="N767" t="n">
        <v>0</v>
      </c>
      <c r="O767" t="n">
        <v>0</v>
      </c>
      <c r="P767" t="n">
        <v>0</v>
      </c>
      <c r="Q767" t="n">
        <v>0</v>
      </c>
      <c r="R767" s="2" t="inlineStr"/>
    </row>
    <row r="768" ht="15" customHeight="1">
      <c r="A768" t="inlineStr">
        <is>
          <t>A 6048-2024</t>
        </is>
      </c>
      <c r="B768" s="1" t="n">
        <v>45336</v>
      </c>
      <c r="C768" s="1" t="n">
        <v>45635</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6056-2024</t>
        </is>
      </c>
      <c r="B769" s="1" t="n">
        <v>45336</v>
      </c>
      <c r="C769" s="1" t="n">
        <v>45635</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6053-2024</t>
        </is>
      </c>
      <c r="B770" s="1" t="n">
        <v>45336</v>
      </c>
      <c r="C770" s="1" t="n">
        <v>45635</v>
      </c>
      <c r="D770" t="inlineStr">
        <is>
          <t>JÄMTLANDS LÄN</t>
        </is>
      </c>
      <c r="E770" t="inlineStr">
        <is>
          <t>ÖSTERSUND</t>
        </is>
      </c>
      <c r="G770" t="n">
        <v>1.4</v>
      </c>
      <c r="H770" t="n">
        <v>0</v>
      </c>
      <c r="I770" t="n">
        <v>0</v>
      </c>
      <c r="J770" t="n">
        <v>0</v>
      </c>
      <c r="K770" t="n">
        <v>0</v>
      </c>
      <c r="L770" t="n">
        <v>0</v>
      </c>
      <c r="M770" t="n">
        <v>0</v>
      </c>
      <c r="N770" t="n">
        <v>0</v>
      </c>
      <c r="O770" t="n">
        <v>0</v>
      </c>
      <c r="P770" t="n">
        <v>0</v>
      </c>
      <c r="Q770" t="n">
        <v>0</v>
      </c>
      <c r="R770" s="2" t="inlineStr"/>
    </row>
    <row r="771" ht="15" customHeight="1">
      <c r="A771" t="inlineStr">
        <is>
          <t>A 6351-2024</t>
        </is>
      </c>
      <c r="B771" s="1" t="n">
        <v>45338</v>
      </c>
      <c r="C771" s="1" t="n">
        <v>45635</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6353-2024</t>
        </is>
      </c>
      <c r="B772" s="1" t="n">
        <v>45338</v>
      </c>
      <c r="C772" s="1" t="n">
        <v>45635</v>
      </c>
      <c r="D772" t="inlineStr">
        <is>
          <t>JÄMTLANDS LÄN</t>
        </is>
      </c>
      <c r="E772" t="inlineStr">
        <is>
          <t>ÖSTERSUND</t>
        </is>
      </c>
      <c r="G772" t="n">
        <v>1.9</v>
      </c>
      <c r="H772" t="n">
        <v>0</v>
      </c>
      <c r="I772" t="n">
        <v>0</v>
      </c>
      <c r="J772" t="n">
        <v>0</v>
      </c>
      <c r="K772" t="n">
        <v>0</v>
      </c>
      <c r="L772" t="n">
        <v>0</v>
      </c>
      <c r="M772" t="n">
        <v>0</v>
      </c>
      <c r="N772" t="n">
        <v>0</v>
      </c>
      <c r="O772" t="n">
        <v>0</v>
      </c>
      <c r="P772" t="n">
        <v>0</v>
      </c>
      <c r="Q772" t="n">
        <v>0</v>
      </c>
      <c r="R772" s="2" t="inlineStr"/>
    </row>
    <row r="773" ht="15" customHeight="1">
      <c r="A773" t="inlineStr">
        <is>
          <t>A 6376-2024</t>
        </is>
      </c>
      <c r="B773" s="1" t="n">
        <v>45338</v>
      </c>
      <c r="C773" s="1" t="n">
        <v>45635</v>
      </c>
      <c r="D773" t="inlineStr">
        <is>
          <t>JÄMTLANDS LÄN</t>
        </is>
      </c>
      <c r="E773" t="inlineStr">
        <is>
          <t>ÖSTERSUND</t>
        </is>
      </c>
      <c r="G773" t="n">
        <v>4.6</v>
      </c>
      <c r="H773" t="n">
        <v>0</v>
      </c>
      <c r="I773" t="n">
        <v>0</v>
      </c>
      <c r="J773" t="n">
        <v>0</v>
      </c>
      <c r="K773" t="n">
        <v>0</v>
      </c>
      <c r="L773" t="n">
        <v>0</v>
      </c>
      <c r="M773" t="n">
        <v>0</v>
      </c>
      <c r="N773" t="n">
        <v>0</v>
      </c>
      <c r="O773" t="n">
        <v>0</v>
      </c>
      <c r="P773" t="n">
        <v>0</v>
      </c>
      <c r="Q773" t="n">
        <v>0</v>
      </c>
      <c r="R773" s="2" t="inlineStr"/>
    </row>
    <row r="774" ht="15" customHeight="1">
      <c r="A774" t="inlineStr">
        <is>
          <t>A 6402-2024</t>
        </is>
      </c>
      <c r="B774" s="1" t="n">
        <v>45338</v>
      </c>
      <c r="C774" s="1" t="n">
        <v>45635</v>
      </c>
      <c r="D774" t="inlineStr">
        <is>
          <t>JÄMTLANDS LÄN</t>
        </is>
      </c>
      <c r="E774" t="inlineStr">
        <is>
          <t>ÖSTERSUND</t>
        </is>
      </c>
      <c r="G774" t="n">
        <v>4.4</v>
      </c>
      <c r="H774" t="n">
        <v>0</v>
      </c>
      <c r="I774" t="n">
        <v>0</v>
      </c>
      <c r="J774" t="n">
        <v>0</v>
      </c>
      <c r="K774" t="n">
        <v>0</v>
      </c>
      <c r="L774" t="n">
        <v>0</v>
      </c>
      <c r="M774" t="n">
        <v>0</v>
      </c>
      <c r="N774" t="n">
        <v>0</v>
      </c>
      <c r="O774" t="n">
        <v>0</v>
      </c>
      <c r="P774" t="n">
        <v>0</v>
      </c>
      <c r="Q774" t="n">
        <v>0</v>
      </c>
      <c r="R774" s="2" t="inlineStr"/>
    </row>
    <row r="775" ht="15" customHeight="1">
      <c r="A775" t="inlineStr">
        <is>
          <t>A 6481-2024</t>
        </is>
      </c>
      <c r="B775" s="1" t="n">
        <v>45338</v>
      </c>
      <c r="C775" s="1" t="n">
        <v>45635</v>
      </c>
      <c r="D775" t="inlineStr">
        <is>
          <t>JÄMTLANDS LÄN</t>
        </is>
      </c>
      <c r="E775" t="inlineStr">
        <is>
          <t>ÖSTERSUND</t>
        </is>
      </c>
      <c r="F775" t="inlineStr">
        <is>
          <t>SCA</t>
        </is>
      </c>
      <c r="G775" t="n">
        <v>21.3</v>
      </c>
      <c r="H775" t="n">
        <v>0</v>
      </c>
      <c r="I775" t="n">
        <v>0</v>
      </c>
      <c r="J775" t="n">
        <v>0</v>
      </c>
      <c r="K775" t="n">
        <v>0</v>
      </c>
      <c r="L775" t="n">
        <v>0</v>
      </c>
      <c r="M775" t="n">
        <v>0</v>
      </c>
      <c r="N775" t="n">
        <v>0</v>
      </c>
      <c r="O775" t="n">
        <v>0</v>
      </c>
      <c r="P775" t="n">
        <v>0</v>
      </c>
      <c r="Q775" t="n">
        <v>0</v>
      </c>
      <c r="R775" s="2" t="inlineStr"/>
    </row>
    <row r="776" ht="15" customHeight="1">
      <c r="A776" t="inlineStr">
        <is>
          <t>A 6877-2024</t>
        </is>
      </c>
      <c r="B776" s="1" t="n">
        <v>45342</v>
      </c>
      <c r="C776" s="1" t="n">
        <v>45635</v>
      </c>
      <c r="D776" t="inlineStr">
        <is>
          <t>JÄMTLANDS LÄN</t>
        </is>
      </c>
      <c r="E776" t="inlineStr">
        <is>
          <t>ÖSTERSUND</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7233-2024</t>
        </is>
      </c>
      <c r="B777" s="1" t="n">
        <v>45344</v>
      </c>
      <c r="C777" s="1" t="n">
        <v>45635</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7224-2024</t>
        </is>
      </c>
      <c r="B778" s="1" t="n">
        <v>45344</v>
      </c>
      <c r="C778" s="1" t="n">
        <v>45635</v>
      </c>
      <c r="D778" t="inlineStr">
        <is>
          <t>JÄMTLANDS LÄN</t>
        </is>
      </c>
      <c r="E778" t="inlineStr">
        <is>
          <t>ÖSTERSUND</t>
        </is>
      </c>
      <c r="G778" t="n">
        <v>2.9</v>
      </c>
      <c r="H778" t="n">
        <v>0</v>
      </c>
      <c r="I778" t="n">
        <v>0</v>
      </c>
      <c r="J778" t="n">
        <v>0</v>
      </c>
      <c r="K778" t="n">
        <v>0</v>
      </c>
      <c r="L778" t="n">
        <v>0</v>
      </c>
      <c r="M778" t="n">
        <v>0</v>
      </c>
      <c r="N778" t="n">
        <v>0</v>
      </c>
      <c r="O778" t="n">
        <v>0</v>
      </c>
      <c r="P778" t="n">
        <v>0</v>
      </c>
      <c r="Q778" t="n">
        <v>0</v>
      </c>
      <c r="R778" s="2" t="inlineStr"/>
    </row>
    <row r="779" ht="15" customHeight="1">
      <c r="A779" t="inlineStr">
        <is>
          <t>A 7228-2024</t>
        </is>
      </c>
      <c r="B779" s="1" t="n">
        <v>45344</v>
      </c>
      <c r="C779" s="1" t="n">
        <v>45635</v>
      </c>
      <c r="D779" t="inlineStr">
        <is>
          <t>JÄMTLANDS LÄN</t>
        </is>
      </c>
      <c r="E779" t="inlineStr">
        <is>
          <t>ÖSTERSUND</t>
        </is>
      </c>
      <c r="G779" t="n">
        <v>3</v>
      </c>
      <c r="H779" t="n">
        <v>0</v>
      </c>
      <c r="I779" t="n">
        <v>0</v>
      </c>
      <c r="J779" t="n">
        <v>0</v>
      </c>
      <c r="K779" t="n">
        <v>0</v>
      </c>
      <c r="L779" t="n">
        <v>0</v>
      </c>
      <c r="M779" t="n">
        <v>0</v>
      </c>
      <c r="N779" t="n">
        <v>0</v>
      </c>
      <c r="O779" t="n">
        <v>0</v>
      </c>
      <c r="P779" t="n">
        <v>0</v>
      </c>
      <c r="Q779" t="n">
        <v>0</v>
      </c>
      <c r="R779" s="2" t="inlineStr"/>
    </row>
    <row r="780" ht="15" customHeight="1">
      <c r="A780" t="inlineStr">
        <is>
          <t>A 7484-2024</t>
        </is>
      </c>
      <c r="B780" s="1" t="n">
        <v>45346</v>
      </c>
      <c r="C780" s="1" t="n">
        <v>45635</v>
      </c>
      <c r="D780" t="inlineStr">
        <is>
          <t>JÄMTLANDS LÄN</t>
        </is>
      </c>
      <c r="E780" t="inlineStr">
        <is>
          <t>ÖSTERSUND</t>
        </is>
      </c>
      <c r="G780" t="n">
        <v>5.4</v>
      </c>
      <c r="H780" t="n">
        <v>0</v>
      </c>
      <c r="I780" t="n">
        <v>0</v>
      </c>
      <c r="J780" t="n">
        <v>0</v>
      </c>
      <c r="K780" t="n">
        <v>0</v>
      </c>
      <c r="L780" t="n">
        <v>0</v>
      </c>
      <c r="M780" t="n">
        <v>0</v>
      </c>
      <c r="N780" t="n">
        <v>0</v>
      </c>
      <c r="O780" t="n">
        <v>0</v>
      </c>
      <c r="P780" t="n">
        <v>0</v>
      </c>
      <c r="Q780" t="n">
        <v>0</v>
      </c>
      <c r="R780" s="2" t="inlineStr"/>
    </row>
    <row r="781" ht="15" customHeight="1">
      <c r="A781" t="inlineStr">
        <is>
          <t>A 8166-2024</t>
        </is>
      </c>
      <c r="B781" s="1" t="n">
        <v>45349</v>
      </c>
      <c r="C781" s="1" t="n">
        <v>45635</v>
      </c>
      <c r="D781" t="inlineStr">
        <is>
          <t>JÄMTLANDS LÄN</t>
        </is>
      </c>
      <c r="E781" t="inlineStr">
        <is>
          <t>ÖSTERSUND</t>
        </is>
      </c>
      <c r="G781" t="n">
        <v>2.7</v>
      </c>
      <c r="H781" t="n">
        <v>0</v>
      </c>
      <c r="I781" t="n">
        <v>0</v>
      </c>
      <c r="J781" t="n">
        <v>0</v>
      </c>
      <c r="K781" t="n">
        <v>0</v>
      </c>
      <c r="L781" t="n">
        <v>0</v>
      </c>
      <c r="M781" t="n">
        <v>0</v>
      </c>
      <c r="N781" t="n">
        <v>0</v>
      </c>
      <c r="O781" t="n">
        <v>0</v>
      </c>
      <c r="P781" t="n">
        <v>0</v>
      </c>
      <c r="Q781" t="n">
        <v>0</v>
      </c>
      <c r="R781" s="2" t="inlineStr"/>
    </row>
    <row r="782" ht="15" customHeight="1">
      <c r="A782" t="inlineStr">
        <is>
          <t>A 9109-2024</t>
        </is>
      </c>
      <c r="B782" s="1" t="n">
        <v>45358</v>
      </c>
      <c r="C782" s="1" t="n">
        <v>45635</v>
      </c>
      <c r="D782" t="inlineStr">
        <is>
          <t>JÄMTLANDS LÄN</t>
        </is>
      </c>
      <c r="E782" t="inlineStr">
        <is>
          <t>ÖSTERSUND</t>
        </is>
      </c>
      <c r="G782" t="n">
        <v>17.1</v>
      </c>
      <c r="H782" t="n">
        <v>0</v>
      </c>
      <c r="I782" t="n">
        <v>0</v>
      </c>
      <c r="J782" t="n">
        <v>0</v>
      </c>
      <c r="K782" t="n">
        <v>0</v>
      </c>
      <c r="L782" t="n">
        <v>0</v>
      </c>
      <c r="M782" t="n">
        <v>0</v>
      </c>
      <c r="N782" t="n">
        <v>0</v>
      </c>
      <c r="O782" t="n">
        <v>0</v>
      </c>
      <c r="P782" t="n">
        <v>0</v>
      </c>
      <c r="Q782" t="n">
        <v>0</v>
      </c>
      <c r="R782" s="2" t="inlineStr"/>
    </row>
    <row r="783" ht="15" customHeight="1">
      <c r="A783" t="inlineStr">
        <is>
          <t>A 9151-2024</t>
        </is>
      </c>
      <c r="B783" s="1" t="n">
        <v>45358</v>
      </c>
      <c r="C783" s="1" t="n">
        <v>45635</v>
      </c>
      <c r="D783" t="inlineStr">
        <is>
          <t>JÄMTLANDS LÄN</t>
        </is>
      </c>
      <c r="E783" t="inlineStr">
        <is>
          <t>ÖSTERSUND</t>
        </is>
      </c>
      <c r="G783" t="n">
        <v>2.6</v>
      </c>
      <c r="H783" t="n">
        <v>0</v>
      </c>
      <c r="I783" t="n">
        <v>0</v>
      </c>
      <c r="J783" t="n">
        <v>0</v>
      </c>
      <c r="K783" t="n">
        <v>0</v>
      </c>
      <c r="L783" t="n">
        <v>0</v>
      </c>
      <c r="M783" t="n">
        <v>0</v>
      </c>
      <c r="N783" t="n">
        <v>0</v>
      </c>
      <c r="O783" t="n">
        <v>0</v>
      </c>
      <c r="P783" t="n">
        <v>0</v>
      </c>
      <c r="Q783" t="n">
        <v>0</v>
      </c>
      <c r="R783" s="2" t="inlineStr"/>
    </row>
    <row r="784" ht="15" customHeight="1">
      <c r="A784" t="inlineStr">
        <is>
          <t>A 9859-2024</t>
        </is>
      </c>
      <c r="B784" s="1" t="n">
        <v>45363</v>
      </c>
      <c r="C784" s="1" t="n">
        <v>45635</v>
      </c>
      <c r="D784" t="inlineStr">
        <is>
          <t>JÄMTLANDS LÄN</t>
        </is>
      </c>
      <c r="E784" t="inlineStr">
        <is>
          <t>ÖSTERSUND</t>
        </is>
      </c>
      <c r="G784" t="n">
        <v>5.5</v>
      </c>
      <c r="H784" t="n">
        <v>0</v>
      </c>
      <c r="I784" t="n">
        <v>0</v>
      </c>
      <c r="J784" t="n">
        <v>0</v>
      </c>
      <c r="K784" t="n">
        <v>0</v>
      </c>
      <c r="L784" t="n">
        <v>0</v>
      </c>
      <c r="M784" t="n">
        <v>0</v>
      </c>
      <c r="N784" t="n">
        <v>0</v>
      </c>
      <c r="O784" t="n">
        <v>0</v>
      </c>
      <c r="P784" t="n">
        <v>0</v>
      </c>
      <c r="Q784" t="n">
        <v>0</v>
      </c>
      <c r="R784" s="2" t="inlineStr"/>
    </row>
    <row r="785" ht="15" customHeight="1">
      <c r="A785" t="inlineStr">
        <is>
          <t>A 10064-2024</t>
        </is>
      </c>
      <c r="B785" s="1" t="n">
        <v>45364</v>
      </c>
      <c r="C785" s="1" t="n">
        <v>45635</v>
      </c>
      <c r="D785" t="inlineStr">
        <is>
          <t>JÄMTLANDS LÄN</t>
        </is>
      </c>
      <c r="E785" t="inlineStr">
        <is>
          <t>ÖSTERSUND</t>
        </is>
      </c>
      <c r="G785" t="n">
        <v>13.9</v>
      </c>
      <c r="H785" t="n">
        <v>0</v>
      </c>
      <c r="I785" t="n">
        <v>0</v>
      </c>
      <c r="J785" t="n">
        <v>0</v>
      </c>
      <c r="K785" t="n">
        <v>0</v>
      </c>
      <c r="L785" t="n">
        <v>0</v>
      </c>
      <c r="M785" t="n">
        <v>0</v>
      </c>
      <c r="N785" t="n">
        <v>0</v>
      </c>
      <c r="O785" t="n">
        <v>0</v>
      </c>
      <c r="P785" t="n">
        <v>0</v>
      </c>
      <c r="Q785" t="n">
        <v>0</v>
      </c>
      <c r="R785" s="2" t="inlineStr"/>
    </row>
    <row r="786" ht="15" customHeight="1">
      <c r="A786" t="inlineStr">
        <is>
          <t>A 10619-2024</t>
        </is>
      </c>
      <c r="B786" s="1" t="n">
        <v>45367</v>
      </c>
      <c r="C786" s="1" t="n">
        <v>45635</v>
      </c>
      <c r="D786" t="inlineStr">
        <is>
          <t>JÄMTLANDS LÄN</t>
        </is>
      </c>
      <c r="E786" t="inlineStr">
        <is>
          <t>ÖSTERSUND</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11052-2024</t>
        </is>
      </c>
      <c r="B787" s="1" t="n">
        <v>45370</v>
      </c>
      <c r="C787" s="1" t="n">
        <v>45635</v>
      </c>
      <c r="D787" t="inlineStr">
        <is>
          <t>JÄMTLANDS LÄN</t>
        </is>
      </c>
      <c r="E787" t="inlineStr">
        <is>
          <t>ÖSTERSUND</t>
        </is>
      </c>
      <c r="G787" t="n">
        <v>2.3</v>
      </c>
      <c r="H787" t="n">
        <v>0</v>
      </c>
      <c r="I787" t="n">
        <v>0</v>
      </c>
      <c r="J787" t="n">
        <v>0</v>
      </c>
      <c r="K787" t="n">
        <v>0</v>
      </c>
      <c r="L787" t="n">
        <v>0</v>
      </c>
      <c r="M787" t="n">
        <v>0</v>
      </c>
      <c r="N787" t="n">
        <v>0</v>
      </c>
      <c r="O787" t="n">
        <v>0</v>
      </c>
      <c r="P787" t="n">
        <v>0</v>
      </c>
      <c r="Q787" t="n">
        <v>0</v>
      </c>
      <c r="R787" s="2" t="inlineStr"/>
    </row>
    <row r="788" ht="15" customHeight="1">
      <c r="A788" t="inlineStr">
        <is>
          <t>A 11768-2024</t>
        </is>
      </c>
      <c r="B788" s="1" t="n">
        <v>45373</v>
      </c>
      <c r="C788" s="1" t="n">
        <v>45635</v>
      </c>
      <c r="D788" t="inlineStr">
        <is>
          <t>JÄMTLANDS LÄN</t>
        </is>
      </c>
      <c r="E788" t="inlineStr">
        <is>
          <t>ÖSTERSUND</t>
        </is>
      </c>
      <c r="F788" t="inlineStr">
        <is>
          <t>SCA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11877-2024</t>
        </is>
      </c>
      <c r="B789" s="1" t="n">
        <v>45376</v>
      </c>
      <c r="C789" s="1" t="n">
        <v>45635</v>
      </c>
      <c r="D789" t="inlineStr">
        <is>
          <t>JÄMTLANDS LÄN</t>
        </is>
      </c>
      <c r="E789" t="inlineStr">
        <is>
          <t>ÖSTERSUND</t>
        </is>
      </c>
      <c r="G789" t="n">
        <v>2.6</v>
      </c>
      <c r="H789" t="n">
        <v>0</v>
      </c>
      <c r="I789" t="n">
        <v>0</v>
      </c>
      <c r="J789" t="n">
        <v>0</v>
      </c>
      <c r="K789" t="n">
        <v>0</v>
      </c>
      <c r="L789" t="n">
        <v>0</v>
      </c>
      <c r="M789" t="n">
        <v>0</v>
      </c>
      <c r="N789" t="n">
        <v>0</v>
      </c>
      <c r="O789" t="n">
        <v>0</v>
      </c>
      <c r="P789" t="n">
        <v>0</v>
      </c>
      <c r="Q789" t="n">
        <v>0</v>
      </c>
      <c r="R789" s="2" t="inlineStr"/>
    </row>
    <row r="790" ht="15" customHeight="1">
      <c r="A790" t="inlineStr">
        <is>
          <t>A 11931-2024</t>
        </is>
      </c>
      <c r="B790" s="1" t="n">
        <v>45376</v>
      </c>
      <c r="C790" s="1" t="n">
        <v>45635</v>
      </c>
      <c r="D790" t="inlineStr">
        <is>
          <t>JÄMTLANDS LÄN</t>
        </is>
      </c>
      <c r="E790" t="inlineStr">
        <is>
          <t>ÖSTERSUND</t>
        </is>
      </c>
      <c r="G790" t="n">
        <v>1.6</v>
      </c>
      <c r="H790" t="n">
        <v>0</v>
      </c>
      <c r="I790" t="n">
        <v>0</v>
      </c>
      <c r="J790" t="n">
        <v>0</v>
      </c>
      <c r="K790" t="n">
        <v>0</v>
      </c>
      <c r="L790" t="n">
        <v>0</v>
      </c>
      <c r="M790" t="n">
        <v>0</v>
      </c>
      <c r="N790" t="n">
        <v>0</v>
      </c>
      <c r="O790" t="n">
        <v>0</v>
      </c>
      <c r="P790" t="n">
        <v>0</v>
      </c>
      <c r="Q790" t="n">
        <v>0</v>
      </c>
      <c r="R790" s="2" t="inlineStr"/>
    </row>
    <row r="791" ht="15" customHeight="1">
      <c r="A791" t="inlineStr">
        <is>
          <t>A 14142-2024</t>
        </is>
      </c>
      <c r="B791" s="1" t="n">
        <v>45392</v>
      </c>
      <c r="C791" s="1" t="n">
        <v>45635</v>
      </c>
      <c r="D791" t="inlineStr">
        <is>
          <t>JÄMTLANDS LÄN</t>
        </is>
      </c>
      <c r="E791" t="inlineStr">
        <is>
          <t>ÖSTERSUND</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16068-2024</t>
        </is>
      </c>
      <c r="B792" s="1" t="n">
        <v>45406</v>
      </c>
      <c r="C792" s="1" t="n">
        <v>45635</v>
      </c>
      <c r="D792" t="inlineStr">
        <is>
          <t>JÄMTLANDS LÄN</t>
        </is>
      </c>
      <c r="E792" t="inlineStr">
        <is>
          <t>ÖSTERSUND</t>
        </is>
      </c>
      <c r="F792" t="inlineStr">
        <is>
          <t>SCA</t>
        </is>
      </c>
      <c r="G792" t="n">
        <v>35.6</v>
      </c>
      <c r="H792" t="n">
        <v>0</v>
      </c>
      <c r="I792" t="n">
        <v>0</v>
      </c>
      <c r="J792" t="n">
        <v>0</v>
      </c>
      <c r="K792" t="n">
        <v>0</v>
      </c>
      <c r="L792" t="n">
        <v>0</v>
      </c>
      <c r="M792" t="n">
        <v>0</v>
      </c>
      <c r="N792" t="n">
        <v>0</v>
      </c>
      <c r="O792" t="n">
        <v>0</v>
      </c>
      <c r="P792" t="n">
        <v>0</v>
      </c>
      <c r="Q792" t="n">
        <v>0</v>
      </c>
      <c r="R792" s="2" t="inlineStr"/>
    </row>
    <row r="793" ht="15" customHeight="1">
      <c r="A793" t="inlineStr">
        <is>
          <t>A 16065-2024</t>
        </is>
      </c>
      <c r="B793" s="1" t="n">
        <v>45406</v>
      </c>
      <c r="C793" s="1" t="n">
        <v>45635</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16459-2024</t>
        </is>
      </c>
      <c r="B794" s="1" t="n">
        <v>45407</v>
      </c>
      <c r="C794" s="1" t="n">
        <v>45635</v>
      </c>
      <c r="D794" t="inlineStr">
        <is>
          <t>JÄMTLANDS LÄN</t>
        </is>
      </c>
      <c r="E794" t="inlineStr">
        <is>
          <t>ÖSTERSUND</t>
        </is>
      </c>
      <c r="G794" t="n">
        <v>24</v>
      </c>
      <c r="H794" t="n">
        <v>0</v>
      </c>
      <c r="I794" t="n">
        <v>0</v>
      </c>
      <c r="J794" t="n">
        <v>0</v>
      </c>
      <c r="K794" t="n">
        <v>0</v>
      </c>
      <c r="L794" t="n">
        <v>0</v>
      </c>
      <c r="M794" t="n">
        <v>0</v>
      </c>
      <c r="N794" t="n">
        <v>0</v>
      </c>
      <c r="O794" t="n">
        <v>0</v>
      </c>
      <c r="P794" t="n">
        <v>0</v>
      </c>
      <c r="Q794" t="n">
        <v>0</v>
      </c>
      <c r="R794" s="2" t="inlineStr"/>
    </row>
    <row r="795" ht="15" customHeight="1">
      <c r="A795" t="inlineStr">
        <is>
          <t>A 16689-2024</t>
        </is>
      </c>
      <c r="B795" s="1" t="n">
        <v>45408</v>
      </c>
      <c r="C795" s="1" t="n">
        <v>45635</v>
      </c>
      <c r="D795" t="inlineStr">
        <is>
          <t>JÄMTLANDS LÄN</t>
        </is>
      </c>
      <c r="E795" t="inlineStr">
        <is>
          <t>ÖSTERSUND</t>
        </is>
      </c>
      <c r="G795" t="n">
        <v>0.6</v>
      </c>
      <c r="H795" t="n">
        <v>0</v>
      </c>
      <c r="I795" t="n">
        <v>0</v>
      </c>
      <c r="J795" t="n">
        <v>0</v>
      </c>
      <c r="K795" t="n">
        <v>0</v>
      </c>
      <c r="L795" t="n">
        <v>0</v>
      </c>
      <c r="M795" t="n">
        <v>0</v>
      </c>
      <c r="N795" t="n">
        <v>0</v>
      </c>
      <c r="O795" t="n">
        <v>0</v>
      </c>
      <c r="P795" t="n">
        <v>0</v>
      </c>
      <c r="Q795" t="n">
        <v>0</v>
      </c>
      <c r="R795" s="2" t="inlineStr"/>
    </row>
    <row r="796" ht="15" customHeight="1">
      <c r="A796" t="inlineStr">
        <is>
          <t>A 17188-2024</t>
        </is>
      </c>
      <c r="B796" s="1" t="n">
        <v>45413</v>
      </c>
      <c r="C796" s="1" t="n">
        <v>45635</v>
      </c>
      <c r="D796" t="inlineStr">
        <is>
          <t>JÄMTLANDS LÄN</t>
        </is>
      </c>
      <c r="E796" t="inlineStr">
        <is>
          <t>ÖSTERSUND</t>
        </is>
      </c>
      <c r="F796" t="inlineStr">
        <is>
          <t>SCA</t>
        </is>
      </c>
      <c r="G796" t="n">
        <v>14.6</v>
      </c>
      <c r="H796" t="n">
        <v>0</v>
      </c>
      <c r="I796" t="n">
        <v>0</v>
      </c>
      <c r="J796" t="n">
        <v>0</v>
      </c>
      <c r="K796" t="n">
        <v>0</v>
      </c>
      <c r="L796" t="n">
        <v>0</v>
      </c>
      <c r="M796" t="n">
        <v>0</v>
      </c>
      <c r="N796" t="n">
        <v>0</v>
      </c>
      <c r="O796" t="n">
        <v>0</v>
      </c>
      <c r="P796" t="n">
        <v>0</v>
      </c>
      <c r="Q796" t="n">
        <v>0</v>
      </c>
      <c r="R796" s="2" t="inlineStr"/>
    </row>
    <row r="797" ht="15" customHeight="1">
      <c r="A797" t="inlineStr">
        <is>
          <t>A 17062-2024</t>
        </is>
      </c>
      <c r="B797" s="1" t="n">
        <v>45412</v>
      </c>
      <c r="C797" s="1" t="n">
        <v>45635</v>
      </c>
      <c r="D797" t="inlineStr">
        <is>
          <t>JÄMTLANDS LÄN</t>
        </is>
      </c>
      <c r="E797" t="inlineStr">
        <is>
          <t>ÖSTERSUND</t>
        </is>
      </c>
      <c r="G797" t="n">
        <v>8</v>
      </c>
      <c r="H797" t="n">
        <v>0</v>
      </c>
      <c r="I797" t="n">
        <v>0</v>
      </c>
      <c r="J797" t="n">
        <v>0</v>
      </c>
      <c r="K797" t="n">
        <v>0</v>
      </c>
      <c r="L797" t="n">
        <v>0</v>
      </c>
      <c r="M797" t="n">
        <v>0</v>
      </c>
      <c r="N797" t="n">
        <v>0</v>
      </c>
      <c r="O797" t="n">
        <v>0</v>
      </c>
      <c r="P797" t="n">
        <v>0</v>
      </c>
      <c r="Q797" t="n">
        <v>0</v>
      </c>
      <c r="R797" s="2" t="inlineStr"/>
    </row>
    <row r="798" ht="15" customHeight="1">
      <c r="A798" t="inlineStr">
        <is>
          <t>A 17066-2024</t>
        </is>
      </c>
      <c r="B798" s="1" t="n">
        <v>45412</v>
      </c>
      <c r="C798" s="1" t="n">
        <v>45635</v>
      </c>
      <c r="D798" t="inlineStr">
        <is>
          <t>JÄMTLANDS LÄN</t>
        </is>
      </c>
      <c r="E798" t="inlineStr">
        <is>
          <t>ÖSTERSUND</t>
        </is>
      </c>
      <c r="G798" t="n">
        <v>4.2</v>
      </c>
      <c r="H798" t="n">
        <v>0</v>
      </c>
      <c r="I798" t="n">
        <v>0</v>
      </c>
      <c r="J798" t="n">
        <v>0</v>
      </c>
      <c r="K798" t="n">
        <v>0</v>
      </c>
      <c r="L798" t="n">
        <v>0</v>
      </c>
      <c r="M798" t="n">
        <v>0</v>
      </c>
      <c r="N798" t="n">
        <v>0</v>
      </c>
      <c r="O798" t="n">
        <v>0</v>
      </c>
      <c r="P798" t="n">
        <v>0</v>
      </c>
      <c r="Q798" t="n">
        <v>0</v>
      </c>
      <c r="R798" s="2" t="inlineStr"/>
    </row>
    <row r="799" ht="15" customHeight="1">
      <c r="A799" t="inlineStr">
        <is>
          <t>A 17547-2024</t>
        </is>
      </c>
      <c r="B799" s="1" t="n">
        <v>45415</v>
      </c>
      <c r="C799" s="1" t="n">
        <v>45635</v>
      </c>
      <c r="D799" t="inlineStr">
        <is>
          <t>JÄMTLANDS LÄN</t>
        </is>
      </c>
      <c r="E799" t="inlineStr">
        <is>
          <t>ÖSTERSUND</t>
        </is>
      </c>
      <c r="G799" t="n">
        <v>2.1</v>
      </c>
      <c r="H799" t="n">
        <v>0</v>
      </c>
      <c r="I799" t="n">
        <v>0</v>
      </c>
      <c r="J799" t="n">
        <v>0</v>
      </c>
      <c r="K799" t="n">
        <v>0</v>
      </c>
      <c r="L799" t="n">
        <v>0</v>
      </c>
      <c r="M799" t="n">
        <v>0</v>
      </c>
      <c r="N799" t="n">
        <v>0</v>
      </c>
      <c r="O799" t="n">
        <v>0</v>
      </c>
      <c r="P799" t="n">
        <v>0</v>
      </c>
      <c r="Q799" t="n">
        <v>0</v>
      </c>
      <c r="R799" s="2" t="inlineStr"/>
    </row>
    <row r="800" ht="15" customHeight="1">
      <c r="A800" t="inlineStr">
        <is>
          <t>A 17760-2024</t>
        </is>
      </c>
      <c r="B800" s="1" t="n">
        <v>45418</v>
      </c>
      <c r="C800" s="1" t="n">
        <v>45635</v>
      </c>
      <c r="D800" t="inlineStr">
        <is>
          <t>JÄMTLANDS LÄN</t>
        </is>
      </c>
      <c r="E800" t="inlineStr">
        <is>
          <t>ÖSTERSUND</t>
        </is>
      </c>
      <c r="G800" t="n">
        <v>1.6</v>
      </c>
      <c r="H800" t="n">
        <v>0</v>
      </c>
      <c r="I800" t="n">
        <v>0</v>
      </c>
      <c r="J800" t="n">
        <v>0</v>
      </c>
      <c r="K800" t="n">
        <v>0</v>
      </c>
      <c r="L800" t="n">
        <v>0</v>
      </c>
      <c r="M800" t="n">
        <v>0</v>
      </c>
      <c r="N800" t="n">
        <v>0</v>
      </c>
      <c r="O800" t="n">
        <v>0</v>
      </c>
      <c r="P800" t="n">
        <v>0</v>
      </c>
      <c r="Q800" t="n">
        <v>0</v>
      </c>
      <c r="R800" s="2" t="inlineStr"/>
    </row>
    <row r="801" ht="15" customHeight="1">
      <c r="A801" t="inlineStr">
        <is>
          <t>A 17709-2024</t>
        </is>
      </c>
      <c r="B801" s="1" t="n">
        <v>45418</v>
      </c>
      <c r="C801" s="1" t="n">
        <v>45635</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18627-2024</t>
        </is>
      </c>
      <c r="B802" s="1" t="n">
        <v>45426</v>
      </c>
      <c r="C802" s="1" t="n">
        <v>45635</v>
      </c>
      <c r="D802" t="inlineStr">
        <is>
          <t>JÄMTLANDS LÄN</t>
        </is>
      </c>
      <c r="E802" t="inlineStr">
        <is>
          <t>ÖSTERSUND</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18643-2024</t>
        </is>
      </c>
      <c r="B803" s="1" t="n">
        <v>45426</v>
      </c>
      <c r="C803" s="1" t="n">
        <v>45635</v>
      </c>
      <c r="D803" t="inlineStr">
        <is>
          <t>JÄMTLANDS LÄN</t>
        </is>
      </c>
      <c r="E803" t="inlineStr">
        <is>
          <t>ÖSTERSUND</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18624-2024</t>
        </is>
      </c>
      <c r="B804" s="1" t="n">
        <v>45426</v>
      </c>
      <c r="C804" s="1" t="n">
        <v>45635</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19112-2024</t>
        </is>
      </c>
      <c r="B805" s="1" t="n">
        <v>45427</v>
      </c>
      <c r="C805" s="1" t="n">
        <v>45635</v>
      </c>
      <c r="D805" t="inlineStr">
        <is>
          <t>JÄMTLANDS LÄN</t>
        </is>
      </c>
      <c r="E805" t="inlineStr">
        <is>
          <t>ÖSTERSUND</t>
        </is>
      </c>
      <c r="G805" t="n">
        <v>3.6</v>
      </c>
      <c r="H805" t="n">
        <v>0</v>
      </c>
      <c r="I805" t="n">
        <v>0</v>
      </c>
      <c r="J805" t="n">
        <v>0</v>
      </c>
      <c r="K805" t="n">
        <v>0</v>
      </c>
      <c r="L805" t="n">
        <v>0</v>
      </c>
      <c r="M805" t="n">
        <v>0</v>
      </c>
      <c r="N805" t="n">
        <v>0</v>
      </c>
      <c r="O805" t="n">
        <v>0</v>
      </c>
      <c r="P805" t="n">
        <v>0</v>
      </c>
      <c r="Q805" t="n">
        <v>0</v>
      </c>
      <c r="R805" s="2" t="inlineStr"/>
    </row>
    <row r="806" ht="15" customHeight="1">
      <c r="A806" t="inlineStr">
        <is>
          <t>A 19037-2024</t>
        </is>
      </c>
      <c r="B806" s="1" t="n">
        <v>45427</v>
      </c>
      <c r="C806" s="1" t="n">
        <v>45635</v>
      </c>
      <c r="D806" t="inlineStr">
        <is>
          <t>JÄMTLANDS LÄN</t>
        </is>
      </c>
      <c r="E806" t="inlineStr">
        <is>
          <t>ÖSTERSUND</t>
        </is>
      </c>
      <c r="G806" t="n">
        <v>2</v>
      </c>
      <c r="H806" t="n">
        <v>0</v>
      </c>
      <c r="I806" t="n">
        <v>0</v>
      </c>
      <c r="J806" t="n">
        <v>0</v>
      </c>
      <c r="K806" t="n">
        <v>0</v>
      </c>
      <c r="L806" t="n">
        <v>0</v>
      </c>
      <c r="M806" t="n">
        <v>0</v>
      </c>
      <c r="N806" t="n">
        <v>0</v>
      </c>
      <c r="O806" t="n">
        <v>0</v>
      </c>
      <c r="P806" t="n">
        <v>0</v>
      </c>
      <c r="Q806" t="n">
        <v>0</v>
      </c>
      <c r="R806" s="2" t="inlineStr"/>
    </row>
    <row r="807" ht="15" customHeight="1">
      <c r="A807" t="inlineStr">
        <is>
          <t>A 19138-2024</t>
        </is>
      </c>
      <c r="B807" s="1" t="n">
        <v>45428</v>
      </c>
      <c r="C807" s="1" t="n">
        <v>45635</v>
      </c>
      <c r="D807" t="inlineStr">
        <is>
          <t>JÄMTLANDS LÄN</t>
        </is>
      </c>
      <c r="E807" t="inlineStr">
        <is>
          <t>ÖSTERSUND</t>
        </is>
      </c>
      <c r="G807" t="n">
        <v>13.6</v>
      </c>
      <c r="H807" t="n">
        <v>0</v>
      </c>
      <c r="I807" t="n">
        <v>0</v>
      </c>
      <c r="J807" t="n">
        <v>0</v>
      </c>
      <c r="K807" t="n">
        <v>0</v>
      </c>
      <c r="L807" t="n">
        <v>0</v>
      </c>
      <c r="M807" t="n">
        <v>0</v>
      </c>
      <c r="N807" t="n">
        <v>0</v>
      </c>
      <c r="O807" t="n">
        <v>0</v>
      </c>
      <c r="P807" t="n">
        <v>0</v>
      </c>
      <c r="Q807" t="n">
        <v>0</v>
      </c>
      <c r="R807" s="2" t="inlineStr"/>
    </row>
    <row r="808" ht="15" customHeight="1">
      <c r="A808" t="inlineStr">
        <is>
          <t>A 19233-2024</t>
        </is>
      </c>
      <c r="B808" s="1" t="n">
        <v>45428</v>
      </c>
      <c r="C808" s="1" t="n">
        <v>45635</v>
      </c>
      <c r="D808" t="inlineStr">
        <is>
          <t>JÄMTLANDS LÄN</t>
        </is>
      </c>
      <c r="E808" t="inlineStr">
        <is>
          <t>ÖSTERSUND</t>
        </is>
      </c>
      <c r="G808" t="n">
        <v>2.2</v>
      </c>
      <c r="H808" t="n">
        <v>0</v>
      </c>
      <c r="I808" t="n">
        <v>0</v>
      </c>
      <c r="J808" t="n">
        <v>0</v>
      </c>
      <c r="K808" t="n">
        <v>0</v>
      </c>
      <c r="L808" t="n">
        <v>0</v>
      </c>
      <c r="M808" t="n">
        <v>0</v>
      </c>
      <c r="N808" t="n">
        <v>0</v>
      </c>
      <c r="O808" t="n">
        <v>0</v>
      </c>
      <c r="P808" t="n">
        <v>0</v>
      </c>
      <c r="Q808" t="n">
        <v>0</v>
      </c>
      <c r="R808" s="2" t="inlineStr"/>
    </row>
    <row r="809" ht="15" customHeight="1">
      <c r="A809" t="inlineStr">
        <is>
          <t>A 19408-2024</t>
        </is>
      </c>
      <c r="B809" s="1" t="n">
        <v>45428</v>
      </c>
      <c r="C809" s="1" t="n">
        <v>45635</v>
      </c>
      <c r="D809" t="inlineStr">
        <is>
          <t>JÄMTLANDS LÄN</t>
        </is>
      </c>
      <c r="E809" t="inlineStr">
        <is>
          <t>ÖSTERSUND</t>
        </is>
      </c>
      <c r="G809" t="n">
        <v>11.1</v>
      </c>
      <c r="H809" t="n">
        <v>0</v>
      </c>
      <c r="I809" t="n">
        <v>0</v>
      </c>
      <c r="J809" t="n">
        <v>0</v>
      </c>
      <c r="K809" t="n">
        <v>0</v>
      </c>
      <c r="L809" t="n">
        <v>0</v>
      </c>
      <c r="M809" t="n">
        <v>0</v>
      </c>
      <c r="N809" t="n">
        <v>0</v>
      </c>
      <c r="O809" t="n">
        <v>0</v>
      </c>
      <c r="P809" t="n">
        <v>0</v>
      </c>
      <c r="Q809" t="n">
        <v>0</v>
      </c>
      <c r="R809" s="2" t="inlineStr"/>
    </row>
    <row r="810" ht="15" customHeight="1">
      <c r="A810" t="inlineStr">
        <is>
          <t>A 19323-2024</t>
        </is>
      </c>
      <c r="B810" s="1" t="n">
        <v>45429</v>
      </c>
      <c r="C810" s="1" t="n">
        <v>45635</v>
      </c>
      <c r="D810" t="inlineStr">
        <is>
          <t>JÄMTLANDS LÄN</t>
        </is>
      </c>
      <c r="E810" t="inlineStr">
        <is>
          <t>ÖSTERSUND</t>
        </is>
      </c>
      <c r="F810" t="inlineStr">
        <is>
          <t>Kommuner</t>
        </is>
      </c>
      <c r="G810" t="n">
        <v>0.2</v>
      </c>
      <c r="H810" t="n">
        <v>0</v>
      </c>
      <c r="I810" t="n">
        <v>0</v>
      </c>
      <c r="J810" t="n">
        <v>0</v>
      </c>
      <c r="K810" t="n">
        <v>0</v>
      </c>
      <c r="L810" t="n">
        <v>0</v>
      </c>
      <c r="M810" t="n">
        <v>0</v>
      </c>
      <c r="N810" t="n">
        <v>0</v>
      </c>
      <c r="O810" t="n">
        <v>0</v>
      </c>
      <c r="P810" t="n">
        <v>0</v>
      </c>
      <c r="Q810" t="n">
        <v>0</v>
      </c>
      <c r="R810" s="2" t="inlineStr"/>
    </row>
    <row r="811" ht="15" customHeight="1">
      <c r="A811" t="inlineStr">
        <is>
          <t>A 19566-2024</t>
        </is>
      </c>
      <c r="B811" s="1" t="n">
        <v>45430</v>
      </c>
      <c r="C811" s="1" t="n">
        <v>45635</v>
      </c>
      <c r="D811" t="inlineStr">
        <is>
          <t>JÄMTLANDS LÄN</t>
        </is>
      </c>
      <c r="E811" t="inlineStr">
        <is>
          <t>ÖSTERSUND</t>
        </is>
      </c>
      <c r="G811" t="n">
        <v>0</v>
      </c>
      <c r="H811" t="n">
        <v>0</v>
      </c>
      <c r="I811" t="n">
        <v>0</v>
      </c>
      <c r="J811" t="n">
        <v>0</v>
      </c>
      <c r="K811" t="n">
        <v>0</v>
      </c>
      <c r="L811" t="n">
        <v>0</v>
      </c>
      <c r="M811" t="n">
        <v>0</v>
      </c>
      <c r="N811" t="n">
        <v>0</v>
      </c>
      <c r="O811" t="n">
        <v>0</v>
      </c>
      <c r="P811" t="n">
        <v>0</v>
      </c>
      <c r="Q811" t="n">
        <v>0</v>
      </c>
      <c r="R811" s="2" t="inlineStr"/>
    </row>
    <row r="812" ht="15" customHeight="1">
      <c r="A812" t="inlineStr">
        <is>
          <t>A 19570-2024</t>
        </is>
      </c>
      <c r="B812" s="1" t="n">
        <v>45430</v>
      </c>
      <c r="C812" s="1" t="n">
        <v>45635</v>
      </c>
      <c r="D812" t="inlineStr">
        <is>
          <t>JÄMTLANDS LÄN</t>
        </is>
      </c>
      <c r="E812" t="inlineStr">
        <is>
          <t>ÖSTERSUND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19725-2024</t>
        </is>
      </c>
      <c r="B813" s="1" t="n">
        <v>45432</v>
      </c>
      <c r="C813" s="1" t="n">
        <v>45635</v>
      </c>
      <c r="D813" t="inlineStr">
        <is>
          <t>JÄMTLANDS LÄN</t>
        </is>
      </c>
      <c r="E813" t="inlineStr">
        <is>
          <t>ÖSTERSUND</t>
        </is>
      </c>
      <c r="G813" t="n">
        <v>7.2</v>
      </c>
      <c r="H813" t="n">
        <v>0</v>
      </c>
      <c r="I813" t="n">
        <v>0</v>
      </c>
      <c r="J813" t="n">
        <v>0</v>
      </c>
      <c r="K813" t="n">
        <v>0</v>
      </c>
      <c r="L813" t="n">
        <v>0</v>
      </c>
      <c r="M813" t="n">
        <v>0</v>
      </c>
      <c r="N813" t="n">
        <v>0</v>
      </c>
      <c r="O813" t="n">
        <v>0</v>
      </c>
      <c r="P813" t="n">
        <v>0</v>
      </c>
      <c r="Q813" t="n">
        <v>0</v>
      </c>
      <c r="R813" s="2" t="inlineStr"/>
    </row>
    <row r="814" ht="15" customHeight="1">
      <c r="A814" t="inlineStr">
        <is>
          <t>A 20068-2024</t>
        </is>
      </c>
      <c r="B814" s="1" t="n">
        <v>45434</v>
      </c>
      <c r="C814" s="1" t="n">
        <v>45635</v>
      </c>
      <c r="D814" t="inlineStr">
        <is>
          <t>JÄMTLANDS LÄN</t>
        </is>
      </c>
      <c r="E814" t="inlineStr">
        <is>
          <t>ÖSTERSUND</t>
        </is>
      </c>
      <c r="G814" t="n">
        <v>10.2</v>
      </c>
      <c r="H814" t="n">
        <v>0</v>
      </c>
      <c r="I814" t="n">
        <v>0</v>
      </c>
      <c r="J814" t="n">
        <v>0</v>
      </c>
      <c r="K814" t="n">
        <v>0</v>
      </c>
      <c r="L814" t="n">
        <v>0</v>
      </c>
      <c r="M814" t="n">
        <v>0</v>
      </c>
      <c r="N814" t="n">
        <v>0</v>
      </c>
      <c r="O814" t="n">
        <v>0</v>
      </c>
      <c r="P814" t="n">
        <v>0</v>
      </c>
      <c r="Q814" t="n">
        <v>0</v>
      </c>
      <c r="R814" s="2" t="inlineStr"/>
    </row>
    <row r="815" ht="15" customHeight="1">
      <c r="A815" t="inlineStr">
        <is>
          <t>A 20400-2024</t>
        </is>
      </c>
      <c r="B815" s="1" t="n">
        <v>45435</v>
      </c>
      <c r="C815" s="1" t="n">
        <v>45635</v>
      </c>
      <c r="D815" t="inlineStr">
        <is>
          <t>JÄMTLANDS LÄN</t>
        </is>
      </c>
      <c r="E815" t="inlineStr">
        <is>
          <t>ÖSTERSUND</t>
        </is>
      </c>
      <c r="G815" t="n">
        <v>0.9</v>
      </c>
      <c r="H815" t="n">
        <v>0</v>
      </c>
      <c r="I815" t="n">
        <v>0</v>
      </c>
      <c r="J815" t="n">
        <v>0</v>
      </c>
      <c r="K815" t="n">
        <v>0</v>
      </c>
      <c r="L815" t="n">
        <v>0</v>
      </c>
      <c r="M815" t="n">
        <v>0</v>
      </c>
      <c r="N815" t="n">
        <v>0</v>
      </c>
      <c r="O815" t="n">
        <v>0</v>
      </c>
      <c r="P815" t="n">
        <v>0</v>
      </c>
      <c r="Q815" t="n">
        <v>0</v>
      </c>
      <c r="R815" s="2" t="inlineStr"/>
    </row>
    <row r="816" ht="15" customHeight="1">
      <c r="A816" t="inlineStr">
        <is>
          <t>A 20632-2024</t>
        </is>
      </c>
      <c r="B816" s="1" t="n">
        <v>45436</v>
      </c>
      <c r="C816" s="1" t="n">
        <v>45635</v>
      </c>
      <c r="D816" t="inlineStr">
        <is>
          <t>JÄMTLANDS LÄN</t>
        </is>
      </c>
      <c r="E816" t="inlineStr">
        <is>
          <t>ÖSTERSUND</t>
        </is>
      </c>
      <c r="G816" t="n">
        <v>5.6</v>
      </c>
      <c r="H816" t="n">
        <v>0</v>
      </c>
      <c r="I816" t="n">
        <v>0</v>
      </c>
      <c r="J816" t="n">
        <v>0</v>
      </c>
      <c r="K816" t="n">
        <v>0</v>
      </c>
      <c r="L816" t="n">
        <v>0</v>
      </c>
      <c r="M816" t="n">
        <v>0</v>
      </c>
      <c r="N816" t="n">
        <v>0</v>
      </c>
      <c r="O816" t="n">
        <v>0</v>
      </c>
      <c r="P816" t="n">
        <v>0</v>
      </c>
      <c r="Q816" t="n">
        <v>0</v>
      </c>
      <c r="R816" s="2" t="inlineStr"/>
    </row>
    <row r="817" ht="15" customHeight="1">
      <c r="A817" t="inlineStr">
        <is>
          <t>A 20629-2024</t>
        </is>
      </c>
      <c r="B817" s="1" t="n">
        <v>45436</v>
      </c>
      <c r="C817" s="1" t="n">
        <v>45635</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20736-2024</t>
        </is>
      </c>
      <c r="B818" s="1" t="n">
        <v>45436</v>
      </c>
      <c r="C818" s="1" t="n">
        <v>45635</v>
      </c>
      <c r="D818" t="inlineStr">
        <is>
          <t>JÄMTLANDS LÄN</t>
        </is>
      </c>
      <c r="E818" t="inlineStr">
        <is>
          <t>ÖSTERSUND</t>
        </is>
      </c>
      <c r="G818" t="n">
        <v>5.3</v>
      </c>
      <c r="H818" t="n">
        <v>0</v>
      </c>
      <c r="I818" t="n">
        <v>0</v>
      </c>
      <c r="J818" t="n">
        <v>0</v>
      </c>
      <c r="K818" t="n">
        <v>0</v>
      </c>
      <c r="L818" t="n">
        <v>0</v>
      </c>
      <c r="M818" t="n">
        <v>0</v>
      </c>
      <c r="N818" t="n">
        <v>0</v>
      </c>
      <c r="O818" t="n">
        <v>0</v>
      </c>
      <c r="P818" t="n">
        <v>0</v>
      </c>
      <c r="Q818" t="n">
        <v>0</v>
      </c>
      <c r="R818" s="2" t="inlineStr"/>
    </row>
    <row r="819" ht="15" customHeight="1">
      <c r="A819" t="inlineStr">
        <is>
          <t>A 21094-2024</t>
        </is>
      </c>
      <c r="B819" s="1" t="n">
        <v>45440</v>
      </c>
      <c r="C819" s="1" t="n">
        <v>45635</v>
      </c>
      <c r="D819" t="inlineStr">
        <is>
          <t>JÄMTLANDS LÄN</t>
        </is>
      </c>
      <c r="E819" t="inlineStr">
        <is>
          <t>ÖSTERSUND</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21093-2024</t>
        </is>
      </c>
      <c r="B820" s="1" t="n">
        <v>45440</v>
      </c>
      <c r="C820" s="1" t="n">
        <v>45635</v>
      </c>
      <c r="D820" t="inlineStr">
        <is>
          <t>JÄMTLANDS LÄN</t>
        </is>
      </c>
      <c r="E820" t="inlineStr">
        <is>
          <t>ÖSTERSUND</t>
        </is>
      </c>
      <c r="F820" t="inlineStr">
        <is>
          <t>SCA</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21373-2024</t>
        </is>
      </c>
      <c r="B821" s="1" t="n">
        <v>45441</v>
      </c>
      <c r="C821" s="1" t="n">
        <v>45635</v>
      </c>
      <c r="D821" t="inlineStr">
        <is>
          <t>JÄMTLANDS LÄN</t>
        </is>
      </c>
      <c r="E821" t="inlineStr">
        <is>
          <t>ÖSTERSUND</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21822-2024</t>
        </is>
      </c>
      <c r="B822" s="1" t="n">
        <v>45442</v>
      </c>
      <c r="C822" s="1" t="n">
        <v>45635</v>
      </c>
      <c r="D822" t="inlineStr">
        <is>
          <t>JÄMTLANDS LÄN</t>
        </is>
      </c>
      <c r="E822" t="inlineStr">
        <is>
          <t>ÖSTERSUND</t>
        </is>
      </c>
      <c r="G822" t="n">
        <v>5.1</v>
      </c>
      <c r="H822" t="n">
        <v>0</v>
      </c>
      <c r="I822" t="n">
        <v>0</v>
      </c>
      <c r="J822" t="n">
        <v>0</v>
      </c>
      <c r="K822" t="n">
        <v>0</v>
      </c>
      <c r="L822" t="n">
        <v>0</v>
      </c>
      <c r="M822" t="n">
        <v>0</v>
      </c>
      <c r="N822" t="n">
        <v>0</v>
      </c>
      <c r="O822" t="n">
        <v>0</v>
      </c>
      <c r="P822" t="n">
        <v>0</v>
      </c>
      <c r="Q822" t="n">
        <v>0</v>
      </c>
      <c r="R822" s="2" t="inlineStr"/>
    </row>
    <row r="823" ht="15" customHeight="1">
      <c r="A823" t="inlineStr">
        <is>
          <t>A 21667-2024</t>
        </is>
      </c>
      <c r="B823" s="1" t="n">
        <v>45442</v>
      </c>
      <c r="C823" s="1" t="n">
        <v>45635</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22123-2024</t>
        </is>
      </c>
      <c r="B824" s="1" t="n">
        <v>45444</v>
      </c>
      <c r="C824" s="1" t="n">
        <v>45635</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22478-2024</t>
        </is>
      </c>
      <c r="B825" s="1" t="n">
        <v>45447</v>
      </c>
      <c r="C825" s="1" t="n">
        <v>45635</v>
      </c>
      <c r="D825" t="inlineStr">
        <is>
          <t>JÄMTLANDS LÄN</t>
        </is>
      </c>
      <c r="E825" t="inlineStr">
        <is>
          <t>ÖSTERSUND</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23124-2024</t>
        </is>
      </c>
      <c r="B826" s="1" t="n">
        <v>45450</v>
      </c>
      <c r="C826" s="1" t="n">
        <v>45635</v>
      </c>
      <c r="D826" t="inlineStr">
        <is>
          <t>JÄMTLANDS LÄN</t>
        </is>
      </c>
      <c r="E826" t="inlineStr">
        <is>
          <t>ÖSTERSUND</t>
        </is>
      </c>
      <c r="G826" t="n">
        <v>5.8</v>
      </c>
      <c r="H826" t="n">
        <v>0</v>
      </c>
      <c r="I826" t="n">
        <v>0</v>
      </c>
      <c r="J826" t="n">
        <v>0</v>
      </c>
      <c r="K826" t="n">
        <v>0</v>
      </c>
      <c r="L826" t="n">
        <v>0</v>
      </c>
      <c r="M826" t="n">
        <v>0</v>
      </c>
      <c r="N826" t="n">
        <v>0</v>
      </c>
      <c r="O826" t="n">
        <v>0</v>
      </c>
      <c r="P826" t="n">
        <v>0</v>
      </c>
      <c r="Q826" t="n">
        <v>0</v>
      </c>
      <c r="R826" s="2" t="inlineStr"/>
    </row>
    <row r="827" ht="15" customHeight="1">
      <c r="A827" t="inlineStr">
        <is>
          <t>A 23191-2024</t>
        </is>
      </c>
      <c r="B827" s="1" t="n">
        <v>45450</v>
      </c>
      <c r="C827" s="1" t="n">
        <v>45635</v>
      </c>
      <c r="D827" t="inlineStr">
        <is>
          <t>JÄMTLANDS LÄN</t>
        </is>
      </c>
      <c r="E827" t="inlineStr">
        <is>
          <t>ÖSTERSUND</t>
        </is>
      </c>
      <c r="G827" t="n">
        <v>7</v>
      </c>
      <c r="H827" t="n">
        <v>0</v>
      </c>
      <c r="I827" t="n">
        <v>0</v>
      </c>
      <c r="J827" t="n">
        <v>0</v>
      </c>
      <c r="K827" t="n">
        <v>0</v>
      </c>
      <c r="L827" t="n">
        <v>0</v>
      </c>
      <c r="M827" t="n">
        <v>0</v>
      </c>
      <c r="N827" t="n">
        <v>0</v>
      </c>
      <c r="O827" t="n">
        <v>0</v>
      </c>
      <c r="P827" t="n">
        <v>0</v>
      </c>
      <c r="Q827" t="n">
        <v>0</v>
      </c>
      <c r="R827" s="2" t="inlineStr"/>
    </row>
    <row r="828" ht="15" customHeight="1">
      <c r="A828" t="inlineStr">
        <is>
          <t>A 23492-2024</t>
        </is>
      </c>
      <c r="B828" s="1" t="n">
        <v>45453</v>
      </c>
      <c r="C828" s="1" t="n">
        <v>45635</v>
      </c>
      <c r="D828" t="inlineStr">
        <is>
          <t>JÄMTLANDS LÄN</t>
        </is>
      </c>
      <c r="E828" t="inlineStr">
        <is>
          <t>ÖSTERSUND</t>
        </is>
      </c>
      <c r="G828" t="n">
        <v>9.1</v>
      </c>
      <c r="H828" t="n">
        <v>0</v>
      </c>
      <c r="I828" t="n">
        <v>0</v>
      </c>
      <c r="J828" t="n">
        <v>0</v>
      </c>
      <c r="K828" t="n">
        <v>0</v>
      </c>
      <c r="L828" t="n">
        <v>0</v>
      </c>
      <c r="M828" t="n">
        <v>0</v>
      </c>
      <c r="N828" t="n">
        <v>0</v>
      </c>
      <c r="O828" t="n">
        <v>0</v>
      </c>
      <c r="P828" t="n">
        <v>0</v>
      </c>
      <c r="Q828" t="n">
        <v>0</v>
      </c>
      <c r="R828" s="2" t="inlineStr"/>
    </row>
    <row r="829" ht="15" customHeight="1">
      <c r="A829" t="inlineStr">
        <is>
          <t>A 24246-2024</t>
        </is>
      </c>
      <c r="B829" s="1" t="n">
        <v>45457</v>
      </c>
      <c r="C829" s="1" t="n">
        <v>45635</v>
      </c>
      <c r="D829" t="inlineStr">
        <is>
          <t>JÄMTLANDS LÄN</t>
        </is>
      </c>
      <c r="E829" t="inlineStr">
        <is>
          <t>ÖSTERSUND</t>
        </is>
      </c>
      <c r="G829" t="n">
        <v>5.3</v>
      </c>
      <c r="H829" t="n">
        <v>0</v>
      </c>
      <c r="I829" t="n">
        <v>0</v>
      </c>
      <c r="J829" t="n">
        <v>0</v>
      </c>
      <c r="K829" t="n">
        <v>0</v>
      </c>
      <c r="L829" t="n">
        <v>0</v>
      </c>
      <c r="M829" t="n">
        <v>0</v>
      </c>
      <c r="N829" t="n">
        <v>0</v>
      </c>
      <c r="O829" t="n">
        <v>0</v>
      </c>
      <c r="P829" t="n">
        <v>0</v>
      </c>
      <c r="Q829" t="n">
        <v>0</v>
      </c>
      <c r="R829" s="2" t="inlineStr"/>
    </row>
    <row r="830" ht="15" customHeight="1">
      <c r="A830" t="inlineStr">
        <is>
          <t>A 24781-2024</t>
        </is>
      </c>
      <c r="B830" s="1" t="n">
        <v>45460</v>
      </c>
      <c r="C830" s="1" t="n">
        <v>45635</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24786-2024</t>
        </is>
      </c>
      <c r="B831" s="1" t="n">
        <v>45460</v>
      </c>
      <c r="C831" s="1" t="n">
        <v>45635</v>
      </c>
      <c r="D831" t="inlineStr">
        <is>
          <t>JÄMTLANDS LÄN</t>
        </is>
      </c>
      <c r="E831" t="inlineStr">
        <is>
          <t>ÖSTERSUND</t>
        </is>
      </c>
      <c r="G831" t="n">
        <v>0.1</v>
      </c>
      <c r="H831" t="n">
        <v>0</v>
      </c>
      <c r="I831" t="n">
        <v>0</v>
      </c>
      <c r="J831" t="n">
        <v>0</v>
      </c>
      <c r="K831" t="n">
        <v>0</v>
      </c>
      <c r="L831" t="n">
        <v>0</v>
      </c>
      <c r="M831" t="n">
        <v>0</v>
      </c>
      <c r="N831" t="n">
        <v>0</v>
      </c>
      <c r="O831" t="n">
        <v>0</v>
      </c>
      <c r="P831" t="n">
        <v>0</v>
      </c>
      <c r="Q831" t="n">
        <v>0</v>
      </c>
      <c r="R831" s="2" t="inlineStr"/>
    </row>
    <row r="832" ht="15" customHeight="1">
      <c r="A832" t="inlineStr">
        <is>
          <t>A 24605-2024</t>
        </is>
      </c>
      <c r="B832" s="1" t="n">
        <v>45460</v>
      </c>
      <c r="C832" s="1" t="n">
        <v>45635</v>
      </c>
      <c r="D832" t="inlineStr">
        <is>
          <t>JÄMTLANDS LÄN</t>
        </is>
      </c>
      <c r="E832" t="inlineStr">
        <is>
          <t>ÖSTERSUND</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25388-2024</t>
        </is>
      </c>
      <c r="B833" s="1" t="n">
        <v>45463</v>
      </c>
      <c r="C833" s="1" t="n">
        <v>45635</v>
      </c>
      <c r="D833" t="inlineStr">
        <is>
          <t>JÄMTLANDS LÄN</t>
        </is>
      </c>
      <c r="E833" t="inlineStr">
        <is>
          <t>ÖSTERSUND</t>
        </is>
      </c>
      <c r="G833" t="n">
        <v>2.7</v>
      </c>
      <c r="H833" t="n">
        <v>0</v>
      </c>
      <c r="I833" t="n">
        <v>0</v>
      </c>
      <c r="J833" t="n">
        <v>0</v>
      </c>
      <c r="K833" t="n">
        <v>0</v>
      </c>
      <c r="L833" t="n">
        <v>0</v>
      </c>
      <c r="M833" t="n">
        <v>0</v>
      </c>
      <c r="N833" t="n">
        <v>0</v>
      </c>
      <c r="O833" t="n">
        <v>0</v>
      </c>
      <c r="P833" t="n">
        <v>0</v>
      </c>
      <c r="Q833" t="n">
        <v>0</v>
      </c>
      <c r="R833" s="2" t="inlineStr"/>
    </row>
    <row r="834" ht="15" customHeight="1">
      <c r="A834" t="inlineStr">
        <is>
          <t>A 25385-2024</t>
        </is>
      </c>
      <c r="B834" s="1" t="n">
        <v>45463</v>
      </c>
      <c r="C834" s="1" t="n">
        <v>45635</v>
      </c>
      <c r="D834" t="inlineStr">
        <is>
          <t>JÄMTLANDS LÄN</t>
        </is>
      </c>
      <c r="E834" t="inlineStr">
        <is>
          <t>ÖSTERSUND</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25187-2024</t>
        </is>
      </c>
      <c r="B835" s="1" t="n">
        <v>45462</v>
      </c>
      <c r="C835" s="1" t="n">
        <v>45635</v>
      </c>
      <c r="D835" t="inlineStr">
        <is>
          <t>JÄMTLANDS LÄN</t>
        </is>
      </c>
      <c r="E835" t="inlineStr">
        <is>
          <t>ÖSTERSUND</t>
        </is>
      </c>
      <c r="G835" t="n">
        <v>2.4</v>
      </c>
      <c r="H835" t="n">
        <v>0</v>
      </c>
      <c r="I835" t="n">
        <v>0</v>
      </c>
      <c r="J835" t="n">
        <v>0</v>
      </c>
      <c r="K835" t="n">
        <v>0</v>
      </c>
      <c r="L835" t="n">
        <v>0</v>
      </c>
      <c r="M835" t="n">
        <v>0</v>
      </c>
      <c r="N835" t="n">
        <v>0</v>
      </c>
      <c r="O835" t="n">
        <v>0</v>
      </c>
      <c r="P835" t="n">
        <v>0</v>
      </c>
      <c r="Q835" t="n">
        <v>0</v>
      </c>
      <c r="R835" s="2" t="inlineStr"/>
    </row>
    <row r="836" ht="15" customHeight="1">
      <c r="A836" t="inlineStr">
        <is>
          <t>A 26202-2024</t>
        </is>
      </c>
      <c r="B836" s="1" t="n">
        <v>45468</v>
      </c>
      <c r="C836" s="1" t="n">
        <v>45635</v>
      </c>
      <c r="D836" t="inlineStr">
        <is>
          <t>JÄMTLANDS LÄN</t>
        </is>
      </c>
      <c r="E836" t="inlineStr">
        <is>
          <t>ÖSTERSUND</t>
        </is>
      </c>
      <c r="G836" t="n">
        <v>6.7</v>
      </c>
      <c r="H836" t="n">
        <v>0</v>
      </c>
      <c r="I836" t="n">
        <v>0</v>
      </c>
      <c r="J836" t="n">
        <v>0</v>
      </c>
      <c r="K836" t="n">
        <v>0</v>
      </c>
      <c r="L836" t="n">
        <v>0</v>
      </c>
      <c r="M836" t="n">
        <v>0</v>
      </c>
      <c r="N836" t="n">
        <v>0</v>
      </c>
      <c r="O836" t="n">
        <v>0</v>
      </c>
      <c r="P836" t="n">
        <v>0</v>
      </c>
      <c r="Q836" t="n">
        <v>0</v>
      </c>
      <c r="R836" s="2" t="inlineStr"/>
    </row>
    <row r="837" ht="15" customHeight="1">
      <c r="A837" t="inlineStr">
        <is>
          <t>A 27906-2024</t>
        </is>
      </c>
      <c r="B837" s="1" t="n">
        <v>45476</v>
      </c>
      <c r="C837" s="1" t="n">
        <v>45635</v>
      </c>
      <c r="D837" t="inlineStr">
        <is>
          <t>JÄMTLANDS LÄN</t>
        </is>
      </c>
      <c r="E837" t="inlineStr">
        <is>
          <t>ÖSTERSUND</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27689-2024</t>
        </is>
      </c>
      <c r="B838" s="1" t="n">
        <v>45475</v>
      </c>
      <c r="C838" s="1" t="n">
        <v>45635</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27764-2024</t>
        </is>
      </c>
      <c r="B839" s="1" t="n">
        <v>45475</v>
      </c>
      <c r="C839" s="1" t="n">
        <v>45635</v>
      </c>
      <c r="D839" t="inlineStr">
        <is>
          <t>JÄMTLANDS LÄN</t>
        </is>
      </c>
      <c r="E839" t="inlineStr">
        <is>
          <t>ÖSTERSUND</t>
        </is>
      </c>
      <c r="G839" t="n">
        <v>2.8</v>
      </c>
      <c r="H839" t="n">
        <v>0</v>
      </c>
      <c r="I839" t="n">
        <v>0</v>
      </c>
      <c r="J839" t="n">
        <v>0</v>
      </c>
      <c r="K839" t="n">
        <v>0</v>
      </c>
      <c r="L839" t="n">
        <v>0</v>
      </c>
      <c r="M839" t="n">
        <v>0</v>
      </c>
      <c r="N839" t="n">
        <v>0</v>
      </c>
      <c r="O839" t="n">
        <v>0</v>
      </c>
      <c r="P839" t="n">
        <v>0</v>
      </c>
      <c r="Q839" t="n">
        <v>0</v>
      </c>
      <c r="R839" s="2" t="inlineStr"/>
    </row>
    <row r="840" ht="15" customHeight="1">
      <c r="A840" t="inlineStr">
        <is>
          <t>A 27779-2024</t>
        </is>
      </c>
      <c r="B840" s="1" t="n">
        <v>45475</v>
      </c>
      <c r="C840" s="1" t="n">
        <v>45635</v>
      </c>
      <c r="D840" t="inlineStr">
        <is>
          <t>JÄMTLANDS LÄN</t>
        </is>
      </c>
      <c r="E840" t="inlineStr">
        <is>
          <t>ÖSTERSUND</t>
        </is>
      </c>
      <c r="G840" t="n">
        <v>4.3</v>
      </c>
      <c r="H840" t="n">
        <v>0</v>
      </c>
      <c r="I840" t="n">
        <v>0</v>
      </c>
      <c r="J840" t="n">
        <v>0</v>
      </c>
      <c r="K840" t="n">
        <v>0</v>
      </c>
      <c r="L840" t="n">
        <v>0</v>
      </c>
      <c r="M840" t="n">
        <v>0</v>
      </c>
      <c r="N840" t="n">
        <v>0</v>
      </c>
      <c r="O840" t="n">
        <v>0</v>
      </c>
      <c r="P840" t="n">
        <v>0</v>
      </c>
      <c r="Q840" t="n">
        <v>0</v>
      </c>
      <c r="R840" s="2" t="inlineStr"/>
    </row>
    <row r="841" ht="15" customHeight="1">
      <c r="A841" t="inlineStr">
        <is>
          <t>A 28277-2024</t>
        </is>
      </c>
      <c r="B841" s="1" t="n">
        <v>45477</v>
      </c>
      <c r="C841" s="1" t="n">
        <v>45635</v>
      </c>
      <c r="D841" t="inlineStr">
        <is>
          <t>JÄMTLANDS LÄN</t>
        </is>
      </c>
      <c r="E841" t="inlineStr">
        <is>
          <t>ÖSTERSUND</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28179-2024</t>
        </is>
      </c>
      <c r="B842" s="1" t="n">
        <v>45477</v>
      </c>
      <c r="C842" s="1" t="n">
        <v>45635</v>
      </c>
      <c r="D842" t="inlineStr">
        <is>
          <t>JÄMTLANDS LÄN</t>
        </is>
      </c>
      <c r="E842" t="inlineStr">
        <is>
          <t>ÖSTERSUND</t>
        </is>
      </c>
      <c r="G842" t="n">
        <v>2.2</v>
      </c>
      <c r="H842" t="n">
        <v>0</v>
      </c>
      <c r="I842" t="n">
        <v>0</v>
      </c>
      <c r="J842" t="n">
        <v>0</v>
      </c>
      <c r="K842" t="n">
        <v>0</v>
      </c>
      <c r="L842" t="n">
        <v>0</v>
      </c>
      <c r="M842" t="n">
        <v>0</v>
      </c>
      <c r="N842" t="n">
        <v>0</v>
      </c>
      <c r="O842" t="n">
        <v>0</v>
      </c>
      <c r="P842" t="n">
        <v>0</v>
      </c>
      <c r="Q842" t="n">
        <v>0</v>
      </c>
      <c r="R842" s="2" t="inlineStr"/>
    </row>
    <row r="843" ht="15" customHeight="1">
      <c r="A843" t="inlineStr">
        <is>
          <t>A 28180-2024</t>
        </is>
      </c>
      <c r="B843" s="1" t="n">
        <v>45477</v>
      </c>
      <c r="C843" s="1" t="n">
        <v>45635</v>
      </c>
      <c r="D843" t="inlineStr">
        <is>
          <t>JÄMTLANDS LÄN</t>
        </is>
      </c>
      <c r="E843" t="inlineStr">
        <is>
          <t>ÖSTERSUND</t>
        </is>
      </c>
      <c r="G843" t="n">
        <v>2.6</v>
      </c>
      <c r="H843" t="n">
        <v>0</v>
      </c>
      <c r="I843" t="n">
        <v>0</v>
      </c>
      <c r="J843" t="n">
        <v>0</v>
      </c>
      <c r="K843" t="n">
        <v>0</v>
      </c>
      <c r="L843" t="n">
        <v>0</v>
      </c>
      <c r="M843" t="n">
        <v>0</v>
      </c>
      <c r="N843" t="n">
        <v>0</v>
      </c>
      <c r="O843" t="n">
        <v>0</v>
      </c>
      <c r="P843" t="n">
        <v>0</v>
      </c>
      <c r="Q843" t="n">
        <v>0</v>
      </c>
      <c r="R843" s="2" t="inlineStr"/>
    </row>
    <row r="844" ht="15" customHeight="1">
      <c r="A844" t="inlineStr">
        <is>
          <t>A 28181-2024</t>
        </is>
      </c>
      <c r="B844" s="1" t="n">
        <v>45477</v>
      </c>
      <c r="C844" s="1" t="n">
        <v>45635</v>
      </c>
      <c r="D844" t="inlineStr">
        <is>
          <t>JÄMTLANDS LÄN</t>
        </is>
      </c>
      <c r="E844" t="inlineStr">
        <is>
          <t>ÖSTERSUND</t>
        </is>
      </c>
      <c r="G844" t="n">
        <v>0.7</v>
      </c>
      <c r="H844" t="n">
        <v>0</v>
      </c>
      <c r="I844" t="n">
        <v>0</v>
      </c>
      <c r="J844" t="n">
        <v>0</v>
      </c>
      <c r="K844" t="n">
        <v>0</v>
      </c>
      <c r="L844" t="n">
        <v>0</v>
      </c>
      <c r="M844" t="n">
        <v>0</v>
      </c>
      <c r="N844" t="n">
        <v>0</v>
      </c>
      <c r="O844" t="n">
        <v>0</v>
      </c>
      <c r="P844" t="n">
        <v>0</v>
      </c>
      <c r="Q844" t="n">
        <v>0</v>
      </c>
      <c r="R844" s="2" t="inlineStr"/>
    </row>
    <row r="845" ht="15" customHeight="1">
      <c r="A845" t="inlineStr">
        <is>
          <t>A 28543-2024</t>
        </is>
      </c>
      <c r="B845" s="1" t="n">
        <v>45478</v>
      </c>
      <c r="C845" s="1" t="n">
        <v>45635</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29496-2024</t>
        </is>
      </c>
      <c r="B846" s="1" t="n">
        <v>45484</v>
      </c>
      <c r="C846" s="1" t="n">
        <v>45635</v>
      </c>
      <c r="D846" t="inlineStr">
        <is>
          <t>JÄMTLANDS LÄN</t>
        </is>
      </c>
      <c r="E846" t="inlineStr">
        <is>
          <t>ÖSTERSUND</t>
        </is>
      </c>
      <c r="G846" t="n">
        <v>4.3</v>
      </c>
      <c r="H846" t="n">
        <v>0</v>
      </c>
      <c r="I846" t="n">
        <v>0</v>
      </c>
      <c r="J846" t="n">
        <v>0</v>
      </c>
      <c r="K846" t="n">
        <v>0</v>
      </c>
      <c r="L846" t="n">
        <v>0</v>
      </c>
      <c r="M846" t="n">
        <v>0</v>
      </c>
      <c r="N846" t="n">
        <v>0</v>
      </c>
      <c r="O846" t="n">
        <v>0</v>
      </c>
      <c r="P846" t="n">
        <v>0</v>
      </c>
      <c r="Q846" t="n">
        <v>0</v>
      </c>
      <c r="R846" s="2" t="inlineStr"/>
    </row>
    <row r="847" ht="15" customHeight="1">
      <c r="A847" t="inlineStr">
        <is>
          <t>A 30539-2024</t>
        </is>
      </c>
      <c r="B847" s="1" t="n">
        <v>45492</v>
      </c>
      <c r="C847" s="1" t="n">
        <v>45635</v>
      </c>
      <c r="D847" t="inlineStr">
        <is>
          <t>JÄMTLANDS LÄN</t>
        </is>
      </c>
      <c r="E847" t="inlineStr">
        <is>
          <t>ÖSTERSUND</t>
        </is>
      </c>
      <c r="G847" t="n">
        <v>4.9</v>
      </c>
      <c r="H847" t="n">
        <v>0</v>
      </c>
      <c r="I847" t="n">
        <v>0</v>
      </c>
      <c r="J847" t="n">
        <v>0</v>
      </c>
      <c r="K847" t="n">
        <v>0</v>
      </c>
      <c r="L847" t="n">
        <v>0</v>
      </c>
      <c r="M847" t="n">
        <v>0</v>
      </c>
      <c r="N847" t="n">
        <v>0</v>
      </c>
      <c r="O847" t="n">
        <v>0</v>
      </c>
      <c r="P847" t="n">
        <v>0</v>
      </c>
      <c r="Q847" t="n">
        <v>0</v>
      </c>
      <c r="R847" s="2" t="inlineStr"/>
    </row>
    <row r="848" ht="15" customHeight="1">
      <c r="A848" t="inlineStr">
        <is>
          <t>A 30821-2024</t>
        </is>
      </c>
      <c r="B848" s="1" t="n">
        <v>45497</v>
      </c>
      <c r="C848" s="1" t="n">
        <v>45635</v>
      </c>
      <c r="D848" t="inlineStr">
        <is>
          <t>JÄMTLANDS LÄN</t>
        </is>
      </c>
      <c r="E848" t="inlineStr">
        <is>
          <t>ÖSTERSUND</t>
        </is>
      </c>
      <c r="G848" t="n">
        <v>3.4</v>
      </c>
      <c r="H848" t="n">
        <v>0</v>
      </c>
      <c r="I848" t="n">
        <v>0</v>
      </c>
      <c r="J848" t="n">
        <v>0</v>
      </c>
      <c r="K848" t="n">
        <v>0</v>
      </c>
      <c r="L848" t="n">
        <v>0</v>
      </c>
      <c r="M848" t="n">
        <v>0</v>
      </c>
      <c r="N848" t="n">
        <v>0</v>
      </c>
      <c r="O848" t="n">
        <v>0</v>
      </c>
      <c r="P848" t="n">
        <v>0</v>
      </c>
      <c r="Q848" t="n">
        <v>0</v>
      </c>
      <c r="R848" s="2" t="inlineStr"/>
    </row>
    <row r="849" ht="15" customHeight="1">
      <c r="A849" t="inlineStr">
        <is>
          <t>A 31448-2024</t>
        </is>
      </c>
      <c r="B849" s="1" t="n">
        <v>45506</v>
      </c>
      <c r="C849" s="1" t="n">
        <v>45635</v>
      </c>
      <c r="D849" t="inlineStr">
        <is>
          <t>JÄMTLANDS LÄN</t>
        </is>
      </c>
      <c r="E849" t="inlineStr">
        <is>
          <t>ÖSTERSUND</t>
        </is>
      </c>
      <c r="G849" t="n">
        <v>10</v>
      </c>
      <c r="H849" t="n">
        <v>0</v>
      </c>
      <c r="I849" t="n">
        <v>0</v>
      </c>
      <c r="J849" t="n">
        <v>0</v>
      </c>
      <c r="K849" t="n">
        <v>0</v>
      </c>
      <c r="L849" t="n">
        <v>0</v>
      </c>
      <c r="M849" t="n">
        <v>0</v>
      </c>
      <c r="N849" t="n">
        <v>0</v>
      </c>
      <c r="O849" t="n">
        <v>0</v>
      </c>
      <c r="P849" t="n">
        <v>0</v>
      </c>
      <c r="Q849" t="n">
        <v>0</v>
      </c>
      <c r="R849" s="2" t="inlineStr"/>
    </row>
    <row r="850" ht="15" customHeight="1">
      <c r="A850" t="inlineStr">
        <is>
          <t>A 31464-2024</t>
        </is>
      </c>
      <c r="B850" s="1" t="n">
        <v>45506</v>
      </c>
      <c r="C850" s="1" t="n">
        <v>45635</v>
      </c>
      <c r="D850" t="inlineStr">
        <is>
          <t>JÄMTLANDS LÄN</t>
        </is>
      </c>
      <c r="E850" t="inlineStr">
        <is>
          <t>ÖSTERSUND</t>
        </is>
      </c>
      <c r="F850" t="inlineStr">
        <is>
          <t>SCA</t>
        </is>
      </c>
      <c r="G850" t="n">
        <v>8.1</v>
      </c>
      <c r="H850" t="n">
        <v>0</v>
      </c>
      <c r="I850" t="n">
        <v>0</v>
      </c>
      <c r="J850" t="n">
        <v>0</v>
      </c>
      <c r="K850" t="n">
        <v>0</v>
      </c>
      <c r="L850" t="n">
        <v>0</v>
      </c>
      <c r="M850" t="n">
        <v>0</v>
      </c>
      <c r="N850" t="n">
        <v>0</v>
      </c>
      <c r="O850" t="n">
        <v>0</v>
      </c>
      <c r="P850" t="n">
        <v>0</v>
      </c>
      <c r="Q850" t="n">
        <v>0</v>
      </c>
      <c r="R850" s="2" t="inlineStr"/>
    </row>
    <row r="851" ht="15" customHeight="1">
      <c r="A851" t="inlineStr">
        <is>
          <t>A 31446-2024</t>
        </is>
      </c>
      <c r="B851" s="1" t="n">
        <v>45506</v>
      </c>
      <c r="C851" s="1" t="n">
        <v>45635</v>
      </c>
      <c r="D851" t="inlineStr">
        <is>
          <t>JÄMTLANDS LÄN</t>
        </is>
      </c>
      <c r="E851" t="inlineStr">
        <is>
          <t>ÖSTERSUND</t>
        </is>
      </c>
      <c r="G851" t="n">
        <v>5.5</v>
      </c>
      <c r="H851" t="n">
        <v>0</v>
      </c>
      <c r="I851" t="n">
        <v>0</v>
      </c>
      <c r="J851" t="n">
        <v>0</v>
      </c>
      <c r="K851" t="n">
        <v>0</v>
      </c>
      <c r="L851" t="n">
        <v>0</v>
      </c>
      <c r="M851" t="n">
        <v>0</v>
      </c>
      <c r="N851" t="n">
        <v>0</v>
      </c>
      <c r="O851" t="n">
        <v>0</v>
      </c>
      <c r="P851" t="n">
        <v>0</v>
      </c>
      <c r="Q851" t="n">
        <v>0</v>
      </c>
      <c r="R851" s="2" t="inlineStr"/>
    </row>
    <row r="852" ht="15" customHeight="1">
      <c r="A852" t="inlineStr">
        <is>
          <t>A 31445-2024</t>
        </is>
      </c>
      <c r="B852" s="1" t="n">
        <v>45506</v>
      </c>
      <c r="C852" s="1" t="n">
        <v>45635</v>
      </c>
      <c r="D852" t="inlineStr">
        <is>
          <t>JÄMTLANDS LÄN</t>
        </is>
      </c>
      <c r="E852" t="inlineStr">
        <is>
          <t>ÖSTERSUND</t>
        </is>
      </c>
      <c r="G852" t="n">
        <v>0.8</v>
      </c>
      <c r="H852" t="n">
        <v>0</v>
      </c>
      <c r="I852" t="n">
        <v>0</v>
      </c>
      <c r="J852" t="n">
        <v>0</v>
      </c>
      <c r="K852" t="n">
        <v>0</v>
      </c>
      <c r="L852" t="n">
        <v>0</v>
      </c>
      <c r="M852" t="n">
        <v>0</v>
      </c>
      <c r="N852" t="n">
        <v>0</v>
      </c>
      <c r="O852" t="n">
        <v>0</v>
      </c>
      <c r="P852" t="n">
        <v>0</v>
      </c>
      <c r="Q852" t="n">
        <v>0</v>
      </c>
      <c r="R852" s="2" t="inlineStr"/>
    </row>
    <row r="853" ht="15" customHeight="1">
      <c r="A853" t="inlineStr">
        <is>
          <t>A 32224-2024</t>
        </is>
      </c>
      <c r="B853" s="1" t="n">
        <v>45512</v>
      </c>
      <c r="C853" s="1" t="n">
        <v>45635</v>
      </c>
      <c r="D853" t="inlineStr">
        <is>
          <t>JÄMTLANDS LÄN</t>
        </is>
      </c>
      <c r="E853" t="inlineStr">
        <is>
          <t>ÖSTERSUND</t>
        </is>
      </c>
      <c r="G853" t="n">
        <v>1</v>
      </c>
      <c r="H853" t="n">
        <v>0</v>
      </c>
      <c r="I853" t="n">
        <v>0</v>
      </c>
      <c r="J853" t="n">
        <v>0</v>
      </c>
      <c r="K853" t="n">
        <v>0</v>
      </c>
      <c r="L853" t="n">
        <v>0</v>
      </c>
      <c r="M853" t="n">
        <v>0</v>
      </c>
      <c r="N853" t="n">
        <v>0</v>
      </c>
      <c r="O853" t="n">
        <v>0</v>
      </c>
      <c r="P853" t="n">
        <v>0</v>
      </c>
      <c r="Q853" t="n">
        <v>0</v>
      </c>
      <c r="R853" s="2" t="inlineStr"/>
    </row>
    <row r="854" ht="15" customHeight="1">
      <c r="A854" t="inlineStr">
        <is>
          <t>A 32225-2024</t>
        </is>
      </c>
      <c r="B854" s="1" t="n">
        <v>45512</v>
      </c>
      <c r="C854" s="1" t="n">
        <v>45635</v>
      </c>
      <c r="D854" t="inlineStr">
        <is>
          <t>JÄMTLANDS LÄN</t>
        </is>
      </c>
      <c r="E854" t="inlineStr">
        <is>
          <t>ÖSTERSUND</t>
        </is>
      </c>
      <c r="G854" t="n">
        <v>2</v>
      </c>
      <c r="H854" t="n">
        <v>0</v>
      </c>
      <c r="I854" t="n">
        <v>0</v>
      </c>
      <c r="J854" t="n">
        <v>0</v>
      </c>
      <c r="K854" t="n">
        <v>0</v>
      </c>
      <c r="L854" t="n">
        <v>0</v>
      </c>
      <c r="M854" t="n">
        <v>0</v>
      </c>
      <c r="N854" t="n">
        <v>0</v>
      </c>
      <c r="O854" t="n">
        <v>0</v>
      </c>
      <c r="P854" t="n">
        <v>0</v>
      </c>
      <c r="Q854" t="n">
        <v>0</v>
      </c>
      <c r="R854" s="2" t="inlineStr"/>
    </row>
    <row r="855" ht="15" customHeight="1">
      <c r="A855" t="inlineStr">
        <is>
          <t>A 33091-2024</t>
        </is>
      </c>
      <c r="B855" s="1" t="n">
        <v>45517</v>
      </c>
      <c r="C855" s="1" t="n">
        <v>45635</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33015-2024</t>
        </is>
      </c>
      <c r="B856" s="1" t="n">
        <v>45517</v>
      </c>
      <c r="C856" s="1" t="n">
        <v>45635</v>
      </c>
      <c r="D856" t="inlineStr">
        <is>
          <t>JÄMTLANDS LÄN</t>
        </is>
      </c>
      <c r="E856" t="inlineStr">
        <is>
          <t>ÖSTERSUND</t>
        </is>
      </c>
      <c r="G856" t="n">
        <v>2.6</v>
      </c>
      <c r="H856" t="n">
        <v>0</v>
      </c>
      <c r="I856" t="n">
        <v>0</v>
      </c>
      <c r="J856" t="n">
        <v>0</v>
      </c>
      <c r="K856" t="n">
        <v>0</v>
      </c>
      <c r="L856" t="n">
        <v>0</v>
      </c>
      <c r="M856" t="n">
        <v>0</v>
      </c>
      <c r="N856" t="n">
        <v>0</v>
      </c>
      <c r="O856" t="n">
        <v>0</v>
      </c>
      <c r="P856" t="n">
        <v>0</v>
      </c>
      <c r="Q856" t="n">
        <v>0</v>
      </c>
      <c r="R856" s="2" t="inlineStr"/>
    </row>
    <row r="857" ht="15" customHeight="1">
      <c r="A857" t="inlineStr">
        <is>
          <t>A 33621-2024</t>
        </is>
      </c>
      <c r="B857" s="1" t="n">
        <v>45520</v>
      </c>
      <c r="C857" s="1" t="n">
        <v>45635</v>
      </c>
      <c r="D857" t="inlineStr">
        <is>
          <t>JÄMTLANDS LÄN</t>
        </is>
      </c>
      <c r="E857" t="inlineStr">
        <is>
          <t>ÖSTERSUND</t>
        </is>
      </c>
      <c r="G857" t="n">
        <v>2.1</v>
      </c>
      <c r="H857" t="n">
        <v>0</v>
      </c>
      <c r="I857" t="n">
        <v>0</v>
      </c>
      <c r="J857" t="n">
        <v>0</v>
      </c>
      <c r="K857" t="n">
        <v>0</v>
      </c>
      <c r="L857" t="n">
        <v>0</v>
      </c>
      <c r="M857" t="n">
        <v>0</v>
      </c>
      <c r="N857" t="n">
        <v>0</v>
      </c>
      <c r="O857" t="n">
        <v>0</v>
      </c>
      <c r="P857" t="n">
        <v>0</v>
      </c>
      <c r="Q857" t="n">
        <v>0</v>
      </c>
      <c r="R857" s="2" t="inlineStr"/>
    </row>
    <row r="858" ht="15" customHeight="1">
      <c r="A858" t="inlineStr">
        <is>
          <t>A 33779-2024</t>
        </is>
      </c>
      <c r="B858" s="1" t="n">
        <v>45520</v>
      </c>
      <c r="C858" s="1" t="n">
        <v>45635</v>
      </c>
      <c r="D858" t="inlineStr">
        <is>
          <t>JÄMTLANDS LÄN</t>
        </is>
      </c>
      <c r="E858" t="inlineStr">
        <is>
          <t>ÖSTERSUND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34112-2024</t>
        </is>
      </c>
      <c r="B859" s="1" t="n">
        <v>45524</v>
      </c>
      <c r="C859" s="1" t="n">
        <v>45635</v>
      </c>
      <c r="D859" t="inlineStr">
        <is>
          <t>JÄMTLANDS LÄN</t>
        </is>
      </c>
      <c r="E859" t="inlineStr">
        <is>
          <t>ÖSTERSUND</t>
        </is>
      </c>
      <c r="G859" t="n">
        <v>1.2</v>
      </c>
      <c r="H859" t="n">
        <v>0</v>
      </c>
      <c r="I859" t="n">
        <v>0</v>
      </c>
      <c r="J859" t="n">
        <v>0</v>
      </c>
      <c r="K859" t="n">
        <v>0</v>
      </c>
      <c r="L859" t="n">
        <v>0</v>
      </c>
      <c r="M859" t="n">
        <v>0</v>
      </c>
      <c r="N859" t="n">
        <v>0</v>
      </c>
      <c r="O859" t="n">
        <v>0</v>
      </c>
      <c r="P859" t="n">
        <v>0</v>
      </c>
      <c r="Q859" t="n">
        <v>0</v>
      </c>
      <c r="R859" s="2" t="inlineStr"/>
    </row>
    <row r="860" ht="15" customHeight="1">
      <c r="A860" t="inlineStr">
        <is>
          <t>A 34118-2024</t>
        </is>
      </c>
      <c r="B860" s="1" t="n">
        <v>45524</v>
      </c>
      <c r="C860" s="1" t="n">
        <v>45635</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34470-2024</t>
        </is>
      </c>
      <c r="B861" s="1" t="n">
        <v>45525</v>
      </c>
      <c r="C861" s="1" t="n">
        <v>45635</v>
      </c>
      <c r="D861" t="inlineStr">
        <is>
          <t>JÄMTLANDS LÄN</t>
        </is>
      </c>
      <c r="E861" t="inlineStr">
        <is>
          <t>ÖSTERSUND</t>
        </is>
      </c>
      <c r="G861" t="n">
        <v>7.6</v>
      </c>
      <c r="H861" t="n">
        <v>0</v>
      </c>
      <c r="I861" t="n">
        <v>0</v>
      </c>
      <c r="J861" t="n">
        <v>0</v>
      </c>
      <c r="K861" t="n">
        <v>0</v>
      </c>
      <c r="L861" t="n">
        <v>0</v>
      </c>
      <c r="M861" t="n">
        <v>0</v>
      </c>
      <c r="N861" t="n">
        <v>0</v>
      </c>
      <c r="O861" t="n">
        <v>0</v>
      </c>
      <c r="P861" t="n">
        <v>0</v>
      </c>
      <c r="Q861" t="n">
        <v>0</v>
      </c>
      <c r="R861" s="2" t="inlineStr"/>
    </row>
    <row r="862" ht="15" customHeight="1">
      <c r="A862" t="inlineStr">
        <is>
          <t>A 34507-2024</t>
        </is>
      </c>
      <c r="B862" s="1" t="n">
        <v>45525</v>
      </c>
      <c r="C862" s="1" t="n">
        <v>45635</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35984-2024</t>
        </is>
      </c>
      <c r="B863" s="1" t="n">
        <v>45533</v>
      </c>
      <c r="C863" s="1" t="n">
        <v>45635</v>
      </c>
      <c r="D863" t="inlineStr">
        <is>
          <t>JÄMTLANDS LÄN</t>
        </is>
      </c>
      <c r="E863" t="inlineStr">
        <is>
          <t>ÖSTERSUND</t>
        </is>
      </c>
      <c r="G863" t="n">
        <v>2.9</v>
      </c>
      <c r="H863" t="n">
        <v>0</v>
      </c>
      <c r="I863" t="n">
        <v>0</v>
      </c>
      <c r="J863" t="n">
        <v>0</v>
      </c>
      <c r="K863" t="n">
        <v>0</v>
      </c>
      <c r="L863" t="n">
        <v>0</v>
      </c>
      <c r="M863" t="n">
        <v>0</v>
      </c>
      <c r="N863" t="n">
        <v>0</v>
      </c>
      <c r="O863" t="n">
        <v>0</v>
      </c>
      <c r="P863" t="n">
        <v>0</v>
      </c>
      <c r="Q863" t="n">
        <v>0</v>
      </c>
      <c r="R863" s="2" t="inlineStr"/>
    </row>
    <row r="864" ht="15" customHeight="1">
      <c r="A864" t="inlineStr">
        <is>
          <t>A 36465-2024</t>
        </is>
      </c>
      <c r="B864" s="1" t="n">
        <v>45537</v>
      </c>
      <c r="C864" s="1" t="n">
        <v>45635</v>
      </c>
      <c r="D864" t="inlineStr">
        <is>
          <t>JÄMTLANDS LÄN</t>
        </is>
      </c>
      <c r="E864" t="inlineStr">
        <is>
          <t>ÖSTERSUND</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36469-2024</t>
        </is>
      </c>
      <c r="B865" s="1" t="n">
        <v>45537</v>
      </c>
      <c r="C865" s="1" t="n">
        <v>45635</v>
      </c>
      <c r="D865" t="inlineStr">
        <is>
          <t>JÄMTLANDS LÄN</t>
        </is>
      </c>
      <c r="E865" t="inlineStr">
        <is>
          <t>ÖSTERSUND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37270-2024</t>
        </is>
      </c>
      <c r="B866" s="1" t="n">
        <v>45540</v>
      </c>
      <c r="C866" s="1" t="n">
        <v>45635</v>
      </c>
      <c r="D866" t="inlineStr">
        <is>
          <t>JÄMTLANDS LÄN</t>
        </is>
      </c>
      <c r="E866" t="inlineStr">
        <is>
          <t>ÖSTERSUND</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37685-2024</t>
        </is>
      </c>
      <c r="B867" s="1" t="n">
        <v>45541</v>
      </c>
      <c r="C867" s="1" t="n">
        <v>45635</v>
      </c>
      <c r="D867" t="inlineStr">
        <is>
          <t>JÄMTLANDS LÄN</t>
        </is>
      </c>
      <c r="E867" t="inlineStr">
        <is>
          <t>ÖSTERSUND</t>
        </is>
      </c>
      <c r="F867" t="inlineStr">
        <is>
          <t>SCA</t>
        </is>
      </c>
      <c r="G867" t="n">
        <v>11.2</v>
      </c>
      <c r="H867" t="n">
        <v>0</v>
      </c>
      <c r="I867" t="n">
        <v>0</v>
      </c>
      <c r="J867" t="n">
        <v>0</v>
      </c>
      <c r="K867" t="n">
        <v>0</v>
      </c>
      <c r="L867" t="n">
        <v>0</v>
      </c>
      <c r="M867" t="n">
        <v>0</v>
      </c>
      <c r="N867" t="n">
        <v>0</v>
      </c>
      <c r="O867" t="n">
        <v>0</v>
      </c>
      <c r="P867" t="n">
        <v>0</v>
      </c>
      <c r="Q867" t="n">
        <v>0</v>
      </c>
      <c r="R867" s="2" t="inlineStr"/>
    </row>
    <row r="868" ht="15" customHeight="1">
      <c r="A868" t="inlineStr">
        <is>
          <t>A 38926-2024</t>
        </is>
      </c>
      <c r="B868" s="1" t="n">
        <v>45547</v>
      </c>
      <c r="C868" s="1" t="n">
        <v>45635</v>
      </c>
      <c r="D868" t="inlineStr">
        <is>
          <t>JÄMTLANDS LÄN</t>
        </is>
      </c>
      <c r="E868" t="inlineStr">
        <is>
          <t>ÖSTERSUND</t>
        </is>
      </c>
      <c r="G868" t="n">
        <v>0.4</v>
      </c>
      <c r="H868" t="n">
        <v>0</v>
      </c>
      <c r="I868" t="n">
        <v>0</v>
      </c>
      <c r="J868" t="n">
        <v>0</v>
      </c>
      <c r="K868" t="n">
        <v>0</v>
      </c>
      <c r="L868" t="n">
        <v>0</v>
      </c>
      <c r="M868" t="n">
        <v>0</v>
      </c>
      <c r="N868" t="n">
        <v>0</v>
      </c>
      <c r="O868" t="n">
        <v>0</v>
      </c>
      <c r="P868" t="n">
        <v>0</v>
      </c>
      <c r="Q868" t="n">
        <v>0</v>
      </c>
      <c r="R868" s="2" t="inlineStr"/>
    </row>
    <row r="869" ht="15" customHeight="1">
      <c r="A869" t="inlineStr">
        <is>
          <t>A 38920-2024</t>
        </is>
      </c>
      <c r="B869" s="1" t="n">
        <v>45547</v>
      </c>
      <c r="C869" s="1" t="n">
        <v>45635</v>
      </c>
      <c r="D869" t="inlineStr">
        <is>
          <t>JÄMTLANDS LÄN</t>
        </is>
      </c>
      <c r="E869" t="inlineStr">
        <is>
          <t>ÖSTERSUND</t>
        </is>
      </c>
      <c r="G869" t="n">
        <v>1.9</v>
      </c>
      <c r="H869" t="n">
        <v>0</v>
      </c>
      <c r="I869" t="n">
        <v>0</v>
      </c>
      <c r="J869" t="n">
        <v>0</v>
      </c>
      <c r="K869" t="n">
        <v>0</v>
      </c>
      <c r="L869" t="n">
        <v>0</v>
      </c>
      <c r="M869" t="n">
        <v>0</v>
      </c>
      <c r="N869" t="n">
        <v>0</v>
      </c>
      <c r="O869" t="n">
        <v>0</v>
      </c>
      <c r="P869" t="n">
        <v>0</v>
      </c>
      <c r="Q869" t="n">
        <v>0</v>
      </c>
      <c r="R869" s="2" t="inlineStr"/>
    </row>
    <row r="870" ht="15" customHeight="1">
      <c r="A870" t="inlineStr">
        <is>
          <t>A 38924-2024</t>
        </is>
      </c>
      <c r="B870" s="1" t="n">
        <v>45547</v>
      </c>
      <c r="C870" s="1" t="n">
        <v>45635</v>
      </c>
      <c r="D870" t="inlineStr">
        <is>
          <t>JÄMTLANDS LÄN</t>
        </is>
      </c>
      <c r="E870" t="inlineStr">
        <is>
          <t>ÖSTERSUND</t>
        </is>
      </c>
      <c r="G870" t="n">
        <v>3.5</v>
      </c>
      <c r="H870" t="n">
        <v>0</v>
      </c>
      <c r="I870" t="n">
        <v>0</v>
      </c>
      <c r="J870" t="n">
        <v>0</v>
      </c>
      <c r="K870" t="n">
        <v>0</v>
      </c>
      <c r="L870" t="n">
        <v>0</v>
      </c>
      <c r="M870" t="n">
        <v>0</v>
      </c>
      <c r="N870" t="n">
        <v>0</v>
      </c>
      <c r="O870" t="n">
        <v>0</v>
      </c>
      <c r="P870" t="n">
        <v>0</v>
      </c>
      <c r="Q870" t="n">
        <v>0</v>
      </c>
      <c r="R870" s="2" t="inlineStr"/>
    </row>
    <row r="871" ht="15" customHeight="1">
      <c r="A871" t="inlineStr">
        <is>
          <t>A 39065-2024</t>
        </is>
      </c>
      <c r="B871" s="1" t="n">
        <v>45548</v>
      </c>
      <c r="C871" s="1" t="n">
        <v>45635</v>
      </c>
      <c r="D871" t="inlineStr">
        <is>
          <t>JÄMTLANDS LÄN</t>
        </is>
      </c>
      <c r="E871" t="inlineStr">
        <is>
          <t>ÖSTERSUND</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39510-2024</t>
        </is>
      </c>
      <c r="B872" s="1" t="n">
        <v>45551</v>
      </c>
      <c r="C872" s="1" t="n">
        <v>45635</v>
      </c>
      <c r="D872" t="inlineStr">
        <is>
          <t>JÄMTLANDS LÄN</t>
        </is>
      </c>
      <c r="E872" t="inlineStr">
        <is>
          <t>ÖSTERSUND</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39509-2024</t>
        </is>
      </c>
      <c r="B873" s="1" t="n">
        <v>45551</v>
      </c>
      <c r="C873" s="1" t="n">
        <v>45635</v>
      </c>
      <c r="D873" t="inlineStr">
        <is>
          <t>JÄMTLANDS LÄN</t>
        </is>
      </c>
      <c r="E873" t="inlineStr">
        <is>
          <t>ÖSTERSUND</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39915-2024</t>
        </is>
      </c>
      <c r="B874" s="1" t="n">
        <v>45553</v>
      </c>
      <c r="C874" s="1" t="n">
        <v>45635</v>
      </c>
      <c r="D874" t="inlineStr">
        <is>
          <t>JÄMTLANDS LÄN</t>
        </is>
      </c>
      <c r="E874" t="inlineStr">
        <is>
          <t>ÖSTERSUND</t>
        </is>
      </c>
      <c r="G874" t="n">
        <v>1.3</v>
      </c>
      <c r="H874" t="n">
        <v>0</v>
      </c>
      <c r="I874" t="n">
        <v>0</v>
      </c>
      <c r="J874" t="n">
        <v>0</v>
      </c>
      <c r="K874" t="n">
        <v>0</v>
      </c>
      <c r="L874" t="n">
        <v>0</v>
      </c>
      <c r="M874" t="n">
        <v>0</v>
      </c>
      <c r="N874" t="n">
        <v>0</v>
      </c>
      <c r="O874" t="n">
        <v>0</v>
      </c>
      <c r="P874" t="n">
        <v>0</v>
      </c>
      <c r="Q874" t="n">
        <v>0</v>
      </c>
      <c r="R874" s="2" t="inlineStr"/>
    </row>
    <row r="875" ht="15" customHeight="1">
      <c r="A875" t="inlineStr">
        <is>
          <t>A 39975-2024</t>
        </is>
      </c>
      <c r="B875" s="1" t="n">
        <v>45553</v>
      </c>
      <c r="C875" s="1" t="n">
        <v>45635</v>
      </c>
      <c r="D875" t="inlineStr">
        <is>
          <t>JÄMTLANDS LÄN</t>
        </is>
      </c>
      <c r="E875" t="inlineStr">
        <is>
          <t>ÖSTERSUND</t>
        </is>
      </c>
      <c r="G875" t="n">
        <v>3.8</v>
      </c>
      <c r="H875" t="n">
        <v>0</v>
      </c>
      <c r="I875" t="n">
        <v>0</v>
      </c>
      <c r="J875" t="n">
        <v>0</v>
      </c>
      <c r="K875" t="n">
        <v>0</v>
      </c>
      <c r="L875" t="n">
        <v>0</v>
      </c>
      <c r="M875" t="n">
        <v>0</v>
      </c>
      <c r="N875" t="n">
        <v>0</v>
      </c>
      <c r="O875" t="n">
        <v>0</v>
      </c>
      <c r="P875" t="n">
        <v>0</v>
      </c>
      <c r="Q875" t="n">
        <v>0</v>
      </c>
      <c r="R875" s="2" t="inlineStr"/>
    </row>
    <row r="876" ht="15" customHeight="1">
      <c r="A876" t="inlineStr">
        <is>
          <t>A 40672-2024</t>
        </is>
      </c>
      <c r="B876" s="1" t="n">
        <v>45557</v>
      </c>
      <c r="C876" s="1" t="n">
        <v>45635</v>
      </c>
      <c r="D876" t="inlineStr">
        <is>
          <t>JÄMTLANDS LÄN</t>
        </is>
      </c>
      <c r="E876" t="inlineStr">
        <is>
          <t>ÖSTERSUND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40983-2024</t>
        </is>
      </c>
      <c r="B877" s="1" t="n">
        <v>45558</v>
      </c>
      <c r="C877" s="1" t="n">
        <v>45635</v>
      </c>
      <c r="D877" t="inlineStr">
        <is>
          <t>JÄMTLANDS LÄN</t>
        </is>
      </c>
      <c r="E877" t="inlineStr">
        <is>
          <t>ÖSTERSUND</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41280-2024</t>
        </is>
      </c>
      <c r="B878" s="1" t="n">
        <v>45559</v>
      </c>
      <c r="C878" s="1" t="n">
        <v>45635</v>
      </c>
      <c r="D878" t="inlineStr">
        <is>
          <t>JÄMTLANDS LÄN</t>
        </is>
      </c>
      <c r="E878" t="inlineStr">
        <is>
          <t>ÖSTERSUND</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41483-2024</t>
        </is>
      </c>
      <c r="B879" s="1" t="n">
        <v>45560</v>
      </c>
      <c r="C879" s="1" t="n">
        <v>45635</v>
      </c>
      <c r="D879" t="inlineStr">
        <is>
          <t>JÄMTLANDS LÄN</t>
        </is>
      </c>
      <c r="E879" t="inlineStr">
        <is>
          <t>ÖSTERSUND</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41780-2024</t>
        </is>
      </c>
      <c r="B880" s="1" t="n">
        <v>45561</v>
      </c>
      <c r="C880" s="1" t="n">
        <v>45635</v>
      </c>
      <c r="D880" t="inlineStr">
        <is>
          <t>JÄMTLANDS LÄN</t>
        </is>
      </c>
      <c r="E880" t="inlineStr">
        <is>
          <t>ÖSTERSUND</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42550-2024</t>
        </is>
      </c>
      <c r="B881" s="1" t="n">
        <v>45565</v>
      </c>
      <c r="C881" s="1" t="n">
        <v>45635</v>
      </c>
      <c r="D881" t="inlineStr">
        <is>
          <t>JÄMTLANDS LÄN</t>
        </is>
      </c>
      <c r="E881" t="inlineStr">
        <is>
          <t>ÖSTERSUND</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42547-2024</t>
        </is>
      </c>
      <c r="B882" s="1" t="n">
        <v>45565</v>
      </c>
      <c r="C882" s="1" t="n">
        <v>45635</v>
      </c>
      <c r="D882" t="inlineStr">
        <is>
          <t>JÄMTLANDS LÄN</t>
        </is>
      </c>
      <c r="E882" t="inlineStr">
        <is>
          <t>ÖSTERSUND</t>
        </is>
      </c>
      <c r="F882" t="inlineStr">
        <is>
          <t>Övriga Aktiebolag</t>
        </is>
      </c>
      <c r="G882" t="n">
        <v>7.1</v>
      </c>
      <c r="H882" t="n">
        <v>0</v>
      </c>
      <c r="I882" t="n">
        <v>0</v>
      </c>
      <c r="J882" t="n">
        <v>0</v>
      </c>
      <c r="K882" t="n">
        <v>0</v>
      </c>
      <c r="L882" t="n">
        <v>0</v>
      </c>
      <c r="M882" t="n">
        <v>0</v>
      </c>
      <c r="N882" t="n">
        <v>0</v>
      </c>
      <c r="O882" t="n">
        <v>0</v>
      </c>
      <c r="P882" t="n">
        <v>0</v>
      </c>
      <c r="Q882" t="n">
        <v>0</v>
      </c>
      <c r="R882" s="2" t="inlineStr"/>
    </row>
    <row r="883" ht="15" customHeight="1">
      <c r="A883" t="inlineStr">
        <is>
          <t>A 43082-2024</t>
        </is>
      </c>
      <c r="B883" s="1" t="n">
        <v>45567</v>
      </c>
      <c r="C883" s="1" t="n">
        <v>45635</v>
      </c>
      <c r="D883" t="inlineStr">
        <is>
          <t>JÄMTLANDS LÄN</t>
        </is>
      </c>
      <c r="E883" t="inlineStr">
        <is>
          <t>ÖSTERSUND</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43118-2024</t>
        </is>
      </c>
      <c r="B884" s="1" t="n">
        <v>45567</v>
      </c>
      <c r="C884" s="1" t="n">
        <v>45635</v>
      </c>
      <c r="D884" t="inlineStr">
        <is>
          <t>JÄMTLANDS LÄN</t>
        </is>
      </c>
      <c r="E884" t="inlineStr">
        <is>
          <t>ÖSTERSUND</t>
        </is>
      </c>
      <c r="G884" t="n">
        <v>5.1</v>
      </c>
      <c r="H884" t="n">
        <v>0</v>
      </c>
      <c r="I884" t="n">
        <v>0</v>
      </c>
      <c r="J884" t="n">
        <v>0</v>
      </c>
      <c r="K884" t="n">
        <v>0</v>
      </c>
      <c r="L884" t="n">
        <v>0</v>
      </c>
      <c r="M884" t="n">
        <v>0</v>
      </c>
      <c r="N884" t="n">
        <v>0</v>
      </c>
      <c r="O884" t="n">
        <v>0</v>
      </c>
      <c r="P884" t="n">
        <v>0</v>
      </c>
      <c r="Q884" t="n">
        <v>0</v>
      </c>
      <c r="R884" s="2" t="inlineStr"/>
    </row>
    <row r="885" ht="15" customHeight="1">
      <c r="A885" t="inlineStr">
        <is>
          <t>A 43016-2024</t>
        </is>
      </c>
      <c r="B885" s="1" t="n">
        <v>45567</v>
      </c>
      <c r="C885" s="1" t="n">
        <v>45635</v>
      </c>
      <c r="D885" t="inlineStr">
        <is>
          <t>JÄMTLANDS LÄN</t>
        </is>
      </c>
      <c r="E885" t="inlineStr">
        <is>
          <t>ÖSTERSUND</t>
        </is>
      </c>
      <c r="G885" t="n">
        <v>5.3</v>
      </c>
      <c r="H885" t="n">
        <v>0</v>
      </c>
      <c r="I885" t="n">
        <v>0</v>
      </c>
      <c r="J885" t="n">
        <v>0</v>
      </c>
      <c r="K885" t="n">
        <v>0</v>
      </c>
      <c r="L885" t="n">
        <v>0</v>
      </c>
      <c r="M885" t="n">
        <v>0</v>
      </c>
      <c r="N885" t="n">
        <v>0</v>
      </c>
      <c r="O885" t="n">
        <v>0</v>
      </c>
      <c r="P885" t="n">
        <v>0</v>
      </c>
      <c r="Q885" t="n">
        <v>0</v>
      </c>
      <c r="R885" s="2" t="inlineStr"/>
    </row>
    <row r="886" ht="15" customHeight="1">
      <c r="A886" t="inlineStr">
        <is>
          <t>A 43148-2024</t>
        </is>
      </c>
      <c r="B886" s="1" t="n">
        <v>45567</v>
      </c>
      <c r="C886" s="1" t="n">
        <v>45635</v>
      </c>
      <c r="D886" t="inlineStr">
        <is>
          <t>JÄMTLANDS LÄN</t>
        </is>
      </c>
      <c r="E886" t="inlineStr">
        <is>
          <t>ÖSTERSUND</t>
        </is>
      </c>
      <c r="G886" t="n">
        <v>3</v>
      </c>
      <c r="H886" t="n">
        <v>0</v>
      </c>
      <c r="I886" t="n">
        <v>0</v>
      </c>
      <c r="J886" t="n">
        <v>0</v>
      </c>
      <c r="K886" t="n">
        <v>0</v>
      </c>
      <c r="L886" t="n">
        <v>0</v>
      </c>
      <c r="M886" t="n">
        <v>0</v>
      </c>
      <c r="N886" t="n">
        <v>0</v>
      </c>
      <c r="O886" t="n">
        <v>0</v>
      </c>
      <c r="P886" t="n">
        <v>0</v>
      </c>
      <c r="Q886" t="n">
        <v>0</v>
      </c>
      <c r="R886" s="2" t="inlineStr"/>
    </row>
    <row r="887" ht="15" customHeight="1">
      <c r="A887" t="inlineStr">
        <is>
          <t>A 43557-2024</t>
        </is>
      </c>
      <c r="B887" s="1" t="n">
        <v>45569</v>
      </c>
      <c r="C887" s="1" t="n">
        <v>45635</v>
      </c>
      <c r="D887" t="inlineStr">
        <is>
          <t>JÄMTLANDS LÄN</t>
        </is>
      </c>
      <c r="E887" t="inlineStr">
        <is>
          <t>ÖSTERSUND</t>
        </is>
      </c>
      <c r="G887" t="n">
        <v>3.6</v>
      </c>
      <c r="H887" t="n">
        <v>0</v>
      </c>
      <c r="I887" t="n">
        <v>0</v>
      </c>
      <c r="J887" t="n">
        <v>0</v>
      </c>
      <c r="K887" t="n">
        <v>0</v>
      </c>
      <c r="L887" t="n">
        <v>0</v>
      </c>
      <c r="M887" t="n">
        <v>0</v>
      </c>
      <c r="N887" t="n">
        <v>0</v>
      </c>
      <c r="O887" t="n">
        <v>0</v>
      </c>
      <c r="P887" t="n">
        <v>0</v>
      </c>
      <c r="Q887" t="n">
        <v>0</v>
      </c>
      <c r="R887" s="2" t="inlineStr"/>
    </row>
    <row r="888" ht="15" customHeight="1">
      <c r="A888" t="inlineStr">
        <is>
          <t>A 43560-2024</t>
        </is>
      </c>
      <c r="B888" s="1" t="n">
        <v>45569</v>
      </c>
      <c r="C888" s="1" t="n">
        <v>45635</v>
      </c>
      <c r="D888" t="inlineStr">
        <is>
          <t>JÄMTLANDS LÄN</t>
        </is>
      </c>
      <c r="E888" t="inlineStr">
        <is>
          <t>ÖSTERSUND</t>
        </is>
      </c>
      <c r="G888" t="n">
        <v>2.7</v>
      </c>
      <c r="H888" t="n">
        <v>0</v>
      </c>
      <c r="I888" t="n">
        <v>0</v>
      </c>
      <c r="J888" t="n">
        <v>0</v>
      </c>
      <c r="K888" t="n">
        <v>0</v>
      </c>
      <c r="L888" t="n">
        <v>0</v>
      </c>
      <c r="M888" t="n">
        <v>0</v>
      </c>
      <c r="N888" t="n">
        <v>0</v>
      </c>
      <c r="O888" t="n">
        <v>0</v>
      </c>
      <c r="P888" t="n">
        <v>0</v>
      </c>
      <c r="Q888" t="n">
        <v>0</v>
      </c>
      <c r="R888" s="2" t="inlineStr"/>
    </row>
    <row r="889" ht="15" customHeight="1">
      <c r="A889" t="inlineStr">
        <is>
          <t>A 44048-2024</t>
        </is>
      </c>
      <c r="B889" s="1" t="n">
        <v>45572</v>
      </c>
      <c r="C889" s="1" t="n">
        <v>45635</v>
      </c>
      <c r="D889" t="inlineStr">
        <is>
          <t>JÄMTLANDS LÄN</t>
        </is>
      </c>
      <c r="E889" t="inlineStr">
        <is>
          <t>ÖSTERSUND</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44489-2024</t>
        </is>
      </c>
      <c r="B890" s="1" t="n">
        <v>45574</v>
      </c>
      <c r="C890" s="1" t="n">
        <v>45635</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44707-2024</t>
        </is>
      </c>
      <c r="B891" s="1" t="n">
        <v>45574</v>
      </c>
      <c r="C891" s="1" t="n">
        <v>45635</v>
      </c>
      <c r="D891" t="inlineStr">
        <is>
          <t>JÄMTLANDS LÄN</t>
        </is>
      </c>
      <c r="E891" t="inlineStr">
        <is>
          <t>ÖSTERSUND</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45341-2024</t>
        </is>
      </c>
      <c r="B892" s="1" t="n">
        <v>45576</v>
      </c>
      <c r="C892" s="1" t="n">
        <v>45635</v>
      </c>
      <c r="D892" t="inlineStr">
        <is>
          <t>JÄMTLANDS LÄN</t>
        </is>
      </c>
      <c r="E892" t="inlineStr">
        <is>
          <t>ÖSTERSUND</t>
        </is>
      </c>
      <c r="G892" t="n">
        <v>5.9</v>
      </c>
      <c r="H892" t="n">
        <v>0</v>
      </c>
      <c r="I892" t="n">
        <v>0</v>
      </c>
      <c r="J892" t="n">
        <v>0</v>
      </c>
      <c r="K892" t="n">
        <v>0</v>
      </c>
      <c r="L892" t="n">
        <v>0</v>
      </c>
      <c r="M892" t="n">
        <v>0</v>
      </c>
      <c r="N892" t="n">
        <v>0</v>
      </c>
      <c r="O892" t="n">
        <v>0</v>
      </c>
      <c r="P892" t="n">
        <v>0</v>
      </c>
      <c r="Q892" t="n">
        <v>0</v>
      </c>
      <c r="R892" s="2" t="inlineStr"/>
    </row>
    <row r="893" ht="15" customHeight="1">
      <c r="A893" t="inlineStr">
        <is>
          <t>A 45338-2024</t>
        </is>
      </c>
      <c r="B893" s="1" t="n">
        <v>45576</v>
      </c>
      <c r="C893" s="1" t="n">
        <v>45635</v>
      </c>
      <c r="D893" t="inlineStr">
        <is>
          <t>JÄMTLANDS LÄN</t>
        </is>
      </c>
      <c r="E893" t="inlineStr">
        <is>
          <t>ÖSTERSUND</t>
        </is>
      </c>
      <c r="G893" t="n">
        <v>1.4</v>
      </c>
      <c r="H893" t="n">
        <v>0</v>
      </c>
      <c r="I893" t="n">
        <v>0</v>
      </c>
      <c r="J893" t="n">
        <v>0</v>
      </c>
      <c r="K893" t="n">
        <v>0</v>
      </c>
      <c r="L893" t="n">
        <v>0</v>
      </c>
      <c r="M893" t="n">
        <v>0</v>
      </c>
      <c r="N893" t="n">
        <v>0</v>
      </c>
      <c r="O893" t="n">
        <v>0</v>
      </c>
      <c r="P893" t="n">
        <v>0</v>
      </c>
      <c r="Q893" t="n">
        <v>0</v>
      </c>
      <c r="R893" s="2" t="inlineStr"/>
    </row>
    <row r="894" ht="15" customHeight="1">
      <c r="A894" t="inlineStr">
        <is>
          <t>A 45340-2024</t>
        </is>
      </c>
      <c r="B894" s="1" t="n">
        <v>45576</v>
      </c>
      <c r="C894" s="1" t="n">
        <v>45635</v>
      </c>
      <c r="D894" t="inlineStr">
        <is>
          <t>JÄMTLANDS LÄN</t>
        </is>
      </c>
      <c r="E894" t="inlineStr">
        <is>
          <t>ÖSTERSUND</t>
        </is>
      </c>
      <c r="G894" t="n">
        <v>1.6</v>
      </c>
      <c r="H894" t="n">
        <v>0</v>
      </c>
      <c r="I894" t="n">
        <v>0</v>
      </c>
      <c r="J894" t="n">
        <v>0</v>
      </c>
      <c r="K894" t="n">
        <v>0</v>
      </c>
      <c r="L894" t="n">
        <v>0</v>
      </c>
      <c r="M894" t="n">
        <v>0</v>
      </c>
      <c r="N894" t="n">
        <v>0</v>
      </c>
      <c r="O894" t="n">
        <v>0</v>
      </c>
      <c r="P894" t="n">
        <v>0</v>
      </c>
      <c r="Q894" t="n">
        <v>0</v>
      </c>
      <c r="R894" s="2" t="inlineStr"/>
    </row>
    <row r="895" ht="15" customHeight="1">
      <c r="A895" t="inlineStr">
        <is>
          <t>A 45610-2024</t>
        </is>
      </c>
      <c r="B895" s="1" t="n">
        <v>45579</v>
      </c>
      <c r="C895" s="1" t="n">
        <v>45635</v>
      </c>
      <c r="D895" t="inlineStr">
        <is>
          <t>JÄMTLANDS LÄN</t>
        </is>
      </c>
      <c r="E895" t="inlineStr">
        <is>
          <t>ÖSTERSUND</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45742-2024</t>
        </is>
      </c>
      <c r="B896" s="1" t="n">
        <v>45579</v>
      </c>
      <c r="C896" s="1" t="n">
        <v>45635</v>
      </c>
      <c r="D896" t="inlineStr">
        <is>
          <t>JÄMTLANDS LÄN</t>
        </is>
      </c>
      <c r="E896" t="inlineStr">
        <is>
          <t>ÖSTERSUND</t>
        </is>
      </c>
      <c r="G896" t="n">
        <v>2.4</v>
      </c>
      <c r="H896" t="n">
        <v>0</v>
      </c>
      <c r="I896" t="n">
        <v>0</v>
      </c>
      <c r="J896" t="n">
        <v>0</v>
      </c>
      <c r="K896" t="n">
        <v>0</v>
      </c>
      <c r="L896" t="n">
        <v>0</v>
      </c>
      <c r="M896" t="n">
        <v>0</v>
      </c>
      <c r="N896" t="n">
        <v>0</v>
      </c>
      <c r="O896" t="n">
        <v>0</v>
      </c>
      <c r="P896" t="n">
        <v>0</v>
      </c>
      <c r="Q896" t="n">
        <v>0</v>
      </c>
      <c r="R896" s="2" t="inlineStr"/>
    </row>
    <row r="897" ht="15" customHeight="1">
      <c r="A897" t="inlineStr">
        <is>
          <t>A 45895-2024</t>
        </is>
      </c>
      <c r="B897" s="1" t="n">
        <v>45580</v>
      </c>
      <c r="C897" s="1" t="n">
        <v>45635</v>
      </c>
      <c r="D897" t="inlineStr">
        <is>
          <t>JÄMTLANDS LÄN</t>
        </is>
      </c>
      <c r="E897" t="inlineStr">
        <is>
          <t>ÖSTERSUND</t>
        </is>
      </c>
      <c r="G897" t="n">
        <v>1.2</v>
      </c>
      <c r="H897" t="n">
        <v>0</v>
      </c>
      <c r="I897" t="n">
        <v>0</v>
      </c>
      <c r="J897" t="n">
        <v>0</v>
      </c>
      <c r="K897" t="n">
        <v>0</v>
      </c>
      <c r="L897" t="n">
        <v>0</v>
      </c>
      <c r="M897" t="n">
        <v>0</v>
      </c>
      <c r="N897" t="n">
        <v>0</v>
      </c>
      <c r="O897" t="n">
        <v>0</v>
      </c>
      <c r="P897" t="n">
        <v>0</v>
      </c>
      <c r="Q897" t="n">
        <v>0</v>
      </c>
      <c r="R897" s="2" t="inlineStr"/>
    </row>
    <row r="898" ht="15" customHeight="1">
      <c r="A898" t="inlineStr">
        <is>
          <t>A 45856-2024</t>
        </is>
      </c>
      <c r="B898" s="1" t="n">
        <v>45580</v>
      </c>
      <c r="C898" s="1" t="n">
        <v>45635</v>
      </c>
      <c r="D898" t="inlineStr">
        <is>
          <t>JÄMTLANDS LÄN</t>
        </is>
      </c>
      <c r="E898" t="inlineStr">
        <is>
          <t>ÖSTERSUND</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46732-2024</t>
        </is>
      </c>
      <c r="B899" s="1" t="n">
        <v>45583</v>
      </c>
      <c r="C899" s="1" t="n">
        <v>45635</v>
      </c>
      <c r="D899" t="inlineStr">
        <is>
          <t>JÄMTLANDS LÄN</t>
        </is>
      </c>
      <c r="E899" t="inlineStr">
        <is>
          <t>ÖSTERSUND</t>
        </is>
      </c>
      <c r="G899" t="n">
        <v>3.3</v>
      </c>
      <c r="H899" t="n">
        <v>0</v>
      </c>
      <c r="I899" t="n">
        <v>0</v>
      </c>
      <c r="J899" t="n">
        <v>0</v>
      </c>
      <c r="K899" t="n">
        <v>0</v>
      </c>
      <c r="L899" t="n">
        <v>0</v>
      </c>
      <c r="M899" t="n">
        <v>0</v>
      </c>
      <c r="N899" t="n">
        <v>0</v>
      </c>
      <c r="O899" t="n">
        <v>0</v>
      </c>
      <c r="P899" t="n">
        <v>0</v>
      </c>
      <c r="Q899" t="n">
        <v>0</v>
      </c>
      <c r="R899" s="2" t="inlineStr"/>
    </row>
    <row r="900" ht="15" customHeight="1">
      <c r="A900" t="inlineStr">
        <is>
          <t>A 47245-2024</t>
        </is>
      </c>
      <c r="B900" s="1" t="n">
        <v>45586</v>
      </c>
      <c r="C900" s="1" t="n">
        <v>45635</v>
      </c>
      <c r="D900" t="inlineStr">
        <is>
          <t>JÄMTLANDS LÄN</t>
        </is>
      </c>
      <c r="E900" t="inlineStr">
        <is>
          <t>ÖSTERSUND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47022-2024</t>
        </is>
      </c>
      <c r="B901" s="1" t="n">
        <v>45586</v>
      </c>
      <c r="C901" s="1" t="n">
        <v>45635</v>
      </c>
      <c r="D901" t="inlineStr">
        <is>
          <t>JÄMTLANDS LÄN</t>
        </is>
      </c>
      <c r="E901" t="inlineStr">
        <is>
          <t>ÖSTERSUND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47357-2024</t>
        </is>
      </c>
      <c r="B902" s="1" t="n">
        <v>45587</v>
      </c>
      <c r="C902" s="1" t="n">
        <v>45635</v>
      </c>
      <c r="D902" t="inlineStr">
        <is>
          <t>JÄMTLANDS LÄN</t>
        </is>
      </c>
      <c r="E902" t="inlineStr">
        <is>
          <t>ÖSTERSUND</t>
        </is>
      </c>
      <c r="G902" t="n">
        <v>2.4</v>
      </c>
      <c r="H902" t="n">
        <v>0</v>
      </c>
      <c r="I902" t="n">
        <v>0</v>
      </c>
      <c r="J902" t="n">
        <v>0</v>
      </c>
      <c r="K902" t="n">
        <v>0</v>
      </c>
      <c r="L902" t="n">
        <v>0</v>
      </c>
      <c r="M902" t="n">
        <v>0</v>
      </c>
      <c r="N902" t="n">
        <v>0</v>
      </c>
      <c r="O902" t="n">
        <v>0</v>
      </c>
      <c r="P902" t="n">
        <v>0</v>
      </c>
      <c r="Q902" t="n">
        <v>0</v>
      </c>
      <c r="R902" s="2" t="inlineStr"/>
    </row>
    <row r="903" ht="15" customHeight="1">
      <c r="A903" t="inlineStr">
        <is>
          <t>A 47804-2024</t>
        </is>
      </c>
      <c r="B903" s="1" t="n">
        <v>45588</v>
      </c>
      <c r="C903" s="1" t="n">
        <v>45635</v>
      </c>
      <c r="D903" t="inlineStr">
        <is>
          <t>JÄMTLANDS LÄN</t>
        </is>
      </c>
      <c r="E903" t="inlineStr">
        <is>
          <t>ÖSTERSUND</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47630-2024</t>
        </is>
      </c>
      <c r="B904" s="1" t="n">
        <v>45588</v>
      </c>
      <c r="C904" s="1" t="n">
        <v>45635</v>
      </c>
      <c r="D904" t="inlineStr">
        <is>
          <t>JÄMTLANDS LÄN</t>
        </is>
      </c>
      <c r="E904" t="inlineStr">
        <is>
          <t>ÖSTERSUND</t>
        </is>
      </c>
      <c r="G904" t="n">
        <v>0.9</v>
      </c>
      <c r="H904" t="n">
        <v>0</v>
      </c>
      <c r="I904" t="n">
        <v>0</v>
      </c>
      <c r="J904" t="n">
        <v>0</v>
      </c>
      <c r="K904" t="n">
        <v>0</v>
      </c>
      <c r="L904" t="n">
        <v>0</v>
      </c>
      <c r="M904" t="n">
        <v>0</v>
      </c>
      <c r="N904" t="n">
        <v>0</v>
      </c>
      <c r="O904" t="n">
        <v>0</v>
      </c>
      <c r="P904" t="n">
        <v>0</v>
      </c>
      <c r="Q904" t="n">
        <v>0</v>
      </c>
      <c r="R904" s="2" t="inlineStr"/>
    </row>
    <row r="905" ht="15" customHeight="1">
      <c r="A905" t="inlineStr">
        <is>
          <t>A 47628-2024</t>
        </is>
      </c>
      <c r="B905" s="1" t="n">
        <v>45588</v>
      </c>
      <c r="C905" s="1" t="n">
        <v>45635</v>
      </c>
      <c r="D905" t="inlineStr">
        <is>
          <t>JÄMTLANDS LÄN</t>
        </is>
      </c>
      <c r="E905" t="inlineStr">
        <is>
          <t>ÖSTERSUND</t>
        </is>
      </c>
      <c r="G905" t="n">
        <v>1.9</v>
      </c>
      <c r="H905" t="n">
        <v>0</v>
      </c>
      <c r="I905" t="n">
        <v>0</v>
      </c>
      <c r="J905" t="n">
        <v>0</v>
      </c>
      <c r="K905" t="n">
        <v>0</v>
      </c>
      <c r="L905" t="n">
        <v>0</v>
      </c>
      <c r="M905" t="n">
        <v>0</v>
      </c>
      <c r="N905" t="n">
        <v>0</v>
      </c>
      <c r="O905" t="n">
        <v>0</v>
      </c>
      <c r="P905" t="n">
        <v>0</v>
      </c>
      <c r="Q905" t="n">
        <v>0</v>
      </c>
      <c r="R905" s="2" t="inlineStr"/>
    </row>
    <row r="906" ht="15" customHeight="1">
      <c r="A906" t="inlineStr">
        <is>
          <t>A 47789-2024</t>
        </is>
      </c>
      <c r="B906" s="1" t="n">
        <v>45588</v>
      </c>
      <c r="C906" s="1" t="n">
        <v>45635</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47805-2024</t>
        </is>
      </c>
      <c r="B907" s="1" t="n">
        <v>45588</v>
      </c>
      <c r="C907" s="1" t="n">
        <v>45635</v>
      </c>
      <c r="D907" t="inlineStr">
        <is>
          <t>JÄMTLANDS LÄN</t>
        </is>
      </c>
      <c r="E907" t="inlineStr">
        <is>
          <t>ÖSTERSUND</t>
        </is>
      </c>
      <c r="G907" t="n">
        <v>7.4</v>
      </c>
      <c r="H907" t="n">
        <v>0</v>
      </c>
      <c r="I907" t="n">
        <v>0</v>
      </c>
      <c r="J907" t="n">
        <v>0</v>
      </c>
      <c r="K907" t="n">
        <v>0</v>
      </c>
      <c r="L907" t="n">
        <v>0</v>
      </c>
      <c r="M907" t="n">
        <v>0</v>
      </c>
      <c r="N907" t="n">
        <v>0</v>
      </c>
      <c r="O907" t="n">
        <v>0</v>
      </c>
      <c r="P907" t="n">
        <v>0</v>
      </c>
      <c r="Q907" t="n">
        <v>0</v>
      </c>
      <c r="R907" s="2" t="inlineStr"/>
    </row>
    <row r="908" ht="15" customHeight="1">
      <c r="A908" t="inlineStr">
        <is>
          <t>A 47627-2024</t>
        </is>
      </c>
      <c r="B908" s="1" t="n">
        <v>45588</v>
      </c>
      <c r="C908" s="1" t="n">
        <v>45635</v>
      </c>
      <c r="D908" t="inlineStr">
        <is>
          <t>JÄMTLANDS LÄN</t>
        </is>
      </c>
      <c r="E908" t="inlineStr">
        <is>
          <t>ÖSTERSUND</t>
        </is>
      </c>
      <c r="G908" t="n">
        <v>0.8</v>
      </c>
      <c r="H908" t="n">
        <v>0</v>
      </c>
      <c r="I908" t="n">
        <v>0</v>
      </c>
      <c r="J908" t="n">
        <v>0</v>
      </c>
      <c r="K908" t="n">
        <v>0</v>
      </c>
      <c r="L908" t="n">
        <v>0</v>
      </c>
      <c r="M908" t="n">
        <v>0</v>
      </c>
      <c r="N908" t="n">
        <v>0</v>
      </c>
      <c r="O908" t="n">
        <v>0</v>
      </c>
      <c r="P908" t="n">
        <v>0</v>
      </c>
      <c r="Q908" t="n">
        <v>0</v>
      </c>
      <c r="R908" s="2" t="inlineStr"/>
    </row>
    <row r="909" ht="15" customHeight="1">
      <c r="A909" t="inlineStr">
        <is>
          <t>A 48131-2024</t>
        </is>
      </c>
      <c r="B909" s="1" t="n">
        <v>45589</v>
      </c>
      <c r="C909" s="1" t="n">
        <v>45635</v>
      </c>
      <c r="D909" t="inlineStr">
        <is>
          <t>JÄMTLANDS LÄN</t>
        </is>
      </c>
      <c r="E909" t="inlineStr">
        <is>
          <t>ÖSTERSUND</t>
        </is>
      </c>
      <c r="G909" t="n">
        <v>2.6</v>
      </c>
      <c r="H909" t="n">
        <v>0</v>
      </c>
      <c r="I909" t="n">
        <v>0</v>
      </c>
      <c r="J909" t="n">
        <v>0</v>
      </c>
      <c r="K909" t="n">
        <v>0</v>
      </c>
      <c r="L909" t="n">
        <v>0</v>
      </c>
      <c r="M909" t="n">
        <v>0</v>
      </c>
      <c r="N909" t="n">
        <v>0</v>
      </c>
      <c r="O909" t="n">
        <v>0</v>
      </c>
      <c r="P909" t="n">
        <v>0</v>
      </c>
      <c r="Q909" t="n">
        <v>0</v>
      </c>
      <c r="R909" s="2" t="inlineStr"/>
    </row>
    <row r="910" ht="15" customHeight="1">
      <c r="A910" t="inlineStr">
        <is>
          <t>A 48106-2024</t>
        </is>
      </c>
      <c r="B910" s="1" t="n">
        <v>45589</v>
      </c>
      <c r="C910" s="1" t="n">
        <v>45635</v>
      </c>
      <c r="D910" t="inlineStr">
        <is>
          <t>JÄMTLANDS LÄN</t>
        </is>
      </c>
      <c r="E910" t="inlineStr">
        <is>
          <t>ÖSTERSUND</t>
        </is>
      </c>
      <c r="G910" t="n">
        <v>3.5</v>
      </c>
      <c r="H910" t="n">
        <v>0</v>
      </c>
      <c r="I910" t="n">
        <v>0</v>
      </c>
      <c r="J910" t="n">
        <v>0</v>
      </c>
      <c r="K910" t="n">
        <v>0</v>
      </c>
      <c r="L910" t="n">
        <v>0</v>
      </c>
      <c r="M910" t="n">
        <v>0</v>
      </c>
      <c r="N910" t="n">
        <v>0</v>
      </c>
      <c r="O910" t="n">
        <v>0</v>
      </c>
      <c r="P910" t="n">
        <v>0</v>
      </c>
      <c r="Q910" t="n">
        <v>0</v>
      </c>
      <c r="R910" s="2" t="inlineStr"/>
    </row>
    <row r="911" ht="15" customHeight="1">
      <c r="A911" t="inlineStr">
        <is>
          <t>A 48421-2024</t>
        </is>
      </c>
      <c r="B911" s="1" t="n">
        <v>45590</v>
      </c>
      <c r="C911" s="1" t="n">
        <v>45635</v>
      </c>
      <c r="D911" t="inlineStr">
        <is>
          <t>JÄMTLANDS LÄN</t>
        </is>
      </c>
      <c r="E911" t="inlineStr">
        <is>
          <t>ÖSTERSUND</t>
        </is>
      </c>
      <c r="G911" t="n">
        <v>1.9</v>
      </c>
      <c r="H911" t="n">
        <v>0</v>
      </c>
      <c r="I911" t="n">
        <v>0</v>
      </c>
      <c r="J911" t="n">
        <v>0</v>
      </c>
      <c r="K911" t="n">
        <v>0</v>
      </c>
      <c r="L911" t="n">
        <v>0</v>
      </c>
      <c r="M911" t="n">
        <v>0</v>
      </c>
      <c r="N911" t="n">
        <v>0</v>
      </c>
      <c r="O911" t="n">
        <v>0</v>
      </c>
      <c r="P911" t="n">
        <v>0</v>
      </c>
      <c r="Q911" t="n">
        <v>0</v>
      </c>
      <c r="R911" s="2" t="inlineStr"/>
    </row>
    <row r="912" ht="15" customHeight="1">
      <c r="A912" t="inlineStr">
        <is>
          <t>A 48422-2024</t>
        </is>
      </c>
      <c r="B912" s="1" t="n">
        <v>45590</v>
      </c>
      <c r="C912" s="1" t="n">
        <v>45635</v>
      </c>
      <c r="D912" t="inlineStr">
        <is>
          <t>JÄMTLANDS LÄN</t>
        </is>
      </c>
      <c r="E912" t="inlineStr">
        <is>
          <t>ÖSTERSUND</t>
        </is>
      </c>
      <c r="G912" t="n">
        <v>14.6</v>
      </c>
      <c r="H912" t="n">
        <v>0</v>
      </c>
      <c r="I912" t="n">
        <v>0</v>
      </c>
      <c r="J912" t="n">
        <v>0</v>
      </c>
      <c r="K912" t="n">
        <v>0</v>
      </c>
      <c r="L912" t="n">
        <v>0</v>
      </c>
      <c r="M912" t="n">
        <v>0</v>
      </c>
      <c r="N912" t="n">
        <v>0</v>
      </c>
      <c r="O912" t="n">
        <v>0</v>
      </c>
      <c r="P912" t="n">
        <v>0</v>
      </c>
      <c r="Q912" t="n">
        <v>0</v>
      </c>
      <c r="R912" s="2" t="inlineStr"/>
    </row>
    <row r="913" ht="15" customHeight="1">
      <c r="A913" t="inlineStr">
        <is>
          <t>A 48696-2024</t>
        </is>
      </c>
      <c r="B913" s="1" t="n">
        <v>45593</v>
      </c>
      <c r="C913" s="1" t="n">
        <v>45635</v>
      </c>
      <c r="D913" t="inlineStr">
        <is>
          <t>JÄMTLANDS LÄN</t>
        </is>
      </c>
      <c r="E913" t="inlineStr">
        <is>
          <t>ÖSTERSUND</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48737-2024</t>
        </is>
      </c>
      <c r="B914" s="1" t="n">
        <v>45593</v>
      </c>
      <c r="C914" s="1" t="n">
        <v>45635</v>
      </c>
      <c r="D914" t="inlineStr">
        <is>
          <t>JÄMTLANDS LÄN</t>
        </is>
      </c>
      <c r="E914" t="inlineStr">
        <is>
          <t>ÖSTERSUND</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49192-2024</t>
        </is>
      </c>
      <c r="B915" s="1" t="n">
        <v>45595</v>
      </c>
      <c r="C915" s="1" t="n">
        <v>45635</v>
      </c>
      <c r="D915" t="inlineStr">
        <is>
          <t>JÄMTLANDS LÄN</t>
        </is>
      </c>
      <c r="E915" t="inlineStr">
        <is>
          <t>ÖSTERSUND</t>
        </is>
      </c>
      <c r="G915" t="n">
        <v>1.1</v>
      </c>
      <c r="H915" t="n">
        <v>0</v>
      </c>
      <c r="I915" t="n">
        <v>0</v>
      </c>
      <c r="J915" t="n">
        <v>0</v>
      </c>
      <c r="K915" t="n">
        <v>0</v>
      </c>
      <c r="L915" t="n">
        <v>0</v>
      </c>
      <c r="M915" t="n">
        <v>0</v>
      </c>
      <c r="N915" t="n">
        <v>0</v>
      </c>
      <c r="O915" t="n">
        <v>0</v>
      </c>
      <c r="P915" t="n">
        <v>0</v>
      </c>
      <c r="Q915" t="n">
        <v>0</v>
      </c>
      <c r="R915" s="2" t="inlineStr"/>
    </row>
    <row r="916" ht="15" customHeight="1">
      <c r="A916" t="inlineStr">
        <is>
          <t>A 49240-2024</t>
        </is>
      </c>
      <c r="B916" s="1" t="n">
        <v>45595</v>
      </c>
      <c r="C916" s="1" t="n">
        <v>45635</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49546-2024</t>
        </is>
      </c>
      <c r="B917" s="1" t="n">
        <v>45596</v>
      </c>
      <c r="C917" s="1" t="n">
        <v>45635</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49592-2024</t>
        </is>
      </c>
      <c r="B918" s="1" t="n">
        <v>45596</v>
      </c>
      <c r="C918" s="1" t="n">
        <v>45635</v>
      </c>
      <c r="D918" t="inlineStr">
        <is>
          <t>JÄMTLANDS LÄN</t>
        </is>
      </c>
      <c r="E918" t="inlineStr">
        <is>
          <t>ÖSTERSUND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49788-2024</t>
        </is>
      </c>
      <c r="B919" s="1" t="n">
        <v>45597</v>
      </c>
      <c r="C919" s="1" t="n">
        <v>45635</v>
      </c>
      <c r="D919" t="inlineStr">
        <is>
          <t>JÄMTLANDS LÄN</t>
        </is>
      </c>
      <c r="E919" t="inlineStr">
        <is>
          <t>ÖSTERSUND</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50088-2024</t>
        </is>
      </c>
      <c r="B920" s="1" t="n">
        <v>45600</v>
      </c>
      <c r="C920" s="1" t="n">
        <v>45635</v>
      </c>
      <c r="D920" t="inlineStr">
        <is>
          <t>JÄMTLANDS LÄN</t>
        </is>
      </c>
      <c r="E920" t="inlineStr">
        <is>
          <t>ÖSTERSUND</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50218-2024</t>
        </is>
      </c>
      <c r="B921" s="1" t="n">
        <v>45600</v>
      </c>
      <c r="C921" s="1" t="n">
        <v>45635</v>
      </c>
      <c r="D921" t="inlineStr">
        <is>
          <t>JÄMTLANDS LÄN</t>
        </is>
      </c>
      <c r="E921" t="inlineStr">
        <is>
          <t>ÖSTERSUND</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50560-2024</t>
        </is>
      </c>
      <c r="B922" s="1" t="n">
        <v>45601</v>
      </c>
      <c r="C922" s="1" t="n">
        <v>45635</v>
      </c>
      <c r="D922" t="inlineStr">
        <is>
          <t>JÄMTLANDS LÄN</t>
        </is>
      </c>
      <c r="E922" t="inlineStr">
        <is>
          <t>ÖSTERSUND</t>
        </is>
      </c>
      <c r="G922" t="n">
        <v>2.3</v>
      </c>
      <c r="H922" t="n">
        <v>0</v>
      </c>
      <c r="I922" t="n">
        <v>0</v>
      </c>
      <c r="J922" t="n">
        <v>0</v>
      </c>
      <c r="K922" t="n">
        <v>0</v>
      </c>
      <c r="L922" t="n">
        <v>0</v>
      </c>
      <c r="M922" t="n">
        <v>0</v>
      </c>
      <c r="N922" t="n">
        <v>0</v>
      </c>
      <c r="O922" t="n">
        <v>0</v>
      </c>
      <c r="P922" t="n">
        <v>0</v>
      </c>
      <c r="Q922" t="n">
        <v>0</v>
      </c>
      <c r="R922" s="2" t="inlineStr"/>
    </row>
    <row r="923" ht="15" customHeight="1">
      <c r="A923" t="inlineStr">
        <is>
          <t>A 50860-2024</t>
        </is>
      </c>
      <c r="B923" s="1" t="n">
        <v>45602</v>
      </c>
      <c r="C923" s="1" t="n">
        <v>45635</v>
      </c>
      <c r="D923" t="inlineStr">
        <is>
          <t>JÄMTLANDS LÄN</t>
        </is>
      </c>
      <c r="E923" t="inlineStr">
        <is>
          <t>ÖSTERSUND</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50861-2024</t>
        </is>
      </c>
      <c r="B924" s="1" t="n">
        <v>45602</v>
      </c>
      <c r="C924" s="1" t="n">
        <v>45635</v>
      </c>
      <c r="D924" t="inlineStr">
        <is>
          <t>JÄMTLANDS LÄN</t>
        </is>
      </c>
      <c r="E924" t="inlineStr">
        <is>
          <t>ÖSTERSUND</t>
        </is>
      </c>
      <c r="G924" t="n">
        <v>5</v>
      </c>
      <c r="H924" t="n">
        <v>0</v>
      </c>
      <c r="I924" t="n">
        <v>0</v>
      </c>
      <c r="J924" t="n">
        <v>0</v>
      </c>
      <c r="K924" t="n">
        <v>0</v>
      </c>
      <c r="L924" t="n">
        <v>0</v>
      </c>
      <c r="M924" t="n">
        <v>0</v>
      </c>
      <c r="N924" t="n">
        <v>0</v>
      </c>
      <c r="O924" t="n">
        <v>0</v>
      </c>
      <c r="P924" t="n">
        <v>0</v>
      </c>
      <c r="Q924" t="n">
        <v>0</v>
      </c>
      <c r="R924" s="2" t="inlineStr"/>
    </row>
    <row r="925" ht="15" customHeight="1">
      <c r="A925" t="inlineStr">
        <is>
          <t>A 50971-2024</t>
        </is>
      </c>
      <c r="B925" s="1" t="n">
        <v>45603</v>
      </c>
      <c r="C925" s="1" t="n">
        <v>45635</v>
      </c>
      <c r="D925" t="inlineStr">
        <is>
          <t>JÄMTLANDS LÄN</t>
        </is>
      </c>
      <c r="E925" t="inlineStr">
        <is>
          <t>ÖSTERSUND</t>
        </is>
      </c>
      <c r="G925" t="n">
        <v>3.2</v>
      </c>
      <c r="H925" t="n">
        <v>0</v>
      </c>
      <c r="I925" t="n">
        <v>0</v>
      </c>
      <c r="J925" t="n">
        <v>0</v>
      </c>
      <c r="K925" t="n">
        <v>0</v>
      </c>
      <c r="L925" t="n">
        <v>0</v>
      </c>
      <c r="M925" t="n">
        <v>0</v>
      </c>
      <c r="N925" t="n">
        <v>0</v>
      </c>
      <c r="O925" t="n">
        <v>0</v>
      </c>
      <c r="P925" t="n">
        <v>0</v>
      </c>
      <c r="Q925" t="n">
        <v>0</v>
      </c>
      <c r="R925" s="2" t="inlineStr"/>
    </row>
    <row r="926" ht="15" customHeight="1">
      <c r="A926" t="inlineStr">
        <is>
          <t>A 51379-2024</t>
        </is>
      </c>
      <c r="B926" s="1" t="n">
        <v>45604</v>
      </c>
      <c r="C926" s="1" t="n">
        <v>45635</v>
      </c>
      <c r="D926" t="inlineStr">
        <is>
          <t>JÄMTLANDS LÄN</t>
        </is>
      </c>
      <c r="E926" t="inlineStr">
        <is>
          <t>ÖSTERSUND</t>
        </is>
      </c>
      <c r="G926" t="n">
        <v>2</v>
      </c>
      <c r="H926" t="n">
        <v>0</v>
      </c>
      <c r="I926" t="n">
        <v>0</v>
      </c>
      <c r="J926" t="n">
        <v>0</v>
      </c>
      <c r="K926" t="n">
        <v>0</v>
      </c>
      <c r="L926" t="n">
        <v>0</v>
      </c>
      <c r="M926" t="n">
        <v>0</v>
      </c>
      <c r="N926" t="n">
        <v>0</v>
      </c>
      <c r="O926" t="n">
        <v>0</v>
      </c>
      <c r="P926" t="n">
        <v>0</v>
      </c>
      <c r="Q926" t="n">
        <v>0</v>
      </c>
      <c r="R926" s="2" t="inlineStr"/>
    </row>
    <row r="927" ht="15" customHeight="1">
      <c r="A927" t="inlineStr">
        <is>
          <t>A 51865-2024</t>
        </is>
      </c>
      <c r="B927" s="1" t="n">
        <v>45607</v>
      </c>
      <c r="C927" s="1" t="n">
        <v>45635</v>
      </c>
      <c r="D927" t="inlineStr">
        <is>
          <t>JÄMTLANDS LÄN</t>
        </is>
      </c>
      <c r="E927" t="inlineStr">
        <is>
          <t>ÖSTERSUND</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51856-2024</t>
        </is>
      </c>
      <c r="B928" s="1" t="n">
        <v>45607</v>
      </c>
      <c r="C928" s="1" t="n">
        <v>45635</v>
      </c>
      <c r="D928" t="inlineStr">
        <is>
          <t>JÄMTLANDS LÄN</t>
        </is>
      </c>
      <c r="E928" t="inlineStr">
        <is>
          <t>ÖSTERSUND</t>
        </is>
      </c>
      <c r="G928" t="n">
        <v>13.5</v>
      </c>
      <c r="H928" t="n">
        <v>0</v>
      </c>
      <c r="I928" t="n">
        <v>0</v>
      </c>
      <c r="J928" t="n">
        <v>0</v>
      </c>
      <c r="K928" t="n">
        <v>0</v>
      </c>
      <c r="L928" t="n">
        <v>0</v>
      </c>
      <c r="M928" t="n">
        <v>0</v>
      </c>
      <c r="N928" t="n">
        <v>0</v>
      </c>
      <c r="O928" t="n">
        <v>0</v>
      </c>
      <c r="P928" t="n">
        <v>0</v>
      </c>
      <c r="Q928" t="n">
        <v>0</v>
      </c>
      <c r="R928" s="2" t="inlineStr"/>
    </row>
    <row r="929" ht="15" customHeight="1">
      <c r="A929" t="inlineStr">
        <is>
          <t>A 51826-2024</t>
        </is>
      </c>
      <c r="B929" s="1" t="n">
        <v>45607</v>
      </c>
      <c r="C929" s="1" t="n">
        <v>45635</v>
      </c>
      <c r="D929" t="inlineStr">
        <is>
          <t>JÄMTLANDS LÄN</t>
        </is>
      </c>
      <c r="E929" t="inlineStr">
        <is>
          <t>ÖSTERSUND</t>
        </is>
      </c>
      <c r="G929" t="n">
        <v>1.1</v>
      </c>
      <c r="H929" t="n">
        <v>0</v>
      </c>
      <c r="I929" t="n">
        <v>0</v>
      </c>
      <c r="J929" t="n">
        <v>0</v>
      </c>
      <c r="K929" t="n">
        <v>0</v>
      </c>
      <c r="L929" t="n">
        <v>0</v>
      </c>
      <c r="M929" t="n">
        <v>0</v>
      </c>
      <c r="N929" t="n">
        <v>0</v>
      </c>
      <c r="O929" t="n">
        <v>0</v>
      </c>
      <c r="P929" t="n">
        <v>0</v>
      </c>
      <c r="Q929" t="n">
        <v>0</v>
      </c>
      <c r="R929" s="2" t="inlineStr"/>
    </row>
    <row r="930" ht="15" customHeight="1">
      <c r="A930" t="inlineStr">
        <is>
          <t>A 51818-2024</t>
        </is>
      </c>
      <c r="B930" s="1" t="n">
        <v>45607</v>
      </c>
      <c r="C930" s="1" t="n">
        <v>45635</v>
      </c>
      <c r="D930" t="inlineStr">
        <is>
          <t>JÄMTLANDS LÄN</t>
        </is>
      </c>
      <c r="E930" t="inlineStr">
        <is>
          <t>ÖSTERSUND</t>
        </is>
      </c>
      <c r="G930" t="n">
        <v>4.6</v>
      </c>
      <c r="H930" t="n">
        <v>0</v>
      </c>
      <c r="I930" t="n">
        <v>0</v>
      </c>
      <c r="J930" t="n">
        <v>0</v>
      </c>
      <c r="K930" t="n">
        <v>0</v>
      </c>
      <c r="L930" t="n">
        <v>0</v>
      </c>
      <c r="M930" t="n">
        <v>0</v>
      </c>
      <c r="N930" t="n">
        <v>0</v>
      </c>
      <c r="O930" t="n">
        <v>0</v>
      </c>
      <c r="P930" t="n">
        <v>0</v>
      </c>
      <c r="Q930" t="n">
        <v>0</v>
      </c>
      <c r="R930" s="2" t="inlineStr"/>
    </row>
    <row r="931" ht="15" customHeight="1">
      <c r="A931" t="inlineStr">
        <is>
          <t>A 52483-2024</t>
        </is>
      </c>
      <c r="B931" s="1" t="n">
        <v>45609</v>
      </c>
      <c r="C931" s="1" t="n">
        <v>45635</v>
      </c>
      <c r="D931" t="inlineStr">
        <is>
          <t>JÄMTLANDS LÄN</t>
        </is>
      </c>
      <c r="E931" t="inlineStr">
        <is>
          <t>ÖSTERSUND</t>
        </is>
      </c>
      <c r="G931" t="n">
        <v>3</v>
      </c>
      <c r="H931" t="n">
        <v>0</v>
      </c>
      <c r="I931" t="n">
        <v>0</v>
      </c>
      <c r="J931" t="n">
        <v>0</v>
      </c>
      <c r="K931" t="n">
        <v>0</v>
      </c>
      <c r="L931" t="n">
        <v>0</v>
      </c>
      <c r="M931" t="n">
        <v>0</v>
      </c>
      <c r="N931" t="n">
        <v>0</v>
      </c>
      <c r="O931" t="n">
        <v>0</v>
      </c>
      <c r="P931" t="n">
        <v>0</v>
      </c>
      <c r="Q931" t="n">
        <v>0</v>
      </c>
      <c r="R931" s="2" t="inlineStr"/>
    </row>
    <row r="932" ht="15" customHeight="1">
      <c r="A932" t="inlineStr">
        <is>
          <t>A 52481-2024</t>
        </is>
      </c>
      <c r="B932" s="1" t="n">
        <v>45609</v>
      </c>
      <c r="C932" s="1" t="n">
        <v>45635</v>
      </c>
      <c r="D932" t="inlineStr">
        <is>
          <t>JÄMTLANDS LÄN</t>
        </is>
      </c>
      <c r="E932" t="inlineStr">
        <is>
          <t>ÖSTERSUND</t>
        </is>
      </c>
      <c r="G932" t="n">
        <v>1.9</v>
      </c>
      <c r="H932" t="n">
        <v>0</v>
      </c>
      <c r="I932" t="n">
        <v>0</v>
      </c>
      <c r="J932" t="n">
        <v>0</v>
      </c>
      <c r="K932" t="n">
        <v>0</v>
      </c>
      <c r="L932" t="n">
        <v>0</v>
      </c>
      <c r="M932" t="n">
        <v>0</v>
      </c>
      <c r="N932" t="n">
        <v>0</v>
      </c>
      <c r="O932" t="n">
        <v>0</v>
      </c>
      <c r="P932" t="n">
        <v>0</v>
      </c>
      <c r="Q932" t="n">
        <v>0</v>
      </c>
      <c r="R932" s="2" t="inlineStr"/>
    </row>
    <row r="933" ht="15" customHeight="1">
      <c r="A933" t="inlineStr">
        <is>
          <t>A 52405-2024</t>
        </is>
      </c>
      <c r="B933" s="1" t="n">
        <v>45609</v>
      </c>
      <c r="C933" s="1" t="n">
        <v>45635</v>
      </c>
      <c r="D933" t="inlineStr">
        <is>
          <t>JÄMTLANDS LÄN</t>
        </is>
      </c>
      <c r="E933" t="inlineStr">
        <is>
          <t>ÖSTERSUND</t>
        </is>
      </c>
      <c r="G933" t="n">
        <v>4.3</v>
      </c>
      <c r="H933" t="n">
        <v>0</v>
      </c>
      <c r="I933" t="n">
        <v>0</v>
      </c>
      <c r="J933" t="n">
        <v>0</v>
      </c>
      <c r="K933" t="n">
        <v>0</v>
      </c>
      <c r="L933" t="n">
        <v>0</v>
      </c>
      <c r="M933" t="n">
        <v>0</v>
      </c>
      <c r="N933" t="n">
        <v>0</v>
      </c>
      <c r="O933" t="n">
        <v>0</v>
      </c>
      <c r="P933" t="n">
        <v>0</v>
      </c>
      <c r="Q933" t="n">
        <v>0</v>
      </c>
      <c r="R933" s="2" t="inlineStr"/>
    </row>
    <row r="934" ht="15" customHeight="1">
      <c r="A934" t="inlineStr">
        <is>
          <t>A 52480-2024</t>
        </is>
      </c>
      <c r="B934" s="1" t="n">
        <v>45609</v>
      </c>
      <c r="C934" s="1" t="n">
        <v>45635</v>
      </c>
      <c r="D934" t="inlineStr">
        <is>
          <t>JÄMTLANDS LÄN</t>
        </is>
      </c>
      <c r="E934" t="inlineStr">
        <is>
          <t>ÖSTERSUND</t>
        </is>
      </c>
      <c r="G934" t="n">
        <v>20.2</v>
      </c>
      <c r="H934" t="n">
        <v>0</v>
      </c>
      <c r="I934" t="n">
        <v>0</v>
      </c>
      <c r="J934" t="n">
        <v>0</v>
      </c>
      <c r="K934" t="n">
        <v>0</v>
      </c>
      <c r="L934" t="n">
        <v>0</v>
      </c>
      <c r="M934" t="n">
        <v>0</v>
      </c>
      <c r="N934" t="n">
        <v>0</v>
      </c>
      <c r="O934" t="n">
        <v>0</v>
      </c>
      <c r="P934" t="n">
        <v>0</v>
      </c>
      <c r="Q934" t="n">
        <v>0</v>
      </c>
      <c r="R934" s="2" t="inlineStr"/>
    </row>
    <row r="935" ht="15" customHeight="1">
      <c r="A935" t="inlineStr">
        <is>
          <t>A 52482-2024</t>
        </is>
      </c>
      <c r="B935" s="1" t="n">
        <v>45609</v>
      </c>
      <c r="C935" s="1" t="n">
        <v>45635</v>
      </c>
      <c r="D935" t="inlineStr">
        <is>
          <t>JÄMTLANDS LÄN</t>
        </is>
      </c>
      <c r="E935" t="inlineStr">
        <is>
          <t>ÖSTERSUND</t>
        </is>
      </c>
      <c r="G935" t="n">
        <v>7.3</v>
      </c>
      <c r="H935" t="n">
        <v>0</v>
      </c>
      <c r="I935" t="n">
        <v>0</v>
      </c>
      <c r="J935" t="n">
        <v>0</v>
      </c>
      <c r="K935" t="n">
        <v>0</v>
      </c>
      <c r="L935" t="n">
        <v>0</v>
      </c>
      <c r="M935" t="n">
        <v>0</v>
      </c>
      <c r="N935" t="n">
        <v>0</v>
      </c>
      <c r="O935" t="n">
        <v>0</v>
      </c>
      <c r="P935" t="n">
        <v>0</v>
      </c>
      <c r="Q935" t="n">
        <v>0</v>
      </c>
      <c r="R935" s="2" t="inlineStr"/>
    </row>
    <row r="936" ht="15" customHeight="1">
      <c r="A936" t="inlineStr">
        <is>
          <t>A 52854-2024</t>
        </is>
      </c>
      <c r="B936" s="1" t="n">
        <v>45610</v>
      </c>
      <c r="C936" s="1" t="n">
        <v>45635</v>
      </c>
      <c r="D936" t="inlineStr">
        <is>
          <t>JÄMTLANDS LÄN</t>
        </is>
      </c>
      <c r="E936" t="inlineStr">
        <is>
          <t>ÖSTERSUND</t>
        </is>
      </c>
      <c r="G936" t="n">
        <v>2.5</v>
      </c>
      <c r="H936" t="n">
        <v>0</v>
      </c>
      <c r="I936" t="n">
        <v>0</v>
      </c>
      <c r="J936" t="n">
        <v>0</v>
      </c>
      <c r="K936" t="n">
        <v>0</v>
      </c>
      <c r="L936" t="n">
        <v>0</v>
      </c>
      <c r="M936" t="n">
        <v>0</v>
      </c>
      <c r="N936" t="n">
        <v>0</v>
      </c>
      <c r="O936" t="n">
        <v>0</v>
      </c>
      <c r="P936" t="n">
        <v>0</v>
      </c>
      <c r="Q936" t="n">
        <v>0</v>
      </c>
      <c r="R936" s="2" t="inlineStr"/>
    </row>
    <row r="937" ht="15" customHeight="1">
      <c r="A937" t="inlineStr">
        <is>
          <t>A 53060-2024</t>
        </is>
      </c>
      <c r="B937" s="1" t="n">
        <v>45611</v>
      </c>
      <c r="C937" s="1" t="n">
        <v>45635</v>
      </c>
      <c r="D937" t="inlineStr">
        <is>
          <t>JÄMTLANDS LÄN</t>
        </is>
      </c>
      <c r="E937" t="inlineStr">
        <is>
          <t>ÖSTERSUND</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53130-2024</t>
        </is>
      </c>
      <c r="B938" s="1" t="n">
        <v>45611</v>
      </c>
      <c r="C938" s="1" t="n">
        <v>45635</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53176-2024</t>
        </is>
      </c>
      <c r="B939" s="1" t="n">
        <v>45611</v>
      </c>
      <c r="C939" s="1" t="n">
        <v>45635</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53536-2024</t>
        </is>
      </c>
      <c r="B940" s="1" t="n">
        <v>45614</v>
      </c>
      <c r="C940" s="1" t="n">
        <v>45635</v>
      </c>
      <c r="D940" t="inlineStr">
        <is>
          <t>JÄMTLANDS LÄN</t>
        </is>
      </c>
      <c r="E940" t="inlineStr">
        <is>
          <t>ÖSTERSUND</t>
        </is>
      </c>
      <c r="G940" t="n">
        <v>4.1</v>
      </c>
      <c r="H940" t="n">
        <v>0</v>
      </c>
      <c r="I940" t="n">
        <v>0</v>
      </c>
      <c r="J940" t="n">
        <v>0</v>
      </c>
      <c r="K940" t="n">
        <v>0</v>
      </c>
      <c r="L940" t="n">
        <v>0</v>
      </c>
      <c r="M940" t="n">
        <v>0</v>
      </c>
      <c r="N940" t="n">
        <v>0</v>
      </c>
      <c r="O940" t="n">
        <v>0</v>
      </c>
      <c r="P940" t="n">
        <v>0</v>
      </c>
      <c r="Q940" t="n">
        <v>0</v>
      </c>
      <c r="R940" s="2" t="inlineStr"/>
    </row>
    <row r="941" ht="15" customHeight="1">
      <c r="A941" t="inlineStr">
        <is>
          <t>A 53516-2024</t>
        </is>
      </c>
      <c r="B941" s="1" t="n">
        <v>45614</v>
      </c>
      <c r="C941" s="1" t="n">
        <v>45635</v>
      </c>
      <c r="D941" t="inlineStr">
        <is>
          <t>JÄMTLANDS LÄN</t>
        </is>
      </c>
      <c r="E941" t="inlineStr">
        <is>
          <t>ÖSTERSUND</t>
        </is>
      </c>
      <c r="G941" t="n">
        <v>4.5</v>
      </c>
      <c r="H941" t="n">
        <v>0</v>
      </c>
      <c r="I941" t="n">
        <v>0</v>
      </c>
      <c r="J941" t="n">
        <v>0</v>
      </c>
      <c r="K941" t="n">
        <v>0</v>
      </c>
      <c r="L941" t="n">
        <v>0</v>
      </c>
      <c r="M941" t="n">
        <v>0</v>
      </c>
      <c r="N941" t="n">
        <v>0</v>
      </c>
      <c r="O941" t="n">
        <v>0</v>
      </c>
      <c r="P941" t="n">
        <v>0</v>
      </c>
      <c r="Q941" t="n">
        <v>0</v>
      </c>
      <c r="R941" s="2" t="inlineStr"/>
    </row>
    <row r="942" ht="15" customHeight="1">
      <c r="A942" t="inlineStr">
        <is>
          <t>A 53520-2024</t>
        </is>
      </c>
      <c r="B942" s="1" t="n">
        <v>45614</v>
      </c>
      <c r="C942" s="1" t="n">
        <v>45635</v>
      </c>
      <c r="D942" t="inlineStr">
        <is>
          <t>JÄMTLANDS LÄN</t>
        </is>
      </c>
      <c r="E942" t="inlineStr">
        <is>
          <t>ÖSTERSUND</t>
        </is>
      </c>
      <c r="G942" t="n">
        <v>3</v>
      </c>
      <c r="H942" t="n">
        <v>0</v>
      </c>
      <c r="I942" t="n">
        <v>0</v>
      </c>
      <c r="J942" t="n">
        <v>0</v>
      </c>
      <c r="K942" t="n">
        <v>0</v>
      </c>
      <c r="L942" t="n">
        <v>0</v>
      </c>
      <c r="M942" t="n">
        <v>0</v>
      </c>
      <c r="N942" t="n">
        <v>0</v>
      </c>
      <c r="O942" t="n">
        <v>0</v>
      </c>
      <c r="P942" t="n">
        <v>0</v>
      </c>
      <c r="Q942" t="n">
        <v>0</v>
      </c>
      <c r="R942" s="2" t="inlineStr"/>
    </row>
    <row r="943" ht="15" customHeight="1">
      <c r="A943" t="inlineStr">
        <is>
          <t>A 53660-2024</t>
        </is>
      </c>
      <c r="B943" s="1" t="n">
        <v>45615</v>
      </c>
      <c r="C943" s="1" t="n">
        <v>45635</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53864-2024</t>
        </is>
      </c>
      <c r="B944" s="1" t="n">
        <v>45615</v>
      </c>
      <c r="C944" s="1" t="n">
        <v>45635</v>
      </c>
      <c r="D944" t="inlineStr">
        <is>
          <t>JÄMTLANDS LÄN</t>
        </is>
      </c>
      <c r="E944" t="inlineStr">
        <is>
          <t>ÖSTERSUND</t>
        </is>
      </c>
      <c r="G944" t="n">
        <v>5.5</v>
      </c>
      <c r="H944" t="n">
        <v>0</v>
      </c>
      <c r="I944" t="n">
        <v>0</v>
      </c>
      <c r="J944" t="n">
        <v>0</v>
      </c>
      <c r="K944" t="n">
        <v>0</v>
      </c>
      <c r="L944" t="n">
        <v>0</v>
      </c>
      <c r="M944" t="n">
        <v>0</v>
      </c>
      <c r="N944" t="n">
        <v>0</v>
      </c>
      <c r="O944" t="n">
        <v>0</v>
      </c>
      <c r="P944" t="n">
        <v>0</v>
      </c>
      <c r="Q944" t="n">
        <v>0</v>
      </c>
      <c r="R944" s="2" t="inlineStr"/>
    </row>
    <row r="945" ht="15" customHeight="1">
      <c r="A945" t="inlineStr">
        <is>
          <t>A 53745-2024</t>
        </is>
      </c>
      <c r="B945" s="1" t="n">
        <v>45615</v>
      </c>
      <c r="C945" s="1" t="n">
        <v>45635</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54237-2024</t>
        </is>
      </c>
      <c r="B946" s="1" t="n">
        <v>45616</v>
      </c>
      <c r="C946" s="1" t="n">
        <v>45635</v>
      </c>
      <c r="D946" t="inlineStr">
        <is>
          <t>JÄMTLANDS LÄN</t>
        </is>
      </c>
      <c r="E946" t="inlineStr">
        <is>
          <t>ÖSTERSUND</t>
        </is>
      </c>
      <c r="F946" t="inlineStr">
        <is>
          <t>SCA</t>
        </is>
      </c>
      <c r="G946" t="n">
        <v>8.9</v>
      </c>
      <c r="H946" t="n">
        <v>0</v>
      </c>
      <c r="I946" t="n">
        <v>0</v>
      </c>
      <c r="J946" t="n">
        <v>0</v>
      </c>
      <c r="K946" t="n">
        <v>0</v>
      </c>
      <c r="L946" t="n">
        <v>0</v>
      </c>
      <c r="M946" t="n">
        <v>0</v>
      </c>
      <c r="N946" t="n">
        <v>0</v>
      </c>
      <c r="O946" t="n">
        <v>0</v>
      </c>
      <c r="P946" t="n">
        <v>0</v>
      </c>
      <c r="Q946" t="n">
        <v>0</v>
      </c>
      <c r="R946" s="2" t="inlineStr"/>
    </row>
    <row r="947" ht="15" customHeight="1">
      <c r="A947" t="inlineStr">
        <is>
          <t>A 54317-2024</t>
        </is>
      </c>
      <c r="B947" s="1" t="n">
        <v>45617</v>
      </c>
      <c r="C947" s="1" t="n">
        <v>45635</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54359-2024</t>
        </is>
      </c>
      <c r="B948" s="1" t="n">
        <v>45617</v>
      </c>
      <c r="C948" s="1" t="n">
        <v>45635</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54354-2024</t>
        </is>
      </c>
      <c r="B949" s="1" t="n">
        <v>45617</v>
      </c>
      <c r="C949" s="1" t="n">
        <v>45635</v>
      </c>
      <c r="D949" t="inlineStr">
        <is>
          <t>JÄMTLANDS LÄN</t>
        </is>
      </c>
      <c r="E949" t="inlineStr">
        <is>
          <t>ÖSTERSUND</t>
        </is>
      </c>
      <c r="G949" t="n">
        <v>7</v>
      </c>
      <c r="H949" t="n">
        <v>0</v>
      </c>
      <c r="I949" t="n">
        <v>0</v>
      </c>
      <c r="J949" t="n">
        <v>0</v>
      </c>
      <c r="K949" t="n">
        <v>0</v>
      </c>
      <c r="L949" t="n">
        <v>0</v>
      </c>
      <c r="M949" t="n">
        <v>0</v>
      </c>
      <c r="N949" t="n">
        <v>0</v>
      </c>
      <c r="O949" t="n">
        <v>0</v>
      </c>
      <c r="P949" t="n">
        <v>0</v>
      </c>
      <c r="Q949" t="n">
        <v>0</v>
      </c>
      <c r="R949" s="2" t="inlineStr"/>
    </row>
    <row r="950" ht="15" customHeight="1">
      <c r="A950" t="inlineStr">
        <is>
          <t>A 54587-2024</t>
        </is>
      </c>
      <c r="B950" s="1" t="n">
        <v>45617</v>
      </c>
      <c r="C950" s="1" t="n">
        <v>45635</v>
      </c>
      <c r="D950" t="inlineStr">
        <is>
          <t>JÄMTLANDS LÄN</t>
        </is>
      </c>
      <c r="E950" t="inlineStr">
        <is>
          <t>ÖSTERSUND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54913-2024</t>
        </is>
      </c>
      <c r="B951" s="1" t="n">
        <v>45618</v>
      </c>
      <c r="C951" s="1" t="n">
        <v>45635</v>
      </c>
      <c r="D951" t="inlineStr">
        <is>
          <t>JÄMTLANDS LÄN</t>
        </is>
      </c>
      <c r="E951" t="inlineStr">
        <is>
          <t>ÖSTERSUND</t>
        </is>
      </c>
      <c r="G951" t="n">
        <v>4.7</v>
      </c>
      <c r="H951" t="n">
        <v>0</v>
      </c>
      <c r="I951" t="n">
        <v>0</v>
      </c>
      <c r="J951" t="n">
        <v>0</v>
      </c>
      <c r="K951" t="n">
        <v>0</v>
      </c>
      <c r="L951" t="n">
        <v>0</v>
      </c>
      <c r="M951" t="n">
        <v>0</v>
      </c>
      <c r="N951" t="n">
        <v>0</v>
      </c>
      <c r="O951" t="n">
        <v>0</v>
      </c>
      <c r="P951" t="n">
        <v>0</v>
      </c>
      <c r="Q951" t="n">
        <v>0</v>
      </c>
      <c r="R951" s="2" t="inlineStr"/>
    </row>
    <row r="952" ht="15" customHeight="1">
      <c r="A952" t="inlineStr">
        <is>
          <t>A 55002-2024</t>
        </is>
      </c>
      <c r="B952" s="1" t="n">
        <v>45621</v>
      </c>
      <c r="C952" s="1" t="n">
        <v>45635</v>
      </c>
      <c r="D952" t="inlineStr">
        <is>
          <t>JÄMTLANDS LÄN</t>
        </is>
      </c>
      <c r="E952" t="inlineStr">
        <is>
          <t>ÖSTERSUND</t>
        </is>
      </c>
      <c r="F952" t="inlineStr">
        <is>
          <t>Övriga Aktiebolag</t>
        </is>
      </c>
      <c r="G952" t="n">
        <v>0.3</v>
      </c>
      <c r="H952" t="n">
        <v>0</v>
      </c>
      <c r="I952" t="n">
        <v>0</v>
      </c>
      <c r="J952" t="n">
        <v>0</v>
      </c>
      <c r="K952" t="n">
        <v>0</v>
      </c>
      <c r="L952" t="n">
        <v>0</v>
      </c>
      <c r="M952" t="n">
        <v>0</v>
      </c>
      <c r="N952" t="n">
        <v>0</v>
      </c>
      <c r="O952" t="n">
        <v>0</v>
      </c>
      <c r="P952" t="n">
        <v>0</v>
      </c>
      <c r="Q952" t="n">
        <v>0</v>
      </c>
      <c r="R952" s="2" t="inlineStr"/>
    </row>
    <row r="953" ht="15" customHeight="1">
      <c r="A953" t="inlineStr">
        <is>
          <t>A 55061-2024</t>
        </is>
      </c>
      <c r="B953" s="1" t="n">
        <v>45621</v>
      </c>
      <c r="C953" s="1" t="n">
        <v>45635</v>
      </c>
      <c r="D953" t="inlineStr">
        <is>
          <t>JÄMTLANDS LÄN</t>
        </is>
      </c>
      <c r="E953" t="inlineStr">
        <is>
          <t>ÖSTERSUND</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55294-2024</t>
        </is>
      </c>
      <c r="B954" s="1" t="n">
        <v>45621</v>
      </c>
      <c r="C954" s="1" t="n">
        <v>45635</v>
      </c>
      <c r="D954" t="inlineStr">
        <is>
          <t>JÄMTLANDS LÄN</t>
        </is>
      </c>
      <c r="E954" t="inlineStr">
        <is>
          <t>ÖSTERSUND</t>
        </is>
      </c>
      <c r="G954" t="n">
        <v>3</v>
      </c>
      <c r="H954" t="n">
        <v>0</v>
      </c>
      <c r="I954" t="n">
        <v>0</v>
      </c>
      <c r="J954" t="n">
        <v>0</v>
      </c>
      <c r="K954" t="n">
        <v>0</v>
      </c>
      <c r="L954" t="n">
        <v>0</v>
      </c>
      <c r="M954" t="n">
        <v>0</v>
      </c>
      <c r="N954" t="n">
        <v>0</v>
      </c>
      <c r="O954" t="n">
        <v>0</v>
      </c>
      <c r="P954" t="n">
        <v>0</v>
      </c>
      <c r="Q954" t="n">
        <v>0</v>
      </c>
      <c r="R954" s="2" t="inlineStr"/>
    </row>
    <row r="955" ht="15" customHeight="1">
      <c r="A955" t="inlineStr">
        <is>
          <t>A 55319-2024</t>
        </is>
      </c>
      <c r="B955" s="1" t="n">
        <v>45621</v>
      </c>
      <c r="C955" s="1" t="n">
        <v>45635</v>
      </c>
      <c r="D955" t="inlineStr">
        <is>
          <t>JÄMTLANDS LÄN</t>
        </is>
      </c>
      <c r="E955" t="inlineStr">
        <is>
          <t>ÖSTERSUND</t>
        </is>
      </c>
      <c r="G955" t="n">
        <v>7.1</v>
      </c>
      <c r="H955" t="n">
        <v>0</v>
      </c>
      <c r="I955" t="n">
        <v>0</v>
      </c>
      <c r="J955" t="n">
        <v>0</v>
      </c>
      <c r="K955" t="n">
        <v>0</v>
      </c>
      <c r="L955" t="n">
        <v>0</v>
      </c>
      <c r="M955" t="n">
        <v>0</v>
      </c>
      <c r="N955" t="n">
        <v>0</v>
      </c>
      <c r="O955" t="n">
        <v>0</v>
      </c>
      <c r="P955" t="n">
        <v>0</v>
      </c>
      <c r="Q955" t="n">
        <v>0</v>
      </c>
      <c r="R955" s="2" t="inlineStr"/>
    </row>
    <row r="956" ht="15" customHeight="1">
      <c r="A956" t="inlineStr">
        <is>
          <t>A 55323-2024</t>
        </is>
      </c>
      <c r="B956" s="1" t="n">
        <v>45621</v>
      </c>
      <c r="C956" s="1" t="n">
        <v>45635</v>
      </c>
      <c r="D956" t="inlineStr">
        <is>
          <t>JÄMTLANDS LÄN</t>
        </is>
      </c>
      <c r="E956" t="inlineStr">
        <is>
          <t>ÖSTERSUND</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55365-2024</t>
        </is>
      </c>
      <c r="B957" s="1" t="n">
        <v>45621</v>
      </c>
      <c r="C957" s="1" t="n">
        <v>45635</v>
      </c>
      <c r="D957" t="inlineStr">
        <is>
          <t>JÄMTLANDS LÄN</t>
        </is>
      </c>
      <c r="E957" t="inlineStr">
        <is>
          <t>ÖSTERSUND</t>
        </is>
      </c>
      <c r="G957" t="n">
        <v>1.6</v>
      </c>
      <c r="H957" t="n">
        <v>0</v>
      </c>
      <c r="I957" t="n">
        <v>0</v>
      </c>
      <c r="J957" t="n">
        <v>0</v>
      </c>
      <c r="K957" t="n">
        <v>0</v>
      </c>
      <c r="L957" t="n">
        <v>0</v>
      </c>
      <c r="M957" t="n">
        <v>0</v>
      </c>
      <c r="N957" t="n">
        <v>0</v>
      </c>
      <c r="O957" t="n">
        <v>0</v>
      </c>
      <c r="P957" t="n">
        <v>0</v>
      </c>
      <c r="Q957" t="n">
        <v>0</v>
      </c>
      <c r="R957" s="2" t="inlineStr"/>
    </row>
    <row r="958" ht="15" customHeight="1">
      <c r="A958" t="inlineStr">
        <is>
          <t>A 55064-2024</t>
        </is>
      </c>
      <c r="B958" s="1" t="n">
        <v>45621</v>
      </c>
      <c r="C958" s="1" t="n">
        <v>45635</v>
      </c>
      <c r="D958" t="inlineStr">
        <is>
          <t>JÄMTLANDS LÄN</t>
        </is>
      </c>
      <c r="E958" t="inlineStr">
        <is>
          <t>ÖSTERSUND</t>
        </is>
      </c>
      <c r="G958" t="n">
        <v>0.8</v>
      </c>
      <c r="H958" t="n">
        <v>0</v>
      </c>
      <c r="I958" t="n">
        <v>0</v>
      </c>
      <c r="J958" t="n">
        <v>0</v>
      </c>
      <c r="K958" t="n">
        <v>0</v>
      </c>
      <c r="L958" t="n">
        <v>0</v>
      </c>
      <c r="M958" t="n">
        <v>0</v>
      </c>
      <c r="N958" t="n">
        <v>0</v>
      </c>
      <c r="O958" t="n">
        <v>0</v>
      </c>
      <c r="P958" t="n">
        <v>0</v>
      </c>
      <c r="Q958" t="n">
        <v>0</v>
      </c>
      <c r="R958" s="2" t="inlineStr"/>
    </row>
    <row r="959" ht="15" customHeight="1">
      <c r="A959" t="inlineStr">
        <is>
          <t>A 55302-2024</t>
        </is>
      </c>
      <c r="B959" s="1" t="n">
        <v>45621</v>
      </c>
      <c r="C959" s="1" t="n">
        <v>45635</v>
      </c>
      <c r="D959" t="inlineStr">
        <is>
          <t>JÄMTLANDS LÄN</t>
        </is>
      </c>
      <c r="E959" t="inlineStr">
        <is>
          <t>ÖSTERSUND</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55314-2024</t>
        </is>
      </c>
      <c r="B960" s="1" t="n">
        <v>45621</v>
      </c>
      <c r="C960" s="1" t="n">
        <v>45635</v>
      </c>
      <c r="D960" t="inlineStr">
        <is>
          <t>JÄMTLANDS LÄN</t>
        </is>
      </c>
      <c r="E960" t="inlineStr">
        <is>
          <t>ÖSTERSUND</t>
        </is>
      </c>
      <c r="G960" t="n">
        <v>14.2</v>
      </c>
      <c r="H960" t="n">
        <v>0</v>
      </c>
      <c r="I960" t="n">
        <v>0</v>
      </c>
      <c r="J960" t="n">
        <v>0</v>
      </c>
      <c r="K960" t="n">
        <v>0</v>
      </c>
      <c r="L960" t="n">
        <v>0</v>
      </c>
      <c r="M960" t="n">
        <v>0</v>
      </c>
      <c r="N960" t="n">
        <v>0</v>
      </c>
      <c r="O960" t="n">
        <v>0</v>
      </c>
      <c r="P960" t="n">
        <v>0</v>
      </c>
      <c r="Q960" t="n">
        <v>0</v>
      </c>
      <c r="R960" s="2" t="inlineStr"/>
    </row>
    <row r="961" ht="15" customHeight="1">
      <c r="A961" t="inlineStr">
        <is>
          <t>A 55572-2024</t>
        </is>
      </c>
      <c r="B961" s="1" t="n">
        <v>45622</v>
      </c>
      <c r="C961" s="1" t="n">
        <v>45635</v>
      </c>
      <c r="D961" t="inlineStr">
        <is>
          <t>JÄMTLANDS LÄN</t>
        </is>
      </c>
      <c r="E961" t="inlineStr">
        <is>
          <t>ÖSTERSUND</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55600-2024</t>
        </is>
      </c>
      <c r="B962" s="1" t="n">
        <v>45622</v>
      </c>
      <c r="C962" s="1" t="n">
        <v>45635</v>
      </c>
      <c r="D962" t="inlineStr">
        <is>
          <t>JÄMTLANDS LÄN</t>
        </is>
      </c>
      <c r="E962" t="inlineStr">
        <is>
          <t>ÖSTERSUND</t>
        </is>
      </c>
      <c r="G962" t="n">
        <v>6.5</v>
      </c>
      <c r="H962" t="n">
        <v>0</v>
      </c>
      <c r="I962" t="n">
        <v>0</v>
      </c>
      <c r="J962" t="n">
        <v>0</v>
      </c>
      <c r="K962" t="n">
        <v>0</v>
      </c>
      <c r="L962" t="n">
        <v>0</v>
      </c>
      <c r="M962" t="n">
        <v>0</v>
      </c>
      <c r="N962" t="n">
        <v>0</v>
      </c>
      <c r="O962" t="n">
        <v>0</v>
      </c>
      <c r="P962" t="n">
        <v>0</v>
      </c>
      <c r="Q962" t="n">
        <v>0</v>
      </c>
      <c r="R962" s="2" t="inlineStr"/>
    </row>
    <row r="963" ht="15" customHeight="1">
      <c r="A963" t="inlineStr">
        <is>
          <t>A 55700-2024</t>
        </is>
      </c>
      <c r="B963" s="1" t="n">
        <v>45622</v>
      </c>
      <c r="C963" s="1" t="n">
        <v>45635</v>
      </c>
      <c r="D963" t="inlineStr">
        <is>
          <t>JÄMTLANDS LÄN</t>
        </is>
      </c>
      <c r="E963" t="inlineStr">
        <is>
          <t>ÖSTERSUND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56599-2024</t>
        </is>
      </c>
      <c r="B964" s="1" t="n">
        <v>45625</v>
      </c>
      <c r="C964" s="1" t="n">
        <v>45635</v>
      </c>
      <c r="D964" t="inlineStr">
        <is>
          <t>JÄMTLANDS LÄN</t>
        </is>
      </c>
      <c r="E964" t="inlineStr">
        <is>
          <t>ÖSTERSUND</t>
        </is>
      </c>
      <c r="G964" t="n">
        <v>2.1</v>
      </c>
      <c r="H964" t="n">
        <v>0</v>
      </c>
      <c r="I964" t="n">
        <v>0</v>
      </c>
      <c r="J964" t="n">
        <v>0</v>
      </c>
      <c r="K964" t="n">
        <v>0</v>
      </c>
      <c r="L964" t="n">
        <v>0</v>
      </c>
      <c r="M964" t="n">
        <v>0</v>
      </c>
      <c r="N964" t="n">
        <v>0</v>
      </c>
      <c r="O964" t="n">
        <v>0</v>
      </c>
      <c r="P964" t="n">
        <v>0</v>
      </c>
      <c r="Q964" t="n">
        <v>0</v>
      </c>
      <c r="R964" s="2" t="inlineStr"/>
    </row>
    <row r="965" ht="15" customHeight="1">
      <c r="A965" t="inlineStr">
        <is>
          <t>A 56646-2024</t>
        </is>
      </c>
      <c r="B965" s="1" t="n">
        <v>45625</v>
      </c>
      <c r="C965" s="1" t="n">
        <v>45635</v>
      </c>
      <c r="D965" t="inlineStr">
        <is>
          <t>JÄMTLANDS LÄN</t>
        </is>
      </c>
      <c r="E965" t="inlineStr">
        <is>
          <t>ÖSTERSUND</t>
        </is>
      </c>
      <c r="G965" t="n">
        <v>18.9</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45635</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56847-2024</t>
        </is>
      </c>
      <c r="B967" s="1" t="n">
        <v>45628</v>
      </c>
      <c r="C967" s="1" t="n">
        <v>45635</v>
      </c>
      <c r="D967" t="inlineStr">
        <is>
          <t>JÄMTLANDS LÄN</t>
        </is>
      </c>
      <c r="E967" t="inlineStr">
        <is>
          <t>ÖSTERSUND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57702-2024</t>
        </is>
      </c>
      <c r="B968" s="1" t="n">
        <v>45628</v>
      </c>
      <c r="C968" s="1" t="n">
        <v>45635</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57397-2024</t>
        </is>
      </c>
      <c r="B969" s="1" t="n">
        <v>45629</v>
      </c>
      <c r="C969" s="1" t="n">
        <v>45635</v>
      </c>
      <c r="D969" t="inlineStr">
        <is>
          <t>JÄMTLANDS LÄN</t>
        </is>
      </c>
      <c r="E969" t="inlineStr">
        <is>
          <t>ÖSTERSUND</t>
        </is>
      </c>
      <c r="G969" t="n">
        <v>3.8</v>
      </c>
      <c r="H969" t="n">
        <v>0</v>
      </c>
      <c r="I969" t="n">
        <v>0</v>
      </c>
      <c r="J969" t="n">
        <v>0</v>
      </c>
      <c r="K969" t="n">
        <v>0</v>
      </c>
      <c r="L969" t="n">
        <v>0</v>
      </c>
      <c r="M969" t="n">
        <v>0</v>
      </c>
      <c r="N969" t="n">
        <v>0</v>
      </c>
      <c r="O969" t="n">
        <v>0</v>
      </c>
      <c r="P969" t="n">
        <v>0</v>
      </c>
      <c r="Q969" t="n">
        <v>0</v>
      </c>
      <c r="R969" s="2" t="inlineStr"/>
    </row>
    <row r="970" ht="15" customHeight="1">
      <c r="A970" t="inlineStr">
        <is>
          <t>A 57556-2024</t>
        </is>
      </c>
      <c r="B970" s="1" t="n">
        <v>45630</v>
      </c>
      <c r="C970" s="1" t="n">
        <v>45635</v>
      </c>
      <c r="D970" t="inlineStr">
        <is>
          <t>JÄMTLANDS LÄN</t>
        </is>
      </c>
      <c r="E970" t="inlineStr">
        <is>
          <t>ÖSTERSUND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57589-2024</t>
        </is>
      </c>
      <c r="B971" s="1" t="n">
        <v>45630</v>
      </c>
      <c r="C971" s="1" t="n">
        <v>45635</v>
      </c>
      <c r="D971" t="inlineStr">
        <is>
          <t>JÄMTLANDS LÄN</t>
        </is>
      </c>
      <c r="E971" t="inlineStr">
        <is>
          <t>ÖSTERSUND</t>
        </is>
      </c>
      <c r="G971" t="n">
        <v>1.8</v>
      </c>
      <c r="H971" t="n">
        <v>0</v>
      </c>
      <c r="I971" t="n">
        <v>0</v>
      </c>
      <c r="J971" t="n">
        <v>0</v>
      </c>
      <c r="K971" t="n">
        <v>0</v>
      </c>
      <c r="L971" t="n">
        <v>0</v>
      </c>
      <c r="M971" t="n">
        <v>0</v>
      </c>
      <c r="N971" t="n">
        <v>0</v>
      </c>
      <c r="O971" t="n">
        <v>0</v>
      </c>
      <c r="P971" t="n">
        <v>0</v>
      </c>
      <c r="Q971" t="n">
        <v>0</v>
      </c>
      <c r="R971" s="2" t="inlineStr"/>
    </row>
    <row r="972" ht="15" customHeight="1">
      <c r="A972" t="inlineStr">
        <is>
          <t>A 57547-2024</t>
        </is>
      </c>
      <c r="B972" s="1" t="n">
        <v>45630</v>
      </c>
      <c r="C972" s="1" t="n">
        <v>45635</v>
      </c>
      <c r="D972" t="inlineStr">
        <is>
          <t>JÄMTLANDS LÄN</t>
        </is>
      </c>
      <c r="E972" t="inlineStr">
        <is>
          <t>ÖSTERSUND</t>
        </is>
      </c>
      <c r="G972" t="n">
        <v>16.8</v>
      </c>
      <c r="H972" t="n">
        <v>0</v>
      </c>
      <c r="I972" t="n">
        <v>0</v>
      </c>
      <c r="J972" t="n">
        <v>0</v>
      </c>
      <c r="K972" t="n">
        <v>0</v>
      </c>
      <c r="L972" t="n">
        <v>0</v>
      </c>
      <c r="M972" t="n">
        <v>0</v>
      </c>
      <c r="N972" t="n">
        <v>0</v>
      </c>
      <c r="O972" t="n">
        <v>0</v>
      </c>
      <c r="P972" t="n">
        <v>0</v>
      </c>
      <c r="Q972" t="n">
        <v>0</v>
      </c>
      <c r="R972" s="2" t="inlineStr"/>
    </row>
    <row r="973" ht="15" customHeight="1">
      <c r="A973" t="inlineStr">
        <is>
          <t>A 57706-2024</t>
        </is>
      </c>
      <c r="B973" s="1" t="n">
        <v>45630</v>
      </c>
      <c r="C973" s="1" t="n">
        <v>45635</v>
      </c>
      <c r="D973" t="inlineStr">
        <is>
          <t>JÄMTLANDS LÄN</t>
        </is>
      </c>
      <c r="E973" t="inlineStr">
        <is>
          <t>ÖSTERSUND</t>
        </is>
      </c>
      <c r="G973" t="n">
        <v>13.2</v>
      </c>
      <c r="H973" t="n">
        <v>0</v>
      </c>
      <c r="I973" t="n">
        <v>0</v>
      </c>
      <c r="J973" t="n">
        <v>0</v>
      </c>
      <c r="K973" t="n">
        <v>0</v>
      </c>
      <c r="L973" t="n">
        <v>0</v>
      </c>
      <c r="M973" t="n">
        <v>0</v>
      </c>
      <c r="N973" t="n">
        <v>0</v>
      </c>
      <c r="O973" t="n">
        <v>0</v>
      </c>
      <c r="P973" t="n">
        <v>0</v>
      </c>
      <c r="Q973" t="n">
        <v>0</v>
      </c>
      <c r="R973" s="2" t="inlineStr"/>
    </row>
    <row r="974" ht="15" customHeight="1">
      <c r="A974" t="inlineStr">
        <is>
          <t>A 57917-2024</t>
        </is>
      </c>
      <c r="B974" s="1" t="n">
        <v>45630</v>
      </c>
      <c r="C974" s="1" t="n">
        <v>45635</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58286-2024</t>
        </is>
      </c>
      <c r="B975" s="1" t="n">
        <v>45632</v>
      </c>
      <c r="C975" s="1" t="n">
        <v>45635</v>
      </c>
      <c r="D975" t="inlineStr">
        <is>
          <t>JÄMTLANDS LÄN</t>
        </is>
      </c>
      <c r="E975" t="inlineStr">
        <is>
          <t>ÖSTERSUND</t>
        </is>
      </c>
      <c r="G975" t="n">
        <v>4</v>
      </c>
      <c r="H975" t="n">
        <v>0</v>
      </c>
      <c r="I975" t="n">
        <v>0</v>
      </c>
      <c r="J975" t="n">
        <v>0</v>
      </c>
      <c r="K975" t="n">
        <v>0</v>
      </c>
      <c r="L975" t="n">
        <v>0</v>
      </c>
      <c r="M975" t="n">
        <v>0</v>
      </c>
      <c r="N975" t="n">
        <v>0</v>
      </c>
      <c r="O975" t="n">
        <v>0</v>
      </c>
      <c r="P975" t="n">
        <v>0</v>
      </c>
      <c r="Q975" t="n">
        <v>0</v>
      </c>
      <c r="R975" s="2" t="inlineStr"/>
    </row>
    <row r="976" ht="15" customHeight="1">
      <c r="A976" t="inlineStr">
        <is>
          <t>A 58364-2024</t>
        </is>
      </c>
      <c r="B976" s="1" t="n">
        <v>45632</v>
      </c>
      <c r="C976" s="1" t="n">
        <v>45635</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58406-2024</t>
        </is>
      </c>
      <c r="B977" s="1" t="n">
        <v>45634</v>
      </c>
      <c r="C977" s="1" t="n">
        <v>45635</v>
      </c>
      <c r="D977" t="inlineStr">
        <is>
          <t>JÄMTLANDS LÄN</t>
        </is>
      </c>
      <c r="E977" t="inlineStr">
        <is>
          <t>ÖSTERSUND</t>
        </is>
      </c>
      <c r="G977" t="n">
        <v>3.8</v>
      </c>
      <c r="H977" t="n">
        <v>0</v>
      </c>
      <c r="I977" t="n">
        <v>0</v>
      </c>
      <c r="J977" t="n">
        <v>0</v>
      </c>
      <c r="K977" t="n">
        <v>0</v>
      </c>
      <c r="L977" t="n">
        <v>0</v>
      </c>
      <c r="M977" t="n">
        <v>0</v>
      </c>
      <c r="N977" t="n">
        <v>0</v>
      </c>
      <c r="O977" t="n">
        <v>0</v>
      </c>
      <c r="P977" t="n">
        <v>0</v>
      </c>
      <c r="Q977" t="n">
        <v>0</v>
      </c>
      <c r="R977" s="2" t="inlineStr"/>
    </row>
    <row r="978">
      <c r="A978" t="inlineStr">
        <is>
          <t>A 58407-2024</t>
        </is>
      </c>
      <c r="B978" s="1" t="n">
        <v>45634</v>
      </c>
      <c r="C978" s="1" t="n">
        <v>45635</v>
      </c>
      <c r="D978" t="inlineStr">
        <is>
          <t>JÄMTLANDS LÄN</t>
        </is>
      </c>
      <c r="E978" t="inlineStr">
        <is>
          <t>ÖSTERSUND</t>
        </is>
      </c>
      <c r="G978" t="n">
        <v>2.8</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2024-12-09T15:09:33Z</dcterms:created>
  <dcterms:modified xmlns:dcterms="http://purl.org/dc/terms/" xmlns:xsi="http://www.w3.org/2001/XMLSchema-instance" xsi:type="dcterms:W3CDTF">2024-12-09T15:09:34Z</dcterms:modified>
</cp:coreProperties>
</file>