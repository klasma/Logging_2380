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45709</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45709</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45709</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45709</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45709</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45709</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45709</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45709</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45709</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45709</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45709</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45709</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45709</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45709</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45709</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45709</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45709</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45709</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45709</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45709</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45709</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45709</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45709</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45709</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45709</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45709</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45709</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45709</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45709</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45709</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45709</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45709</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45709</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45709</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45709</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45709</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45709</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45709</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45709</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45709</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45709</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45709</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45709</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45709</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45709</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45709</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45709</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45709</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45709</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45709</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45709</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45709</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45709</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45709</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45709</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45709</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45709</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45709</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45709</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45709</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45709</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45709</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45709</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45709</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45709</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45709</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45709</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45709</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45709</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45709</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45709</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45709</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45709</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45709</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45709</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45709</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45709</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45709</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45709</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45709</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45709</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45709</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45709</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45709</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45709</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45709</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45709</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45709</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7965-2025</t>
        </is>
      </c>
      <c r="B100" s="1" t="n">
        <v>45707</v>
      </c>
      <c r="C100" s="1" t="n">
        <v>45709</v>
      </c>
      <c r="D100" t="inlineStr">
        <is>
          <t>JÄMTLANDS LÄN</t>
        </is>
      </c>
      <c r="E100" t="inlineStr">
        <is>
          <t>ÖSTERSUND</t>
        </is>
      </c>
      <c r="G100" t="n">
        <v>3.7</v>
      </c>
      <c r="H100" t="n">
        <v>2</v>
      </c>
      <c r="I100" t="n">
        <v>1</v>
      </c>
      <c r="J100" t="n">
        <v>0</v>
      </c>
      <c r="K100" t="n">
        <v>0</v>
      </c>
      <c r="L100" t="n">
        <v>0</v>
      </c>
      <c r="M100" t="n">
        <v>0</v>
      </c>
      <c r="N100" t="n">
        <v>0</v>
      </c>
      <c r="O100" t="n">
        <v>0</v>
      </c>
      <c r="P100" t="n">
        <v>0</v>
      </c>
      <c r="Q100" t="n">
        <v>3</v>
      </c>
      <c r="R100" s="2" t="inlineStr">
        <is>
          <t>Finbräken
Fläcknycklar
Blåsippa</t>
        </is>
      </c>
      <c r="S100">
        <f>HYPERLINK("https://klasma.github.io/Logging_2380/artfynd/A 7965-2025 artfynd.xlsx", "A 7965-2025")</f>
        <v/>
      </c>
      <c r="T100">
        <f>HYPERLINK("https://klasma.github.io/Logging_2380/kartor/A 7965-2025 karta.png", "A 7965-2025")</f>
        <v/>
      </c>
      <c r="V100">
        <f>HYPERLINK("https://klasma.github.io/Logging_2380/klagomål/A 7965-2025 FSC-klagomål.docx", "A 7965-2025")</f>
        <v/>
      </c>
      <c r="W100">
        <f>HYPERLINK("https://klasma.github.io/Logging_2380/klagomålsmail/A 7965-2025 FSC-klagomål mail.docx", "A 7965-2025")</f>
        <v/>
      </c>
      <c r="X100">
        <f>HYPERLINK("https://klasma.github.io/Logging_2380/tillsyn/A 7965-2025 tillsynsbegäran.docx", "A 7965-2025")</f>
        <v/>
      </c>
      <c r="Y100">
        <f>HYPERLINK("https://klasma.github.io/Logging_2380/tillsynsmail/A 7965-2025 tillsynsbegäran mail.docx", "A 7965-2025")</f>
        <v/>
      </c>
    </row>
    <row r="101" ht="15" customHeight="1">
      <c r="A101" t="inlineStr">
        <is>
          <t>A 35996-2019</t>
        </is>
      </c>
      <c r="B101" s="1" t="n">
        <v>43656</v>
      </c>
      <c r="C101" s="1" t="n">
        <v>45709</v>
      </c>
      <c r="D101" t="inlineStr">
        <is>
          <t>JÄMTLANDS LÄN</t>
        </is>
      </c>
      <c r="E101" t="inlineStr">
        <is>
          <t>ÖSTERSUND</t>
        </is>
      </c>
      <c r="F101" t="inlineStr">
        <is>
          <t>SCA</t>
        </is>
      </c>
      <c r="G101" t="n">
        <v>1.4</v>
      </c>
      <c r="H101" t="n">
        <v>1</v>
      </c>
      <c r="I101" t="n">
        <v>0</v>
      </c>
      <c r="J101" t="n">
        <v>1</v>
      </c>
      <c r="K101" t="n">
        <v>0</v>
      </c>
      <c r="L101" t="n">
        <v>0</v>
      </c>
      <c r="M101" t="n">
        <v>0</v>
      </c>
      <c r="N101" t="n">
        <v>0</v>
      </c>
      <c r="O101" t="n">
        <v>1</v>
      </c>
      <c r="P101" t="n">
        <v>0</v>
      </c>
      <c r="Q101" t="n">
        <v>2</v>
      </c>
      <c r="R101" s="2" t="inlineStr">
        <is>
          <t>Kolflarnlav
Blåsippa</t>
        </is>
      </c>
      <c r="S101">
        <f>HYPERLINK("https://klasma.github.io/Logging_2380/artfynd/A 35996-2019 artfynd.xlsx", "A 35996-2019")</f>
        <v/>
      </c>
      <c r="T101">
        <f>HYPERLINK("https://klasma.github.io/Logging_2380/kartor/A 35996-2019 karta.png", "A 35996-2019")</f>
        <v/>
      </c>
      <c r="V101">
        <f>HYPERLINK("https://klasma.github.io/Logging_2380/klagomål/A 35996-2019 FSC-klagomål.docx", "A 35996-2019")</f>
        <v/>
      </c>
      <c r="W101">
        <f>HYPERLINK("https://klasma.github.io/Logging_2380/klagomålsmail/A 35996-2019 FSC-klagomål mail.docx", "A 35996-2019")</f>
        <v/>
      </c>
      <c r="X101">
        <f>HYPERLINK("https://klasma.github.io/Logging_2380/tillsyn/A 35996-2019 tillsynsbegäran.docx", "A 35996-2019")</f>
        <v/>
      </c>
      <c r="Y101">
        <f>HYPERLINK("https://klasma.github.io/Logging_2380/tillsynsmail/A 35996-2019 tillsynsbegäran mail.docx", "A 35996-2019")</f>
        <v/>
      </c>
    </row>
    <row r="102" ht="15" customHeight="1">
      <c r="A102" t="inlineStr">
        <is>
          <t>A 29583-2021</t>
        </is>
      </c>
      <c r="B102" s="1" t="n">
        <v>44361</v>
      </c>
      <c r="C102" s="1" t="n">
        <v>45709</v>
      </c>
      <c r="D102" t="inlineStr">
        <is>
          <t>JÄMTLANDS LÄN</t>
        </is>
      </c>
      <c r="E102" t="inlineStr">
        <is>
          <t>ÖSTERSUND</t>
        </is>
      </c>
      <c r="G102" t="n">
        <v>11.7</v>
      </c>
      <c r="H102" t="n">
        <v>1</v>
      </c>
      <c r="I102" t="n">
        <v>1</v>
      </c>
      <c r="J102" t="n">
        <v>0</v>
      </c>
      <c r="K102" t="n">
        <v>0</v>
      </c>
      <c r="L102" t="n">
        <v>0</v>
      </c>
      <c r="M102" t="n">
        <v>0</v>
      </c>
      <c r="N102" t="n">
        <v>0</v>
      </c>
      <c r="O102" t="n">
        <v>0</v>
      </c>
      <c r="P102" t="n">
        <v>0</v>
      </c>
      <c r="Q102" t="n">
        <v>2</v>
      </c>
      <c r="R102" s="2" t="inlineStr">
        <is>
          <t>Kransrams
Blåsippa</t>
        </is>
      </c>
      <c r="S102">
        <f>HYPERLINK("https://klasma.github.io/Logging_2380/artfynd/A 29583-2021 artfynd.xlsx", "A 29583-2021")</f>
        <v/>
      </c>
      <c r="T102">
        <f>HYPERLINK("https://klasma.github.io/Logging_2380/kartor/A 29583-2021 karta.png", "A 29583-2021")</f>
        <v/>
      </c>
      <c r="V102">
        <f>HYPERLINK("https://klasma.github.io/Logging_2380/klagomål/A 29583-2021 FSC-klagomål.docx", "A 29583-2021")</f>
        <v/>
      </c>
      <c r="W102">
        <f>HYPERLINK("https://klasma.github.io/Logging_2380/klagomålsmail/A 29583-2021 FSC-klagomål mail.docx", "A 29583-2021")</f>
        <v/>
      </c>
      <c r="X102">
        <f>HYPERLINK("https://klasma.github.io/Logging_2380/tillsyn/A 29583-2021 tillsynsbegäran.docx", "A 29583-2021")</f>
        <v/>
      </c>
      <c r="Y102">
        <f>HYPERLINK("https://klasma.github.io/Logging_2380/tillsynsmail/A 29583-2021 tillsynsbegäran mail.docx", "A 29583-2021")</f>
        <v/>
      </c>
    </row>
    <row r="103" ht="15" customHeight="1">
      <c r="A103" t="inlineStr">
        <is>
          <t>A 30105-2021</t>
        </is>
      </c>
      <c r="B103" s="1" t="n">
        <v>44363</v>
      </c>
      <c r="C103" s="1" t="n">
        <v>45709</v>
      </c>
      <c r="D103" t="inlineStr">
        <is>
          <t>JÄMTLANDS LÄN</t>
        </is>
      </c>
      <c r="E103" t="inlineStr">
        <is>
          <t>ÖSTERSUND</t>
        </is>
      </c>
      <c r="G103" t="n">
        <v>2</v>
      </c>
      <c r="H103" t="n">
        <v>0</v>
      </c>
      <c r="I103" t="n">
        <v>2</v>
      </c>
      <c r="J103" t="n">
        <v>0</v>
      </c>
      <c r="K103" t="n">
        <v>0</v>
      </c>
      <c r="L103" t="n">
        <v>0</v>
      </c>
      <c r="M103" t="n">
        <v>0</v>
      </c>
      <c r="N103" t="n">
        <v>0</v>
      </c>
      <c r="O103" t="n">
        <v>0</v>
      </c>
      <c r="P103" t="n">
        <v>0</v>
      </c>
      <c r="Q103" t="n">
        <v>2</v>
      </c>
      <c r="R103" s="2" t="inlineStr">
        <is>
          <t>Grönpyrola
Ögonpyrola</t>
        </is>
      </c>
      <c r="S103">
        <f>HYPERLINK("https://klasma.github.io/Logging_2380/artfynd/A 30105-2021 artfynd.xlsx", "A 30105-2021")</f>
        <v/>
      </c>
      <c r="T103">
        <f>HYPERLINK("https://klasma.github.io/Logging_2380/kartor/A 30105-2021 karta.png", "A 30105-2021")</f>
        <v/>
      </c>
      <c r="V103">
        <f>HYPERLINK("https://klasma.github.io/Logging_2380/klagomål/A 30105-2021 FSC-klagomål.docx", "A 30105-2021")</f>
        <v/>
      </c>
      <c r="W103">
        <f>HYPERLINK("https://klasma.github.io/Logging_2380/klagomålsmail/A 30105-2021 FSC-klagomål mail.docx", "A 30105-2021")</f>
        <v/>
      </c>
      <c r="X103">
        <f>HYPERLINK("https://klasma.github.io/Logging_2380/tillsyn/A 30105-2021 tillsynsbegäran.docx", "A 30105-2021")</f>
        <v/>
      </c>
      <c r="Y103">
        <f>HYPERLINK("https://klasma.github.io/Logging_2380/tillsynsmail/A 30105-2021 tillsynsbegäran mail.docx", "A 30105-2021")</f>
        <v/>
      </c>
    </row>
    <row r="104" ht="15" customHeight="1">
      <c r="A104" t="inlineStr">
        <is>
          <t>A 46105-2021</t>
        </is>
      </c>
      <c r="B104" s="1" t="n">
        <v>44441</v>
      </c>
      <c r="C104" s="1" t="n">
        <v>45709</v>
      </c>
      <c r="D104" t="inlineStr">
        <is>
          <t>JÄMTLANDS LÄN</t>
        </is>
      </c>
      <c r="E104" t="inlineStr">
        <is>
          <t>ÖSTERSUND</t>
        </is>
      </c>
      <c r="G104" t="n">
        <v>4.4</v>
      </c>
      <c r="H104" t="n">
        <v>2</v>
      </c>
      <c r="I104" t="n">
        <v>0</v>
      </c>
      <c r="J104" t="n">
        <v>1</v>
      </c>
      <c r="K104" t="n">
        <v>1</v>
      </c>
      <c r="L104" t="n">
        <v>0</v>
      </c>
      <c r="M104" t="n">
        <v>0</v>
      </c>
      <c r="N104" t="n">
        <v>0</v>
      </c>
      <c r="O104" t="n">
        <v>2</v>
      </c>
      <c r="P104" t="n">
        <v>1</v>
      </c>
      <c r="Q104" t="n">
        <v>2</v>
      </c>
      <c r="R104" s="2" t="inlineStr">
        <is>
          <t>Tallbit
Tretåig hackspett</t>
        </is>
      </c>
      <c r="S104">
        <f>HYPERLINK("https://klasma.github.io/Logging_2380/artfynd/A 46105-2021 artfynd.xlsx", "A 46105-2021")</f>
        <v/>
      </c>
      <c r="T104">
        <f>HYPERLINK("https://klasma.github.io/Logging_2380/kartor/A 46105-2021 karta.png", "A 46105-2021")</f>
        <v/>
      </c>
      <c r="V104">
        <f>HYPERLINK("https://klasma.github.io/Logging_2380/klagomål/A 46105-2021 FSC-klagomål.docx", "A 46105-2021")</f>
        <v/>
      </c>
      <c r="W104">
        <f>HYPERLINK("https://klasma.github.io/Logging_2380/klagomålsmail/A 46105-2021 FSC-klagomål mail.docx", "A 46105-2021")</f>
        <v/>
      </c>
      <c r="X104">
        <f>HYPERLINK("https://klasma.github.io/Logging_2380/tillsyn/A 46105-2021 tillsynsbegäran.docx", "A 46105-2021")</f>
        <v/>
      </c>
      <c r="Y104">
        <f>HYPERLINK("https://klasma.github.io/Logging_2380/tillsynsmail/A 46105-2021 tillsynsbegäran mail.docx", "A 46105-2021")</f>
        <v/>
      </c>
      <c r="Z104">
        <f>HYPERLINK("https://klasma.github.io/Logging_2380/fåglar/A 46105-2021 prioriterade fågelarter.docx", "A 46105-2021")</f>
        <v/>
      </c>
    </row>
    <row r="105" ht="15" customHeight="1">
      <c r="A105" t="inlineStr">
        <is>
          <t>A 63601-2021</t>
        </is>
      </c>
      <c r="B105" s="1" t="n">
        <v>44508</v>
      </c>
      <c r="C105" s="1" t="n">
        <v>45709</v>
      </c>
      <c r="D105" t="inlineStr">
        <is>
          <t>JÄMTLANDS LÄN</t>
        </is>
      </c>
      <c r="E105" t="inlineStr">
        <is>
          <t>ÖSTERSUND</t>
        </is>
      </c>
      <c r="F105" t="inlineStr">
        <is>
          <t>SCA</t>
        </is>
      </c>
      <c r="G105" t="n">
        <v>2.9</v>
      </c>
      <c r="H105" t="n">
        <v>0</v>
      </c>
      <c r="I105" t="n">
        <v>1</v>
      </c>
      <c r="J105" t="n">
        <v>0</v>
      </c>
      <c r="K105" t="n">
        <v>1</v>
      </c>
      <c r="L105" t="n">
        <v>0</v>
      </c>
      <c r="M105" t="n">
        <v>0</v>
      </c>
      <c r="N105" t="n">
        <v>0</v>
      </c>
      <c r="O105" t="n">
        <v>1</v>
      </c>
      <c r="P105" t="n">
        <v>1</v>
      </c>
      <c r="Q105" t="n">
        <v>2</v>
      </c>
      <c r="R105" s="2" t="inlineStr">
        <is>
          <t>Läderdoftande fingersvamp
Blodvaxskivling</t>
        </is>
      </c>
      <c r="S105">
        <f>HYPERLINK("https://klasma.github.io/Logging_2380/artfynd/A 63601-2021 artfynd.xlsx", "A 63601-2021")</f>
        <v/>
      </c>
      <c r="T105">
        <f>HYPERLINK("https://klasma.github.io/Logging_2380/kartor/A 63601-2021 karta.png", "A 63601-2021")</f>
        <v/>
      </c>
      <c r="V105">
        <f>HYPERLINK("https://klasma.github.io/Logging_2380/klagomål/A 63601-2021 FSC-klagomål.docx", "A 63601-2021")</f>
        <v/>
      </c>
      <c r="W105">
        <f>HYPERLINK("https://klasma.github.io/Logging_2380/klagomålsmail/A 63601-2021 FSC-klagomål mail.docx", "A 63601-2021")</f>
        <v/>
      </c>
      <c r="X105">
        <f>HYPERLINK("https://klasma.github.io/Logging_2380/tillsyn/A 63601-2021 tillsynsbegäran.docx", "A 63601-2021")</f>
        <v/>
      </c>
      <c r="Y105">
        <f>HYPERLINK("https://klasma.github.io/Logging_2380/tillsynsmail/A 63601-2021 tillsynsbegäran mail.docx", "A 63601-2021")</f>
        <v/>
      </c>
    </row>
    <row r="106" ht="15" customHeight="1">
      <c r="A106" t="inlineStr">
        <is>
          <t>A 43935-2022</t>
        </is>
      </c>
      <c r="B106" s="1" t="n">
        <v>44838</v>
      </c>
      <c r="C106" s="1" t="n">
        <v>45709</v>
      </c>
      <c r="D106" t="inlineStr">
        <is>
          <t>JÄMTLANDS LÄN</t>
        </is>
      </c>
      <c r="E106" t="inlineStr">
        <is>
          <t>ÖSTERSUND</t>
        </is>
      </c>
      <c r="F106" t="inlineStr">
        <is>
          <t>Övriga Aktiebolag</t>
        </is>
      </c>
      <c r="G106" t="n">
        <v>19.2</v>
      </c>
      <c r="H106" t="n">
        <v>0</v>
      </c>
      <c r="I106" t="n">
        <v>0</v>
      </c>
      <c r="J106" t="n">
        <v>1</v>
      </c>
      <c r="K106" t="n">
        <v>1</v>
      </c>
      <c r="L106" t="n">
        <v>0</v>
      </c>
      <c r="M106" t="n">
        <v>0</v>
      </c>
      <c r="N106" t="n">
        <v>0</v>
      </c>
      <c r="O106" t="n">
        <v>2</v>
      </c>
      <c r="P106" t="n">
        <v>1</v>
      </c>
      <c r="Q106" t="n">
        <v>2</v>
      </c>
      <c r="R106" s="2" t="inlineStr">
        <is>
          <t>Sprickporing
Blå taggsvamp</t>
        </is>
      </c>
      <c r="S106">
        <f>HYPERLINK("https://klasma.github.io/Logging_2380/artfynd/A 43935-2022 artfynd.xlsx", "A 43935-2022")</f>
        <v/>
      </c>
      <c r="T106">
        <f>HYPERLINK("https://klasma.github.io/Logging_2380/kartor/A 43935-2022 karta.png", "A 43935-2022")</f>
        <v/>
      </c>
      <c r="V106">
        <f>HYPERLINK("https://klasma.github.io/Logging_2380/klagomål/A 43935-2022 FSC-klagomål.docx", "A 43935-2022")</f>
        <v/>
      </c>
      <c r="W106">
        <f>HYPERLINK("https://klasma.github.io/Logging_2380/klagomålsmail/A 43935-2022 FSC-klagomål mail.docx", "A 43935-2022")</f>
        <v/>
      </c>
      <c r="X106">
        <f>HYPERLINK("https://klasma.github.io/Logging_2380/tillsyn/A 43935-2022 tillsynsbegäran.docx", "A 43935-2022")</f>
        <v/>
      </c>
      <c r="Y106">
        <f>HYPERLINK("https://klasma.github.io/Logging_2380/tillsynsmail/A 43935-2022 tillsynsbegäran mail.docx", "A 43935-2022")</f>
        <v/>
      </c>
    </row>
    <row r="107" ht="15" customHeight="1">
      <c r="A107" t="inlineStr">
        <is>
          <t>A 47385-2022</t>
        </is>
      </c>
      <c r="B107" s="1" t="n">
        <v>44853</v>
      </c>
      <c r="C107" s="1" t="n">
        <v>45709</v>
      </c>
      <c r="D107" t="inlineStr">
        <is>
          <t>JÄMTLANDS LÄN</t>
        </is>
      </c>
      <c r="E107" t="inlineStr">
        <is>
          <t>ÖSTERSUND</t>
        </is>
      </c>
      <c r="G107" t="n">
        <v>0.9</v>
      </c>
      <c r="H107" t="n">
        <v>0</v>
      </c>
      <c r="I107" t="n">
        <v>0</v>
      </c>
      <c r="J107" t="n">
        <v>2</v>
      </c>
      <c r="K107" t="n">
        <v>0</v>
      </c>
      <c r="L107" t="n">
        <v>0</v>
      </c>
      <c r="M107" t="n">
        <v>0</v>
      </c>
      <c r="N107" t="n">
        <v>0</v>
      </c>
      <c r="O107" t="n">
        <v>2</v>
      </c>
      <c r="P107" t="n">
        <v>0</v>
      </c>
      <c r="Q107" t="n">
        <v>2</v>
      </c>
      <c r="R107" s="2" t="inlineStr">
        <is>
          <t>Garnlav
Ullticka</t>
        </is>
      </c>
      <c r="S107">
        <f>HYPERLINK("https://klasma.github.io/Logging_2380/artfynd/A 47385-2022 artfynd.xlsx", "A 47385-2022")</f>
        <v/>
      </c>
      <c r="T107">
        <f>HYPERLINK("https://klasma.github.io/Logging_2380/kartor/A 47385-2022 karta.png", "A 47385-2022")</f>
        <v/>
      </c>
      <c r="U107">
        <f>HYPERLINK("https://klasma.github.io/Logging_2380/knärot/A 47385-2022 karta knärot.png", "A 47385-2022")</f>
        <v/>
      </c>
      <c r="V107">
        <f>HYPERLINK("https://klasma.github.io/Logging_2380/klagomål/A 47385-2022 FSC-klagomål.docx", "A 47385-2022")</f>
        <v/>
      </c>
      <c r="W107">
        <f>HYPERLINK("https://klasma.github.io/Logging_2380/klagomålsmail/A 47385-2022 FSC-klagomål mail.docx", "A 47385-2022")</f>
        <v/>
      </c>
      <c r="X107">
        <f>HYPERLINK("https://klasma.github.io/Logging_2380/tillsyn/A 47385-2022 tillsynsbegäran.docx", "A 47385-2022")</f>
        <v/>
      </c>
      <c r="Y107">
        <f>HYPERLINK("https://klasma.github.io/Logging_2380/tillsynsmail/A 47385-2022 tillsynsbegäran mail.docx", "A 47385-2022")</f>
        <v/>
      </c>
    </row>
    <row r="108" ht="15" customHeight="1">
      <c r="A108" t="inlineStr">
        <is>
          <t>A 60534-2022</t>
        </is>
      </c>
      <c r="B108" s="1" t="n">
        <v>44904</v>
      </c>
      <c r="C108" s="1" t="n">
        <v>45709</v>
      </c>
      <c r="D108" t="inlineStr">
        <is>
          <t>JÄMTLANDS LÄN</t>
        </is>
      </c>
      <c r="E108" t="inlineStr">
        <is>
          <t>ÖSTERSUND</t>
        </is>
      </c>
      <c r="G108" t="n">
        <v>9.9</v>
      </c>
      <c r="H108" t="n">
        <v>0</v>
      </c>
      <c r="I108" t="n">
        <v>0</v>
      </c>
      <c r="J108" t="n">
        <v>2</v>
      </c>
      <c r="K108" t="n">
        <v>0</v>
      </c>
      <c r="L108" t="n">
        <v>0</v>
      </c>
      <c r="M108" t="n">
        <v>0</v>
      </c>
      <c r="N108" t="n">
        <v>0</v>
      </c>
      <c r="O108" t="n">
        <v>2</v>
      </c>
      <c r="P108" t="n">
        <v>0</v>
      </c>
      <c r="Q108" t="n">
        <v>2</v>
      </c>
      <c r="R108" s="2" t="inlineStr">
        <is>
          <t>Rosenticka
Ullticka</t>
        </is>
      </c>
      <c r="S108">
        <f>HYPERLINK("https://klasma.github.io/Logging_2380/artfynd/A 60534-2022 artfynd.xlsx", "A 60534-2022")</f>
        <v/>
      </c>
      <c r="T108">
        <f>HYPERLINK("https://klasma.github.io/Logging_2380/kartor/A 60534-2022 karta.png", "A 60534-2022")</f>
        <v/>
      </c>
      <c r="V108">
        <f>HYPERLINK("https://klasma.github.io/Logging_2380/klagomål/A 60534-2022 FSC-klagomål.docx", "A 60534-2022")</f>
        <v/>
      </c>
      <c r="W108">
        <f>HYPERLINK("https://klasma.github.io/Logging_2380/klagomålsmail/A 60534-2022 FSC-klagomål mail.docx", "A 60534-2022")</f>
        <v/>
      </c>
      <c r="X108">
        <f>HYPERLINK("https://klasma.github.io/Logging_2380/tillsyn/A 60534-2022 tillsynsbegäran.docx", "A 60534-2022")</f>
        <v/>
      </c>
      <c r="Y108">
        <f>HYPERLINK("https://klasma.github.io/Logging_2380/tillsynsmail/A 60534-2022 tillsynsbegäran mail.docx", "A 60534-2022")</f>
        <v/>
      </c>
    </row>
    <row r="109" ht="15" customHeight="1">
      <c r="A109" t="inlineStr">
        <is>
          <t>A 59793-2022</t>
        </is>
      </c>
      <c r="B109" s="1" t="n">
        <v>44908</v>
      </c>
      <c r="C109" s="1" t="n">
        <v>45709</v>
      </c>
      <c r="D109" t="inlineStr">
        <is>
          <t>JÄMTLANDS LÄN</t>
        </is>
      </c>
      <c r="E109" t="inlineStr">
        <is>
          <t>ÖSTERSUND</t>
        </is>
      </c>
      <c r="G109" t="n">
        <v>23.3</v>
      </c>
      <c r="H109" t="n">
        <v>1</v>
      </c>
      <c r="I109" t="n">
        <v>1</v>
      </c>
      <c r="J109" t="n">
        <v>1</v>
      </c>
      <c r="K109" t="n">
        <v>0</v>
      </c>
      <c r="L109" t="n">
        <v>0</v>
      </c>
      <c r="M109" t="n">
        <v>0</v>
      </c>
      <c r="N109" t="n">
        <v>0</v>
      </c>
      <c r="O109" t="n">
        <v>1</v>
      </c>
      <c r="P109" t="n">
        <v>0</v>
      </c>
      <c r="Q109" t="n">
        <v>2</v>
      </c>
      <c r="R109" s="2" t="inlineStr">
        <is>
          <t>Majviva
Spindelblomster</t>
        </is>
      </c>
      <c r="S109">
        <f>HYPERLINK("https://klasma.github.io/Logging_2380/artfynd/A 59793-2022 artfynd.xlsx", "A 59793-2022")</f>
        <v/>
      </c>
      <c r="T109">
        <f>HYPERLINK("https://klasma.github.io/Logging_2380/kartor/A 59793-2022 karta.png", "A 59793-2022")</f>
        <v/>
      </c>
      <c r="V109">
        <f>HYPERLINK("https://klasma.github.io/Logging_2380/klagomål/A 59793-2022 FSC-klagomål.docx", "A 59793-2022")</f>
        <v/>
      </c>
      <c r="W109">
        <f>HYPERLINK("https://klasma.github.io/Logging_2380/klagomålsmail/A 59793-2022 FSC-klagomål mail.docx", "A 59793-2022")</f>
        <v/>
      </c>
      <c r="X109">
        <f>HYPERLINK("https://klasma.github.io/Logging_2380/tillsyn/A 59793-2022 tillsynsbegäran.docx", "A 59793-2022")</f>
        <v/>
      </c>
      <c r="Y109">
        <f>HYPERLINK("https://klasma.github.io/Logging_2380/tillsynsmail/A 59793-2022 tillsynsbegäran mail.docx", "A 59793-2022")</f>
        <v/>
      </c>
    </row>
    <row r="110" ht="15" customHeight="1">
      <c r="A110" t="inlineStr">
        <is>
          <t>A 60614-2022</t>
        </is>
      </c>
      <c r="B110" s="1" t="n">
        <v>44911</v>
      </c>
      <c r="C110" s="1" t="n">
        <v>45709</v>
      </c>
      <c r="D110" t="inlineStr">
        <is>
          <t>JÄMTLANDS LÄN</t>
        </is>
      </c>
      <c r="E110" t="inlineStr">
        <is>
          <t>ÖSTERSUND</t>
        </is>
      </c>
      <c r="G110" t="n">
        <v>17.6</v>
      </c>
      <c r="H110" t="n">
        <v>1</v>
      </c>
      <c r="I110" t="n">
        <v>1</v>
      </c>
      <c r="J110" t="n">
        <v>0</v>
      </c>
      <c r="K110" t="n">
        <v>0</v>
      </c>
      <c r="L110" t="n">
        <v>0</v>
      </c>
      <c r="M110" t="n">
        <v>0</v>
      </c>
      <c r="N110" t="n">
        <v>0</v>
      </c>
      <c r="O110" t="n">
        <v>0</v>
      </c>
      <c r="P110" t="n">
        <v>0</v>
      </c>
      <c r="Q110" t="n">
        <v>2</v>
      </c>
      <c r="R110" s="2" t="inlineStr">
        <is>
          <t>Dropptaggsvamp
Blåsippa</t>
        </is>
      </c>
      <c r="S110">
        <f>HYPERLINK("https://klasma.github.io/Logging_2380/artfynd/A 60614-2022 artfynd.xlsx", "A 60614-2022")</f>
        <v/>
      </c>
      <c r="T110">
        <f>HYPERLINK("https://klasma.github.io/Logging_2380/kartor/A 60614-2022 karta.png", "A 60614-2022")</f>
        <v/>
      </c>
      <c r="V110">
        <f>HYPERLINK("https://klasma.github.io/Logging_2380/klagomål/A 60614-2022 FSC-klagomål.docx", "A 60614-2022")</f>
        <v/>
      </c>
      <c r="W110">
        <f>HYPERLINK("https://klasma.github.io/Logging_2380/klagomålsmail/A 60614-2022 FSC-klagomål mail.docx", "A 60614-2022")</f>
        <v/>
      </c>
      <c r="X110">
        <f>HYPERLINK("https://klasma.github.io/Logging_2380/tillsyn/A 60614-2022 tillsynsbegäran.docx", "A 60614-2022")</f>
        <v/>
      </c>
      <c r="Y110">
        <f>HYPERLINK("https://klasma.github.io/Logging_2380/tillsynsmail/A 60614-2022 tillsynsbegäran mail.docx", "A 60614-2022")</f>
        <v/>
      </c>
    </row>
    <row r="111" ht="15" customHeight="1">
      <c r="A111" t="inlineStr">
        <is>
          <t>A 4916-2023</t>
        </is>
      </c>
      <c r="B111" s="1" t="n">
        <v>44956</v>
      </c>
      <c r="C111" s="1" t="n">
        <v>45709</v>
      </c>
      <c r="D111" t="inlineStr">
        <is>
          <t>JÄMTLANDS LÄN</t>
        </is>
      </c>
      <c r="E111" t="inlineStr">
        <is>
          <t>ÖSTERSUND</t>
        </is>
      </c>
      <c r="G111" t="n">
        <v>1.2</v>
      </c>
      <c r="H111" t="n">
        <v>0</v>
      </c>
      <c r="I111" t="n">
        <v>1</v>
      </c>
      <c r="J111" t="n">
        <v>0</v>
      </c>
      <c r="K111" t="n">
        <v>0</v>
      </c>
      <c r="L111" t="n">
        <v>1</v>
      </c>
      <c r="M111" t="n">
        <v>0</v>
      </c>
      <c r="N111" t="n">
        <v>0</v>
      </c>
      <c r="O111" t="n">
        <v>1</v>
      </c>
      <c r="P111" t="n">
        <v>1</v>
      </c>
      <c r="Q111" t="n">
        <v>2</v>
      </c>
      <c r="R111" s="2" t="inlineStr">
        <is>
          <t>Trolldruvemätare
Svart trolldruva</t>
        </is>
      </c>
      <c r="S111">
        <f>HYPERLINK("https://klasma.github.io/Logging_2380/artfynd/A 4916-2023 artfynd.xlsx", "A 4916-2023")</f>
        <v/>
      </c>
      <c r="T111">
        <f>HYPERLINK("https://klasma.github.io/Logging_2380/kartor/A 4916-2023 karta.png", "A 4916-2023")</f>
        <v/>
      </c>
      <c r="V111">
        <f>HYPERLINK("https://klasma.github.io/Logging_2380/klagomål/A 4916-2023 FSC-klagomål.docx", "A 4916-2023")</f>
        <v/>
      </c>
      <c r="W111">
        <f>HYPERLINK("https://klasma.github.io/Logging_2380/klagomålsmail/A 4916-2023 FSC-klagomål mail.docx", "A 4916-2023")</f>
        <v/>
      </c>
      <c r="X111">
        <f>HYPERLINK("https://klasma.github.io/Logging_2380/tillsyn/A 4916-2023 tillsynsbegäran.docx", "A 4916-2023")</f>
        <v/>
      </c>
      <c r="Y111">
        <f>HYPERLINK("https://klasma.github.io/Logging_2380/tillsynsmail/A 4916-2023 tillsynsbegäran mail.docx", "A 4916-2023")</f>
        <v/>
      </c>
    </row>
    <row r="112" ht="15" customHeight="1">
      <c r="A112" t="inlineStr">
        <is>
          <t>A 19147-2023</t>
        </is>
      </c>
      <c r="B112" s="1" t="n">
        <v>45044</v>
      </c>
      <c r="C112" s="1" t="n">
        <v>45709</v>
      </c>
      <c r="D112" t="inlineStr">
        <is>
          <t>JÄMTLANDS LÄN</t>
        </is>
      </c>
      <c r="E112" t="inlineStr">
        <is>
          <t>ÖSTERSUND</t>
        </is>
      </c>
      <c r="G112" t="n">
        <v>5</v>
      </c>
      <c r="H112" t="n">
        <v>1</v>
      </c>
      <c r="I112" t="n">
        <v>0</v>
      </c>
      <c r="J112" t="n">
        <v>1</v>
      </c>
      <c r="K112" t="n">
        <v>0</v>
      </c>
      <c r="L112" t="n">
        <v>1</v>
      </c>
      <c r="M112" t="n">
        <v>0</v>
      </c>
      <c r="N112" t="n">
        <v>0</v>
      </c>
      <c r="O112" t="n">
        <v>2</v>
      </c>
      <c r="P112" t="n">
        <v>1</v>
      </c>
      <c r="Q112" t="n">
        <v>2</v>
      </c>
      <c r="R112" s="2" t="inlineStr">
        <is>
          <t>Bredgentiana
Scharlakansvaxskivling</t>
        </is>
      </c>
      <c r="S112">
        <f>HYPERLINK("https://klasma.github.io/Logging_2380/artfynd/A 19147-2023 artfynd.xlsx", "A 19147-2023")</f>
        <v/>
      </c>
      <c r="T112">
        <f>HYPERLINK("https://klasma.github.io/Logging_2380/kartor/A 19147-2023 karta.png", "A 19147-2023")</f>
        <v/>
      </c>
      <c r="V112">
        <f>HYPERLINK("https://klasma.github.io/Logging_2380/klagomål/A 19147-2023 FSC-klagomål.docx", "A 19147-2023")</f>
        <v/>
      </c>
      <c r="W112">
        <f>HYPERLINK("https://klasma.github.io/Logging_2380/klagomålsmail/A 19147-2023 FSC-klagomål mail.docx", "A 19147-2023")</f>
        <v/>
      </c>
      <c r="X112">
        <f>HYPERLINK("https://klasma.github.io/Logging_2380/tillsyn/A 19147-2023 tillsynsbegäran.docx", "A 19147-2023")</f>
        <v/>
      </c>
      <c r="Y112">
        <f>HYPERLINK("https://klasma.github.io/Logging_2380/tillsynsmail/A 19147-2023 tillsynsbegäran mail.docx", "A 19147-2023")</f>
        <v/>
      </c>
    </row>
    <row r="113" ht="15" customHeight="1">
      <c r="A113" t="inlineStr">
        <is>
          <t>A 38334-2023</t>
        </is>
      </c>
      <c r="B113" s="1" t="n">
        <v>45161</v>
      </c>
      <c r="C113" s="1" t="n">
        <v>45709</v>
      </c>
      <c r="D113" t="inlineStr">
        <is>
          <t>JÄMTLANDS LÄN</t>
        </is>
      </c>
      <c r="E113" t="inlineStr">
        <is>
          <t>ÖSTERSUND</t>
        </is>
      </c>
      <c r="G113" t="n">
        <v>10.5</v>
      </c>
      <c r="H113" t="n">
        <v>0</v>
      </c>
      <c r="I113" t="n">
        <v>0</v>
      </c>
      <c r="J113" t="n">
        <v>0</v>
      </c>
      <c r="K113" t="n">
        <v>2</v>
      </c>
      <c r="L113" t="n">
        <v>0</v>
      </c>
      <c r="M113" t="n">
        <v>0</v>
      </c>
      <c r="N113" t="n">
        <v>0</v>
      </c>
      <c r="O113" t="n">
        <v>2</v>
      </c>
      <c r="P113" t="n">
        <v>2</v>
      </c>
      <c r="Q113" t="n">
        <v>2</v>
      </c>
      <c r="R113" s="2" t="inlineStr">
        <is>
          <t>Rynkskinn
Violett fingersvamp</t>
        </is>
      </c>
      <c r="S113">
        <f>HYPERLINK("https://klasma.github.io/Logging_2380/artfynd/A 38334-2023 artfynd.xlsx", "A 38334-2023")</f>
        <v/>
      </c>
      <c r="T113">
        <f>HYPERLINK("https://klasma.github.io/Logging_2380/kartor/A 38334-2023 karta.png", "A 38334-2023")</f>
        <v/>
      </c>
      <c r="V113">
        <f>HYPERLINK("https://klasma.github.io/Logging_2380/klagomål/A 38334-2023 FSC-klagomål.docx", "A 38334-2023")</f>
        <v/>
      </c>
      <c r="W113">
        <f>HYPERLINK("https://klasma.github.io/Logging_2380/klagomålsmail/A 38334-2023 FSC-klagomål mail.docx", "A 38334-2023")</f>
        <v/>
      </c>
      <c r="X113">
        <f>HYPERLINK("https://klasma.github.io/Logging_2380/tillsyn/A 38334-2023 tillsynsbegäran.docx", "A 38334-2023")</f>
        <v/>
      </c>
      <c r="Y113">
        <f>HYPERLINK("https://klasma.github.io/Logging_2380/tillsynsmail/A 38334-2023 tillsynsbegäran mail.docx", "A 38334-2023")</f>
        <v/>
      </c>
    </row>
    <row r="114" ht="15" customHeight="1">
      <c r="A114" t="inlineStr">
        <is>
          <t>A 52129-2023</t>
        </is>
      </c>
      <c r="B114" s="1" t="n">
        <v>45223</v>
      </c>
      <c r="C114" s="1" t="n">
        <v>45709</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56006-2023</t>
        </is>
      </c>
      <c r="B115" s="1" t="n">
        <v>45233</v>
      </c>
      <c r="C115" s="1" t="n">
        <v>45709</v>
      </c>
      <c r="D115" t="inlineStr">
        <is>
          <t>JÄMTLANDS LÄN</t>
        </is>
      </c>
      <c r="E115" t="inlineStr">
        <is>
          <t>ÖSTERSUND</t>
        </is>
      </c>
      <c r="G115" t="n">
        <v>2.3</v>
      </c>
      <c r="H115" t="n">
        <v>0</v>
      </c>
      <c r="I115" t="n">
        <v>2</v>
      </c>
      <c r="J115" t="n">
        <v>0</v>
      </c>
      <c r="K115" t="n">
        <v>0</v>
      </c>
      <c r="L115" t="n">
        <v>0</v>
      </c>
      <c r="M115" t="n">
        <v>0</v>
      </c>
      <c r="N115" t="n">
        <v>0</v>
      </c>
      <c r="O115" t="n">
        <v>0</v>
      </c>
      <c r="P115" t="n">
        <v>0</v>
      </c>
      <c r="Q115" t="n">
        <v>2</v>
      </c>
      <c r="R115" s="2" t="inlineStr">
        <is>
          <t>Korallblylav
Skinnlav</t>
        </is>
      </c>
      <c r="S115">
        <f>HYPERLINK("https://klasma.github.io/Logging_2380/artfynd/A 56006-2023 artfynd.xlsx", "A 56006-2023")</f>
        <v/>
      </c>
      <c r="T115">
        <f>HYPERLINK("https://klasma.github.io/Logging_2380/kartor/A 56006-2023 karta.png", "A 56006-2023")</f>
        <v/>
      </c>
      <c r="V115">
        <f>HYPERLINK("https://klasma.github.io/Logging_2380/klagomål/A 56006-2023 FSC-klagomål.docx", "A 56006-2023")</f>
        <v/>
      </c>
      <c r="W115">
        <f>HYPERLINK("https://klasma.github.io/Logging_2380/klagomålsmail/A 56006-2023 FSC-klagomål mail.docx", "A 56006-2023")</f>
        <v/>
      </c>
      <c r="X115">
        <f>HYPERLINK("https://klasma.github.io/Logging_2380/tillsyn/A 56006-2023 tillsynsbegäran.docx", "A 56006-2023")</f>
        <v/>
      </c>
      <c r="Y115">
        <f>HYPERLINK("https://klasma.github.io/Logging_2380/tillsynsmail/A 56006-2023 tillsynsbegäran mail.docx", "A 56006-2023")</f>
        <v/>
      </c>
    </row>
    <row r="116" ht="15" customHeight="1">
      <c r="A116" t="inlineStr">
        <is>
          <t>A 55648-2023</t>
        </is>
      </c>
      <c r="B116" s="1" t="n">
        <v>45238</v>
      </c>
      <c r="C116" s="1" t="n">
        <v>45709</v>
      </c>
      <c r="D116" t="inlineStr">
        <is>
          <t>JÄMTLANDS LÄN</t>
        </is>
      </c>
      <c r="E116" t="inlineStr">
        <is>
          <t>ÖSTERSUND</t>
        </is>
      </c>
      <c r="G116" t="n">
        <v>10.9</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HYPERLINK("https://klasma.github.io/Logging_2380/artfynd/A 55648-2023 artfynd.xlsx", "A 55648-2023")</f>
        <v/>
      </c>
      <c r="T116">
        <f>HYPERLINK("https://klasma.github.io/Logging_2380/kartor/A 55648-2023 karta.png", "A 55648-2023")</f>
        <v/>
      </c>
      <c r="V116">
        <f>HYPERLINK("https://klasma.github.io/Logging_2380/klagomål/A 55648-2023 FSC-klagomål.docx", "A 55648-2023")</f>
        <v/>
      </c>
      <c r="W116">
        <f>HYPERLINK("https://klasma.github.io/Logging_2380/klagomålsmail/A 55648-2023 FSC-klagomål mail.docx", "A 55648-2023")</f>
        <v/>
      </c>
      <c r="X116">
        <f>HYPERLINK("https://klasma.github.io/Logging_2380/tillsyn/A 55648-2023 tillsynsbegäran.docx", "A 55648-2023")</f>
        <v/>
      </c>
      <c r="Y116">
        <f>HYPERLINK("https://klasma.github.io/Logging_2380/tillsynsmail/A 55648-2023 tillsynsbegäran mail.docx", "A 55648-2023")</f>
        <v/>
      </c>
      <c r="Z116">
        <f>HYPERLINK("https://klasma.github.io/Logging_2380/fåglar/A 55648-2023 prioriterade fågelarter.docx", "A 55648-2023")</f>
        <v/>
      </c>
    </row>
    <row r="117" ht="15" customHeight="1">
      <c r="A117" t="inlineStr">
        <is>
          <t>A 57491-2023</t>
        </is>
      </c>
      <c r="B117" s="1" t="n">
        <v>45246</v>
      </c>
      <c r="C117" s="1" t="n">
        <v>45709</v>
      </c>
      <c r="D117" t="inlineStr">
        <is>
          <t>JÄMTLANDS LÄN</t>
        </is>
      </c>
      <c r="E117" t="inlineStr">
        <is>
          <t>ÖSTERSUND</t>
        </is>
      </c>
      <c r="G117" t="n">
        <v>9.699999999999999</v>
      </c>
      <c r="H117" t="n">
        <v>1</v>
      </c>
      <c r="I117" t="n">
        <v>0</v>
      </c>
      <c r="J117" t="n">
        <v>1</v>
      </c>
      <c r="K117" t="n">
        <v>1</v>
      </c>
      <c r="L117" t="n">
        <v>0</v>
      </c>
      <c r="M117" t="n">
        <v>0</v>
      </c>
      <c r="N117" t="n">
        <v>0</v>
      </c>
      <c r="O117" t="n">
        <v>2</v>
      </c>
      <c r="P117" t="n">
        <v>1</v>
      </c>
      <c r="Q117" t="n">
        <v>2</v>
      </c>
      <c r="R117" s="2" t="inlineStr">
        <is>
          <t>Doftticka
Lunglav</t>
        </is>
      </c>
      <c r="S117">
        <f>HYPERLINK("https://klasma.github.io/Logging_2380/artfynd/A 57491-2023 artfynd.xlsx", "A 57491-2023")</f>
        <v/>
      </c>
      <c r="T117">
        <f>HYPERLINK("https://klasma.github.io/Logging_2380/kartor/A 57491-2023 karta.png", "A 57491-2023")</f>
        <v/>
      </c>
      <c r="V117">
        <f>HYPERLINK("https://klasma.github.io/Logging_2380/klagomål/A 57491-2023 FSC-klagomål.docx", "A 57491-2023")</f>
        <v/>
      </c>
      <c r="W117">
        <f>HYPERLINK("https://klasma.github.io/Logging_2380/klagomålsmail/A 57491-2023 FSC-klagomål mail.docx", "A 57491-2023")</f>
        <v/>
      </c>
      <c r="X117">
        <f>HYPERLINK("https://klasma.github.io/Logging_2380/tillsyn/A 57491-2023 tillsynsbegäran.docx", "A 57491-2023")</f>
        <v/>
      </c>
      <c r="Y117">
        <f>HYPERLINK("https://klasma.github.io/Logging_2380/tillsynsmail/A 57491-2023 tillsynsbegäran mail.docx", "A 57491-2023")</f>
        <v/>
      </c>
    </row>
    <row r="118" ht="15" customHeight="1">
      <c r="A118" t="inlineStr">
        <is>
          <t>A 63930-2023</t>
        </is>
      </c>
      <c r="B118" s="1" t="n">
        <v>45278</v>
      </c>
      <c r="C118" s="1" t="n">
        <v>45709</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64270-2023</t>
        </is>
      </c>
      <c r="B119" s="1" t="n">
        <v>45279</v>
      </c>
      <c r="C119" s="1" t="n">
        <v>45709</v>
      </c>
      <c r="D119" t="inlineStr">
        <is>
          <t>JÄMTLANDS LÄN</t>
        </is>
      </c>
      <c r="E119" t="inlineStr">
        <is>
          <t>ÖSTERSUND</t>
        </is>
      </c>
      <c r="F119" t="inlineStr">
        <is>
          <t>SCA</t>
        </is>
      </c>
      <c r="G119" t="n">
        <v>0.7</v>
      </c>
      <c r="H119" t="n">
        <v>2</v>
      </c>
      <c r="I119" t="n">
        <v>0</v>
      </c>
      <c r="J119" t="n">
        <v>2</v>
      </c>
      <c r="K119" t="n">
        <v>0</v>
      </c>
      <c r="L119" t="n">
        <v>0</v>
      </c>
      <c r="M119" t="n">
        <v>0</v>
      </c>
      <c r="N119" t="n">
        <v>0</v>
      </c>
      <c r="O119" t="n">
        <v>2</v>
      </c>
      <c r="P119" t="n">
        <v>0</v>
      </c>
      <c r="Q119" t="n">
        <v>2</v>
      </c>
      <c r="R119" s="2" t="inlineStr">
        <is>
          <t>Spillkråka
Talltita</t>
        </is>
      </c>
      <c r="S119">
        <f>HYPERLINK("https://klasma.github.io/Logging_2380/artfynd/A 64270-2023 artfynd.xlsx", "A 64270-2023")</f>
        <v/>
      </c>
      <c r="T119">
        <f>HYPERLINK("https://klasma.github.io/Logging_2380/kartor/A 64270-2023 karta.png", "A 64270-2023")</f>
        <v/>
      </c>
      <c r="V119">
        <f>HYPERLINK("https://klasma.github.io/Logging_2380/klagomål/A 64270-2023 FSC-klagomål.docx", "A 64270-2023")</f>
        <v/>
      </c>
      <c r="W119">
        <f>HYPERLINK("https://klasma.github.io/Logging_2380/klagomålsmail/A 64270-2023 FSC-klagomål mail.docx", "A 64270-2023")</f>
        <v/>
      </c>
      <c r="X119">
        <f>HYPERLINK("https://klasma.github.io/Logging_2380/tillsyn/A 64270-2023 tillsynsbegäran.docx", "A 64270-2023")</f>
        <v/>
      </c>
      <c r="Y119">
        <f>HYPERLINK("https://klasma.github.io/Logging_2380/tillsynsmail/A 64270-2023 tillsynsbegäran mail.docx", "A 64270-2023")</f>
        <v/>
      </c>
      <c r="Z119">
        <f>HYPERLINK("https://klasma.github.io/Logging_2380/fåglar/A 64270-2023 prioriterade fågelarter.docx", "A 64270-2023")</f>
        <v/>
      </c>
    </row>
    <row r="120" ht="15" customHeight="1">
      <c r="A120" t="inlineStr">
        <is>
          <t>A 7698-2024</t>
        </is>
      </c>
      <c r="B120" s="1" t="n">
        <v>45349</v>
      </c>
      <c r="C120" s="1" t="n">
        <v>45709</v>
      </c>
      <c r="D120" t="inlineStr">
        <is>
          <t>JÄMTLANDS LÄN</t>
        </is>
      </c>
      <c r="E120" t="inlineStr">
        <is>
          <t>ÖSTERSUND</t>
        </is>
      </c>
      <c r="F120" t="inlineStr">
        <is>
          <t>Övriga Aktiebolag</t>
        </is>
      </c>
      <c r="G120" t="n">
        <v>4.5</v>
      </c>
      <c r="H120" t="n">
        <v>2</v>
      </c>
      <c r="I120" t="n">
        <v>1</v>
      </c>
      <c r="J120" t="n">
        <v>0</v>
      </c>
      <c r="K120" t="n">
        <v>0</v>
      </c>
      <c r="L120" t="n">
        <v>0</v>
      </c>
      <c r="M120" t="n">
        <v>0</v>
      </c>
      <c r="N120" t="n">
        <v>0</v>
      </c>
      <c r="O120" t="n">
        <v>0</v>
      </c>
      <c r="P120" t="n">
        <v>0</v>
      </c>
      <c r="Q120" t="n">
        <v>2</v>
      </c>
      <c r="R120" s="2" t="inlineStr">
        <is>
          <t>Tvåblad
Brudsporre</t>
        </is>
      </c>
      <c r="S120">
        <f>HYPERLINK("https://klasma.github.io/Logging_2380/artfynd/A 7698-2024 artfynd.xlsx", "A 7698-2024")</f>
        <v/>
      </c>
      <c r="T120">
        <f>HYPERLINK("https://klasma.github.io/Logging_2380/kartor/A 7698-2024 karta.png", "A 7698-2024")</f>
        <v/>
      </c>
      <c r="V120">
        <f>HYPERLINK("https://klasma.github.io/Logging_2380/klagomål/A 7698-2024 FSC-klagomål.docx", "A 7698-2024")</f>
        <v/>
      </c>
      <c r="W120">
        <f>HYPERLINK("https://klasma.github.io/Logging_2380/klagomålsmail/A 7698-2024 FSC-klagomål mail.docx", "A 7698-2024")</f>
        <v/>
      </c>
      <c r="X120">
        <f>HYPERLINK("https://klasma.github.io/Logging_2380/tillsyn/A 7698-2024 tillsynsbegäran.docx", "A 7698-2024")</f>
        <v/>
      </c>
      <c r="Y120">
        <f>HYPERLINK("https://klasma.github.io/Logging_2380/tillsynsmail/A 7698-2024 tillsynsbegäran mail.docx", "A 7698-2024")</f>
        <v/>
      </c>
    </row>
    <row r="121" ht="15" customHeight="1">
      <c r="A121" t="inlineStr">
        <is>
          <t>A 18300-2024</t>
        </is>
      </c>
      <c r="B121" s="1" t="n">
        <v>45421</v>
      </c>
      <c r="C121" s="1" t="n">
        <v>45709</v>
      </c>
      <c r="D121" t="inlineStr">
        <is>
          <t>JÄMTLANDS LÄN</t>
        </is>
      </c>
      <c r="E121" t="inlineStr">
        <is>
          <t>ÖSTERSUND</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HYPERLINK("https://klasma.github.io/Logging_2380/artfynd/A 18300-2024 artfynd.xlsx", "A 18300-2024")</f>
        <v/>
      </c>
      <c r="T121">
        <f>HYPERLINK("https://klasma.github.io/Logging_2380/kartor/A 18300-2024 karta.png", "A 18300-2024")</f>
        <v/>
      </c>
      <c r="V121">
        <f>HYPERLINK("https://klasma.github.io/Logging_2380/klagomål/A 18300-2024 FSC-klagomål.docx", "A 18300-2024")</f>
        <v/>
      </c>
      <c r="W121">
        <f>HYPERLINK("https://klasma.github.io/Logging_2380/klagomålsmail/A 18300-2024 FSC-klagomål mail.docx", "A 18300-2024")</f>
        <v/>
      </c>
      <c r="X121">
        <f>HYPERLINK("https://klasma.github.io/Logging_2380/tillsyn/A 18300-2024 tillsynsbegäran.docx", "A 18300-2024")</f>
        <v/>
      </c>
      <c r="Y121">
        <f>HYPERLINK("https://klasma.github.io/Logging_2380/tillsynsmail/A 18300-2024 tillsynsbegäran mail.docx", "A 18300-2024")</f>
        <v/>
      </c>
    </row>
    <row r="122" ht="15" customHeight="1">
      <c r="A122" t="inlineStr">
        <is>
          <t>A 21615-2024</t>
        </is>
      </c>
      <c r="B122" s="1" t="n">
        <v>45442</v>
      </c>
      <c r="C122" s="1" t="n">
        <v>45709</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22077-2024</t>
        </is>
      </c>
      <c r="B123" s="1" t="n">
        <v>45443</v>
      </c>
      <c r="C123" s="1" t="n">
        <v>45709</v>
      </c>
      <c r="D123" t="inlineStr">
        <is>
          <t>JÄMTLANDS LÄN</t>
        </is>
      </c>
      <c r="E123" t="inlineStr">
        <is>
          <t>ÖSTERSUND</t>
        </is>
      </c>
      <c r="G123" t="n">
        <v>5</v>
      </c>
      <c r="H123" t="n">
        <v>1</v>
      </c>
      <c r="I123" t="n">
        <v>1</v>
      </c>
      <c r="J123" t="n">
        <v>0</v>
      </c>
      <c r="K123" t="n">
        <v>0</v>
      </c>
      <c r="L123" t="n">
        <v>0</v>
      </c>
      <c r="M123" t="n">
        <v>0</v>
      </c>
      <c r="N123" t="n">
        <v>0</v>
      </c>
      <c r="O123" t="n">
        <v>0</v>
      </c>
      <c r="P123" t="n">
        <v>0</v>
      </c>
      <c r="Q123" t="n">
        <v>2</v>
      </c>
      <c r="R123" s="2" t="inlineStr">
        <is>
          <t>Underviol
Blåsippa</t>
        </is>
      </c>
      <c r="S123">
        <f>HYPERLINK("https://klasma.github.io/Logging_2380/artfynd/A 22077-2024 artfynd.xlsx", "A 22077-2024")</f>
        <v/>
      </c>
      <c r="T123">
        <f>HYPERLINK("https://klasma.github.io/Logging_2380/kartor/A 22077-2024 karta.png", "A 22077-2024")</f>
        <v/>
      </c>
      <c r="V123">
        <f>HYPERLINK("https://klasma.github.io/Logging_2380/klagomål/A 22077-2024 FSC-klagomål.docx", "A 22077-2024")</f>
        <v/>
      </c>
      <c r="W123">
        <f>HYPERLINK("https://klasma.github.io/Logging_2380/klagomålsmail/A 22077-2024 FSC-klagomål mail.docx", "A 22077-2024")</f>
        <v/>
      </c>
      <c r="X123">
        <f>HYPERLINK("https://klasma.github.io/Logging_2380/tillsyn/A 22077-2024 tillsynsbegäran.docx", "A 22077-2024")</f>
        <v/>
      </c>
      <c r="Y123">
        <f>HYPERLINK("https://klasma.github.io/Logging_2380/tillsynsmail/A 22077-2024 tillsynsbegäran mail.docx", "A 22077-2024")</f>
        <v/>
      </c>
    </row>
    <row r="124" ht="15" customHeight="1">
      <c r="A124" t="inlineStr">
        <is>
          <t>A 25389-2024</t>
        </is>
      </c>
      <c r="B124" s="1" t="n">
        <v>45463</v>
      </c>
      <c r="C124" s="1" t="n">
        <v>45709</v>
      </c>
      <c r="D124" t="inlineStr">
        <is>
          <t>JÄMTLANDS LÄN</t>
        </is>
      </c>
      <c r="E124" t="inlineStr">
        <is>
          <t>ÖSTERSUND</t>
        </is>
      </c>
      <c r="G124" t="n">
        <v>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25389-2024 artfynd.xlsx", "A 25389-2024")</f>
        <v/>
      </c>
      <c r="T124">
        <f>HYPERLINK("https://klasma.github.io/Logging_2380/kartor/A 25389-2024 karta.png", "A 25389-2024")</f>
        <v/>
      </c>
      <c r="V124">
        <f>HYPERLINK("https://klasma.github.io/Logging_2380/klagomål/A 25389-2024 FSC-klagomål.docx", "A 25389-2024")</f>
        <v/>
      </c>
      <c r="W124">
        <f>HYPERLINK("https://klasma.github.io/Logging_2380/klagomålsmail/A 25389-2024 FSC-klagomål mail.docx", "A 25389-2024")</f>
        <v/>
      </c>
      <c r="X124">
        <f>HYPERLINK("https://klasma.github.io/Logging_2380/tillsyn/A 25389-2024 tillsynsbegäran.docx", "A 25389-2024")</f>
        <v/>
      </c>
      <c r="Y124">
        <f>HYPERLINK("https://klasma.github.io/Logging_2380/tillsynsmail/A 25389-2024 tillsynsbegäran mail.docx", "A 25389-2024")</f>
        <v/>
      </c>
    </row>
    <row r="125" ht="15" customHeight="1">
      <c r="A125" t="inlineStr">
        <is>
          <t>A 35977-2024</t>
        </is>
      </c>
      <c r="B125" s="1" t="n">
        <v>45533</v>
      </c>
      <c r="C125" s="1" t="n">
        <v>45709</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39968-2024</t>
        </is>
      </c>
      <c r="B126" s="1" t="n">
        <v>45553</v>
      </c>
      <c r="C126" s="1" t="n">
        <v>45709</v>
      </c>
      <c r="D126" t="inlineStr">
        <is>
          <t>JÄMTLANDS LÄN</t>
        </is>
      </c>
      <c r="E126" t="inlineStr">
        <is>
          <t>ÖSTERSUND</t>
        </is>
      </c>
      <c r="G126" t="n">
        <v>1.8</v>
      </c>
      <c r="H126" t="n">
        <v>2</v>
      </c>
      <c r="I126" t="n">
        <v>1</v>
      </c>
      <c r="J126" t="n">
        <v>0</v>
      </c>
      <c r="K126" t="n">
        <v>1</v>
      </c>
      <c r="L126" t="n">
        <v>0</v>
      </c>
      <c r="M126" t="n">
        <v>0</v>
      </c>
      <c r="N126" t="n">
        <v>0</v>
      </c>
      <c r="O126" t="n">
        <v>1</v>
      </c>
      <c r="P126" t="n">
        <v>1</v>
      </c>
      <c r="Q126" t="n">
        <v>2</v>
      </c>
      <c r="R126" s="2" t="inlineStr">
        <is>
          <t>Knärot
Spindelblomster</t>
        </is>
      </c>
      <c r="S126">
        <f>HYPERLINK("https://klasma.github.io/Logging_2380/artfynd/A 39968-2024 artfynd.xlsx", "A 39968-2024")</f>
        <v/>
      </c>
      <c r="T126">
        <f>HYPERLINK("https://klasma.github.io/Logging_2380/kartor/A 39968-2024 karta.png", "A 39968-2024")</f>
        <v/>
      </c>
      <c r="U126">
        <f>HYPERLINK("https://klasma.github.io/Logging_2380/knärot/A 39968-2024 karta knärot.png", "A 39968-2024")</f>
        <v/>
      </c>
      <c r="V126">
        <f>HYPERLINK("https://klasma.github.io/Logging_2380/klagomål/A 39968-2024 FSC-klagomål.docx", "A 39968-2024")</f>
        <v/>
      </c>
      <c r="W126">
        <f>HYPERLINK("https://klasma.github.io/Logging_2380/klagomålsmail/A 39968-2024 FSC-klagomål mail.docx", "A 39968-2024")</f>
        <v/>
      </c>
      <c r="X126">
        <f>HYPERLINK("https://klasma.github.io/Logging_2380/tillsyn/A 39968-2024 tillsynsbegäran.docx", "A 39968-2024")</f>
        <v/>
      </c>
      <c r="Y126">
        <f>HYPERLINK("https://klasma.github.io/Logging_2380/tillsynsmail/A 39968-2024 tillsynsbegäran mail.docx", "A 39968-2024")</f>
        <v/>
      </c>
    </row>
    <row r="127" ht="15" customHeight="1">
      <c r="A127" t="inlineStr">
        <is>
          <t>A 45884-2024</t>
        </is>
      </c>
      <c r="B127" s="1" t="n">
        <v>45580</v>
      </c>
      <c r="C127" s="1" t="n">
        <v>45709</v>
      </c>
      <c r="D127" t="inlineStr">
        <is>
          <t>JÄMTLANDS LÄN</t>
        </is>
      </c>
      <c r="E127" t="inlineStr">
        <is>
          <t>ÖSTERSUND</t>
        </is>
      </c>
      <c r="F127" t="inlineStr">
        <is>
          <t>SCA</t>
        </is>
      </c>
      <c r="G127" t="n">
        <v>6</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45884-2024 artfynd.xlsx", "A 45884-2024")</f>
        <v/>
      </c>
      <c r="T127">
        <f>HYPERLINK("https://klasma.github.io/Logging_2380/kartor/A 45884-2024 karta.png", "A 45884-2024")</f>
        <v/>
      </c>
      <c r="V127">
        <f>HYPERLINK("https://klasma.github.io/Logging_2380/klagomål/A 45884-2024 FSC-klagomål.docx", "A 45884-2024")</f>
        <v/>
      </c>
      <c r="W127">
        <f>HYPERLINK("https://klasma.github.io/Logging_2380/klagomålsmail/A 45884-2024 FSC-klagomål mail.docx", "A 45884-2024")</f>
        <v/>
      </c>
      <c r="X127">
        <f>HYPERLINK("https://klasma.github.io/Logging_2380/tillsyn/A 45884-2024 tillsynsbegäran.docx", "A 45884-2024")</f>
        <v/>
      </c>
      <c r="Y127">
        <f>HYPERLINK("https://klasma.github.io/Logging_2380/tillsynsmail/A 45884-2024 tillsynsbegäran mail.docx", "A 45884-2024")</f>
        <v/>
      </c>
    </row>
    <row r="128" ht="15" customHeight="1">
      <c r="A128" t="inlineStr">
        <is>
          <t>A 48407-2024</t>
        </is>
      </c>
      <c r="B128" s="1" t="n">
        <v>45590</v>
      </c>
      <c r="C128" s="1" t="n">
        <v>45709</v>
      </c>
      <c r="D128" t="inlineStr">
        <is>
          <t>JÄMTLANDS LÄN</t>
        </is>
      </c>
      <c r="E128" t="inlineStr">
        <is>
          <t>ÖSTERSUND</t>
        </is>
      </c>
      <c r="G128" t="n">
        <v>1.8</v>
      </c>
      <c r="H128" t="n">
        <v>0</v>
      </c>
      <c r="I128" t="n">
        <v>1</v>
      </c>
      <c r="J128" t="n">
        <v>0</v>
      </c>
      <c r="K128" t="n">
        <v>1</v>
      </c>
      <c r="L128" t="n">
        <v>0</v>
      </c>
      <c r="M128" t="n">
        <v>0</v>
      </c>
      <c r="N128" t="n">
        <v>0</v>
      </c>
      <c r="O128" t="n">
        <v>1</v>
      </c>
      <c r="P128" t="n">
        <v>1</v>
      </c>
      <c r="Q128" t="n">
        <v>2</v>
      </c>
      <c r="R128" s="2" t="inlineStr">
        <is>
          <t>Frösöstarr
Svart trolldruva</t>
        </is>
      </c>
      <c r="S128">
        <f>HYPERLINK("https://klasma.github.io/Logging_2380/artfynd/A 48407-2024 artfynd.xlsx", "A 48407-2024")</f>
        <v/>
      </c>
      <c r="T128">
        <f>HYPERLINK("https://klasma.github.io/Logging_2380/kartor/A 48407-2024 karta.png", "A 48407-2024")</f>
        <v/>
      </c>
      <c r="V128">
        <f>HYPERLINK("https://klasma.github.io/Logging_2380/klagomål/A 48407-2024 FSC-klagomål.docx", "A 48407-2024")</f>
        <v/>
      </c>
      <c r="W128">
        <f>HYPERLINK("https://klasma.github.io/Logging_2380/klagomålsmail/A 48407-2024 FSC-klagomål mail.docx", "A 48407-2024")</f>
        <v/>
      </c>
      <c r="X128">
        <f>HYPERLINK("https://klasma.github.io/Logging_2380/tillsyn/A 48407-2024 tillsynsbegäran.docx", "A 48407-2024")</f>
        <v/>
      </c>
      <c r="Y128">
        <f>HYPERLINK("https://klasma.github.io/Logging_2380/tillsynsmail/A 48407-2024 tillsynsbegäran mail.docx", "A 48407-2024")</f>
        <v/>
      </c>
    </row>
    <row r="129" ht="15" customHeight="1">
      <c r="A129" t="inlineStr">
        <is>
          <t>A 50125-2024</t>
        </is>
      </c>
      <c r="B129" s="1" t="n">
        <v>45600</v>
      </c>
      <c r="C129" s="1" t="n">
        <v>45709</v>
      </c>
      <c r="D129" t="inlineStr">
        <is>
          <t>JÄMTLANDS LÄN</t>
        </is>
      </c>
      <c r="E129" t="inlineStr">
        <is>
          <t>ÖSTERSUND</t>
        </is>
      </c>
      <c r="F129" t="inlineStr">
        <is>
          <t>SCA</t>
        </is>
      </c>
      <c r="G129" t="n">
        <v>2.4</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50125-2024 artfynd.xlsx", "A 50125-2024")</f>
        <v/>
      </c>
      <c r="T129">
        <f>HYPERLINK("https://klasma.github.io/Logging_2380/kartor/A 50125-2024 karta.png", "A 50125-2024")</f>
        <v/>
      </c>
      <c r="V129">
        <f>HYPERLINK("https://klasma.github.io/Logging_2380/klagomål/A 50125-2024 FSC-klagomål.docx", "A 50125-2024")</f>
        <v/>
      </c>
      <c r="W129">
        <f>HYPERLINK("https://klasma.github.io/Logging_2380/klagomålsmail/A 50125-2024 FSC-klagomål mail.docx", "A 50125-2024")</f>
        <v/>
      </c>
      <c r="X129">
        <f>HYPERLINK("https://klasma.github.io/Logging_2380/tillsyn/A 50125-2024 tillsynsbegäran.docx", "A 50125-2024")</f>
        <v/>
      </c>
      <c r="Y129">
        <f>HYPERLINK("https://klasma.github.io/Logging_2380/tillsynsmail/A 50125-2024 tillsynsbegäran mail.docx", "A 50125-2024")</f>
        <v/>
      </c>
    </row>
    <row r="130" ht="15" customHeight="1">
      <c r="A130" t="inlineStr">
        <is>
          <t>A 50895-2024</t>
        </is>
      </c>
      <c r="B130" s="1" t="n">
        <v>45602</v>
      </c>
      <c r="C130" s="1" t="n">
        <v>45709</v>
      </c>
      <c r="D130" t="inlineStr">
        <is>
          <t>JÄMTLANDS LÄN</t>
        </is>
      </c>
      <c r="E130" t="inlineStr">
        <is>
          <t>ÖSTERSUND</t>
        </is>
      </c>
      <c r="F130" t="inlineStr">
        <is>
          <t>Kommuner</t>
        </is>
      </c>
      <c r="G130" t="n">
        <v>6</v>
      </c>
      <c r="H130" t="n">
        <v>1</v>
      </c>
      <c r="I130" t="n">
        <v>0</v>
      </c>
      <c r="J130" t="n">
        <v>1</v>
      </c>
      <c r="K130" t="n">
        <v>1</v>
      </c>
      <c r="L130" t="n">
        <v>0</v>
      </c>
      <c r="M130" t="n">
        <v>0</v>
      </c>
      <c r="N130" t="n">
        <v>0</v>
      </c>
      <c r="O130" t="n">
        <v>2</v>
      </c>
      <c r="P130" t="n">
        <v>1</v>
      </c>
      <c r="Q130" t="n">
        <v>2</v>
      </c>
      <c r="R130" s="2" t="inlineStr">
        <is>
          <t>Knärot
Garnlav</t>
        </is>
      </c>
      <c r="S130">
        <f>HYPERLINK("https://klasma.github.io/Logging_2380/artfynd/A 50895-2024 artfynd.xlsx", "A 50895-2024")</f>
        <v/>
      </c>
      <c r="T130">
        <f>HYPERLINK("https://klasma.github.io/Logging_2380/kartor/A 50895-2024 karta.png", "A 50895-2024")</f>
        <v/>
      </c>
      <c r="U130">
        <f>HYPERLINK("https://klasma.github.io/Logging_2380/knärot/A 50895-2024 karta knärot.png", "A 50895-2024")</f>
        <v/>
      </c>
      <c r="V130">
        <f>HYPERLINK("https://klasma.github.io/Logging_2380/klagomål/A 50895-2024 FSC-klagomål.docx", "A 50895-2024")</f>
        <v/>
      </c>
      <c r="W130">
        <f>HYPERLINK("https://klasma.github.io/Logging_2380/klagomålsmail/A 50895-2024 FSC-klagomål mail.docx", "A 50895-2024")</f>
        <v/>
      </c>
      <c r="X130">
        <f>HYPERLINK("https://klasma.github.io/Logging_2380/tillsyn/A 50895-2024 tillsynsbegäran.docx", "A 50895-2024")</f>
        <v/>
      </c>
      <c r="Y130">
        <f>HYPERLINK("https://klasma.github.io/Logging_2380/tillsynsmail/A 50895-2024 tillsynsbegäran mail.docx", "A 50895-2024")</f>
        <v/>
      </c>
    </row>
    <row r="131" ht="15" customHeight="1">
      <c r="A131" t="inlineStr">
        <is>
          <t>A 57693-2024</t>
        </is>
      </c>
      <c r="B131" s="1" t="n">
        <v>45628</v>
      </c>
      <c r="C131" s="1" t="n">
        <v>45709</v>
      </c>
      <c r="D131" t="inlineStr">
        <is>
          <t>JÄMTLANDS LÄN</t>
        </is>
      </c>
      <c r="E131" t="inlineStr">
        <is>
          <t>ÖSTERSUND</t>
        </is>
      </c>
      <c r="G131" t="n">
        <v>27.6</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HYPERLINK("https://klasma.github.io/Logging_2380/artfynd/A 57693-2024 artfynd.xlsx", "A 57693-2024")</f>
        <v/>
      </c>
      <c r="T131">
        <f>HYPERLINK("https://klasma.github.io/Logging_2380/kartor/A 57693-2024 karta.png", "A 57693-2024")</f>
        <v/>
      </c>
      <c r="V131">
        <f>HYPERLINK("https://klasma.github.io/Logging_2380/klagomål/A 57693-2024 FSC-klagomål.docx", "A 57693-2024")</f>
        <v/>
      </c>
      <c r="W131">
        <f>HYPERLINK("https://klasma.github.io/Logging_2380/klagomålsmail/A 57693-2024 FSC-klagomål mail.docx", "A 57693-2024")</f>
        <v/>
      </c>
      <c r="X131">
        <f>HYPERLINK("https://klasma.github.io/Logging_2380/tillsyn/A 57693-2024 tillsynsbegäran.docx", "A 57693-2024")</f>
        <v/>
      </c>
      <c r="Y131">
        <f>HYPERLINK("https://klasma.github.io/Logging_2380/tillsynsmail/A 57693-2024 tillsynsbegäran mail.docx", "A 57693-2024")</f>
        <v/>
      </c>
    </row>
    <row r="132" ht="15" customHeight="1">
      <c r="A132" t="inlineStr">
        <is>
          <t>A 60446-2024</t>
        </is>
      </c>
      <c r="B132" s="1" t="n">
        <v>45643</v>
      </c>
      <c r="C132" s="1" t="n">
        <v>45709</v>
      </c>
      <c r="D132" t="inlineStr">
        <is>
          <t>JÄMTLANDS LÄN</t>
        </is>
      </c>
      <c r="E132" t="inlineStr">
        <is>
          <t>ÖSTERSUND</t>
        </is>
      </c>
      <c r="F132" t="inlineStr">
        <is>
          <t>SCA</t>
        </is>
      </c>
      <c r="G132" t="n">
        <v>3.6</v>
      </c>
      <c r="H132" t="n">
        <v>0</v>
      </c>
      <c r="I132" t="n">
        <v>1</v>
      </c>
      <c r="J132" t="n">
        <v>1</v>
      </c>
      <c r="K132" t="n">
        <v>0</v>
      </c>
      <c r="L132" t="n">
        <v>0</v>
      </c>
      <c r="M132" t="n">
        <v>0</v>
      </c>
      <c r="N132" t="n">
        <v>0</v>
      </c>
      <c r="O132" t="n">
        <v>1</v>
      </c>
      <c r="P132" t="n">
        <v>0</v>
      </c>
      <c r="Q132" t="n">
        <v>2</v>
      </c>
      <c r="R132" s="2" t="inlineStr">
        <is>
          <t>Ullticka
Vedticka</t>
        </is>
      </c>
      <c r="S132">
        <f>HYPERLINK("https://klasma.github.io/Logging_2380/artfynd/A 60446-2024 artfynd.xlsx", "A 60446-2024")</f>
        <v/>
      </c>
      <c r="T132">
        <f>HYPERLINK("https://klasma.github.io/Logging_2380/kartor/A 60446-2024 karta.png", "A 60446-2024")</f>
        <v/>
      </c>
      <c r="V132">
        <f>HYPERLINK("https://klasma.github.io/Logging_2380/klagomål/A 60446-2024 FSC-klagomål.docx", "A 60446-2024")</f>
        <v/>
      </c>
      <c r="W132">
        <f>HYPERLINK("https://klasma.github.io/Logging_2380/klagomålsmail/A 60446-2024 FSC-klagomål mail.docx", "A 60446-2024")</f>
        <v/>
      </c>
      <c r="X132">
        <f>HYPERLINK("https://klasma.github.io/Logging_2380/tillsyn/A 60446-2024 tillsynsbegäran.docx", "A 60446-2024")</f>
        <v/>
      </c>
      <c r="Y132">
        <f>HYPERLINK("https://klasma.github.io/Logging_2380/tillsynsmail/A 60446-2024 tillsynsbegäran mail.docx", "A 60446-2024")</f>
        <v/>
      </c>
    </row>
    <row r="133" ht="15" customHeight="1">
      <c r="A133" t="inlineStr">
        <is>
          <t>A 61322-2024</t>
        </is>
      </c>
      <c r="B133" s="1" t="n">
        <v>45646</v>
      </c>
      <c r="C133" s="1" t="n">
        <v>45709</v>
      </c>
      <c r="D133" t="inlineStr">
        <is>
          <t>JÄMTLANDS LÄN</t>
        </is>
      </c>
      <c r="E133" t="inlineStr">
        <is>
          <t>ÖSTERSUND</t>
        </is>
      </c>
      <c r="G133" t="n">
        <v>1.3</v>
      </c>
      <c r="H133" t="n">
        <v>1</v>
      </c>
      <c r="I133" t="n">
        <v>1</v>
      </c>
      <c r="J133" t="n">
        <v>0</v>
      </c>
      <c r="K133" t="n">
        <v>0</v>
      </c>
      <c r="L133" t="n">
        <v>0</v>
      </c>
      <c r="M133" t="n">
        <v>0</v>
      </c>
      <c r="N133" t="n">
        <v>0</v>
      </c>
      <c r="O133" t="n">
        <v>0</v>
      </c>
      <c r="P133" t="n">
        <v>0</v>
      </c>
      <c r="Q133" t="n">
        <v>2</v>
      </c>
      <c r="R133" s="2" t="inlineStr">
        <is>
          <t>Vårärt
Blåsippa</t>
        </is>
      </c>
      <c r="S133">
        <f>HYPERLINK("https://klasma.github.io/Logging_2380/artfynd/A 61322-2024 artfynd.xlsx", "A 61322-2024")</f>
        <v/>
      </c>
      <c r="T133">
        <f>HYPERLINK("https://klasma.github.io/Logging_2380/kartor/A 61322-2024 karta.png", "A 61322-2024")</f>
        <v/>
      </c>
      <c r="V133">
        <f>HYPERLINK("https://klasma.github.io/Logging_2380/klagomål/A 61322-2024 FSC-klagomål.docx", "A 61322-2024")</f>
        <v/>
      </c>
      <c r="W133">
        <f>HYPERLINK("https://klasma.github.io/Logging_2380/klagomålsmail/A 61322-2024 FSC-klagomål mail.docx", "A 61322-2024")</f>
        <v/>
      </c>
      <c r="X133">
        <f>HYPERLINK("https://klasma.github.io/Logging_2380/tillsyn/A 61322-2024 tillsynsbegäran.docx", "A 61322-2024")</f>
        <v/>
      </c>
      <c r="Y133">
        <f>HYPERLINK("https://klasma.github.io/Logging_2380/tillsynsmail/A 61322-2024 tillsynsbegäran mail.docx", "A 61322-2024")</f>
        <v/>
      </c>
    </row>
    <row r="134" ht="15" customHeight="1">
      <c r="A134" t="inlineStr">
        <is>
          <t>A 211-2025</t>
        </is>
      </c>
      <c r="B134" s="1" t="n">
        <v>45660</v>
      </c>
      <c r="C134" s="1" t="n">
        <v>45709</v>
      </c>
      <c r="D134" t="inlineStr">
        <is>
          <t>JÄMTLANDS LÄN</t>
        </is>
      </c>
      <c r="E134" t="inlineStr">
        <is>
          <t>ÖSTERSUND</t>
        </is>
      </c>
      <c r="G134" t="n">
        <v>2.3</v>
      </c>
      <c r="H134" t="n">
        <v>2</v>
      </c>
      <c r="I134" t="n">
        <v>0</v>
      </c>
      <c r="J134" t="n">
        <v>0</v>
      </c>
      <c r="K134" t="n">
        <v>0</v>
      </c>
      <c r="L134" t="n">
        <v>0</v>
      </c>
      <c r="M134" t="n">
        <v>0</v>
      </c>
      <c r="N134" t="n">
        <v>0</v>
      </c>
      <c r="O134" t="n">
        <v>0</v>
      </c>
      <c r="P134" t="n">
        <v>0</v>
      </c>
      <c r="Q134" t="n">
        <v>2</v>
      </c>
      <c r="R134" s="2" t="inlineStr">
        <is>
          <t>Fläcknycklar
Revlummer</t>
        </is>
      </c>
      <c r="S134">
        <f>HYPERLINK("https://klasma.github.io/Logging_2380/artfynd/A 211-2025 artfynd.xlsx", "A 211-2025")</f>
        <v/>
      </c>
      <c r="T134">
        <f>HYPERLINK("https://klasma.github.io/Logging_2380/kartor/A 211-2025 karta.png", "A 211-2025")</f>
        <v/>
      </c>
      <c r="V134">
        <f>HYPERLINK("https://klasma.github.io/Logging_2380/klagomål/A 211-2025 FSC-klagomål.docx", "A 211-2025")</f>
        <v/>
      </c>
      <c r="W134">
        <f>HYPERLINK("https://klasma.github.io/Logging_2380/klagomålsmail/A 211-2025 FSC-klagomål mail.docx", "A 211-2025")</f>
        <v/>
      </c>
      <c r="X134">
        <f>HYPERLINK("https://klasma.github.io/Logging_2380/tillsyn/A 211-2025 tillsynsbegäran.docx", "A 211-2025")</f>
        <v/>
      </c>
      <c r="Y134">
        <f>HYPERLINK("https://klasma.github.io/Logging_2380/tillsynsmail/A 211-2025 tillsynsbegäran mail.docx", "A 211-2025")</f>
        <v/>
      </c>
    </row>
    <row r="135" ht="15" customHeight="1">
      <c r="A135" t="inlineStr">
        <is>
          <t>A 30941-2019</t>
        </is>
      </c>
      <c r="B135" s="1" t="n">
        <v>43636</v>
      </c>
      <c r="C135" s="1" t="n">
        <v>45709</v>
      </c>
      <c r="D135" t="inlineStr">
        <is>
          <t>JÄMTLANDS LÄN</t>
        </is>
      </c>
      <c r="E135" t="inlineStr">
        <is>
          <t>ÖSTERSUND</t>
        </is>
      </c>
      <c r="F135" t="inlineStr">
        <is>
          <t>SCA</t>
        </is>
      </c>
      <c r="G135" t="n">
        <v>1.9</v>
      </c>
      <c r="H135" t="n">
        <v>1</v>
      </c>
      <c r="I135" t="n">
        <v>1</v>
      </c>
      <c r="J135" t="n">
        <v>0</v>
      </c>
      <c r="K135" t="n">
        <v>0</v>
      </c>
      <c r="L135" t="n">
        <v>0</v>
      </c>
      <c r="M135" t="n">
        <v>0</v>
      </c>
      <c r="N135" t="n">
        <v>0</v>
      </c>
      <c r="O135" t="n">
        <v>0</v>
      </c>
      <c r="P135" t="n">
        <v>0</v>
      </c>
      <c r="Q135" t="n">
        <v>1</v>
      </c>
      <c r="R135" s="2" t="inlineStr">
        <is>
          <t>Tvåblad</t>
        </is>
      </c>
      <c r="S135">
        <f>HYPERLINK("https://klasma.github.io/Logging_2380/artfynd/A 30941-2019 artfynd.xlsx", "A 30941-2019")</f>
        <v/>
      </c>
      <c r="T135">
        <f>HYPERLINK("https://klasma.github.io/Logging_2380/kartor/A 30941-2019 karta.png", "A 30941-2019")</f>
        <v/>
      </c>
      <c r="V135">
        <f>HYPERLINK("https://klasma.github.io/Logging_2380/klagomål/A 30941-2019 FSC-klagomål.docx", "A 30941-2019")</f>
        <v/>
      </c>
      <c r="W135">
        <f>HYPERLINK("https://klasma.github.io/Logging_2380/klagomålsmail/A 30941-2019 FSC-klagomål mail.docx", "A 30941-2019")</f>
        <v/>
      </c>
      <c r="X135">
        <f>HYPERLINK("https://klasma.github.io/Logging_2380/tillsyn/A 30941-2019 tillsynsbegäran.docx", "A 30941-2019")</f>
        <v/>
      </c>
      <c r="Y135">
        <f>HYPERLINK("https://klasma.github.io/Logging_2380/tillsynsmail/A 30941-2019 tillsynsbegäran mail.docx", "A 30941-2019")</f>
        <v/>
      </c>
    </row>
    <row r="136" ht="15" customHeight="1">
      <c r="A136" t="inlineStr">
        <is>
          <t>A 57757-2019</t>
        </is>
      </c>
      <c r="B136" s="1" t="n">
        <v>43768</v>
      </c>
      <c r="C136" s="1" t="n">
        <v>45709</v>
      </c>
      <c r="D136" t="inlineStr">
        <is>
          <t>JÄMTLANDS LÄN</t>
        </is>
      </c>
      <c r="E136" t="inlineStr">
        <is>
          <t>ÖSTERSUND</t>
        </is>
      </c>
      <c r="G136" t="n">
        <v>1.3</v>
      </c>
      <c r="H136" t="n">
        <v>1</v>
      </c>
      <c r="I136" t="n">
        <v>0</v>
      </c>
      <c r="J136" t="n">
        <v>0</v>
      </c>
      <c r="K136" t="n">
        <v>0</v>
      </c>
      <c r="L136" t="n">
        <v>0</v>
      </c>
      <c r="M136" t="n">
        <v>0</v>
      </c>
      <c r="N136" t="n">
        <v>0</v>
      </c>
      <c r="O136" t="n">
        <v>0</v>
      </c>
      <c r="P136" t="n">
        <v>0</v>
      </c>
      <c r="Q136" t="n">
        <v>1</v>
      </c>
      <c r="R136" s="2" t="inlineStr">
        <is>
          <t>Revlummer</t>
        </is>
      </c>
      <c r="S136">
        <f>HYPERLINK("https://klasma.github.io/Logging_2380/artfynd/A 57757-2019 artfynd.xlsx", "A 57757-2019")</f>
        <v/>
      </c>
      <c r="T136">
        <f>HYPERLINK("https://klasma.github.io/Logging_2380/kartor/A 57757-2019 karta.png", "A 57757-2019")</f>
        <v/>
      </c>
      <c r="V136">
        <f>HYPERLINK("https://klasma.github.io/Logging_2380/klagomål/A 57757-2019 FSC-klagomål.docx", "A 57757-2019")</f>
        <v/>
      </c>
      <c r="W136">
        <f>HYPERLINK("https://klasma.github.io/Logging_2380/klagomålsmail/A 57757-2019 FSC-klagomål mail.docx", "A 57757-2019")</f>
        <v/>
      </c>
      <c r="X136">
        <f>HYPERLINK("https://klasma.github.io/Logging_2380/tillsyn/A 57757-2019 tillsynsbegäran.docx", "A 57757-2019")</f>
        <v/>
      </c>
      <c r="Y136">
        <f>HYPERLINK("https://klasma.github.io/Logging_2380/tillsynsmail/A 57757-2019 tillsynsbegäran mail.docx", "A 57757-2019")</f>
        <v/>
      </c>
    </row>
    <row r="137" ht="15" customHeight="1">
      <c r="A137" t="inlineStr">
        <is>
          <t>A 61628-2019</t>
        </is>
      </c>
      <c r="B137" s="1" t="n">
        <v>43784</v>
      </c>
      <c r="C137" s="1" t="n">
        <v>45709</v>
      </c>
      <c r="D137" t="inlineStr">
        <is>
          <t>JÄMTLANDS LÄN</t>
        </is>
      </c>
      <c r="E137" t="inlineStr">
        <is>
          <t>ÖSTERSUND</t>
        </is>
      </c>
      <c r="G137" t="n">
        <v>5.6</v>
      </c>
      <c r="H137" t="n">
        <v>0</v>
      </c>
      <c r="I137" t="n">
        <v>1</v>
      </c>
      <c r="J137" t="n">
        <v>0</v>
      </c>
      <c r="K137" t="n">
        <v>0</v>
      </c>
      <c r="L137" t="n">
        <v>0</v>
      </c>
      <c r="M137" t="n">
        <v>0</v>
      </c>
      <c r="N137" t="n">
        <v>0</v>
      </c>
      <c r="O137" t="n">
        <v>0</v>
      </c>
      <c r="P137" t="n">
        <v>0</v>
      </c>
      <c r="Q137" t="n">
        <v>1</v>
      </c>
      <c r="R137" s="2" t="inlineStr">
        <is>
          <t>Tibast</t>
        </is>
      </c>
      <c r="S137">
        <f>HYPERLINK("https://klasma.github.io/Logging_2380/artfynd/A 61628-2019 artfynd.xlsx", "A 61628-2019")</f>
        <v/>
      </c>
      <c r="T137">
        <f>HYPERLINK("https://klasma.github.io/Logging_2380/kartor/A 61628-2019 karta.png", "A 61628-2019")</f>
        <v/>
      </c>
      <c r="V137">
        <f>HYPERLINK("https://klasma.github.io/Logging_2380/klagomål/A 61628-2019 FSC-klagomål.docx", "A 61628-2019")</f>
        <v/>
      </c>
      <c r="W137">
        <f>HYPERLINK("https://klasma.github.io/Logging_2380/klagomålsmail/A 61628-2019 FSC-klagomål mail.docx", "A 61628-2019")</f>
        <v/>
      </c>
      <c r="X137">
        <f>HYPERLINK("https://klasma.github.io/Logging_2380/tillsyn/A 61628-2019 tillsynsbegäran.docx", "A 61628-2019")</f>
        <v/>
      </c>
      <c r="Y137">
        <f>HYPERLINK("https://klasma.github.io/Logging_2380/tillsynsmail/A 61628-2019 tillsynsbegäran mail.docx", "A 61628-2019")</f>
        <v/>
      </c>
    </row>
    <row r="138" ht="15" customHeight="1">
      <c r="A138" t="inlineStr">
        <is>
          <t>A 11561-2020</t>
        </is>
      </c>
      <c r="B138" s="1" t="n">
        <v>43893</v>
      </c>
      <c r="C138" s="1" t="n">
        <v>45709</v>
      </c>
      <c r="D138" t="inlineStr">
        <is>
          <t>JÄMTLANDS LÄN</t>
        </is>
      </c>
      <c r="E138" t="inlineStr">
        <is>
          <t>ÖSTERSUND</t>
        </is>
      </c>
      <c r="G138" t="n">
        <v>6.2</v>
      </c>
      <c r="H138" t="n">
        <v>1</v>
      </c>
      <c r="I138" t="n">
        <v>0</v>
      </c>
      <c r="J138" t="n">
        <v>0</v>
      </c>
      <c r="K138" t="n">
        <v>0</v>
      </c>
      <c r="L138" t="n">
        <v>0</v>
      </c>
      <c r="M138" t="n">
        <v>0</v>
      </c>
      <c r="N138" t="n">
        <v>0</v>
      </c>
      <c r="O138" t="n">
        <v>0</v>
      </c>
      <c r="P138" t="n">
        <v>0</v>
      </c>
      <c r="Q138" t="n">
        <v>1</v>
      </c>
      <c r="R138" s="2" t="inlineStr">
        <is>
          <t>Revlummer</t>
        </is>
      </c>
      <c r="S138">
        <f>HYPERLINK("https://klasma.github.io/Logging_2380/artfynd/A 11561-2020 artfynd.xlsx", "A 11561-2020")</f>
        <v/>
      </c>
      <c r="T138">
        <f>HYPERLINK("https://klasma.github.io/Logging_2380/kartor/A 11561-2020 karta.png", "A 11561-2020")</f>
        <v/>
      </c>
      <c r="V138">
        <f>HYPERLINK("https://klasma.github.io/Logging_2380/klagomål/A 11561-2020 FSC-klagomål.docx", "A 11561-2020")</f>
        <v/>
      </c>
      <c r="W138">
        <f>HYPERLINK("https://klasma.github.io/Logging_2380/klagomålsmail/A 11561-2020 FSC-klagomål mail.docx", "A 11561-2020")</f>
        <v/>
      </c>
      <c r="X138">
        <f>HYPERLINK("https://klasma.github.io/Logging_2380/tillsyn/A 11561-2020 tillsynsbegäran.docx", "A 11561-2020")</f>
        <v/>
      </c>
      <c r="Y138">
        <f>HYPERLINK("https://klasma.github.io/Logging_2380/tillsynsmail/A 11561-2020 tillsynsbegäran mail.docx", "A 11561-2020")</f>
        <v/>
      </c>
    </row>
    <row r="139" ht="15" customHeight="1">
      <c r="A139" t="inlineStr">
        <is>
          <t>A 35980-2020</t>
        </is>
      </c>
      <c r="B139" s="1" t="n">
        <v>44047</v>
      </c>
      <c r="C139" s="1" t="n">
        <v>45709</v>
      </c>
      <c r="D139" t="inlineStr">
        <is>
          <t>JÄMTLANDS LÄN</t>
        </is>
      </c>
      <c r="E139" t="inlineStr">
        <is>
          <t>ÖSTERSUND</t>
        </is>
      </c>
      <c r="G139" t="n">
        <v>0.7</v>
      </c>
      <c r="H139" t="n">
        <v>0</v>
      </c>
      <c r="I139" t="n">
        <v>0</v>
      </c>
      <c r="J139" t="n">
        <v>1</v>
      </c>
      <c r="K139" t="n">
        <v>0</v>
      </c>
      <c r="L139" t="n">
        <v>0</v>
      </c>
      <c r="M139" t="n">
        <v>0</v>
      </c>
      <c r="N139" t="n">
        <v>0</v>
      </c>
      <c r="O139" t="n">
        <v>1</v>
      </c>
      <c r="P139" t="n">
        <v>0</v>
      </c>
      <c r="Q139" t="n">
        <v>1</v>
      </c>
      <c r="R139" s="2" t="inlineStr">
        <is>
          <t>Slåtterfibbla</t>
        </is>
      </c>
      <c r="S139">
        <f>HYPERLINK("https://klasma.github.io/Logging_2380/artfynd/A 35980-2020 artfynd.xlsx", "A 35980-2020")</f>
        <v/>
      </c>
      <c r="T139">
        <f>HYPERLINK("https://klasma.github.io/Logging_2380/kartor/A 35980-2020 karta.png", "A 35980-2020")</f>
        <v/>
      </c>
      <c r="U139">
        <f>HYPERLINK("https://klasma.github.io/Logging_2380/knärot/A 35980-2020 karta knärot.png", "A 35980-2020")</f>
        <v/>
      </c>
      <c r="V139">
        <f>HYPERLINK("https://klasma.github.io/Logging_2380/klagomål/A 35980-2020 FSC-klagomål.docx", "A 35980-2020")</f>
        <v/>
      </c>
      <c r="W139">
        <f>HYPERLINK("https://klasma.github.io/Logging_2380/klagomålsmail/A 35980-2020 FSC-klagomål mail.docx", "A 35980-2020")</f>
        <v/>
      </c>
      <c r="X139">
        <f>HYPERLINK("https://klasma.github.io/Logging_2380/tillsyn/A 35980-2020 tillsynsbegäran.docx", "A 35980-2020")</f>
        <v/>
      </c>
      <c r="Y139">
        <f>HYPERLINK("https://klasma.github.io/Logging_2380/tillsynsmail/A 35980-2020 tillsynsbegäran mail.docx", "A 35980-2020")</f>
        <v/>
      </c>
    </row>
    <row r="140" ht="15" customHeight="1">
      <c r="A140" t="inlineStr">
        <is>
          <t>A 63775-2020</t>
        </is>
      </c>
      <c r="B140" s="1" t="n">
        <v>44165</v>
      </c>
      <c r="C140" s="1" t="n">
        <v>45709</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Fläcknycklar</t>
        </is>
      </c>
      <c r="S140">
        <f>HYPERLINK("https://klasma.github.io/Logging_2380/artfynd/A 63775-2020 artfynd.xlsx", "A 63775-2020")</f>
        <v/>
      </c>
      <c r="T140">
        <f>HYPERLINK("https://klasma.github.io/Logging_2380/kartor/A 63775-2020 karta.png", "A 63775-2020")</f>
        <v/>
      </c>
      <c r="V140">
        <f>HYPERLINK("https://klasma.github.io/Logging_2380/klagomål/A 63775-2020 FSC-klagomål.docx", "A 63775-2020")</f>
        <v/>
      </c>
      <c r="W140">
        <f>HYPERLINK("https://klasma.github.io/Logging_2380/klagomålsmail/A 63775-2020 FSC-klagomål mail.docx", "A 63775-2020")</f>
        <v/>
      </c>
      <c r="X140">
        <f>HYPERLINK("https://klasma.github.io/Logging_2380/tillsyn/A 63775-2020 tillsynsbegäran.docx", "A 63775-2020")</f>
        <v/>
      </c>
      <c r="Y140">
        <f>HYPERLINK("https://klasma.github.io/Logging_2380/tillsynsmail/A 63775-2020 tillsynsbegäran mail.docx", "A 63775-2020")</f>
        <v/>
      </c>
    </row>
    <row r="141" ht="15" customHeight="1">
      <c r="A141" t="inlineStr">
        <is>
          <t>A 13362-2021</t>
        </is>
      </c>
      <c r="B141" s="1" t="n">
        <v>44272</v>
      </c>
      <c r="C141" s="1" t="n">
        <v>45709</v>
      </c>
      <c r="D141" t="inlineStr">
        <is>
          <t>JÄMTLANDS LÄN</t>
        </is>
      </c>
      <c r="E141" t="inlineStr">
        <is>
          <t>ÖSTERSUND</t>
        </is>
      </c>
      <c r="G141" t="n">
        <v>0.8</v>
      </c>
      <c r="H141" t="n">
        <v>1</v>
      </c>
      <c r="I141" t="n">
        <v>0</v>
      </c>
      <c r="J141" t="n">
        <v>0</v>
      </c>
      <c r="K141" t="n">
        <v>0</v>
      </c>
      <c r="L141" t="n">
        <v>0</v>
      </c>
      <c r="M141" t="n">
        <v>0</v>
      </c>
      <c r="N141" t="n">
        <v>0</v>
      </c>
      <c r="O141" t="n">
        <v>0</v>
      </c>
      <c r="P141" t="n">
        <v>0</v>
      </c>
      <c r="Q141" t="n">
        <v>1</v>
      </c>
      <c r="R141" s="2" t="inlineStr">
        <is>
          <t>Blåsippa</t>
        </is>
      </c>
      <c r="S141">
        <f>HYPERLINK("https://klasma.github.io/Logging_2380/artfynd/A 13362-2021 artfynd.xlsx", "A 13362-2021")</f>
        <v/>
      </c>
      <c r="T141">
        <f>HYPERLINK("https://klasma.github.io/Logging_2380/kartor/A 13362-2021 karta.png", "A 13362-2021")</f>
        <v/>
      </c>
      <c r="V141">
        <f>HYPERLINK("https://klasma.github.io/Logging_2380/klagomål/A 13362-2021 FSC-klagomål.docx", "A 13362-2021")</f>
        <v/>
      </c>
      <c r="W141">
        <f>HYPERLINK("https://klasma.github.io/Logging_2380/klagomålsmail/A 13362-2021 FSC-klagomål mail.docx", "A 13362-2021")</f>
        <v/>
      </c>
      <c r="X141">
        <f>HYPERLINK("https://klasma.github.io/Logging_2380/tillsyn/A 13362-2021 tillsynsbegäran.docx", "A 13362-2021")</f>
        <v/>
      </c>
      <c r="Y141">
        <f>HYPERLINK("https://klasma.github.io/Logging_2380/tillsynsmail/A 13362-2021 tillsynsbegäran mail.docx", "A 13362-2021")</f>
        <v/>
      </c>
    </row>
    <row r="142" ht="15" customHeight="1">
      <c r="A142" t="inlineStr">
        <is>
          <t>A 17217-2021</t>
        </is>
      </c>
      <c r="B142" s="1" t="n">
        <v>44298</v>
      </c>
      <c r="C142" s="1" t="n">
        <v>45709</v>
      </c>
      <c r="D142" t="inlineStr">
        <is>
          <t>JÄMTLANDS LÄN</t>
        </is>
      </c>
      <c r="E142" t="inlineStr">
        <is>
          <t>ÖSTERSUND</t>
        </is>
      </c>
      <c r="G142" t="n">
        <v>10.4</v>
      </c>
      <c r="H142" t="n">
        <v>0</v>
      </c>
      <c r="I142" t="n">
        <v>0</v>
      </c>
      <c r="J142" t="n">
        <v>1</v>
      </c>
      <c r="K142" t="n">
        <v>0</v>
      </c>
      <c r="L142" t="n">
        <v>0</v>
      </c>
      <c r="M142" t="n">
        <v>0</v>
      </c>
      <c r="N142" t="n">
        <v>0</v>
      </c>
      <c r="O142" t="n">
        <v>1</v>
      </c>
      <c r="P142" t="n">
        <v>0</v>
      </c>
      <c r="Q142" t="n">
        <v>1</v>
      </c>
      <c r="R142" s="2" t="inlineStr">
        <is>
          <t>Rödbrun klubbdyna</t>
        </is>
      </c>
      <c r="S142">
        <f>HYPERLINK("https://klasma.github.io/Logging_2380/artfynd/A 17217-2021 artfynd.xlsx", "A 17217-2021")</f>
        <v/>
      </c>
      <c r="T142">
        <f>HYPERLINK("https://klasma.github.io/Logging_2380/kartor/A 17217-2021 karta.png", "A 17217-2021")</f>
        <v/>
      </c>
      <c r="V142">
        <f>HYPERLINK("https://klasma.github.io/Logging_2380/klagomål/A 17217-2021 FSC-klagomål.docx", "A 17217-2021")</f>
        <v/>
      </c>
      <c r="W142">
        <f>HYPERLINK("https://klasma.github.io/Logging_2380/klagomålsmail/A 17217-2021 FSC-klagomål mail.docx", "A 17217-2021")</f>
        <v/>
      </c>
      <c r="X142">
        <f>HYPERLINK("https://klasma.github.io/Logging_2380/tillsyn/A 17217-2021 tillsynsbegäran.docx", "A 17217-2021")</f>
        <v/>
      </c>
      <c r="Y142">
        <f>HYPERLINK("https://klasma.github.io/Logging_2380/tillsynsmail/A 17217-2021 tillsynsbegäran mail.docx", "A 17217-2021")</f>
        <v/>
      </c>
    </row>
    <row r="143" ht="15" customHeight="1">
      <c r="A143" t="inlineStr">
        <is>
          <t>A 25839-2021</t>
        </is>
      </c>
      <c r="B143" s="1" t="n">
        <v>44343</v>
      </c>
      <c r="C143" s="1" t="n">
        <v>45709</v>
      </c>
      <c r="D143" t="inlineStr">
        <is>
          <t>JÄMTLANDS LÄN</t>
        </is>
      </c>
      <c r="E143" t="inlineStr">
        <is>
          <t>ÖSTERSUND</t>
        </is>
      </c>
      <c r="G143" t="n">
        <v>13</v>
      </c>
      <c r="H143" t="n">
        <v>1</v>
      </c>
      <c r="I143" t="n">
        <v>0</v>
      </c>
      <c r="J143" t="n">
        <v>0</v>
      </c>
      <c r="K143" t="n">
        <v>0</v>
      </c>
      <c r="L143" t="n">
        <v>1</v>
      </c>
      <c r="M143" t="n">
        <v>0</v>
      </c>
      <c r="N143" t="n">
        <v>0</v>
      </c>
      <c r="O143" t="n">
        <v>1</v>
      </c>
      <c r="P143" t="n">
        <v>1</v>
      </c>
      <c r="Q143" t="n">
        <v>1</v>
      </c>
      <c r="R143" s="2" t="inlineStr">
        <is>
          <t>Violett guldvinge</t>
        </is>
      </c>
      <c r="S143">
        <f>HYPERLINK("https://klasma.github.io/Logging_2380/artfynd/A 25839-2021 artfynd.xlsx", "A 25839-2021")</f>
        <v/>
      </c>
      <c r="T143">
        <f>HYPERLINK("https://klasma.github.io/Logging_2380/kartor/A 25839-2021 karta.png", "A 25839-2021")</f>
        <v/>
      </c>
      <c r="V143">
        <f>HYPERLINK("https://klasma.github.io/Logging_2380/klagomål/A 25839-2021 FSC-klagomål.docx", "A 25839-2021")</f>
        <v/>
      </c>
      <c r="W143">
        <f>HYPERLINK("https://klasma.github.io/Logging_2380/klagomålsmail/A 25839-2021 FSC-klagomål mail.docx", "A 25839-2021")</f>
        <v/>
      </c>
      <c r="X143">
        <f>HYPERLINK("https://klasma.github.io/Logging_2380/tillsyn/A 25839-2021 tillsynsbegäran.docx", "A 25839-2021")</f>
        <v/>
      </c>
      <c r="Y143">
        <f>HYPERLINK("https://klasma.github.io/Logging_2380/tillsynsmail/A 25839-2021 tillsynsbegäran mail.docx", "A 25839-2021")</f>
        <v/>
      </c>
    </row>
    <row r="144" ht="15" customHeight="1">
      <c r="A144" t="inlineStr">
        <is>
          <t>A 31328-2021</t>
        </is>
      </c>
      <c r="B144" s="1" t="n">
        <v>44368</v>
      </c>
      <c r="C144" s="1" t="n">
        <v>45709</v>
      </c>
      <c r="D144" t="inlineStr">
        <is>
          <t>JÄMTLANDS LÄN</t>
        </is>
      </c>
      <c r="E144" t="inlineStr">
        <is>
          <t>ÖSTERSUND</t>
        </is>
      </c>
      <c r="G144" t="n">
        <v>6.3</v>
      </c>
      <c r="H144" t="n">
        <v>1</v>
      </c>
      <c r="I144" t="n">
        <v>0</v>
      </c>
      <c r="J144" t="n">
        <v>0</v>
      </c>
      <c r="K144" t="n">
        <v>0</v>
      </c>
      <c r="L144" t="n">
        <v>0</v>
      </c>
      <c r="M144" t="n">
        <v>0</v>
      </c>
      <c r="N144" t="n">
        <v>0</v>
      </c>
      <c r="O144" t="n">
        <v>0</v>
      </c>
      <c r="P144" t="n">
        <v>0</v>
      </c>
      <c r="Q144" t="n">
        <v>1</v>
      </c>
      <c r="R144" s="2" t="inlineStr">
        <is>
          <t>Fläcknycklar</t>
        </is>
      </c>
      <c r="S144">
        <f>HYPERLINK("https://klasma.github.io/Logging_2380/artfynd/A 31328-2021 artfynd.xlsx", "A 31328-2021")</f>
        <v/>
      </c>
      <c r="T144">
        <f>HYPERLINK("https://klasma.github.io/Logging_2380/kartor/A 31328-2021 karta.png", "A 31328-2021")</f>
        <v/>
      </c>
      <c r="V144">
        <f>HYPERLINK("https://klasma.github.io/Logging_2380/klagomål/A 31328-2021 FSC-klagomål.docx", "A 31328-2021")</f>
        <v/>
      </c>
      <c r="W144">
        <f>HYPERLINK("https://klasma.github.io/Logging_2380/klagomålsmail/A 31328-2021 FSC-klagomål mail.docx", "A 31328-2021")</f>
        <v/>
      </c>
      <c r="X144">
        <f>HYPERLINK("https://klasma.github.io/Logging_2380/tillsyn/A 31328-2021 tillsynsbegäran.docx", "A 31328-2021")</f>
        <v/>
      </c>
      <c r="Y144">
        <f>HYPERLINK("https://klasma.github.io/Logging_2380/tillsynsmail/A 31328-2021 tillsynsbegäran mail.docx", "A 31328-2021")</f>
        <v/>
      </c>
    </row>
    <row r="145" ht="15" customHeight="1">
      <c r="A145" t="inlineStr">
        <is>
          <t>A 33137-2021</t>
        </is>
      </c>
      <c r="B145" s="1" t="n">
        <v>44376</v>
      </c>
      <c r="C145" s="1" t="n">
        <v>45709</v>
      </c>
      <c r="D145" t="inlineStr">
        <is>
          <t>JÄMTLANDS LÄN</t>
        </is>
      </c>
      <c r="E145" t="inlineStr">
        <is>
          <t>ÖSTERSUND</t>
        </is>
      </c>
      <c r="F145" t="inlineStr">
        <is>
          <t>Kommuner</t>
        </is>
      </c>
      <c r="G145" t="n">
        <v>3.7</v>
      </c>
      <c r="H145" t="n">
        <v>1</v>
      </c>
      <c r="I145" t="n">
        <v>1</v>
      </c>
      <c r="J145" t="n">
        <v>0</v>
      </c>
      <c r="K145" t="n">
        <v>0</v>
      </c>
      <c r="L145" t="n">
        <v>0</v>
      </c>
      <c r="M145" t="n">
        <v>0</v>
      </c>
      <c r="N145" t="n">
        <v>0</v>
      </c>
      <c r="O145" t="n">
        <v>0</v>
      </c>
      <c r="P145" t="n">
        <v>0</v>
      </c>
      <c r="Q145" t="n">
        <v>1</v>
      </c>
      <c r="R145" s="2" t="inlineStr">
        <is>
          <t>Guckusko</t>
        </is>
      </c>
      <c r="S145">
        <f>HYPERLINK("https://klasma.github.io/Logging_2380/artfynd/A 33137-2021 artfynd.xlsx", "A 33137-2021")</f>
        <v/>
      </c>
      <c r="T145">
        <f>HYPERLINK("https://klasma.github.io/Logging_2380/kartor/A 33137-2021 karta.png", "A 33137-2021")</f>
        <v/>
      </c>
      <c r="V145">
        <f>HYPERLINK("https://klasma.github.io/Logging_2380/klagomål/A 33137-2021 FSC-klagomål.docx", "A 33137-2021")</f>
        <v/>
      </c>
      <c r="W145">
        <f>HYPERLINK("https://klasma.github.io/Logging_2380/klagomålsmail/A 33137-2021 FSC-klagomål mail.docx", "A 33137-2021")</f>
        <v/>
      </c>
      <c r="X145">
        <f>HYPERLINK("https://klasma.github.io/Logging_2380/tillsyn/A 33137-2021 tillsynsbegäran.docx", "A 33137-2021")</f>
        <v/>
      </c>
      <c r="Y145">
        <f>HYPERLINK("https://klasma.github.io/Logging_2380/tillsynsmail/A 33137-2021 tillsynsbegäran mail.docx", "A 33137-2021")</f>
        <v/>
      </c>
    </row>
    <row r="146" ht="15" customHeight="1">
      <c r="A146" t="inlineStr">
        <is>
          <t>A 46163-2021</t>
        </is>
      </c>
      <c r="B146" s="1" t="n">
        <v>44441</v>
      </c>
      <c r="C146" s="1" t="n">
        <v>45709</v>
      </c>
      <c r="D146" t="inlineStr">
        <is>
          <t>JÄMTLANDS LÄN</t>
        </is>
      </c>
      <c r="E146" t="inlineStr">
        <is>
          <t>ÖSTERSUND</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46163-2021 artfynd.xlsx", "A 46163-2021")</f>
        <v/>
      </c>
      <c r="T146">
        <f>HYPERLINK("https://klasma.github.io/Logging_2380/kartor/A 46163-2021 karta.png", "A 46163-2021")</f>
        <v/>
      </c>
      <c r="V146">
        <f>HYPERLINK("https://klasma.github.io/Logging_2380/klagomål/A 46163-2021 FSC-klagomål.docx", "A 46163-2021")</f>
        <v/>
      </c>
      <c r="W146">
        <f>HYPERLINK("https://klasma.github.io/Logging_2380/klagomålsmail/A 46163-2021 FSC-klagomål mail.docx", "A 46163-2021")</f>
        <v/>
      </c>
      <c r="X146">
        <f>HYPERLINK("https://klasma.github.io/Logging_2380/tillsyn/A 46163-2021 tillsynsbegäran.docx", "A 46163-2021")</f>
        <v/>
      </c>
      <c r="Y146">
        <f>HYPERLINK("https://klasma.github.io/Logging_2380/tillsynsmail/A 46163-2021 tillsynsbegäran mail.docx", "A 46163-2021")</f>
        <v/>
      </c>
      <c r="Z146">
        <f>HYPERLINK("https://klasma.github.io/Logging_2380/fåglar/A 46163-2021 prioriterade fågelarter.docx", "A 46163-2021")</f>
        <v/>
      </c>
    </row>
    <row r="147" ht="15" customHeight="1">
      <c r="A147" t="inlineStr">
        <is>
          <t>A 55821-2021</t>
        </is>
      </c>
      <c r="B147" s="1" t="n">
        <v>44476</v>
      </c>
      <c r="C147" s="1" t="n">
        <v>45709</v>
      </c>
      <c r="D147" t="inlineStr">
        <is>
          <t>JÄMTLANDS LÄN</t>
        </is>
      </c>
      <c r="E147" t="inlineStr">
        <is>
          <t>ÖSTERSUND</t>
        </is>
      </c>
      <c r="G147" t="n">
        <v>7.2</v>
      </c>
      <c r="H147" t="n">
        <v>0</v>
      </c>
      <c r="I147" t="n">
        <v>0</v>
      </c>
      <c r="J147" t="n">
        <v>1</v>
      </c>
      <c r="K147" t="n">
        <v>0</v>
      </c>
      <c r="L147" t="n">
        <v>0</v>
      </c>
      <c r="M147" t="n">
        <v>0</v>
      </c>
      <c r="N147" t="n">
        <v>0</v>
      </c>
      <c r="O147" t="n">
        <v>1</v>
      </c>
      <c r="P147" t="n">
        <v>0</v>
      </c>
      <c r="Q147" t="n">
        <v>1</v>
      </c>
      <c r="R147" s="2" t="inlineStr">
        <is>
          <t>Harticka</t>
        </is>
      </c>
      <c r="S147">
        <f>HYPERLINK("https://klasma.github.io/Logging_2380/artfynd/A 55821-2021 artfynd.xlsx", "A 55821-2021")</f>
        <v/>
      </c>
      <c r="T147">
        <f>HYPERLINK("https://klasma.github.io/Logging_2380/kartor/A 55821-2021 karta.png", "A 55821-2021")</f>
        <v/>
      </c>
      <c r="V147">
        <f>HYPERLINK("https://klasma.github.io/Logging_2380/klagomål/A 55821-2021 FSC-klagomål.docx", "A 55821-2021")</f>
        <v/>
      </c>
      <c r="W147">
        <f>HYPERLINK("https://klasma.github.io/Logging_2380/klagomålsmail/A 55821-2021 FSC-klagomål mail.docx", "A 55821-2021")</f>
        <v/>
      </c>
      <c r="X147">
        <f>HYPERLINK("https://klasma.github.io/Logging_2380/tillsyn/A 55821-2021 tillsynsbegäran.docx", "A 55821-2021")</f>
        <v/>
      </c>
      <c r="Y147">
        <f>HYPERLINK("https://klasma.github.io/Logging_2380/tillsynsmail/A 55821-2021 tillsynsbegäran mail.docx", "A 55821-2021")</f>
        <v/>
      </c>
    </row>
    <row r="148" ht="15" customHeight="1">
      <c r="A148" t="inlineStr">
        <is>
          <t>A 59433-2021</t>
        </is>
      </c>
      <c r="B148" s="1" t="n">
        <v>44491</v>
      </c>
      <c r="C148" s="1" t="n">
        <v>45709</v>
      </c>
      <c r="D148" t="inlineStr">
        <is>
          <t>JÄMTLANDS LÄN</t>
        </is>
      </c>
      <c r="E148" t="inlineStr">
        <is>
          <t>ÖSTERSUND</t>
        </is>
      </c>
      <c r="F148" t="inlineStr">
        <is>
          <t>Övriga statliga verk och myndigheter</t>
        </is>
      </c>
      <c r="G148" t="n">
        <v>1.6</v>
      </c>
      <c r="H148" t="n">
        <v>0</v>
      </c>
      <c r="I148" t="n">
        <v>0</v>
      </c>
      <c r="J148" t="n">
        <v>1</v>
      </c>
      <c r="K148" t="n">
        <v>0</v>
      </c>
      <c r="L148" t="n">
        <v>0</v>
      </c>
      <c r="M148" t="n">
        <v>0</v>
      </c>
      <c r="N148" t="n">
        <v>0</v>
      </c>
      <c r="O148" t="n">
        <v>1</v>
      </c>
      <c r="P148" t="n">
        <v>0</v>
      </c>
      <c r="Q148" t="n">
        <v>1</v>
      </c>
      <c r="R148" s="2" t="inlineStr">
        <is>
          <t>Brunpudrad nållav</t>
        </is>
      </c>
      <c r="S148">
        <f>HYPERLINK("https://klasma.github.io/Logging_2380/artfynd/A 59433-2021 artfynd.xlsx", "A 59433-2021")</f>
        <v/>
      </c>
      <c r="T148">
        <f>HYPERLINK("https://klasma.github.io/Logging_2380/kartor/A 59433-2021 karta.png", "A 59433-2021")</f>
        <v/>
      </c>
      <c r="V148">
        <f>HYPERLINK("https://klasma.github.io/Logging_2380/klagomål/A 59433-2021 FSC-klagomål.docx", "A 59433-2021")</f>
        <v/>
      </c>
      <c r="W148">
        <f>HYPERLINK("https://klasma.github.io/Logging_2380/klagomålsmail/A 59433-2021 FSC-klagomål mail.docx", "A 59433-2021")</f>
        <v/>
      </c>
      <c r="X148">
        <f>HYPERLINK("https://klasma.github.io/Logging_2380/tillsyn/A 59433-2021 tillsynsbegäran.docx", "A 59433-2021")</f>
        <v/>
      </c>
      <c r="Y148">
        <f>HYPERLINK("https://klasma.github.io/Logging_2380/tillsynsmail/A 59433-2021 tillsynsbegäran mail.docx", "A 59433-2021")</f>
        <v/>
      </c>
    </row>
    <row r="149" ht="15" customHeight="1">
      <c r="A149" t="inlineStr">
        <is>
          <t>A 9739-2022</t>
        </is>
      </c>
      <c r="B149" s="1" t="n">
        <v>44617</v>
      </c>
      <c r="C149" s="1" t="n">
        <v>45709</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10336-2022</t>
        </is>
      </c>
      <c r="B150" s="1" t="n">
        <v>44623</v>
      </c>
      <c r="C150" s="1" t="n">
        <v>45709</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45709</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27578-2022</t>
        </is>
      </c>
      <c r="B152" s="1" t="n">
        <v>44742</v>
      </c>
      <c r="C152" s="1" t="n">
        <v>45709</v>
      </c>
      <c r="D152" t="inlineStr">
        <is>
          <t>JÄMTLANDS LÄN</t>
        </is>
      </c>
      <c r="E152" t="inlineStr">
        <is>
          <t>ÖSTERSUND</t>
        </is>
      </c>
      <c r="F152" t="inlineStr">
        <is>
          <t>SCA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HYPERLINK("https://klasma.github.io/Logging_2380/artfynd/A 27578-2022 artfynd.xlsx", "A 27578-2022")</f>
        <v/>
      </c>
      <c r="T152">
        <f>HYPERLINK("https://klasma.github.io/Logging_2380/kartor/A 27578-2022 karta.png", "A 27578-2022")</f>
        <v/>
      </c>
      <c r="V152">
        <f>HYPERLINK("https://klasma.github.io/Logging_2380/klagomål/A 27578-2022 FSC-klagomål.docx", "A 27578-2022")</f>
        <v/>
      </c>
      <c r="W152">
        <f>HYPERLINK("https://klasma.github.io/Logging_2380/klagomålsmail/A 27578-2022 FSC-klagomål mail.docx", "A 27578-2022")</f>
        <v/>
      </c>
      <c r="X152">
        <f>HYPERLINK("https://klasma.github.io/Logging_2380/tillsyn/A 27578-2022 tillsynsbegäran.docx", "A 27578-2022")</f>
        <v/>
      </c>
      <c r="Y152">
        <f>HYPERLINK("https://klasma.github.io/Logging_2380/tillsynsmail/A 27578-2022 tillsynsbegäran mail.docx", "A 27578-2022")</f>
        <v/>
      </c>
    </row>
    <row r="153" ht="15" customHeight="1">
      <c r="A153" t="inlineStr">
        <is>
          <t>A 27576-2022</t>
        </is>
      </c>
      <c r="B153" s="1" t="n">
        <v>44742</v>
      </c>
      <c r="C153" s="1" t="n">
        <v>45709</v>
      </c>
      <c r="D153" t="inlineStr">
        <is>
          <t>JÄMTLANDS LÄN</t>
        </is>
      </c>
      <c r="E153" t="inlineStr">
        <is>
          <t>ÖSTERSUND</t>
        </is>
      </c>
      <c r="F153" t="inlineStr">
        <is>
          <t>SCA</t>
        </is>
      </c>
      <c r="G153" t="n">
        <v>0.6</v>
      </c>
      <c r="H153" t="n">
        <v>0</v>
      </c>
      <c r="I153" t="n">
        <v>0</v>
      </c>
      <c r="J153" t="n">
        <v>1</v>
      </c>
      <c r="K153" t="n">
        <v>0</v>
      </c>
      <c r="L153" t="n">
        <v>0</v>
      </c>
      <c r="M153" t="n">
        <v>0</v>
      </c>
      <c r="N153" t="n">
        <v>0</v>
      </c>
      <c r="O153" t="n">
        <v>1</v>
      </c>
      <c r="P153" t="n">
        <v>0</v>
      </c>
      <c r="Q153" t="n">
        <v>1</v>
      </c>
      <c r="R153" s="2" t="inlineStr">
        <is>
          <t>Ullticka</t>
        </is>
      </c>
      <c r="S153">
        <f>HYPERLINK("https://klasma.github.io/Logging_2380/artfynd/A 27576-2022 artfynd.xlsx", "A 27576-2022")</f>
        <v/>
      </c>
      <c r="T153">
        <f>HYPERLINK("https://klasma.github.io/Logging_2380/kartor/A 27576-2022 karta.png", "A 27576-2022")</f>
        <v/>
      </c>
      <c r="U153">
        <f>HYPERLINK("https://klasma.github.io/Logging_2380/knärot/A 27576-2022 karta knärot.png", "A 27576-2022")</f>
        <v/>
      </c>
      <c r="V153">
        <f>HYPERLINK("https://klasma.github.io/Logging_2380/klagomål/A 27576-2022 FSC-klagomål.docx", "A 27576-2022")</f>
        <v/>
      </c>
      <c r="W153">
        <f>HYPERLINK("https://klasma.github.io/Logging_2380/klagomålsmail/A 27576-2022 FSC-klagomål mail.docx", "A 27576-2022")</f>
        <v/>
      </c>
      <c r="X153">
        <f>HYPERLINK("https://klasma.github.io/Logging_2380/tillsyn/A 27576-2022 tillsynsbegäran.docx", "A 27576-2022")</f>
        <v/>
      </c>
      <c r="Y153">
        <f>HYPERLINK("https://klasma.github.io/Logging_2380/tillsynsmail/A 27576-2022 tillsynsbegäran mail.docx", "A 27576-2022")</f>
        <v/>
      </c>
    </row>
    <row r="154" ht="15" customHeight="1">
      <c r="A154" t="inlineStr">
        <is>
          <t>A 33267-2022</t>
        </is>
      </c>
      <c r="B154" s="1" t="n">
        <v>44785</v>
      </c>
      <c r="C154" s="1" t="n">
        <v>45709</v>
      </c>
      <c r="D154" t="inlineStr">
        <is>
          <t>JÄMTLANDS LÄN</t>
        </is>
      </c>
      <c r="E154" t="inlineStr">
        <is>
          <t>ÖSTERSUND</t>
        </is>
      </c>
      <c r="G154" t="n">
        <v>0.9</v>
      </c>
      <c r="H154" t="n">
        <v>1</v>
      </c>
      <c r="I154" t="n">
        <v>0</v>
      </c>
      <c r="J154" t="n">
        <v>1</v>
      </c>
      <c r="K154" t="n">
        <v>0</v>
      </c>
      <c r="L154" t="n">
        <v>0</v>
      </c>
      <c r="M154" t="n">
        <v>0</v>
      </c>
      <c r="N154" t="n">
        <v>0</v>
      </c>
      <c r="O154" t="n">
        <v>1</v>
      </c>
      <c r="P154" t="n">
        <v>0</v>
      </c>
      <c r="Q154" t="n">
        <v>1</v>
      </c>
      <c r="R154" s="2" t="inlineStr">
        <is>
          <t>Talltita</t>
        </is>
      </c>
      <c r="S154">
        <f>HYPERLINK("https://klasma.github.io/Logging_2380/artfynd/A 33267-2022 artfynd.xlsx", "A 33267-2022")</f>
        <v/>
      </c>
      <c r="T154">
        <f>HYPERLINK("https://klasma.github.io/Logging_2380/kartor/A 33267-2022 karta.png", "A 33267-2022")</f>
        <v/>
      </c>
      <c r="V154">
        <f>HYPERLINK("https://klasma.github.io/Logging_2380/klagomål/A 33267-2022 FSC-klagomål.docx", "A 33267-2022")</f>
        <v/>
      </c>
      <c r="W154">
        <f>HYPERLINK("https://klasma.github.io/Logging_2380/klagomålsmail/A 33267-2022 FSC-klagomål mail.docx", "A 33267-2022")</f>
        <v/>
      </c>
      <c r="X154">
        <f>HYPERLINK("https://klasma.github.io/Logging_2380/tillsyn/A 33267-2022 tillsynsbegäran.docx", "A 33267-2022")</f>
        <v/>
      </c>
      <c r="Y154">
        <f>HYPERLINK("https://klasma.github.io/Logging_2380/tillsynsmail/A 33267-2022 tillsynsbegäran mail.docx", "A 33267-2022")</f>
        <v/>
      </c>
      <c r="Z154">
        <f>HYPERLINK("https://klasma.github.io/Logging_2380/fåglar/A 33267-2022 prioriterade fågelarter.docx", "A 33267-2022")</f>
        <v/>
      </c>
    </row>
    <row r="155" ht="15" customHeight="1">
      <c r="A155" t="inlineStr">
        <is>
          <t>A 43947-2022</t>
        </is>
      </c>
      <c r="B155" s="1" t="n">
        <v>44838</v>
      </c>
      <c r="C155" s="1" t="n">
        <v>45709</v>
      </c>
      <c r="D155" t="inlineStr">
        <is>
          <t>JÄMTLANDS LÄN</t>
        </is>
      </c>
      <c r="E155" t="inlineStr">
        <is>
          <t>ÖSTERSUND</t>
        </is>
      </c>
      <c r="F155" t="inlineStr">
        <is>
          <t>Övriga Aktiebolag</t>
        </is>
      </c>
      <c r="G155" t="n">
        <v>15.7</v>
      </c>
      <c r="H155" t="n">
        <v>0</v>
      </c>
      <c r="I155" t="n">
        <v>0</v>
      </c>
      <c r="J155" t="n">
        <v>0</v>
      </c>
      <c r="K155" t="n">
        <v>1</v>
      </c>
      <c r="L155" t="n">
        <v>0</v>
      </c>
      <c r="M155" t="n">
        <v>0</v>
      </c>
      <c r="N155" t="n">
        <v>0</v>
      </c>
      <c r="O155" t="n">
        <v>1</v>
      </c>
      <c r="P155" t="n">
        <v>1</v>
      </c>
      <c r="Q155" t="n">
        <v>1</v>
      </c>
      <c r="R155" s="2" t="inlineStr">
        <is>
          <t>Sprickporing</t>
        </is>
      </c>
      <c r="S155">
        <f>HYPERLINK("https://klasma.github.io/Logging_2380/artfynd/A 43947-2022 artfynd.xlsx", "A 43947-2022")</f>
        <v/>
      </c>
      <c r="T155">
        <f>HYPERLINK("https://klasma.github.io/Logging_2380/kartor/A 43947-2022 karta.png", "A 43947-2022")</f>
        <v/>
      </c>
      <c r="V155">
        <f>HYPERLINK("https://klasma.github.io/Logging_2380/klagomål/A 43947-2022 FSC-klagomål.docx", "A 43947-2022")</f>
        <v/>
      </c>
      <c r="W155">
        <f>HYPERLINK("https://klasma.github.io/Logging_2380/klagomålsmail/A 43947-2022 FSC-klagomål mail.docx", "A 43947-2022")</f>
        <v/>
      </c>
      <c r="X155">
        <f>HYPERLINK("https://klasma.github.io/Logging_2380/tillsyn/A 43947-2022 tillsynsbegäran.docx", "A 43947-2022")</f>
        <v/>
      </c>
      <c r="Y155">
        <f>HYPERLINK("https://klasma.github.io/Logging_2380/tillsynsmail/A 43947-2022 tillsynsbegäran mail.docx", "A 43947-2022")</f>
        <v/>
      </c>
    </row>
    <row r="156" ht="15" customHeight="1">
      <c r="A156" t="inlineStr">
        <is>
          <t>A 45441-2022</t>
        </is>
      </c>
      <c r="B156" s="1" t="n">
        <v>44844</v>
      </c>
      <c r="C156" s="1" t="n">
        <v>45709</v>
      </c>
      <c r="D156" t="inlineStr">
        <is>
          <t>JÄMTLANDS LÄN</t>
        </is>
      </c>
      <c r="E156" t="inlineStr">
        <is>
          <t>ÖSTERSUND</t>
        </is>
      </c>
      <c r="F156" t="inlineStr">
        <is>
          <t>SCA</t>
        </is>
      </c>
      <c r="G156" t="n">
        <v>1.8</v>
      </c>
      <c r="H156" t="n">
        <v>0</v>
      </c>
      <c r="I156" t="n">
        <v>1</v>
      </c>
      <c r="J156" t="n">
        <v>0</v>
      </c>
      <c r="K156" t="n">
        <v>0</v>
      </c>
      <c r="L156" t="n">
        <v>0</v>
      </c>
      <c r="M156" t="n">
        <v>0</v>
      </c>
      <c r="N156" t="n">
        <v>0</v>
      </c>
      <c r="O156" t="n">
        <v>0</v>
      </c>
      <c r="P156" t="n">
        <v>0</v>
      </c>
      <c r="Q156" t="n">
        <v>1</v>
      </c>
      <c r="R156" s="2" t="inlineStr">
        <is>
          <t>Korallblylav</t>
        </is>
      </c>
      <c r="S156">
        <f>HYPERLINK("https://klasma.github.io/Logging_2380/artfynd/A 45441-2022 artfynd.xlsx", "A 45441-2022")</f>
        <v/>
      </c>
      <c r="T156">
        <f>HYPERLINK("https://klasma.github.io/Logging_2380/kartor/A 45441-2022 karta.png", "A 45441-2022")</f>
        <v/>
      </c>
      <c r="V156">
        <f>HYPERLINK("https://klasma.github.io/Logging_2380/klagomål/A 45441-2022 FSC-klagomål.docx", "A 45441-2022")</f>
        <v/>
      </c>
      <c r="W156">
        <f>HYPERLINK("https://klasma.github.io/Logging_2380/klagomålsmail/A 45441-2022 FSC-klagomål mail.docx", "A 45441-2022")</f>
        <v/>
      </c>
      <c r="X156">
        <f>HYPERLINK("https://klasma.github.io/Logging_2380/tillsyn/A 45441-2022 tillsynsbegäran.docx", "A 45441-2022")</f>
        <v/>
      </c>
      <c r="Y156">
        <f>HYPERLINK("https://klasma.github.io/Logging_2380/tillsynsmail/A 45441-2022 tillsynsbegäran mail.docx", "A 45441-2022")</f>
        <v/>
      </c>
    </row>
    <row r="157" ht="15" customHeight="1">
      <c r="A157" t="inlineStr">
        <is>
          <t>A 56245-2022</t>
        </is>
      </c>
      <c r="B157" s="1" t="n">
        <v>44890</v>
      </c>
      <c r="C157" s="1" t="n">
        <v>45709</v>
      </c>
      <c r="D157" t="inlineStr">
        <is>
          <t>JÄMTLANDS LÄN</t>
        </is>
      </c>
      <c r="E157" t="inlineStr">
        <is>
          <t>ÖSTERSUND</t>
        </is>
      </c>
      <c r="F157" t="inlineStr">
        <is>
          <t>Övriga Aktiebolag</t>
        </is>
      </c>
      <c r="G157" t="n">
        <v>10.6</v>
      </c>
      <c r="H157" t="n">
        <v>0</v>
      </c>
      <c r="I157" t="n">
        <v>0</v>
      </c>
      <c r="J157" t="n">
        <v>1</v>
      </c>
      <c r="K157" t="n">
        <v>0</v>
      </c>
      <c r="L157" t="n">
        <v>0</v>
      </c>
      <c r="M157" t="n">
        <v>0</v>
      </c>
      <c r="N157" t="n">
        <v>0</v>
      </c>
      <c r="O157" t="n">
        <v>1</v>
      </c>
      <c r="P157" t="n">
        <v>0</v>
      </c>
      <c r="Q157" t="n">
        <v>1</v>
      </c>
      <c r="R157" s="2" t="inlineStr">
        <is>
          <t>Garnlav</t>
        </is>
      </c>
      <c r="S157">
        <f>HYPERLINK("https://klasma.github.io/Logging_2380/artfynd/A 56245-2022 artfynd.xlsx", "A 56245-2022")</f>
        <v/>
      </c>
      <c r="T157">
        <f>HYPERLINK("https://klasma.github.io/Logging_2380/kartor/A 56245-2022 karta.png", "A 56245-2022")</f>
        <v/>
      </c>
      <c r="V157">
        <f>HYPERLINK("https://klasma.github.io/Logging_2380/klagomål/A 56245-2022 FSC-klagomål.docx", "A 56245-2022")</f>
        <v/>
      </c>
      <c r="W157">
        <f>HYPERLINK("https://klasma.github.io/Logging_2380/klagomålsmail/A 56245-2022 FSC-klagomål mail.docx", "A 56245-2022")</f>
        <v/>
      </c>
      <c r="X157">
        <f>HYPERLINK("https://klasma.github.io/Logging_2380/tillsyn/A 56245-2022 tillsynsbegäran.docx", "A 56245-2022")</f>
        <v/>
      </c>
      <c r="Y157">
        <f>HYPERLINK("https://klasma.github.io/Logging_2380/tillsynsmail/A 56245-2022 tillsynsbegäran mail.docx", "A 56245-2022")</f>
        <v/>
      </c>
    </row>
    <row r="158" ht="15" customHeight="1">
      <c r="A158" t="inlineStr">
        <is>
          <t>A 58181-2022</t>
        </is>
      </c>
      <c r="B158" s="1" t="n">
        <v>44900</v>
      </c>
      <c r="C158" s="1" t="n">
        <v>45709</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59739-2022</t>
        </is>
      </c>
      <c r="B159" s="1" t="n">
        <v>44908</v>
      </c>
      <c r="C159" s="1" t="n">
        <v>45709</v>
      </c>
      <c r="D159" t="inlineStr">
        <is>
          <t>JÄMTLANDS LÄN</t>
        </is>
      </c>
      <c r="E159" t="inlineStr">
        <is>
          <t>ÖSTERSUND</t>
        </is>
      </c>
      <c r="F159" t="inlineStr">
        <is>
          <t>Kommuner</t>
        </is>
      </c>
      <c r="G159" t="n">
        <v>1.9</v>
      </c>
      <c r="H159" t="n">
        <v>0</v>
      </c>
      <c r="I159" t="n">
        <v>1</v>
      </c>
      <c r="J159" t="n">
        <v>0</v>
      </c>
      <c r="K159" t="n">
        <v>0</v>
      </c>
      <c r="L159" t="n">
        <v>0</v>
      </c>
      <c r="M159" t="n">
        <v>0</v>
      </c>
      <c r="N159" t="n">
        <v>0</v>
      </c>
      <c r="O159" t="n">
        <v>0</v>
      </c>
      <c r="P159" t="n">
        <v>0</v>
      </c>
      <c r="Q159" t="n">
        <v>1</v>
      </c>
      <c r="R159" s="2" t="inlineStr">
        <is>
          <t>Vedticka</t>
        </is>
      </c>
      <c r="S159">
        <f>HYPERLINK("https://klasma.github.io/Logging_2380/artfynd/A 59739-2022 artfynd.xlsx", "A 59739-2022")</f>
        <v/>
      </c>
      <c r="T159">
        <f>HYPERLINK("https://klasma.github.io/Logging_2380/kartor/A 59739-2022 karta.png", "A 59739-2022")</f>
        <v/>
      </c>
      <c r="V159">
        <f>HYPERLINK("https://klasma.github.io/Logging_2380/klagomål/A 59739-2022 FSC-klagomål.docx", "A 59739-2022")</f>
        <v/>
      </c>
      <c r="W159">
        <f>HYPERLINK("https://klasma.github.io/Logging_2380/klagomålsmail/A 59739-2022 FSC-klagomål mail.docx", "A 59739-2022")</f>
        <v/>
      </c>
      <c r="X159">
        <f>HYPERLINK("https://klasma.github.io/Logging_2380/tillsyn/A 59739-2022 tillsynsbegäran.docx", "A 59739-2022")</f>
        <v/>
      </c>
      <c r="Y159">
        <f>HYPERLINK("https://klasma.github.io/Logging_2380/tillsynsmail/A 59739-2022 tillsynsbegäran mail.docx", "A 59739-2022")</f>
        <v/>
      </c>
    </row>
    <row r="160" ht="15" customHeight="1">
      <c r="A160" t="inlineStr">
        <is>
          <t>A 28980-2023</t>
        </is>
      </c>
      <c r="B160" s="1" t="n">
        <v>45096</v>
      </c>
      <c r="C160" s="1" t="n">
        <v>45709</v>
      </c>
      <c r="D160" t="inlineStr">
        <is>
          <t>JÄMTLANDS LÄN</t>
        </is>
      </c>
      <c r="E160" t="inlineStr">
        <is>
          <t>ÖSTERSUND</t>
        </is>
      </c>
      <c r="G160" t="n">
        <v>2.7</v>
      </c>
      <c r="H160" t="n">
        <v>0</v>
      </c>
      <c r="I160" t="n">
        <v>1</v>
      </c>
      <c r="J160" t="n">
        <v>0</v>
      </c>
      <c r="K160" t="n">
        <v>0</v>
      </c>
      <c r="L160" t="n">
        <v>0</v>
      </c>
      <c r="M160" t="n">
        <v>0</v>
      </c>
      <c r="N160" t="n">
        <v>0</v>
      </c>
      <c r="O160" t="n">
        <v>0</v>
      </c>
      <c r="P160" t="n">
        <v>0</v>
      </c>
      <c r="Q160" t="n">
        <v>1</v>
      </c>
      <c r="R160" s="2" t="inlineStr">
        <is>
          <t>Finbräken</t>
        </is>
      </c>
      <c r="S160">
        <f>HYPERLINK("https://klasma.github.io/Logging_2380/artfynd/A 28980-2023 artfynd.xlsx", "A 28980-2023")</f>
        <v/>
      </c>
      <c r="T160">
        <f>HYPERLINK("https://klasma.github.io/Logging_2380/kartor/A 28980-2023 karta.png", "A 28980-2023")</f>
        <v/>
      </c>
      <c r="V160">
        <f>HYPERLINK("https://klasma.github.io/Logging_2380/klagomål/A 28980-2023 FSC-klagomål.docx", "A 28980-2023")</f>
        <v/>
      </c>
      <c r="W160">
        <f>HYPERLINK("https://klasma.github.io/Logging_2380/klagomålsmail/A 28980-2023 FSC-klagomål mail.docx", "A 28980-2023")</f>
        <v/>
      </c>
      <c r="X160">
        <f>HYPERLINK("https://klasma.github.io/Logging_2380/tillsyn/A 28980-2023 tillsynsbegäran.docx", "A 28980-2023")</f>
        <v/>
      </c>
      <c r="Y160">
        <f>HYPERLINK("https://klasma.github.io/Logging_2380/tillsynsmail/A 28980-2023 tillsynsbegäran mail.docx", "A 28980-2023")</f>
        <v/>
      </c>
    </row>
    <row r="161" ht="15" customHeight="1">
      <c r="A161" t="inlineStr">
        <is>
          <t>A 32411-2023</t>
        </is>
      </c>
      <c r="B161" s="1" t="n">
        <v>45120</v>
      </c>
      <c r="C161" s="1" t="n">
        <v>45709</v>
      </c>
      <c r="D161" t="inlineStr">
        <is>
          <t>JÄMTLANDS LÄN</t>
        </is>
      </c>
      <c r="E161" t="inlineStr">
        <is>
          <t>ÖSTERSUND</t>
        </is>
      </c>
      <c r="G161" t="n">
        <v>8.5</v>
      </c>
      <c r="H161" t="n">
        <v>1</v>
      </c>
      <c r="I161" t="n">
        <v>1</v>
      </c>
      <c r="J161" t="n">
        <v>0</v>
      </c>
      <c r="K161" t="n">
        <v>0</v>
      </c>
      <c r="L161" t="n">
        <v>0</v>
      </c>
      <c r="M161" t="n">
        <v>0</v>
      </c>
      <c r="N161" t="n">
        <v>0</v>
      </c>
      <c r="O161" t="n">
        <v>0</v>
      </c>
      <c r="P161" t="n">
        <v>0</v>
      </c>
      <c r="Q161" t="n">
        <v>1</v>
      </c>
      <c r="R161" s="2" t="inlineStr">
        <is>
          <t>Spindelblomster</t>
        </is>
      </c>
      <c r="S161">
        <f>HYPERLINK("https://klasma.github.io/Logging_2380/artfynd/A 32411-2023 artfynd.xlsx", "A 32411-2023")</f>
        <v/>
      </c>
      <c r="T161">
        <f>HYPERLINK("https://klasma.github.io/Logging_2380/kartor/A 32411-2023 karta.png", "A 32411-2023")</f>
        <v/>
      </c>
      <c r="V161">
        <f>HYPERLINK("https://klasma.github.io/Logging_2380/klagomål/A 32411-2023 FSC-klagomål.docx", "A 32411-2023")</f>
        <v/>
      </c>
      <c r="W161">
        <f>HYPERLINK("https://klasma.github.io/Logging_2380/klagomålsmail/A 32411-2023 FSC-klagomål mail.docx", "A 32411-2023")</f>
        <v/>
      </c>
      <c r="X161">
        <f>HYPERLINK("https://klasma.github.io/Logging_2380/tillsyn/A 32411-2023 tillsynsbegäran.docx", "A 32411-2023")</f>
        <v/>
      </c>
      <c r="Y161">
        <f>HYPERLINK("https://klasma.github.io/Logging_2380/tillsynsmail/A 32411-2023 tillsynsbegäran mail.docx", "A 32411-2023")</f>
        <v/>
      </c>
    </row>
    <row r="162" ht="15" customHeight="1">
      <c r="A162" t="inlineStr">
        <is>
          <t>A 50825-2023</t>
        </is>
      </c>
      <c r="B162" s="1" t="n">
        <v>45217</v>
      </c>
      <c r="C162" s="1" t="n">
        <v>45709</v>
      </c>
      <c r="D162" t="inlineStr">
        <is>
          <t>JÄMTLANDS LÄN</t>
        </is>
      </c>
      <c r="E162" t="inlineStr">
        <is>
          <t>ÖSTERSUND</t>
        </is>
      </c>
      <c r="G162" t="n">
        <v>24.3</v>
      </c>
      <c r="H162" t="n">
        <v>0</v>
      </c>
      <c r="I162" t="n">
        <v>0</v>
      </c>
      <c r="J162" t="n">
        <v>1</v>
      </c>
      <c r="K162" t="n">
        <v>0</v>
      </c>
      <c r="L162" t="n">
        <v>0</v>
      </c>
      <c r="M162" t="n">
        <v>0</v>
      </c>
      <c r="N162" t="n">
        <v>0</v>
      </c>
      <c r="O162" t="n">
        <v>1</v>
      </c>
      <c r="P162" t="n">
        <v>0</v>
      </c>
      <c r="Q162" t="n">
        <v>1</v>
      </c>
      <c r="R162" s="2" t="inlineStr">
        <is>
          <t>Granticka</t>
        </is>
      </c>
      <c r="S162">
        <f>HYPERLINK("https://klasma.github.io/Logging_2380/artfynd/A 50825-2023 artfynd.xlsx", "A 50825-2023")</f>
        <v/>
      </c>
      <c r="T162">
        <f>HYPERLINK("https://klasma.github.io/Logging_2380/kartor/A 50825-2023 karta.png", "A 50825-2023")</f>
        <v/>
      </c>
      <c r="V162">
        <f>HYPERLINK("https://klasma.github.io/Logging_2380/klagomål/A 50825-2023 FSC-klagomål.docx", "A 50825-2023")</f>
        <v/>
      </c>
      <c r="W162">
        <f>HYPERLINK("https://klasma.github.io/Logging_2380/klagomålsmail/A 50825-2023 FSC-klagomål mail.docx", "A 50825-2023")</f>
        <v/>
      </c>
      <c r="X162">
        <f>HYPERLINK("https://klasma.github.io/Logging_2380/tillsyn/A 50825-2023 tillsynsbegäran.docx", "A 50825-2023")</f>
        <v/>
      </c>
      <c r="Y162">
        <f>HYPERLINK("https://klasma.github.io/Logging_2380/tillsynsmail/A 50825-2023 tillsynsbegäran mail.docx", "A 50825-2023")</f>
        <v/>
      </c>
    </row>
    <row r="163" ht="15" customHeight="1">
      <c r="A163" t="inlineStr">
        <is>
          <t>A 56025-2023</t>
        </is>
      </c>
      <c r="B163" s="1" t="n">
        <v>45233</v>
      </c>
      <c r="C163" s="1" t="n">
        <v>45709</v>
      </c>
      <c r="D163" t="inlineStr">
        <is>
          <t>JÄMTLANDS LÄN</t>
        </is>
      </c>
      <c r="E163" t="inlineStr">
        <is>
          <t>ÖSTERSUND</t>
        </is>
      </c>
      <c r="G163" t="n">
        <v>3.9</v>
      </c>
      <c r="H163" t="n">
        <v>1</v>
      </c>
      <c r="I163" t="n">
        <v>0</v>
      </c>
      <c r="J163" t="n">
        <v>1</v>
      </c>
      <c r="K163" t="n">
        <v>0</v>
      </c>
      <c r="L163" t="n">
        <v>0</v>
      </c>
      <c r="M163" t="n">
        <v>0</v>
      </c>
      <c r="N163" t="n">
        <v>0</v>
      </c>
      <c r="O163" t="n">
        <v>1</v>
      </c>
      <c r="P163" t="n">
        <v>0</v>
      </c>
      <c r="Q163" t="n">
        <v>1</v>
      </c>
      <c r="R163" s="2" t="inlineStr">
        <is>
          <t>Jämtlandsmaskros</t>
        </is>
      </c>
      <c r="S163">
        <f>HYPERLINK("https://klasma.github.io/Logging_2380/artfynd/A 56025-2023 artfynd.xlsx", "A 56025-2023")</f>
        <v/>
      </c>
      <c r="T163">
        <f>HYPERLINK("https://klasma.github.io/Logging_2380/kartor/A 56025-2023 karta.png", "A 56025-2023")</f>
        <v/>
      </c>
      <c r="V163">
        <f>HYPERLINK("https://klasma.github.io/Logging_2380/klagomål/A 56025-2023 FSC-klagomål.docx", "A 56025-2023")</f>
        <v/>
      </c>
      <c r="W163">
        <f>HYPERLINK("https://klasma.github.io/Logging_2380/klagomålsmail/A 56025-2023 FSC-klagomål mail.docx", "A 56025-2023")</f>
        <v/>
      </c>
      <c r="X163">
        <f>HYPERLINK("https://klasma.github.io/Logging_2380/tillsyn/A 56025-2023 tillsynsbegäran.docx", "A 56025-2023")</f>
        <v/>
      </c>
      <c r="Y163">
        <f>HYPERLINK("https://klasma.github.io/Logging_2380/tillsynsmail/A 56025-2023 tillsynsbegäran mail.docx", "A 56025-2023")</f>
        <v/>
      </c>
    </row>
    <row r="164" ht="15" customHeight="1">
      <c r="A164" t="inlineStr">
        <is>
          <t>A 57864-2023</t>
        </is>
      </c>
      <c r="B164" s="1" t="n">
        <v>45244</v>
      </c>
      <c r="C164" s="1" t="n">
        <v>45709</v>
      </c>
      <c r="D164" t="inlineStr">
        <is>
          <t>JÄMTLANDS LÄN</t>
        </is>
      </c>
      <c r="E164" t="inlineStr">
        <is>
          <t>ÖSTERSUND</t>
        </is>
      </c>
      <c r="G164" t="n">
        <v>3.1</v>
      </c>
      <c r="H164" t="n">
        <v>1</v>
      </c>
      <c r="I164" t="n">
        <v>0</v>
      </c>
      <c r="J164" t="n">
        <v>0</v>
      </c>
      <c r="K164" t="n">
        <v>0</v>
      </c>
      <c r="L164" t="n">
        <v>0</v>
      </c>
      <c r="M164" t="n">
        <v>0</v>
      </c>
      <c r="N164" t="n">
        <v>0</v>
      </c>
      <c r="O164" t="n">
        <v>0</v>
      </c>
      <c r="P164" t="n">
        <v>0</v>
      </c>
      <c r="Q164" t="n">
        <v>1</v>
      </c>
      <c r="R164" s="2" t="inlineStr">
        <is>
          <t>Mattlummer</t>
        </is>
      </c>
      <c r="S164">
        <f>HYPERLINK("https://klasma.github.io/Logging_2380/artfynd/A 57864-2023 artfynd.xlsx", "A 57864-2023")</f>
        <v/>
      </c>
      <c r="T164">
        <f>HYPERLINK("https://klasma.github.io/Logging_2380/kartor/A 57864-2023 karta.png", "A 57864-2023")</f>
        <v/>
      </c>
      <c r="V164">
        <f>HYPERLINK("https://klasma.github.io/Logging_2380/klagomål/A 57864-2023 FSC-klagomål.docx", "A 57864-2023")</f>
        <v/>
      </c>
      <c r="W164">
        <f>HYPERLINK("https://klasma.github.io/Logging_2380/klagomålsmail/A 57864-2023 FSC-klagomål mail.docx", "A 57864-2023")</f>
        <v/>
      </c>
      <c r="X164">
        <f>HYPERLINK("https://klasma.github.io/Logging_2380/tillsyn/A 57864-2023 tillsynsbegäran.docx", "A 57864-2023")</f>
        <v/>
      </c>
      <c r="Y164">
        <f>HYPERLINK("https://klasma.github.io/Logging_2380/tillsynsmail/A 57864-2023 tillsynsbegäran mail.docx", "A 57864-2023")</f>
        <v/>
      </c>
    </row>
    <row r="165" ht="15" customHeight="1">
      <c r="A165" t="inlineStr">
        <is>
          <t>A 64380-2023</t>
        </is>
      </c>
      <c r="B165" s="1" t="n">
        <v>45280</v>
      </c>
      <c r="C165" s="1" t="n">
        <v>45709</v>
      </c>
      <c r="D165" t="inlineStr">
        <is>
          <t>JÄMTLANDS LÄN</t>
        </is>
      </c>
      <c r="E165" t="inlineStr">
        <is>
          <t>ÖSTERSUND</t>
        </is>
      </c>
      <c r="G165" t="n">
        <v>12.4</v>
      </c>
      <c r="H165" t="n">
        <v>0</v>
      </c>
      <c r="I165" t="n">
        <v>0</v>
      </c>
      <c r="J165" t="n">
        <v>1</v>
      </c>
      <c r="K165" t="n">
        <v>0</v>
      </c>
      <c r="L165" t="n">
        <v>0</v>
      </c>
      <c r="M165" t="n">
        <v>0</v>
      </c>
      <c r="N165" t="n">
        <v>0</v>
      </c>
      <c r="O165" t="n">
        <v>1</v>
      </c>
      <c r="P165" t="n">
        <v>0</v>
      </c>
      <c r="Q165" t="n">
        <v>1</v>
      </c>
      <c r="R165" s="2" t="inlineStr">
        <is>
          <t>Luddfingersvamp</t>
        </is>
      </c>
      <c r="S165">
        <f>HYPERLINK("https://klasma.github.io/Logging_2380/artfynd/A 64380-2023 artfynd.xlsx", "A 64380-2023")</f>
        <v/>
      </c>
      <c r="T165">
        <f>HYPERLINK("https://klasma.github.io/Logging_2380/kartor/A 64380-2023 karta.png", "A 64380-2023")</f>
        <v/>
      </c>
      <c r="V165">
        <f>HYPERLINK("https://klasma.github.io/Logging_2380/klagomål/A 64380-2023 FSC-klagomål.docx", "A 64380-2023")</f>
        <v/>
      </c>
      <c r="W165">
        <f>HYPERLINK("https://klasma.github.io/Logging_2380/klagomålsmail/A 64380-2023 FSC-klagomål mail.docx", "A 64380-2023")</f>
        <v/>
      </c>
      <c r="X165">
        <f>HYPERLINK("https://klasma.github.io/Logging_2380/tillsyn/A 64380-2023 tillsynsbegäran.docx", "A 64380-2023")</f>
        <v/>
      </c>
      <c r="Y165">
        <f>HYPERLINK("https://klasma.github.io/Logging_2380/tillsynsmail/A 64380-2023 tillsynsbegäran mail.docx", "A 64380-2023")</f>
        <v/>
      </c>
    </row>
    <row r="166" ht="15" customHeight="1">
      <c r="A166" t="inlineStr">
        <is>
          <t>A 3272-2024</t>
        </is>
      </c>
      <c r="B166" s="1" t="n">
        <v>45316</v>
      </c>
      <c r="C166" s="1" t="n">
        <v>45709</v>
      </c>
      <c r="D166" t="inlineStr">
        <is>
          <t>JÄMTLANDS LÄN</t>
        </is>
      </c>
      <c r="E166" t="inlineStr">
        <is>
          <t>ÖSTERSUND</t>
        </is>
      </c>
      <c r="G166" t="n">
        <v>5.6</v>
      </c>
      <c r="H166" t="n">
        <v>1</v>
      </c>
      <c r="I166" t="n">
        <v>1</v>
      </c>
      <c r="J166" t="n">
        <v>0</v>
      </c>
      <c r="K166" t="n">
        <v>0</v>
      </c>
      <c r="L166" t="n">
        <v>0</v>
      </c>
      <c r="M166" t="n">
        <v>0</v>
      </c>
      <c r="N166" t="n">
        <v>0</v>
      </c>
      <c r="O166" t="n">
        <v>0</v>
      </c>
      <c r="P166" t="n">
        <v>0</v>
      </c>
      <c r="Q166" t="n">
        <v>1</v>
      </c>
      <c r="R166" s="2" t="inlineStr">
        <is>
          <t>Korallrot</t>
        </is>
      </c>
      <c r="S166">
        <f>HYPERLINK("https://klasma.github.io/Logging_2380/artfynd/A 3272-2024 artfynd.xlsx", "A 3272-2024")</f>
        <v/>
      </c>
      <c r="T166">
        <f>HYPERLINK("https://klasma.github.io/Logging_2380/kartor/A 3272-2024 karta.png", "A 3272-2024")</f>
        <v/>
      </c>
      <c r="V166">
        <f>HYPERLINK("https://klasma.github.io/Logging_2380/klagomål/A 3272-2024 FSC-klagomål.docx", "A 3272-2024")</f>
        <v/>
      </c>
      <c r="W166">
        <f>HYPERLINK("https://klasma.github.io/Logging_2380/klagomålsmail/A 3272-2024 FSC-klagomål mail.docx", "A 3272-2024")</f>
        <v/>
      </c>
      <c r="X166">
        <f>HYPERLINK("https://klasma.github.io/Logging_2380/tillsyn/A 3272-2024 tillsynsbegäran.docx", "A 3272-2024")</f>
        <v/>
      </c>
      <c r="Y166">
        <f>HYPERLINK("https://klasma.github.io/Logging_2380/tillsynsmail/A 3272-2024 tillsynsbegäran mail.docx", "A 3272-2024")</f>
        <v/>
      </c>
    </row>
    <row r="167" ht="15" customHeight="1">
      <c r="A167" t="inlineStr">
        <is>
          <t>A 5781-2024</t>
        </is>
      </c>
      <c r="B167" s="1" t="n">
        <v>45335</v>
      </c>
      <c r="C167" s="1" t="n">
        <v>45709</v>
      </c>
      <c r="D167" t="inlineStr">
        <is>
          <t>JÄMTLANDS LÄN</t>
        </is>
      </c>
      <c r="E167" t="inlineStr">
        <is>
          <t>ÖSTERSUND</t>
        </is>
      </c>
      <c r="G167" t="n">
        <v>8.800000000000001</v>
      </c>
      <c r="H167" t="n">
        <v>1</v>
      </c>
      <c r="I167" t="n">
        <v>1</v>
      </c>
      <c r="J167" t="n">
        <v>0</v>
      </c>
      <c r="K167" t="n">
        <v>0</v>
      </c>
      <c r="L167" t="n">
        <v>0</v>
      </c>
      <c r="M167" t="n">
        <v>0</v>
      </c>
      <c r="N167" t="n">
        <v>0</v>
      </c>
      <c r="O167" t="n">
        <v>0</v>
      </c>
      <c r="P167" t="n">
        <v>0</v>
      </c>
      <c r="Q167" t="n">
        <v>1</v>
      </c>
      <c r="R167" s="2" t="inlineStr">
        <is>
          <t>Guckusko</t>
        </is>
      </c>
      <c r="S167">
        <f>HYPERLINK("https://klasma.github.io/Logging_2380/artfynd/A 5781-2024 artfynd.xlsx", "A 5781-2024")</f>
        <v/>
      </c>
      <c r="T167">
        <f>HYPERLINK("https://klasma.github.io/Logging_2380/kartor/A 5781-2024 karta.png", "A 5781-2024")</f>
        <v/>
      </c>
      <c r="V167">
        <f>HYPERLINK("https://klasma.github.io/Logging_2380/klagomål/A 5781-2024 FSC-klagomål.docx", "A 5781-2024")</f>
        <v/>
      </c>
      <c r="W167">
        <f>HYPERLINK("https://klasma.github.io/Logging_2380/klagomålsmail/A 5781-2024 FSC-klagomål mail.docx", "A 5781-2024")</f>
        <v/>
      </c>
      <c r="X167">
        <f>HYPERLINK("https://klasma.github.io/Logging_2380/tillsyn/A 5781-2024 tillsynsbegäran.docx", "A 5781-2024")</f>
        <v/>
      </c>
      <c r="Y167">
        <f>HYPERLINK("https://klasma.github.io/Logging_2380/tillsynsmail/A 5781-2024 tillsynsbegäran mail.docx", "A 5781-2024")</f>
        <v/>
      </c>
    </row>
    <row r="168" ht="15" customHeight="1">
      <c r="A168" t="inlineStr">
        <is>
          <t>A 5779-2024</t>
        </is>
      </c>
      <c r="B168" s="1" t="n">
        <v>45335</v>
      </c>
      <c r="C168" s="1" t="n">
        <v>45709</v>
      </c>
      <c r="D168" t="inlineStr">
        <is>
          <t>JÄMTLANDS LÄN</t>
        </is>
      </c>
      <c r="E168" t="inlineStr">
        <is>
          <t>ÖSTERSUND</t>
        </is>
      </c>
      <c r="G168" t="n">
        <v>9.9</v>
      </c>
      <c r="H168" t="n">
        <v>0</v>
      </c>
      <c r="I168" t="n">
        <v>1</v>
      </c>
      <c r="J168" t="n">
        <v>0</v>
      </c>
      <c r="K168" t="n">
        <v>0</v>
      </c>
      <c r="L168" t="n">
        <v>0</v>
      </c>
      <c r="M168" t="n">
        <v>0</v>
      </c>
      <c r="N168" t="n">
        <v>0</v>
      </c>
      <c r="O168" t="n">
        <v>0</v>
      </c>
      <c r="P168" t="n">
        <v>0</v>
      </c>
      <c r="Q168" t="n">
        <v>1</v>
      </c>
      <c r="R168" s="2" t="inlineStr">
        <is>
          <t>Kransrams</t>
        </is>
      </c>
      <c r="S168">
        <f>HYPERLINK("https://klasma.github.io/Logging_2380/artfynd/A 5779-2024 artfynd.xlsx", "A 5779-2024")</f>
        <v/>
      </c>
      <c r="T168">
        <f>HYPERLINK("https://klasma.github.io/Logging_2380/kartor/A 5779-2024 karta.png", "A 5779-2024")</f>
        <v/>
      </c>
      <c r="V168">
        <f>HYPERLINK("https://klasma.github.io/Logging_2380/klagomål/A 5779-2024 FSC-klagomål.docx", "A 5779-2024")</f>
        <v/>
      </c>
      <c r="W168">
        <f>HYPERLINK("https://klasma.github.io/Logging_2380/klagomålsmail/A 5779-2024 FSC-klagomål mail.docx", "A 5779-2024")</f>
        <v/>
      </c>
      <c r="X168">
        <f>HYPERLINK("https://klasma.github.io/Logging_2380/tillsyn/A 5779-2024 tillsynsbegäran.docx", "A 5779-2024")</f>
        <v/>
      </c>
      <c r="Y168">
        <f>HYPERLINK("https://klasma.github.io/Logging_2380/tillsynsmail/A 5779-2024 tillsynsbegäran mail.docx", "A 5779-2024")</f>
        <v/>
      </c>
    </row>
    <row r="169" ht="15" customHeight="1">
      <c r="A169" t="inlineStr">
        <is>
          <t>A 11513-2024</t>
        </is>
      </c>
      <c r="B169" s="1" t="n">
        <v>45372</v>
      </c>
      <c r="C169" s="1" t="n">
        <v>45709</v>
      </c>
      <c r="D169" t="inlineStr">
        <is>
          <t>JÄMTLANDS LÄN</t>
        </is>
      </c>
      <c r="E169" t="inlineStr">
        <is>
          <t>ÖSTERSUND</t>
        </is>
      </c>
      <c r="G169" t="n">
        <v>21.2</v>
      </c>
      <c r="H169" t="n">
        <v>0</v>
      </c>
      <c r="I169" t="n">
        <v>1</v>
      </c>
      <c r="J169" t="n">
        <v>0</v>
      </c>
      <c r="K169" t="n">
        <v>0</v>
      </c>
      <c r="L169" t="n">
        <v>0</v>
      </c>
      <c r="M169" t="n">
        <v>0</v>
      </c>
      <c r="N169" t="n">
        <v>0</v>
      </c>
      <c r="O169" t="n">
        <v>0</v>
      </c>
      <c r="P169" t="n">
        <v>0</v>
      </c>
      <c r="Q169" t="n">
        <v>1</v>
      </c>
      <c r="R169" s="2" t="inlineStr">
        <is>
          <t>Tibast</t>
        </is>
      </c>
      <c r="S169">
        <f>HYPERLINK("https://klasma.github.io/Logging_2380/artfynd/A 11513-2024 artfynd.xlsx", "A 11513-2024")</f>
        <v/>
      </c>
      <c r="T169">
        <f>HYPERLINK("https://klasma.github.io/Logging_2380/kartor/A 11513-2024 karta.png", "A 11513-2024")</f>
        <v/>
      </c>
      <c r="V169">
        <f>HYPERLINK("https://klasma.github.io/Logging_2380/klagomål/A 11513-2024 FSC-klagomål.docx", "A 11513-2024")</f>
        <v/>
      </c>
      <c r="W169">
        <f>HYPERLINK("https://klasma.github.io/Logging_2380/klagomålsmail/A 11513-2024 FSC-klagomål mail.docx", "A 11513-2024")</f>
        <v/>
      </c>
      <c r="X169">
        <f>HYPERLINK("https://klasma.github.io/Logging_2380/tillsyn/A 11513-2024 tillsynsbegäran.docx", "A 11513-2024")</f>
        <v/>
      </c>
      <c r="Y169">
        <f>HYPERLINK("https://klasma.github.io/Logging_2380/tillsynsmail/A 11513-2024 tillsynsbegäran mail.docx", "A 11513-2024")</f>
        <v/>
      </c>
    </row>
    <row r="170" ht="15" customHeight="1">
      <c r="A170" t="inlineStr">
        <is>
          <t>A 15090-2024</t>
        </is>
      </c>
      <c r="B170" s="1" t="n">
        <v>45399</v>
      </c>
      <c r="C170" s="1" t="n">
        <v>45709</v>
      </c>
      <c r="D170" t="inlineStr">
        <is>
          <t>JÄMTLANDS LÄN</t>
        </is>
      </c>
      <c r="E170" t="inlineStr">
        <is>
          <t>ÖSTERSUND</t>
        </is>
      </c>
      <c r="G170" t="n">
        <v>18</v>
      </c>
      <c r="H170" t="n">
        <v>0</v>
      </c>
      <c r="I170" t="n">
        <v>1</v>
      </c>
      <c r="J170" t="n">
        <v>0</v>
      </c>
      <c r="K170" t="n">
        <v>0</v>
      </c>
      <c r="L170" t="n">
        <v>0</v>
      </c>
      <c r="M170" t="n">
        <v>0</v>
      </c>
      <c r="N170" t="n">
        <v>0</v>
      </c>
      <c r="O170" t="n">
        <v>0</v>
      </c>
      <c r="P170" t="n">
        <v>0</v>
      </c>
      <c r="Q170" t="n">
        <v>1</v>
      </c>
      <c r="R170" s="2" t="inlineStr">
        <is>
          <t>Svavelriska</t>
        </is>
      </c>
      <c r="S170">
        <f>HYPERLINK("https://klasma.github.io/Logging_2380/artfynd/A 15090-2024 artfynd.xlsx", "A 15090-2024")</f>
        <v/>
      </c>
      <c r="T170">
        <f>HYPERLINK("https://klasma.github.io/Logging_2380/kartor/A 15090-2024 karta.png", "A 15090-2024")</f>
        <v/>
      </c>
      <c r="V170">
        <f>HYPERLINK("https://klasma.github.io/Logging_2380/klagomål/A 15090-2024 FSC-klagomål.docx", "A 15090-2024")</f>
        <v/>
      </c>
      <c r="W170">
        <f>HYPERLINK("https://klasma.github.io/Logging_2380/klagomålsmail/A 15090-2024 FSC-klagomål mail.docx", "A 15090-2024")</f>
        <v/>
      </c>
      <c r="X170">
        <f>HYPERLINK("https://klasma.github.io/Logging_2380/tillsyn/A 15090-2024 tillsynsbegäran.docx", "A 15090-2024")</f>
        <v/>
      </c>
      <c r="Y170">
        <f>HYPERLINK("https://klasma.github.io/Logging_2380/tillsynsmail/A 15090-2024 tillsynsbegäran mail.docx", "A 15090-2024")</f>
        <v/>
      </c>
    </row>
    <row r="171" ht="15" customHeight="1">
      <c r="A171" t="inlineStr">
        <is>
          <t>A 18951-2024</t>
        </is>
      </c>
      <c r="B171" s="1" t="n">
        <v>45427</v>
      </c>
      <c r="C171" s="1" t="n">
        <v>45709</v>
      </c>
      <c r="D171" t="inlineStr">
        <is>
          <t>JÄMTLANDS LÄN</t>
        </is>
      </c>
      <c r="E171" t="inlineStr">
        <is>
          <t>ÖSTERSUND</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HYPERLINK("https://klasma.github.io/Logging_2380/artfynd/A 18951-2024 artfynd.xlsx", "A 18951-2024")</f>
        <v/>
      </c>
      <c r="T171">
        <f>HYPERLINK("https://klasma.github.io/Logging_2380/kartor/A 18951-2024 karta.png", "A 18951-2024")</f>
        <v/>
      </c>
      <c r="V171">
        <f>HYPERLINK("https://klasma.github.io/Logging_2380/klagomål/A 18951-2024 FSC-klagomål.docx", "A 18951-2024")</f>
        <v/>
      </c>
      <c r="W171">
        <f>HYPERLINK("https://klasma.github.io/Logging_2380/klagomålsmail/A 18951-2024 FSC-klagomål mail.docx", "A 18951-2024")</f>
        <v/>
      </c>
      <c r="X171">
        <f>HYPERLINK("https://klasma.github.io/Logging_2380/tillsyn/A 18951-2024 tillsynsbegäran.docx", "A 18951-2024")</f>
        <v/>
      </c>
      <c r="Y171">
        <f>HYPERLINK("https://klasma.github.io/Logging_2380/tillsynsmail/A 18951-2024 tillsynsbegäran mail.docx", "A 18951-2024")</f>
        <v/>
      </c>
    </row>
    <row r="172" ht="15" customHeight="1">
      <c r="A172" t="inlineStr">
        <is>
          <t>A 21614-2024</t>
        </is>
      </c>
      <c r="B172" s="1" t="n">
        <v>45442</v>
      </c>
      <c r="C172" s="1" t="n">
        <v>45709</v>
      </c>
      <c r="D172" t="inlineStr">
        <is>
          <t>JÄMTLANDS LÄN</t>
        </is>
      </c>
      <c r="E172" t="inlineStr">
        <is>
          <t>ÖSTERSUND</t>
        </is>
      </c>
      <c r="F172" t="inlineStr">
        <is>
          <t>SCA</t>
        </is>
      </c>
      <c r="G172" t="n">
        <v>3.5</v>
      </c>
      <c r="H172" t="n">
        <v>0</v>
      </c>
      <c r="I172" t="n">
        <v>0</v>
      </c>
      <c r="J172" t="n">
        <v>1</v>
      </c>
      <c r="K172" t="n">
        <v>0</v>
      </c>
      <c r="L172" t="n">
        <v>0</v>
      </c>
      <c r="M172" t="n">
        <v>0</v>
      </c>
      <c r="N172" t="n">
        <v>0</v>
      </c>
      <c r="O172" t="n">
        <v>1</v>
      </c>
      <c r="P172" t="n">
        <v>0</v>
      </c>
      <c r="Q172" t="n">
        <v>1</v>
      </c>
      <c r="R172" s="2" t="inlineStr">
        <is>
          <t>Lunglav</t>
        </is>
      </c>
      <c r="S172">
        <f>HYPERLINK("https://klasma.github.io/Logging_2380/artfynd/A 21614-2024 artfynd.xlsx", "A 21614-2024")</f>
        <v/>
      </c>
      <c r="T172">
        <f>HYPERLINK("https://klasma.github.io/Logging_2380/kartor/A 21614-2024 karta.png", "A 21614-2024")</f>
        <v/>
      </c>
      <c r="U172">
        <f>HYPERLINK("https://klasma.github.io/Logging_2380/knärot/A 21614-2024 karta knärot.png", "A 21614-2024")</f>
        <v/>
      </c>
      <c r="V172">
        <f>HYPERLINK("https://klasma.github.io/Logging_2380/klagomål/A 21614-2024 FSC-klagomål.docx", "A 21614-2024")</f>
        <v/>
      </c>
      <c r="W172">
        <f>HYPERLINK("https://klasma.github.io/Logging_2380/klagomålsmail/A 21614-2024 FSC-klagomål mail.docx", "A 21614-2024")</f>
        <v/>
      </c>
      <c r="X172">
        <f>HYPERLINK("https://klasma.github.io/Logging_2380/tillsyn/A 21614-2024 tillsynsbegäran.docx", "A 21614-2024")</f>
        <v/>
      </c>
      <c r="Y172">
        <f>HYPERLINK("https://klasma.github.io/Logging_2380/tillsynsmail/A 21614-2024 tillsynsbegäran mail.docx", "A 21614-2024")</f>
        <v/>
      </c>
    </row>
    <row r="173" ht="15" customHeight="1">
      <c r="A173" t="inlineStr">
        <is>
          <t>A 31883-2024</t>
        </is>
      </c>
      <c r="B173" s="1" t="n">
        <v>45510</v>
      </c>
      <c r="C173" s="1" t="n">
        <v>45709</v>
      </c>
      <c r="D173" t="inlineStr">
        <is>
          <t>JÄMTLANDS LÄN</t>
        </is>
      </c>
      <c r="E173" t="inlineStr">
        <is>
          <t>ÖSTERSUND</t>
        </is>
      </c>
      <c r="F173" t="inlineStr">
        <is>
          <t>SCA</t>
        </is>
      </c>
      <c r="G173" t="n">
        <v>3.3</v>
      </c>
      <c r="H173" t="n">
        <v>1</v>
      </c>
      <c r="I173" t="n">
        <v>0</v>
      </c>
      <c r="J173" t="n">
        <v>0</v>
      </c>
      <c r="K173" t="n">
        <v>1</v>
      </c>
      <c r="L173" t="n">
        <v>0</v>
      </c>
      <c r="M173" t="n">
        <v>0</v>
      </c>
      <c r="N173" t="n">
        <v>0</v>
      </c>
      <c r="O173" t="n">
        <v>1</v>
      </c>
      <c r="P173" t="n">
        <v>1</v>
      </c>
      <c r="Q173" t="n">
        <v>1</v>
      </c>
      <c r="R173" s="2" t="inlineStr">
        <is>
          <t>Doftticka</t>
        </is>
      </c>
      <c r="S173">
        <f>HYPERLINK("https://klasma.github.io/Logging_2380/artfynd/A 31883-2024 artfynd.xlsx", "A 31883-2024")</f>
        <v/>
      </c>
      <c r="T173">
        <f>HYPERLINK("https://klasma.github.io/Logging_2380/kartor/A 31883-2024 karta.png", "A 31883-2024")</f>
        <v/>
      </c>
      <c r="V173">
        <f>HYPERLINK("https://klasma.github.io/Logging_2380/klagomål/A 31883-2024 FSC-klagomål.docx", "A 31883-2024")</f>
        <v/>
      </c>
      <c r="W173">
        <f>HYPERLINK("https://klasma.github.io/Logging_2380/klagomålsmail/A 31883-2024 FSC-klagomål mail.docx", "A 31883-2024")</f>
        <v/>
      </c>
      <c r="X173">
        <f>HYPERLINK("https://klasma.github.io/Logging_2380/tillsyn/A 31883-2024 tillsynsbegäran.docx", "A 31883-2024")</f>
        <v/>
      </c>
      <c r="Y173">
        <f>HYPERLINK("https://klasma.github.io/Logging_2380/tillsynsmail/A 31883-2024 tillsynsbegäran mail.docx", "A 31883-2024")</f>
        <v/>
      </c>
    </row>
    <row r="174" ht="15" customHeight="1">
      <c r="A174" t="inlineStr">
        <is>
          <t>A 35422-2024</t>
        </is>
      </c>
      <c r="B174" s="1" t="n">
        <v>45531</v>
      </c>
      <c r="C174" s="1" t="n">
        <v>45709</v>
      </c>
      <c r="D174" t="inlineStr">
        <is>
          <t>JÄMTLANDS LÄN</t>
        </is>
      </c>
      <c r="E174" t="inlineStr">
        <is>
          <t>ÖSTERSUND</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HYPERLINK("https://klasma.github.io/Logging_2380/artfynd/A 35422-2024 artfynd.xlsx", "A 35422-2024")</f>
        <v/>
      </c>
      <c r="T174">
        <f>HYPERLINK("https://klasma.github.io/Logging_2380/kartor/A 35422-2024 karta.png", "A 35422-2024")</f>
        <v/>
      </c>
      <c r="V174">
        <f>HYPERLINK("https://klasma.github.io/Logging_2380/klagomål/A 35422-2024 FSC-klagomål.docx", "A 35422-2024")</f>
        <v/>
      </c>
      <c r="W174">
        <f>HYPERLINK("https://klasma.github.io/Logging_2380/klagomålsmail/A 35422-2024 FSC-klagomål mail.docx", "A 35422-2024")</f>
        <v/>
      </c>
      <c r="X174">
        <f>HYPERLINK("https://klasma.github.io/Logging_2380/tillsyn/A 35422-2024 tillsynsbegäran.docx", "A 35422-2024")</f>
        <v/>
      </c>
      <c r="Y174">
        <f>HYPERLINK("https://klasma.github.io/Logging_2380/tillsynsmail/A 35422-2024 tillsynsbegäran mail.docx", "A 35422-2024")</f>
        <v/>
      </c>
    </row>
    <row r="175" ht="15" customHeight="1">
      <c r="A175" t="inlineStr">
        <is>
          <t>A 35421-2024</t>
        </is>
      </c>
      <c r="B175" s="1" t="n">
        <v>45531</v>
      </c>
      <c r="C175" s="1" t="n">
        <v>45709</v>
      </c>
      <c r="D175" t="inlineStr">
        <is>
          <t>JÄMTLANDS LÄN</t>
        </is>
      </c>
      <c r="E175" t="inlineStr">
        <is>
          <t>ÖSTERSUND</t>
        </is>
      </c>
      <c r="F175" t="inlineStr">
        <is>
          <t>SCA</t>
        </is>
      </c>
      <c r="G175" t="n">
        <v>1.6</v>
      </c>
      <c r="H175" t="n">
        <v>0</v>
      </c>
      <c r="I175" t="n">
        <v>1</v>
      </c>
      <c r="J175" t="n">
        <v>0</v>
      </c>
      <c r="K175" t="n">
        <v>0</v>
      </c>
      <c r="L175" t="n">
        <v>0</v>
      </c>
      <c r="M175" t="n">
        <v>0</v>
      </c>
      <c r="N175" t="n">
        <v>0</v>
      </c>
      <c r="O175" t="n">
        <v>0</v>
      </c>
      <c r="P175" t="n">
        <v>0</v>
      </c>
      <c r="Q175" t="n">
        <v>1</v>
      </c>
      <c r="R175" s="2" t="inlineStr">
        <is>
          <t>Dropptaggsvamp</t>
        </is>
      </c>
      <c r="S175">
        <f>HYPERLINK("https://klasma.github.io/Logging_2380/artfynd/A 35421-2024 artfynd.xlsx", "A 35421-2024")</f>
        <v/>
      </c>
      <c r="T175">
        <f>HYPERLINK("https://klasma.github.io/Logging_2380/kartor/A 35421-2024 karta.png", "A 35421-2024")</f>
        <v/>
      </c>
      <c r="V175">
        <f>HYPERLINK("https://klasma.github.io/Logging_2380/klagomål/A 35421-2024 FSC-klagomål.docx", "A 35421-2024")</f>
        <v/>
      </c>
      <c r="W175">
        <f>HYPERLINK("https://klasma.github.io/Logging_2380/klagomålsmail/A 35421-2024 FSC-klagomål mail.docx", "A 35421-2024")</f>
        <v/>
      </c>
      <c r="X175">
        <f>HYPERLINK("https://klasma.github.io/Logging_2380/tillsyn/A 35421-2024 tillsynsbegäran.docx", "A 35421-2024")</f>
        <v/>
      </c>
      <c r="Y175">
        <f>HYPERLINK("https://klasma.github.io/Logging_2380/tillsynsmail/A 35421-2024 tillsynsbegäran mail.docx", "A 35421-2024")</f>
        <v/>
      </c>
    </row>
    <row r="176" ht="15" customHeight="1">
      <c r="A176" t="inlineStr">
        <is>
          <t>A 36472-2024</t>
        </is>
      </c>
      <c r="B176" s="1" t="n">
        <v>45537</v>
      </c>
      <c r="C176" s="1" t="n">
        <v>45709</v>
      </c>
      <c r="D176" t="inlineStr">
        <is>
          <t>JÄMTLANDS LÄN</t>
        </is>
      </c>
      <c r="E176" t="inlineStr">
        <is>
          <t>ÖSTERSUND</t>
        </is>
      </c>
      <c r="F176" t="inlineStr">
        <is>
          <t>SCA</t>
        </is>
      </c>
      <c r="G176" t="n">
        <v>2.1</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36472-2024 artfynd.xlsx", "A 36472-2024")</f>
        <v/>
      </c>
      <c r="T176">
        <f>HYPERLINK("https://klasma.github.io/Logging_2380/kartor/A 36472-2024 karta.png", "A 36472-2024")</f>
        <v/>
      </c>
      <c r="V176">
        <f>HYPERLINK("https://klasma.github.io/Logging_2380/klagomål/A 36472-2024 FSC-klagomål.docx", "A 36472-2024")</f>
        <v/>
      </c>
      <c r="W176">
        <f>HYPERLINK("https://klasma.github.io/Logging_2380/klagomålsmail/A 36472-2024 FSC-klagomål mail.docx", "A 36472-2024")</f>
        <v/>
      </c>
      <c r="X176">
        <f>HYPERLINK("https://klasma.github.io/Logging_2380/tillsyn/A 36472-2024 tillsynsbegäran.docx", "A 36472-2024")</f>
        <v/>
      </c>
      <c r="Y176">
        <f>HYPERLINK("https://klasma.github.io/Logging_2380/tillsynsmail/A 36472-2024 tillsynsbegäran mail.docx", "A 36472-2024")</f>
        <v/>
      </c>
    </row>
    <row r="177" ht="15" customHeight="1">
      <c r="A177" t="inlineStr">
        <is>
          <t>A 40694-2024</t>
        </is>
      </c>
      <c r="B177" s="1" t="n">
        <v>45558</v>
      </c>
      <c r="C177" s="1" t="n">
        <v>45709</v>
      </c>
      <c r="D177" t="inlineStr">
        <is>
          <t>JÄMTLANDS LÄN</t>
        </is>
      </c>
      <c r="E177" t="inlineStr">
        <is>
          <t>ÖSTERSUND</t>
        </is>
      </c>
      <c r="F177" t="inlineStr">
        <is>
          <t>SCA</t>
        </is>
      </c>
      <c r="G177" t="n">
        <v>6.2</v>
      </c>
      <c r="H177" t="n">
        <v>0</v>
      </c>
      <c r="I177" t="n">
        <v>0</v>
      </c>
      <c r="J177" t="n">
        <v>1</v>
      </c>
      <c r="K177" t="n">
        <v>0</v>
      </c>
      <c r="L177" t="n">
        <v>0</v>
      </c>
      <c r="M177" t="n">
        <v>0</v>
      </c>
      <c r="N177" t="n">
        <v>0</v>
      </c>
      <c r="O177" t="n">
        <v>1</v>
      </c>
      <c r="P177" t="n">
        <v>0</v>
      </c>
      <c r="Q177" t="n">
        <v>1</v>
      </c>
      <c r="R177" s="2" t="inlineStr">
        <is>
          <t>Reliktbock</t>
        </is>
      </c>
      <c r="S177">
        <f>HYPERLINK("https://klasma.github.io/Logging_2380/artfynd/A 40694-2024 artfynd.xlsx", "A 40694-2024")</f>
        <v/>
      </c>
      <c r="T177">
        <f>HYPERLINK("https://klasma.github.io/Logging_2380/kartor/A 40694-2024 karta.png", "A 40694-2024")</f>
        <v/>
      </c>
      <c r="V177">
        <f>HYPERLINK("https://klasma.github.io/Logging_2380/klagomål/A 40694-2024 FSC-klagomål.docx", "A 40694-2024")</f>
        <v/>
      </c>
      <c r="W177">
        <f>HYPERLINK("https://klasma.github.io/Logging_2380/klagomålsmail/A 40694-2024 FSC-klagomål mail.docx", "A 40694-2024")</f>
        <v/>
      </c>
      <c r="X177">
        <f>HYPERLINK("https://klasma.github.io/Logging_2380/tillsyn/A 40694-2024 tillsynsbegäran.docx", "A 40694-2024")</f>
        <v/>
      </c>
      <c r="Y177">
        <f>HYPERLINK("https://klasma.github.io/Logging_2380/tillsynsmail/A 40694-2024 tillsynsbegäran mail.docx", "A 40694-2024")</f>
        <v/>
      </c>
    </row>
    <row r="178" ht="15" customHeight="1">
      <c r="A178" t="inlineStr">
        <is>
          <t>A 40692-2024</t>
        </is>
      </c>
      <c r="B178" s="1" t="n">
        <v>45558</v>
      </c>
      <c r="C178" s="1" t="n">
        <v>45709</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40696-2024</t>
        </is>
      </c>
      <c r="B179" s="1" t="n">
        <v>45558</v>
      </c>
      <c r="C179" s="1" t="n">
        <v>45709</v>
      </c>
      <c r="D179" t="inlineStr">
        <is>
          <t>JÄMTLANDS LÄN</t>
        </is>
      </c>
      <c r="E179" t="inlineStr">
        <is>
          <t>ÖSTERSUND</t>
        </is>
      </c>
      <c r="F179" t="inlineStr">
        <is>
          <t>SCA</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HYPERLINK("https://klasma.github.io/Logging_2380/artfynd/A 40696-2024 artfynd.xlsx", "A 40696-2024")</f>
        <v/>
      </c>
      <c r="T179">
        <f>HYPERLINK("https://klasma.github.io/Logging_2380/kartor/A 40696-2024 karta.png", "A 40696-2024")</f>
        <v/>
      </c>
      <c r="V179">
        <f>HYPERLINK("https://klasma.github.io/Logging_2380/klagomål/A 40696-2024 FSC-klagomål.docx", "A 40696-2024")</f>
        <v/>
      </c>
      <c r="W179">
        <f>HYPERLINK("https://klasma.github.io/Logging_2380/klagomålsmail/A 40696-2024 FSC-klagomål mail.docx", "A 40696-2024")</f>
        <v/>
      </c>
      <c r="X179">
        <f>HYPERLINK("https://klasma.github.io/Logging_2380/tillsyn/A 40696-2024 tillsynsbegäran.docx", "A 40696-2024")</f>
        <v/>
      </c>
      <c r="Y179">
        <f>HYPERLINK("https://klasma.github.io/Logging_2380/tillsynsmail/A 40696-2024 tillsynsbegäran mail.docx", "A 40696-2024")</f>
        <v/>
      </c>
    </row>
    <row r="180" ht="15" customHeight="1">
      <c r="A180" t="inlineStr">
        <is>
          <t>A 41312-2024</t>
        </is>
      </c>
      <c r="B180" s="1" t="n">
        <v>45559</v>
      </c>
      <c r="C180" s="1" t="n">
        <v>45709</v>
      </c>
      <c r="D180" t="inlineStr">
        <is>
          <t>JÄMTLANDS LÄN</t>
        </is>
      </c>
      <c r="E180" t="inlineStr">
        <is>
          <t>ÖSTERSUND</t>
        </is>
      </c>
      <c r="F180" t="inlineStr">
        <is>
          <t>SCA</t>
        </is>
      </c>
      <c r="G180" t="n">
        <v>2.6</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41312-2024 artfynd.xlsx", "A 41312-2024")</f>
        <v/>
      </c>
      <c r="T180">
        <f>HYPERLINK("https://klasma.github.io/Logging_2380/kartor/A 41312-2024 karta.png", "A 41312-2024")</f>
        <v/>
      </c>
      <c r="V180">
        <f>HYPERLINK("https://klasma.github.io/Logging_2380/klagomål/A 41312-2024 FSC-klagomål.docx", "A 41312-2024")</f>
        <v/>
      </c>
      <c r="W180">
        <f>HYPERLINK("https://klasma.github.io/Logging_2380/klagomålsmail/A 41312-2024 FSC-klagomål mail.docx", "A 41312-2024")</f>
        <v/>
      </c>
      <c r="X180">
        <f>HYPERLINK("https://klasma.github.io/Logging_2380/tillsyn/A 41312-2024 tillsynsbegäran.docx", "A 41312-2024")</f>
        <v/>
      </c>
      <c r="Y180">
        <f>HYPERLINK("https://klasma.github.io/Logging_2380/tillsynsmail/A 41312-2024 tillsynsbegäran mail.docx", "A 41312-2024")</f>
        <v/>
      </c>
    </row>
    <row r="181" ht="15" customHeight="1">
      <c r="A181" t="inlineStr">
        <is>
          <t>A 41275-2024</t>
        </is>
      </c>
      <c r="B181" s="1" t="n">
        <v>45559</v>
      </c>
      <c r="C181" s="1" t="n">
        <v>45709</v>
      </c>
      <c r="D181" t="inlineStr">
        <is>
          <t>JÄMTLANDS LÄN</t>
        </is>
      </c>
      <c r="E181" t="inlineStr">
        <is>
          <t>ÖSTERSUND</t>
        </is>
      </c>
      <c r="F181" t="inlineStr">
        <is>
          <t>SCA</t>
        </is>
      </c>
      <c r="G181" t="n">
        <v>3.3</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41275-2024 artfynd.xlsx", "A 41275-2024")</f>
        <v/>
      </c>
      <c r="T181">
        <f>HYPERLINK("https://klasma.github.io/Logging_2380/kartor/A 41275-2024 karta.png", "A 41275-2024")</f>
        <v/>
      </c>
      <c r="V181">
        <f>HYPERLINK("https://klasma.github.io/Logging_2380/klagomål/A 41275-2024 FSC-klagomål.docx", "A 41275-2024")</f>
        <v/>
      </c>
      <c r="W181">
        <f>HYPERLINK("https://klasma.github.io/Logging_2380/klagomålsmail/A 41275-2024 FSC-klagomål mail.docx", "A 41275-2024")</f>
        <v/>
      </c>
      <c r="X181">
        <f>HYPERLINK("https://klasma.github.io/Logging_2380/tillsyn/A 41275-2024 tillsynsbegäran.docx", "A 41275-2024")</f>
        <v/>
      </c>
      <c r="Y181">
        <f>HYPERLINK("https://klasma.github.io/Logging_2380/tillsynsmail/A 41275-2024 tillsynsbegäran mail.docx", "A 41275-2024")</f>
        <v/>
      </c>
    </row>
    <row r="182" ht="15" customHeight="1">
      <c r="A182" t="inlineStr">
        <is>
          <t>A 41279-2024</t>
        </is>
      </c>
      <c r="B182" s="1" t="n">
        <v>45559</v>
      </c>
      <c r="C182" s="1" t="n">
        <v>45709</v>
      </c>
      <c r="D182" t="inlineStr">
        <is>
          <t>JÄMTLANDS LÄN</t>
        </is>
      </c>
      <c r="E182" t="inlineStr">
        <is>
          <t>ÖSTERSUND</t>
        </is>
      </c>
      <c r="F182" t="inlineStr">
        <is>
          <t>SCA</t>
        </is>
      </c>
      <c r="G182" t="n">
        <v>1.6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41279-2024 artfynd.xlsx", "A 41279-2024")</f>
        <v/>
      </c>
      <c r="T182">
        <f>HYPERLINK("https://klasma.github.io/Logging_2380/kartor/A 41279-2024 karta.png", "A 41279-2024")</f>
        <v/>
      </c>
      <c r="V182">
        <f>HYPERLINK("https://klasma.github.io/Logging_2380/klagomål/A 41279-2024 FSC-klagomål.docx", "A 41279-2024")</f>
        <v/>
      </c>
      <c r="W182">
        <f>HYPERLINK("https://klasma.github.io/Logging_2380/klagomålsmail/A 41279-2024 FSC-klagomål mail.docx", "A 41279-2024")</f>
        <v/>
      </c>
      <c r="X182">
        <f>HYPERLINK("https://klasma.github.io/Logging_2380/tillsyn/A 41279-2024 tillsynsbegäran.docx", "A 41279-2024")</f>
        <v/>
      </c>
      <c r="Y182">
        <f>HYPERLINK("https://klasma.github.io/Logging_2380/tillsynsmail/A 41279-2024 tillsynsbegäran mail.docx", "A 41279-2024")</f>
        <v/>
      </c>
    </row>
    <row r="183" ht="15" customHeight="1">
      <c r="A183" t="inlineStr">
        <is>
          <t>A 41286-2024</t>
        </is>
      </c>
      <c r="B183" s="1" t="n">
        <v>45559</v>
      </c>
      <c r="C183" s="1" t="n">
        <v>45709</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41286-2024 artfynd.xlsx", "A 41286-2024")</f>
        <v/>
      </c>
      <c r="T183">
        <f>HYPERLINK("https://klasma.github.io/Logging_2380/kartor/A 41286-2024 karta.png", "A 41286-2024")</f>
        <v/>
      </c>
      <c r="V183">
        <f>HYPERLINK("https://klasma.github.io/Logging_2380/klagomål/A 41286-2024 FSC-klagomål.docx", "A 41286-2024")</f>
        <v/>
      </c>
      <c r="W183">
        <f>HYPERLINK("https://klasma.github.io/Logging_2380/klagomålsmail/A 41286-2024 FSC-klagomål mail.docx", "A 41286-2024")</f>
        <v/>
      </c>
      <c r="X183">
        <f>HYPERLINK("https://klasma.github.io/Logging_2380/tillsyn/A 41286-2024 tillsynsbegäran.docx", "A 41286-2024")</f>
        <v/>
      </c>
      <c r="Y183">
        <f>HYPERLINK("https://klasma.github.io/Logging_2380/tillsynsmail/A 41286-2024 tillsynsbegäran mail.docx", "A 41286-2024")</f>
        <v/>
      </c>
    </row>
    <row r="184" ht="15" customHeight="1">
      <c r="A184" t="inlineStr">
        <is>
          <t>A 41755-2024</t>
        </is>
      </c>
      <c r="B184" s="1" t="n">
        <v>45561</v>
      </c>
      <c r="C184" s="1" t="n">
        <v>45709</v>
      </c>
      <c r="D184" t="inlineStr">
        <is>
          <t>JÄMTLANDS LÄN</t>
        </is>
      </c>
      <c r="E184" t="inlineStr">
        <is>
          <t>ÖSTERSUND</t>
        </is>
      </c>
      <c r="F184" t="inlineStr">
        <is>
          <t>SCA</t>
        </is>
      </c>
      <c r="G184" t="n">
        <v>4.4</v>
      </c>
      <c r="H184" t="n">
        <v>0</v>
      </c>
      <c r="I184" t="n">
        <v>0</v>
      </c>
      <c r="J184" t="n">
        <v>1</v>
      </c>
      <c r="K184" t="n">
        <v>0</v>
      </c>
      <c r="L184" t="n">
        <v>0</v>
      </c>
      <c r="M184" t="n">
        <v>0</v>
      </c>
      <c r="N184" t="n">
        <v>0</v>
      </c>
      <c r="O184" t="n">
        <v>1</v>
      </c>
      <c r="P184" t="n">
        <v>0</v>
      </c>
      <c r="Q184" t="n">
        <v>1</v>
      </c>
      <c r="R184" s="2" t="inlineStr">
        <is>
          <t>Lunglav</t>
        </is>
      </c>
      <c r="S184">
        <f>HYPERLINK("https://klasma.github.io/Logging_2380/artfynd/A 41755-2024 artfynd.xlsx", "A 41755-2024")</f>
        <v/>
      </c>
      <c r="T184">
        <f>HYPERLINK("https://klasma.github.io/Logging_2380/kartor/A 41755-2024 karta.png", "A 41755-2024")</f>
        <v/>
      </c>
      <c r="V184">
        <f>HYPERLINK("https://klasma.github.io/Logging_2380/klagomål/A 41755-2024 FSC-klagomål.docx", "A 41755-2024")</f>
        <v/>
      </c>
      <c r="W184">
        <f>HYPERLINK("https://klasma.github.io/Logging_2380/klagomålsmail/A 41755-2024 FSC-klagomål mail.docx", "A 41755-2024")</f>
        <v/>
      </c>
      <c r="X184">
        <f>HYPERLINK("https://klasma.github.io/Logging_2380/tillsyn/A 41755-2024 tillsynsbegäran.docx", "A 41755-2024")</f>
        <v/>
      </c>
      <c r="Y184">
        <f>HYPERLINK("https://klasma.github.io/Logging_2380/tillsynsmail/A 41755-2024 tillsynsbegäran mail.docx", "A 41755-2024")</f>
        <v/>
      </c>
    </row>
    <row r="185" ht="15" customHeight="1">
      <c r="A185" t="inlineStr">
        <is>
          <t>A 41762-2024</t>
        </is>
      </c>
      <c r="B185" s="1" t="n">
        <v>45561</v>
      </c>
      <c r="C185" s="1" t="n">
        <v>45709</v>
      </c>
      <c r="D185" t="inlineStr">
        <is>
          <t>JÄMTLANDS LÄN</t>
        </is>
      </c>
      <c r="E185" t="inlineStr">
        <is>
          <t>ÖSTERSUND</t>
        </is>
      </c>
      <c r="F185" t="inlineStr">
        <is>
          <t>SCA</t>
        </is>
      </c>
      <c r="G185" t="n">
        <v>5.9</v>
      </c>
      <c r="H185" t="n">
        <v>0</v>
      </c>
      <c r="I185" t="n">
        <v>1</v>
      </c>
      <c r="J185" t="n">
        <v>0</v>
      </c>
      <c r="K185" t="n">
        <v>0</v>
      </c>
      <c r="L185" t="n">
        <v>0</v>
      </c>
      <c r="M185" t="n">
        <v>0</v>
      </c>
      <c r="N185" t="n">
        <v>0</v>
      </c>
      <c r="O185" t="n">
        <v>0</v>
      </c>
      <c r="P185" t="n">
        <v>0</v>
      </c>
      <c r="Q185" t="n">
        <v>1</v>
      </c>
      <c r="R185" s="2" t="inlineStr">
        <is>
          <t>Dropptaggsvamp</t>
        </is>
      </c>
      <c r="S185">
        <f>HYPERLINK("https://klasma.github.io/Logging_2380/artfynd/A 41762-2024 artfynd.xlsx", "A 41762-2024")</f>
        <v/>
      </c>
      <c r="T185">
        <f>HYPERLINK("https://klasma.github.io/Logging_2380/kartor/A 41762-2024 karta.png", "A 41762-2024")</f>
        <v/>
      </c>
      <c r="V185">
        <f>HYPERLINK("https://klasma.github.io/Logging_2380/klagomål/A 41762-2024 FSC-klagomål.docx", "A 41762-2024")</f>
        <v/>
      </c>
      <c r="W185">
        <f>HYPERLINK("https://klasma.github.io/Logging_2380/klagomålsmail/A 41762-2024 FSC-klagomål mail.docx", "A 41762-2024")</f>
        <v/>
      </c>
      <c r="X185">
        <f>HYPERLINK("https://klasma.github.io/Logging_2380/tillsyn/A 41762-2024 tillsynsbegäran.docx", "A 41762-2024")</f>
        <v/>
      </c>
      <c r="Y185">
        <f>HYPERLINK("https://klasma.github.io/Logging_2380/tillsynsmail/A 41762-2024 tillsynsbegäran mail.docx", "A 41762-2024")</f>
        <v/>
      </c>
    </row>
    <row r="186" ht="15" customHeight="1">
      <c r="A186" t="inlineStr">
        <is>
          <t>A 41770-2024</t>
        </is>
      </c>
      <c r="B186" s="1" t="n">
        <v>45561</v>
      </c>
      <c r="C186" s="1" t="n">
        <v>45709</v>
      </c>
      <c r="D186" t="inlineStr">
        <is>
          <t>JÄMTLANDS LÄN</t>
        </is>
      </c>
      <c r="E186" t="inlineStr">
        <is>
          <t>ÖSTERSUND</t>
        </is>
      </c>
      <c r="F186" t="inlineStr">
        <is>
          <t>SCA</t>
        </is>
      </c>
      <c r="G186" t="n">
        <v>4.4</v>
      </c>
      <c r="H186" t="n">
        <v>0</v>
      </c>
      <c r="I186" t="n">
        <v>1</v>
      </c>
      <c r="J186" t="n">
        <v>0</v>
      </c>
      <c r="K186" t="n">
        <v>0</v>
      </c>
      <c r="L186" t="n">
        <v>0</v>
      </c>
      <c r="M186" t="n">
        <v>0</v>
      </c>
      <c r="N186" t="n">
        <v>0</v>
      </c>
      <c r="O186" t="n">
        <v>0</v>
      </c>
      <c r="P186" t="n">
        <v>0</v>
      </c>
      <c r="Q186" t="n">
        <v>1</v>
      </c>
      <c r="R186" s="2" t="inlineStr">
        <is>
          <t>Vedticka</t>
        </is>
      </c>
      <c r="S186">
        <f>HYPERLINK("https://klasma.github.io/Logging_2380/artfynd/A 41770-2024 artfynd.xlsx", "A 41770-2024")</f>
        <v/>
      </c>
      <c r="T186">
        <f>HYPERLINK("https://klasma.github.io/Logging_2380/kartor/A 41770-2024 karta.png", "A 41770-2024")</f>
        <v/>
      </c>
      <c r="V186">
        <f>HYPERLINK("https://klasma.github.io/Logging_2380/klagomål/A 41770-2024 FSC-klagomål.docx", "A 41770-2024")</f>
        <v/>
      </c>
      <c r="W186">
        <f>HYPERLINK("https://klasma.github.io/Logging_2380/klagomålsmail/A 41770-2024 FSC-klagomål mail.docx", "A 41770-2024")</f>
        <v/>
      </c>
      <c r="X186">
        <f>HYPERLINK("https://klasma.github.io/Logging_2380/tillsyn/A 41770-2024 tillsynsbegäran.docx", "A 41770-2024")</f>
        <v/>
      </c>
      <c r="Y186">
        <f>HYPERLINK("https://klasma.github.io/Logging_2380/tillsynsmail/A 41770-2024 tillsynsbegäran mail.docx", "A 41770-2024")</f>
        <v/>
      </c>
    </row>
    <row r="187" ht="15" customHeight="1">
      <c r="A187" t="inlineStr">
        <is>
          <t>A 44049-2024</t>
        </is>
      </c>
      <c r="B187" s="1" t="n">
        <v>45572</v>
      </c>
      <c r="C187" s="1" t="n">
        <v>45709</v>
      </c>
      <c r="D187" t="inlineStr">
        <is>
          <t>JÄMTLANDS LÄN</t>
        </is>
      </c>
      <c r="E187" t="inlineStr">
        <is>
          <t>ÖSTERSUND</t>
        </is>
      </c>
      <c r="F187" t="inlineStr">
        <is>
          <t>SCA</t>
        </is>
      </c>
      <c r="G187" t="n">
        <v>4.5</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44049-2024 artfynd.xlsx", "A 44049-2024")</f>
        <v/>
      </c>
      <c r="T187">
        <f>HYPERLINK("https://klasma.github.io/Logging_2380/kartor/A 44049-2024 karta.png", "A 44049-2024")</f>
        <v/>
      </c>
      <c r="V187">
        <f>HYPERLINK("https://klasma.github.io/Logging_2380/klagomål/A 44049-2024 FSC-klagomål.docx", "A 44049-2024")</f>
        <v/>
      </c>
      <c r="W187">
        <f>HYPERLINK("https://klasma.github.io/Logging_2380/klagomålsmail/A 44049-2024 FSC-klagomål mail.docx", "A 44049-2024")</f>
        <v/>
      </c>
      <c r="X187">
        <f>HYPERLINK("https://klasma.github.io/Logging_2380/tillsyn/A 44049-2024 tillsynsbegäran.docx", "A 44049-2024")</f>
        <v/>
      </c>
      <c r="Y187">
        <f>HYPERLINK("https://klasma.github.io/Logging_2380/tillsynsmail/A 44049-2024 tillsynsbegäran mail.docx", "A 44049-2024")</f>
        <v/>
      </c>
    </row>
    <row r="188" ht="15" customHeight="1">
      <c r="A188" t="inlineStr">
        <is>
          <t>A 44737-2024</t>
        </is>
      </c>
      <c r="B188" s="1" t="n">
        <v>45574</v>
      </c>
      <c r="C188" s="1" t="n">
        <v>45709</v>
      </c>
      <c r="D188" t="inlineStr">
        <is>
          <t>JÄMTLANDS LÄN</t>
        </is>
      </c>
      <c r="E188" t="inlineStr">
        <is>
          <t>ÖSTERSUND</t>
        </is>
      </c>
      <c r="F188" t="inlineStr">
        <is>
          <t>SCA</t>
        </is>
      </c>
      <c r="G188" t="n">
        <v>6.3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44737-2024 artfynd.xlsx", "A 44737-2024")</f>
        <v/>
      </c>
      <c r="T188">
        <f>HYPERLINK("https://klasma.github.io/Logging_2380/kartor/A 44737-2024 karta.png", "A 44737-2024")</f>
        <v/>
      </c>
      <c r="V188">
        <f>HYPERLINK("https://klasma.github.io/Logging_2380/klagomål/A 44737-2024 FSC-klagomål.docx", "A 44737-2024")</f>
        <v/>
      </c>
      <c r="W188">
        <f>HYPERLINK("https://klasma.github.io/Logging_2380/klagomålsmail/A 44737-2024 FSC-klagomål mail.docx", "A 44737-2024")</f>
        <v/>
      </c>
      <c r="X188">
        <f>HYPERLINK("https://klasma.github.io/Logging_2380/tillsyn/A 44737-2024 tillsynsbegäran.docx", "A 44737-2024")</f>
        <v/>
      </c>
      <c r="Y188">
        <f>HYPERLINK("https://klasma.github.io/Logging_2380/tillsynsmail/A 44737-2024 tillsynsbegäran mail.docx", "A 44737-2024")</f>
        <v/>
      </c>
    </row>
    <row r="189" ht="15" customHeight="1">
      <c r="A189" t="inlineStr">
        <is>
          <t>A 45267-2024</t>
        </is>
      </c>
      <c r="B189" s="1" t="n">
        <v>45576</v>
      </c>
      <c r="C189" s="1" t="n">
        <v>45709</v>
      </c>
      <c r="D189" t="inlineStr">
        <is>
          <t>JÄMTLANDS LÄN</t>
        </is>
      </c>
      <c r="E189" t="inlineStr">
        <is>
          <t>ÖSTERSUND</t>
        </is>
      </c>
      <c r="G189" t="n">
        <v>8.6</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45267-2024 artfynd.xlsx", "A 45267-2024")</f>
        <v/>
      </c>
      <c r="T189">
        <f>HYPERLINK("https://klasma.github.io/Logging_2380/kartor/A 45267-2024 karta.png", "A 45267-2024")</f>
        <v/>
      </c>
      <c r="V189">
        <f>HYPERLINK("https://klasma.github.io/Logging_2380/klagomål/A 45267-2024 FSC-klagomål.docx", "A 45267-2024")</f>
        <v/>
      </c>
      <c r="W189">
        <f>HYPERLINK("https://klasma.github.io/Logging_2380/klagomålsmail/A 45267-2024 FSC-klagomål mail.docx", "A 45267-2024")</f>
        <v/>
      </c>
      <c r="X189">
        <f>HYPERLINK("https://klasma.github.io/Logging_2380/tillsyn/A 45267-2024 tillsynsbegäran.docx", "A 45267-2024")</f>
        <v/>
      </c>
      <c r="Y189">
        <f>HYPERLINK("https://klasma.github.io/Logging_2380/tillsynsmail/A 45267-2024 tillsynsbegäran mail.docx", "A 45267-2024")</f>
        <v/>
      </c>
      <c r="Z189">
        <f>HYPERLINK("https://klasma.github.io/Logging_2380/fåglar/A 45267-2024 prioriterade fågelarter.docx", "A 45267-2024")</f>
        <v/>
      </c>
    </row>
    <row r="190" ht="15" customHeight="1">
      <c r="A190" t="inlineStr">
        <is>
          <t>A 47176-2024</t>
        </is>
      </c>
      <c r="B190" s="1" t="n">
        <v>45586</v>
      </c>
      <c r="C190" s="1" t="n">
        <v>45709</v>
      </c>
      <c r="D190" t="inlineStr">
        <is>
          <t>JÄMTLANDS LÄN</t>
        </is>
      </c>
      <c r="E190" t="inlineStr">
        <is>
          <t>ÖSTERSUND</t>
        </is>
      </c>
      <c r="F190" t="inlineStr">
        <is>
          <t>SCA</t>
        </is>
      </c>
      <c r="G190" t="n">
        <v>2.9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47176-2024 artfynd.xlsx", "A 47176-2024")</f>
        <v/>
      </c>
      <c r="T190">
        <f>HYPERLINK("https://klasma.github.io/Logging_2380/kartor/A 47176-2024 karta.png", "A 47176-2024")</f>
        <v/>
      </c>
      <c r="V190">
        <f>HYPERLINK("https://klasma.github.io/Logging_2380/klagomål/A 47176-2024 FSC-klagomål.docx", "A 47176-2024")</f>
        <v/>
      </c>
      <c r="W190">
        <f>HYPERLINK("https://klasma.github.io/Logging_2380/klagomålsmail/A 47176-2024 FSC-klagomål mail.docx", "A 47176-2024")</f>
        <v/>
      </c>
      <c r="X190">
        <f>HYPERLINK("https://klasma.github.io/Logging_2380/tillsyn/A 47176-2024 tillsynsbegäran.docx", "A 47176-2024")</f>
        <v/>
      </c>
      <c r="Y190">
        <f>HYPERLINK("https://klasma.github.io/Logging_2380/tillsynsmail/A 47176-2024 tillsynsbegäran mail.docx", "A 47176-2024")</f>
        <v/>
      </c>
    </row>
    <row r="191" ht="15" customHeight="1">
      <c r="A191" t="inlineStr">
        <is>
          <t>A 56201-2024</t>
        </is>
      </c>
      <c r="B191" s="1" t="n">
        <v>45624</v>
      </c>
      <c r="C191" s="1" t="n">
        <v>45709</v>
      </c>
      <c r="D191" t="inlineStr">
        <is>
          <t>JÄMTLANDS LÄN</t>
        </is>
      </c>
      <c r="E191" t="inlineStr">
        <is>
          <t>ÖSTERSUND</t>
        </is>
      </c>
      <c r="F191" t="inlineStr">
        <is>
          <t>SCA</t>
        </is>
      </c>
      <c r="G191" t="n">
        <v>5.9</v>
      </c>
      <c r="H191" t="n">
        <v>1</v>
      </c>
      <c r="I191" t="n">
        <v>0</v>
      </c>
      <c r="J191" t="n">
        <v>0</v>
      </c>
      <c r="K191" t="n">
        <v>1</v>
      </c>
      <c r="L191" t="n">
        <v>0</v>
      </c>
      <c r="M191" t="n">
        <v>0</v>
      </c>
      <c r="N191" t="n">
        <v>0</v>
      </c>
      <c r="O191" t="n">
        <v>1</v>
      </c>
      <c r="P191" t="n">
        <v>1</v>
      </c>
      <c r="Q191" t="n">
        <v>1</v>
      </c>
      <c r="R191" s="2" t="inlineStr">
        <is>
          <t>Doftticka</t>
        </is>
      </c>
      <c r="S191">
        <f>HYPERLINK("https://klasma.github.io/Logging_2380/artfynd/A 56201-2024 artfynd.xlsx", "A 56201-2024")</f>
        <v/>
      </c>
      <c r="T191">
        <f>HYPERLINK("https://klasma.github.io/Logging_2380/kartor/A 56201-2024 karta.png", "A 56201-2024")</f>
        <v/>
      </c>
      <c r="V191">
        <f>HYPERLINK("https://klasma.github.io/Logging_2380/klagomål/A 56201-2024 FSC-klagomål.docx", "A 56201-2024")</f>
        <v/>
      </c>
      <c r="W191">
        <f>HYPERLINK("https://klasma.github.io/Logging_2380/klagomålsmail/A 56201-2024 FSC-klagomål mail.docx", "A 56201-2024")</f>
        <v/>
      </c>
      <c r="X191">
        <f>HYPERLINK("https://klasma.github.io/Logging_2380/tillsyn/A 56201-2024 tillsynsbegäran.docx", "A 56201-2024")</f>
        <v/>
      </c>
      <c r="Y191">
        <f>HYPERLINK("https://klasma.github.io/Logging_2380/tillsynsmail/A 56201-2024 tillsynsbegäran mail.docx", "A 56201-2024")</f>
        <v/>
      </c>
    </row>
    <row r="192" ht="15" customHeight="1">
      <c r="A192" t="inlineStr">
        <is>
          <t>A 57065-2024</t>
        </is>
      </c>
      <c r="B192" s="1" t="n">
        <v>45629</v>
      </c>
      <c r="C192" s="1" t="n">
        <v>45709</v>
      </c>
      <c r="D192" t="inlineStr">
        <is>
          <t>JÄMTLANDS LÄN</t>
        </is>
      </c>
      <c r="E192" t="inlineStr">
        <is>
          <t>ÖSTERSUND</t>
        </is>
      </c>
      <c r="F192" t="inlineStr">
        <is>
          <t>SCA</t>
        </is>
      </c>
      <c r="G192" t="n">
        <v>6.3</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57065-2024 artfynd.xlsx", "A 57065-2024")</f>
        <v/>
      </c>
      <c r="T192">
        <f>HYPERLINK("https://klasma.github.io/Logging_2380/kartor/A 57065-2024 karta.png", "A 57065-2024")</f>
        <v/>
      </c>
      <c r="V192">
        <f>HYPERLINK("https://klasma.github.io/Logging_2380/klagomål/A 57065-2024 FSC-klagomål.docx", "A 57065-2024")</f>
        <v/>
      </c>
      <c r="W192">
        <f>HYPERLINK("https://klasma.github.io/Logging_2380/klagomålsmail/A 57065-2024 FSC-klagomål mail.docx", "A 57065-2024")</f>
        <v/>
      </c>
      <c r="X192">
        <f>HYPERLINK("https://klasma.github.io/Logging_2380/tillsyn/A 57065-2024 tillsynsbegäran.docx", "A 57065-2024")</f>
        <v/>
      </c>
      <c r="Y192">
        <f>HYPERLINK("https://klasma.github.io/Logging_2380/tillsynsmail/A 57065-2024 tillsynsbegäran mail.docx", "A 57065-2024")</f>
        <v/>
      </c>
      <c r="Z192">
        <f>HYPERLINK("https://klasma.github.io/Logging_2380/fåglar/A 57065-2024 prioriterade fågelarter.docx", "A 57065-2024")</f>
        <v/>
      </c>
    </row>
    <row r="193" ht="15" customHeight="1">
      <c r="A193" t="inlineStr">
        <is>
          <t>A 59108-2024</t>
        </is>
      </c>
      <c r="B193" s="1" t="n">
        <v>45637</v>
      </c>
      <c r="C193" s="1" t="n">
        <v>45709</v>
      </c>
      <c r="D193" t="inlineStr">
        <is>
          <t>JÄMTLANDS LÄN</t>
        </is>
      </c>
      <c r="E193" t="inlineStr">
        <is>
          <t>ÖSTERSUND</t>
        </is>
      </c>
      <c r="F193" t="inlineStr">
        <is>
          <t>SCA</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59108-2024 artfynd.xlsx", "A 59108-2024")</f>
        <v/>
      </c>
      <c r="T193">
        <f>HYPERLINK("https://klasma.github.io/Logging_2380/kartor/A 59108-2024 karta.png", "A 59108-2024")</f>
        <v/>
      </c>
      <c r="V193">
        <f>HYPERLINK("https://klasma.github.io/Logging_2380/klagomål/A 59108-2024 FSC-klagomål.docx", "A 59108-2024")</f>
        <v/>
      </c>
      <c r="W193">
        <f>HYPERLINK("https://klasma.github.io/Logging_2380/klagomålsmail/A 59108-2024 FSC-klagomål mail.docx", "A 59108-2024")</f>
        <v/>
      </c>
      <c r="X193">
        <f>HYPERLINK("https://klasma.github.io/Logging_2380/tillsyn/A 59108-2024 tillsynsbegäran.docx", "A 59108-2024")</f>
        <v/>
      </c>
      <c r="Y193">
        <f>HYPERLINK("https://klasma.github.io/Logging_2380/tillsynsmail/A 59108-2024 tillsynsbegäran mail.docx", "A 59108-2024")</f>
        <v/>
      </c>
      <c r="Z193">
        <f>HYPERLINK("https://klasma.github.io/Logging_2380/fåglar/A 59108-2024 prioriterade fågelarter.docx", "A 59108-2024")</f>
        <v/>
      </c>
    </row>
    <row r="194" ht="15" customHeight="1">
      <c r="A194" t="inlineStr">
        <is>
          <t>A 61179-2024</t>
        </is>
      </c>
      <c r="B194" s="1" t="n">
        <v>45645</v>
      </c>
      <c r="C194" s="1" t="n">
        <v>45709</v>
      </c>
      <c r="D194" t="inlineStr">
        <is>
          <t>JÄMTLANDS LÄN</t>
        </is>
      </c>
      <c r="E194" t="inlineStr">
        <is>
          <t>ÖSTERSUND</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HYPERLINK("https://klasma.github.io/Logging_2380/artfynd/A 61179-2024 artfynd.xlsx", "A 61179-2024")</f>
        <v/>
      </c>
      <c r="T194">
        <f>HYPERLINK("https://klasma.github.io/Logging_2380/kartor/A 61179-2024 karta.png", "A 61179-2024")</f>
        <v/>
      </c>
      <c r="U194">
        <f>HYPERLINK("https://klasma.github.io/Logging_2380/knärot/A 61179-2024 karta knärot.png", "A 61179-2024")</f>
        <v/>
      </c>
      <c r="V194">
        <f>HYPERLINK("https://klasma.github.io/Logging_2380/klagomål/A 61179-2024 FSC-klagomål.docx", "A 61179-2024")</f>
        <v/>
      </c>
      <c r="W194">
        <f>HYPERLINK("https://klasma.github.io/Logging_2380/klagomålsmail/A 61179-2024 FSC-klagomål mail.docx", "A 61179-2024")</f>
        <v/>
      </c>
      <c r="X194">
        <f>HYPERLINK("https://klasma.github.io/Logging_2380/tillsyn/A 61179-2024 tillsynsbegäran.docx", "A 61179-2024")</f>
        <v/>
      </c>
      <c r="Y194">
        <f>HYPERLINK("https://klasma.github.io/Logging_2380/tillsynsmail/A 61179-2024 tillsynsbegäran mail.docx", "A 61179-2024")</f>
        <v/>
      </c>
    </row>
    <row r="195" ht="15" customHeight="1">
      <c r="A195" t="inlineStr">
        <is>
          <t>A 3995-2025</t>
        </is>
      </c>
      <c r="B195" s="1" t="n">
        <v>45684</v>
      </c>
      <c r="C195" s="1" t="n">
        <v>45709</v>
      </c>
      <c r="D195" t="inlineStr">
        <is>
          <t>JÄMTLANDS LÄN</t>
        </is>
      </c>
      <c r="E195" t="inlineStr">
        <is>
          <t>ÖSTERSUND</t>
        </is>
      </c>
      <c r="G195" t="n">
        <v>6.5</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3995-2025 artfynd.xlsx", "A 3995-2025")</f>
        <v/>
      </c>
      <c r="T195">
        <f>HYPERLINK("https://klasma.github.io/Logging_2380/kartor/A 3995-2025 karta.png", "A 3995-2025")</f>
        <v/>
      </c>
      <c r="V195">
        <f>HYPERLINK("https://klasma.github.io/Logging_2380/klagomål/A 3995-2025 FSC-klagomål.docx", "A 3995-2025")</f>
        <v/>
      </c>
      <c r="W195">
        <f>HYPERLINK("https://klasma.github.io/Logging_2380/klagomålsmail/A 3995-2025 FSC-klagomål mail.docx", "A 3995-2025")</f>
        <v/>
      </c>
      <c r="X195">
        <f>HYPERLINK("https://klasma.github.io/Logging_2380/tillsyn/A 3995-2025 tillsynsbegäran.docx", "A 3995-2025")</f>
        <v/>
      </c>
      <c r="Y195">
        <f>HYPERLINK("https://klasma.github.io/Logging_2380/tillsynsmail/A 3995-2025 tillsynsbegäran mail.docx", "A 3995-2025")</f>
        <v/>
      </c>
      <c r="Z195">
        <f>HYPERLINK("https://klasma.github.io/Logging_2380/fåglar/A 3995-2025 prioriterade fågelarter.docx", "A 3995-2025")</f>
        <v/>
      </c>
    </row>
    <row r="196" ht="15" customHeight="1">
      <c r="A196" t="inlineStr">
        <is>
          <t>A 4372-2025</t>
        </is>
      </c>
      <c r="B196" s="1" t="n">
        <v>45686</v>
      </c>
      <c r="C196" s="1" t="n">
        <v>45709</v>
      </c>
      <c r="D196" t="inlineStr">
        <is>
          <t>JÄMTLANDS LÄN</t>
        </is>
      </c>
      <c r="E196" t="inlineStr">
        <is>
          <t>ÖSTERSUND</t>
        </is>
      </c>
      <c r="G196" t="n">
        <v>4.5</v>
      </c>
      <c r="H196" t="n">
        <v>0</v>
      </c>
      <c r="I196" t="n">
        <v>0</v>
      </c>
      <c r="J196" t="n">
        <v>1</v>
      </c>
      <c r="K196" t="n">
        <v>0</v>
      </c>
      <c r="L196" t="n">
        <v>0</v>
      </c>
      <c r="M196" t="n">
        <v>0</v>
      </c>
      <c r="N196" t="n">
        <v>0</v>
      </c>
      <c r="O196" t="n">
        <v>1</v>
      </c>
      <c r="P196" t="n">
        <v>0</v>
      </c>
      <c r="Q196" t="n">
        <v>1</v>
      </c>
      <c r="R196" s="2" t="inlineStr">
        <is>
          <t>Lunglav</t>
        </is>
      </c>
      <c r="S196">
        <f>HYPERLINK("https://klasma.github.io/Logging_2380/artfynd/A 4372-2025 artfynd.xlsx", "A 4372-2025")</f>
        <v/>
      </c>
      <c r="T196">
        <f>HYPERLINK("https://klasma.github.io/Logging_2380/kartor/A 4372-2025 karta.png", "A 4372-2025")</f>
        <v/>
      </c>
      <c r="V196">
        <f>HYPERLINK("https://klasma.github.io/Logging_2380/klagomål/A 4372-2025 FSC-klagomål.docx", "A 4372-2025")</f>
        <v/>
      </c>
      <c r="W196">
        <f>HYPERLINK("https://klasma.github.io/Logging_2380/klagomålsmail/A 4372-2025 FSC-klagomål mail.docx", "A 4372-2025")</f>
        <v/>
      </c>
      <c r="X196">
        <f>HYPERLINK("https://klasma.github.io/Logging_2380/tillsyn/A 4372-2025 tillsynsbegäran.docx", "A 4372-2025")</f>
        <v/>
      </c>
      <c r="Y196">
        <f>HYPERLINK("https://klasma.github.io/Logging_2380/tillsynsmail/A 4372-2025 tillsynsbegäran mail.docx", "A 4372-2025")</f>
        <v/>
      </c>
    </row>
    <row r="197" ht="15" customHeight="1">
      <c r="A197" t="inlineStr">
        <is>
          <t>A 5978-2025</t>
        </is>
      </c>
      <c r="B197" s="1" t="n">
        <v>45695</v>
      </c>
      <c r="C197" s="1" t="n">
        <v>45709</v>
      </c>
      <c r="D197" t="inlineStr">
        <is>
          <t>JÄMTLANDS LÄN</t>
        </is>
      </c>
      <c r="E197" t="inlineStr">
        <is>
          <t>ÖSTERSUND</t>
        </is>
      </c>
      <c r="G197" t="n">
        <v>3.2</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HYPERLINK("https://klasma.github.io/Logging_2380/artfynd/A 5978-2025 artfynd.xlsx", "A 5978-2025")</f>
        <v/>
      </c>
      <c r="T197">
        <f>HYPERLINK("https://klasma.github.io/Logging_2380/kartor/A 5978-2025 karta.png", "A 5978-2025")</f>
        <v/>
      </c>
      <c r="V197">
        <f>HYPERLINK("https://klasma.github.io/Logging_2380/klagomål/A 5978-2025 FSC-klagomål.docx", "A 5978-2025")</f>
        <v/>
      </c>
      <c r="W197">
        <f>HYPERLINK("https://klasma.github.io/Logging_2380/klagomålsmail/A 5978-2025 FSC-klagomål mail.docx", "A 5978-2025")</f>
        <v/>
      </c>
      <c r="X197">
        <f>HYPERLINK("https://klasma.github.io/Logging_2380/tillsyn/A 5978-2025 tillsynsbegäran.docx", "A 5978-2025")</f>
        <v/>
      </c>
      <c r="Y197">
        <f>HYPERLINK("https://klasma.github.io/Logging_2380/tillsynsmail/A 5978-2025 tillsynsbegäran mail.docx", "A 5978-2025")</f>
        <v/>
      </c>
    </row>
    <row r="198" ht="15" customHeight="1">
      <c r="A198" t="inlineStr">
        <is>
          <t>A 20319-2019</t>
        </is>
      </c>
      <c r="B198" s="1" t="n">
        <v>43571</v>
      </c>
      <c r="C198" s="1" t="n">
        <v>45709</v>
      </c>
      <c r="D198" t="inlineStr">
        <is>
          <t>JÄMTLANDS LÄN</t>
        </is>
      </c>
      <c r="E198" t="inlineStr">
        <is>
          <t>ÖSTERSUND</t>
        </is>
      </c>
      <c r="G198" t="n">
        <v>1.3</v>
      </c>
      <c r="H198" t="n">
        <v>0</v>
      </c>
      <c r="I198" t="n">
        <v>0</v>
      </c>
      <c r="J198" t="n">
        <v>0</v>
      </c>
      <c r="K198" t="n">
        <v>0</v>
      </c>
      <c r="L198" t="n">
        <v>0</v>
      </c>
      <c r="M198" t="n">
        <v>0</v>
      </c>
      <c r="N198" t="n">
        <v>0</v>
      </c>
      <c r="O198" t="n">
        <v>0</v>
      </c>
      <c r="P198" t="n">
        <v>0</v>
      </c>
      <c r="Q198" t="n">
        <v>0</v>
      </c>
      <c r="R198" s="2" t="inlineStr"/>
    </row>
    <row r="199" ht="15" customHeight="1">
      <c r="A199" t="inlineStr">
        <is>
          <t>A 21727-2019</t>
        </is>
      </c>
      <c r="B199" s="1" t="n">
        <v>43581</v>
      </c>
      <c r="C199" s="1" t="n">
        <v>45709</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21793-2019</t>
        </is>
      </c>
      <c r="B200" s="1" t="n">
        <v>43581</v>
      </c>
      <c r="C200" s="1" t="n">
        <v>45709</v>
      </c>
      <c r="D200" t="inlineStr">
        <is>
          <t>JÄMTLANDS LÄN</t>
        </is>
      </c>
      <c r="E200" t="inlineStr">
        <is>
          <t>ÖSTERSUND</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22119-2019</t>
        </is>
      </c>
      <c r="B201" s="1" t="n">
        <v>43584</v>
      </c>
      <c r="C201" s="1" t="n">
        <v>45709</v>
      </c>
      <c r="D201" t="inlineStr">
        <is>
          <t>JÄMTLANDS LÄN</t>
        </is>
      </c>
      <c r="E201" t="inlineStr">
        <is>
          <t>ÖSTERSUND</t>
        </is>
      </c>
      <c r="G201" t="n">
        <v>7</v>
      </c>
      <c r="H201" t="n">
        <v>0</v>
      </c>
      <c r="I201" t="n">
        <v>0</v>
      </c>
      <c r="J201" t="n">
        <v>0</v>
      </c>
      <c r="K201" t="n">
        <v>0</v>
      </c>
      <c r="L201" t="n">
        <v>0</v>
      </c>
      <c r="M201" t="n">
        <v>0</v>
      </c>
      <c r="N201" t="n">
        <v>0</v>
      </c>
      <c r="O201" t="n">
        <v>0</v>
      </c>
      <c r="P201" t="n">
        <v>0</v>
      </c>
      <c r="Q201" t="n">
        <v>0</v>
      </c>
      <c r="R201" s="2" t="inlineStr"/>
    </row>
    <row r="202" ht="15" customHeight="1">
      <c r="A202" t="inlineStr">
        <is>
          <t>A 22115-2019</t>
        </is>
      </c>
      <c r="B202" s="1" t="n">
        <v>43584</v>
      </c>
      <c r="C202" s="1" t="n">
        <v>45709</v>
      </c>
      <c r="D202" t="inlineStr">
        <is>
          <t>JÄMTLANDS LÄN</t>
        </is>
      </c>
      <c r="E202" t="inlineStr">
        <is>
          <t>ÖSTERSUND</t>
        </is>
      </c>
      <c r="G202" t="n">
        <v>15.1</v>
      </c>
      <c r="H202" t="n">
        <v>0</v>
      </c>
      <c r="I202" t="n">
        <v>0</v>
      </c>
      <c r="J202" t="n">
        <v>0</v>
      </c>
      <c r="K202" t="n">
        <v>0</v>
      </c>
      <c r="L202" t="n">
        <v>0</v>
      </c>
      <c r="M202" t="n">
        <v>0</v>
      </c>
      <c r="N202" t="n">
        <v>0</v>
      </c>
      <c r="O202" t="n">
        <v>0</v>
      </c>
      <c r="P202" t="n">
        <v>0</v>
      </c>
      <c r="Q202" t="n">
        <v>0</v>
      </c>
      <c r="R202" s="2" t="inlineStr"/>
      <c r="U202">
        <f>HYPERLINK("https://klasma.github.io/Logging_2380/knärot/A 22115-2019 karta knärot.png", "A 22115-2019")</f>
        <v/>
      </c>
      <c r="V202">
        <f>HYPERLINK("https://klasma.github.io/Logging_2380/klagomål/A 22115-2019 FSC-klagomål.docx", "A 22115-2019")</f>
        <v/>
      </c>
      <c r="W202">
        <f>HYPERLINK("https://klasma.github.io/Logging_2380/klagomålsmail/A 22115-2019 FSC-klagomål mail.docx", "A 22115-2019")</f>
        <v/>
      </c>
      <c r="X202">
        <f>HYPERLINK("https://klasma.github.io/Logging_2380/tillsyn/A 22115-2019 tillsynsbegäran.docx", "A 22115-2019")</f>
        <v/>
      </c>
      <c r="Y202">
        <f>HYPERLINK("https://klasma.github.io/Logging_2380/tillsynsmail/A 22115-2019 tillsynsbegäran mail.docx", "A 22115-2019")</f>
        <v/>
      </c>
    </row>
    <row r="203" ht="15" customHeight="1">
      <c r="A203" t="inlineStr">
        <is>
          <t>A 23609-2019</t>
        </is>
      </c>
      <c r="B203" s="1" t="n">
        <v>43594</v>
      </c>
      <c r="C203" s="1" t="n">
        <v>45709</v>
      </c>
      <c r="D203" t="inlineStr">
        <is>
          <t>JÄMTLANDS LÄN</t>
        </is>
      </c>
      <c r="E203" t="inlineStr">
        <is>
          <t>ÖSTERSUND</t>
        </is>
      </c>
      <c r="G203" t="n">
        <v>2.5</v>
      </c>
      <c r="H203" t="n">
        <v>0</v>
      </c>
      <c r="I203" t="n">
        <v>0</v>
      </c>
      <c r="J203" t="n">
        <v>0</v>
      </c>
      <c r="K203" t="n">
        <v>0</v>
      </c>
      <c r="L203" t="n">
        <v>0</v>
      </c>
      <c r="M203" t="n">
        <v>0</v>
      </c>
      <c r="N203" t="n">
        <v>0</v>
      </c>
      <c r="O203" t="n">
        <v>0</v>
      </c>
      <c r="P203" t="n">
        <v>0</v>
      </c>
      <c r="Q203" t="n">
        <v>0</v>
      </c>
      <c r="R203" s="2" t="inlineStr"/>
    </row>
    <row r="204" ht="15" customHeight="1">
      <c r="A204" t="inlineStr">
        <is>
          <t>A 23940-2019</t>
        </is>
      </c>
      <c r="B204" s="1" t="n">
        <v>43595</v>
      </c>
      <c r="C204" s="1" t="n">
        <v>45709</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25205-2019</t>
        </is>
      </c>
      <c r="B205" s="1" t="n">
        <v>43600</v>
      </c>
      <c r="C205" s="1" t="n">
        <v>45709</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28892-2019</t>
        </is>
      </c>
      <c r="B206" s="1" t="n">
        <v>43619</v>
      </c>
      <c r="C206" s="1" t="n">
        <v>45709</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28899-2019</t>
        </is>
      </c>
      <c r="B207" s="1" t="n">
        <v>43619</v>
      </c>
      <c r="C207" s="1" t="n">
        <v>45709</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28884-2019</t>
        </is>
      </c>
      <c r="B208" s="1" t="n">
        <v>43619</v>
      </c>
      <c r="C208" s="1" t="n">
        <v>45709</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27977-2019</t>
        </is>
      </c>
      <c r="B209" s="1" t="n">
        <v>43620</v>
      </c>
      <c r="C209" s="1" t="n">
        <v>45709</v>
      </c>
      <c r="D209" t="inlineStr">
        <is>
          <t>JÄMTLANDS LÄN</t>
        </is>
      </c>
      <c r="E209" t="inlineStr">
        <is>
          <t>ÖSTERSUND</t>
        </is>
      </c>
      <c r="G209" t="n">
        <v>1</v>
      </c>
      <c r="H209" t="n">
        <v>0</v>
      </c>
      <c r="I209" t="n">
        <v>0</v>
      </c>
      <c r="J209" t="n">
        <v>0</v>
      </c>
      <c r="K209" t="n">
        <v>0</v>
      </c>
      <c r="L209" t="n">
        <v>0</v>
      </c>
      <c r="M209" t="n">
        <v>0</v>
      </c>
      <c r="N209" t="n">
        <v>0</v>
      </c>
      <c r="O209" t="n">
        <v>0</v>
      </c>
      <c r="P209" t="n">
        <v>0</v>
      </c>
      <c r="Q209" t="n">
        <v>0</v>
      </c>
      <c r="R209" s="2" t="inlineStr"/>
    </row>
    <row r="210" ht="15" customHeight="1">
      <c r="A210" t="inlineStr">
        <is>
          <t>A 29058-2019</t>
        </is>
      </c>
      <c r="B210" s="1" t="n">
        <v>43621</v>
      </c>
      <c r="C210" s="1" t="n">
        <v>45709</v>
      </c>
      <c r="D210" t="inlineStr">
        <is>
          <t>JÄMTLANDS LÄN</t>
        </is>
      </c>
      <c r="E210" t="inlineStr">
        <is>
          <t>ÖSTERSUND</t>
        </is>
      </c>
      <c r="G210" t="n">
        <v>1.4</v>
      </c>
      <c r="H210" t="n">
        <v>0</v>
      </c>
      <c r="I210" t="n">
        <v>0</v>
      </c>
      <c r="J210" t="n">
        <v>0</v>
      </c>
      <c r="K210" t="n">
        <v>0</v>
      </c>
      <c r="L210" t="n">
        <v>0</v>
      </c>
      <c r="M210" t="n">
        <v>0</v>
      </c>
      <c r="N210" t="n">
        <v>0</v>
      </c>
      <c r="O210" t="n">
        <v>0</v>
      </c>
      <c r="P210" t="n">
        <v>0</v>
      </c>
      <c r="Q210" t="n">
        <v>0</v>
      </c>
      <c r="R210" s="2" t="inlineStr"/>
    </row>
    <row r="211" ht="15" customHeight="1">
      <c r="A211" t="inlineStr">
        <is>
          <t>A 31189-2019</t>
        </is>
      </c>
      <c r="B211" s="1" t="n">
        <v>43635</v>
      </c>
      <c r="C211" s="1" t="n">
        <v>45709</v>
      </c>
      <c r="D211" t="inlineStr">
        <is>
          <t>JÄMTLANDS LÄN</t>
        </is>
      </c>
      <c r="E211" t="inlineStr">
        <is>
          <t>ÖSTERSUND</t>
        </is>
      </c>
      <c r="G211" t="n">
        <v>5.5</v>
      </c>
      <c r="H211" t="n">
        <v>0</v>
      </c>
      <c r="I211" t="n">
        <v>0</v>
      </c>
      <c r="J211" t="n">
        <v>0</v>
      </c>
      <c r="K211" t="n">
        <v>0</v>
      </c>
      <c r="L211" t="n">
        <v>0</v>
      </c>
      <c r="M211" t="n">
        <v>0</v>
      </c>
      <c r="N211" t="n">
        <v>0</v>
      </c>
      <c r="O211" t="n">
        <v>0</v>
      </c>
      <c r="P211" t="n">
        <v>0</v>
      </c>
      <c r="Q211" t="n">
        <v>0</v>
      </c>
      <c r="R211" s="2" t="inlineStr"/>
    </row>
    <row r="212" ht="15" customHeight="1">
      <c r="A212" t="inlineStr">
        <is>
          <t>A 30940-2019</t>
        </is>
      </c>
      <c r="B212" s="1" t="n">
        <v>43637</v>
      </c>
      <c r="C212" s="1" t="n">
        <v>45709</v>
      </c>
      <c r="D212" t="inlineStr">
        <is>
          <t>JÄMTLANDS LÄN</t>
        </is>
      </c>
      <c r="E212" t="inlineStr">
        <is>
          <t>ÖSTERSUND</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30946-2019</t>
        </is>
      </c>
      <c r="B213" s="1" t="n">
        <v>43636</v>
      </c>
      <c r="C213" s="1" t="n">
        <v>45709</v>
      </c>
      <c r="D213" t="inlineStr">
        <is>
          <t>JÄMTLANDS LÄN</t>
        </is>
      </c>
      <c r="E213" t="inlineStr">
        <is>
          <t>ÖSTERSUND</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31617-2019</t>
        </is>
      </c>
      <c r="B214" s="1" t="n">
        <v>43640</v>
      </c>
      <c r="C214" s="1" t="n">
        <v>45709</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31621-2019</t>
        </is>
      </c>
      <c r="B215" s="1" t="n">
        <v>43640</v>
      </c>
      <c r="C215" s="1" t="n">
        <v>45709</v>
      </c>
      <c r="D215" t="inlineStr">
        <is>
          <t>JÄMTLANDS LÄN</t>
        </is>
      </c>
      <c r="E215" t="inlineStr">
        <is>
          <t>ÖSTERSUND</t>
        </is>
      </c>
      <c r="G215" t="n">
        <v>1.3</v>
      </c>
      <c r="H215" t="n">
        <v>0</v>
      </c>
      <c r="I215" t="n">
        <v>0</v>
      </c>
      <c r="J215" t="n">
        <v>0</v>
      </c>
      <c r="K215" t="n">
        <v>0</v>
      </c>
      <c r="L215" t="n">
        <v>0</v>
      </c>
      <c r="M215" t="n">
        <v>0</v>
      </c>
      <c r="N215" t="n">
        <v>0</v>
      </c>
      <c r="O215" t="n">
        <v>0</v>
      </c>
      <c r="P215" t="n">
        <v>0</v>
      </c>
      <c r="Q215" t="n">
        <v>0</v>
      </c>
      <c r="R215" s="2" t="inlineStr"/>
    </row>
    <row r="216" ht="15" customHeight="1">
      <c r="A216" t="inlineStr">
        <is>
          <t>A 34903-2019</t>
        </is>
      </c>
      <c r="B216" s="1" t="n">
        <v>43650</v>
      </c>
      <c r="C216" s="1" t="n">
        <v>45709</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35500-2019</t>
        </is>
      </c>
      <c r="B217" s="1" t="n">
        <v>43651</v>
      </c>
      <c r="C217" s="1" t="n">
        <v>45709</v>
      </c>
      <c r="D217" t="inlineStr">
        <is>
          <t>JÄMTLANDS LÄN</t>
        </is>
      </c>
      <c r="E217" t="inlineStr">
        <is>
          <t>ÖSTERSUND</t>
        </is>
      </c>
      <c r="F217" t="inlineStr">
        <is>
          <t>SCA</t>
        </is>
      </c>
      <c r="G217" t="n">
        <v>7</v>
      </c>
      <c r="H217" t="n">
        <v>0</v>
      </c>
      <c r="I217" t="n">
        <v>0</v>
      </c>
      <c r="J217" t="n">
        <v>0</v>
      </c>
      <c r="K217" t="n">
        <v>0</v>
      </c>
      <c r="L217" t="n">
        <v>0</v>
      </c>
      <c r="M217" t="n">
        <v>0</v>
      </c>
      <c r="N217" t="n">
        <v>0</v>
      </c>
      <c r="O217" t="n">
        <v>0</v>
      </c>
      <c r="P217" t="n">
        <v>0</v>
      </c>
      <c r="Q217" t="n">
        <v>0</v>
      </c>
      <c r="R217" s="2" t="inlineStr"/>
    </row>
    <row r="218" ht="15" customHeight="1">
      <c r="A218" t="inlineStr">
        <is>
          <t>A 35535-2019</t>
        </is>
      </c>
      <c r="B218" s="1" t="n">
        <v>43654</v>
      </c>
      <c r="C218" s="1" t="n">
        <v>45709</v>
      </c>
      <c r="D218" t="inlineStr">
        <is>
          <t>JÄMTLANDS LÄN</t>
        </is>
      </c>
      <c r="E218" t="inlineStr">
        <is>
          <t>ÖSTERSUND</t>
        </is>
      </c>
      <c r="G218" t="n">
        <v>9.800000000000001</v>
      </c>
      <c r="H218" t="n">
        <v>0</v>
      </c>
      <c r="I218" t="n">
        <v>0</v>
      </c>
      <c r="J218" t="n">
        <v>0</v>
      </c>
      <c r="K218" t="n">
        <v>0</v>
      </c>
      <c r="L218" t="n">
        <v>0</v>
      </c>
      <c r="M218" t="n">
        <v>0</v>
      </c>
      <c r="N218" t="n">
        <v>0</v>
      </c>
      <c r="O218" t="n">
        <v>0</v>
      </c>
      <c r="P218" t="n">
        <v>0</v>
      </c>
      <c r="Q218" t="n">
        <v>0</v>
      </c>
      <c r="R218" s="2" t="inlineStr"/>
    </row>
    <row r="219" ht="15" customHeight="1">
      <c r="A219" t="inlineStr">
        <is>
          <t>A 34109-2019</t>
        </is>
      </c>
      <c r="B219" s="1" t="n">
        <v>43654</v>
      </c>
      <c r="C219" s="1" t="n">
        <v>45709</v>
      </c>
      <c r="D219" t="inlineStr">
        <is>
          <t>JÄMTLANDS LÄN</t>
        </is>
      </c>
      <c r="E219" t="inlineStr">
        <is>
          <t>ÖSTERSUND</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34246-2019</t>
        </is>
      </c>
      <c r="B220" s="1" t="n">
        <v>43655</v>
      </c>
      <c r="C220" s="1" t="n">
        <v>45709</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35678-2019</t>
        </is>
      </c>
      <c r="B221" s="1" t="n">
        <v>43656</v>
      </c>
      <c r="C221" s="1" t="n">
        <v>45709</v>
      </c>
      <c r="D221" t="inlineStr">
        <is>
          <t>JÄMTLANDS LÄN</t>
        </is>
      </c>
      <c r="E221" t="inlineStr">
        <is>
          <t>ÖSTERSUND</t>
        </is>
      </c>
      <c r="G221" t="n">
        <v>2.9</v>
      </c>
      <c r="H221" t="n">
        <v>0</v>
      </c>
      <c r="I221" t="n">
        <v>0</v>
      </c>
      <c r="J221" t="n">
        <v>0</v>
      </c>
      <c r="K221" t="n">
        <v>0</v>
      </c>
      <c r="L221" t="n">
        <v>0</v>
      </c>
      <c r="M221" t="n">
        <v>0</v>
      </c>
      <c r="N221" t="n">
        <v>0</v>
      </c>
      <c r="O221" t="n">
        <v>0</v>
      </c>
      <c r="P221" t="n">
        <v>0</v>
      </c>
      <c r="Q221" t="n">
        <v>0</v>
      </c>
      <c r="R221" s="2" t="inlineStr"/>
    </row>
    <row r="222" ht="15" customHeight="1">
      <c r="A222" t="inlineStr">
        <is>
          <t>A 35688-2019</t>
        </is>
      </c>
      <c r="B222" s="1" t="n">
        <v>43656</v>
      </c>
      <c r="C222" s="1" t="n">
        <v>45709</v>
      </c>
      <c r="D222" t="inlineStr">
        <is>
          <t>JÄMTLANDS LÄN</t>
        </is>
      </c>
      <c r="E222" t="inlineStr">
        <is>
          <t>ÖSTERSUND</t>
        </is>
      </c>
      <c r="G222" t="n">
        <v>12.6</v>
      </c>
      <c r="H222" t="n">
        <v>0</v>
      </c>
      <c r="I222" t="n">
        <v>0</v>
      </c>
      <c r="J222" t="n">
        <v>0</v>
      </c>
      <c r="K222" t="n">
        <v>0</v>
      </c>
      <c r="L222" t="n">
        <v>0</v>
      </c>
      <c r="M222" t="n">
        <v>0</v>
      </c>
      <c r="N222" t="n">
        <v>0</v>
      </c>
      <c r="O222" t="n">
        <v>0</v>
      </c>
      <c r="P222" t="n">
        <v>0</v>
      </c>
      <c r="Q222" t="n">
        <v>0</v>
      </c>
      <c r="R222" s="2" t="inlineStr"/>
    </row>
    <row r="223" ht="15" customHeight="1">
      <c r="A223" t="inlineStr">
        <is>
          <t>A 36003-2019</t>
        </is>
      </c>
      <c r="B223" s="1" t="n">
        <v>43657</v>
      </c>
      <c r="C223" s="1" t="n">
        <v>45709</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36652-2019</t>
        </is>
      </c>
      <c r="B224" s="1" t="n">
        <v>43670</v>
      </c>
      <c r="C224" s="1" t="n">
        <v>45709</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37222-2019</t>
        </is>
      </c>
      <c r="B225" s="1" t="n">
        <v>43676</v>
      </c>
      <c r="C225" s="1" t="n">
        <v>45709</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38662-2019</t>
        </is>
      </c>
      <c r="B226" s="1" t="n">
        <v>43684</v>
      </c>
      <c r="C226" s="1" t="n">
        <v>45709</v>
      </c>
      <c r="D226" t="inlineStr">
        <is>
          <t>JÄMTLANDS LÄN</t>
        </is>
      </c>
      <c r="E226" t="inlineStr">
        <is>
          <t>ÖSTERSUND</t>
        </is>
      </c>
      <c r="G226" t="n">
        <v>2.2</v>
      </c>
      <c r="H226" t="n">
        <v>0</v>
      </c>
      <c r="I226" t="n">
        <v>0</v>
      </c>
      <c r="J226" t="n">
        <v>0</v>
      </c>
      <c r="K226" t="n">
        <v>0</v>
      </c>
      <c r="L226" t="n">
        <v>0</v>
      </c>
      <c r="M226" t="n">
        <v>0</v>
      </c>
      <c r="N226" t="n">
        <v>0</v>
      </c>
      <c r="O226" t="n">
        <v>0</v>
      </c>
      <c r="P226" t="n">
        <v>0</v>
      </c>
      <c r="Q226" t="n">
        <v>0</v>
      </c>
      <c r="R226" s="2" t="inlineStr"/>
    </row>
    <row r="227" ht="15" customHeight="1">
      <c r="A227" t="inlineStr">
        <is>
          <t>A 39459-2019</t>
        </is>
      </c>
      <c r="B227" s="1" t="n">
        <v>43686</v>
      </c>
      <c r="C227" s="1" t="n">
        <v>45709</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40530-2019</t>
        </is>
      </c>
      <c r="B228" s="1" t="n">
        <v>43696</v>
      </c>
      <c r="C228" s="1" t="n">
        <v>45709</v>
      </c>
      <c r="D228" t="inlineStr">
        <is>
          <t>JÄMTLANDS LÄN</t>
        </is>
      </c>
      <c r="E228" t="inlineStr">
        <is>
          <t>ÖSTERSUND</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41364-2019</t>
        </is>
      </c>
      <c r="B229" s="1" t="n">
        <v>43696</v>
      </c>
      <c r="C229" s="1" t="n">
        <v>45709</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40531-2019</t>
        </is>
      </c>
      <c r="B230" s="1" t="n">
        <v>43696</v>
      </c>
      <c r="C230" s="1" t="n">
        <v>45709</v>
      </c>
      <c r="D230" t="inlineStr">
        <is>
          <t>JÄMTLANDS LÄN</t>
        </is>
      </c>
      <c r="E230" t="inlineStr">
        <is>
          <t>ÖSTERSUND</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41556-2019</t>
        </is>
      </c>
      <c r="B231" s="1" t="n">
        <v>43696</v>
      </c>
      <c r="C231" s="1" t="n">
        <v>45709</v>
      </c>
      <c r="D231" t="inlineStr">
        <is>
          <t>JÄMTLANDS LÄN</t>
        </is>
      </c>
      <c r="E231" t="inlineStr">
        <is>
          <t>ÖSTERSUND</t>
        </is>
      </c>
      <c r="F231" t="inlineStr">
        <is>
          <t>SCA</t>
        </is>
      </c>
      <c r="G231" t="n">
        <v>0.7</v>
      </c>
      <c r="H231" t="n">
        <v>0</v>
      </c>
      <c r="I231" t="n">
        <v>0</v>
      </c>
      <c r="J231" t="n">
        <v>0</v>
      </c>
      <c r="K231" t="n">
        <v>0</v>
      </c>
      <c r="L231" t="n">
        <v>0</v>
      </c>
      <c r="M231" t="n">
        <v>0</v>
      </c>
      <c r="N231" t="n">
        <v>0</v>
      </c>
      <c r="O231" t="n">
        <v>0</v>
      </c>
      <c r="P231" t="n">
        <v>0</v>
      </c>
      <c r="Q231" t="n">
        <v>0</v>
      </c>
      <c r="R231" s="2" t="inlineStr"/>
    </row>
    <row r="232" ht="15" customHeight="1">
      <c r="A232" t="inlineStr">
        <is>
          <t>A 41588-2019</t>
        </is>
      </c>
      <c r="B232" s="1" t="n">
        <v>43699</v>
      </c>
      <c r="C232" s="1" t="n">
        <v>45709</v>
      </c>
      <c r="D232" t="inlineStr">
        <is>
          <t>JÄMTLANDS LÄN</t>
        </is>
      </c>
      <c r="E232" t="inlineStr">
        <is>
          <t>ÖSTERSUND</t>
        </is>
      </c>
      <c r="G232" t="n">
        <v>26.7</v>
      </c>
      <c r="H232" t="n">
        <v>0</v>
      </c>
      <c r="I232" t="n">
        <v>0</v>
      </c>
      <c r="J232" t="n">
        <v>0</v>
      </c>
      <c r="K232" t="n">
        <v>0</v>
      </c>
      <c r="L232" t="n">
        <v>0</v>
      </c>
      <c r="M232" t="n">
        <v>0</v>
      </c>
      <c r="N232" t="n">
        <v>0</v>
      </c>
      <c r="O232" t="n">
        <v>0</v>
      </c>
      <c r="P232" t="n">
        <v>0</v>
      </c>
      <c r="Q232" t="n">
        <v>0</v>
      </c>
      <c r="R232" s="2" t="inlineStr"/>
    </row>
    <row r="233" ht="15" customHeight="1">
      <c r="A233" t="inlineStr">
        <is>
          <t>A 43249-2019</t>
        </is>
      </c>
      <c r="B233" s="1" t="n">
        <v>43703</v>
      </c>
      <c r="C233" s="1" t="n">
        <v>45709</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43425-2019</t>
        </is>
      </c>
      <c r="B234" s="1" t="n">
        <v>43703</v>
      </c>
      <c r="C234" s="1" t="n">
        <v>45709</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46346-2019</t>
        </is>
      </c>
      <c r="B235" s="1" t="n">
        <v>43718</v>
      </c>
      <c r="C235" s="1" t="n">
        <v>45709</v>
      </c>
      <c r="D235" t="inlineStr">
        <is>
          <t>JÄMTLANDS LÄN</t>
        </is>
      </c>
      <c r="E235" t="inlineStr">
        <is>
          <t>ÖSTERSUND</t>
        </is>
      </c>
      <c r="F235" t="inlineStr">
        <is>
          <t>SCA</t>
        </is>
      </c>
      <c r="G235" t="n">
        <v>6.5</v>
      </c>
      <c r="H235" t="n">
        <v>0</v>
      </c>
      <c r="I235" t="n">
        <v>0</v>
      </c>
      <c r="J235" t="n">
        <v>0</v>
      </c>
      <c r="K235" t="n">
        <v>0</v>
      </c>
      <c r="L235" t="n">
        <v>0</v>
      </c>
      <c r="M235" t="n">
        <v>0</v>
      </c>
      <c r="N235" t="n">
        <v>0</v>
      </c>
      <c r="O235" t="n">
        <v>0</v>
      </c>
      <c r="P235" t="n">
        <v>0</v>
      </c>
      <c r="Q235" t="n">
        <v>0</v>
      </c>
      <c r="R235" s="2" t="inlineStr"/>
    </row>
    <row r="236" ht="15" customHeight="1">
      <c r="A236" t="inlineStr">
        <is>
          <t>A 47810-2019</t>
        </is>
      </c>
      <c r="B236" s="1" t="n">
        <v>43724</v>
      </c>
      <c r="C236" s="1" t="n">
        <v>45709</v>
      </c>
      <c r="D236" t="inlineStr">
        <is>
          <t>JÄMTLANDS LÄN</t>
        </is>
      </c>
      <c r="E236" t="inlineStr">
        <is>
          <t>ÖSTERSUND</t>
        </is>
      </c>
      <c r="F236" t="inlineStr">
        <is>
          <t>SCA</t>
        </is>
      </c>
      <c r="G236" t="n">
        <v>0.5</v>
      </c>
      <c r="H236" t="n">
        <v>0</v>
      </c>
      <c r="I236" t="n">
        <v>0</v>
      </c>
      <c r="J236" t="n">
        <v>0</v>
      </c>
      <c r="K236" t="n">
        <v>0</v>
      </c>
      <c r="L236" t="n">
        <v>0</v>
      </c>
      <c r="M236" t="n">
        <v>0</v>
      </c>
      <c r="N236" t="n">
        <v>0</v>
      </c>
      <c r="O236" t="n">
        <v>0</v>
      </c>
      <c r="P236" t="n">
        <v>0</v>
      </c>
      <c r="Q236" t="n">
        <v>0</v>
      </c>
      <c r="R236" s="2" t="inlineStr"/>
    </row>
    <row r="237" ht="15" customHeight="1">
      <c r="A237" t="inlineStr">
        <is>
          <t>A 48115-2019</t>
        </is>
      </c>
      <c r="B237" s="1" t="n">
        <v>43725</v>
      </c>
      <c r="C237" s="1" t="n">
        <v>45709</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48680-2019</t>
        </is>
      </c>
      <c r="B238" s="1" t="n">
        <v>43727</v>
      </c>
      <c r="C238" s="1" t="n">
        <v>45709</v>
      </c>
      <c r="D238" t="inlineStr">
        <is>
          <t>JÄMTLANDS LÄN</t>
        </is>
      </c>
      <c r="E238" t="inlineStr">
        <is>
          <t>ÖSTERSUND</t>
        </is>
      </c>
      <c r="G238" t="n">
        <v>3</v>
      </c>
      <c r="H238" t="n">
        <v>0</v>
      </c>
      <c r="I238" t="n">
        <v>0</v>
      </c>
      <c r="J238" t="n">
        <v>0</v>
      </c>
      <c r="K238" t="n">
        <v>0</v>
      </c>
      <c r="L238" t="n">
        <v>0</v>
      </c>
      <c r="M238" t="n">
        <v>0</v>
      </c>
      <c r="N238" t="n">
        <v>0</v>
      </c>
      <c r="O238" t="n">
        <v>0</v>
      </c>
      <c r="P238" t="n">
        <v>0</v>
      </c>
      <c r="Q238" t="n">
        <v>0</v>
      </c>
      <c r="R238" s="2" t="inlineStr"/>
    </row>
    <row r="239" ht="15" customHeight="1">
      <c r="A239" t="inlineStr">
        <is>
          <t>A 49629-2019</t>
        </is>
      </c>
      <c r="B239" s="1" t="n">
        <v>43732</v>
      </c>
      <c r="C239" s="1" t="n">
        <v>45709</v>
      </c>
      <c r="D239" t="inlineStr">
        <is>
          <t>JÄMTLANDS LÄN</t>
        </is>
      </c>
      <c r="E239" t="inlineStr">
        <is>
          <t>ÖSTERSUND</t>
        </is>
      </c>
      <c r="F239" t="inlineStr">
        <is>
          <t>Övriga Aktiebolag</t>
        </is>
      </c>
      <c r="G239" t="n">
        <v>2.1</v>
      </c>
      <c r="H239" t="n">
        <v>0</v>
      </c>
      <c r="I239" t="n">
        <v>0</v>
      </c>
      <c r="J239" t="n">
        <v>0</v>
      </c>
      <c r="K239" t="n">
        <v>0</v>
      </c>
      <c r="L239" t="n">
        <v>0</v>
      </c>
      <c r="M239" t="n">
        <v>0</v>
      </c>
      <c r="N239" t="n">
        <v>0</v>
      </c>
      <c r="O239" t="n">
        <v>0</v>
      </c>
      <c r="P239" t="n">
        <v>0</v>
      </c>
      <c r="Q239" t="n">
        <v>0</v>
      </c>
      <c r="R239" s="2" t="inlineStr"/>
    </row>
    <row r="240" ht="15" customHeight="1">
      <c r="A240" t="inlineStr">
        <is>
          <t>A 51347-2019</t>
        </is>
      </c>
      <c r="B240" s="1" t="n">
        <v>43732</v>
      </c>
      <c r="C240" s="1" t="n">
        <v>45709</v>
      </c>
      <c r="D240" t="inlineStr">
        <is>
          <t>JÄMTLANDS LÄN</t>
        </is>
      </c>
      <c r="E240" t="inlineStr">
        <is>
          <t>ÖSTERSUND</t>
        </is>
      </c>
      <c r="G240" t="n">
        <v>3.8</v>
      </c>
      <c r="H240" t="n">
        <v>0</v>
      </c>
      <c r="I240" t="n">
        <v>0</v>
      </c>
      <c r="J240" t="n">
        <v>0</v>
      </c>
      <c r="K240" t="n">
        <v>0</v>
      </c>
      <c r="L240" t="n">
        <v>0</v>
      </c>
      <c r="M240" t="n">
        <v>0</v>
      </c>
      <c r="N240" t="n">
        <v>0</v>
      </c>
      <c r="O240" t="n">
        <v>0</v>
      </c>
      <c r="P240" t="n">
        <v>0</v>
      </c>
      <c r="Q240" t="n">
        <v>0</v>
      </c>
      <c r="R240" s="2" t="inlineStr"/>
    </row>
    <row r="241" ht="15" customHeight="1">
      <c r="A241" t="inlineStr">
        <is>
          <t>A 49997-2019</t>
        </is>
      </c>
      <c r="B241" s="1" t="n">
        <v>43733</v>
      </c>
      <c r="C241" s="1" t="n">
        <v>45709</v>
      </c>
      <c r="D241" t="inlineStr">
        <is>
          <t>JÄMTLANDS LÄN</t>
        </is>
      </c>
      <c r="E241" t="inlineStr">
        <is>
          <t>ÖSTERSUND</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50316-2019</t>
        </is>
      </c>
      <c r="B242" s="1" t="n">
        <v>43735</v>
      </c>
      <c r="C242" s="1" t="n">
        <v>45709</v>
      </c>
      <c r="D242" t="inlineStr">
        <is>
          <t>JÄMTLANDS LÄN</t>
        </is>
      </c>
      <c r="E242" t="inlineStr">
        <is>
          <t>ÖSTERSUND</t>
        </is>
      </c>
      <c r="G242" t="n">
        <v>9.5</v>
      </c>
      <c r="H242" t="n">
        <v>0</v>
      </c>
      <c r="I242" t="n">
        <v>0</v>
      </c>
      <c r="J242" t="n">
        <v>0</v>
      </c>
      <c r="K242" t="n">
        <v>0</v>
      </c>
      <c r="L242" t="n">
        <v>0</v>
      </c>
      <c r="M242" t="n">
        <v>0</v>
      </c>
      <c r="N242" t="n">
        <v>0</v>
      </c>
      <c r="O242" t="n">
        <v>0</v>
      </c>
      <c r="P242" t="n">
        <v>0</v>
      </c>
      <c r="Q242" t="n">
        <v>0</v>
      </c>
      <c r="R242" s="2" t="inlineStr"/>
    </row>
    <row r="243" ht="15" customHeight="1">
      <c r="A243" t="inlineStr">
        <is>
          <t>A 50779-2019</t>
        </is>
      </c>
      <c r="B243" s="1" t="n">
        <v>43738</v>
      </c>
      <c r="C243" s="1" t="n">
        <v>45709</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50968-2019</t>
        </is>
      </c>
      <c r="B244" s="1" t="n">
        <v>43738</v>
      </c>
      <c r="C244" s="1" t="n">
        <v>45709</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54498-2019</t>
        </is>
      </c>
      <c r="B245" s="1" t="n">
        <v>43747</v>
      </c>
      <c r="C245" s="1" t="n">
        <v>45709</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53297-2019</t>
        </is>
      </c>
      <c r="B246" s="1" t="n">
        <v>43748</v>
      </c>
      <c r="C246" s="1" t="n">
        <v>45709</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53533-2019</t>
        </is>
      </c>
      <c r="B247" s="1" t="n">
        <v>43749</v>
      </c>
      <c r="C247" s="1" t="n">
        <v>45709</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53859-2019</t>
        </is>
      </c>
      <c r="B248" s="1" t="n">
        <v>43752</v>
      </c>
      <c r="C248" s="1" t="n">
        <v>45709</v>
      </c>
      <c r="D248" t="inlineStr">
        <is>
          <t>JÄMTLANDS LÄN</t>
        </is>
      </c>
      <c r="E248" t="inlineStr">
        <is>
          <t>ÖSTERSUND</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57466-2019</t>
        </is>
      </c>
      <c r="B249" s="1" t="n">
        <v>43761</v>
      </c>
      <c r="C249" s="1" t="n">
        <v>45709</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56512-2019</t>
        </is>
      </c>
      <c r="B250" s="1" t="n">
        <v>43762</v>
      </c>
      <c r="C250" s="1" t="n">
        <v>45709</v>
      </c>
      <c r="D250" t="inlineStr">
        <is>
          <t>JÄMTLANDS LÄN</t>
        </is>
      </c>
      <c r="E250" t="inlineStr">
        <is>
          <t>ÖSTERSUND</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57845-2019</t>
        </is>
      </c>
      <c r="B251" s="1" t="n">
        <v>43768</v>
      </c>
      <c r="C251" s="1" t="n">
        <v>45709</v>
      </c>
      <c r="D251" t="inlineStr">
        <is>
          <t>JÄMTLANDS LÄN</t>
        </is>
      </c>
      <c r="E251" t="inlineStr">
        <is>
          <t>ÖSTERSUND</t>
        </is>
      </c>
      <c r="G251" t="n">
        <v>3.7</v>
      </c>
      <c r="H251" t="n">
        <v>0</v>
      </c>
      <c r="I251" t="n">
        <v>0</v>
      </c>
      <c r="J251" t="n">
        <v>0</v>
      </c>
      <c r="K251" t="n">
        <v>0</v>
      </c>
      <c r="L251" t="n">
        <v>0</v>
      </c>
      <c r="M251" t="n">
        <v>0</v>
      </c>
      <c r="N251" t="n">
        <v>0</v>
      </c>
      <c r="O251" t="n">
        <v>0</v>
      </c>
      <c r="P251" t="n">
        <v>0</v>
      </c>
      <c r="Q251" t="n">
        <v>0</v>
      </c>
      <c r="R251" s="2" t="inlineStr"/>
    </row>
    <row r="252" ht="15" customHeight="1">
      <c r="A252" t="inlineStr">
        <is>
          <t>A 58216-2019</t>
        </is>
      </c>
      <c r="B252" s="1" t="n">
        <v>43770</v>
      </c>
      <c r="C252" s="1" t="n">
        <v>45709</v>
      </c>
      <c r="D252" t="inlineStr">
        <is>
          <t>JÄMTLANDS LÄN</t>
        </is>
      </c>
      <c r="E252" t="inlineStr">
        <is>
          <t>ÖSTERSUND</t>
        </is>
      </c>
      <c r="G252" t="n">
        <v>2.4</v>
      </c>
      <c r="H252" t="n">
        <v>0</v>
      </c>
      <c r="I252" t="n">
        <v>0</v>
      </c>
      <c r="J252" t="n">
        <v>0</v>
      </c>
      <c r="K252" t="n">
        <v>0</v>
      </c>
      <c r="L252" t="n">
        <v>0</v>
      </c>
      <c r="M252" t="n">
        <v>0</v>
      </c>
      <c r="N252" t="n">
        <v>0</v>
      </c>
      <c r="O252" t="n">
        <v>0</v>
      </c>
      <c r="P252" t="n">
        <v>0</v>
      </c>
      <c r="Q252" t="n">
        <v>0</v>
      </c>
      <c r="R252" s="2" t="inlineStr"/>
    </row>
    <row r="253" ht="15" customHeight="1">
      <c r="A253" t="inlineStr">
        <is>
          <t>A 58210-2019</t>
        </is>
      </c>
      <c r="B253" s="1" t="n">
        <v>43770</v>
      </c>
      <c r="C253" s="1" t="n">
        <v>45709</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59437-2019</t>
        </is>
      </c>
      <c r="B254" s="1" t="n">
        <v>43773</v>
      </c>
      <c r="C254" s="1" t="n">
        <v>45709</v>
      </c>
      <c r="D254" t="inlineStr">
        <is>
          <t>JÄMTLANDS LÄN</t>
        </is>
      </c>
      <c r="E254" t="inlineStr">
        <is>
          <t>ÖSTERSUND</t>
        </is>
      </c>
      <c r="G254" t="n">
        <v>6.2</v>
      </c>
      <c r="H254" t="n">
        <v>0</v>
      </c>
      <c r="I254" t="n">
        <v>0</v>
      </c>
      <c r="J254" t="n">
        <v>0</v>
      </c>
      <c r="K254" t="n">
        <v>0</v>
      </c>
      <c r="L254" t="n">
        <v>0</v>
      </c>
      <c r="M254" t="n">
        <v>0</v>
      </c>
      <c r="N254" t="n">
        <v>0</v>
      </c>
      <c r="O254" t="n">
        <v>0</v>
      </c>
      <c r="P254" t="n">
        <v>0</v>
      </c>
      <c r="Q254" t="n">
        <v>0</v>
      </c>
      <c r="R254" s="2" t="inlineStr"/>
    </row>
    <row r="255" ht="15" customHeight="1">
      <c r="A255" t="inlineStr">
        <is>
          <t>A 60240-2019</t>
        </is>
      </c>
      <c r="B255" s="1" t="n">
        <v>43776</v>
      </c>
      <c r="C255" s="1" t="n">
        <v>45709</v>
      </c>
      <c r="D255" t="inlineStr">
        <is>
          <t>JÄMTLANDS LÄN</t>
        </is>
      </c>
      <c r="E255" t="inlineStr">
        <is>
          <t>ÖSTERSUND</t>
        </is>
      </c>
      <c r="G255" t="n">
        <v>3.9</v>
      </c>
      <c r="H255" t="n">
        <v>0</v>
      </c>
      <c r="I255" t="n">
        <v>0</v>
      </c>
      <c r="J255" t="n">
        <v>0</v>
      </c>
      <c r="K255" t="n">
        <v>0</v>
      </c>
      <c r="L255" t="n">
        <v>0</v>
      </c>
      <c r="M255" t="n">
        <v>0</v>
      </c>
      <c r="N255" t="n">
        <v>0</v>
      </c>
      <c r="O255" t="n">
        <v>0</v>
      </c>
      <c r="P255" t="n">
        <v>0</v>
      </c>
      <c r="Q255" t="n">
        <v>0</v>
      </c>
      <c r="R255" s="2" t="inlineStr"/>
    </row>
    <row r="256" ht="15" customHeight="1">
      <c r="A256" t="inlineStr">
        <is>
          <t>A 60001-2019</t>
        </is>
      </c>
      <c r="B256" s="1" t="n">
        <v>43777</v>
      </c>
      <c r="C256" s="1" t="n">
        <v>45709</v>
      </c>
      <c r="D256" t="inlineStr">
        <is>
          <t>JÄMTLANDS LÄN</t>
        </is>
      </c>
      <c r="E256" t="inlineStr">
        <is>
          <t>ÖSTERSUND</t>
        </is>
      </c>
      <c r="G256" t="n">
        <v>3.2</v>
      </c>
      <c r="H256" t="n">
        <v>0</v>
      </c>
      <c r="I256" t="n">
        <v>0</v>
      </c>
      <c r="J256" t="n">
        <v>0</v>
      </c>
      <c r="K256" t="n">
        <v>0</v>
      </c>
      <c r="L256" t="n">
        <v>0</v>
      </c>
      <c r="M256" t="n">
        <v>0</v>
      </c>
      <c r="N256" t="n">
        <v>0</v>
      </c>
      <c r="O256" t="n">
        <v>0</v>
      </c>
      <c r="P256" t="n">
        <v>0</v>
      </c>
      <c r="Q256" t="n">
        <v>0</v>
      </c>
      <c r="R256" s="2" t="inlineStr"/>
    </row>
    <row r="257" ht="15" customHeight="1">
      <c r="A257" t="inlineStr">
        <is>
          <t>A 60669-2019</t>
        </is>
      </c>
      <c r="B257" s="1" t="n">
        <v>43781</v>
      </c>
      <c r="C257" s="1" t="n">
        <v>45709</v>
      </c>
      <c r="D257" t="inlineStr">
        <is>
          <t>JÄMTLANDS LÄN</t>
        </is>
      </c>
      <c r="E257" t="inlineStr">
        <is>
          <t>ÖSTERSUND</t>
        </is>
      </c>
      <c r="G257" t="n">
        <v>3.6</v>
      </c>
      <c r="H257" t="n">
        <v>0</v>
      </c>
      <c r="I257" t="n">
        <v>0</v>
      </c>
      <c r="J257" t="n">
        <v>0</v>
      </c>
      <c r="K257" t="n">
        <v>0</v>
      </c>
      <c r="L257" t="n">
        <v>0</v>
      </c>
      <c r="M257" t="n">
        <v>0</v>
      </c>
      <c r="N257" t="n">
        <v>0</v>
      </c>
      <c r="O257" t="n">
        <v>0</v>
      </c>
      <c r="P257" t="n">
        <v>0</v>
      </c>
      <c r="Q257" t="n">
        <v>0</v>
      </c>
      <c r="R257" s="2" t="inlineStr"/>
    </row>
    <row r="258" ht="15" customHeight="1">
      <c r="A258" t="inlineStr">
        <is>
          <t>A 60604-2019</t>
        </is>
      </c>
      <c r="B258" s="1" t="n">
        <v>43781</v>
      </c>
      <c r="C258" s="1" t="n">
        <v>45709</v>
      </c>
      <c r="D258" t="inlineStr">
        <is>
          <t>JÄMTLANDS LÄN</t>
        </is>
      </c>
      <c r="E258" t="inlineStr">
        <is>
          <t>ÖSTERSUND</t>
        </is>
      </c>
      <c r="G258" t="n">
        <v>8.9</v>
      </c>
      <c r="H258" t="n">
        <v>0</v>
      </c>
      <c r="I258" t="n">
        <v>0</v>
      </c>
      <c r="J258" t="n">
        <v>0</v>
      </c>
      <c r="K258" t="n">
        <v>0</v>
      </c>
      <c r="L258" t="n">
        <v>0</v>
      </c>
      <c r="M258" t="n">
        <v>0</v>
      </c>
      <c r="N258" t="n">
        <v>0</v>
      </c>
      <c r="O258" t="n">
        <v>0</v>
      </c>
      <c r="P258" t="n">
        <v>0</v>
      </c>
      <c r="Q258" t="n">
        <v>0</v>
      </c>
      <c r="R258" s="2" t="inlineStr"/>
    </row>
    <row r="259" ht="15" customHeight="1">
      <c r="A259" t="inlineStr">
        <is>
          <t>A 62234-2019</t>
        </is>
      </c>
      <c r="B259" s="1" t="n">
        <v>43784</v>
      </c>
      <c r="C259" s="1" t="n">
        <v>45709</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62136-2019</t>
        </is>
      </c>
      <c r="B260" s="1" t="n">
        <v>43787</v>
      </c>
      <c r="C260" s="1" t="n">
        <v>45709</v>
      </c>
      <c r="D260" t="inlineStr">
        <is>
          <t>JÄMTLANDS LÄN</t>
        </is>
      </c>
      <c r="E260" t="inlineStr">
        <is>
          <t>ÖSTERSUND</t>
        </is>
      </c>
      <c r="F260" t="inlineStr">
        <is>
          <t>Övriga Aktiebolag</t>
        </is>
      </c>
      <c r="G260" t="n">
        <v>35.2</v>
      </c>
      <c r="H260" t="n">
        <v>0</v>
      </c>
      <c r="I260" t="n">
        <v>0</v>
      </c>
      <c r="J260" t="n">
        <v>0</v>
      </c>
      <c r="K260" t="n">
        <v>0</v>
      </c>
      <c r="L260" t="n">
        <v>0</v>
      </c>
      <c r="M260" t="n">
        <v>0</v>
      </c>
      <c r="N260" t="n">
        <v>0</v>
      </c>
      <c r="O260" t="n">
        <v>0</v>
      </c>
      <c r="P260" t="n">
        <v>0</v>
      </c>
      <c r="Q260" t="n">
        <v>0</v>
      </c>
      <c r="R260" s="2" t="inlineStr"/>
    </row>
    <row r="261" ht="15" customHeight="1">
      <c r="A261" t="inlineStr">
        <is>
          <t>A 64622-2019</t>
        </is>
      </c>
      <c r="B261" s="1" t="n">
        <v>43794</v>
      </c>
      <c r="C261" s="1" t="n">
        <v>45709</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65335-2019</t>
        </is>
      </c>
      <c r="B262" s="1" t="n">
        <v>43802</v>
      </c>
      <c r="C262" s="1" t="n">
        <v>45709</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67010-2019</t>
        </is>
      </c>
      <c r="B263" s="1" t="n">
        <v>43805</v>
      </c>
      <c r="C263" s="1" t="n">
        <v>45709</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66592-2019</t>
        </is>
      </c>
      <c r="B264" s="1" t="n">
        <v>43809</v>
      </c>
      <c r="C264" s="1" t="n">
        <v>45709</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67863-2019</t>
        </is>
      </c>
      <c r="B265" s="1" t="n">
        <v>43809</v>
      </c>
      <c r="C265" s="1" t="n">
        <v>45709</v>
      </c>
      <c r="D265" t="inlineStr">
        <is>
          <t>JÄMTLANDS LÄN</t>
        </is>
      </c>
      <c r="E265" t="inlineStr">
        <is>
          <t>ÖSTERSUND</t>
        </is>
      </c>
      <c r="G265" t="n">
        <v>2.3</v>
      </c>
      <c r="H265" t="n">
        <v>0</v>
      </c>
      <c r="I265" t="n">
        <v>0</v>
      </c>
      <c r="J265" t="n">
        <v>0</v>
      </c>
      <c r="K265" t="n">
        <v>0</v>
      </c>
      <c r="L265" t="n">
        <v>0</v>
      </c>
      <c r="M265" t="n">
        <v>0</v>
      </c>
      <c r="N265" t="n">
        <v>0</v>
      </c>
      <c r="O265" t="n">
        <v>0</v>
      </c>
      <c r="P265" t="n">
        <v>0</v>
      </c>
      <c r="Q265" t="n">
        <v>0</v>
      </c>
      <c r="R265" s="2" t="inlineStr"/>
    </row>
    <row r="266" ht="15" customHeight="1">
      <c r="A266" t="inlineStr">
        <is>
          <t>A 68238-2019</t>
        </is>
      </c>
      <c r="B266" s="1" t="n">
        <v>43817</v>
      </c>
      <c r="C266" s="1" t="n">
        <v>45709</v>
      </c>
      <c r="D266" t="inlineStr">
        <is>
          <t>JÄMTLANDS LÄN</t>
        </is>
      </c>
      <c r="E266" t="inlineStr">
        <is>
          <t>ÖSTERSUND</t>
        </is>
      </c>
      <c r="G266" t="n">
        <v>2.7</v>
      </c>
      <c r="H266" t="n">
        <v>0</v>
      </c>
      <c r="I266" t="n">
        <v>0</v>
      </c>
      <c r="J266" t="n">
        <v>0</v>
      </c>
      <c r="K266" t="n">
        <v>0</v>
      </c>
      <c r="L266" t="n">
        <v>0</v>
      </c>
      <c r="M266" t="n">
        <v>0</v>
      </c>
      <c r="N266" t="n">
        <v>0</v>
      </c>
      <c r="O266" t="n">
        <v>0</v>
      </c>
      <c r="P266" t="n">
        <v>0</v>
      </c>
      <c r="Q266" t="n">
        <v>0</v>
      </c>
      <c r="R266" s="2" t="inlineStr"/>
    </row>
    <row r="267" ht="15" customHeight="1">
      <c r="A267" t="inlineStr">
        <is>
          <t>A 745-2020</t>
        </is>
      </c>
      <c r="B267" s="1" t="n">
        <v>43838</v>
      </c>
      <c r="C267" s="1" t="n">
        <v>45709</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1088-2020</t>
        </is>
      </c>
      <c r="B268" s="1" t="n">
        <v>43840</v>
      </c>
      <c r="C268" s="1" t="n">
        <v>45709</v>
      </c>
      <c r="D268" t="inlineStr">
        <is>
          <t>JÄMTLANDS LÄN</t>
        </is>
      </c>
      <c r="E268" t="inlineStr">
        <is>
          <t>ÖSTERSUND</t>
        </is>
      </c>
      <c r="G268" t="n">
        <v>4.4</v>
      </c>
      <c r="H268" t="n">
        <v>0</v>
      </c>
      <c r="I268" t="n">
        <v>0</v>
      </c>
      <c r="J268" t="n">
        <v>0</v>
      </c>
      <c r="K268" t="n">
        <v>0</v>
      </c>
      <c r="L268" t="n">
        <v>0</v>
      </c>
      <c r="M268" t="n">
        <v>0</v>
      </c>
      <c r="N268" t="n">
        <v>0</v>
      </c>
      <c r="O268" t="n">
        <v>0</v>
      </c>
      <c r="P268" t="n">
        <v>0</v>
      </c>
      <c r="Q268" t="n">
        <v>0</v>
      </c>
      <c r="R268" s="2" t="inlineStr"/>
    </row>
    <row r="269" ht="15" customHeight="1">
      <c r="A269" t="inlineStr">
        <is>
          <t>A 1268-2020</t>
        </is>
      </c>
      <c r="B269" s="1" t="n">
        <v>43840</v>
      </c>
      <c r="C269" s="1" t="n">
        <v>45709</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1077-2020</t>
        </is>
      </c>
      <c r="B270" s="1" t="n">
        <v>43840</v>
      </c>
      <c r="C270" s="1" t="n">
        <v>45709</v>
      </c>
      <c r="D270" t="inlineStr">
        <is>
          <t>JÄMTLANDS LÄN</t>
        </is>
      </c>
      <c r="E270" t="inlineStr">
        <is>
          <t>ÖSTERSUND</t>
        </is>
      </c>
      <c r="G270" t="n">
        <v>1.6</v>
      </c>
      <c r="H270" t="n">
        <v>0</v>
      </c>
      <c r="I270" t="n">
        <v>0</v>
      </c>
      <c r="J270" t="n">
        <v>0</v>
      </c>
      <c r="K270" t="n">
        <v>0</v>
      </c>
      <c r="L270" t="n">
        <v>0</v>
      </c>
      <c r="M270" t="n">
        <v>0</v>
      </c>
      <c r="N270" t="n">
        <v>0</v>
      </c>
      <c r="O270" t="n">
        <v>0</v>
      </c>
      <c r="P270" t="n">
        <v>0</v>
      </c>
      <c r="Q270" t="n">
        <v>0</v>
      </c>
      <c r="R270" s="2" t="inlineStr"/>
    </row>
    <row r="271" ht="15" customHeight="1">
      <c r="A271" t="inlineStr">
        <is>
          <t>A 5905-2020</t>
        </is>
      </c>
      <c r="B271" s="1" t="n">
        <v>43861</v>
      </c>
      <c r="C271" s="1" t="n">
        <v>45709</v>
      </c>
      <c r="D271" t="inlineStr">
        <is>
          <t>JÄMTLANDS LÄN</t>
        </is>
      </c>
      <c r="E271" t="inlineStr">
        <is>
          <t>ÖSTERSUND</t>
        </is>
      </c>
      <c r="G271" t="n">
        <v>2.6</v>
      </c>
      <c r="H271" t="n">
        <v>0</v>
      </c>
      <c r="I271" t="n">
        <v>0</v>
      </c>
      <c r="J271" t="n">
        <v>0</v>
      </c>
      <c r="K271" t="n">
        <v>0</v>
      </c>
      <c r="L271" t="n">
        <v>0</v>
      </c>
      <c r="M271" t="n">
        <v>0</v>
      </c>
      <c r="N271" t="n">
        <v>0</v>
      </c>
      <c r="O271" t="n">
        <v>0</v>
      </c>
      <c r="P271" t="n">
        <v>0</v>
      </c>
      <c r="Q271" t="n">
        <v>0</v>
      </c>
      <c r="R271" s="2" t="inlineStr"/>
    </row>
    <row r="272" ht="15" customHeight="1">
      <c r="A272" t="inlineStr">
        <is>
          <t>A 6028-2020</t>
        </is>
      </c>
      <c r="B272" s="1" t="n">
        <v>43864</v>
      </c>
      <c r="C272" s="1" t="n">
        <v>45709</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6522-2020</t>
        </is>
      </c>
      <c r="B273" s="1" t="n">
        <v>43864</v>
      </c>
      <c r="C273" s="1" t="n">
        <v>45709</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6566-2020</t>
        </is>
      </c>
      <c r="B274" s="1" t="n">
        <v>43865</v>
      </c>
      <c r="C274" s="1" t="n">
        <v>45709</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7255-2020</t>
        </is>
      </c>
      <c r="B275" s="1" t="n">
        <v>43871</v>
      </c>
      <c r="C275" s="1" t="n">
        <v>45709</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7570-2020</t>
        </is>
      </c>
      <c r="B276" s="1" t="n">
        <v>43871</v>
      </c>
      <c r="C276" s="1" t="n">
        <v>45709</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8401-2020</t>
        </is>
      </c>
      <c r="B277" s="1" t="n">
        <v>43875</v>
      </c>
      <c r="C277" s="1" t="n">
        <v>45709</v>
      </c>
      <c r="D277" t="inlineStr">
        <is>
          <t>JÄMTLANDS LÄN</t>
        </is>
      </c>
      <c r="E277" t="inlineStr">
        <is>
          <t>ÖSTERSUND</t>
        </is>
      </c>
      <c r="G277" t="n">
        <v>1.3</v>
      </c>
      <c r="H277" t="n">
        <v>0</v>
      </c>
      <c r="I277" t="n">
        <v>0</v>
      </c>
      <c r="J277" t="n">
        <v>0</v>
      </c>
      <c r="K277" t="n">
        <v>0</v>
      </c>
      <c r="L277" t="n">
        <v>0</v>
      </c>
      <c r="M277" t="n">
        <v>0</v>
      </c>
      <c r="N277" t="n">
        <v>0</v>
      </c>
      <c r="O277" t="n">
        <v>0</v>
      </c>
      <c r="P277" t="n">
        <v>0</v>
      </c>
      <c r="Q277" t="n">
        <v>0</v>
      </c>
      <c r="R277" s="2" t="inlineStr"/>
    </row>
    <row r="278" ht="15" customHeight="1">
      <c r="A278" t="inlineStr">
        <is>
          <t>A 11566-2020</t>
        </is>
      </c>
      <c r="B278" s="1" t="n">
        <v>43893</v>
      </c>
      <c r="C278" s="1" t="n">
        <v>45709</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12202-2020</t>
        </is>
      </c>
      <c r="B279" s="1" t="n">
        <v>43895</v>
      </c>
      <c r="C279" s="1" t="n">
        <v>45709</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13264-2020</t>
        </is>
      </c>
      <c r="B280" s="1" t="n">
        <v>43901</v>
      </c>
      <c r="C280" s="1" t="n">
        <v>45709</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14917-2020</t>
        </is>
      </c>
      <c r="B281" s="1" t="n">
        <v>43906</v>
      </c>
      <c r="C281" s="1" t="n">
        <v>45709</v>
      </c>
      <c r="D281" t="inlineStr">
        <is>
          <t>JÄMTLANDS LÄN</t>
        </is>
      </c>
      <c r="E281" t="inlineStr">
        <is>
          <t>ÖSTERSUND</t>
        </is>
      </c>
      <c r="G281" t="n">
        <v>12.9</v>
      </c>
      <c r="H281" t="n">
        <v>0</v>
      </c>
      <c r="I281" t="n">
        <v>0</v>
      </c>
      <c r="J281" t="n">
        <v>0</v>
      </c>
      <c r="K281" t="n">
        <v>0</v>
      </c>
      <c r="L281" t="n">
        <v>0</v>
      </c>
      <c r="M281" t="n">
        <v>0</v>
      </c>
      <c r="N281" t="n">
        <v>0</v>
      </c>
      <c r="O281" t="n">
        <v>0</v>
      </c>
      <c r="P281" t="n">
        <v>0</v>
      </c>
      <c r="Q281" t="n">
        <v>0</v>
      </c>
      <c r="R281" s="2" t="inlineStr"/>
    </row>
    <row r="282" ht="15" customHeight="1">
      <c r="A282" t="inlineStr">
        <is>
          <t>A 15797-2020</t>
        </is>
      </c>
      <c r="B282" s="1" t="n">
        <v>43909</v>
      </c>
      <c r="C282" s="1" t="n">
        <v>45709</v>
      </c>
      <c r="D282" t="inlineStr">
        <is>
          <t>JÄMTLANDS LÄN</t>
        </is>
      </c>
      <c r="E282" t="inlineStr">
        <is>
          <t>ÖSTERSUND</t>
        </is>
      </c>
      <c r="G282" t="n">
        <v>3.5</v>
      </c>
      <c r="H282" t="n">
        <v>0</v>
      </c>
      <c r="I282" t="n">
        <v>0</v>
      </c>
      <c r="J282" t="n">
        <v>0</v>
      </c>
      <c r="K282" t="n">
        <v>0</v>
      </c>
      <c r="L282" t="n">
        <v>0</v>
      </c>
      <c r="M282" t="n">
        <v>0</v>
      </c>
      <c r="N282" t="n">
        <v>0</v>
      </c>
      <c r="O282" t="n">
        <v>0</v>
      </c>
      <c r="P282" t="n">
        <v>0</v>
      </c>
      <c r="Q282" t="n">
        <v>0</v>
      </c>
      <c r="R282" s="2" t="inlineStr"/>
    </row>
    <row r="283" ht="15" customHeight="1">
      <c r="A283" t="inlineStr">
        <is>
          <t>A 14903-2020</t>
        </is>
      </c>
      <c r="B283" s="1" t="n">
        <v>43910</v>
      </c>
      <c r="C283" s="1" t="n">
        <v>45709</v>
      </c>
      <c r="D283" t="inlineStr">
        <is>
          <t>JÄMTLANDS LÄN</t>
        </is>
      </c>
      <c r="E283" t="inlineStr">
        <is>
          <t>ÖSTERSUND</t>
        </is>
      </c>
      <c r="F283" t="inlineStr">
        <is>
          <t>Kyrkan</t>
        </is>
      </c>
      <c r="G283" t="n">
        <v>2.3</v>
      </c>
      <c r="H283" t="n">
        <v>0</v>
      </c>
      <c r="I283" t="n">
        <v>0</v>
      </c>
      <c r="J283" t="n">
        <v>0</v>
      </c>
      <c r="K283" t="n">
        <v>0</v>
      </c>
      <c r="L283" t="n">
        <v>0</v>
      </c>
      <c r="M283" t="n">
        <v>0</v>
      </c>
      <c r="N283" t="n">
        <v>0</v>
      </c>
      <c r="O283" t="n">
        <v>0</v>
      </c>
      <c r="P283" t="n">
        <v>0</v>
      </c>
      <c r="Q283" t="n">
        <v>0</v>
      </c>
      <c r="R283" s="2" t="inlineStr"/>
    </row>
    <row r="284" ht="15" customHeight="1">
      <c r="A284" t="inlineStr">
        <is>
          <t>A 17464-2020</t>
        </is>
      </c>
      <c r="B284" s="1" t="n">
        <v>43917</v>
      </c>
      <c r="C284" s="1" t="n">
        <v>45709</v>
      </c>
      <c r="D284" t="inlineStr">
        <is>
          <t>JÄMTLANDS LÄN</t>
        </is>
      </c>
      <c r="E284" t="inlineStr">
        <is>
          <t>ÖSTERSUND</t>
        </is>
      </c>
      <c r="G284" t="n">
        <v>3.8</v>
      </c>
      <c r="H284" t="n">
        <v>0</v>
      </c>
      <c r="I284" t="n">
        <v>0</v>
      </c>
      <c r="J284" t="n">
        <v>0</v>
      </c>
      <c r="K284" t="n">
        <v>0</v>
      </c>
      <c r="L284" t="n">
        <v>0</v>
      </c>
      <c r="M284" t="n">
        <v>0</v>
      </c>
      <c r="N284" t="n">
        <v>0</v>
      </c>
      <c r="O284" t="n">
        <v>0</v>
      </c>
      <c r="P284" t="n">
        <v>0</v>
      </c>
      <c r="Q284" t="n">
        <v>0</v>
      </c>
      <c r="R284" s="2" t="inlineStr"/>
    </row>
    <row r="285" ht="15" customHeight="1">
      <c r="A285" t="inlineStr">
        <is>
          <t>A 18339-2020</t>
        </is>
      </c>
      <c r="B285" s="1" t="n">
        <v>43928</v>
      </c>
      <c r="C285" s="1" t="n">
        <v>45709</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18683-2020</t>
        </is>
      </c>
      <c r="B286" s="1" t="n">
        <v>43930</v>
      </c>
      <c r="C286" s="1" t="n">
        <v>45709</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19631-2020</t>
        </is>
      </c>
      <c r="B287" s="1" t="n">
        <v>43936</v>
      </c>
      <c r="C287" s="1" t="n">
        <v>45709</v>
      </c>
      <c r="D287" t="inlineStr">
        <is>
          <t>JÄMTLANDS LÄN</t>
        </is>
      </c>
      <c r="E287" t="inlineStr">
        <is>
          <t>ÖSTERSUND</t>
        </is>
      </c>
      <c r="G287" t="n">
        <v>5.5</v>
      </c>
      <c r="H287" t="n">
        <v>0</v>
      </c>
      <c r="I287" t="n">
        <v>0</v>
      </c>
      <c r="J287" t="n">
        <v>0</v>
      </c>
      <c r="K287" t="n">
        <v>0</v>
      </c>
      <c r="L287" t="n">
        <v>0</v>
      </c>
      <c r="M287" t="n">
        <v>0</v>
      </c>
      <c r="N287" t="n">
        <v>0</v>
      </c>
      <c r="O287" t="n">
        <v>0</v>
      </c>
      <c r="P287" t="n">
        <v>0</v>
      </c>
      <c r="Q287" t="n">
        <v>0</v>
      </c>
      <c r="R287" s="2" t="inlineStr"/>
    </row>
    <row r="288" ht="15" customHeight="1">
      <c r="A288" t="inlineStr">
        <is>
          <t>A 19923-2020</t>
        </is>
      </c>
      <c r="B288" s="1" t="n">
        <v>43943</v>
      </c>
      <c r="C288" s="1" t="n">
        <v>45709</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20198-2020</t>
        </is>
      </c>
      <c r="B289" s="1" t="n">
        <v>43944</v>
      </c>
      <c r="C289" s="1" t="n">
        <v>45709</v>
      </c>
      <c r="D289" t="inlineStr">
        <is>
          <t>JÄMTLANDS LÄN</t>
        </is>
      </c>
      <c r="E289" t="inlineStr">
        <is>
          <t>ÖSTERSUND</t>
        </is>
      </c>
      <c r="G289" t="n">
        <v>2</v>
      </c>
      <c r="H289" t="n">
        <v>0</v>
      </c>
      <c r="I289" t="n">
        <v>0</v>
      </c>
      <c r="J289" t="n">
        <v>0</v>
      </c>
      <c r="K289" t="n">
        <v>0</v>
      </c>
      <c r="L289" t="n">
        <v>0</v>
      </c>
      <c r="M289" t="n">
        <v>0</v>
      </c>
      <c r="N289" t="n">
        <v>0</v>
      </c>
      <c r="O289" t="n">
        <v>0</v>
      </c>
      <c r="P289" t="n">
        <v>0</v>
      </c>
      <c r="Q289" t="n">
        <v>0</v>
      </c>
      <c r="R289" s="2" t="inlineStr"/>
    </row>
    <row r="290" ht="15" customHeight="1">
      <c r="A290" t="inlineStr">
        <is>
          <t>A 23507-2020</t>
        </is>
      </c>
      <c r="B290" s="1" t="n">
        <v>43969</v>
      </c>
      <c r="C290" s="1" t="n">
        <v>45709</v>
      </c>
      <c r="D290" t="inlineStr">
        <is>
          <t>JÄMTLANDS LÄN</t>
        </is>
      </c>
      <c r="E290" t="inlineStr">
        <is>
          <t>ÖSTERSUND</t>
        </is>
      </c>
      <c r="G290" t="n">
        <v>5.8</v>
      </c>
      <c r="H290" t="n">
        <v>0</v>
      </c>
      <c r="I290" t="n">
        <v>0</v>
      </c>
      <c r="J290" t="n">
        <v>0</v>
      </c>
      <c r="K290" t="n">
        <v>0</v>
      </c>
      <c r="L290" t="n">
        <v>0</v>
      </c>
      <c r="M290" t="n">
        <v>0</v>
      </c>
      <c r="N290" t="n">
        <v>0</v>
      </c>
      <c r="O290" t="n">
        <v>0</v>
      </c>
      <c r="P290" t="n">
        <v>0</v>
      </c>
      <c r="Q290" t="n">
        <v>0</v>
      </c>
      <c r="R290" s="2" t="inlineStr"/>
    </row>
    <row r="291" ht="15" customHeight="1">
      <c r="A291" t="inlineStr">
        <is>
          <t>A 23445-2020</t>
        </is>
      </c>
      <c r="B291" s="1" t="n">
        <v>43969</v>
      </c>
      <c r="C291" s="1" t="n">
        <v>45709</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24259-2020</t>
        </is>
      </c>
      <c r="B292" s="1" t="n">
        <v>43970</v>
      </c>
      <c r="C292" s="1" t="n">
        <v>45709</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24253-2020</t>
        </is>
      </c>
      <c r="B293" s="1" t="n">
        <v>43970</v>
      </c>
      <c r="C293" s="1" t="n">
        <v>45709</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25148-2020</t>
        </is>
      </c>
      <c r="B294" s="1" t="n">
        <v>43978</v>
      </c>
      <c r="C294" s="1" t="n">
        <v>45709</v>
      </c>
      <c r="D294" t="inlineStr">
        <is>
          <t>JÄMTLANDS LÄN</t>
        </is>
      </c>
      <c r="E294" t="inlineStr">
        <is>
          <t>ÖSTERSUND</t>
        </is>
      </c>
      <c r="G294" t="n">
        <v>0.4</v>
      </c>
      <c r="H294" t="n">
        <v>0</v>
      </c>
      <c r="I294" t="n">
        <v>0</v>
      </c>
      <c r="J294" t="n">
        <v>0</v>
      </c>
      <c r="K294" t="n">
        <v>0</v>
      </c>
      <c r="L294" t="n">
        <v>0</v>
      </c>
      <c r="M294" t="n">
        <v>0</v>
      </c>
      <c r="N294" t="n">
        <v>0</v>
      </c>
      <c r="O294" t="n">
        <v>0</v>
      </c>
      <c r="P294" t="n">
        <v>0</v>
      </c>
      <c r="Q294" t="n">
        <v>0</v>
      </c>
      <c r="R294" s="2" t="inlineStr"/>
    </row>
    <row r="295" ht="15" customHeight="1">
      <c r="A295" t="inlineStr">
        <is>
          <t>A 26410-2020</t>
        </is>
      </c>
      <c r="B295" s="1" t="n">
        <v>43986</v>
      </c>
      <c r="C295" s="1" t="n">
        <v>45709</v>
      </c>
      <c r="D295" t="inlineStr">
        <is>
          <t>JÄMTLANDS LÄN</t>
        </is>
      </c>
      <c r="E295" t="inlineStr">
        <is>
          <t>ÖSTERSUND</t>
        </is>
      </c>
      <c r="G295" t="n">
        <v>2.1</v>
      </c>
      <c r="H295" t="n">
        <v>0</v>
      </c>
      <c r="I295" t="n">
        <v>0</v>
      </c>
      <c r="J295" t="n">
        <v>0</v>
      </c>
      <c r="K295" t="n">
        <v>0</v>
      </c>
      <c r="L295" t="n">
        <v>0</v>
      </c>
      <c r="M295" t="n">
        <v>0</v>
      </c>
      <c r="N295" t="n">
        <v>0</v>
      </c>
      <c r="O295" t="n">
        <v>0</v>
      </c>
      <c r="P295" t="n">
        <v>0</v>
      </c>
      <c r="Q295" t="n">
        <v>0</v>
      </c>
      <c r="R295" s="2" t="inlineStr"/>
    </row>
    <row r="296" ht="15" customHeight="1">
      <c r="A296" t="inlineStr">
        <is>
          <t>A 27576-2020</t>
        </is>
      </c>
      <c r="B296" s="1" t="n">
        <v>43992</v>
      </c>
      <c r="C296" s="1" t="n">
        <v>45709</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29635-2020</t>
        </is>
      </c>
      <c r="B297" s="1" t="n">
        <v>44000</v>
      </c>
      <c r="C297" s="1" t="n">
        <v>45709</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29435-2020</t>
        </is>
      </c>
      <c r="B298" s="1" t="n">
        <v>44004</v>
      </c>
      <c r="C298" s="1" t="n">
        <v>45709</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29479-2020</t>
        </is>
      </c>
      <c r="B299" s="1" t="n">
        <v>44005</v>
      </c>
      <c r="C299" s="1" t="n">
        <v>45709</v>
      </c>
      <c r="D299" t="inlineStr">
        <is>
          <t>JÄMTLANDS LÄN</t>
        </is>
      </c>
      <c r="E299" t="inlineStr">
        <is>
          <t>ÖSTERSUND</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29581-2020</t>
        </is>
      </c>
      <c r="B300" s="1" t="n">
        <v>44004</v>
      </c>
      <c r="C300" s="1" t="n">
        <v>45709</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30676-2020</t>
        </is>
      </c>
      <c r="B301" s="1" t="n">
        <v>44008</v>
      </c>
      <c r="C301" s="1" t="n">
        <v>45709</v>
      </c>
      <c r="D301" t="inlineStr">
        <is>
          <t>JÄMTLANDS LÄN</t>
        </is>
      </c>
      <c r="E301" t="inlineStr">
        <is>
          <t>ÖSTERSUND</t>
        </is>
      </c>
      <c r="G301" t="n">
        <v>2.4</v>
      </c>
      <c r="H301" t="n">
        <v>0</v>
      </c>
      <c r="I301" t="n">
        <v>0</v>
      </c>
      <c r="J301" t="n">
        <v>0</v>
      </c>
      <c r="K301" t="n">
        <v>0</v>
      </c>
      <c r="L301" t="n">
        <v>0</v>
      </c>
      <c r="M301" t="n">
        <v>0</v>
      </c>
      <c r="N301" t="n">
        <v>0</v>
      </c>
      <c r="O301" t="n">
        <v>0</v>
      </c>
      <c r="P301" t="n">
        <v>0</v>
      </c>
      <c r="Q301" t="n">
        <v>0</v>
      </c>
      <c r="R301" s="2" t="inlineStr"/>
    </row>
    <row r="302" ht="15" customHeight="1">
      <c r="A302" t="inlineStr">
        <is>
          <t>A 33945-2020</t>
        </is>
      </c>
      <c r="B302" s="1" t="n">
        <v>44027</v>
      </c>
      <c r="C302" s="1" t="n">
        <v>45709</v>
      </c>
      <c r="D302" t="inlineStr">
        <is>
          <t>JÄMTLANDS LÄN</t>
        </is>
      </c>
      <c r="E302" t="inlineStr">
        <is>
          <t>ÖSTERSUND</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34703-2020</t>
        </is>
      </c>
      <c r="B303" s="1" t="n">
        <v>44035</v>
      </c>
      <c r="C303" s="1" t="n">
        <v>45709</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37500-2020</t>
        </is>
      </c>
      <c r="B304" s="1" t="n">
        <v>44055</v>
      </c>
      <c r="C304" s="1" t="n">
        <v>45709</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38099-2020</t>
        </is>
      </c>
      <c r="B305" s="1" t="n">
        <v>44057</v>
      </c>
      <c r="C305" s="1" t="n">
        <v>45709</v>
      </c>
      <c r="D305" t="inlineStr">
        <is>
          <t>JÄMTLANDS LÄN</t>
        </is>
      </c>
      <c r="E305" t="inlineStr">
        <is>
          <t>ÖSTERSUND</t>
        </is>
      </c>
      <c r="F305" t="inlineStr">
        <is>
          <t>SCA</t>
        </is>
      </c>
      <c r="G305" t="n">
        <v>5.5</v>
      </c>
      <c r="H305" t="n">
        <v>0</v>
      </c>
      <c r="I305" t="n">
        <v>0</v>
      </c>
      <c r="J305" t="n">
        <v>0</v>
      </c>
      <c r="K305" t="n">
        <v>0</v>
      </c>
      <c r="L305" t="n">
        <v>0</v>
      </c>
      <c r="M305" t="n">
        <v>0</v>
      </c>
      <c r="N305" t="n">
        <v>0</v>
      </c>
      <c r="O305" t="n">
        <v>0</v>
      </c>
      <c r="P305" t="n">
        <v>0</v>
      </c>
      <c r="Q305" t="n">
        <v>0</v>
      </c>
      <c r="R305" s="2" t="inlineStr"/>
    </row>
    <row r="306" ht="15" customHeight="1">
      <c r="A306" t="inlineStr">
        <is>
          <t>A 41354-2020</t>
        </is>
      </c>
      <c r="B306" s="1" t="n">
        <v>44072</v>
      </c>
      <c r="C306" s="1" t="n">
        <v>45709</v>
      </c>
      <c r="D306" t="inlineStr">
        <is>
          <t>JÄMTLANDS LÄN</t>
        </is>
      </c>
      <c r="E306" t="inlineStr">
        <is>
          <t>ÖSTERSUND</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42712-2020</t>
        </is>
      </c>
      <c r="B307" s="1" t="n">
        <v>44076</v>
      </c>
      <c r="C307" s="1" t="n">
        <v>45709</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42749-2020</t>
        </is>
      </c>
      <c r="B308" s="1" t="n">
        <v>44078</v>
      </c>
      <c r="C308" s="1" t="n">
        <v>45709</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42765-2020</t>
        </is>
      </c>
      <c r="B309" s="1" t="n">
        <v>44077</v>
      </c>
      <c r="C309" s="1" t="n">
        <v>45709</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42766-2020</t>
        </is>
      </c>
      <c r="B310" s="1" t="n">
        <v>44077</v>
      </c>
      <c r="C310" s="1" t="n">
        <v>45709</v>
      </c>
      <c r="D310" t="inlineStr">
        <is>
          <t>JÄMTLANDS LÄN</t>
        </is>
      </c>
      <c r="E310" t="inlineStr">
        <is>
          <t>ÖSTERSUND</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43796-2020</t>
        </is>
      </c>
      <c r="B311" s="1" t="n">
        <v>44082</v>
      </c>
      <c r="C311" s="1" t="n">
        <v>45709</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45820-2020</t>
        </is>
      </c>
      <c r="B312" s="1" t="n">
        <v>44090</v>
      </c>
      <c r="C312" s="1" t="n">
        <v>45709</v>
      </c>
      <c r="D312" t="inlineStr">
        <is>
          <t>JÄMTLANDS LÄN</t>
        </is>
      </c>
      <c r="E312" t="inlineStr">
        <is>
          <t>ÖSTERSUND</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50121-2020</t>
        </is>
      </c>
      <c r="B313" s="1" t="n">
        <v>44106</v>
      </c>
      <c r="C313" s="1" t="n">
        <v>45709</v>
      </c>
      <c r="D313" t="inlineStr">
        <is>
          <t>JÄMTLANDS LÄN</t>
        </is>
      </c>
      <c r="E313" t="inlineStr">
        <is>
          <t>ÖSTERSUND</t>
        </is>
      </c>
      <c r="F313" t="inlineStr">
        <is>
          <t>Övriga statliga verk och myndigheter</t>
        </is>
      </c>
      <c r="G313" t="n">
        <v>5.2</v>
      </c>
      <c r="H313" t="n">
        <v>0</v>
      </c>
      <c r="I313" t="n">
        <v>0</v>
      </c>
      <c r="J313" t="n">
        <v>0</v>
      </c>
      <c r="K313" t="n">
        <v>0</v>
      </c>
      <c r="L313" t="n">
        <v>0</v>
      </c>
      <c r="M313" t="n">
        <v>0</v>
      </c>
      <c r="N313" t="n">
        <v>0</v>
      </c>
      <c r="O313" t="n">
        <v>0</v>
      </c>
      <c r="P313" t="n">
        <v>0</v>
      </c>
      <c r="Q313" t="n">
        <v>0</v>
      </c>
      <c r="R313" s="2" t="inlineStr"/>
    </row>
    <row r="314" ht="15" customHeight="1">
      <c r="A314" t="inlineStr">
        <is>
          <t>A 50153-2020</t>
        </is>
      </c>
      <c r="B314" s="1" t="n">
        <v>44106</v>
      </c>
      <c r="C314" s="1" t="n">
        <v>45709</v>
      </c>
      <c r="D314" t="inlineStr">
        <is>
          <t>JÄMTLANDS LÄN</t>
        </is>
      </c>
      <c r="E314" t="inlineStr">
        <is>
          <t>ÖSTERSUND</t>
        </is>
      </c>
      <c r="F314" t="inlineStr">
        <is>
          <t>Övriga statliga verk och myndigheter</t>
        </is>
      </c>
      <c r="G314" t="n">
        <v>4.6</v>
      </c>
      <c r="H314" t="n">
        <v>0</v>
      </c>
      <c r="I314" t="n">
        <v>0</v>
      </c>
      <c r="J314" t="n">
        <v>0</v>
      </c>
      <c r="K314" t="n">
        <v>0</v>
      </c>
      <c r="L314" t="n">
        <v>0</v>
      </c>
      <c r="M314" t="n">
        <v>0</v>
      </c>
      <c r="N314" t="n">
        <v>0</v>
      </c>
      <c r="O314" t="n">
        <v>0</v>
      </c>
      <c r="P314" t="n">
        <v>0</v>
      </c>
      <c r="Q314" t="n">
        <v>0</v>
      </c>
      <c r="R314" s="2" t="inlineStr"/>
    </row>
    <row r="315" ht="15" customHeight="1">
      <c r="A315" t="inlineStr">
        <is>
          <t>A 50144-2020</t>
        </is>
      </c>
      <c r="B315" s="1" t="n">
        <v>44106</v>
      </c>
      <c r="C315" s="1" t="n">
        <v>45709</v>
      </c>
      <c r="D315" t="inlineStr">
        <is>
          <t>JÄMTLANDS LÄN</t>
        </is>
      </c>
      <c r="E315" t="inlineStr">
        <is>
          <t>ÖSTERSUND</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50632-2020</t>
        </is>
      </c>
      <c r="B316" s="1" t="n">
        <v>44110</v>
      </c>
      <c r="C316" s="1" t="n">
        <v>45709</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52478-2020</t>
        </is>
      </c>
      <c r="B317" s="1" t="n">
        <v>44113</v>
      </c>
      <c r="C317" s="1" t="n">
        <v>45709</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52535-2020</t>
        </is>
      </c>
      <c r="B318" s="1" t="n">
        <v>44118</v>
      </c>
      <c r="C318" s="1" t="n">
        <v>45709</v>
      </c>
      <c r="D318" t="inlineStr">
        <is>
          <t>JÄMTLANDS LÄN</t>
        </is>
      </c>
      <c r="E318" t="inlineStr">
        <is>
          <t>ÖSTERSUND</t>
        </is>
      </c>
      <c r="G318" t="n">
        <v>2</v>
      </c>
      <c r="H318" t="n">
        <v>0</v>
      </c>
      <c r="I318" t="n">
        <v>0</v>
      </c>
      <c r="J318" t="n">
        <v>0</v>
      </c>
      <c r="K318" t="n">
        <v>0</v>
      </c>
      <c r="L318" t="n">
        <v>0</v>
      </c>
      <c r="M318" t="n">
        <v>0</v>
      </c>
      <c r="N318" t="n">
        <v>0</v>
      </c>
      <c r="O318" t="n">
        <v>0</v>
      </c>
      <c r="P318" t="n">
        <v>0</v>
      </c>
      <c r="Q318" t="n">
        <v>0</v>
      </c>
      <c r="R318" s="2" t="inlineStr"/>
    </row>
    <row r="319" ht="15" customHeight="1">
      <c r="A319" t="inlineStr">
        <is>
          <t>A 52777-2020</t>
        </is>
      </c>
      <c r="B319" s="1" t="n">
        <v>44118</v>
      </c>
      <c r="C319" s="1" t="n">
        <v>45709</v>
      </c>
      <c r="D319" t="inlineStr">
        <is>
          <t>JÄMTLANDS LÄN</t>
        </is>
      </c>
      <c r="E319" t="inlineStr">
        <is>
          <t>ÖSTERSUND</t>
        </is>
      </c>
      <c r="G319" t="n">
        <v>0.6</v>
      </c>
      <c r="H319" t="n">
        <v>0</v>
      </c>
      <c r="I319" t="n">
        <v>0</v>
      </c>
      <c r="J319" t="n">
        <v>0</v>
      </c>
      <c r="K319" t="n">
        <v>0</v>
      </c>
      <c r="L319" t="n">
        <v>0</v>
      </c>
      <c r="M319" t="n">
        <v>0</v>
      </c>
      <c r="N319" t="n">
        <v>0</v>
      </c>
      <c r="O319" t="n">
        <v>0</v>
      </c>
      <c r="P319" t="n">
        <v>0</v>
      </c>
      <c r="Q319" t="n">
        <v>0</v>
      </c>
      <c r="R319" s="2" t="inlineStr"/>
    </row>
    <row r="320" ht="15" customHeight="1">
      <c r="A320" t="inlineStr">
        <is>
          <t>A 52791-2020</t>
        </is>
      </c>
      <c r="B320" s="1" t="n">
        <v>44118</v>
      </c>
      <c r="C320" s="1" t="n">
        <v>45709</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53323-2020</t>
        </is>
      </c>
      <c r="B321" s="1" t="n">
        <v>44123</v>
      </c>
      <c r="C321" s="1" t="n">
        <v>45709</v>
      </c>
      <c r="D321" t="inlineStr">
        <is>
          <t>JÄMTLANDS LÄN</t>
        </is>
      </c>
      <c r="E321" t="inlineStr">
        <is>
          <t>ÖSTERSUND</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53967-2020</t>
        </is>
      </c>
      <c r="B322" s="1" t="n">
        <v>44125</v>
      </c>
      <c r="C322" s="1" t="n">
        <v>45709</v>
      </c>
      <c r="D322" t="inlineStr">
        <is>
          <t>JÄMTLANDS LÄN</t>
        </is>
      </c>
      <c r="E322" t="inlineStr">
        <is>
          <t>ÖSTERSUND</t>
        </is>
      </c>
      <c r="G322" t="n">
        <v>25.8</v>
      </c>
      <c r="H322" t="n">
        <v>0</v>
      </c>
      <c r="I322" t="n">
        <v>0</v>
      </c>
      <c r="J322" t="n">
        <v>0</v>
      </c>
      <c r="K322" t="n">
        <v>0</v>
      </c>
      <c r="L322" t="n">
        <v>0</v>
      </c>
      <c r="M322" t="n">
        <v>0</v>
      </c>
      <c r="N322" t="n">
        <v>0</v>
      </c>
      <c r="O322" t="n">
        <v>0</v>
      </c>
      <c r="P322" t="n">
        <v>0</v>
      </c>
      <c r="Q322" t="n">
        <v>0</v>
      </c>
      <c r="R322" s="2" t="inlineStr"/>
    </row>
    <row r="323" ht="15" customHeight="1">
      <c r="A323" t="inlineStr">
        <is>
          <t>A 54539-2020</t>
        </is>
      </c>
      <c r="B323" s="1" t="n">
        <v>44126</v>
      </c>
      <c r="C323" s="1" t="n">
        <v>45709</v>
      </c>
      <c r="D323" t="inlineStr">
        <is>
          <t>JÄMTLANDS LÄN</t>
        </is>
      </c>
      <c r="E323" t="inlineStr">
        <is>
          <t>ÖSTERSUND</t>
        </is>
      </c>
      <c r="G323" t="n">
        <v>4.2</v>
      </c>
      <c r="H323" t="n">
        <v>0</v>
      </c>
      <c r="I323" t="n">
        <v>0</v>
      </c>
      <c r="J323" t="n">
        <v>0</v>
      </c>
      <c r="K323" t="n">
        <v>0</v>
      </c>
      <c r="L323" t="n">
        <v>0</v>
      </c>
      <c r="M323" t="n">
        <v>0</v>
      </c>
      <c r="N323" t="n">
        <v>0</v>
      </c>
      <c r="O323" t="n">
        <v>0</v>
      </c>
      <c r="P323" t="n">
        <v>0</v>
      </c>
      <c r="Q323" t="n">
        <v>0</v>
      </c>
      <c r="R323" s="2" t="inlineStr"/>
    </row>
    <row r="324" ht="15" customHeight="1">
      <c r="A324" t="inlineStr">
        <is>
          <t>A 54844-2020</t>
        </is>
      </c>
      <c r="B324" s="1" t="n">
        <v>44126</v>
      </c>
      <c r="C324" s="1" t="n">
        <v>45709</v>
      </c>
      <c r="D324" t="inlineStr">
        <is>
          <t>JÄMTLANDS LÄN</t>
        </is>
      </c>
      <c r="E324" t="inlineStr">
        <is>
          <t>ÖSTERSUND</t>
        </is>
      </c>
      <c r="G324" t="n">
        <v>6.9</v>
      </c>
      <c r="H324" t="n">
        <v>0</v>
      </c>
      <c r="I324" t="n">
        <v>0</v>
      </c>
      <c r="J324" t="n">
        <v>0</v>
      </c>
      <c r="K324" t="n">
        <v>0</v>
      </c>
      <c r="L324" t="n">
        <v>0</v>
      </c>
      <c r="M324" t="n">
        <v>0</v>
      </c>
      <c r="N324" t="n">
        <v>0</v>
      </c>
      <c r="O324" t="n">
        <v>0</v>
      </c>
      <c r="P324" t="n">
        <v>0</v>
      </c>
      <c r="Q324" t="n">
        <v>0</v>
      </c>
      <c r="R324" s="2" t="inlineStr"/>
    </row>
    <row r="325" ht="15" customHeight="1">
      <c r="A325" t="inlineStr">
        <is>
          <t>A 56220-2020</t>
        </is>
      </c>
      <c r="B325" s="1" t="n">
        <v>44133</v>
      </c>
      <c r="C325" s="1" t="n">
        <v>45709</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56486-2020</t>
        </is>
      </c>
      <c r="B326" s="1" t="n">
        <v>44137</v>
      </c>
      <c r="C326" s="1" t="n">
        <v>45709</v>
      </c>
      <c r="D326" t="inlineStr">
        <is>
          <t>JÄMTLANDS LÄN</t>
        </is>
      </c>
      <c r="E326" t="inlineStr">
        <is>
          <t>ÖSTERSUND</t>
        </is>
      </c>
      <c r="G326" t="n">
        <v>5.8</v>
      </c>
      <c r="H326" t="n">
        <v>0</v>
      </c>
      <c r="I326" t="n">
        <v>0</v>
      </c>
      <c r="J326" t="n">
        <v>0</v>
      </c>
      <c r="K326" t="n">
        <v>0</v>
      </c>
      <c r="L326" t="n">
        <v>0</v>
      </c>
      <c r="M326" t="n">
        <v>0</v>
      </c>
      <c r="N326" t="n">
        <v>0</v>
      </c>
      <c r="O326" t="n">
        <v>0</v>
      </c>
      <c r="P326" t="n">
        <v>0</v>
      </c>
      <c r="Q326" t="n">
        <v>0</v>
      </c>
      <c r="R326" s="2" t="inlineStr"/>
    </row>
    <row r="327" ht="15" customHeight="1">
      <c r="A327" t="inlineStr">
        <is>
          <t>A 56636-2020</t>
        </is>
      </c>
      <c r="B327" s="1" t="n">
        <v>44137</v>
      </c>
      <c r="C327" s="1" t="n">
        <v>45709</v>
      </c>
      <c r="D327" t="inlineStr">
        <is>
          <t>JÄMTLANDS LÄN</t>
        </is>
      </c>
      <c r="E327" t="inlineStr">
        <is>
          <t>ÖSTERSUND</t>
        </is>
      </c>
      <c r="F327" t="inlineStr">
        <is>
          <t>Övriga Aktiebolag</t>
        </is>
      </c>
      <c r="G327" t="n">
        <v>16.2</v>
      </c>
      <c r="H327" t="n">
        <v>0</v>
      </c>
      <c r="I327" t="n">
        <v>0</v>
      </c>
      <c r="J327" t="n">
        <v>0</v>
      </c>
      <c r="K327" t="n">
        <v>0</v>
      </c>
      <c r="L327" t="n">
        <v>0</v>
      </c>
      <c r="M327" t="n">
        <v>0</v>
      </c>
      <c r="N327" t="n">
        <v>0</v>
      </c>
      <c r="O327" t="n">
        <v>0</v>
      </c>
      <c r="P327" t="n">
        <v>0</v>
      </c>
      <c r="Q327" t="n">
        <v>0</v>
      </c>
      <c r="R327" s="2" t="inlineStr"/>
    </row>
    <row r="328" ht="15" customHeight="1">
      <c r="A328" t="inlineStr">
        <is>
          <t>A 56642-2020</t>
        </is>
      </c>
      <c r="B328" s="1" t="n">
        <v>44137</v>
      </c>
      <c r="C328" s="1" t="n">
        <v>45709</v>
      </c>
      <c r="D328" t="inlineStr">
        <is>
          <t>JÄMTLANDS LÄN</t>
        </is>
      </c>
      <c r="E328" t="inlineStr">
        <is>
          <t>ÖSTERSUND</t>
        </is>
      </c>
      <c r="F328" t="inlineStr">
        <is>
          <t>Övriga Aktiebolag</t>
        </is>
      </c>
      <c r="G328" t="n">
        <v>6</v>
      </c>
      <c r="H328" t="n">
        <v>0</v>
      </c>
      <c r="I328" t="n">
        <v>0</v>
      </c>
      <c r="J328" t="n">
        <v>0</v>
      </c>
      <c r="K328" t="n">
        <v>0</v>
      </c>
      <c r="L328" t="n">
        <v>0</v>
      </c>
      <c r="M328" t="n">
        <v>0</v>
      </c>
      <c r="N328" t="n">
        <v>0</v>
      </c>
      <c r="O328" t="n">
        <v>0</v>
      </c>
      <c r="P328" t="n">
        <v>0</v>
      </c>
      <c r="Q328" t="n">
        <v>0</v>
      </c>
      <c r="R328" s="2" t="inlineStr"/>
    </row>
    <row r="329" ht="15" customHeight="1">
      <c r="A329" t="inlineStr">
        <is>
          <t>A 57616-2020</t>
        </is>
      </c>
      <c r="B329" s="1" t="n">
        <v>44140</v>
      </c>
      <c r="C329" s="1" t="n">
        <v>45709</v>
      </c>
      <c r="D329" t="inlineStr">
        <is>
          <t>JÄMTLANDS LÄN</t>
        </is>
      </c>
      <c r="E329" t="inlineStr">
        <is>
          <t>ÖSTERSUND</t>
        </is>
      </c>
      <c r="F329" t="inlineStr">
        <is>
          <t>Övriga Aktiebolag</t>
        </is>
      </c>
      <c r="G329" t="n">
        <v>1.8</v>
      </c>
      <c r="H329" t="n">
        <v>0</v>
      </c>
      <c r="I329" t="n">
        <v>0</v>
      </c>
      <c r="J329" t="n">
        <v>0</v>
      </c>
      <c r="K329" t="n">
        <v>0</v>
      </c>
      <c r="L329" t="n">
        <v>0</v>
      </c>
      <c r="M329" t="n">
        <v>0</v>
      </c>
      <c r="N329" t="n">
        <v>0</v>
      </c>
      <c r="O329" t="n">
        <v>0</v>
      </c>
      <c r="P329" t="n">
        <v>0</v>
      </c>
      <c r="Q329" t="n">
        <v>0</v>
      </c>
      <c r="R329" s="2" t="inlineStr"/>
    </row>
    <row r="330" ht="15" customHeight="1">
      <c r="A330" t="inlineStr">
        <is>
          <t>A 57624-2020</t>
        </is>
      </c>
      <c r="B330" s="1" t="n">
        <v>44140</v>
      </c>
      <c r="C330" s="1" t="n">
        <v>45709</v>
      </c>
      <c r="D330" t="inlineStr">
        <is>
          <t>JÄMTLANDS LÄN</t>
        </is>
      </c>
      <c r="E330" t="inlineStr">
        <is>
          <t>ÖSTERSUND</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57791-2020</t>
        </is>
      </c>
      <c r="B331" s="1" t="n">
        <v>44141</v>
      </c>
      <c r="C331" s="1" t="n">
        <v>45709</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57771-2020</t>
        </is>
      </c>
      <c r="B332" s="1" t="n">
        <v>44141</v>
      </c>
      <c r="C332" s="1" t="n">
        <v>45709</v>
      </c>
      <c r="D332" t="inlineStr">
        <is>
          <t>JÄMTLANDS LÄN</t>
        </is>
      </c>
      <c r="E332" t="inlineStr">
        <is>
          <t>ÖSTERSUND</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60050-2020</t>
        </is>
      </c>
      <c r="B333" s="1" t="n">
        <v>44151</v>
      </c>
      <c r="C333" s="1" t="n">
        <v>45709</v>
      </c>
      <c r="D333" t="inlineStr">
        <is>
          <t>JÄMTLANDS LÄN</t>
        </is>
      </c>
      <c r="E333" t="inlineStr">
        <is>
          <t>ÖSTERSUND</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60126-2020</t>
        </is>
      </c>
      <c r="B334" s="1" t="n">
        <v>44152</v>
      </c>
      <c r="C334" s="1" t="n">
        <v>45709</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63171-2020</t>
        </is>
      </c>
      <c r="B335" s="1" t="n">
        <v>44162</v>
      </c>
      <c r="C335" s="1" t="n">
        <v>45709</v>
      </c>
      <c r="D335" t="inlineStr">
        <is>
          <t>JÄMTLANDS LÄN</t>
        </is>
      </c>
      <c r="E335" t="inlineStr">
        <is>
          <t>ÖSTERSUND</t>
        </is>
      </c>
      <c r="F335" t="inlineStr">
        <is>
          <t>SCA</t>
        </is>
      </c>
      <c r="G335" t="n">
        <v>2.1</v>
      </c>
      <c r="H335" t="n">
        <v>0</v>
      </c>
      <c r="I335" t="n">
        <v>0</v>
      </c>
      <c r="J335" t="n">
        <v>0</v>
      </c>
      <c r="K335" t="n">
        <v>0</v>
      </c>
      <c r="L335" t="n">
        <v>0</v>
      </c>
      <c r="M335" t="n">
        <v>0</v>
      </c>
      <c r="N335" t="n">
        <v>0</v>
      </c>
      <c r="O335" t="n">
        <v>0</v>
      </c>
      <c r="P335" t="n">
        <v>0</v>
      </c>
      <c r="Q335" t="n">
        <v>0</v>
      </c>
      <c r="R335" s="2" t="inlineStr"/>
    </row>
    <row r="336" ht="15" customHeight="1">
      <c r="A336" t="inlineStr">
        <is>
          <t>A 65410-2020</t>
        </is>
      </c>
      <c r="B336" s="1" t="n">
        <v>44173</v>
      </c>
      <c r="C336" s="1" t="n">
        <v>45709</v>
      </c>
      <c r="D336" t="inlineStr">
        <is>
          <t>JÄMTLANDS LÄN</t>
        </is>
      </c>
      <c r="E336" t="inlineStr">
        <is>
          <t>ÖSTERSUND</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66269-2020</t>
        </is>
      </c>
      <c r="B337" s="1" t="n">
        <v>44174</v>
      </c>
      <c r="C337" s="1" t="n">
        <v>45709</v>
      </c>
      <c r="D337" t="inlineStr">
        <is>
          <t>JÄMTLANDS LÄN</t>
        </is>
      </c>
      <c r="E337" t="inlineStr">
        <is>
          <t>ÖSTERSUND</t>
        </is>
      </c>
      <c r="F337" t="inlineStr">
        <is>
          <t>Övriga statliga verk och myndigheter</t>
        </is>
      </c>
      <c r="G337" t="n">
        <v>10</v>
      </c>
      <c r="H337" t="n">
        <v>0</v>
      </c>
      <c r="I337" t="n">
        <v>0</v>
      </c>
      <c r="J337" t="n">
        <v>0</v>
      </c>
      <c r="K337" t="n">
        <v>0</v>
      </c>
      <c r="L337" t="n">
        <v>0</v>
      </c>
      <c r="M337" t="n">
        <v>0</v>
      </c>
      <c r="N337" t="n">
        <v>0</v>
      </c>
      <c r="O337" t="n">
        <v>0</v>
      </c>
      <c r="P337" t="n">
        <v>0</v>
      </c>
      <c r="Q337" t="n">
        <v>0</v>
      </c>
      <c r="R337" s="2" t="inlineStr"/>
    </row>
    <row r="338" ht="15" customHeight="1">
      <c r="A338" t="inlineStr">
        <is>
          <t>A 66288-2020</t>
        </is>
      </c>
      <c r="B338" s="1" t="n">
        <v>44174</v>
      </c>
      <c r="C338" s="1" t="n">
        <v>45709</v>
      </c>
      <c r="D338" t="inlineStr">
        <is>
          <t>JÄMTLANDS LÄN</t>
        </is>
      </c>
      <c r="E338" t="inlineStr">
        <is>
          <t>ÖSTERSUND</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66286-2020</t>
        </is>
      </c>
      <c r="B339" s="1" t="n">
        <v>44174</v>
      </c>
      <c r="C339" s="1" t="n">
        <v>45709</v>
      </c>
      <c r="D339" t="inlineStr">
        <is>
          <t>JÄMTLANDS LÄN</t>
        </is>
      </c>
      <c r="E339" t="inlineStr">
        <is>
          <t>ÖSTERSUND</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67646-2020</t>
        </is>
      </c>
      <c r="B340" s="1" t="n">
        <v>44180</v>
      </c>
      <c r="C340" s="1" t="n">
        <v>45709</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67643-2020</t>
        </is>
      </c>
      <c r="B341" s="1" t="n">
        <v>44180</v>
      </c>
      <c r="C341" s="1" t="n">
        <v>45709</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68408-2020</t>
        </is>
      </c>
      <c r="B342" s="1" t="n">
        <v>44186</v>
      </c>
      <c r="C342" s="1" t="n">
        <v>45709</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68937-2020</t>
        </is>
      </c>
      <c r="B343" s="1" t="n">
        <v>44187</v>
      </c>
      <c r="C343" s="1" t="n">
        <v>45709</v>
      </c>
      <c r="D343" t="inlineStr">
        <is>
          <t>JÄMTLANDS LÄN</t>
        </is>
      </c>
      <c r="E343" t="inlineStr">
        <is>
          <t>ÖSTERSUND</t>
        </is>
      </c>
      <c r="G343" t="n">
        <v>4.7</v>
      </c>
      <c r="H343" t="n">
        <v>0</v>
      </c>
      <c r="I343" t="n">
        <v>0</v>
      </c>
      <c r="J343" t="n">
        <v>0</v>
      </c>
      <c r="K343" t="n">
        <v>0</v>
      </c>
      <c r="L343" t="n">
        <v>0</v>
      </c>
      <c r="M343" t="n">
        <v>0</v>
      </c>
      <c r="N343" t="n">
        <v>0</v>
      </c>
      <c r="O343" t="n">
        <v>0</v>
      </c>
      <c r="P343" t="n">
        <v>0</v>
      </c>
      <c r="Q343" t="n">
        <v>0</v>
      </c>
      <c r="R343" s="2" t="inlineStr"/>
    </row>
    <row r="344" ht="15" customHeight="1">
      <c r="A344" t="inlineStr">
        <is>
          <t>A 126-2021</t>
        </is>
      </c>
      <c r="B344" s="1" t="n">
        <v>44200</v>
      </c>
      <c r="C344" s="1" t="n">
        <v>45709</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501-2021</t>
        </is>
      </c>
      <c r="B345" s="1" t="n">
        <v>44200</v>
      </c>
      <c r="C345" s="1" t="n">
        <v>45709</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1322-2021</t>
        </is>
      </c>
      <c r="B346" s="1" t="n">
        <v>44208</v>
      </c>
      <c r="C346" s="1" t="n">
        <v>45709</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2686-2021</t>
        </is>
      </c>
      <c r="B347" s="1" t="n">
        <v>44214</v>
      </c>
      <c r="C347" s="1" t="n">
        <v>45709</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5460-2021</t>
        </is>
      </c>
      <c r="B348" s="1" t="n">
        <v>44229</v>
      </c>
      <c r="C348" s="1" t="n">
        <v>45709</v>
      </c>
      <c r="D348" t="inlineStr">
        <is>
          <t>JÄMTLANDS LÄN</t>
        </is>
      </c>
      <c r="E348" t="inlineStr">
        <is>
          <t>ÖSTERSUND</t>
        </is>
      </c>
      <c r="G348" t="n">
        <v>14.2</v>
      </c>
      <c r="H348" t="n">
        <v>0</v>
      </c>
      <c r="I348" t="n">
        <v>0</v>
      </c>
      <c r="J348" t="n">
        <v>0</v>
      </c>
      <c r="K348" t="n">
        <v>0</v>
      </c>
      <c r="L348" t="n">
        <v>0</v>
      </c>
      <c r="M348" t="n">
        <v>0</v>
      </c>
      <c r="N348" t="n">
        <v>0</v>
      </c>
      <c r="O348" t="n">
        <v>0</v>
      </c>
      <c r="P348" t="n">
        <v>0</v>
      </c>
      <c r="Q348" t="n">
        <v>0</v>
      </c>
      <c r="R348" s="2" t="inlineStr"/>
    </row>
    <row r="349" ht="15" customHeight="1">
      <c r="A349" t="inlineStr">
        <is>
          <t>A 6578-2021</t>
        </is>
      </c>
      <c r="B349" s="1" t="n">
        <v>44236</v>
      </c>
      <c r="C349" s="1" t="n">
        <v>45709</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8396-2021</t>
        </is>
      </c>
      <c r="B350" s="1" t="n">
        <v>44238</v>
      </c>
      <c r="C350" s="1" t="n">
        <v>45709</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10590-2021</t>
        </is>
      </c>
      <c r="B351" s="1" t="n">
        <v>44258</v>
      </c>
      <c r="C351" s="1" t="n">
        <v>45709</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10911-2021</t>
        </is>
      </c>
      <c r="B352" s="1" t="n">
        <v>44259</v>
      </c>
      <c r="C352" s="1" t="n">
        <v>45709</v>
      </c>
      <c r="D352" t="inlineStr">
        <is>
          <t>JÄMTLANDS LÄN</t>
        </is>
      </c>
      <c r="E352" t="inlineStr">
        <is>
          <t>ÖSTERSUND</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10834-2021</t>
        </is>
      </c>
      <c r="B353" s="1" t="n">
        <v>44259</v>
      </c>
      <c r="C353" s="1" t="n">
        <v>45709</v>
      </c>
      <c r="D353" t="inlineStr">
        <is>
          <t>JÄMTLANDS LÄN</t>
        </is>
      </c>
      <c r="E353" t="inlineStr">
        <is>
          <t>ÖSTERSUND</t>
        </is>
      </c>
      <c r="G353" t="n">
        <v>12.2</v>
      </c>
      <c r="H353" t="n">
        <v>0</v>
      </c>
      <c r="I353" t="n">
        <v>0</v>
      </c>
      <c r="J353" t="n">
        <v>0</v>
      </c>
      <c r="K353" t="n">
        <v>0</v>
      </c>
      <c r="L353" t="n">
        <v>0</v>
      </c>
      <c r="M353" t="n">
        <v>0</v>
      </c>
      <c r="N353" t="n">
        <v>0</v>
      </c>
      <c r="O353" t="n">
        <v>0</v>
      </c>
      <c r="P353" t="n">
        <v>0</v>
      </c>
      <c r="Q353" t="n">
        <v>0</v>
      </c>
      <c r="R353" s="2" t="inlineStr"/>
    </row>
    <row r="354" ht="15" customHeight="1">
      <c r="A354" t="inlineStr">
        <is>
          <t>A 12710-2021</t>
        </is>
      </c>
      <c r="B354" s="1" t="n">
        <v>44270</v>
      </c>
      <c r="C354" s="1" t="n">
        <v>45709</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12705-2021</t>
        </is>
      </c>
      <c r="B355" s="1" t="n">
        <v>44270</v>
      </c>
      <c r="C355" s="1" t="n">
        <v>45709</v>
      </c>
      <c r="D355" t="inlineStr">
        <is>
          <t>JÄMTLANDS LÄN</t>
        </is>
      </c>
      <c r="E355" t="inlineStr">
        <is>
          <t>ÖSTERSUND</t>
        </is>
      </c>
      <c r="G355" t="n">
        <v>3.5</v>
      </c>
      <c r="H355" t="n">
        <v>0</v>
      </c>
      <c r="I355" t="n">
        <v>0</v>
      </c>
      <c r="J355" t="n">
        <v>0</v>
      </c>
      <c r="K355" t="n">
        <v>0</v>
      </c>
      <c r="L355" t="n">
        <v>0</v>
      </c>
      <c r="M355" t="n">
        <v>0</v>
      </c>
      <c r="N355" t="n">
        <v>0</v>
      </c>
      <c r="O355" t="n">
        <v>0</v>
      </c>
      <c r="P355" t="n">
        <v>0</v>
      </c>
      <c r="Q355" t="n">
        <v>0</v>
      </c>
      <c r="R355" s="2" t="inlineStr"/>
    </row>
    <row r="356" ht="15" customHeight="1">
      <c r="A356" t="inlineStr">
        <is>
          <t>A 14155-2021</t>
        </is>
      </c>
      <c r="B356" s="1" t="n">
        <v>44278</v>
      </c>
      <c r="C356" s="1" t="n">
        <v>45709</v>
      </c>
      <c r="D356" t="inlineStr">
        <is>
          <t>JÄMTLANDS LÄN</t>
        </is>
      </c>
      <c r="E356" t="inlineStr">
        <is>
          <t>ÖSTERSUND</t>
        </is>
      </c>
      <c r="G356" t="n">
        <v>2.6</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45709</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17362-2021</t>
        </is>
      </c>
      <c r="B358" s="1" t="n">
        <v>44298</v>
      </c>
      <c r="C358" s="1" t="n">
        <v>45709</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17596-2021</t>
        </is>
      </c>
      <c r="B359" s="1" t="n">
        <v>44299</v>
      </c>
      <c r="C359" s="1" t="n">
        <v>45709</v>
      </c>
      <c r="D359" t="inlineStr">
        <is>
          <t>JÄMTLANDS LÄN</t>
        </is>
      </c>
      <c r="E359" t="inlineStr">
        <is>
          <t>ÖSTERSUND</t>
        </is>
      </c>
      <c r="G359" t="n">
        <v>3.7</v>
      </c>
      <c r="H359" t="n">
        <v>0</v>
      </c>
      <c r="I359" t="n">
        <v>0</v>
      </c>
      <c r="J359" t="n">
        <v>0</v>
      </c>
      <c r="K359" t="n">
        <v>0</v>
      </c>
      <c r="L359" t="n">
        <v>0</v>
      </c>
      <c r="M359" t="n">
        <v>0</v>
      </c>
      <c r="N359" t="n">
        <v>0</v>
      </c>
      <c r="O359" t="n">
        <v>0</v>
      </c>
      <c r="P359" t="n">
        <v>0</v>
      </c>
      <c r="Q359" t="n">
        <v>0</v>
      </c>
      <c r="R359" s="2" t="inlineStr"/>
    </row>
    <row r="360" ht="15" customHeight="1">
      <c r="A360" t="inlineStr">
        <is>
          <t>A 19541-2021</t>
        </is>
      </c>
      <c r="B360" s="1" t="n">
        <v>44312</v>
      </c>
      <c r="C360" s="1" t="n">
        <v>45709</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20290-2021</t>
        </is>
      </c>
      <c r="B361" s="1" t="n">
        <v>44314</v>
      </c>
      <c r="C361" s="1" t="n">
        <v>45709</v>
      </c>
      <c r="D361" t="inlineStr">
        <is>
          <t>JÄMTLANDS LÄN</t>
        </is>
      </c>
      <c r="E361" t="inlineStr">
        <is>
          <t>ÖSTERSUND</t>
        </is>
      </c>
      <c r="F361" t="inlineStr">
        <is>
          <t>SCA</t>
        </is>
      </c>
      <c r="G361" t="n">
        <v>8.1</v>
      </c>
      <c r="H361" t="n">
        <v>0</v>
      </c>
      <c r="I361" t="n">
        <v>0</v>
      </c>
      <c r="J361" t="n">
        <v>0</v>
      </c>
      <c r="K361" t="n">
        <v>0</v>
      </c>
      <c r="L361" t="n">
        <v>0</v>
      </c>
      <c r="M361" t="n">
        <v>0</v>
      </c>
      <c r="N361" t="n">
        <v>0</v>
      </c>
      <c r="O361" t="n">
        <v>0</v>
      </c>
      <c r="P361" t="n">
        <v>0</v>
      </c>
      <c r="Q361" t="n">
        <v>0</v>
      </c>
      <c r="R361" s="2" t="inlineStr"/>
    </row>
    <row r="362" ht="15" customHeight="1">
      <c r="A362" t="inlineStr">
        <is>
          <t>A 20620-2021</t>
        </is>
      </c>
      <c r="B362" s="1" t="n">
        <v>44316</v>
      </c>
      <c r="C362" s="1" t="n">
        <v>45709</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21306-2021</t>
        </is>
      </c>
      <c r="B363" s="1" t="n">
        <v>44320</v>
      </c>
      <c r="C363" s="1" t="n">
        <v>45709</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21849-2021</t>
        </is>
      </c>
      <c r="B364" s="1" t="n">
        <v>44322</v>
      </c>
      <c r="C364" s="1" t="n">
        <v>45709</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22126-2021</t>
        </is>
      </c>
      <c r="B365" s="1" t="n">
        <v>44323</v>
      </c>
      <c r="C365" s="1" t="n">
        <v>45709</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23187-2021</t>
        </is>
      </c>
      <c r="B366" s="1" t="n">
        <v>44328</v>
      </c>
      <c r="C366" s="1" t="n">
        <v>45709</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23895-2021</t>
        </is>
      </c>
      <c r="B367" s="1" t="n">
        <v>44335</v>
      </c>
      <c r="C367" s="1" t="n">
        <v>45709</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24312-2021</t>
        </is>
      </c>
      <c r="B368" s="1" t="n">
        <v>44336</v>
      </c>
      <c r="C368" s="1" t="n">
        <v>45709</v>
      </c>
      <c r="D368" t="inlineStr">
        <is>
          <t>JÄMTLANDS LÄN</t>
        </is>
      </c>
      <c r="E368" t="inlineStr">
        <is>
          <t>ÖSTERSUND</t>
        </is>
      </c>
      <c r="G368" t="n">
        <v>10.6</v>
      </c>
      <c r="H368" t="n">
        <v>0</v>
      </c>
      <c r="I368" t="n">
        <v>0</v>
      </c>
      <c r="J368" t="n">
        <v>0</v>
      </c>
      <c r="K368" t="n">
        <v>0</v>
      </c>
      <c r="L368" t="n">
        <v>0</v>
      </c>
      <c r="M368" t="n">
        <v>0</v>
      </c>
      <c r="N368" t="n">
        <v>0</v>
      </c>
      <c r="O368" t="n">
        <v>0</v>
      </c>
      <c r="P368" t="n">
        <v>0</v>
      </c>
      <c r="Q368" t="n">
        <v>0</v>
      </c>
      <c r="R368" s="2" t="inlineStr"/>
    </row>
    <row r="369" ht="15" customHeight="1">
      <c r="A369" t="inlineStr">
        <is>
          <t>A 24706-2021</t>
        </is>
      </c>
      <c r="B369" s="1" t="n">
        <v>44340</v>
      </c>
      <c r="C369" s="1" t="n">
        <v>45709</v>
      </c>
      <c r="D369" t="inlineStr">
        <is>
          <t>JÄMTLANDS LÄN</t>
        </is>
      </c>
      <c r="E369" t="inlineStr">
        <is>
          <t>ÖSTERSUND</t>
        </is>
      </c>
      <c r="G369" t="n">
        <v>5.6</v>
      </c>
      <c r="H369" t="n">
        <v>0</v>
      </c>
      <c r="I369" t="n">
        <v>0</v>
      </c>
      <c r="J369" t="n">
        <v>0</v>
      </c>
      <c r="K369" t="n">
        <v>0</v>
      </c>
      <c r="L369" t="n">
        <v>0</v>
      </c>
      <c r="M369" t="n">
        <v>0</v>
      </c>
      <c r="N369" t="n">
        <v>0</v>
      </c>
      <c r="O369" t="n">
        <v>0</v>
      </c>
      <c r="P369" t="n">
        <v>0</v>
      </c>
      <c r="Q369" t="n">
        <v>0</v>
      </c>
      <c r="R369" s="2" t="inlineStr"/>
    </row>
    <row r="370" ht="15" customHeight="1">
      <c r="A370" t="inlineStr">
        <is>
          <t>A 24721-2021</t>
        </is>
      </c>
      <c r="B370" s="1" t="n">
        <v>44340</v>
      </c>
      <c r="C370" s="1" t="n">
        <v>45709</v>
      </c>
      <c r="D370" t="inlineStr">
        <is>
          <t>JÄMTLANDS LÄN</t>
        </is>
      </c>
      <c r="E370" t="inlineStr">
        <is>
          <t>ÖSTERSUND</t>
        </is>
      </c>
      <c r="G370" t="n">
        <v>2.7</v>
      </c>
      <c r="H370" t="n">
        <v>0</v>
      </c>
      <c r="I370" t="n">
        <v>0</v>
      </c>
      <c r="J370" t="n">
        <v>0</v>
      </c>
      <c r="K370" t="n">
        <v>0</v>
      </c>
      <c r="L370" t="n">
        <v>0</v>
      </c>
      <c r="M370" t="n">
        <v>0</v>
      </c>
      <c r="N370" t="n">
        <v>0</v>
      </c>
      <c r="O370" t="n">
        <v>0</v>
      </c>
      <c r="P370" t="n">
        <v>0</v>
      </c>
      <c r="Q370" t="n">
        <v>0</v>
      </c>
      <c r="R370" s="2" t="inlineStr"/>
    </row>
    <row r="371" ht="15" customHeight="1">
      <c r="A371" t="inlineStr">
        <is>
          <t>A 26254-2021</t>
        </is>
      </c>
      <c r="B371" s="1" t="n">
        <v>44347</v>
      </c>
      <c r="C371" s="1" t="n">
        <v>45709</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26259-2021</t>
        </is>
      </c>
      <c r="B372" s="1" t="n">
        <v>44347</v>
      </c>
      <c r="C372" s="1" t="n">
        <v>45709</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27061-2021</t>
        </is>
      </c>
      <c r="B373" s="1" t="n">
        <v>44349</v>
      </c>
      <c r="C373" s="1" t="n">
        <v>45709</v>
      </c>
      <c r="D373" t="inlineStr">
        <is>
          <t>JÄMTLANDS LÄN</t>
        </is>
      </c>
      <c r="E373" t="inlineStr">
        <is>
          <t>ÖSTERSUND</t>
        </is>
      </c>
      <c r="G373" t="n">
        <v>3.2</v>
      </c>
      <c r="H373" t="n">
        <v>0</v>
      </c>
      <c r="I373" t="n">
        <v>0</v>
      </c>
      <c r="J373" t="n">
        <v>0</v>
      </c>
      <c r="K373" t="n">
        <v>0</v>
      </c>
      <c r="L373" t="n">
        <v>0</v>
      </c>
      <c r="M373" t="n">
        <v>0</v>
      </c>
      <c r="N373" t="n">
        <v>0</v>
      </c>
      <c r="O373" t="n">
        <v>0</v>
      </c>
      <c r="P373" t="n">
        <v>0</v>
      </c>
      <c r="Q373" t="n">
        <v>0</v>
      </c>
      <c r="R373" s="2" t="inlineStr"/>
    </row>
    <row r="374" ht="15" customHeight="1">
      <c r="A374" t="inlineStr">
        <is>
          <t>A 27004-2021</t>
        </is>
      </c>
      <c r="B374" s="1" t="n">
        <v>44349</v>
      </c>
      <c r="C374" s="1" t="n">
        <v>45709</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29582-2021</t>
        </is>
      </c>
      <c r="B375" s="1" t="n">
        <v>44362</v>
      </c>
      <c r="C375" s="1" t="n">
        <v>45709</v>
      </c>
      <c r="D375" t="inlineStr">
        <is>
          <t>JÄMTLANDS LÄN</t>
        </is>
      </c>
      <c r="E375" t="inlineStr">
        <is>
          <t>ÖSTERSUND</t>
        </is>
      </c>
      <c r="G375" t="n">
        <v>31.5</v>
      </c>
      <c r="H375" t="n">
        <v>0</v>
      </c>
      <c r="I375" t="n">
        <v>0</v>
      </c>
      <c r="J375" t="n">
        <v>0</v>
      </c>
      <c r="K375" t="n">
        <v>0</v>
      </c>
      <c r="L375" t="n">
        <v>0</v>
      </c>
      <c r="M375" t="n">
        <v>0</v>
      </c>
      <c r="N375" t="n">
        <v>0</v>
      </c>
      <c r="O375" t="n">
        <v>0</v>
      </c>
      <c r="P375" t="n">
        <v>0</v>
      </c>
      <c r="Q375" t="n">
        <v>0</v>
      </c>
      <c r="R375" s="2" t="inlineStr"/>
    </row>
    <row r="376" ht="15" customHeight="1">
      <c r="A376" t="inlineStr">
        <is>
          <t>A 29707-2021</t>
        </is>
      </c>
      <c r="B376" s="1" t="n">
        <v>44362</v>
      </c>
      <c r="C376" s="1" t="n">
        <v>45709</v>
      </c>
      <c r="D376" t="inlineStr">
        <is>
          <t>JÄMTLANDS LÄN</t>
        </is>
      </c>
      <c r="E376" t="inlineStr">
        <is>
          <t>ÖSTERSUND</t>
        </is>
      </c>
      <c r="G376" t="n">
        <v>4</v>
      </c>
      <c r="H376" t="n">
        <v>0</v>
      </c>
      <c r="I376" t="n">
        <v>0</v>
      </c>
      <c r="J376" t="n">
        <v>0</v>
      </c>
      <c r="K376" t="n">
        <v>0</v>
      </c>
      <c r="L376" t="n">
        <v>0</v>
      </c>
      <c r="M376" t="n">
        <v>0</v>
      </c>
      <c r="N376" t="n">
        <v>0</v>
      </c>
      <c r="O376" t="n">
        <v>0</v>
      </c>
      <c r="P376" t="n">
        <v>0</v>
      </c>
      <c r="Q376" t="n">
        <v>0</v>
      </c>
      <c r="R376" s="2" t="inlineStr"/>
    </row>
    <row r="377" ht="15" customHeight="1">
      <c r="A377" t="inlineStr">
        <is>
          <t>A 31040-2021</t>
        </is>
      </c>
      <c r="B377" s="1" t="n">
        <v>44368</v>
      </c>
      <c r="C377" s="1" t="n">
        <v>45709</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32994-2021</t>
        </is>
      </c>
      <c r="B378" s="1" t="n">
        <v>44375</v>
      </c>
      <c r="C378" s="1" t="n">
        <v>45709</v>
      </c>
      <c r="D378" t="inlineStr">
        <is>
          <t>JÄMTLANDS LÄN</t>
        </is>
      </c>
      <c r="E378" t="inlineStr">
        <is>
          <t>ÖSTERSUND</t>
        </is>
      </c>
      <c r="G378" t="n">
        <v>0.1</v>
      </c>
      <c r="H378" t="n">
        <v>0</v>
      </c>
      <c r="I378" t="n">
        <v>0</v>
      </c>
      <c r="J378" t="n">
        <v>0</v>
      </c>
      <c r="K378" t="n">
        <v>0</v>
      </c>
      <c r="L378" t="n">
        <v>0</v>
      </c>
      <c r="M378" t="n">
        <v>0</v>
      </c>
      <c r="N378" t="n">
        <v>0</v>
      </c>
      <c r="O378" t="n">
        <v>0</v>
      </c>
      <c r="P378" t="n">
        <v>0</v>
      </c>
      <c r="Q378" t="n">
        <v>0</v>
      </c>
      <c r="R378" s="2" t="inlineStr"/>
    </row>
    <row r="379" ht="15" customHeight="1">
      <c r="A379" t="inlineStr">
        <is>
          <t>A 33004-2021</t>
        </is>
      </c>
      <c r="B379" s="1" t="n">
        <v>44375</v>
      </c>
      <c r="C379" s="1" t="n">
        <v>45709</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32998-2021</t>
        </is>
      </c>
      <c r="B380" s="1" t="n">
        <v>44375</v>
      </c>
      <c r="C380" s="1" t="n">
        <v>45709</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32986-2021</t>
        </is>
      </c>
      <c r="B381" s="1" t="n">
        <v>44375</v>
      </c>
      <c r="C381" s="1" t="n">
        <v>45709</v>
      </c>
      <c r="D381" t="inlineStr">
        <is>
          <t>JÄMTLANDS LÄN</t>
        </is>
      </c>
      <c r="E381" t="inlineStr">
        <is>
          <t>ÖSTERSUND</t>
        </is>
      </c>
      <c r="G381" t="n">
        <v>0.5</v>
      </c>
      <c r="H381" t="n">
        <v>0</v>
      </c>
      <c r="I381" t="n">
        <v>0</v>
      </c>
      <c r="J381" t="n">
        <v>0</v>
      </c>
      <c r="K381" t="n">
        <v>0</v>
      </c>
      <c r="L381" t="n">
        <v>0</v>
      </c>
      <c r="M381" t="n">
        <v>0</v>
      </c>
      <c r="N381" t="n">
        <v>0</v>
      </c>
      <c r="O381" t="n">
        <v>0</v>
      </c>
      <c r="P381" t="n">
        <v>0</v>
      </c>
      <c r="Q381" t="n">
        <v>0</v>
      </c>
      <c r="R381" s="2" t="inlineStr"/>
    </row>
    <row r="382" ht="15" customHeight="1">
      <c r="A382" t="inlineStr">
        <is>
          <t>A 33002-2021</t>
        </is>
      </c>
      <c r="B382" s="1" t="n">
        <v>44375</v>
      </c>
      <c r="C382" s="1" t="n">
        <v>45709</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32990-2021</t>
        </is>
      </c>
      <c r="B383" s="1" t="n">
        <v>44375</v>
      </c>
      <c r="C383" s="1" t="n">
        <v>45709</v>
      </c>
      <c r="D383" t="inlineStr">
        <is>
          <t>JÄMTLANDS LÄN</t>
        </is>
      </c>
      <c r="E383" t="inlineStr">
        <is>
          <t>ÖSTERSUND</t>
        </is>
      </c>
      <c r="G383" t="n">
        <v>0.2</v>
      </c>
      <c r="H383" t="n">
        <v>0</v>
      </c>
      <c r="I383" t="n">
        <v>0</v>
      </c>
      <c r="J383" t="n">
        <v>0</v>
      </c>
      <c r="K383" t="n">
        <v>0</v>
      </c>
      <c r="L383" t="n">
        <v>0</v>
      </c>
      <c r="M383" t="n">
        <v>0</v>
      </c>
      <c r="N383" t="n">
        <v>0</v>
      </c>
      <c r="O383" t="n">
        <v>0</v>
      </c>
      <c r="P383" t="n">
        <v>0</v>
      </c>
      <c r="Q383" t="n">
        <v>0</v>
      </c>
      <c r="R383" s="2" t="inlineStr"/>
    </row>
    <row r="384" ht="15" customHeight="1">
      <c r="A384" t="inlineStr">
        <is>
          <t>A 33831-2021</t>
        </is>
      </c>
      <c r="B384" s="1" t="n">
        <v>44378</v>
      </c>
      <c r="C384" s="1" t="n">
        <v>45709</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35032-2021</t>
        </is>
      </c>
      <c r="B385" s="1" t="n">
        <v>44383</v>
      </c>
      <c r="C385" s="1" t="n">
        <v>45709</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35755-2021</t>
        </is>
      </c>
      <c r="B386" s="1" t="n">
        <v>44385</v>
      </c>
      <c r="C386" s="1" t="n">
        <v>45709</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38142-2021</t>
        </is>
      </c>
      <c r="B387" s="1" t="n">
        <v>44405</v>
      </c>
      <c r="C387" s="1" t="n">
        <v>45709</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38647-2021</t>
        </is>
      </c>
      <c r="B388" s="1" t="n">
        <v>44410</v>
      </c>
      <c r="C388" s="1" t="n">
        <v>45709</v>
      </c>
      <c r="D388" t="inlineStr">
        <is>
          <t>JÄMTLANDS LÄN</t>
        </is>
      </c>
      <c r="E388" t="inlineStr">
        <is>
          <t>ÖSTERSUND</t>
        </is>
      </c>
      <c r="G388" t="n">
        <v>1.7</v>
      </c>
      <c r="H388" t="n">
        <v>0</v>
      </c>
      <c r="I388" t="n">
        <v>0</v>
      </c>
      <c r="J388" t="n">
        <v>0</v>
      </c>
      <c r="K388" t="n">
        <v>0</v>
      </c>
      <c r="L388" t="n">
        <v>0</v>
      </c>
      <c r="M388" t="n">
        <v>0</v>
      </c>
      <c r="N388" t="n">
        <v>0</v>
      </c>
      <c r="O388" t="n">
        <v>0</v>
      </c>
      <c r="P388" t="n">
        <v>0</v>
      </c>
      <c r="Q388" t="n">
        <v>0</v>
      </c>
      <c r="R388" s="2" t="inlineStr"/>
    </row>
    <row r="389" ht="15" customHeight="1">
      <c r="A389" t="inlineStr">
        <is>
          <t>A 38644-2021</t>
        </is>
      </c>
      <c r="B389" s="1" t="n">
        <v>44410</v>
      </c>
      <c r="C389" s="1" t="n">
        <v>45709</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39735-2021</t>
        </is>
      </c>
      <c r="B390" s="1" t="n">
        <v>44414</v>
      </c>
      <c r="C390" s="1" t="n">
        <v>45709</v>
      </c>
      <c r="D390" t="inlineStr">
        <is>
          <t>JÄMTLANDS LÄN</t>
        </is>
      </c>
      <c r="E390" t="inlineStr">
        <is>
          <t>ÖSTERSUND</t>
        </is>
      </c>
      <c r="G390" t="n">
        <v>4.5</v>
      </c>
      <c r="H390" t="n">
        <v>0</v>
      </c>
      <c r="I390" t="n">
        <v>0</v>
      </c>
      <c r="J390" t="n">
        <v>0</v>
      </c>
      <c r="K390" t="n">
        <v>0</v>
      </c>
      <c r="L390" t="n">
        <v>0</v>
      </c>
      <c r="M390" t="n">
        <v>0</v>
      </c>
      <c r="N390" t="n">
        <v>0</v>
      </c>
      <c r="O390" t="n">
        <v>0</v>
      </c>
      <c r="P390" t="n">
        <v>0</v>
      </c>
      <c r="Q390" t="n">
        <v>0</v>
      </c>
      <c r="R390" s="2" t="inlineStr"/>
    </row>
    <row r="391" ht="15" customHeight="1">
      <c r="A391" t="inlineStr">
        <is>
          <t>A 40038-2021</t>
        </is>
      </c>
      <c r="B391" s="1" t="n">
        <v>44418</v>
      </c>
      <c r="C391" s="1" t="n">
        <v>45709</v>
      </c>
      <c r="D391" t="inlineStr">
        <is>
          <t>JÄMTLANDS LÄN</t>
        </is>
      </c>
      <c r="E391" t="inlineStr">
        <is>
          <t>ÖSTERSUND</t>
        </is>
      </c>
      <c r="G391" t="n">
        <v>7</v>
      </c>
      <c r="H391" t="n">
        <v>0</v>
      </c>
      <c r="I391" t="n">
        <v>0</v>
      </c>
      <c r="J391" t="n">
        <v>0</v>
      </c>
      <c r="K391" t="n">
        <v>0</v>
      </c>
      <c r="L391" t="n">
        <v>0</v>
      </c>
      <c r="M391" t="n">
        <v>0</v>
      </c>
      <c r="N391" t="n">
        <v>0</v>
      </c>
      <c r="O391" t="n">
        <v>0</v>
      </c>
      <c r="P391" t="n">
        <v>0</v>
      </c>
      <c r="Q391" t="n">
        <v>0</v>
      </c>
      <c r="R391" s="2" t="inlineStr"/>
    </row>
    <row r="392" ht="15" customHeight="1">
      <c r="A392" t="inlineStr">
        <is>
          <t>A 41802-2021</t>
        </is>
      </c>
      <c r="B392" s="1" t="n">
        <v>44425</v>
      </c>
      <c r="C392" s="1" t="n">
        <v>45709</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42469-2021</t>
        </is>
      </c>
      <c r="B393" s="1" t="n">
        <v>44427</v>
      </c>
      <c r="C393" s="1" t="n">
        <v>45709</v>
      </c>
      <c r="D393" t="inlineStr">
        <is>
          <t>JÄMTLANDS LÄN</t>
        </is>
      </c>
      <c r="E393" t="inlineStr">
        <is>
          <t>ÖSTERSUND</t>
        </is>
      </c>
      <c r="G393" t="n">
        <v>1.5</v>
      </c>
      <c r="H393" t="n">
        <v>0</v>
      </c>
      <c r="I393" t="n">
        <v>0</v>
      </c>
      <c r="J393" t="n">
        <v>0</v>
      </c>
      <c r="K393" t="n">
        <v>0</v>
      </c>
      <c r="L393" t="n">
        <v>0</v>
      </c>
      <c r="M393" t="n">
        <v>0</v>
      </c>
      <c r="N393" t="n">
        <v>0</v>
      </c>
      <c r="O393" t="n">
        <v>0</v>
      </c>
      <c r="P393" t="n">
        <v>0</v>
      </c>
      <c r="Q393" t="n">
        <v>0</v>
      </c>
      <c r="R393" s="2" t="inlineStr"/>
    </row>
    <row r="394" ht="15" customHeight="1">
      <c r="A394" t="inlineStr">
        <is>
          <t>A 42793-2021</t>
        </is>
      </c>
      <c r="B394" s="1" t="n">
        <v>44428</v>
      </c>
      <c r="C394" s="1" t="n">
        <v>45709</v>
      </c>
      <c r="D394" t="inlineStr">
        <is>
          <t>JÄMTLANDS LÄN</t>
        </is>
      </c>
      <c r="E394" t="inlineStr">
        <is>
          <t>ÖSTERSUND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42832-2021</t>
        </is>
      </c>
      <c r="B395" s="1" t="n">
        <v>44430</v>
      </c>
      <c r="C395" s="1" t="n">
        <v>45709</v>
      </c>
      <c r="D395" t="inlineStr">
        <is>
          <t>JÄMTLANDS LÄN</t>
        </is>
      </c>
      <c r="E395" t="inlineStr">
        <is>
          <t>ÖSTERSUND</t>
        </is>
      </c>
      <c r="G395" t="n">
        <v>9</v>
      </c>
      <c r="H395" t="n">
        <v>0</v>
      </c>
      <c r="I395" t="n">
        <v>0</v>
      </c>
      <c r="J395" t="n">
        <v>0</v>
      </c>
      <c r="K395" t="n">
        <v>0</v>
      </c>
      <c r="L395" t="n">
        <v>0</v>
      </c>
      <c r="M395" t="n">
        <v>0</v>
      </c>
      <c r="N395" t="n">
        <v>0</v>
      </c>
      <c r="O395" t="n">
        <v>0</v>
      </c>
      <c r="P395" t="n">
        <v>0</v>
      </c>
      <c r="Q395" t="n">
        <v>0</v>
      </c>
      <c r="R395" s="2" t="inlineStr"/>
    </row>
    <row r="396" ht="15" customHeight="1">
      <c r="A396" t="inlineStr">
        <is>
          <t>A 43310-2021</t>
        </is>
      </c>
      <c r="B396" s="1" t="n">
        <v>44432</v>
      </c>
      <c r="C396" s="1" t="n">
        <v>45709</v>
      </c>
      <c r="D396" t="inlineStr">
        <is>
          <t>JÄMTLANDS LÄN</t>
        </is>
      </c>
      <c r="E396" t="inlineStr">
        <is>
          <t>ÖSTERSUND</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44013-2021</t>
        </is>
      </c>
      <c r="B397" s="1" t="n">
        <v>44434</v>
      </c>
      <c r="C397" s="1" t="n">
        <v>45709</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44051-2021</t>
        </is>
      </c>
      <c r="B398" s="1" t="n">
        <v>44434</v>
      </c>
      <c r="C398" s="1" t="n">
        <v>45709</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44267-2021</t>
        </is>
      </c>
      <c r="B399" s="1" t="n">
        <v>44434</v>
      </c>
      <c r="C399" s="1" t="n">
        <v>45709</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46002-2021</t>
        </is>
      </c>
      <c r="B400" s="1" t="n">
        <v>44441</v>
      </c>
      <c r="C400" s="1" t="n">
        <v>45709</v>
      </c>
      <c r="D400" t="inlineStr">
        <is>
          <t>JÄMTLANDS LÄN</t>
        </is>
      </c>
      <c r="E400" t="inlineStr">
        <is>
          <t>ÖSTERSUND</t>
        </is>
      </c>
      <c r="G400" t="n">
        <v>3.6</v>
      </c>
      <c r="H400" t="n">
        <v>0</v>
      </c>
      <c r="I400" t="n">
        <v>0</v>
      </c>
      <c r="J400" t="n">
        <v>0</v>
      </c>
      <c r="K400" t="n">
        <v>0</v>
      </c>
      <c r="L400" t="n">
        <v>0</v>
      </c>
      <c r="M400" t="n">
        <v>0</v>
      </c>
      <c r="N400" t="n">
        <v>0</v>
      </c>
      <c r="O400" t="n">
        <v>0</v>
      </c>
      <c r="P400" t="n">
        <v>0</v>
      </c>
      <c r="Q400" t="n">
        <v>0</v>
      </c>
      <c r="R400" s="2" t="inlineStr"/>
    </row>
    <row r="401" ht="15" customHeight="1">
      <c r="A401" t="inlineStr">
        <is>
          <t>A 46004-2021</t>
        </is>
      </c>
      <c r="B401" s="1" t="n">
        <v>44441</v>
      </c>
      <c r="C401" s="1" t="n">
        <v>45709</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46111-2021</t>
        </is>
      </c>
      <c r="B402" s="1" t="n">
        <v>44441</v>
      </c>
      <c r="C402" s="1" t="n">
        <v>45709</v>
      </c>
      <c r="D402" t="inlineStr">
        <is>
          <t>JÄMTLANDS LÄN</t>
        </is>
      </c>
      <c r="E402" t="inlineStr">
        <is>
          <t>ÖSTERSUND</t>
        </is>
      </c>
      <c r="G402" t="n">
        <v>4.6</v>
      </c>
      <c r="H402" t="n">
        <v>0</v>
      </c>
      <c r="I402" t="n">
        <v>0</v>
      </c>
      <c r="J402" t="n">
        <v>0</v>
      </c>
      <c r="K402" t="n">
        <v>0</v>
      </c>
      <c r="L402" t="n">
        <v>0</v>
      </c>
      <c r="M402" t="n">
        <v>0</v>
      </c>
      <c r="N402" t="n">
        <v>0</v>
      </c>
      <c r="O402" t="n">
        <v>0</v>
      </c>
      <c r="P402" t="n">
        <v>0</v>
      </c>
      <c r="Q402" t="n">
        <v>0</v>
      </c>
      <c r="R402" s="2" t="inlineStr"/>
    </row>
    <row r="403" ht="15" customHeight="1">
      <c r="A403" t="inlineStr">
        <is>
          <t>A 46139-2021</t>
        </is>
      </c>
      <c r="B403" s="1" t="n">
        <v>44441</v>
      </c>
      <c r="C403" s="1" t="n">
        <v>45709</v>
      </c>
      <c r="D403" t="inlineStr">
        <is>
          <t>JÄMTLANDS LÄN</t>
        </is>
      </c>
      <c r="E403" t="inlineStr">
        <is>
          <t>ÖSTERSUND</t>
        </is>
      </c>
      <c r="G403" t="n">
        <v>12.8</v>
      </c>
      <c r="H403" t="n">
        <v>0</v>
      </c>
      <c r="I403" t="n">
        <v>0</v>
      </c>
      <c r="J403" t="n">
        <v>0</v>
      </c>
      <c r="K403" t="n">
        <v>0</v>
      </c>
      <c r="L403" t="n">
        <v>0</v>
      </c>
      <c r="M403" t="n">
        <v>0</v>
      </c>
      <c r="N403" t="n">
        <v>0</v>
      </c>
      <c r="O403" t="n">
        <v>0</v>
      </c>
      <c r="P403" t="n">
        <v>0</v>
      </c>
      <c r="Q403" t="n">
        <v>0</v>
      </c>
      <c r="R403" s="2" t="inlineStr"/>
    </row>
    <row r="404" ht="15" customHeight="1">
      <c r="A404" t="inlineStr">
        <is>
          <t>A 48947-2021</t>
        </is>
      </c>
      <c r="B404" s="1" t="n">
        <v>44453</v>
      </c>
      <c r="C404" s="1" t="n">
        <v>45709</v>
      </c>
      <c r="D404" t="inlineStr">
        <is>
          <t>JÄMTLANDS LÄN</t>
        </is>
      </c>
      <c r="E404" t="inlineStr">
        <is>
          <t>ÖSTERSUND</t>
        </is>
      </c>
      <c r="G404" t="n">
        <v>22.3</v>
      </c>
      <c r="H404" t="n">
        <v>0</v>
      </c>
      <c r="I404" t="n">
        <v>0</v>
      </c>
      <c r="J404" t="n">
        <v>0</v>
      </c>
      <c r="K404" t="n">
        <v>0</v>
      </c>
      <c r="L404" t="n">
        <v>0</v>
      </c>
      <c r="M404" t="n">
        <v>0</v>
      </c>
      <c r="N404" t="n">
        <v>0</v>
      </c>
      <c r="O404" t="n">
        <v>0</v>
      </c>
      <c r="P404" t="n">
        <v>0</v>
      </c>
      <c r="Q404" t="n">
        <v>0</v>
      </c>
      <c r="R404" s="2" t="inlineStr"/>
    </row>
    <row r="405" ht="15" customHeight="1">
      <c r="A405" t="inlineStr">
        <is>
          <t>A 52913-2021</t>
        </is>
      </c>
      <c r="B405" s="1" t="n">
        <v>44466</v>
      </c>
      <c r="C405" s="1" t="n">
        <v>45709</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55302-2021</t>
        </is>
      </c>
      <c r="B406" s="1" t="n">
        <v>44475</v>
      </c>
      <c r="C406" s="1" t="n">
        <v>45709</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61631-2021</t>
        </is>
      </c>
      <c r="B407" s="1" t="n">
        <v>44501</v>
      </c>
      <c r="C407" s="1" t="n">
        <v>45709</v>
      </c>
      <c r="D407" t="inlineStr">
        <is>
          <t>JÄMTLANDS LÄN</t>
        </is>
      </c>
      <c r="E407" t="inlineStr">
        <is>
          <t>ÖSTERSUND</t>
        </is>
      </c>
      <c r="G407" t="n">
        <v>1</v>
      </c>
      <c r="H407" t="n">
        <v>0</v>
      </c>
      <c r="I407" t="n">
        <v>0</v>
      </c>
      <c r="J407" t="n">
        <v>0</v>
      </c>
      <c r="K407" t="n">
        <v>0</v>
      </c>
      <c r="L407" t="n">
        <v>0</v>
      </c>
      <c r="M407" t="n">
        <v>0</v>
      </c>
      <c r="N407" t="n">
        <v>0</v>
      </c>
      <c r="O407" t="n">
        <v>0</v>
      </c>
      <c r="P407" t="n">
        <v>0</v>
      </c>
      <c r="Q407" t="n">
        <v>0</v>
      </c>
      <c r="R407" s="2" t="inlineStr"/>
    </row>
    <row r="408" ht="15" customHeight="1">
      <c r="A408" t="inlineStr">
        <is>
          <t>A 64092-2021</t>
        </is>
      </c>
      <c r="B408" s="1" t="n">
        <v>44510</v>
      </c>
      <c r="C408" s="1" t="n">
        <v>45709</v>
      </c>
      <c r="D408" t="inlineStr">
        <is>
          <t>JÄMTLANDS LÄN</t>
        </is>
      </c>
      <c r="E408" t="inlineStr">
        <is>
          <t>ÖSTERSUND</t>
        </is>
      </c>
      <c r="G408" t="n">
        <v>5.6</v>
      </c>
      <c r="H408" t="n">
        <v>0</v>
      </c>
      <c r="I408" t="n">
        <v>0</v>
      </c>
      <c r="J408" t="n">
        <v>0</v>
      </c>
      <c r="K408" t="n">
        <v>0</v>
      </c>
      <c r="L408" t="n">
        <v>0</v>
      </c>
      <c r="M408" t="n">
        <v>0</v>
      </c>
      <c r="N408" t="n">
        <v>0</v>
      </c>
      <c r="O408" t="n">
        <v>0</v>
      </c>
      <c r="P408" t="n">
        <v>0</v>
      </c>
      <c r="Q408" t="n">
        <v>0</v>
      </c>
      <c r="R408" s="2" t="inlineStr"/>
    </row>
    <row r="409" ht="15" customHeight="1">
      <c r="A409" t="inlineStr">
        <is>
          <t>A 64645-2021</t>
        </is>
      </c>
      <c r="B409" s="1" t="n">
        <v>44511</v>
      </c>
      <c r="C409" s="1" t="n">
        <v>45709</v>
      </c>
      <c r="D409" t="inlineStr">
        <is>
          <t>JÄMTLANDS LÄN</t>
        </is>
      </c>
      <c r="E409" t="inlineStr">
        <is>
          <t>ÖSTERSUND</t>
        </is>
      </c>
      <c r="G409" t="n">
        <v>3.2</v>
      </c>
      <c r="H409" t="n">
        <v>0</v>
      </c>
      <c r="I409" t="n">
        <v>0</v>
      </c>
      <c r="J409" t="n">
        <v>0</v>
      </c>
      <c r="K409" t="n">
        <v>0</v>
      </c>
      <c r="L409" t="n">
        <v>0</v>
      </c>
      <c r="M409" t="n">
        <v>0</v>
      </c>
      <c r="N409" t="n">
        <v>0</v>
      </c>
      <c r="O409" t="n">
        <v>0</v>
      </c>
      <c r="P409" t="n">
        <v>0</v>
      </c>
      <c r="Q409" t="n">
        <v>0</v>
      </c>
      <c r="R409" s="2" t="inlineStr"/>
    </row>
    <row r="410" ht="15" customHeight="1">
      <c r="A410" t="inlineStr">
        <is>
          <t>A 65428-2021</t>
        </is>
      </c>
      <c r="B410" s="1" t="n">
        <v>44515</v>
      </c>
      <c r="C410" s="1" t="n">
        <v>45709</v>
      </c>
      <c r="D410" t="inlineStr">
        <is>
          <t>JÄMTLANDS LÄN</t>
        </is>
      </c>
      <c r="E410" t="inlineStr">
        <is>
          <t>ÖSTERSUND</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65866-2021</t>
        </is>
      </c>
      <c r="B411" s="1" t="n">
        <v>44516</v>
      </c>
      <c r="C411" s="1" t="n">
        <v>45709</v>
      </c>
      <c r="D411" t="inlineStr">
        <is>
          <t>JÄMTLANDS LÄN</t>
        </is>
      </c>
      <c r="E411" t="inlineStr">
        <is>
          <t>ÖSTERSUND</t>
        </is>
      </c>
      <c r="G411" t="n">
        <v>2.6</v>
      </c>
      <c r="H411" t="n">
        <v>0</v>
      </c>
      <c r="I411" t="n">
        <v>0</v>
      </c>
      <c r="J411" t="n">
        <v>0</v>
      </c>
      <c r="K411" t="n">
        <v>0</v>
      </c>
      <c r="L411" t="n">
        <v>0</v>
      </c>
      <c r="M411" t="n">
        <v>0</v>
      </c>
      <c r="N411" t="n">
        <v>0</v>
      </c>
      <c r="O411" t="n">
        <v>0</v>
      </c>
      <c r="P411" t="n">
        <v>0</v>
      </c>
      <c r="Q411" t="n">
        <v>0</v>
      </c>
      <c r="R411" s="2" t="inlineStr"/>
    </row>
    <row r="412" ht="15" customHeight="1">
      <c r="A412" t="inlineStr">
        <is>
          <t>A 65991-2021</t>
        </is>
      </c>
      <c r="B412" s="1" t="n">
        <v>44517</v>
      </c>
      <c r="C412" s="1" t="n">
        <v>45709</v>
      </c>
      <c r="D412" t="inlineStr">
        <is>
          <t>JÄMTLANDS LÄN</t>
        </is>
      </c>
      <c r="E412" t="inlineStr">
        <is>
          <t>ÖSTERSUND</t>
        </is>
      </c>
      <c r="G412" t="n">
        <v>4.3</v>
      </c>
      <c r="H412" t="n">
        <v>0</v>
      </c>
      <c r="I412" t="n">
        <v>0</v>
      </c>
      <c r="J412" t="n">
        <v>0</v>
      </c>
      <c r="K412" t="n">
        <v>0</v>
      </c>
      <c r="L412" t="n">
        <v>0</v>
      </c>
      <c r="M412" t="n">
        <v>0</v>
      </c>
      <c r="N412" t="n">
        <v>0</v>
      </c>
      <c r="O412" t="n">
        <v>0</v>
      </c>
      <c r="P412" t="n">
        <v>0</v>
      </c>
      <c r="Q412" t="n">
        <v>0</v>
      </c>
      <c r="R412" s="2" t="inlineStr"/>
    </row>
    <row r="413" ht="15" customHeight="1">
      <c r="A413" t="inlineStr">
        <is>
          <t>A 66940-2021</t>
        </is>
      </c>
      <c r="B413" s="1" t="n">
        <v>44522</v>
      </c>
      <c r="C413" s="1" t="n">
        <v>45709</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67695-2021</t>
        </is>
      </c>
      <c r="B414" s="1" t="n">
        <v>44524</v>
      </c>
      <c r="C414" s="1" t="n">
        <v>45709</v>
      </c>
      <c r="D414" t="inlineStr">
        <is>
          <t>JÄMTLANDS LÄN</t>
        </is>
      </c>
      <c r="E414" t="inlineStr">
        <is>
          <t>ÖSTERSUND</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67694-2021</t>
        </is>
      </c>
      <c r="B415" s="1" t="n">
        <v>44524</v>
      </c>
      <c r="C415" s="1" t="n">
        <v>45709</v>
      </c>
      <c r="D415" t="inlineStr">
        <is>
          <t>JÄMTLANDS LÄN</t>
        </is>
      </c>
      <c r="E415" t="inlineStr">
        <is>
          <t>ÖSTERSUND</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69190-2021</t>
        </is>
      </c>
      <c r="B416" s="1" t="n">
        <v>44529</v>
      </c>
      <c r="C416" s="1" t="n">
        <v>45709</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70256-2021</t>
        </is>
      </c>
      <c r="B417" s="1" t="n">
        <v>44533</v>
      </c>
      <c r="C417" s="1" t="n">
        <v>45709</v>
      </c>
      <c r="D417" t="inlineStr">
        <is>
          <t>JÄMTLANDS LÄN</t>
        </is>
      </c>
      <c r="E417" t="inlineStr">
        <is>
          <t>ÖSTERSUND</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70678-2021</t>
        </is>
      </c>
      <c r="B418" s="1" t="n">
        <v>44537</v>
      </c>
      <c r="C418" s="1" t="n">
        <v>45709</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70816-2021</t>
        </is>
      </c>
      <c r="B419" s="1" t="n">
        <v>44537</v>
      </c>
      <c r="C419" s="1" t="n">
        <v>45709</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71823-2021</t>
        </is>
      </c>
      <c r="B420" s="1" t="n">
        <v>44539</v>
      </c>
      <c r="C420" s="1" t="n">
        <v>45709</v>
      </c>
      <c r="D420" t="inlineStr">
        <is>
          <t>JÄMTLANDS LÄN</t>
        </is>
      </c>
      <c r="E420" t="inlineStr">
        <is>
          <t>ÖSTERSUND</t>
        </is>
      </c>
      <c r="G420" t="n">
        <v>10.5</v>
      </c>
      <c r="H420" t="n">
        <v>0</v>
      </c>
      <c r="I420" t="n">
        <v>0</v>
      </c>
      <c r="J420" t="n">
        <v>0</v>
      </c>
      <c r="K420" t="n">
        <v>0</v>
      </c>
      <c r="L420" t="n">
        <v>0</v>
      </c>
      <c r="M420" t="n">
        <v>0</v>
      </c>
      <c r="N420" t="n">
        <v>0</v>
      </c>
      <c r="O420" t="n">
        <v>0</v>
      </c>
      <c r="P420" t="n">
        <v>0</v>
      </c>
      <c r="Q420" t="n">
        <v>0</v>
      </c>
      <c r="R420" s="2" t="inlineStr"/>
    </row>
    <row r="421" ht="15" customHeight="1">
      <c r="A421" t="inlineStr">
        <is>
          <t>A 72089-2021</t>
        </is>
      </c>
      <c r="B421" s="1" t="n">
        <v>44540</v>
      </c>
      <c r="C421" s="1" t="n">
        <v>45709</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72041-2021</t>
        </is>
      </c>
      <c r="B422" s="1" t="n">
        <v>44540</v>
      </c>
      <c r="C422" s="1" t="n">
        <v>45709</v>
      </c>
      <c r="D422" t="inlineStr">
        <is>
          <t>JÄMTLANDS LÄN</t>
        </is>
      </c>
      <c r="E422" t="inlineStr">
        <is>
          <t>ÖSTERSUND</t>
        </is>
      </c>
      <c r="G422" t="n">
        <v>0.4</v>
      </c>
      <c r="H422" t="n">
        <v>0</v>
      </c>
      <c r="I422" t="n">
        <v>0</v>
      </c>
      <c r="J422" t="n">
        <v>0</v>
      </c>
      <c r="K422" t="n">
        <v>0</v>
      </c>
      <c r="L422" t="n">
        <v>0</v>
      </c>
      <c r="M422" t="n">
        <v>0</v>
      </c>
      <c r="N422" t="n">
        <v>0</v>
      </c>
      <c r="O422" t="n">
        <v>0</v>
      </c>
      <c r="P422" t="n">
        <v>0</v>
      </c>
      <c r="Q422" t="n">
        <v>0</v>
      </c>
      <c r="R422" s="2" t="inlineStr"/>
    </row>
    <row r="423" ht="15" customHeight="1">
      <c r="A423" t="inlineStr">
        <is>
          <t>A 72258-2021</t>
        </is>
      </c>
      <c r="B423" s="1" t="n">
        <v>44540</v>
      </c>
      <c r="C423" s="1" t="n">
        <v>45709</v>
      </c>
      <c r="D423" t="inlineStr">
        <is>
          <t>JÄMTLANDS LÄN</t>
        </is>
      </c>
      <c r="E423" t="inlineStr">
        <is>
          <t>ÖSTERSUND</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72061-2021</t>
        </is>
      </c>
      <c r="B424" s="1" t="n">
        <v>44540</v>
      </c>
      <c r="C424" s="1" t="n">
        <v>45709</v>
      </c>
      <c r="D424" t="inlineStr">
        <is>
          <t>JÄMTLANDS LÄN</t>
        </is>
      </c>
      <c r="E424" t="inlineStr">
        <is>
          <t>ÖSTERSUND</t>
        </is>
      </c>
      <c r="G424" t="n">
        <v>5.3</v>
      </c>
      <c r="H424" t="n">
        <v>0</v>
      </c>
      <c r="I424" t="n">
        <v>0</v>
      </c>
      <c r="J424" t="n">
        <v>0</v>
      </c>
      <c r="K424" t="n">
        <v>0</v>
      </c>
      <c r="L424" t="n">
        <v>0</v>
      </c>
      <c r="M424" t="n">
        <v>0</v>
      </c>
      <c r="N424" t="n">
        <v>0</v>
      </c>
      <c r="O424" t="n">
        <v>0</v>
      </c>
      <c r="P424" t="n">
        <v>0</v>
      </c>
      <c r="Q424" t="n">
        <v>0</v>
      </c>
      <c r="R424" s="2" t="inlineStr"/>
    </row>
    <row r="425" ht="15" customHeight="1">
      <c r="A425" t="inlineStr">
        <is>
          <t>A 71956-2021</t>
        </is>
      </c>
      <c r="B425" s="1" t="n">
        <v>44544</v>
      </c>
      <c r="C425" s="1" t="n">
        <v>45709</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72938-2021</t>
        </is>
      </c>
      <c r="B426" s="1" t="n">
        <v>44547</v>
      </c>
      <c r="C426" s="1" t="n">
        <v>45709</v>
      </c>
      <c r="D426" t="inlineStr">
        <is>
          <t>JÄMTLANDS LÄN</t>
        </is>
      </c>
      <c r="E426" t="inlineStr">
        <is>
          <t>ÖSTERSUND</t>
        </is>
      </c>
      <c r="G426" t="n">
        <v>4.5</v>
      </c>
      <c r="H426" t="n">
        <v>0</v>
      </c>
      <c r="I426" t="n">
        <v>0</v>
      </c>
      <c r="J426" t="n">
        <v>0</v>
      </c>
      <c r="K426" t="n">
        <v>0</v>
      </c>
      <c r="L426" t="n">
        <v>0</v>
      </c>
      <c r="M426" t="n">
        <v>0</v>
      </c>
      <c r="N426" t="n">
        <v>0</v>
      </c>
      <c r="O426" t="n">
        <v>0</v>
      </c>
      <c r="P426" t="n">
        <v>0</v>
      </c>
      <c r="Q426" t="n">
        <v>0</v>
      </c>
      <c r="R426" s="2" t="inlineStr"/>
    </row>
    <row r="427" ht="15" customHeight="1">
      <c r="A427" t="inlineStr">
        <is>
          <t>A 73078-2021</t>
        </is>
      </c>
      <c r="B427" s="1" t="n">
        <v>44550</v>
      </c>
      <c r="C427" s="1" t="n">
        <v>45709</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73066-2021</t>
        </is>
      </c>
      <c r="B428" s="1" t="n">
        <v>44550</v>
      </c>
      <c r="C428" s="1" t="n">
        <v>45709</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73875-2021</t>
        </is>
      </c>
      <c r="B429" s="1" t="n">
        <v>44553</v>
      </c>
      <c r="C429" s="1" t="n">
        <v>45709</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73870-2021</t>
        </is>
      </c>
      <c r="B430" s="1" t="n">
        <v>44553</v>
      </c>
      <c r="C430" s="1" t="n">
        <v>45709</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154-2022</t>
        </is>
      </c>
      <c r="B431" s="1" t="n">
        <v>44561</v>
      </c>
      <c r="C431" s="1" t="n">
        <v>45709</v>
      </c>
      <c r="D431" t="inlineStr">
        <is>
          <t>JÄMTLANDS LÄN</t>
        </is>
      </c>
      <c r="E431" t="inlineStr">
        <is>
          <t>ÖSTERSUND</t>
        </is>
      </c>
      <c r="G431" t="n">
        <v>4.2</v>
      </c>
      <c r="H431" t="n">
        <v>0</v>
      </c>
      <c r="I431" t="n">
        <v>0</v>
      </c>
      <c r="J431" t="n">
        <v>0</v>
      </c>
      <c r="K431" t="n">
        <v>0</v>
      </c>
      <c r="L431" t="n">
        <v>0</v>
      </c>
      <c r="M431" t="n">
        <v>0</v>
      </c>
      <c r="N431" t="n">
        <v>0</v>
      </c>
      <c r="O431" t="n">
        <v>0</v>
      </c>
      <c r="P431" t="n">
        <v>0</v>
      </c>
      <c r="Q431" t="n">
        <v>0</v>
      </c>
      <c r="R431" s="2" t="inlineStr"/>
    </row>
    <row r="432" ht="15" customHeight="1">
      <c r="A432" t="inlineStr">
        <is>
          <t>A 231-2022</t>
        </is>
      </c>
      <c r="B432" s="1" t="n">
        <v>44564</v>
      </c>
      <c r="C432" s="1" t="n">
        <v>45709</v>
      </c>
      <c r="D432" t="inlineStr">
        <is>
          <t>JÄMTLANDS LÄN</t>
        </is>
      </c>
      <c r="E432" t="inlineStr">
        <is>
          <t>ÖSTERSUND</t>
        </is>
      </c>
      <c r="G432" t="n">
        <v>1.9</v>
      </c>
      <c r="H432" t="n">
        <v>0</v>
      </c>
      <c r="I432" t="n">
        <v>0</v>
      </c>
      <c r="J432" t="n">
        <v>0</v>
      </c>
      <c r="K432" t="n">
        <v>0</v>
      </c>
      <c r="L432" t="n">
        <v>0</v>
      </c>
      <c r="M432" t="n">
        <v>0</v>
      </c>
      <c r="N432" t="n">
        <v>0</v>
      </c>
      <c r="O432" t="n">
        <v>0</v>
      </c>
      <c r="P432" t="n">
        <v>0</v>
      </c>
      <c r="Q432" t="n">
        <v>0</v>
      </c>
      <c r="R432" s="2" t="inlineStr"/>
    </row>
    <row r="433" ht="15" customHeight="1">
      <c r="A433" t="inlineStr">
        <is>
          <t>A 681-2022</t>
        </is>
      </c>
      <c r="B433" s="1" t="n">
        <v>44566</v>
      </c>
      <c r="C433" s="1" t="n">
        <v>45709</v>
      </c>
      <c r="D433" t="inlineStr">
        <is>
          <t>JÄMTLANDS LÄN</t>
        </is>
      </c>
      <c r="E433" t="inlineStr">
        <is>
          <t>ÖSTERSUND</t>
        </is>
      </c>
      <c r="G433" t="n">
        <v>2.3</v>
      </c>
      <c r="H433" t="n">
        <v>0</v>
      </c>
      <c r="I433" t="n">
        <v>0</v>
      </c>
      <c r="J433" t="n">
        <v>0</v>
      </c>
      <c r="K433" t="n">
        <v>0</v>
      </c>
      <c r="L433" t="n">
        <v>0</v>
      </c>
      <c r="M433" t="n">
        <v>0</v>
      </c>
      <c r="N433" t="n">
        <v>0</v>
      </c>
      <c r="O433" t="n">
        <v>0</v>
      </c>
      <c r="P433" t="n">
        <v>0</v>
      </c>
      <c r="Q433" t="n">
        <v>0</v>
      </c>
      <c r="R433" s="2" t="inlineStr"/>
    </row>
    <row r="434" ht="15" customHeight="1">
      <c r="A434" t="inlineStr">
        <is>
          <t>A 695-2022</t>
        </is>
      </c>
      <c r="B434" s="1" t="n">
        <v>44566</v>
      </c>
      <c r="C434" s="1" t="n">
        <v>45709</v>
      </c>
      <c r="D434" t="inlineStr">
        <is>
          <t>JÄMTLANDS LÄN</t>
        </is>
      </c>
      <c r="E434" t="inlineStr">
        <is>
          <t>ÖSTERSUND</t>
        </is>
      </c>
      <c r="G434" t="n">
        <v>14.9</v>
      </c>
      <c r="H434" t="n">
        <v>0</v>
      </c>
      <c r="I434" t="n">
        <v>0</v>
      </c>
      <c r="J434" t="n">
        <v>0</v>
      </c>
      <c r="K434" t="n">
        <v>0</v>
      </c>
      <c r="L434" t="n">
        <v>0</v>
      </c>
      <c r="M434" t="n">
        <v>0</v>
      </c>
      <c r="N434" t="n">
        <v>0</v>
      </c>
      <c r="O434" t="n">
        <v>0</v>
      </c>
      <c r="P434" t="n">
        <v>0</v>
      </c>
      <c r="Q434" t="n">
        <v>0</v>
      </c>
      <c r="R434" s="2" t="inlineStr"/>
    </row>
    <row r="435" ht="15" customHeight="1">
      <c r="A435" t="inlineStr">
        <is>
          <t>A 2431-2022</t>
        </is>
      </c>
      <c r="B435" s="1" t="n">
        <v>44579</v>
      </c>
      <c r="C435" s="1" t="n">
        <v>45709</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2763-2022</t>
        </is>
      </c>
      <c r="B436" s="1" t="n">
        <v>44580</v>
      </c>
      <c r="C436" s="1" t="n">
        <v>45709</v>
      </c>
      <c r="D436" t="inlineStr">
        <is>
          <t>JÄMTLANDS LÄN</t>
        </is>
      </c>
      <c r="E436" t="inlineStr">
        <is>
          <t>ÖSTERSUND</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2880-2022</t>
        </is>
      </c>
      <c r="B437" s="1" t="n">
        <v>44581</v>
      </c>
      <c r="C437" s="1" t="n">
        <v>45709</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3016-2022</t>
        </is>
      </c>
      <c r="B438" s="1" t="n">
        <v>44581</v>
      </c>
      <c r="C438" s="1" t="n">
        <v>45709</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5145-2022</t>
        </is>
      </c>
      <c r="B439" s="1" t="n">
        <v>44594</v>
      </c>
      <c r="C439" s="1" t="n">
        <v>45709</v>
      </c>
      <c r="D439" t="inlineStr">
        <is>
          <t>JÄMTLANDS LÄN</t>
        </is>
      </c>
      <c r="E439" t="inlineStr">
        <is>
          <t>ÖSTERSUND</t>
        </is>
      </c>
      <c r="G439" t="n">
        <v>2.6</v>
      </c>
      <c r="H439" t="n">
        <v>0</v>
      </c>
      <c r="I439" t="n">
        <v>0</v>
      </c>
      <c r="J439" t="n">
        <v>0</v>
      </c>
      <c r="K439" t="n">
        <v>0</v>
      </c>
      <c r="L439" t="n">
        <v>0</v>
      </c>
      <c r="M439" t="n">
        <v>0</v>
      </c>
      <c r="N439" t="n">
        <v>0</v>
      </c>
      <c r="O439" t="n">
        <v>0</v>
      </c>
      <c r="P439" t="n">
        <v>0</v>
      </c>
      <c r="Q439" t="n">
        <v>0</v>
      </c>
      <c r="R439" s="2" t="inlineStr"/>
    </row>
    <row r="440" ht="15" customHeight="1">
      <c r="A440" t="inlineStr">
        <is>
          <t>A 5670-2022</t>
        </is>
      </c>
      <c r="B440" s="1" t="n">
        <v>44595</v>
      </c>
      <c r="C440" s="1" t="n">
        <v>45709</v>
      </c>
      <c r="D440" t="inlineStr">
        <is>
          <t>JÄMTLANDS LÄN</t>
        </is>
      </c>
      <c r="E440" t="inlineStr">
        <is>
          <t>ÖSTERSUND</t>
        </is>
      </c>
      <c r="G440" t="n">
        <v>2.7</v>
      </c>
      <c r="H440" t="n">
        <v>0</v>
      </c>
      <c r="I440" t="n">
        <v>0</v>
      </c>
      <c r="J440" t="n">
        <v>0</v>
      </c>
      <c r="K440" t="n">
        <v>0</v>
      </c>
      <c r="L440" t="n">
        <v>0</v>
      </c>
      <c r="M440" t="n">
        <v>0</v>
      </c>
      <c r="N440" t="n">
        <v>0</v>
      </c>
      <c r="O440" t="n">
        <v>0</v>
      </c>
      <c r="P440" t="n">
        <v>0</v>
      </c>
      <c r="Q440" t="n">
        <v>0</v>
      </c>
      <c r="R440" s="2" t="inlineStr"/>
    </row>
    <row r="441" ht="15" customHeight="1">
      <c r="A441" t="inlineStr">
        <is>
          <t>A 6013-2022</t>
        </is>
      </c>
      <c r="B441" s="1" t="n">
        <v>44599</v>
      </c>
      <c r="C441" s="1" t="n">
        <v>45709</v>
      </c>
      <c r="D441" t="inlineStr">
        <is>
          <t>JÄMTLANDS LÄN</t>
        </is>
      </c>
      <c r="E441" t="inlineStr">
        <is>
          <t>ÖSTERSUND</t>
        </is>
      </c>
      <c r="G441" t="n">
        <v>2.5</v>
      </c>
      <c r="H441" t="n">
        <v>0</v>
      </c>
      <c r="I441" t="n">
        <v>0</v>
      </c>
      <c r="J441" t="n">
        <v>0</v>
      </c>
      <c r="K441" t="n">
        <v>0</v>
      </c>
      <c r="L441" t="n">
        <v>0</v>
      </c>
      <c r="M441" t="n">
        <v>0</v>
      </c>
      <c r="N441" t="n">
        <v>0</v>
      </c>
      <c r="O441" t="n">
        <v>0</v>
      </c>
      <c r="P441" t="n">
        <v>0</v>
      </c>
      <c r="Q441" t="n">
        <v>0</v>
      </c>
      <c r="R441" s="2" t="inlineStr"/>
    </row>
    <row r="442" ht="15" customHeight="1">
      <c r="A442" t="inlineStr">
        <is>
          <t>A 6458-2022</t>
        </is>
      </c>
      <c r="B442" s="1" t="n">
        <v>44601</v>
      </c>
      <c r="C442" s="1" t="n">
        <v>45709</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7573-2022</t>
        </is>
      </c>
      <c r="B443" s="1" t="n">
        <v>44607</v>
      </c>
      <c r="C443" s="1" t="n">
        <v>45709</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8027-2022</t>
        </is>
      </c>
      <c r="B444" s="1" t="n">
        <v>44609</v>
      </c>
      <c r="C444" s="1" t="n">
        <v>45709</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8227-2022</t>
        </is>
      </c>
      <c r="B445" s="1" t="n">
        <v>44609</v>
      </c>
      <c r="C445" s="1" t="n">
        <v>45709</v>
      </c>
      <c r="D445" t="inlineStr">
        <is>
          <t>JÄMTLANDS LÄN</t>
        </is>
      </c>
      <c r="E445" t="inlineStr">
        <is>
          <t>ÖSTERSUND</t>
        </is>
      </c>
      <c r="G445" t="n">
        <v>6.6</v>
      </c>
      <c r="H445" t="n">
        <v>0</v>
      </c>
      <c r="I445" t="n">
        <v>0</v>
      </c>
      <c r="J445" t="n">
        <v>0</v>
      </c>
      <c r="K445" t="n">
        <v>0</v>
      </c>
      <c r="L445" t="n">
        <v>0</v>
      </c>
      <c r="M445" t="n">
        <v>0</v>
      </c>
      <c r="N445" t="n">
        <v>0</v>
      </c>
      <c r="O445" t="n">
        <v>0</v>
      </c>
      <c r="P445" t="n">
        <v>0</v>
      </c>
      <c r="Q445" t="n">
        <v>0</v>
      </c>
      <c r="R445" s="2" t="inlineStr"/>
    </row>
    <row r="446" ht="15" customHeight="1">
      <c r="A446" t="inlineStr">
        <is>
          <t>A 8647-2022</t>
        </is>
      </c>
      <c r="B446" s="1" t="n">
        <v>44613</v>
      </c>
      <c r="C446" s="1" t="n">
        <v>45709</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8972-2022</t>
        </is>
      </c>
      <c r="B447" s="1" t="n">
        <v>44614</v>
      </c>
      <c r="C447" s="1" t="n">
        <v>45709</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11740-2022</t>
        </is>
      </c>
      <c r="B448" s="1" t="n">
        <v>44634</v>
      </c>
      <c r="C448" s="1" t="n">
        <v>45709</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11933-2022</t>
        </is>
      </c>
      <c r="B449" s="1" t="n">
        <v>44635</v>
      </c>
      <c r="C449" s="1" t="n">
        <v>45709</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12301-2022</t>
        </is>
      </c>
      <c r="B450" s="1" t="n">
        <v>44637</v>
      </c>
      <c r="C450" s="1" t="n">
        <v>45709</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12285-2022</t>
        </is>
      </c>
      <c r="B451" s="1" t="n">
        <v>44637</v>
      </c>
      <c r="C451" s="1" t="n">
        <v>45709</v>
      </c>
      <c r="D451" t="inlineStr">
        <is>
          <t>JÄMTLANDS LÄN</t>
        </is>
      </c>
      <c r="E451" t="inlineStr">
        <is>
          <t>ÖSTERSUND</t>
        </is>
      </c>
      <c r="G451" t="n">
        <v>1.4</v>
      </c>
      <c r="H451" t="n">
        <v>0</v>
      </c>
      <c r="I451" t="n">
        <v>0</v>
      </c>
      <c r="J451" t="n">
        <v>0</v>
      </c>
      <c r="K451" t="n">
        <v>0</v>
      </c>
      <c r="L451" t="n">
        <v>0</v>
      </c>
      <c r="M451" t="n">
        <v>0</v>
      </c>
      <c r="N451" t="n">
        <v>0</v>
      </c>
      <c r="O451" t="n">
        <v>0</v>
      </c>
      <c r="P451" t="n">
        <v>0</v>
      </c>
      <c r="Q451" t="n">
        <v>0</v>
      </c>
      <c r="R451" s="2" t="inlineStr"/>
    </row>
    <row r="452" ht="15" customHeight="1">
      <c r="A452" t="inlineStr">
        <is>
          <t>A 12946-2022</t>
        </is>
      </c>
      <c r="B452" s="1" t="n">
        <v>44642</v>
      </c>
      <c r="C452" s="1" t="n">
        <v>45709</v>
      </c>
      <c r="D452" t="inlineStr">
        <is>
          <t>JÄMTLANDS LÄN</t>
        </is>
      </c>
      <c r="E452" t="inlineStr">
        <is>
          <t>ÖSTERSUND</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13024-2022</t>
        </is>
      </c>
      <c r="B453" s="1" t="n">
        <v>44643</v>
      </c>
      <c r="C453" s="1" t="n">
        <v>45709</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14653-2022</t>
        </is>
      </c>
      <c r="B454" s="1" t="n">
        <v>44655</v>
      </c>
      <c r="C454" s="1" t="n">
        <v>45709</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14657-2022</t>
        </is>
      </c>
      <c r="B455" s="1" t="n">
        <v>44655</v>
      </c>
      <c r="C455" s="1" t="n">
        <v>45709</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14658-2022</t>
        </is>
      </c>
      <c r="B456" s="1" t="n">
        <v>44655</v>
      </c>
      <c r="C456" s="1" t="n">
        <v>45709</v>
      </c>
      <c r="D456" t="inlineStr">
        <is>
          <t>JÄMTLANDS LÄN</t>
        </is>
      </c>
      <c r="E456" t="inlineStr">
        <is>
          <t>ÖSTERSUND</t>
        </is>
      </c>
      <c r="G456" t="n">
        <v>1.3</v>
      </c>
      <c r="H456" t="n">
        <v>0</v>
      </c>
      <c r="I456" t="n">
        <v>0</v>
      </c>
      <c r="J456" t="n">
        <v>0</v>
      </c>
      <c r="K456" t="n">
        <v>0</v>
      </c>
      <c r="L456" t="n">
        <v>0</v>
      </c>
      <c r="M456" t="n">
        <v>0</v>
      </c>
      <c r="N456" t="n">
        <v>0</v>
      </c>
      <c r="O456" t="n">
        <v>0</v>
      </c>
      <c r="P456" t="n">
        <v>0</v>
      </c>
      <c r="Q456" t="n">
        <v>0</v>
      </c>
      <c r="R456" s="2" t="inlineStr"/>
    </row>
    <row r="457" ht="15" customHeight="1">
      <c r="A457" t="inlineStr">
        <is>
          <t>A 16025-2022</t>
        </is>
      </c>
      <c r="B457" s="1" t="n">
        <v>44665</v>
      </c>
      <c r="C457" s="1" t="n">
        <v>45709</v>
      </c>
      <c r="D457" t="inlineStr">
        <is>
          <t>JÄMTLANDS LÄN</t>
        </is>
      </c>
      <c r="E457" t="inlineStr">
        <is>
          <t>ÖSTERSUND</t>
        </is>
      </c>
      <c r="G457" t="n">
        <v>6</v>
      </c>
      <c r="H457" t="n">
        <v>0</v>
      </c>
      <c r="I457" t="n">
        <v>0</v>
      </c>
      <c r="J457" t="n">
        <v>0</v>
      </c>
      <c r="K457" t="n">
        <v>0</v>
      </c>
      <c r="L457" t="n">
        <v>0</v>
      </c>
      <c r="M457" t="n">
        <v>0</v>
      </c>
      <c r="N457" t="n">
        <v>0</v>
      </c>
      <c r="O457" t="n">
        <v>0</v>
      </c>
      <c r="P457" t="n">
        <v>0</v>
      </c>
      <c r="Q457" t="n">
        <v>0</v>
      </c>
      <c r="R457" s="2" t="inlineStr"/>
    </row>
    <row r="458" ht="15" customHeight="1">
      <c r="A458" t="inlineStr">
        <is>
          <t>A 16034-2022</t>
        </is>
      </c>
      <c r="B458" s="1" t="n">
        <v>44665</v>
      </c>
      <c r="C458" s="1" t="n">
        <v>45709</v>
      </c>
      <c r="D458" t="inlineStr">
        <is>
          <t>JÄMTLANDS LÄN</t>
        </is>
      </c>
      <c r="E458" t="inlineStr">
        <is>
          <t>ÖSTERSUND</t>
        </is>
      </c>
      <c r="G458" t="n">
        <v>5.2</v>
      </c>
      <c r="H458" t="n">
        <v>0</v>
      </c>
      <c r="I458" t="n">
        <v>0</v>
      </c>
      <c r="J458" t="n">
        <v>0</v>
      </c>
      <c r="K458" t="n">
        <v>0</v>
      </c>
      <c r="L458" t="n">
        <v>0</v>
      </c>
      <c r="M458" t="n">
        <v>0</v>
      </c>
      <c r="N458" t="n">
        <v>0</v>
      </c>
      <c r="O458" t="n">
        <v>0</v>
      </c>
      <c r="P458" t="n">
        <v>0</v>
      </c>
      <c r="Q458" t="n">
        <v>0</v>
      </c>
      <c r="R458" s="2" t="inlineStr"/>
    </row>
    <row r="459" ht="15" customHeight="1">
      <c r="A459" t="inlineStr">
        <is>
          <t>A 17574-2022</t>
        </is>
      </c>
      <c r="B459" s="1" t="n">
        <v>44680</v>
      </c>
      <c r="C459" s="1" t="n">
        <v>45709</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17732-2022</t>
        </is>
      </c>
      <c r="B460" s="1" t="n">
        <v>44681</v>
      </c>
      <c r="C460" s="1" t="n">
        <v>45709</v>
      </c>
      <c r="D460" t="inlineStr">
        <is>
          <t>JÄMTLANDS LÄN</t>
        </is>
      </c>
      <c r="E460" t="inlineStr">
        <is>
          <t>ÖSTERSUND</t>
        </is>
      </c>
      <c r="G460" t="n">
        <v>5.4</v>
      </c>
      <c r="H460" t="n">
        <v>0</v>
      </c>
      <c r="I460" t="n">
        <v>0</v>
      </c>
      <c r="J460" t="n">
        <v>0</v>
      </c>
      <c r="K460" t="n">
        <v>0</v>
      </c>
      <c r="L460" t="n">
        <v>0</v>
      </c>
      <c r="M460" t="n">
        <v>0</v>
      </c>
      <c r="N460" t="n">
        <v>0</v>
      </c>
      <c r="O460" t="n">
        <v>0</v>
      </c>
      <c r="P460" t="n">
        <v>0</v>
      </c>
      <c r="Q460" t="n">
        <v>0</v>
      </c>
      <c r="R460" s="2" t="inlineStr"/>
    </row>
    <row r="461" ht="15" customHeight="1">
      <c r="A461" t="inlineStr">
        <is>
          <t>A 17734-2022</t>
        </is>
      </c>
      <c r="B461" s="1" t="n">
        <v>44680</v>
      </c>
      <c r="C461" s="1" t="n">
        <v>45709</v>
      </c>
      <c r="D461" t="inlineStr">
        <is>
          <t>JÄMTLANDS LÄN</t>
        </is>
      </c>
      <c r="E461" t="inlineStr">
        <is>
          <t>ÖSTERSUND</t>
        </is>
      </c>
      <c r="G461" t="n">
        <v>26.4</v>
      </c>
      <c r="H461" t="n">
        <v>0</v>
      </c>
      <c r="I461" t="n">
        <v>0</v>
      </c>
      <c r="J461" t="n">
        <v>0</v>
      </c>
      <c r="K461" t="n">
        <v>0</v>
      </c>
      <c r="L461" t="n">
        <v>0</v>
      </c>
      <c r="M461" t="n">
        <v>0</v>
      </c>
      <c r="N461" t="n">
        <v>0</v>
      </c>
      <c r="O461" t="n">
        <v>0</v>
      </c>
      <c r="P461" t="n">
        <v>0</v>
      </c>
      <c r="Q461" t="n">
        <v>0</v>
      </c>
      <c r="R461" s="2" t="inlineStr"/>
    </row>
    <row r="462" ht="15" customHeight="1">
      <c r="A462" t="inlineStr">
        <is>
          <t>A 19022-2022</t>
        </is>
      </c>
      <c r="B462" s="1" t="n">
        <v>44690</v>
      </c>
      <c r="C462" s="1" t="n">
        <v>45709</v>
      </c>
      <c r="D462" t="inlineStr">
        <is>
          <t>JÄMTLANDS LÄN</t>
        </is>
      </c>
      <c r="E462" t="inlineStr">
        <is>
          <t>ÖSTERSUND</t>
        </is>
      </c>
      <c r="G462" t="n">
        <v>17.9</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44702</v>
      </c>
      <c r="C463" s="1" t="n">
        <v>45709</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20983-2022</t>
        </is>
      </c>
      <c r="B464" s="1" t="n">
        <v>44703</v>
      </c>
      <c r="C464" s="1" t="n">
        <v>45709</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21211-2022</t>
        </is>
      </c>
      <c r="B465" s="1" t="n">
        <v>44705</v>
      </c>
      <c r="C465" s="1" t="n">
        <v>45709</v>
      </c>
      <c r="D465" t="inlineStr">
        <is>
          <t>JÄMTLANDS LÄN</t>
        </is>
      </c>
      <c r="E465" t="inlineStr">
        <is>
          <t>ÖSTERSUND</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21495-2022</t>
        </is>
      </c>
      <c r="B466" s="1" t="n">
        <v>44706</v>
      </c>
      <c r="C466" s="1" t="n">
        <v>45709</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22083-2022</t>
        </is>
      </c>
      <c r="B467" s="1" t="n">
        <v>44711</v>
      </c>
      <c r="C467" s="1" t="n">
        <v>45709</v>
      </c>
      <c r="D467" t="inlineStr">
        <is>
          <t>JÄMTLANDS LÄN</t>
        </is>
      </c>
      <c r="E467" t="inlineStr">
        <is>
          <t>ÖSTERSUND</t>
        </is>
      </c>
      <c r="G467" t="n">
        <v>2.1</v>
      </c>
      <c r="H467" t="n">
        <v>0</v>
      </c>
      <c r="I467" t="n">
        <v>0</v>
      </c>
      <c r="J467" t="n">
        <v>0</v>
      </c>
      <c r="K467" t="n">
        <v>0</v>
      </c>
      <c r="L467" t="n">
        <v>0</v>
      </c>
      <c r="M467" t="n">
        <v>0</v>
      </c>
      <c r="N467" t="n">
        <v>0</v>
      </c>
      <c r="O467" t="n">
        <v>0</v>
      </c>
      <c r="P467" t="n">
        <v>0</v>
      </c>
      <c r="Q467" t="n">
        <v>0</v>
      </c>
      <c r="R467" s="2" t="inlineStr"/>
    </row>
    <row r="468" ht="15" customHeight="1">
      <c r="A468" t="inlineStr">
        <is>
          <t>A 22085-2022</t>
        </is>
      </c>
      <c r="B468" s="1" t="n">
        <v>44711</v>
      </c>
      <c r="C468" s="1" t="n">
        <v>45709</v>
      </c>
      <c r="D468" t="inlineStr">
        <is>
          <t>JÄMTLANDS LÄN</t>
        </is>
      </c>
      <c r="E468" t="inlineStr">
        <is>
          <t>ÖSTERSUND</t>
        </is>
      </c>
      <c r="G468" t="n">
        <v>0.9</v>
      </c>
      <c r="H468" t="n">
        <v>0</v>
      </c>
      <c r="I468" t="n">
        <v>0</v>
      </c>
      <c r="J468" t="n">
        <v>0</v>
      </c>
      <c r="K468" t="n">
        <v>0</v>
      </c>
      <c r="L468" t="n">
        <v>0</v>
      </c>
      <c r="M468" t="n">
        <v>0</v>
      </c>
      <c r="N468" t="n">
        <v>0</v>
      </c>
      <c r="O468" t="n">
        <v>0</v>
      </c>
      <c r="P468" t="n">
        <v>0</v>
      </c>
      <c r="Q468" t="n">
        <v>0</v>
      </c>
      <c r="R468" s="2" t="inlineStr"/>
    </row>
    <row r="469" ht="15" customHeight="1">
      <c r="A469" t="inlineStr">
        <is>
          <t>A 22084-2022</t>
        </is>
      </c>
      <c r="B469" s="1" t="n">
        <v>44711</v>
      </c>
      <c r="C469" s="1" t="n">
        <v>45709</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22082-2022</t>
        </is>
      </c>
      <c r="B470" s="1" t="n">
        <v>44712</v>
      </c>
      <c r="C470" s="1" t="n">
        <v>45709</v>
      </c>
      <c r="D470" t="inlineStr">
        <is>
          <t>JÄMTLANDS LÄN</t>
        </is>
      </c>
      <c r="E470" t="inlineStr">
        <is>
          <t>ÖSTERSUND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23555-2022</t>
        </is>
      </c>
      <c r="B471" s="1" t="n">
        <v>44721</v>
      </c>
      <c r="C471" s="1" t="n">
        <v>45709</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23563-2022</t>
        </is>
      </c>
      <c r="B472" s="1" t="n">
        <v>44721</v>
      </c>
      <c r="C472" s="1" t="n">
        <v>45709</v>
      </c>
      <c r="D472" t="inlineStr">
        <is>
          <t>JÄMTLANDS LÄN</t>
        </is>
      </c>
      <c r="E472" t="inlineStr">
        <is>
          <t>ÖSTERSUND</t>
        </is>
      </c>
      <c r="F472" t="inlineStr">
        <is>
          <t>Övriga Aktiebolag</t>
        </is>
      </c>
      <c r="G472" t="n">
        <v>3.7</v>
      </c>
      <c r="H472" t="n">
        <v>0</v>
      </c>
      <c r="I472" t="n">
        <v>0</v>
      </c>
      <c r="J472" t="n">
        <v>0</v>
      </c>
      <c r="K472" t="n">
        <v>0</v>
      </c>
      <c r="L472" t="n">
        <v>0</v>
      </c>
      <c r="M472" t="n">
        <v>0</v>
      </c>
      <c r="N472" t="n">
        <v>0</v>
      </c>
      <c r="O472" t="n">
        <v>0</v>
      </c>
      <c r="P472" t="n">
        <v>0</v>
      </c>
      <c r="Q472" t="n">
        <v>0</v>
      </c>
      <c r="R472" s="2" t="inlineStr"/>
    </row>
    <row r="473" ht="15" customHeight="1">
      <c r="A473" t="inlineStr">
        <is>
          <t>A 23551-2022</t>
        </is>
      </c>
      <c r="B473" s="1" t="n">
        <v>44721</v>
      </c>
      <c r="C473" s="1" t="n">
        <v>45709</v>
      </c>
      <c r="D473" t="inlineStr">
        <is>
          <t>JÄMTLANDS LÄN</t>
        </is>
      </c>
      <c r="E473" t="inlineStr">
        <is>
          <t>ÖSTERSUND</t>
        </is>
      </c>
      <c r="G473" t="n">
        <v>0.3</v>
      </c>
      <c r="H473" t="n">
        <v>0</v>
      </c>
      <c r="I473" t="n">
        <v>0</v>
      </c>
      <c r="J473" t="n">
        <v>0</v>
      </c>
      <c r="K473" t="n">
        <v>0</v>
      </c>
      <c r="L473" t="n">
        <v>0</v>
      </c>
      <c r="M473" t="n">
        <v>0</v>
      </c>
      <c r="N473" t="n">
        <v>0</v>
      </c>
      <c r="O473" t="n">
        <v>0</v>
      </c>
      <c r="P473" t="n">
        <v>0</v>
      </c>
      <c r="Q473" t="n">
        <v>0</v>
      </c>
      <c r="R473" s="2" t="inlineStr"/>
    </row>
    <row r="474" ht="15" customHeight="1">
      <c r="A474" t="inlineStr">
        <is>
          <t>A 23992-2022</t>
        </is>
      </c>
      <c r="B474" s="1" t="n">
        <v>44722</v>
      </c>
      <c r="C474" s="1" t="n">
        <v>45709</v>
      </c>
      <c r="D474" t="inlineStr">
        <is>
          <t>JÄMTLANDS LÄN</t>
        </is>
      </c>
      <c r="E474" t="inlineStr">
        <is>
          <t>ÖSTERSUND</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23993-2022</t>
        </is>
      </c>
      <c r="B475" s="1" t="n">
        <v>44723</v>
      </c>
      <c r="C475" s="1" t="n">
        <v>45709</v>
      </c>
      <c r="D475" t="inlineStr">
        <is>
          <t>JÄMTLANDS LÄN</t>
        </is>
      </c>
      <c r="E475" t="inlineStr">
        <is>
          <t>ÖSTERSUND</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26321-2022</t>
        </is>
      </c>
      <c r="B476" s="1" t="n">
        <v>44735</v>
      </c>
      <c r="C476" s="1" t="n">
        <v>45709</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26731-2022</t>
        </is>
      </c>
      <c r="B477" s="1" t="n">
        <v>44740</v>
      </c>
      <c r="C477" s="1" t="n">
        <v>45709</v>
      </c>
      <c r="D477" t="inlineStr">
        <is>
          <t>JÄMTLANDS LÄN</t>
        </is>
      </c>
      <c r="E477" t="inlineStr">
        <is>
          <t>ÖSTERSUND</t>
        </is>
      </c>
      <c r="G477" t="n">
        <v>3.1</v>
      </c>
      <c r="H477" t="n">
        <v>0</v>
      </c>
      <c r="I477" t="n">
        <v>0</v>
      </c>
      <c r="J477" t="n">
        <v>0</v>
      </c>
      <c r="K477" t="n">
        <v>0</v>
      </c>
      <c r="L477" t="n">
        <v>0</v>
      </c>
      <c r="M477" t="n">
        <v>0</v>
      </c>
      <c r="N477" t="n">
        <v>0</v>
      </c>
      <c r="O477" t="n">
        <v>0</v>
      </c>
      <c r="P477" t="n">
        <v>0</v>
      </c>
      <c r="Q477" t="n">
        <v>0</v>
      </c>
      <c r="R477" s="2" t="inlineStr"/>
    </row>
    <row r="478" ht="15" customHeight="1">
      <c r="A478" t="inlineStr">
        <is>
          <t>A 27343-2022</t>
        </is>
      </c>
      <c r="B478" s="1" t="n">
        <v>44742</v>
      </c>
      <c r="C478" s="1" t="n">
        <v>45709</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27582-2022</t>
        </is>
      </c>
      <c r="B479" s="1" t="n">
        <v>44743</v>
      </c>
      <c r="C479" s="1" t="n">
        <v>45709</v>
      </c>
      <c r="D479" t="inlineStr">
        <is>
          <t>JÄMTLANDS LÄN</t>
        </is>
      </c>
      <c r="E479" t="inlineStr">
        <is>
          <t>ÖSTERSUND</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27575-2022</t>
        </is>
      </c>
      <c r="B480" s="1" t="n">
        <v>44742</v>
      </c>
      <c r="C480" s="1" t="n">
        <v>45709</v>
      </c>
      <c r="D480" t="inlineStr">
        <is>
          <t>JÄMTLANDS LÄN</t>
        </is>
      </c>
      <c r="E480" t="inlineStr">
        <is>
          <t>ÖSTERSUND</t>
        </is>
      </c>
      <c r="F480" t="inlineStr">
        <is>
          <t>SCA</t>
        </is>
      </c>
      <c r="G480" t="n">
        <v>2.4</v>
      </c>
      <c r="H480" t="n">
        <v>0</v>
      </c>
      <c r="I480" t="n">
        <v>0</v>
      </c>
      <c r="J480" t="n">
        <v>0</v>
      </c>
      <c r="K480" t="n">
        <v>0</v>
      </c>
      <c r="L480" t="n">
        <v>0</v>
      </c>
      <c r="M480" t="n">
        <v>0</v>
      </c>
      <c r="N480" t="n">
        <v>0</v>
      </c>
      <c r="O480" t="n">
        <v>0</v>
      </c>
      <c r="P480" t="n">
        <v>0</v>
      </c>
      <c r="Q480" t="n">
        <v>0</v>
      </c>
      <c r="R480" s="2" t="inlineStr"/>
      <c r="U480">
        <f>HYPERLINK("https://klasma.github.io/Logging_2380/knärot/A 27575-2022 karta knärot.png", "A 27575-2022")</f>
        <v/>
      </c>
      <c r="V480">
        <f>HYPERLINK("https://klasma.github.io/Logging_2380/klagomål/A 27575-2022 FSC-klagomål.docx", "A 27575-2022")</f>
        <v/>
      </c>
      <c r="W480">
        <f>HYPERLINK("https://klasma.github.io/Logging_2380/klagomålsmail/A 27575-2022 FSC-klagomål mail.docx", "A 27575-2022")</f>
        <v/>
      </c>
      <c r="X480">
        <f>HYPERLINK("https://klasma.github.io/Logging_2380/tillsyn/A 27575-2022 tillsynsbegäran.docx", "A 27575-2022")</f>
        <v/>
      </c>
      <c r="Y480">
        <f>HYPERLINK("https://klasma.github.io/Logging_2380/tillsynsmail/A 27575-2022 tillsynsbegäran mail.docx", "A 27575-2022")</f>
        <v/>
      </c>
    </row>
    <row r="481" ht="15" customHeight="1">
      <c r="A481" t="inlineStr">
        <is>
          <t>A 27581-2022</t>
        </is>
      </c>
      <c r="B481" s="1" t="n">
        <v>44742</v>
      </c>
      <c r="C481" s="1" t="n">
        <v>45709</v>
      </c>
      <c r="D481" t="inlineStr">
        <is>
          <t>JÄMTLANDS LÄN</t>
        </is>
      </c>
      <c r="E481" t="inlineStr">
        <is>
          <t>ÖSTERSUND</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27780-2022</t>
        </is>
      </c>
      <c r="B482" s="1" t="n">
        <v>44743</v>
      </c>
      <c r="C482" s="1" t="n">
        <v>45709</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29094-2022</t>
        </is>
      </c>
      <c r="B483" s="1" t="n">
        <v>44750</v>
      </c>
      <c r="C483" s="1" t="n">
        <v>45709</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29128-2022</t>
        </is>
      </c>
      <c r="B484" s="1" t="n">
        <v>44750</v>
      </c>
      <c r="C484" s="1" t="n">
        <v>45709</v>
      </c>
      <c r="D484" t="inlineStr">
        <is>
          <t>JÄMTLANDS LÄN</t>
        </is>
      </c>
      <c r="E484" t="inlineStr">
        <is>
          <t>ÖSTERSUND</t>
        </is>
      </c>
      <c r="G484" t="n">
        <v>3</v>
      </c>
      <c r="H484" t="n">
        <v>0</v>
      </c>
      <c r="I484" t="n">
        <v>0</v>
      </c>
      <c r="J484" t="n">
        <v>0</v>
      </c>
      <c r="K484" t="n">
        <v>0</v>
      </c>
      <c r="L484" t="n">
        <v>0</v>
      </c>
      <c r="M484" t="n">
        <v>0</v>
      </c>
      <c r="N484" t="n">
        <v>0</v>
      </c>
      <c r="O484" t="n">
        <v>0</v>
      </c>
      <c r="P484" t="n">
        <v>0</v>
      </c>
      <c r="Q484" t="n">
        <v>0</v>
      </c>
      <c r="R484" s="2" t="inlineStr"/>
    </row>
    <row r="485" ht="15" customHeight="1">
      <c r="A485" t="inlineStr">
        <is>
          <t>A 29829-2022</t>
        </is>
      </c>
      <c r="B485" s="1" t="n">
        <v>44755</v>
      </c>
      <c r="C485" s="1" t="n">
        <v>45709</v>
      </c>
      <c r="D485" t="inlineStr">
        <is>
          <t>JÄMTLANDS LÄN</t>
        </is>
      </c>
      <c r="E485" t="inlineStr">
        <is>
          <t>ÖSTERSUND</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29828-2022</t>
        </is>
      </c>
      <c r="B486" s="1" t="n">
        <v>44755</v>
      </c>
      <c r="C486" s="1" t="n">
        <v>45709</v>
      </c>
      <c r="D486" t="inlineStr">
        <is>
          <t>JÄMTLANDS LÄN</t>
        </is>
      </c>
      <c r="E486" t="inlineStr">
        <is>
          <t>ÖSTERSUND</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30217-2022</t>
        </is>
      </c>
      <c r="B487" s="1" t="n">
        <v>44758</v>
      </c>
      <c r="C487" s="1" t="n">
        <v>45709</v>
      </c>
      <c r="D487" t="inlineStr">
        <is>
          <t>JÄMTLANDS LÄN</t>
        </is>
      </c>
      <c r="E487" t="inlineStr">
        <is>
          <t>ÖSTERSUND</t>
        </is>
      </c>
      <c r="G487" t="n">
        <v>2.9</v>
      </c>
      <c r="H487" t="n">
        <v>0</v>
      </c>
      <c r="I487" t="n">
        <v>0</v>
      </c>
      <c r="J487" t="n">
        <v>0</v>
      </c>
      <c r="K487" t="n">
        <v>0</v>
      </c>
      <c r="L487" t="n">
        <v>0</v>
      </c>
      <c r="M487" t="n">
        <v>0</v>
      </c>
      <c r="N487" t="n">
        <v>0</v>
      </c>
      <c r="O487" t="n">
        <v>0</v>
      </c>
      <c r="P487" t="n">
        <v>0</v>
      </c>
      <c r="Q487" t="n">
        <v>0</v>
      </c>
      <c r="R487" s="2" t="inlineStr"/>
    </row>
    <row r="488" ht="15" customHeight="1">
      <c r="A488" t="inlineStr">
        <is>
          <t>A 33804-2022</t>
        </is>
      </c>
      <c r="B488" s="1" t="n">
        <v>44790</v>
      </c>
      <c r="C488" s="1" t="n">
        <v>45709</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33808-2022</t>
        </is>
      </c>
      <c r="B489" s="1" t="n">
        <v>44790</v>
      </c>
      <c r="C489" s="1" t="n">
        <v>45709</v>
      </c>
      <c r="D489" t="inlineStr">
        <is>
          <t>JÄMTLANDS LÄN</t>
        </is>
      </c>
      <c r="E489" t="inlineStr">
        <is>
          <t>ÖSTERSUND</t>
        </is>
      </c>
      <c r="G489" t="n">
        <v>4.1</v>
      </c>
      <c r="H489" t="n">
        <v>0</v>
      </c>
      <c r="I489" t="n">
        <v>0</v>
      </c>
      <c r="J489" t="n">
        <v>0</v>
      </c>
      <c r="K489" t="n">
        <v>0</v>
      </c>
      <c r="L489" t="n">
        <v>0</v>
      </c>
      <c r="M489" t="n">
        <v>0</v>
      </c>
      <c r="N489" t="n">
        <v>0</v>
      </c>
      <c r="O489" t="n">
        <v>0</v>
      </c>
      <c r="P489" t="n">
        <v>0</v>
      </c>
      <c r="Q489" t="n">
        <v>0</v>
      </c>
      <c r="R489" s="2" t="inlineStr"/>
    </row>
    <row r="490" ht="15" customHeight="1">
      <c r="A490" t="inlineStr">
        <is>
          <t>A 33813-2022</t>
        </is>
      </c>
      <c r="B490" s="1" t="n">
        <v>44790</v>
      </c>
      <c r="C490" s="1" t="n">
        <v>45709</v>
      </c>
      <c r="D490" t="inlineStr">
        <is>
          <t>JÄMTLANDS LÄN</t>
        </is>
      </c>
      <c r="E490" t="inlineStr">
        <is>
          <t>ÖSTERSUND</t>
        </is>
      </c>
      <c r="G490" t="n">
        <v>7.9</v>
      </c>
      <c r="H490" t="n">
        <v>0</v>
      </c>
      <c r="I490" t="n">
        <v>0</v>
      </c>
      <c r="J490" t="n">
        <v>0</v>
      </c>
      <c r="K490" t="n">
        <v>0</v>
      </c>
      <c r="L490" t="n">
        <v>0</v>
      </c>
      <c r="M490" t="n">
        <v>0</v>
      </c>
      <c r="N490" t="n">
        <v>0</v>
      </c>
      <c r="O490" t="n">
        <v>0</v>
      </c>
      <c r="P490" t="n">
        <v>0</v>
      </c>
      <c r="Q490" t="n">
        <v>0</v>
      </c>
      <c r="R490" s="2" t="inlineStr"/>
    </row>
    <row r="491" ht="15" customHeight="1">
      <c r="A491" t="inlineStr">
        <is>
          <t>A 33786-2022</t>
        </is>
      </c>
      <c r="B491" s="1" t="n">
        <v>44790</v>
      </c>
      <c r="C491" s="1" t="n">
        <v>45709</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33801-2022</t>
        </is>
      </c>
      <c r="B492" s="1" t="n">
        <v>44790</v>
      </c>
      <c r="C492" s="1" t="n">
        <v>45709</v>
      </c>
      <c r="D492" t="inlineStr">
        <is>
          <t>JÄMTLANDS LÄN</t>
        </is>
      </c>
      <c r="E492" t="inlineStr">
        <is>
          <t>ÖSTERSUND</t>
        </is>
      </c>
      <c r="G492" t="n">
        <v>7.6</v>
      </c>
      <c r="H492" t="n">
        <v>0</v>
      </c>
      <c r="I492" t="n">
        <v>0</v>
      </c>
      <c r="J492" t="n">
        <v>0</v>
      </c>
      <c r="K492" t="n">
        <v>0</v>
      </c>
      <c r="L492" t="n">
        <v>0</v>
      </c>
      <c r="M492" t="n">
        <v>0</v>
      </c>
      <c r="N492" t="n">
        <v>0</v>
      </c>
      <c r="O492" t="n">
        <v>0</v>
      </c>
      <c r="P492" t="n">
        <v>0</v>
      </c>
      <c r="Q492" t="n">
        <v>0</v>
      </c>
      <c r="R492" s="2" t="inlineStr"/>
    </row>
    <row r="493" ht="15" customHeight="1">
      <c r="A493" t="inlineStr">
        <is>
          <t>A 35556-2022</t>
        </is>
      </c>
      <c r="B493" s="1" t="n">
        <v>44799</v>
      </c>
      <c r="C493" s="1" t="n">
        <v>45709</v>
      </c>
      <c r="D493" t="inlineStr">
        <is>
          <t>JÄMTLANDS LÄN</t>
        </is>
      </c>
      <c r="E493" t="inlineStr">
        <is>
          <t>ÖSTERSUND</t>
        </is>
      </c>
      <c r="G493" t="n">
        <v>3.6</v>
      </c>
      <c r="H493" t="n">
        <v>0</v>
      </c>
      <c r="I493" t="n">
        <v>0</v>
      </c>
      <c r="J493" t="n">
        <v>0</v>
      </c>
      <c r="K493" t="n">
        <v>0</v>
      </c>
      <c r="L493" t="n">
        <v>0</v>
      </c>
      <c r="M493" t="n">
        <v>0</v>
      </c>
      <c r="N493" t="n">
        <v>0</v>
      </c>
      <c r="O493" t="n">
        <v>0</v>
      </c>
      <c r="P493" t="n">
        <v>0</v>
      </c>
      <c r="Q493" t="n">
        <v>0</v>
      </c>
      <c r="R493" s="2" t="inlineStr"/>
    </row>
    <row r="494" ht="15" customHeight="1">
      <c r="A494" t="inlineStr">
        <is>
          <t>A 39828-2022</t>
        </is>
      </c>
      <c r="B494" s="1" t="n">
        <v>44817</v>
      </c>
      <c r="C494" s="1" t="n">
        <v>45709</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39928-2022</t>
        </is>
      </c>
      <c r="B495" s="1" t="n">
        <v>44819</v>
      </c>
      <c r="C495" s="1" t="n">
        <v>45709</v>
      </c>
      <c r="D495" t="inlineStr">
        <is>
          <t>JÄMTLANDS LÄN</t>
        </is>
      </c>
      <c r="E495" t="inlineStr">
        <is>
          <t>ÖSTERSUND</t>
        </is>
      </c>
      <c r="F495" t="inlineStr">
        <is>
          <t>SCA</t>
        </is>
      </c>
      <c r="G495" t="n">
        <v>8.9</v>
      </c>
      <c r="H495" t="n">
        <v>0</v>
      </c>
      <c r="I495" t="n">
        <v>0</v>
      </c>
      <c r="J495" t="n">
        <v>0</v>
      </c>
      <c r="K495" t="n">
        <v>0</v>
      </c>
      <c r="L495" t="n">
        <v>0</v>
      </c>
      <c r="M495" t="n">
        <v>0</v>
      </c>
      <c r="N495" t="n">
        <v>0</v>
      </c>
      <c r="O495" t="n">
        <v>0</v>
      </c>
      <c r="P495" t="n">
        <v>0</v>
      </c>
      <c r="Q495" t="n">
        <v>0</v>
      </c>
      <c r="R495" s="2" t="inlineStr"/>
    </row>
    <row r="496" ht="15" customHeight="1">
      <c r="A496" t="inlineStr">
        <is>
          <t>A 40885-2022</t>
        </is>
      </c>
      <c r="B496" s="1" t="n">
        <v>44820</v>
      </c>
      <c r="C496" s="1" t="n">
        <v>45709</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43511-2022</t>
        </is>
      </c>
      <c r="B497" s="1" t="n">
        <v>44837</v>
      </c>
      <c r="C497" s="1" t="n">
        <v>45709</v>
      </c>
      <c r="D497" t="inlineStr">
        <is>
          <t>JÄMTLANDS LÄN</t>
        </is>
      </c>
      <c r="E497" t="inlineStr">
        <is>
          <t>ÖSTERSUND</t>
        </is>
      </c>
      <c r="G497" t="n">
        <v>3.7</v>
      </c>
      <c r="H497" t="n">
        <v>0</v>
      </c>
      <c r="I497" t="n">
        <v>0</v>
      </c>
      <c r="J497" t="n">
        <v>0</v>
      </c>
      <c r="K497" t="n">
        <v>0</v>
      </c>
      <c r="L497" t="n">
        <v>0</v>
      </c>
      <c r="M497" t="n">
        <v>0</v>
      </c>
      <c r="N497" t="n">
        <v>0</v>
      </c>
      <c r="O497" t="n">
        <v>0</v>
      </c>
      <c r="P497" t="n">
        <v>0</v>
      </c>
      <c r="Q497" t="n">
        <v>0</v>
      </c>
      <c r="R497" s="2" t="inlineStr"/>
    </row>
    <row r="498" ht="15" customHeight="1">
      <c r="A498" t="inlineStr">
        <is>
          <t>A 43951-2022</t>
        </is>
      </c>
      <c r="B498" s="1" t="n">
        <v>44838</v>
      </c>
      <c r="C498" s="1" t="n">
        <v>45709</v>
      </c>
      <c r="D498" t="inlineStr">
        <is>
          <t>JÄMTLANDS LÄN</t>
        </is>
      </c>
      <c r="E498" t="inlineStr">
        <is>
          <t>ÖSTERSUND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44909-2022</t>
        </is>
      </c>
      <c r="B499" s="1" t="n">
        <v>44840</v>
      </c>
      <c r="C499" s="1" t="n">
        <v>45709</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45004-2022</t>
        </is>
      </c>
      <c r="B500" s="1" t="n">
        <v>44840</v>
      </c>
      <c r="C500" s="1" t="n">
        <v>45709</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45654-2022</t>
        </is>
      </c>
      <c r="B501" s="1" t="n">
        <v>44845</v>
      </c>
      <c r="C501" s="1" t="n">
        <v>45709</v>
      </c>
      <c r="D501" t="inlineStr">
        <is>
          <t>JÄMTLANDS LÄN</t>
        </is>
      </c>
      <c r="E501" t="inlineStr">
        <is>
          <t>ÖSTERSUND</t>
        </is>
      </c>
      <c r="G501" t="n">
        <v>0.4</v>
      </c>
      <c r="H501" t="n">
        <v>0</v>
      </c>
      <c r="I501" t="n">
        <v>0</v>
      </c>
      <c r="J501" t="n">
        <v>0</v>
      </c>
      <c r="K501" t="n">
        <v>0</v>
      </c>
      <c r="L501" t="n">
        <v>0</v>
      </c>
      <c r="M501" t="n">
        <v>0</v>
      </c>
      <c r="N501" t="n">
        <v>0</v>
      </c>
      <c r="O501" t="n">
        <v>0</v>
      </c>
      <c r="P501" t="n">
        <v>0</v>
      </c>
      <c r="Q501" t="n">
        <v>0</v>
      </c>
      <c r="R501" s="2" t="inlineStr"/>
    </row>
    <row r="502" ht="15" customHeight="1">
      <c r="A502" t="inlineStr">
        <is>
          <t>A 46913-2022</t>
        </is>
      </c>
      <c r="B502" s="1" t="n">
        <v>44851</v>
      </c>
      <c r="C502" s="1" t="n">
        <v>45709</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47296-2022</t>
        </is>
      </c>
      <c r="B503" s="1" t="n">
        <v>44853</v>
      </c>
      <c r="C503" s="1" t="n">
        <v>45709</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47294-2022</t>
        </is>
      </c>
      <c r="B504" s="1" t="n">
        <v>44852</v>
      </c>
      <c r="C504" s="1" t="n">
        <v>45709</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47295-2022</t>
        </is>
      </c>
      <c r="B505" s="1" t="n">
        <v>44852</v>
      </c>
      <c r="C505" s="1" t="n">
        <v>45709</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49389-2022</t>
        </is>
      </c>
      <c r="B506" s="1" t="n">
        <v>44861</v>
      </c>
      <c r="C506" s="1" t="n">
        <v>45709</v>
      </c>
      <c r="D506" t="inlineStr">
        <is>
          <t>JÄMTLANDS LÄN</t>
        </is>
      </c>
      <c r="E506" t="inlineStr">
        <is>
          <t>ÖSTERSUND</t>
        </is>
      </c>
      <c r="F506" t="inlineStr">
        <is>
          <t>Övriga Aktiebolag</t>
        </is>
      </c>
      <c r="G506" t="n">
        <v>19.2</v>
      </c>
      <c r="H506" t="n">
        <v>0</v>
      </c>
      <c r="I506" t="n">
        <v>0</v>
      </c>
      <c r="J506" t="n">
        <v>0</v>
      </c>
      <c r="K506" t="n">
        <v>0</v>
      </c>
      <c r="L506" t="n">
        <v>0</v>
      </c>
      <c r="M506" t="n">
        <v>0</v>
      </c>
      <c r="N506" t="n">
        <v>0</v>
      </c>
      <c r="O506" t="n">
        <v>0</v>
      </c>
      <c r="P506" t="n">
        <v>0</v>
      </c>
      <c r="Q506" t="n">
        <v>0</v>
      </c>
      <c r="R506" s="2" t="inlineStr"/>
    </row>
    <row r="507" ht="15" customHeight="1">
      <c r="A507" t="inlineStr">
        <is>
          <t>A 50932-2022</t>
        </is>
      </c>
      <c r="B507" s="1" t="n">
        <v>44867</v>
      </c>
      <c r="C507" s="1" t="n">
        <v>45709</v>
      </c>
      <c r="D507" t="inlineStr">
        <is>
          <t>JÄMTLANDS LÄN</t>
        </is>
      </c>
      <c r="E507" t="inlineStr">
        <is>
          <t>ÖSTERSUND</t>
        </is>
      </c>
      <c r="F507" t="inlineStr">
        <is>
          <t>Övriga Aktiebolag</t>
        </is>
      </c>
      <c r="G507" t="n">
        <v>3.9</v>
      </c>
      <c r="H507" t="n">
        <v>0</v>
      </c>
      <c r="I507" t="n">
        <v>0</v>
      </c>
      <c r="J507" t="n">
        <v>0</v>
      </c>
      <c r="K507" t="n">
        <v>0</v>
      </c>
      <c r="L507" t="n">
        <v>0</v>
      </c>
      <c r="M507" t="n">
        <v>0</v>
      </c>
      <c r="N507" t="n">
        <v>0</v>
      </c>
      <c r="O507" t="n">
        <v>0</v>
      </c>
      <c r="P507" t="n">
        <v>0</v>
      </c>
      <c r="Q507" t="n">
        <v>0</v>
      </c>
      <c r="R507" s="2" t="inlineStr"/>
    </row>
    <row r="508" ht="15" customHeight="1">
      <c r="A508" t="inlineStr">
        <is>
          <t>A 51164-2022</t>
        </is>
      </c>
      <c r="B508" s="1" t="n">
        <v>44868</v>
      </c>
      <c r="C508" s="1" t="n">
        <v>45709</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52155-2022</t>
        </is>
      </c>
      <c r="B509" s="1" t="n">
        <v>44873</v>
      </c>
      <c r="C509" s="1" t="n">
        <v>45709</v>
      </c>
      <c r="D509" t="inlineStr">
        <is>
          <t>JÄMTLANDS LÄN</t>
        </is>
      </c>
      <c r="E509" t="inlineStr">
        <is>
          <t>ÖSTERSUND</t>
        </is>
      </c>
      <c r="F509" t="inlineStr">
        <is>
          <t>Övriga Aktiebolag</t>
        </is>
      </c>
      <c r="G509" t="n">
        <v>3.4</v>
      </c>
      <c r="H509" t="n">
        <v>0</v>
      </c>
      <c r="I509" t="n">
        <v>0</v>
      </c>
      <c r="J509" t="n">
        <v>0</v>
      </c>
      <c r="K509" t="n">
        <v>0</v>
      </c>
      <c r="L509" t="n">
        <v>0</v>
      </c>
      <c r="M509" t="n">
        <v>0</v>
      </c>
      <c r="N509" t="n">
        <v>0</v>
      </c>
      <c r="O509" t="n">
        <v>0</v>
      </c>
      <c r="P509" t="n">
        <v>0</v>
      </c>
      <c r="Q509" t="n">
        <v>0</v>
      </c>
      <c r="R509" s="2" t="inlineStr"/>
    </row>
    <row r="510" ht="15" customHeight="1">
      <c r="A510" t="inlineStr">
        <is>
          <t>A 52898-2022</t>
        </is>
      </c>
      <c r="B510" s="1" t="n">
        <v>44875</v>
      </c>
      <c r="C510" s="1" t="n">
        <v>45709</v>
      </c>
      <c r="D510" t="inlineStr">
        <is>
          <t>JÄMTLANDS LÄN</t>
        </is>
      </c>
      <c r="E510" t="inlineStr">
        <is>
          <t>ÖSTERSUND</t>
        </is>
      </c>
      <c r="F510" t="inlineStr">
        <is>
          <t>Övriga Aktiebolag</t>
        </is>
      </c>
      <c r="G510" t="n">
        <v>12.1</v>
      </c>
      <c r="H510" t="n">
        <v>0</v>
      </c>
      <c r="I510" t="n">
        <v>0</v>
      </c>
      <c r="J510" t="n">
        <v>0</v>
      </c>
      <c r="K510" t="n">
        <v>0</v>
      </c>
      <c r="L510" t="n">
        <v>0</v>
      </c>
      <c r="M510" t="n">
        <v>0</v>
      </c>
      <c r="N510" t="n">
        <v>0</v>
      </c>
      <c r="O510" t="n">
        <v>0</v>
      </c>
      <c r="P510" t="n">
        <v>0</v>
      </c>
      <c r="Q510" t="n">
        <v>0</v>
      </c>
      <c r="R510" s="2" t="inlineStr"/>
    </row>
    <row r="511" ht="15" customHeight="1">
      <c r="A511" t="inlineStr">
        <is>
          <t>A 53802-2022</t>
        </is>
      </c>
      <c r="B511" s="1" t="n">
        <v>44875</v>
      </c>
      <c r="C511" s="1" t="n">
        <v>45709</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53764-2022</t>
        </is>
      </c>
      <c r="B512" s="1" t="n">
        <v>44875</v>
      </c>
      <c r="C512" s="1" t="n">
        <v>45709</v>
      </c>
      <c r="D512" t="inlineStr">
        <is>
          <t>JÄMTLANDS LÄN</t>
        </is>
      </c>
      <c r="E512" t="inlineStr">
        <is>
          <t>ÖSTERSUND</t>
        </is>
      </c>
      <c r="G512" t="n">
        <v>0.2</v>
      </c>
      <c r="H512" t="n">
        <v>0</v>
      </c>
      <c r="I512" t="n">
        <v>0</v>
      </c>
      <c r="J512" t="n">
        <v>0</v>
      </c>
      <c r="K512" t="n">
        <v>0</v>
      </c>
      <c r="L512" t="n">
        <v>0</v>
      </c>
      <c r="M512" t="n">
        <v>0</v>
      </c>
      <c r="N512" t="n">
        <v>0</v>
      </c>
      <c r="O512" t="n">
        <v>0</v>
      </c>
      <c r="P512" t="n">
        <v>0</v>
      </c>
      <c r="Q512" t="n">
        <v>0</v>
      </c>
      <c r="R512" s="2" t="inlineStr"/>
    </row>
    <row r="513" ht="15" customHeight="1">
      <c r="A513" t="inlineStr">
        <is>
          <t>A 53807-2022</t>
        </is>
      </c>
      <c r="B513" s="1" t="n">
        <v>44875</v>
      </c>
      <c r="C513" s="1" t="n">
        <v>45709</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53453-2022</t>
        </is>
      </c>
      <c r="B514" s="1" t="n">
        <v>44879</v>
      </c>
      <c r="C514" s="1" t="n">
        <v>45709</v>
      </c>
      <c r="D514" t="inlineStr">
        <is>
          <t>JÄMTLANDS LÄN</t>
        </is>
      </c>
      <c r="E514" t="inlineStr">
        <is>
          <t>ÖSTERSUND</t>
        </is>
      </c>
      <c r="G514" t="n">
        <v>22.2</v>
      </c>
      <c r="H514" t="n">
        <v>0</v>
      </c>
      <c r="I514" t="n">
        <v>0</v>
      </c>
      <c r="J514" t="n">
        <v>0</v>
      </c>
      <c r="K514" t="n">
        <v>0</v>
      </c>
      <c r="L514" t="n">
        <v>0</v>
      </c>
      <c r="M514" t="n">
        <v>0</v>
      </c>
      <c r="N514" t="n">
        <v>0</v>
      </c>
      <c r="O514" t="n">
        <v>0</v>
      </c>
      <c r="P514" t="n">
        <v>0</v>
      </c>
      <c r="Q514" t="n">
        <v>0</v>
      </c>
      <c r="R514" s="2" t="inlineStr"/>
    </row>
    <row r="515" ht="15" customHeight="1">
      <c r="A515" t="inlineStr">
        <is>
          <t>A 53556-2022</t>
        </is>
      </c>
      <c r="B515" s="1" t="n">
        <v>44879</v>
      </c>
      <c r="C515" s="1" t="n">
        <v>45709</v>
      </c>
      <c r="D515" t="inlineStr">
        <is>
          <t>JÄMTLANDS LÄN</t>
        </is>
      </c>
      <c r="E515" t="inlineStr">
        <is>
          <t>ÖSTERSUND</t>
        </is>
      </c>
      <c r="F515" t="inlineStr">
        <is>
          <t>Övriga Aktiebolag</t>
        </is>
      </c>
      <c r="G515" t="n">
        <v>3.5</v>
      </c>
      <c r="H515" t="n">
        <v>0</v>
      </c>
      <c r="I515" t="n">
        <v>0</v>
      </c>
      <c r="J515" t="n">
        <v>0</v>
      </c>
      <c r="K515" t="n">
        <v>0</v>
      </c>
      <c r="L515" t="n">
        <v>0</v>
      </c>
      <c r="M515" t="n">
        <v>0</v>
      </c>
      <c r="N515" t="n">
        <v>0</v>
      </c>
      <c r="O515" t="n">
        <v>0</v>
      </c>
      <c r="P515" t="n">
        <v>0</v>
      </c>
      <c r="Q515" t="n">
        <v>0</v>
      </c>
      <c r="R515" s="2" t="inlineStr"/>
    </row>
    <row r="516" ht="15" customHeight="1">
      <c r="A516" t="inlineStr">
        <is>
          <t>A 53714-2022</t>
        </is>
      </c>
      <c r="B516" s="1" t="n">
        <v>44880</v>
      </c>
      <c r="C516" s="1" t="n">
        <v>45709</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54712-2022</t>
        </is>
      </c>
      <c r="B517" s="1" t="n">
        <v>44883</v>
      </c>
      <c r="C517" s="1" t="n">
        <v>45709</v>
      </c>
      <c r="D517" t="inlineStr">
        <is>
          <t>JÄMTLANDS LÄN</t>
        </is>
      </c>
      <c r="E517" t="inlineStr">
        <is>
          <t>ÖSTERSUND</t>
        </is>
      </c>
      <c r="F517" t="inlineStr">
        <is>
          <t>Övriga Aktiebolag</t>
        </is>
      </c>
      <c r="G517" t="n">
        <v>1.3</v>
      </c>
      <c r="H517" t="n">
        <v>0</v>
      </c>
      <c r="I517" t="n">
        <v>0</v>
      </c>
      <c r="J517" t="n">
        <v>0</v>
      </c>
      <c r="K517" t="n">
        <v>0</v>
      </c>
      <c r="L517" t="n">
        <v>0</v>
      </c>
      <c r="M517" t="n">
        <v>0</v>
      </c>
      <c r="N517" t="n">
        <v>0</v>
      </c>
      <c r="O517" t="n">
        <v>0</v>
      </c>
      <c r="P517" t="n">
        <v>0</v>
      </c>
      <c r="Q517" t="n">
        <v>0</v>
      </c>
      <c r="R517" s="2" t="inlineStr"/>
    </row>
    <row r="518" ht="15" customHeight="1">
      <c r="A518" t="inlineStr">
        <is>
          <t>A 54663-2022</t>
        </is>
      </c>
      <c r="B518" s="1" t="n">
        <v>44883</v>
      </c>
      <c r="C518" s="1" t="n">
        <v>45709</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55102-2022</t>
        </is>
      </c>
      <c r="B519" s="1" t="n">
        <v>44886</v>
      </c>
      <c r="C519" s="1" t="n">
        <v>45709</v>
      </c>
      <c r="D519" t="inlineStr">
        <is>
          <t>JÄMTLANDS LÄN</t>
        </is>
      </c>
      <c r="E519" t="inlineStr">
        <is>
          <t>ÖSTERSUND</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55008-2022</t>
        </is>
      </c>
      <c r="B520" s="1" t="n">
        <v>44886</v>
      </c>
      <c r="C520" s="1" t="n">
        <v>45709</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55105-2022</t>
        </is>
      </c>
      <c r="B521" s="1" t="n">
        <v>44886</v>
      </c>
      <c r="C521" s="1" t="n">
        <v>45709</v>
      </c>
      <c r="D521" t="inlineStr">
        <is>
          <t>JÄMTLANDS LÄN</t>
        </is>
      </c>
      <c r="E521" t="inlineStr">
        <is>
          <t>ÖSTERSUND</t>
        </is>
      </c>
      <c r="F521" t="inlineStr">
        <is>
          <t>Övriga Aktiebolag</t>
        </is>
      </c>
      <c r="G521" t="n">
        <v>2.4</v>
      </c>
      <c r="H521" t="n">
        <v>0</v>
      </c>
      <c r="I521" t="n">
        <v>0</v>
      </c>
      <c r="J521" t="n">
        <v>0</v>
      </c>
      <c r="K521" t="n">
        <v>0</v>
      </c>
      <c r="L521" t="n">
        <v>0</v>
      </c>
      <c r="M521" t="n">
        <v>0</v>
      </c>
      <c r="N521" t="n">
        <v>0</v>
      </c>
      <c r="O521" t="n">
        <v>0</v>
      </c>
      <c r="P521" t="n">
        <v>0</v>
      </c>
      <c r="Q521" t="n">
        <v>0</v>
      </c>
      <c r="R521" s="2" t="inlineStr"/>
      <c r="U521">
        <f>HYPERLINK("https://klasma.github.io/Logging_2380/knärot/A 55105-2022 karta knärot.png", "A 55105-2022")</f>
        <v/>
      </c>
      <c r="V521">
        <f>HYPERLINK("https://klasma.github.io/Logging_2380/klagomål/A 55105-2022 FSC-klagomål.docx", "A 55105-2022")</f>
        <v/>
      </c>
      <c r="W521">
        <f>HYPERLINK("https://klasma.github.io/Logging_2380/klagomålsmail/A 55105-2022 FSC-klagomål mail.docx", "A 55105-2022")</f>
        <v/>
      </c>
      <c r="X521">
        <f>HYPERLINK("https://klasma.github.io/Logging_2380/tillsyn/A 55105-2022 tillsynsbegäran.docx", "A 55105-2022")</f>
        <v/>
      </c>
      <c r="Y521">
        <f>HYPERLINK("https://klasma.github.io/Logging_2380/tillsynsmail/A 55105-2022 tillsynsbegäran mail.docx", "A 55105-2022")</f>
        <v/>
      </c>
    </row>
    <row r="522" ht="15" customHeight="1">
      <c r="A522" t="inlineStr">
        <is>
          <t>A 55371-2022</t>
        </is>
      </c>
      <c r="B522" s="1" t="n">
        <v>44887</v>
      </c>
      <c r="C522" s="1" t="n">
        <v>45709</v>
      </c>
      <c r="D522" t="inlineStr">
        <is>
          <t>JÄMTLANDS LÄN</t>
        </is>
      </c>
      <c r="E522" t="inlineStr">
        <is>
          <t>ÖSTERSUND</t>
        </is>
      </c>
      <c r="F522" t="inlineStr">
        <is>
          <t>Övriga Aktiebolag</t>
        </is>
      </c>
      <c r="G522" t="n">
        <v>15.4</v>
      </c>
      <c r="H522" t="n">
        <v>0</v>
      </c>
      <c r="I522" t="n">
        <v>0</v>
      </c>
      <c r="J522" t="n">
        <v>0</v>
      </c>
      <c r="K522" t="n">
        <v>0</v>
      </c>
      <c r="L522" t="n">
        <v>0</v>
      </c>
      <c r="M522" t="n">
        <v>0</v>
      </c>
      <c r="N522" t="n">
        <v>0</v>
      </c>
      <c r="O522" t="n">
        <v>0</v>
      </c>
      <c r="P522" t="n">
        <v>0</v>
      </c>
      <c r="Q522" t="n">
        <v>0</v>
      </c>
      <c r="R522" s="2" t="inlineStr"/>
    </row>
    <row r="523" ht="15" customHeight="1">
      <c r="A523" t="inlineStr">
        <is>
          <t>A 55448-2022</t>
        </is>
      </c>
      <c r="B523" s="1" t="n">
        <v>44887</v>
      </c>
      <c r="C523" s="1" t="n">
        <v>45709</v>
      </c>
      <c r="D523" t="inlineStr">
        <is>
          <t>JÄMTLANDS LÄN</t>
        </is>
      </c>
      <c r="E523" t="inlineStr">
        <is>
          <t>ÖSTERSUND</t>
        </is>
      </c>
      <c r="G523" t="n">
        <v>5.2</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v>
      </c>
      <c r="C524" s="1" t="n">
        <v>45709</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56148-2022</t>
        </is>
      </c>
      <c r="B525" s="1" t="n">
        <v>44889</v>
      </c>
      <c r="C525" s="1" t="n">
        <v>45709</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56111-2022</t>
        </is>
      </c>
      <c r="B526" s="1" t="n">
        <v>44889</v>
      </c>
      <c r="C526" s="1" t="n">
        <v>45709</v>
      </c>
      <c r="D526" t="inlineStr">
        <is>
          <t>JÄMTLANDS LÄN</t>
        </is>
      </c>
      <c r="E526" t="inlineStr">
        <is>
          <t>ÖSTERSUND</t>
        </is>
      </c>
      <c r="G526" t="n">
        <v>2.5</v>
      </c>
      <c r="H526" t="n">
        <v>0</v>
      </c>
      <c r="I526" t="n">
        <v>0</v>
      </c>
      <c r="J526" t="n">
        <v>0</v>
      </c>
      <c r="K526" t="n">
        <v>0</v>
      </c>
      <c r="L526" t="n">
        <v>0</v>
      </c>
      <c r="M526" t="n">
        <v>0</v>
      </c>
      <c r="N526" t="n">
        <v>0</v>
      </c>
      <c r="O526" t="n">
        <v>0</v>
      </c>
      <c r="P526" t="n">
        <v>0</v>
      </c>
      <c r="Q526" t="n">
        <v>0</v>
      </c>
      <c r="R526" s="2" t="inlineStr"/>
    </row>
    <row r="527" ht="15" customHeight="1">
      <c r="A527" t="inlineStr">
        <is>
          <t>A 57009-2022</t>
        </is>
      </c>
      <c r="B527" s="1" t="n">
        <v>44894</v>
      </c>
      <c r="C527" s="1" t="n">
        <v>45709</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59266-2022</t>
        </is>
      </c>
      <c r="B528" s="1" t="n">
        <v>44904</v>
      </c>
      <c r="C528" s="1" t="n">
        <v>45709</v>
      </c>
      <c r="D528" t="inlineStr">
        <is>
          <t>JÄMTLANDS LÄN</t>
        </is>
      </c>
      <c r="E528" t="inlineStr">
        <is>
          <t>ÖSTERSUND</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59648-2022</t>
        </is>
      </c>
      <c r="B529" s="1" t="n">
        <v>44907</v>
      </c>
      <c r="C529" s="1" t="n">
        <v>45709</v>
      </c>
      <c r="D529" t="inlineStr">
        <is>
          <t>JÄMTLANDS LÄN</t>
        </is>
      </c>
      <c r="E529" t="inlineStr">
        <is>
          <t>ÖSTERSUND</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59649-2022</t>
        </is>
      </c>
      <c r="B530" s="1" t="n">
        <v>44908</v>
      </c>
      <c r="C530" s="1" t="n">
        <v>45709</v>
      </c>
      <c r="D530" t="inlineStr">
        <is>
          <t>JÄMTLANDS LÄN</t>
        </is>
      </c>
      <c r="E530" t="inlineStr">
        <is>
          <t>ÖSTERSUND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60174-2022</t>
        </is>
      </c>
      <c r="B531" s="1" t="n">
        <v>44910</v>
      </c>
      <c r="C531" s="1" t="n">
        <v>45709</v>
      </c>
      <c r="D531" t="inlineStr">
        <is>
          <t>JÄMTLANDS LÄN</t>
        </is>
      </c>
      <c r="E531" t="inlineStr">
        <is>
          <t>ÖSTERSUND</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61256-2022</t>
        </is>
      </c>
      <c r="B532" s="1" t="n">
        <v>44909</v>
      </c>
      <c r="C532" s="1" t="n">
        <v>45709</v>
      </c>
      <c r="D532" t="inlineStr">
        <is>
          <t>JÄMTLANDS LÄN</t>
        </is>
      </c>
      <c r="E532" t="inlineStr">
        <is>
          <t>ÖSTERSUND</t>
        </is>
      </c>
      <c r="G532" t="n">
        <v>3.9</v>
      </c>
      <c r="H532" t="n">
        <v>0</v>
      </c>
      <c r="I532" t="n">
        <v>0</v>
      </c>
      <c r="J532" t="n">
        <v>0</v>
      </c>
      <c r="K532" t="n">
        <v>0</v>
      </c>
      <c r="L532" t="n">
        <v>0</v>
      </c>
      <c r="M532" t="n">
        <v>0</v>
      </c>
      <c r="N532" t="n">
        <v>0</v>
      </c>
      <c r="O532" t="n">
        <v>0</v>
      </c>
      <c r="P532" t="n">
        <v>0</v>
      </c>
      <c r="Q532" t="n">
        <v>0</v>
      </c>
      <c r="R532" s="2" t="inlineStr"/>
    </row>
    <row r="533" ht="15" customHeight="1">
      <c r="A533" t="inlineStr">
        <is>
          <t>A 60430-2022</t>
        </is>
      </c>
      <c r="B533" s="1" t="n">
        <v>44911</v>
      </c>
      <c r="C533" s="1" t="n">
        <v>45709</v>
      </c>
      <c r="D533" t="inlineStr">
        <is>
          <t>JÄMTLANDS LÄN</t>
        </is>
      </c>
      <c r="E533" t="inlineStr">
        <is>
          <t>ÖSTERSUND</t>
        </is>
      </c>
      <c r="F533" t="inlineStr">
        <is>
          <t>Övriga Aktiebolag</t>
        </is>
      </c>
      <c r="G533" t="n">
        <v>24.2</v>
      </c>
      <c r="H533" t="n">
        <v>0</v>
      </c>
      <c r="I533" t="n">
        <v>0</v>
      </c>
      <c r="J533" t="n">
        <v>0</v>
      </c>
      <c r="K533" t="n">
        <v>0</v>
      </c>
      <c r="L533" t="n">
        <v>0</v>
      </c>
      <c r="M533" t="n">
        <v>0</v>
      </c>
      <c r="N533" t="n">
        <v>0</v>
      </c>
      <c r="O533" t="n">
        <v>0</v>
      </c>
      <c r="P533" t="n">
        <v>0</v>
      </c>
      <c r="Q533" t="n">
        <v>0</v>
      </c>
      <c r="R533" s="2" t="inlineStr"/>
    </row>
    <row r="534" ht="15" customHeight="1">
      <c r="A534" t="inlineStr">
        <is>
          <t>A 60575-2022</t>
        </is>
      </c>
      <c r="B534" s="1" t="n">
        <v>44911</v>
      </c>
      <c r="C534" s="1" t="n">
        <v>45709</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60674-2022</t>
        </is>
      </c>
      <c r="B535" s="1" t="n">
        <v>44911</v>
      </c>
      <c r="C535" s="1" t="n">
        <v>45709</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60677-2022</t>
        </is>
      </c>
      <c r="B536" s="1" t="n">
        <v>44911</v>
      </c>
      <c r="C536" s="1" t="n">
        <v>45709</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60681-2022</t>
        </is>
      </c>
      <c r="B537" s="1" t="n">
        <v>44911</v>
      </c>
      <c r="C537" s="1" t="n">
        <v>45709</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60678-2022</t>
        </is>
      </c>
      <c r="B538" s="1" t="n">
        <v>44911</v>
      </c>
      <c r="C538" s="1" t="n">
        <v>45709</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60560-2022</t>
        </is>
      </c>
      <c r="B539" s="1" t="n">
        <v>44911</v>
      </c>
      <c r="C539" s="1" t="n">
        <v>45709</v>
      </c>
      <c r="D539" t="inlineStr">
        <is>
          <t>JÄMTLANDS LÄN</t>
        </is>
      </c>
      <c r="E539" t="inlineStr">
        <is>
          <t>ÖSTERSUND</t>
        </is>
      </c>
      <c r="G539" t="n">
        <v>0.9</v>
      </c>
      <c r="H539" t="n">
        <v>0</v>
      </c>
      <c r="I539" t="n">
        <v>0</v>
      </c>
      <c r="J539" t="n">
        <v>0</v>
      </c>
      <c r="K539" t="n">
        <v>0</v>
      </c>
      <c r="L539" t="n">
        <v>0</v>
      </c>
      <c r="M539" t="n">
        <v>0</v>
      </c>
      <c r="N539" t="n">
        <v>0</v>
      </c>
      <c r="O539" t="n">
        <v>0</v>
      </c>
      <c r="P539" t="n">
        <v>0</v>
      </c>
      <c r="Q539" t="n">
        <v>0</v>
      </c>
      <c r="R539" s="2" t="inlineStr"/>
    </row>
    <row r="540" ht="15" customHeight="1">
      <c r="A540" t="inlineStr">
        <is>
          <t>A 60676-2022</t>
        </is>
      </c>
      <c r="B540" s="1" t="n">
        <v>44911</v>
      </c>
      <c r="C540" s="1" t="n">
        <v>45709</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60680-2022</t>
        </is>
      </c>
      <c r="B541" s="1" t="n">
        <v>44911</v>
      </c>
      <c r="C541" s="1" t="n">
        <v>45709</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60623-2022</t>
        </is>
      </c>
      <c r="B542" s="1" t="n">
        <v>44911</v>
      </c>
      <c r="C542" s="1" t="n">
        <v>45709</v>
      </c>
      <c r="D542" t="inlineStr">
        <is>
          <t>JÄMTLANDS LÄN</t>
        </is>
      </c>
      <c r="E542" t="inlineStr">
        <is>
          <t>ÖSTERSUND</t>
        </is>
      </c>
      <c r="G542" t="n">
        <v>10.9</v>
      </c>
      <c r="H542" t="n">
        <v>0</v>
      </c>
      <c r="I542" t="n">
        <v>0</v>
      </c>
      <c r="J542" t="n">
        <v>0</v>
      </c>
      <c r="K542" t="n">
        <v>0</v>
      </c>
      <c r="L542" t="n">
        <v>0</v>
      </c>
      <c r="M542" t="n">
        <v>0</v>
      </c>
      <c r="N542" t="n">
        <v>0</v>
      </c>
      <c r="O542" t="n">
        <v>0</v>
      </c>
      <c r="P542" t="n">
        <v>0</v>
      </c>
      <c r="Q542" t="n">
        <v>0</v>
      </c>
      <c r="R542" s="2" t="inlineStr"/>
    </row>
    <row r="543" ht="15" customHeight="1">
      <c r="A543" t="inlineStr">
        <is>
          <t>A 60675-2022</t>
        </is>
      </c>
      <c r="B543" s="1" t="n">
        <v>44911</v>
      </c>
      <c r="C543" s="1" t="n">
        <v>45709</v>
      </c>
      <c r="D543" t="inlineStr">
        <is>
          <t>JÄMTLANDS LÄN</t>
        </is>
      </c>
      <c r="E543" t="inlineStr">
        <is>
          <t>ÖSTERSUND</t>
        </is>
      </c>
      <c r="G543" t="n">
        <v>4.3</v>
      </c>
      <c r="H543" t="n">
        <v>0</v>
      </c>
      <c r="I543" t="n">
        <v>0</v>
      </c>
      <c r="J543" t="n">
        <v>0</v>
      </c>
      <c r="K543" t="n">
        <v>0</v>
      </c>
      <c r="L543" t="n">
        <v>0</v>
      </c>
      <c r="M543" t="n">
        <v>0</v>
      </c>
      <c r="N543" t="n">
        <v>0</v>
      </c>
      <c r="O543" t="n">
        <v>0</v>
      </c>
      <c r="P543" t="n">
        <v>0</v>
      </c>
      <c r="Q543" t="n">
        <v>0</v>
      </c>
      <c r="R543" s="2" t="inlineStr"/>
    </row>
    <row r="544" ht="15" customHeight="1">
      <c r="A544" t="inlineStr">
        <is>
          <t>A 60679-2022</t>
        </is>
      </c>
      <c r="B544" s="1" t="n">
        <v>44911</v>
      </c>
      <c r="C544" s="1" t="n">
        <v>45709</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60767-2022</t>
        </is>
      </c>
      <c r="B545" s="1" t="n">
        <v>44914</v>
      </c>
      <c r="C545" s="1" t="n">
        <v>45709</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61653-2022</t>
        </is>
      </c>
      <c r="B546" s="1" t="n">
        <v>44916</v>
      </c>
      <c r="C546" s="1" t="n">
        <v>45709</v>
      </c>
      <c r="D546" t="inlineStr">
        <is>
          <t>JÄMTLANDS LÄN</t>
        </is>
      </c>
      <c r="E546" t="inlineStr">
        <is>
          <t>ÖSTERSUND</t>
        </is>
      </c>
      <c r="G546" t="n">
        <v>7.6</v>
      </c>
      <c r="H546" t="n">
        <v>0</v>
      </c>
      <c r="I546" t="n">
        <v>0</v>
      </c>
      <c r="J546" t="n">
        <v>0</v>
      </c>
      <c r="K546" t="n">
        <v>0</v>
      </c>
      <c r="L546" t="n">
        <v>0</v>
      </c>
      <c r="M546" t="n">
        <v>0</v>
      </c>
      <c r="N546" t="n">
        <v>0</v>
      </c>
      <c r="O546" t="n">
        <v>0</v>
      </c>
      <c r="P546" t="n">
        <v>0</v>
      </c>
      <c r="Q546" t="n">
        <v>0</v>
      </c>
      <c r="R546" s="2" t="inlineStr"/>
    </row>
    <row r="547" ht="15" customHeight="1">
      <c r="A547" t="inlineStr">
        <is>
          <t>A 62040-2022</t>
        </is>
      </c>
      <c r="B547" s="1" t="n">
        <v>44918</v>
      </c>
      <c r="C547" s="1" t="n">
        <v>45709</v>
      </c>
      <c r="D547" t="inlineStr">
        <is>
          <t>JÄMTLANDS LÄN</t>
        </is>
      </c>
      <c r="E547" t="inlineStr">
        <is>
          <t>ÖSTERSUND</t>
        </is>
      </c>
      <c r="G547" t="n">
        <v>2.6</v>
      </c>
      <c r="H547" t="n">
        <v>0</v>
      </c>
      <c r="I547" t="n">
        <v>0</v>
      </c>
      <c r="J547" t="n">
        <v>0</v>
      </c>
      <c r="K547" t="n">
        <v>0</v>
      </c>
      <c r="L547" t="n">
        <v>0</v>
      </c>
      <c r="M547" t="n">
        <v>0</v>
      </c>
      <c r="N547" t="n">
        <v>0</v>
      </c>
      <c r="O547" t="n">
        <v>0</v>
      </c>
      <c r="P547" t="n">
        <v>0</v>
      </c>
      <c r="Q547" t="n">
        <v>0</v>
      </c>
      <c r="R547" s="2" t="inlineStr"/>
    </row>
    <row r="548" ht="15" customHeight="1">
      <c r="A548" t="inlineStr">
        <is>
          <t>A 62043-2022</t>
        </is>
      </c>
      <c r="B548" s="1" t="n">
        <v>44918</v>
      </c>
      <c r="C548" s="1" t="n">
        <v>45709</v>
      </c>
      <c r="D548" t="inlineStr">
        <is>
          <t>JÄMTLANDS LÄN</t>
        </is>
      </c>
      <c r="E548" t="inlineStr">
        <is>
          <t>ÖSTERSUND</t>
        </is>
      </c>
      <c r="G548" t="n">
        <v>5.2</v>
      </c>
      <c r="H548" t="n">
        <v>0</v>
      </c>
      <c r="I548" t="n">
        <v>0</v>
      </c>
      <c r="J548" t="n">
        <v>0</v>
      </c>
      <c r="K548" t="n">
        <v>0</v>
      </c>
      <c r="L548" t="n">
        <v>0</v>
      </c>
      <c r="M548" t="n">
        <v>0</v>
      </c>
      <c r="N548" t="n">
        <v>0</v>
      </c>
      <c r="O548" t="n">
        <v>0</v>
      </c>
      <c r="P548" t="n">
        <v>0</v>
      </c>
      <c r="Q548" t="n">
        <v>0</v>
      </c>
      <c r="R548" s="2" t="inlineStr"/>
    </row>
    <row r="549" ht="15" customHeight="1">
      <c r="A549" t="inlineStr">
        <is>
          <t>A 62227-2022</t>
        </is>
      </c>
      <c r="B549" s="1" t="n">
        <v>44922</v>
      </c>
      <c r="C549" s="1" t="n">
        <v>45709</v>
      </c>
      <c r="D549" t="inlineStr">
        <is>
          <t>JÄMTLANDS LÄN</t>
        </is>
      </c>
      <c r="E549" t="inlineStr">
        <is>
          <t>ÖSTERSUND</t>
        </is>
      </c>
      <c r="G549" t="n">
        <v>2.2</v>
      </c>
      <c r="H549" t="n">
        <v>0</v>
      </c>
      <c r="I549" t="n">
        <v>0</v>
      </c>
      <c r="J549" t="n">
        <v>0</v>
      </c>
      <c r="K549" t="n">
        <v>0</v>
      </c>
      <c r="L549" t="n">
        <v>0</v>
      </c>
      <c r="M549" t="n">
        <v>0</v>
      </c>
      <c r="N549" t="n">
        <v>0</v>
      </c>
      <c r="O549" t="n">
        <v>0</v>
      </c>
      <c r="P549" t="n">
        <v>0</v>
      </c>
      <c r="Q549" t="n">
        <v>0</v>
      </c>
      <c r="R549" s="2" t="inlineStr"/>
    </row>
    <row r="550" ht="15" customHeight="1">
      <c r="A550" t="inlineStr">
        <is>
          <t>A 62225-2022</t>
        </is>
      </c>
      <c r="B550" s="1" t="n">
        <v>44922</v>
      </c>
      <c r="C550" s="1" t="n">
        <v>45709</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62222-2022</t>
        </is>
      </c>
      <c r="B551" s="1" t="n">
        <v>44922</v>
      </c>
      <c r="C551" s="1" t="n">
        <v>45709</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296-2023</t>
        </is>
      </c>
      <c r="B552" s="1" t="n">
        <v>44922</v>
      </c>
      <c r="C552" s="1" t="n">
        <v>45709</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12-2023</t>
        </is>
      </c>
      <c r="B553" s="1" t="n">
        <v>44927</v>
      </c>
      <c r="C553" s="1" t="n">
        <v>45709</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257-2023</t>
        </is>
      </c>
      <c r="B554" s="1" t="n">
        <v>44928</v>
      </c>
      <c r="C554" s="1" t="n">
        <v>45709</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55-2023</t>
        </is>
      </c>
      <c r="B555" s="1" t="n">
        <v>44928</v>
      </c>
      <c r="C555" s="1" t="n">
        <v>45709</v>
      </c>
      <c r="D555" t="inlineStr">
        <is>
          <t>JÄMTLANDS LÄN</t>
        </is>
      </c>
      <c r="E555" t="inlineStr">
        <is>
          <t>ÖSTERSUND</t>
        </is>
      </c>
      <c r="G555" t="n">
        <v>4</v>
      </c>
      <c r="H555" t="n">
        <v>0</v>
      </c>
      <c r="I555" t="n">
        <v>0</v>
      </c>
      <c r="J555" t="n">
        <v>0</v>
      </c>
      <c r="K555" t="n">
        <v>0</v>
      </c>
      <c r="L555" t="n">
        <v>0</v>
      </c>
      <c r="M555" t="n">
        <v>0</v>
      </c>
      <c r="N555" t="n">
        <v>0</v>
      </c>
      <c r="O555" t="n">
        <v>0</v>
      </c>
      <c r="P555" t="n">
        <v>0</v>
      </c>
      <c r="Q555" t="n">
        <v>0</v>
      </c>
      <c r="R555" s="2" t="inlineStr"/>
    </row>
    <row r="556" ht="15" customHeight="1">
      <c r="A556" t="inlineStr">
        <is>
          <t>A 1234-2023</t>
        </is>
      </c>
      <c r="B556" s="1" t="n">
        <v>44936</v>
      </c>
      <c r="C556" s="1" t="n">
        <v>45709</v>
      </c>
      <c r="D556" t="inlineStr">
        <is>
          <t>JÄMTLANDS LÄN</t>
        </is>
      </c>
      <c r="E556" t="inlineStr">
        <is>
          <t>ÖSTERSUND</t>
        </is>
      </c>
      <c r="G556" t="n">
        <v>2.3</v>
      </c>
      <c r="H556" t="n">
        <v>0</v>
      </c>
      <c r="I556" t="n">
        <v>0</v>
      </c>
      <c r="J556" t="n">
        <v>0</v>
      </c>
      <c r="K556" t="n">
        <v>0</v>
      </c>
      <c r="L556" t="n">
        <v>0</v>
      </c>
      <c r="M556" t="n">
        <v>0</v>
      </c>
      <c r="N556" t="n">
        <v>0</v>
      </c>
      <c r="O556" t="n">
        <v>0</v>
      </c>
      <c r="P556" t="n">
        <v>0</v>
      </c>
      <c r="Q556" t="n">
        <v>0</v>
      </c>
      <c r="R556" s="2" t="inlineStr"/>
    </row>
    <row r="557" ht="15" customHeight="1">
      <c r="A557" t="inlineStr">
        <is>
          <t>A 1893-2023</t>
        </is>
      </c>
      <c r="B557" s="1" t="n">
        <v>44937</v>
      </c>
      <c r="C557" s="1" t="n">
        <v>45709</v>
      </c>
      <c r="D557" t="inlineStr">
        <is>
          <t>JÄMTLANDS LÄN</t>
        </is>
      </c>
      <c r="E557" t="inlineStr">
        <is>
          <t>ÖSTERSUND</t>
        </is>
      </c>
      <c r="G557" t="n">
        <v>11</v>
      </c>
      <c r="H557" t="n">
        <v>0</v>
      </c>
      <c r="I557" t="n">
        <v>0</v>
      </c>
      <c r="J557" t="n">
        <v>0</v>
      </c>
      <c r="K557" t="n">
        <v>0</v>
      </c>
      <c r="L557" t="n">
        <v>0</v>
      </c>
      <c r="M557" t="n">
        <v>0</v>
      </c>
      <c r="N557" t="n">
        <v>0</v>
      </c>
      <c r="O557" t="n">
        <v>0</v>
      </c>
      <c r="P557" t="n">
        <v>0</v>
      </c>
      <c r="Q557" t="n">
        <v>0</v>
      </c>
      <c r="R557" s="2" t="inlineStr"/>
    </row>
    <row r="558" ht="15" customHeight="1">
      <c r="A558" t="inlineStr">
        <is>
          <t>A 2420-2023</t>
        </is>
      </c>
      <c r="B558" s="1" t="n">
        <v>44943</v>
      </c>
      <c r="C558" s="1" t="n">
        <v>45709</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3339-2023</t>
        </is>
      </c>
      <c r="B559" s="1" t="n">
        <v>44949</v>
      </c>
      <c r="C559" s="1" t="n">
        <v>45709</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3749-2023</t>
        </is>
      </c>
      <c r="B560" s="1" t="n">
        <v>44949</v>
      </c>
      <c r="C560" s="1" t="n">
        <v>45709</v>
      </c>
      <c r="D560" t="inlineStr">
        <is>
          <t>JÄMTLANDS LÄN</t>
        </is>
      </c>
      <c r="E560" t="inlineStr">
        <is>
          <t>ÖSTERSUND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3949-2023</t>
        </is>
      </c>
      <c r="B561" s="1" t="n">
        <v>44950</v>
      </c>
      <c r="C561" s="1" t="n">
        <v>45709</v>
      </c>
      <c r="D561" t="inlineStr">
        <is>
          <t>JÄMTLANDS LÄN</t>
        </is>
      </c>
      <c r="E561" t="inlineStr">
        <is>
          <t>ÖSTERSUND</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4134-2023</t>
        </is>
      </c>
      <c r="B562" s="1" t="n">
        <v>44952</v>
      </c>
      <c r="C562" s="1" t="n">
        <v>45709</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4135-2023</t>
        </is>
      </c>
      <c r="B563" s="1" t="n">
        <v>44952</v>
      </c>
      <c r="C563" s="1" t="n">
        <v>45709</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4136-2023</t>
        </is>
      </c>
      <c r="B564" s="1" t="n">
        <v>44952</v>
      </c>
      <c r="C564" s="1" t="n">
        <v>45709</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4345-2023</t>
        </is>
      </c>
      <c r="B565" s="1" t="n">
        <v>44954</v>
      </c>
      <c r="C565" s="1" t="n">
        <v>45709</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5197-2023</t>
        </is>
      </c>
      <c r="B566" s="1" t="n">
        <v>44953</v>
      </c>
      <c r="C566" s="1" t="n">
        <v>45709</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4872-2023</t>
        </is>
      </c>
      <c r="B567" s="1" t="n">
        <v>44957</v>
      </c>
      <c r="C567" s="1" t="n">
        <v>45709</v>
      </c>
      <c r="D567" t="inlineStr">
        <is>
          <t>JÄMTLANDS LÄN</t>
        </is>
      </c>
      <c r="E567" t="inlineStr">
        <is>
          <t>ÖSTERSUND</t>
        </is>
      </c>
      <c r="G567" t="n">
        <v>10.7</v>
      </c>
      <c r="H567" t="n">
        <v>0</v>
      </c>
      <c r="I567" t="n">
        <v>0</v>
      </c>
      <c r="J567" t="n">
        <v>0</v>
      </c>
      <c r="K567" t="n">
        <v>0</v>
      </c>
      <c r="L567" t="n">
        <v>0</v>
      </c>
      <c r="M567" t="n">
        <v>0</v>
      </c>
      <c r="N567" t="n">
        <v>0</v>
      </c>
      <c r="O567" t="n">
        <v>0</v>
      </c>
      <c r="P567" t="n">
        <v>0</v>
      </c>
      <c r="Q567" t="n">
        <v>0</v>
      </c>
      <c r="R567" s="2" t="inlineStr"/>
    </row>
    <row r="568" ht="15" customHeight="1">
      <c r="A568" t="inlineStr">
        <is>
          <t>A 5951-2023</t>
        </is>
      </c>
      <c r="B568" s="1" t="n">
        <v>44963</v>
      </c>
      <c r="C568" s="1" t="n">
        <v>45709</v>
      </c>
      <c r="D568" t="inlineStr">
        <is>
          <t>JÄMTLANDS LÄN</t>
        </is>
      </c>
      <c r="E568" t="inlineStr">
        <is>
          <t>ÖSTERSUND</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5950-2023</t>
        </is>
      </c>
      <c r="B569" s="1" t="n">
        <v>44963</v>
      </c>
      <c r="C569" s="1" t="n">
        <v>45709</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6341-2023</t>
        </is>
      </c>
      <c r="B570" s="1" t="n">
        <v>44965</v>
      </c>
      <c r="C570" s="1" t="n">
        <v>45709</v>
      </c>
      <c r="D570" t="inlineStr">
        <is>
          <t>JÄMTLANDS LÄN</t>
        </is>
      </c>
      <c r="E570" t="inlineStr">
        <is>
          <t>ÖSTERSUND</t>
        </is>
      </c>
      <c r="G570" t="n">
        <v>6</v>
      </c>
      <c r="H570" t="n">
        <v>0</v>
      </c>
      <c r="I570" t="n">
        <v>0</v>
      </c>
      <c r="J570" t="n">
        <v>0</v>
      </c>
      <c r="K570" t="n">
        <v>0</v>
      </c>
      <c r="L570" t="n">
        <v>0</v>
      </c>
      <c r="M570" t="n">
        <v>0</v>
      </c>
      <c r="N570" t="n">
        <v>0</v>
      </c>
      <c r="O570" t="n">
        <v>0</v>
      </c>
      <c r="P570" t="n">
        <v>0</v>
      </c>
      <c r="Q570" t="n">
        <v>0</v>
      </c>
      <c r="R570" s="2" t="inlineStr"/>
    </row>
    <row r="571" ht="15" customHeight="1">
      <c r="A571" t="inlineStr">
        <is>
          <t>A 7327-2023</t>
        </is>
      </c>
      <c r="B571" s="1" t="n">
        <v>44971</v>
      </c>
      <c r="C571" s="1" t="n">
        <v>45709</v>
      </c>
      <c r="D571" t="inlineStr">
        <is>
          <t>JÄMTLANDS LÄN</t>
        </is>
      </c>
      <c r="E571" t="inlineStr">
        <is>
          <t>ÖSTERSUND</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7983-2023</t>
        </is>
      </c>
      <c r="B572" s="1" t="n">
        <v>44970</v>
      </c>
      <c r="C572" s="1" t="n">
        <v>45709</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8223-2023</t>
        </is>
      </c>
      <c r="B573" s="1" t="n">
        <v>44971</v>
      </c>
      <c r="C573" s="1" t="n">
        <v>45709</v>
      </c>
      <c r="D573" t="inlineStr">
        <is>
          <t>JÄMTLANDS LÄN</t>
        </is>
      </c>
      <c r="E573" t="inlineStr">
        <is>
          <t>ÖSTERSUND</t>
        </is>
      </c>
      <c r="G573" t="n">
        <v>7.6</v>
      </c>
      <c r="H573" t="n">
        <v>0</v>
      </c>
      <c r="I573" t="n">
        <v>0</v>
      </c>
      <c r="J573" t="n">
        <v>0</v>
      </c>
      <c r="K573" t="n">
        <v>0</v>
      </c>
      <c r="L573" t="n">
        <v>0</v>
      </c>
      <c r="M573" t="n">
        <v>0</v>
      </c>
      <c r="N573" t="n">
        <v>0</v>
      </c>
      <c r="O573" t="n">
        <v>0</v>
      </c>
      <c r="P573" t="n">
        <v>0</v>
      </c>
      <c r="Q573" t="n">
        <v>0</v>
      </c>
      <c r="R573" s="2" t="inlineStr"/>
    </row>
    <row r="574" ht="15" customHeight="1">
      <c r="A574" t="inlineStr">
        <is>
          <t>A 8423-2023</t>
        </is>
      </c>
      <c r="B574" s="1" t="n">
        <v>44977</v>
      </c>
      <c r="C574" s="1" t="n">
        <v>45709</v>
      </c>
      <c r="D574" t="inlineStr">
        <is>
          <t>JÄMTLANDS LÄN</t>
        </is>
      </c>
      <c r="E574" t="inlineStr">
        <is>
          <t>ÖSTERSUND</t>
        </is>
      </c>
      <c r="F574" t="inlineStr">
        <is>
          <t>Övriga Aktiebolag</t>
        </is>
      </c>
      <c r="G574" t="n">
        <v>53.1</v>
      </c>
      <c r="H574" t="n">
        <v>0</v>
      </c>
      <c r="I574" t="n">
        <v>0</v>
      </c>
      <c r="J574" t="n">
        <v>0</v>
      </c>
      <c r="K574" t="n">
        <v>0</v>
      </c>
      <c r="L574" t="n">
        <v>0</v>
      </c>
      <c r="M574" t="n">
        <v>0</v>
      </c>
      <c r="N574" t="n">
        <v>0</v>
      </c>
      <c r="O574" t="n">
        <v>0</v>
      </c>
      <c r="P574" t="n">
        <v>0</v>
      </c>
      <c r="Q574" t="n">
        <v>0</v>
      </c>
      <c r="R574" s="2" t="inlineStr"/>
    </row>
    <row r="575" ht="15" customHeight="1">
      <c r="A575" t="inlineStr">
        <is>
          <t>A 8675-2023</t>
        </is>
      </c>
      <c r="B575" s="1" t="n">
        <v>44978</v>
      </c>
      <c r="C575" s="1" t="n">
        <v>45709</v>
      </c>
      <c r="D575" t="inlineStr">
        <is>
          <t>JÄMTLANDS LÄN</t>
        </is>
      </c>
      <c r="E575" t="inlineStr">
        <is>
          <t>ÖSTERSUND</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10306-2023</t>
        </is>
      </c>
      <c r="B576" s="1" t="n">
        <v>44986</v>
      </c>
      <c r="C576" s="1" t="n">
        <v>45709</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10308-2023</t>
        </is>
      </c>
      <c r="B577" s="1" t="n">
        <v>44986</v>
      </c>
      <c r="C577" s="1" t="n">
        <v>45709</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10307-2023</t>
        </is>
      </c>
      <c r="B578" s="1" t="n">
        <v>44986</v>
      </c>
      <c r="C578" s="1" t="n">
        <v>45709</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10315-2023</t>
        </is>
      </c>
      <c r="B579" s="1" t="n">
        <v>44986</v>
      </c>
      <c r="C579" s="1" t="n">
        <v>45709</v>
      </c>
      <c r="D579" t="inlineStr">
        <is>
          <t>JÄMTLANDS LÄN</t>
        </is>
      </c>
      <c r="E579" t="inlineStr">
        <is>
          <t>ÖSTERSUND</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10305-2023</t>
        </is>
      </c>
      <c r="B580" s="1" t="n">
        <v>44986</v>
      </c>
      <c r="C580" s="1" t="n">
        <v>45709</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11356-2023</t>
        </is>
      </c>
      <c r="B581" s="1" t="n">
        <v>44993</v>
      </c>
      <c r="C581" s="1" t="n">
        <v>45709</v>
      </c>
      <c r="D581" t="inlineStr">
        <is>
          <t>JÄMTLANDS LÄN</t>
        </is>
      </c>
      <c r="E581" t="inlineStr">
        <is>
          <t>ÖSTERSUND</t>
        </is>
      </c>
      <c r="G581" t="n">
        <v>8.1</v>
      </c>
      <c r="H581" t="n">
        <v>0</v>
      </c>
      <c r="I581" t="n">
        <v>0</v>
      </c>
      <c r="J581" t="n">
        <v>0</v>
      </c>
      <c r="K581" t="n">
        <v>0</v>
      </c>
      <c r="L581" t="n">
        <v>0</v>
      </c>
      <c r="M581" t="n">
        <v>0</v>
      </c>
      <c r="N581" t="n">
        <v>0</v>
      </c>
      <c r="O581" t="n">
        <v>0</v>
      </c>
      <c r="P581" t="n">
        <v>0</v>
      </c>
      <c r="Q581" t="n">
        <v>0</v>
      </c>
      <c r="R581" s="2" t="inlineStr"/>
    </row>
    <row r="582" ht="15" customHeight="1">
      <c r="A582" t="inlineStr">
        <is>
          <t>A 12821-2023</t>
        </is>
      </c>
      <c r="B582" s="1" t="n">
        <v>45000</v>
      </c>
      <c r="C582" s="1" t="n">
        <v>45709</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13166-2023</t>
        </is>
      </c>
      <c r="B583" s="1" t="n">
        <v>45002</v>
      </c>
      <c r="C583" s="1" t="n">
        <v>45709</v>
      </c>
      <c r="D583" t="inlineStr">
        <is>
          <t>JÄMTLANDS LÄN</t>
        </is>
      </c>
      <c r="E583" t="inlineStr">
        <is>
          <t>ÖSTERSUND</t>
        </is>
      </c>
      <c r="F583" t="inlineStr">
        <is>
          <t>Övriga statliga verk och myndigheter</t>
        </is>
      </c>
      <c r="G583" t="n">
        <v>1</v>
      </c>
      <c r="H583" t="n">
        <v>0</v>
      </c>
      <c r="I583" t="n">
        <v>0</v>
      </c>
      <c r="J583" t="n">
        <v>0</v>
      </c>
      <c r="K583" t="n">
        <v>0</v>
      </c>
      <c r="L583" t="n">
        <v>0</v>
      </c>
      <c r="M583" t="n">
        <v>0</v>
      </c>
      <c r="N583" t="n">
        <v>0</v>
      </c>
      <c r="O583" t="n">
        <v>0</v>
      </c>
      <c r="P583" t="n">
        <v>0</v>
      </c>
      <c r="Q583" t="n">
        <v>0</v>
      </c>
      <c r="R583" s="2" t="inlineStr"/>
    </row>
    <row r="584" ht="15" customHeight="1">
      <c r="A584" t="inlineStr">
        <is>
          <t>A 13148-2023</t>
        </is>
      </c>
      <c r="B584" s="1" t="n">
        <v>45002</v>
      </c>
      <c r="C584" s="1" t="n">
        <v>45709</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13152-2023</t>
        </is>
      </c>
      <c r="B585" s="1" t="n">
        <v>45002</v>
      </c>
      <c r="C585" s="1" t="n">
        <v>45709</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13282-2023</t>
        </is>
      </c>
      <c r="B586" s="1" t="n">
        <v>45004</v>
      </c>
      <c r="C586" s="1" t="n">
        <v>45709</v>
      </c>
      <c r="D586" t="inlineStr">
        <is>
          <t>JÄMTLANDS LÄN</t>
        </is>
      </c>
      <c r="E586" t="inlineStr">
        <is>
          <t>ÖSTERSUND</t>
        </is>
      </c>
      <c r="G586" t="n">
        <v>28.5</v>
      </c>
      <c r="H586" t="n">
        <v>0</v>
      </c>
      <c r="I586" t="n">
        <v>0</v>
      </c>
      <c r="J586" t="n">
        <v>0</v>
      </c>
      <c r="K586" t="n">
        <v>0</v>
      </c>
      <c r="L586" t="n">
        <v>0</v>
      </c>
      <c r="M586" t="n">
        <v>0</v>
      </c>
      <c r="N586" t="n">
        <v>0</v>
      </c>
      <c r="O586" t="n">
        <v>0</v>
      </c>
      <c r="P586" t="n">
        <v>0</v>
      </c>
      <c r="Q586" t="n">
        <v>0</v>
      </c>
      <c r="R586" s="2" t="inlineStr"/>
    </row>
    <row r="587" ht="15" customHeight="1">
      <c r="A587" t="inlineStr">
        <is>
          <t>A 13921-2023</t>
        </is>
      </c>
      <c r="B587" s="1" t="n">
        <v>45008</v>
      </c>
      <c r="C587" s="1" t="n">
        <v>45709</v>
      </c>
      <c r="D587" t="inlineStr">
        <is>
          <t>JÄMTLANDS LÄN</t>
        </is>
      </c>
      <c r="E587" t="inlineStr">
        <is>
          <t>ÖSTERSUND</t>
        </is>
      </c>
      <c r="G587" t="n">
        <v>0.3</v>
      </c>
      <c r="H587" t="n">
        <v>0</v>
      </c>
      <c r="I587" t="n">
        <v>0</v>
      </c>
      <c r="J587" t="n">
        <v>0</v>
      </c>
      <c r="K587" t="n">
        <v>0</v>
      </c>
      <c r="L587" t="n">
        <v>0</v>
      </c>
      <c r="M587" t="n">
        <v>0</v>
      </c>
      <c r="N587" t="n">
        <v>0</v>
      </c>
      <c r="O587" t="n">
        <v>0</v>
      </c>
      <c r="P587" t="n">
        <v>0</v>
      </c>
      <c r="Q587" t="n">
        <v>0</v>
      </c>
      <c r="R587" s="2" t="inlineStr"/>
    </row>
    <row r="588" ht="15" customHeight="1">
      <c r="A588" t="inlineStr">
        <is>
          <t>A 14520-2023</t>
        </is>
      </c>
      <c r="B588" s="1" t="n">
        <v>45012</v>
      </c>
      <c r="C588" s="1" t="n">
        <v>45709</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14523-2023</t>
        </is>
      </c>
      <c r="B589" s="1" t="n">
        <v>45012</v>
      </c>
      <c r="C589" s="1" t="n">
        <v>45709</v>
      </c>
      <c r="D589" t="inlineStr">
        <is>
          <t>JÄMTLANDS LÄN</t>
        </is>
      </c>
      <c r="E589" t="inlineStr">
        <is>
          <t>ÖSTERSUND</t>
        </is>
      </c>
      <c r="G589" t="n">
        <v>4.5</v>
      </c>
      <c r="H589" t="n">
        <v>0</v>
      </c>
      <c r="I589" t="n">
        <v>0</v>
      </c>
      <c r="J589" t="n">
        <v>0</v>
      </c>
      <c r="K589" t="n">
        <v>0</v>
      </c>
      <c r="L589" t="n">
        <v>0</v>
      </c>
      <c r="M589" t="n">
        <v>0</v>
      </c>
      <c r="N589" t="n">
        <v>0</v>
      </c>
      <c r="O589" t="n">
        <v>0</v>
      </c>
      <c r="P589" t="n">
        <v>0</v>
      </c>
      <c r="Q589" t="n">
        <v>0</v>
      </c>
      <c r="R589" s="2" t="inlineStr"/>
    </row>
    <row r="590" ht="15" customHeight="1">
      <c r="A590" t="inlineStr">
        <is>
          <t>A 14521-2023</t>
        </is>
      </c>
      <c r="B590" s="1" t="n">
        <v>45013</v>
      </c>
      <c r="C590" s="1" t="n">
        <v>45709</v>
      </c>
      <c r="D590" t="inlineStr">
        <is>
          <t>JÄMTLANDS LÄN</t>
        </is>
      </c>
      <c r="E590" t="inlineStr">
        <is>
          <t>ÖSTERSUND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14518-2023</t>
        </is>
      </c>
      <c r="B591" s="1" t="n">
        <v>45012</v>
      </c>
      <c r="C591" s="1" t="n">
        <v>45709</v>
      </c>
      <c r="D591" t="inlineStr">
        <is>
          <t>JÄMTLANDS LÄN</t>
        </is>
      </c>
      <c r="E591" t="inlineStr">
        <is>
          <t>ÖSTERSUND</t>
        </is>
      </c>
      <c r="G591" t="n">
        <v>14.4</v>
      </c>
      <c r="H591" t="n">
        <v>0</v>
      </c>
      <c r="I591" t="n">
        <v>0</v>
      </c>
      <c r="J591" t="n">
        <v>0</v>
      </c>
      <c r="K591" t="n">
        <v>0</v>
      </c>
      <c r="L591" t="n">
        <v>0</v>
      </c>
      <c r="M591" t="n">
        <v>0</v>
      </c>
      <c r="N591" t="n">
        <v>0</v>
      </c>
      <c r="O591" t="n">
        <v>0</v>
      </c>
      <c r="P591" t="n">
        <v>0</v>
      </c>
      <c r="Q591" t="n">
        <v>0</v>
      </c>
      <c r="R591" s="2" t="inlineStr"/>
    </row>
    <row r="592" ht="15" customHeight="1">
      <c r="A592" t="inlineStr">
        <is>
          <t>A 15984-2023</t>
        </is>
      </c>
      <c r="B592" s="1" t="n">
        <v>45022</v>
      </c>
      <c r="C592" s="1" t="n">
        <v>45709</v>
      </c>
      <c r="D592" t="inlineStr">
        <is>
          <t>JÄMTLANDS LÄN</t>
        </is>
      </c>
      <c r="E592" t="inlineStr">
        <is>
          <t>ÖSTERSUND</t>
        </is>
      </c>
      <c r="F592" t="inlineStr">
        <is>
          <t>SCA</t>
        </is>
      </c>
      <c r="G592" t="n">
        <v>10.1</v>
      </c>
      <c r="H592" t="n">
        <v>0</v>
      </c>
      <c r="I592" t="n">
        <v>0</v>
      </c>
      <c r="J592" t="n">
        <v>0</v>
      </c>
      <c r="K592" t="n">
        <v>0</v>
      </c>
      <c r="L592" t="n">
        <v>0</v>
      </c>
      <c r="M592" t="n">
        <v>0</v>
      </c>
      <c r="N592" t="n">
        <v>0</v>
      </c>
      <c r="O592" t="n">
        <v>0</v>
      </c>
      <c r="P592" t="n">
        <v>0</v>
      </c>
      <c r="Q592" t="n">
        <v>0</v>
      </c>
      <c r="R592" s="2" t="inlineStr"/>
    </row>
    <row r="593" ht="15" customHeight="1">
      <c r="A593" t="inlineStr">
        <is>
          <t>A 16666-2023</t>
        </is>
      </c>
      <c r="B593" s="1" t="n">
        <v>45028</v>
      </c>
      <c r="C593" s="1" t="n">
        <v>45709</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16682-2023</t>
        </is>
      </c>
      <c r="B594" s="1" t="n">
        <v>45028</v>
      </c>
      <c r="C594" s="1" t="n">
        <v>45709</v>
      </c>
      <c r="D594" t="inlineStr">
        <is>
          <t>JÄMTLANDS LÄN</t>
        </is>
      </c>
      <c r="E594" t="inlineStr">
        <is>
          <t>ÖSTERSUND</t>
        </is>
      </c>
      <c r="G594" t="n">
        <v>7.9</v>
      </c>
      <c r="H594" t="n">
        <v>0</v>
      </c>
      <c r="I594" t="n">
        <v>0</v>
      </c>
      <c r="J594" t="n">
        <v>0</v>
      </c>
      <c r="K594" t="n">
        <v>0</v>
      </c>
      <c r="L594" t="n">
        <v>0</v>
      </c>
      <c r="M594" t="n">
        <v>0</v>
      </c>
      <c r="N594" t="n">
        <v>0</v>
      </c>
      <c r="O594" t="n">
        <v>0</v>
      </c>
      <c r="P594" t="n">
        <v>0</v>
      </c>
      <c r="Q594" t="n">
        <v>0</v>
      </c>
      <c r="R594" s="2" t="inlineStr"/>
    </row>
    <row r="595" ht="15" customHeight="1">
      <c r="A595" t="inlineStr">
        <is>
          <t>A 17225-2023</t>
        </is>
      </c>
      <c r="B595" s="1" t="n">
        <v>45035</v>
      </c>
      <c r="C595" s="1" t="n">
        <v>45709</v>
      </c>
      <c r="D595" t="inlineStr">
        <is>
          <t>JÄMTLANDS LÄN</t>
        </is>
      </c>
      <c r="E595" t="inlineStr">
        <is>
          <t>ÖSTERSUND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19573-2023</t>
        </is>
      </c>
      <c r="B596" s="1" t="n">
        <v>45049</v>
      </c>
      <c r="C596" s="1" t="n">
        <v>45709</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19750-2023</t>
        </is>
      </c>
      <c r="B597" s="1" t="n">
        <v>45050</v>
      </c>
      <c r="C597" s="1" t="n">
        <v>45709</v>
      </c>
      <c r="D597" t="inlineStr">
        <is>
          <t>JÄMTLANDS LÄN</t>
        </is>
      </c>
      <c r="E597" t="inlineStr">
        <is>
          <t>ÖSTERSUND</t>
        </is>
      </c>
      <c r="G597" t="n">
        <v>3.2</v>
      </c>
      <c r="H597" t="n">
        <v>0</v>
      </c>
      <c r="I597" t="n">
        <v>0</v>
      </c>
      <c r="J597" t="n">
        <v>0</v>
      </c>
      <c r="K597" t="n">
        <v>0</v>
      </c>
      <c r="L597" t="n">
        <v>0</v>
      </c>
      <c r="M597" t="n">
        <v>0</v>
      </c>
      <c r="N597" t="n">
        <v>0</v>
      </c>
      <c r="O597" t="n">
        <v>0</v>
      </c>
      <c r="P597" t="n">
        <v>0</v>
      </c>
      <c r="Q597" t="n">
        <v>0</v>
      </c>
      <c r="R597" s="2" t="inlineStr"/>
    </row>
    <row r="598" ht="15" customHeight="1">
      <c r="A598" t="inlineStr">
        <is>
          <t>A 20606-2023</t>
        </is>
      </c>
      <c r="B598" s="1" t="n">
        <v>45057</v>
      </c>
      <c r="C598" s="1" t="n">
        <v>45709</v>
      </c>
      <c r="D598" t="inlineStr">
        <is>
          <t>JÄMTLANDS LÄN</t>
        </is>
      </c>
      <c r="E598" t="inlineStr">
        <is>
          <t>ÖSTERSUND</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20634-2023</t>
        </is>
      </c>
      <c r="B599" s="1" t="n">
        <v>45058</v>
      </c>
      <c r="C599" s="1" t="n">
        <v>45709</v>
      </c>
      <c r="D599" t="inlineStr">
        <is>
          <t>JÄMTLANDS LÄN</t>
        </is>
      </c>
      <c r="E599" t="inlineStr">
        <is>
          <t>ÖSTERSUND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20588-2023</t>
        </is>
      </c>
      <c r="B600" s="1" t="n">
        <v>45057</v>
      </c>
      <c r="C600" s="1" t="n">
        <v>45709</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20635-2023</t>
        </is>
      </c>
      <c r="B601" s="1" t="n">
        <v>45058</v>
      </c>
      <c r="C601" s="1" t="n">
        <v>45709</v>
      </c>
      <c r="D601" t="inlineStr">
        <is>
          <t>JÄMTLANDS LÄN</t>
        </is>
      </c>
      <c r="E601" t="inlineStr">
        <is>
          <t>ÖSTERSUND</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20633-2023</t>
        </is>
      </c>
      <c r="B602" s="1" t="n">
        <v>45058</v>
      </c>
      <c r="C602" s="1" t="n">
        <v>45709</v>
      </c>
      <c r="D602" t="inlineStr">
        <is>
          <t>JÄMTLANDS LÄN</t>
        </is>
      </c>
      <c r="E602" t="inlineStr">
        <is>
          <t>ÖSTERSUND</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20636-2023</t>
        </is>
      </c>
      <c r="B603" s="1" t="n">
        <v>45058</v>
      </c>
      <c r="C603" s="1" t="n">
        <v>45709</v>
      </c>
      <c r="D603" t="inlineStr">
        <is>
          <t>JÄMTLANDS LÄN</t>
        </is>
      </c>
      <c r="E603" t="inlineStr">
        <is>
          <t>ÖSTERSUND</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24515-2023</t>
        </is>
      </c>
      <c r="B604" s="1" t="n">
        <v>45077</v>
      </c>
      <c r="C604" s="1" t="n">
        <v>45709</v>
      </c>
      <c r="D604" t="inlineStr">
        <is>
          <t>JÄMTLANDS LÄN</t>
        </is>
      </c>
      <c r="E604" t="inlineStr">
        <is>
          <t>ÖSTERSUND</t>
        </is>
      </c>
      <c r="G604" t="n">
        <v>27.8</v>
      </c>
      <c r="H604" t="n">
        <v>0</v>
      </c>
      <c r="I604" t="n">
        <v>0</v>
      </c>
      <c r="J604" t="n">
        <v>0</v>
      </c>
      <c r="K604" t="n">
        <v>0</v>
      </c>
      <c r="L604" t="n">
        <v>0</v>
      </c>
      <c r="M604" t="n">
        <v>0</v>
      </c>
      <c r="N604" t="n">
        <v>0</v>
      </c>
      <c r="O604" t="n">
        <v>0</v>
      </c>
      <c r="P604" t="n">
        <v>0</v>
      </c>
      <c r="Q604" t="n">
        <v>0</v>
      </c>
      <c r="R604" s="2" t="inlineStr"/>
    </row>
    <row r="605" ht="15" customHeight="1">
      <c r="A605" t="inlineStr">
        <is>
          <t>A 24396-2023</t>
        </is>
      </c>
      <c r="B605" s="1" t="n">
        <v>45082</v>
      </c>
      <c r="C605" s="1" t="n">
        <v>45709</v>
      </c>
      <c r="D605" t="inlineStr">
        <is>
          <t>JÄMTLANDS LÄN</t>
        </is>
      </c>
      <c r="E605" t="inlineStr">
        <is>
          <t>ÖSTERSUND</t>
        </is>
      </c>
      <c r="F605" t="inlineStr">
        <is>
          <t>Kyrkan</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25727-2023</t>
        </is>
      </c>
      <c r="B606" s="1" t="n">
        <v>45084</v>
      </c>
      <c r="C606" s="1" t="n">
        <v>45709</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25866-2023</t>
        </is>
      </c>
      <c r="B607" s="1" t="n">
        <v>45084</v>
      </c>
      <c r="C607" s="1" t="n">
        <v>45709</v>
      </c>
      <c r="D607" t="inlineStr">
        <is>
          <t>JÄMTLANDS LÄN</t>
        </is>
      </c>
      <c r="E607" t="inlineStr">
        <is>
          <t>ÖSTERSUND</t>
        </is>
      </c>
      <c r="G607" t="n">
        <v>1.8</v>
      </c>
      <c r="H607" t="n">
        <v>0</v>
      </c>
      <c r="I607" t="n">
        <v>0</v>
      </c>
      <c r="J607" t="n">
        <v>0</v>
      </c>
      <c r="K607" t="n">
        <v>0</v>
      </c>
      <c r="L607" t="n">
        <v>0</v>
      </c>
      <c r="M607" t="n">
        <v>0</v>
      </c>
      <c r="N607" t="n">
        <v>0</v>
      </c>
      <c r="O607" t="n">
        <v>0</v>
      </c>
      <c r="P607" t="n">
        <v>0</v>
      </c>
      <c r="Q607" t="n">
        <v>0</v>
      </c>
      <c r="R607" s="2" t="inlineStr"/>
    </row>
    <row r="608" ht="15" customHeight="1">
      <c r="A608" t="inlineStr">
        <is>
          <t>A 25496-2023</t>
        </is>
      </c>
      <c r="B608" s="1" t="n">
        <v>45089</v>
      </c>
      <c r="C608" s="1" t="n">
        <v>45709</v>
      </c>
      <c r="D608" t="inlineStr">
        <is>
          <t>JÄMTLANDS LÄN</t>
        </is>
      </c>
      <c r="E608" t="inlineStr">
        <is>
          <t>ÖSTERSUND</t>
        </is>
      </c>
      <c r="F608" t="inlineStr">
        <is>
          <t>Kyrkan</t>
        </is>
      </c>
      <c r="G608" t="n">
        <v>5.7</v>
      </c>
      <c r="H608" t="n">
        <v>0</v>
      </c>
      <c r="I608" t="n">
        <v>0</v>
      </c>
      <c r="J608" t="n">
        <v>0</v>
      </c>
      <c r="K608" t="n">
        <v>0</v>
      </c>
      <c r="L608" t="n">
        <v>0</v>
      </c>
      <c r="M608" t="n">
        <v>0</v>
      </c>
      <c r="N608" t="n">
        <v>0</v>
      </c>
      <c r="O608" t="n">
        <v>0</v>
      </c>
      <c r="P608" t="n">
        <v>0</v>
      </c>
      <c r="Q608" t="n">
        <v>0</v>
      </c>
      <c r="R608" s="2" t="inlineStr"/>
    </row>
    <row r="609" ht="15" customHeight="1">
      <c r="A609" t="inlineStr">
        <is>
          <t>A 25535-2023</t>
        </is>
      </c>
      <c r="B609" s="1" t="n">
        <v>45089</v>
      </c>
      <c r="C609" s="1" t="n">
        <v>45709</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25514-2023</t>
        </is>
      </c>
      <c r="B610" s="1" t="n">
        <v>45089</v>
      </c>
      <c r="C610" s="1" t="n">
        <v>45709</v>
      </c>
      <c r="D610" t="inlineStr">
        <is>
          <t>JÄMTLANDS LÄN</t>
        </is>
      </c>
      <c r="E610" t="inlineStr">
        <is>
          <t>ÖSTERSUND</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26565-2023</t>
        </is>
      </c>
      <c r="B611" s="1" t="n">
        <v>45089</v>
      </c>
      <c r="C611" s="1" t="n">
        <v>45709</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26521-2023</t>
        </is>
      </c>
      <c r="B612" s="1" t="n">
        <v>45089</v>
      </c>
      <c r="C612" s="1" t="n">
        <v>45709</v>
      </c>
      <c r="D612" t="inlineStr">
        <is>
          <t>JÄMTLANDS LÄN</t>
        </is>
      </c>
      <c r="E612" t="inlineStr">
        <is>
          <t>ÖSTERSUND</t>
        </is>
      </c>
      <c r="G612" t="n">
        <v>11.7</v>
      </c>
      <c r="H612" t="n">
        <v>0</v>
      </c>
      <c r="I612" t="n">
        <v>0</v>
      </c>
      <c r="J612" t="n">
        <v>0</v>
      </c>
      <c r="K612" t="n">
        <v>0</v>
      </c>
      <c r="L612" t="n">
        <v>0</v>
      </c>
      <c r="M612" t="n">
        <v>0</v>
      </c>
      <c r="N612" t="n">
        <v>0</v>
      </c>
      <c r="O612" t="n">
        <v>0</v>
      </c>
      <c r="P612" t="n">
        <v>0</v>
      </c>
      <c r="Q612" t="n">
        <v>0</v>
      </c>
      <c r="R612" s="2" t="inlineStr"/>
    </row>
    <row r="613" ht="15" customHeight="1">
      <c r="A613" t="inlineStr">
        <is>
          <t>A 25789-2023</t>
        </is>
      </c>
      <c r="B613" s="1" t="n">
        <v>45090</v>
      </c>
      <c r="C613" s="1" t="n">
        <v>45709</v>
      </c>
      <c r="D613" t="inlineStr">
        <is>
          <t>JÄMTLANDS LÄN</t>
        </is>
      </c>
      <c r="E613" t="inlineStr">
        <is>
          <t>ÖSTERSUND</t>
        </is>
      </c>
      <c r="G613" t="n">
        <v>3.1</v>
      </c>
      <c r="H613" t="n">
        <v>0</v>
      </c>
      <c r="I613" t="n">
        <v>0</v>
      </c>
      <c r="J613" t="n">
        <v>0</v>
      </c>
      <c r="K613" t="n">
        <v>0</v>
      </c>
      <c r="L613" t="n">
        <v>0</v>
      </c>
      <c r="M613" t="n">
        <v>0</v>
      </c>
      <c r="N613" t="n">
        <v>0</v>
      </c>
      <c r="O613" t="n">
        <v>0</v>
      </c>
      <c r="P613" t="n">
        <v>0</v>
      </c>
      <c r="Q613" t="n">
        <v>0</v>
      </c>
      <c r="R613" s="2" t="inlineStr"/>
    </row>
    <row r="614" ht="15" customHeight="1">
      <c r="A614" t="inlineStr">
        <is>
          <t>A 26012-2023</t>
        </is>
      </c>
      <c r="B614" s="1" t="n">
        <v>45091</v>
      </c>
      <c r="C614" s="1" t="n">
        <v>45709</v>
      </c>
      <c r="D614" t="inlineStr">
        <is>
          <t>JÄMTLANDS LÄN</t>
        </is>
      </c>
      <c r="E614" t="inlineStr">
        <is>
          <t>ÖSTERSUND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27294-2023</t>
        </is>
      </c>
      <c r="B615" s="1" t="n">
        <v>45092</v>
      </c>
      <c r="C615" s="1" t="n">
        <v>45709</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27004-2023</t>
        </is>
      </c>
      <c r="B616" s="1" t="n">
        <v>45094</v>
      </c>
      <c r="C616" s="1" t="n">
        <v>45709</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27124-2023</t>
        </is>
      </c>
      <c r="B617" s="1" t="n">
        <v>45096</v>
      </c>
      <c r="C617" s="1" t="n">
        <v>45709</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27118-2023</t>
        </is>
      </c>
      <c r="B618" s="1" t="n">
        <v>45096</v>
      </c>
      <c r="C618" s="1" t="n">
        <v>45709</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27130-2023</t>
        </is>
      </c>
      <c r="B619" s="1" t="n">
        <v>45096</v>
      </c>
      <c r="C619" s="1" t="n">
        <v>45709</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29548-2023</t>
        </is>
      </c>
      <c r="B620" s="1" t="n">
        <v>45098</v>
      </c>
      <c r="C620" s="1" t="n">
        <v>45709</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30244-2023</t>
        </is>
      </c>
      <c r="B621" s="1" t="n">
        <v>45099</v>
      </c>
      <c r="C621" s="1" t="n">
        <v>45709</v>
      </c>
      <c r="D621" t="inlineStr">
        <is>
          <t>JÄMTLANDS LÄN</t>
        </is>
      </c>
      <c r="E621" t="inlineStr">
        <is>
          <t>ÖSTERSUND</t>
        </is>
      </c>
      <c r="G621" t="n">
        <v>1.4</v>
      </c>
      <c r="H621" t="n">
        <v>0</v>
      </c>
      <c r="I621" t="n">
        <v>0</v>
      </c>
      <c r="J621" t="n">
        <v>0</v>
      </c>
      <c r="K621" t="n">
        <v>0</v>
      </c>
      <c r="L621" t="n">
        <v>0</v>
      </c>
      <c r="M621" t="n">
        <v>0</v>
      </c>
      <c r="N621" t="n">
        <v>0</v>
      </c>
      <c r="O621" t="n">
        <v>0</v>
      </c>
      <c r="P621" t="n">
        <v>0</v>
      </c>
      <c r="Q621" t="n">
        <v>0</v>
      </c>
      <c r="R621" s="2" t="inlineStr"/>
    </row>
    <row r="622" ht="15" customHeight="1">
      <c r="A622" t="inlineStr">
        <is>
          <t>A 30262-2023</t>
        </is>
      </c>
      <c r="B622" s="1" t="n">
        <v>45099</v>
      </c>
      <c r="C622" s="1" t="n">
        <v>45709</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30255-2023</t>
        </is>
      </c>
      <c r="B623" s="1" t="n">
        <v>45099</v>
      </c>
      <c r="C623" s="1" t="n">
        <v>45709</v>
      </c>
      <c r="D623" t="inlineStr">
        <is>
          <t>JÄMTLANDS LÄN</t>
        </is>
      </c>
      <c r="E623" t="inlineStr">
        <is>
          <t>ÖSTERSUND</t>
        </is>
      </c>
      <c r="G623" t="n">
        <v>20.2</v>
      </c>
      <c r="H623" t="n">
        <v>0</v>
      </c>
      <c r="I623" t="n">
        <v>0</v>
      </c>
      <c r="J623" t="n">
        <v>0</v>
      </c>
      <c r="K623" t="n">
        <v>0</v>
      </c>
      <c r="L623" t="n">
        <v>0</v>
      </c>
      <c r="M623" t="n">
        <v>0</v>
      </c>
      <c r="N623" t="n">
        <v>0</v>
      </c>
      <c r="O623" t="n">
        <v>0</v>
      </c>
      <c r="P623" t="n">
        <v>0</v>
      </c>
      <c r="Q623" t="n">
        <v>0</v>
      </c>
      <c r="R623" s="2" t="inlineStr"/>
    </row>
    <row r="624" ht="15" customHeight="1">
      <c r="A624" t="inlineStr">
        <is>
          <t>A 30264-2023</t>
        </is>
      </c>
      <c r="B624" s="1" t="n">
        <v>45099</v>
      </c>
      <c r="C624" s="1" t="n">
        <v>45709</v>
      </c>
      <c r="D624" t="inlineStr">
        <is>
          <t>JÄMTLANDS LÄN</t>
        </is>
      </c>
      <c r="E624" t="inlineStr">
        <is>
          <t>ÖSTERSUND</t>
        </is>
      </c>
      <c r="G624" t="n">
        <v>10</v>
      </c>
      <c r="H624" t="n">
        <v>0</v>
      </c>
      <c r="I624" t="n">
        <v>0</v>
      </c>
      <c r="J624" t="n">
        <v>0</v>
      </c>
      <c r="K624" t="n">
        <v>0</v>
      </c>
      <c r="L624" t="n">
        <v>0</v>
      </c>
      <c r="M624" t="n">
        <v>0</v>
      </c>
      <c r="N624" t="n">
        <v>0</v>
      </c>
      <c r="O624" t="n">
        <v>0</v>
      </c>
      <c r="P624" t="n">
        <v>0</v>
      </c>
      <c r="Q624" t="n">
        <v>0</v>
      </c>
      <c r="R624" s="2" t="inlineStr"/>
    </row>
    <row r="625" ht="15" customHeight="1">
      <c r="A625" t="inlineStr">
        <is>
          <t>A 30206-2023</t>
        </is>
      </c>
      <c r="B625" s="1" t="n">
        <v>45099</v>
      </c>
      <c r="C625" s="1" t="n">
        <v>45709</v>
      </c>
      <c r="D625" t="inlineStr">
        <is>
          <t>JÄMTLANDS LÄN</t>
        </is>
      </c>
      <c r="E625" t="inlineStr">
        <is>
          <t>ÖSTERSUND</t>
        </is>
      </c>
      <c r="G625" t="n">
        <v>3.9</v>
      </c>
      <c r="H625" t="n">
        <v>0</v>
      </c>
      <c r="I625" t="n">
        <v>0</v>
      </c>
      <c r="J625" t="n">
        <v>0</v>
      </c>
      <c r="K625" t="n">
        <v>0</v>
      </c>
      <c r="L625" t="n">
        <v>0</v>
      </c>
      <c r="M625" t="n">
        <v>0</v>
      </c>
      <c r="N625" t="n">
        <v>0</v>
      </c>
      <c r="O625" t="n">
        <v>0</v>
      </c>
      <c r="P625" t="n">
        <v>0</v>
      </c>
      <c r="Q625" t="n">
        <v>0</v>
      </c>
      <c r="R625" s="2" t="inlineStr"/>
    </row>
    <row r="626" ht="15" customHeight="1">
      <c r="A626" t="inlineStr">
        <is>
          <t>A 30236-2023</t>
        </is>
      </c>
      <c r="B626" s="1" t="n">
        <v>45099</v>
      </c>
      <c r="C626" s="1" t="n">
        <v>45709</v>
      </c>
      <c r="D626" t="inlineStr">
        <is>
          <t>JÄMTLANDS LÄN</t>
        </is>
      </c>
      <c r="E626" t="inlineStr">
        <is>
          <t>ÖSTERSUND</t>
        </is>
      </c>
      <c r="G626" t="n">
        <v>3.5</v>
      </c>
      <c r="H626" t="n">
        <v>0</v>
      </c>
      <c r="I626" t="n">
        <v>0</v>
      </c>
      <c r="J626" t="n">
        <v>0</v>
      </c>
      <c r="K626" t="n">
        <v>0</v>
      </c>
      <c r="L626" t="n">
        <v>0</v>
      </c>
      <c r="M626" t="n">
        <v>0</v>
      </c>
      <c r="N626" t="n">
        <v>0</v>
      </c>
      <c r="O626" t="n">
        <v>0</v>
      </c>
      <c r="P626" t="n">
        <v>0</v>
      </c>
      <c r="Q626" t="n">
        <v>0</v>
      </c>
      <c r="R626" s="2" t="inlineStr"/>
    </row>
    <row r="627" ht="15" customHeight="1">
      <c r="A627" t="inlineStr">
        <is>
          <t>A 28747-2023</t>
        </is>
      </c>
      <c r="B627" s="1" t="n">
        <v>45103</v>
      </c>
      <c r="C627" s="1" t="n">
        <v>45709</v>
      </c>
      <c r="D627" t="inlineStr">
        <is>
          <t>JÄMTLANDS LÄN</t>
        </is>
      </c>
      <c r="E627" t="inlineStr">
        <is>
          <t>ÖSTERSUND</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31870-2023</t>
        </is>
      </c>
      <c r="B628" s="1" t="n">
        <v>45106</v>
      </c>
      <c r="C628" s="1" t="n">
        <v>45709</v>
      </c>
      <c r="D628" t="inlineStr">
        <is>
          <t>JÄMTLANDS LÄN</t>
        </is>
      </c>
      <c r="E628" t="inlineStr">
        <is>
          <t>ÖSTERSUND</t>
        </is>
      </c>
      <c r="G628" t="n">
        <v>2.4</v>
      </c>
      <c r="H628" t="n">
        <v>0</v>
      </c>
      <c r="I628" t="n">
        <v>0</v>
      </c>
      <c r="J628" t="n">
        <v>0</v>
      </c>
      <c r="K628" t="n">
        <v>0</v>
      </c>
      <c r="L628" t="n">
        <v>0</v>
      </c>
      <c r="M628" t="n">
        <v>0</v>
      </c>
      <c r="N628" t="n">
        <v>0</v>
      </c>
      <c r="O628" t="n">
        <v>0</v>
      </c>
      <c r="P628" t="n">
        <v>0</v>
      </c>
      <c r="Q628" t="n">
        <v>0</v>
      </c>
      <c r="R628" s="2" t="inlineStr"/>
    </row>
    <row r="629" ht="15" customHeight="1">
      <c r="A629" t="inlineStr">
        <is>
          <t>A 29703-2023</t>
        </is>
      </c>
      <c r="B629" s="1" t="n">
        <v>45107</v>
      </c>
      <c r="C629" s="1" t="n">
        <v>45709</v>
      </c>
      <c r="D629" t="inlineStr">
        <is>
          <t>JÄMTLANDS LÄN</t>
        </is>
      </c>
      <c r="E629" t="inlineStr">
        <is>
          <t>ÖSTERSUND</t>
        </is>
      </c>
      <c r="G629" t="n">
        <v>0.3</v>
      </c>
      <c r="H629" t="n">
        <v>0</v>
      </c>
      <c r="I629" t="n">
        <v>0</v>
      </c>
      <c r="J629" t="n">
        <v>0</v>
      </c>
      <c r="K629" t="n">
        <v>0</v>
      </c>
      <c r="L629" t="n">
        <v>0</v>
      </c>
      <c r="M629" t="n">
        <v>0</v>
      </c>
      <c r="N629" t="n">
        <v>0</v>
      </c>
      <c r="O629" t="n">
        <v>0</v>
      </c>
      <c r="P629" t="n">
        <v>0</v>
      </c>
      <c r="Q629" t="n">
        <v>0</v>
      </c>
      <c r="R629" s="2" t="inlineStr"/>
    </row>
    <row r="630" ht="15" customHeight="1">
      <c r="A630" t="inlineStr">
        <is>
          <t>A 29682-2023</t>
        </is>
      </c>
      <c r="B630" s="1" t="n">
        <v>45107</v>
      </c>
      <c r="C630" s="1" t="n">
        <v>45709</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30602-2023</t>
        </is>
      </c>
      <c r="B631" s="1" t="n">
        <v>45112</v>
      </c>
      <c r="C631" s="1" t="n">
        <v>45709</v>
      </c>
      <c r="D631" t="inlineStr">
        <is>
          <t>JÄMTLANDS LÄN</t>
        </is>
      </c>
      <c r="E631" t="inlineStr">
        <is>
          <t>ÖSTERSUND</t>
        </is>
      </c>
      <c r="G631" t="n">
        <v>0.5</v>
      </c>
      <c r="H631" t="n">
        <v>0</v>
      </c>
      <c r="I631" t="n">
        <v>0</v>
      </c>
      <c r="J631" t="n">
        <v>0</v>
      </c>
      <c r="K631" t="n">
        <v>0</v>
      </c>
      <c r="L631" t="n">
        <v>0</v>
      </c>
      <c r="M631" t="n">
        <v>0</v>
      </c>
      <c r="N631" t="n">
        <v>0</v>
      </c>
      <c r="O631" t="n">
        <v>0</v>
      </c>
      <c r="P631" t="n">
        <v>0</v>
      </c>
      <c r="Q631" t="n">
        <v>0</v>
      </c>
      <c r="R631" s="2" t="inlineStr"/>
    </row>
    <row r="632" ht="15" customHeight="1">
      <c r="A632" t="inlineStr">
        <is>
          <t>A 31551-2023</t>
        </is>
      </c>
      <c r="B632" s="1" t="n">
        <v>45117</v>
      </c>
      <c r="C632" s="1" t="n">
        <v>45709</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31600-2023</t>
        </is>
      </c>
      <c r="B633" s="1" t="n">
        <v>45117</v>
      </c>
      <c r="C633" s="1" t="n">
        <v>45709</v>
      </c>
      <c r="D633" t="inlineStr">
        <is>
          <t>JÄMTLANDS LÄN</t>
        </is>
      </c>
      <c r="E633" t="inlineStr">
        <is>
          <t>ÖSTERSUND</t>
        </is>
      </c>
      <c r="F633" t="inlineStr">
        <is>
          <t>Övriga Aktiebolag</t>
        </is>
      </c>
      <c r="G633" t="n">
        <v>2.7</v>
      </c>
      <c r="H633" t="n">
        <v>0</v>
      </c>
      <c r="I633" t="n">
        <v>0</v>
      </c>
      <c r="J633" t="n">
        <v>0</v>
      </c>
      <c r="K633" t="n">
        <v>0</v>
      </c>
      <c r="L633" t="n">
        <v>0</v>
      </c>
      <c r="M633" t="n">
        <v>0</v>
      </c>
      <c r="N633" t="n">
        <v>0</v>
      </c>
      <c r="O633" t="n">
        <v>0</v>
      </c>
      <c r="P633" t="n">
        <v>0</v>
      </c>
      <c r="Q633" t="n">
        <v>0</v>
      </c>
      <c r="R633" s="2" t="inlineStr"/>
    </row>
    <row r="634" ht="15" customHeight="1">
      <c r="A634" t="inlineStr">
        <is>
          <t>A 31549-2023</t>
        </is>
      </c>
      <c r="B634" s="1" t="n">
        <v>45117</v>
      </c>
      <c r="C634" s="1" t="n">
        <v>45709</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33501-2023</t>
        </is>
      </c>
      <c r="B635" s="1" t="n">
        <v>45118</v>
      </c>
      <c r="C635" s="1" t="n">
        <v>45709</v>
      </c>
      <c r="D635" t="inlineStr">
        <is>
          <t>JÄMTLANDS LÄN</t>
        </is>
      </c>
      <c r="E635" t="inlineStr">
        <is>
          <t>ÖSTERSUND</t>
        </is>
      </c>
      <c r="G635" t="n">
        <v>5.8</v>
      </c>
      <c r="H635" t="n">
        <v>0</v>
      </c>
      <c r="I635" t="n">
        <v>0</v>
      </c>
      <c r="J635" t="n">
        <v>0</v>
      </c>
      <c r="K635" t="n">
        <v>0</v>
      </c>
      <c r="L635" t="n">
        <v>0</v>
      </c>
      <c r="M635" t="n">
        <v>0</v>
      </c>
      <c r="N635" t="n">
        <v>0</v>
      </c>
      <c r="O635" t="n">
        <v>0</v>
      </c>
      <c r="P635" t="n">
        <v>0</v>
      </c>
      <c r="Q635" t="n">
        <v>0</v>
      </c>
      <c r="R635" s="2" t="inlineStr"/>
    </row>
    <row r="636" ht="15" customHeight="1">
      <c r="A636" t="inlineStr">
        <is>
          <t>A 33502-2023</t>
        </is>
      </c>
      <c r="B636" s="1" t="n">
        <v>45118</v>
      </c>
      <c r="C636" s="1" t="n">
        <v>45709</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32568-2023</t>
        </is>
      </c>
      <c r="B637" s="1" t="n">
        <v>45121</v>
      </c>
      <c r="C637" s="1" t="n">
        <v>45709</v>
      </c>
      <c r="D637" t="inlineStr">
        <is>
          <t>JÄMTLANDS LÄN</t>
        </is>
      </c>
      <c r="E637" t="inlineStr">
        <is>
          <t>ÖSTERSUND</t>
        </is>
      </c>
      <c r="G637" t="n">
        <v>14.9</v>
      </c>
      <c r="H637" t="n">
        <v>0</v>
      </c>
      <c r="I637" t="n">
        <v>0</v>
      </c>
      <c r="J637" t="n">
        <v>0</v>
      </c>
      <c r="K637" t="n">
        <v>0</v>
      </c>
      <c r="L637" t="n">
        <v>0</v>
      </c>
      <c r="M637" t="n">
        <v>0</v>
      </c>
      <c r="N637" t="n">
        <v>0</v>
      </c>
      <c r="O637" t="n">
        <v>0</v>
      </c>
      <c r="P637" t="n">
        <v>0</v>
      </c>
      <c r="Q637" t="n">
        <v>0</v>
      </c>
      <c r="R637" s="2" t="inlineStr"/>
    </row>
    <row r="638" ht="15" customHeight="1">
      <c r="A638" t="inlineStr">
        <is>
          <t>A 34052-2023</t>
        </is>
      </c>
      <c r="B638" s="1" t="n">
        <v>45125</v>
      </c>
      <c r="C638" s="1" t="n">
        <v>45709</v>
      </c>
      <c r="D638" t="inlineStr">
        <is>
          <t>JÄMTLANDS LÄN</t>
        </is>
      </c>
      <c r="E638" t="inlineStr">
        <is>
          <t>ÖSTERSUND</t>
        </is>
      </c>
      <c r="G638" t="n">
        <v>4</v>
      </c>
      <c r="H638" t="n">
        <v>0</v>
      </c>
      <c r="I638" t="n">
        <v>0</v>
      </c>
      <c r="J638" t="n">
        <v>0</v>
      </c>
      <c r="K638" t="n">
        <v>0</v>
      </c>
      <c r="L638" t="n">
        <v>0</v>
      </c>
      <c r="M638" t="n">
        <v>0</v>
      </c>
      <c r="N638" t="n">
        <v>0</v>
      </c>
      <c r="O638" t="n">
        <v>0</v>
      </c>
      <c r="P638" t="n">
        <v>0</v>
      </c>
      <c r="Q638" t="n">
        <v>0</v>
      </c>
      <c r="R638" s="2" t="inlineStr"/>
    </row>
    <row r="639" ht="15" customHeight="1">
      <c r="A639" t="inlineStr">
        <is>
          <t>A 33875-2023</t>
        </is>
      </c>
      <c r="B639" s="1" t="n">
        <v>45134</v>
      </c>
      <c r="C639" s="1" t="n">
        <v>45709</v>
      </c>
      <c r="D639" t="inlineStr">
        <is>
          <t>JÄMTLANDS LÄN</t>
        </is>
      </c>
      <c r="E639" t="inlineStr">
        <is>
          <t>ÖSTERSUND</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34482-2023</t>
        </is>
      </c>
      <c r="B640" s="1" t="n">
        <v>45140</v>
      </c>
      <c r="C640" s="1" t="n">
        <v>45709</v>
      </c>
      <c r="D640" t="inlineStr">
        <is>
          <t>JÄMTLANDS LÄN</t>
        </is>
      </c>
      <c r="E640" t="inlineStr">
        <is>
          <t>ÖSTERSUND</t>
        </is>
      </c>
      <c r="F640" t="inlineStr">
        <is>
          <t>SCA</t>
        </is>
      </c>
      <c r="G640" t="n">
        <v>50</v>
      </c>
      <c r="H640" t="n">
        <v>0</v>
      </c>
      <c r="I640" t="n">
        <v>0</v>
      </c>
      <c r="J640" t="n">
        <v>0</v>
      </c>
      <c r="K640" t="n">
        <v>0</v>
      </c>
      <c r="L640" t="n">
        <v>0</v>
      </c>
      <c r="M640" t="n">
        <v>0</v>
      </c>
      <c r="N640" t="n">
        <v>0</v>
      </c>
      <c r="O640" t="n">
        <v>0</v>
      </c>
      <c r="P640" t="n">
        <v>0</v>
      </c>
      <c r="Q640" t="n">
        <v>0</v>
      </c>
      <c r="R640" s="2" t="inlineStr"/>
    </row>
    <row r="641" ht="15" customHeight="1">
      <c r="A641" t="inlineStr">
        <is>
          <t>A 34688-2023</t>
        </is>
      </c>
      <c r="B641" s="1" t="n">
        <v>45141</v>
      </c>
      <c r="C641" s="1" t="n">
        <v>45709</v>
      </c>
      <c r="D641" t="inlineStr">
        <is>
          <t>JÄMTLANDS LÄN</t>
        </is>
      </c>
      <c r="E641" t="inlineStr">
        <is>
          <t>ÖSTERSUND</t>
        </is>
      </c>
      <c r="G641" t="n">
        <v>7.4</v>
      </c>
      <c r="H641" t="n">
        <v>0</v>
      </c>
      <c r="I641" t="n">
        <v>0</v>
      </c>
      <c r="J641" t="n">
        <v>0</v>
      </c>
      <c r="K641" t="n">
        <v>0</v>
      </c>
      <c r="L641" t="n">
        <v>0</v>
      </c>
      <c r="M641" t="n">
        <v>0</v>
      </c>
      <c r="N641" t="n">
        <v>0</v>
      </c>
      <c r="O641" t="n">
        <v>0</v>
      </c>
      <c r="P641" t="n">
        <v>0</v>
      </c>
      <c r="Q641" t="n">
        <v>0</v>
      </c>
      <c r="R641" s="2" t="inlineStr"/>
    </row>
    <row r="642" ht="15" customHeight="1">
      <c r="A642" t="inlineStr">
        <is>
          <t>A 36406-2023</t>
        </is>
      </c>
      <c r="B642" s="1" t="n">
        <v>45149</v>
      </c>
      <c r="C642" s="1" t="n">
        <v>45709</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37140-2023</t>
        </is>
      </c>
      <c r="B643" s="1" t="n">
        <v>45154</v>
      </c>
      <c r="C643" s="1" t="n">
        <v>45709</v>
      </c>
      <c r="D643" t="inlineStr">
        <is>
          <t>JÄMTLANDS LÄN</t>
        </is>
      </c>
      <c r="E643" t="inlineStr">
        <is>
          <t>ÖSTERSUND</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37597-2023</t>
        </is>
      </c>
      <c r="B644" s="1" t="n">
        <v>45159</v>
      </c>
      <c r="C644" s="1" t="n">
        <v>45709</v>
      </c>
      <c r="D644" t="inlineStr">
        <is>
          <t>JÄMTLANDS LÄN</t>
        </is>
      </c>
      <c r="E644" t="inlineStr">
        <is>
          <t>ÖSTERSUND</t>
        </is>
      </c>
      <c r="G644" t="n">
        <v>4.7</v>
      </c>
      <c r="H644" t="n">
        <v>0</v>
      </c>
      <c r="I644" t="n">
        <v>0</v>
      </c>
      <c r="J644" t="n">
        <v>0</v>
      </c>
      <c r="K644" t="n">
        <v>0</v>
      </c>
      <c r="L644" t="n">
        <v>0</v>
      </c>
      <c r="M644" t="n">
        <v>0</v>
      </c>
      <c r="N644" t="n">
        <v>0</v>
      </c>
      <c r="O644" t="n">
        <v>0</v>
      </c>
      <c r="P644" t="n">
        <v>0</v>
      </c>
      <c r="Q644" t="n">
        <v>0</v>
      </c>
      <c r="R644" s="2" t="inlineStr"/>
    </row>
    <row r="645" ht="15" customHeight="1">
      <c r="A645" t="inlineStr">
        <is>
          <t>A 37645-2023</t>
        </is>
      </c>
      <c r="B645" s="1" t="n">
        <v>45159</v>
      </c>
      <c r="C645" s="1" t="n">
        <v>45709</v>
      </c>
      <c r="D645" t="inlineStr">
        <is>
          <t>JÄMTLANDS LÄN</t>
        </is>
      </c>
      <c r="E645" t="inlineStr">
        <is>
          <t>ÖSTERSUND</t>
        </is>
      </c>
      <c r="F645" t="inlineStr">
        <is>
          <t>Övriga Aktiebolag</t>
        </is>
      </c>
      <c r="G645" t="n">
        <v>3.5</v>
      </c>
      <c r="H645" t="n">
        <v>0</v>
      </c>
      <c r="I645" t="n">
        <v>0</v>
      </c>
      <c r="J645" t="n">
        <v>0</v>
      </c>
      <c r="K645" t="n">
        <v>0</v>
      </c>
      <c r="L645" t="n">
        <v>0</v>
      </c>
      <c r="M645" t="n">
        <v>0</v>
      </c>
      <c r="N645" t="n">
        <v>0</v>
      </c>
      <c r="O645" t="n">
        <v>0</v>
      </c>
      <c r="P645" t="n">
        <v>0</v>
      </c>
      <c r="Q645" t="n">
        <v>0</v>
      </c>
      <c r="R645" s="2" t="inlineStr"/>
    </row>
    <row r="646" ht="15" customHeight="1">
      <c r="A646" t="inlineStr">
        <is>
          <t>A 38335-2023</t>
        </is>
      </c>
      <c r="B646" s="1" t="n">
        <v>45161</v>
      </c>
      <c r="C646" s="1" t="n">
        <v>45709</v>
      </c>
      <c r="D646" t="inlineStr">
        <is>
          <t>JÄMTLANDS LÄN</t>
        </is>
      </c>
      <c r="E646" t="inlineStr">
        <is>
          <t>ÖSTERSUND</t>
        </is>
      </c>
      <c r="G646" t="n">
        <v>15.1</v>
      </c>
      <c r="H646" t="n">
        <v>0</v>
      </c>
      <c r="I646" t="n">
        <v>0</v>
      </c>
      <c r="J646" t="n">
        <v>0</v>
      </c>
      <c r="K646" t="n">
        <v>0</v>
      </c>
      <c r="L646" t="n">
        <v>0</v>
      </c>
      <c r="M646" t="n">
        <v>0</v>
      </c>
      <c r="N646" t="n">
        <v>0</v>
      </c>
      <c r="O646" t="n">
        <v>0</v>
      </c>
      <c r="P646" t="n">
        <v>0</v>
      </c>
      <c r="Q646" t="n">
        <v>0</v>
      </c>
      <c r="R646" s="2" t="inlineStr"/>
    </row>
    <row r="647" ht="15" customHeight="1">
      <c r="A647" t="inlineStr">
        <is>
          <t>A 38713-2023</t>
        </is>
      </c>
      <c r="B647" s="1" t="n">
        <v>45163</v>
      </c>
      <c r="C647" s="1" t="n">
        <v>45709</v>
      </c>
      <c r="D647" t="inlineStr">
        <is>
          <t>JÄMTLANDS LÄN</t>
        </is>
      </c>
      <c r="E647" t="inlineStr">
        <is>
          <t>ÖSTERSUND</t>
        </is>
      </c>
      <c r="G647" t="n">
        <v>6</v>
      </c>
      <c r="H647" t="n">
        <v>0</v>
      </c>
      <c r="I647" t="n">
        <v>0</v>
      </c>
      <c r="J647" t="n">
        <v>0</v>
      </c>
      <c r="K647" t="n">
        <v>0</v>
      </c>
      <c r="L647" t="n">
        <v>0</v>
      </c>
      <c r="M647" t="n">
        <v>0</v>
      </c>
      <c r="N647" t="n">
        <v>0</v>
      </c>
      <c r="O647" t="n">
        <v>0</v>
      </c>
      <c r="P647" t="n">
        <v>0</v>
      </c>
      <c r="Q647" t="n">
        <v>0</v>
      </c>
      <c r="R647" s="2" t="inlineStr"/>
    </row>
    <row r="648" ht="15" customHeight="1">
      <c r="A648" t="inlineStr">
        <is>
          <t>A 39494-2023</t>
        </is>
      </c>
      <c r="B648" s="1" t="n">
        <v>45166</v>
      </c>
      <c r="C648" s="1" t="n">
        <v>45709</v>
      </c>
      <c r="D648" t="inlineStr">
        <is>
          <t>JÄMTLANDS LÄN</t>
        </is>
      </c>
      <c r="E648" t="inlineStr">
        <is>
          <t>ÖSTERSUND</t>
        </is>
      </c>
      <c r="F648" t="inlineStr">
        <is>
          <t>SCA</t>
        </is>
      </c>
      <c r="G648" t="n">
        <v>8.1</v>
      </c>
      <c r="H648" t="n">
        <v>0</v>
      </c>
      <c r="I648" t="n">
        <v>0</v>
      </c>
      <c r="J648" t="n">
        <v>0</v>
      </c>
      <c r="K648" t="n">
        <v>0</v>
      </c>
      <c r="L648" t="n">
        <v>0</v>
      </c>
      <c r="M648" t="n">
        <v>0</v>
      </c>
      <c r="N648" t="n">
        <v>0</v>
      </c>
      <c r="O648" t="n">
        <v>0</v>
      </c>
      <c r="P648" t="n">
        <v>0</v>
      </c>
      <c r="Q648" t="n">
        <v>0</v>
      </c>
      <c r="R648" s="2" t="inlineStr"/>
    </row>
    <row r="649" ht="15" customHeight="1">
      <c r="A649" t="inlineStr">
        <is>
          <t>A 39493-2023</t>
        </is>
      </c>
      <c r="B649" s="1" t="n">
        <v>45167</v>
      </c>
      <c r="C649" s="1" t="n">
        <v>45709</v>
      </c>
      <c r="D649" t="inlineStr">
        <is>
          <t>JÄMTLANDS LÄN</t>
        </is>
      </c>
      <c r="E649" t="inlineStr">
        <is>
          <t>ÖSTERSUND</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39647-2023</t>
        </is>
      </c>
      <c r="B650" s="1" t="n">
        <v>45167</v>
      </c>
      <c r="C650" s="1" t="n">
        <v>45709</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39652-2023</t>
        </is>
      </c>
      <c r="B651" s="1" t="n">
        <v>45167</v>
      </c>
      <c r="C651" s="1" t="n">
        <v>45709</v>
      </c>
      <c r="D651" t="inlineStr">
        <is>
          <t>JÄMTLANDS LÄN</t>
        </is>
      </c>
      <c r="E651" t="inlineStr">
        <is>
          <t>ÖSTERSUND</t>
        </is>
      </c>
      <c r="G651" t="n">
        <v>2.6</v>
      </c>
      <c r="H651" t="n">
        <v>0</v>
      </c>
      <c r="I651" t="n">
        <v>0</v>
      </c>
      <c r="J651" t="n">
        <v>0</v>
      </c>
      <c r="K651" t="n">
        <v>0</v>
      </c>
      <c r="L651" t="n">
        <v>0</v>
      </c>
      <c r="M651" t="n">
        <v>0</v>
      </c>
      <c r="N651" t="n">
        <v>0</v>
      </c>
      <c r="O651" t="n">
        <v>0</v>
      </c>
      <c r="P651" t="n">
        <v>0</v>
      </c>
      <c r="Q651" t="n">
        <v>0</v>
      </c>
      <c r="R651" s="2" t="inlineStr"/>
    </row>
    <row r="652" ht="15" customHeight="1">
      <c r="A652" t="inlineStr">
        <is>
          <t>A 39805-2023</t>
        </is>
      </c>
      <c r="B652" s="1" t="n">
        <v>45168</v>
      </c>
      <c r="C652" s="1" t="n">
        <v>45709</v>
      </c>
      <c r="D652" t="inlineStr">
        <is>
          <t>JÄMTLANDS LÄN</t>
        </is>
      </c>
      <c r="E652" t="inlineStr">
        <is>
          <t>ÖSTERSUND</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40423-2023</t>
        </is>
      </c>
      <c r="B653" s="1" t="n">
        <v>45169</v>
      </c>
      <c r="C653" s="1" t="n">
        <v>45709</v>
      </c>
      <c r="D653" t="inlineStr">
        <is>
          <t>JÄMTLANDS LÄN</t>
        </is>
      </c>
      <c r="E653" t="inlineStr">
        <is>
          <t>ÖSTERSUND</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40422-2023</t>
        </is>
      </c>
      <c r="B654" s="1" t="n">
        <v>45170</v>
      </c>
      <c r="C654" s="1" t="n">
        <v>45709</v>
      </c>
      <c r="D654" t="inlineStr">
        <is>
          <t>JÄMTLANDS LÄN</t>
        </is>
      </c>
      <c r="E654" t="inlineStr">
        <is>
          <t>ÖSTERSUND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40792-2023</t>
        </is>
      </c>
      <c r="B655" s="1" t="n">
        <v>45170</v>
      </c>
      <c r="C655" s="1" t="n">
        <v>45709</v>
      </c>
      <c r="D655" t="inlineStr">
        <is>
          <t>JÄMTLANDS LÄN</t>
        </is>
      </c>
      <c r="E655" t="inlineStr">
        <is>
          <t>ÖSTERSUND</t>
        </is>
      </c>
      <c r="G655" t="n">
        <v>22.4</v>
      </c>
      <c r="H655" t="n">
        <v>0</v>
      </c>
      <c r="I655" t="n">
        <v>0</v>
      </c>
      <c r="J655" t="n">
        <v>0</v>
      </c>
      <c r="K655" t="n">
        <v>0</v>
      </c>
      <c r="L655" t="n">
        <v>0</v>
      </c>
      <c r="M655" t="n">
        <v>0</v>
      </c>
      <c r="N655" t="n">
        <v>0</v>
      </c>
      <c r="O655" t="n">
        <v>0</v>
      </c>
      <c r="P655" t="n">
        <v>0</v>
      </c>
      <c r="Q655" t="n">
        <v>0</v>
      </c>
      <c r="R655" s="2" t="inlineStr"/>
    </row>
    <row r="656" ht="15" customHeight="1">
      <c r="A656" t="inlineStr">
        <is>
          <t>A 40772-2023</t>
        </is>
      </c>
      <c r="B656" s="1" t="n">
        <v>45171</v>
      </c>
      <c r="C656" s="1" t="n">
        <v>45709</v>
      </c>
      <c r="D656" t="inlineStr">
        <is>
          <t>JÄMTLANDS LÄN</t>
        </is>
      </c>
      <c r="E656" t="inlineStr">
        <is>
          <t>ÖSTERSUND</t>
        </is>
      </c>
      <c r="F656" t="inlineStr">
        <is>
          <t>SCA</t>
        </is>
      </c>
      <c r="G656" t="n">
        <v>17.6</v>
      </c>
      <c r="H656" t="n">
        <v>0</v>
      </c>
      <c r="I656" t="n">
        <v>0</v>
      </c>
      <c r="J656" t="n">
        <v>0</v>
      </c>
      <c r="K656" t="n">
        <v>0</v>
      </c>
      <c r="L656" t="n">
        <v>0</v>
      </c>
      <c r="M656" t="n">
        <v>0</v>
      </c>
      <c r="N656" t="n">
        <v>0</v>
      </c>
      <c r="O656" t="n">
        <v>0</v>
      </c>
      <c r="P656" t="n">
        <v>0</v>
      </c>
      <c r="Q656" t="n">
        <v>0</v>
      </c>
      <c r="R656" s="2" t="inlineStr"/>
    </row>
    <row r="657" ht="15" customHeight="1">
      <c r="A657" t="inlineStr">
        <is>
          <t>A 41224-2023</t>
        </is>
      </c>
      <c r="B657" s="1" t="n">
        <v>45174</v>
      </c>
      <c r="C657" s="1" t="n">
        <v>45709</v>
      </c>
      <c r="D657" t="inlineStr">
        <is>
          <t>JÄMTLANDS LÄN</t>
        </is>
      </c>
      <c r="E657" t="inlineStr">
        <is>
          <t>ÖSTERSUND</t>
        </is>
      </c>
      <c r="G657" t="n">
        <v>13.3</v>
      </c>
      <c r="H657" t="n">
        <v>0</v>
      </c>
      <c r="I657" t="n">
        <v>0</v>
      </c>
      <c r="J657" t="n">
        <v>0</v>
      </c>
      <c r="K657" t="n">
        <v>0</v>
      </c>
      <c r="L657" t="n">
        <v>0</v>
      </c>
      <c r="M657" t="n">
        <v>0</v>
      </c>
      <c r="N657" t="n">
        <v>0</v>
      </c>
      <c r="O657" t="n">
        <v>0</v>
      </c>
      <c r="P657" t="n">
        <v>0</v>
      </c>
      <c r="Q657" t="n">
        <v>0</v>
      </c>
      <c r="R657" s="2" t="inlineStr"/>
    </row>
    <row r="658" ht="15" customHeight="1">
      <c r="A658" t="inlineStr">
        <is>
          <t>A 41649-2023</t>
        </is>
      </c>
      <c r="B658" s="1" t="n">
        <v>45176</v>
      </c>
      <c r="C658" s="1" t="n">
        <v>45709</v>
      </c>
      <c r="D658" t="inlineStr">
        <is>
          <t>JÄMTLANDS LÄN</t>
        </is>
      </c>
      <c r="E658" t="inlineStr">
        <is>
          <t>ÖSTERSUND</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41919-2023</t>
        </is>
      </c>
      <c r="B659" s="1" t="n">
        <v>45177</v>
      </c>
      <c r="C659" s="1" t="n">
        <v>45709</v>
      </c>
      <c r="D659" t="inlineStr">
        <is>
          <t>JÄMTLANDS LÄN</t>
        </is>
      </c>
      <c r="E659" t="inlineStr">
        <is>
          <t>ÖSTERSUND</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41918-2023</t>
        </is>
      </c>
      <c r="B660" s="1" t="n">
        <v>45177</v>
      </c>
      <c r="C660" s="1" t="n">
        <v>45709</v>
      </c>
      <c r="D660" t="inlineStr">
        <is>
          <t>JÄMTLANDS LÄN</t>
        </is>
      </c>
      <c r="E660" t="inlineStr">
        <is>
          <t>ÖSTERSUND</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41900-2023</t>
        </is>
      </c>
      <c r="B661" s="1" t="n">
        <v>45176</v>
      </c>
      <c r="C661" s="1" t="n">
        <v>45709</v>
      </c>
      <c r="D661" t="inlineStr">
        <is>
          <t>JÄMTLANDS LÄN</t>
        </is>
      </c>
      <c r="E661" t="inlineStr">
        <is>
          <t>ÖSTERSUND</t>
        </is>
      </c>
      <c r="G661" t="n">
        <v>24.4</v>
      </c>
      <c r="H661" t="n">
        <v>0</v>
      </c>
      <c r="I661" t="n">
        <v>0</v>
      </c>
      <c r="J661" t="n">
        <v>0</v>
      </c>
      <c r="K661" t="n">
        <v>0</v>
      </c>
      <c r="L661" t="n">
        <v>0</v>
      </c>
      <c r="M661" t="n">
        <v>0</v>
      </c>
      <c r="N661" t="n">
        <v>0</v>
      </c>
      <c r="O661" t="n">
        <v>0</v>
      </c>
      <c r="P661" t="n">
        <v>0</v>
      </c>
      <c r="Q661" t="n">
        <v>0</v>
      </c>
      <c r="R661" s="2" t="inlineStr"/>
    </row>
    <row r="662" ht="15" customHeight="1">
      <c r="A662" t="inlineStr">
        <is>
          <t>A 42151-2023</t>
        </is>
      </c>
      <c r="B662" s="1" t="n">
        <v>45178</v>
      </c>
      <c r="C662" s="1" t="n">
        <v>45709</v>
      </c>
      <c r="D662" t="inlineStr">
        <is>
          <t>JÄMTLANDS LÄN</t>
        </is>
      </c>
      <c r="E662" t="inlineStr">
        <is>
          <t>ÖSTERSUND</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43557-2023</t>
        </is>
      </c>
      <c r="B663" s="1" t="n">
        <v>45181</v>
      </c>
      <c r="C663" s="1" t="n">
        <v>45709</v>
      </c>
      <c r="D663" t="inlineStr">
        <is>
          <t>JÄMTLANDS LÄN</t>
        </is>
      </c>
      <c r="E663" t="inlineStr">
        <is>
          <t>ÖSTERSUND</t>
        </is>
      </c>
      <c r="G663" t="n">
        <v>0.9</v>
      </c>
      <c r="H663" t="n">
        <v>0</v>
      </c>
      <c r="I663" t="n">
        <v>0</v>
      </c>
      <c r="J663" t="n">
        <v>0</v>
      </c>
      <c r="K663" t="n">
        <v>0</v>
      </c>
      <c r="L663" t="n">
        <v>0</v>
      </c>
      <c r="M663" t="n">
        <v>0</v>
      </c>
      <c r="N663" t="n">
        <v>0</v>
      </c>
      <c r="O663" t="n">
        <v>0</v>
      </c>
      <c r="P663" t="n">
        <v>0</v>
      </c>
      <c r="Q663" t="n">
        <v>0</v>
      </c>
      <c r="R663" s="2" t="inlineStr"/>
    </row>
    <row r="664" ht="15" customHeight="1">
      <c r="A664" t="inlineStr">
        <is>
          <t>A 42664-2023</t>
        </is>
      </c>
      <c r="B664" s="1" t="n">
        <v>45181</v>
      </c>
      <c r="C664" s="1" t="n">
        <v>45709</v>
      </c>
      <c r="D664" t="inlineStr">
        <is>
          <t>JÄMTLANDS LÄN</t>
        </is>
      </c>
      <c r="E664" t="inlineStr">
        <is>
          <t>ÖSTERSUND</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42679-2023</t>
        </is>
      </c>
      <c r="B665" s="1" t="n">
        <v>45181</v>
      </c>
      <c r="C665" s="1" t="n">
        <v>45709</v>
      </c>
      <c r="D665" t="inlineStr">
        <is>
          <t>JÄMTLANDS LÄN</t>
        </is>
      </c>
      <c r="E665" t="inlineStr">
        <is>
          <t>ÖSTERSUND</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43740-2023</t>
        </is>
      </c>
      <c r="B666" s="1" t="n">
        <v>45182</v>
      </c>
      <c r="C666" s="1" t="n">
        <v>45709</v>
      </c>
      <c r="D666" t="inlineStr">
        <is>
          <t>JÄMTLANDS LÄN</t>
        </is>
      </c>
      <c r="E666" t="inlineStr">
        <is>
          <t>ÖSTERSUND</t>
        </is>
      </c>
      <c r="G666" t="n">
        <v>10.2</v>
      </c>
      <c r="H666" t="n">
        <v>0</v>
      </c>
      <c r="I666" t="n">
        <v>0</v>
      </c>
      <c r="J666" t="n">
        <v>0</v>
      </c>
      <c r="K666" t="n">
        <v>0</v>
      </c>
      <c r="L666" t="n">
        <v>0</v>
      </c>
      <c r="M666" t="n">
        <v>0</v>
      </c>
      <c r="N666" t="n">
        <v>0</v>
      </c>
      <c r="O666" t="n">
        <v>0</v>
      </c>
      <c r="P666" t="n">
        <v>0</v>
      </c>
      <c r="Q666" t="n">
        <v>0</v>
      </c>
      <c r="R666" s="2" t="inlineStr"/>
    </row>
    <row r="667" ht="15" customHeight="1">
      <c r="A667" t="inlineStr">
        <is>
          <t>A 43135-2023</t>
        </is>
      </c>
      <c r="B667" s="1" t="n">
        <v>45183</v>
      </c>
      <c r="C667" s="1" t="n">
        <v>45709</v>
      </c>
      <c r="D667" t="inlineStr">
        <is>
          <t>JÄMTLANDS LÄN</t>
        </is>
      </c>
      <c r="E667" t="inlineStr">
        <is>
          <t>ÖSTERSUND</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43252-2023</t>
        </is>
      </c>
      <c r="B668" s="1" t="n">
        <v>45183</v>
      </c>
      <c r="C668" s="1" t="n">
        <v>45709</v>
      </c>
      <c r="D668" t="inlineStr">
        <is>
          <t>JÄMTLANDS LÄN</t>
        </is>
      </c>
      <c r="E668" t="inlineStr">
        <is>
          <t>ÖSTERSUND</t>
        </is>
      </c>
      <c r="G668" t="n">
        <v>2.9</v>
      </c>
      <c r="H668" t="n">
        <v>0</v>
      </c>
      <c r="I668" t="n">
        <v>0</v>
      </c>
      <c r="J668" t="n">
        <v>0</v>
      </c>
      <c r="K668" t="n">
        <v>0</v>
      </c>
      <c r="L668" t="n">
        <v>0</v>
      </c>
      <c r="M668" t="n">
        <v>0</v>
      </c>
      <c r="N668" t="n">
        <v>0</v>
      </c>
      <c r="O668" t="n">
        <v>0</v>
      </c>
      <c r="P668" t="n">
        <v>0</v>
      </c>
      <c r="Q668" t="n">
        <v>0</v>
      </c>
      <c r="R668" s="2" t="inlineStr"/>
    </row>
    <row r="669" ht="15" customHeight="1">
      <c r="A669" t="inlineStr">
        <is>
          <t>A 44327-2023</t>
        </is>
      </c>
      <c r="B669" s="1" t="n">
        <v>45188</v>
      </c>
      <c r="C669" s="1" t="n">
        <v>45709</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44359-2023</t>
        </is>
      </c>
      <c r="B670" s="1" t="n">
        <v>45188</v>
      </c>
      <c r="C670" s="1" t="n">
        <v>45709</v>
      </c>
      <c r="D670" t="inlineStr">
        <is>
          <t>JÄMTLANDS LÄN</t>
        </is>
      </c>
      <c r="E670" t="inlineStr">
        <is>
          <t>ÖSTERSUND</t>
        </is>
      </c>
      <c r="G670" t="n">
        <v>8.1</v>
      </c>
      <c r="H670" t="n">
        <v>0</v>
      </c>
      <c r="I670" t="n">
        <v>0</v>
      </c>
      <c r="J670" t="n">
        <v>0</v>
      </c>
      <c r="K670" t="n">
        <v>0</v>
      </c>
      <c r="L670" t="n">
        <v>0</v>
      </c>
      <c r="M670" t="n">
        <v>0</v>
      </c>
      <c r="N670" t="n">
        <v>0</v>
      </c>
      <c r="O670" t="n">
        <v>0</v>
      </c>
      <c r="P670" t="n">
        <v>0</v>
      </c>
      <c r="Q670" t="n">
        <v>0</v>
      </c>
      <c r="R670" s="2" t="inlineStr"/>
    </row>
    <row r="671" ht="15" customHeight="1">
      <c r="A671" t="inlineStr">
        <is>
          <t>A 45980-2023</t>
        </is>
      </c>
      <c r="B671" s="1" t="n">
        <v>45189</v>
      </c>
      <c r="C671" s="1" t="n">
        <v>45709</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44719-2023</t>
        </is>
      </c>
      <c r="B672" s="1" t="n">
        <v>45190</v>
      </c>
      <c r="C672" s="1" t="n">
        <v>45709</v>
      </c>
      <c r="D672" t="inlineStr">
        <is>
          <t>JÄMTLANDS LÄN</t>
        </is>
      </c>
      <c r="E672" t="inlineStr">
        <is>
          <t>ÖSTERSUND</t>
        </is>
      </c>
      <c r="G672" t="n">
        <v>17.5</v>
      </c>
      <c r="H672" t="n">
        <v>0</v>
      </c>
      <c r="I672" t="n">
        <v>0</v>
      </c>
      <c r="J672" t="n">
        <v>0</v>
      </c>
      <c r="K672" t="n">
        <v>0</v>
      </c>
      <c r="L672" t="n">
        <v>0</v>
      </c>
      <c r="M672" t="n">
        <v>0</v>
      </c>
      <c r="N672" t="n">
        <v>0</v>
      </c>
      <c r="O672" t="n">
        <v>0</v>
      </c>
      <c r="P672" t="n">
        <v>0</v>
      </c>
      <c r="Q672" t="n">
        <v>0</v>
      </c>
      <c r="R672" s="2" t="inlineStr"/>
    </row>
    <row r="673" ht="15" customHeight="1">
      <c r="A673" t="inlineStr">
        <is>
          <t>A 44798-2023</t>
        </is>
      </c>
      <c r="B673" s="1" t="n">
        <v>45190</v>
      </c>
      <c r="C673" s="1" t="n">
        <v>45709</v>
      </c>
      <c r="D673" t="inlineStr">
        <is>
          <t>JÄMTLANDS LÄN</t>
        </is>
      </c>
      <c r="E673" t="inlineStr">
        <is>
          <t>ÖSTERSUND</t>
        </is>
      </c>
      <c r="G673" t="n">
        <v>1.1</v>
      </c>
      <c r="H673" t="n">
        <v>0</v>
      </c>
      <c r="I673" t="n">
        <v>0</v>
      </c>
      <c r="J673" t="n">
        <v>0</v>
      </c>
      <c r="K673" t="n">
        <v>0</v>
      </c>
      <c r="L673" t="n">
        <v>0</v>
      </c>
      <c r="M673" t="n">
        <v>0</v>
      </c>
      <c r="N673" t="n">
        <v>0</v>
      </c>
      <c r="O673" t="n">
        <v>0</v>
      </c>
      <c r="P673" t="n">
        <v>0</v>
      </c>
      <c r="Q673" t="n">
        <v>0</v>
      </c>
      <c r="R673" s="2" t="inlineStr"/>
    </row>
    <row r="674" ht="15" customHeight="1">
      <c r="A674" t="inlineStr">
        <is>
          <t>A 46375-2023</t>
        </is>
      </c>
      <c r="B674" s="1" t="n">
        <v>45197</v>
      </c>
      <c r="C674" s="1" t="n">
        <v>45709</v>
      </c>
      <c r="D674" t="inlineStr">
        <is>
          <t>JÄMTLANDS LÄN</t>
        </is>
      </c>
      <c r="E674" t="inlineStr">
        <is>
          <t>ÖSTERSUND</t>
        </is>
      </c>
      <c r="G674" t="n">
        <v>2.5</v>
      </c>
      <c r="H674" t="n">
        <v>0</v>
      </c>
      <c r="I674" t="n">
        <v>0</v>
      </c>
      <c r="J674" t="n">
        <v>0</v>
      </c>
      <c r="K674" t="n">
        <v>0</v>
      </c>
      <c r="L674" t="n">
        <v>0</v>
      </c>
      <c r="M674" t="n">
        <v>0</v>
      </c>
      <c r="N674" t="n">
        <v>0</v>
      </c>
      <c r="O674" t="n">
        <v>0</v>
      </c>
      <c r="P674" t="n">
        <v>0</v>
      </c>
      <c r="Q674" t="n">
        <v>0</v>
      </c>
      <c r="R674" s="2" t="inlineStr"/>
    </row>
    <row r="675" ht="15" customHeight="1">
      <c r="A675" t="inlineStr">
        <is>
          <t>A 46763-2023</t>
        </is>
      </c>
      <c r="B675" s="1" t="n">
        <v>45198</v>
      </c>
      <c r="C675" s="1" t="n">
        <v>45709</v>
      </c>
      <c r="D675" t="inlineStr">
        <is>
          <t>JÄMTLANDS LÄN</t>
        </is>
      </c>
      <c r="E675" t="inlineStr">
        <is>
          <t>ÖSTERSUND</t>
        </is>
      </c>
      <c r="F675" t="inlineStr">
        <is>
          <t>Sveaskog</t>
        </is>
      </c>
      <c r="G675" t="n">
        <v>13.3</v>
      </c>
      <c r="H675" t="n">
        <v>0</v>
      </c>
      <c r="I675" t="n">
        <v>0</v>
      </c>
      <c r="J675" t="n">
        <v>0</v>
      </c>
      <c r="K675" t="n">
        <v>0</v>
      </c>
      <c r="L675" t="n">
        <v>0</v>
      </c>
      <c r="M675" t="n">
        <v>0</v>
      </c>
      <c r="N675" t="n">
        <v>0</v>
      </c>
      <c r="O675" t="n">
        <v>0</v>
      </c>
      <c r="P675" t="n">
        <v>0</v>
      </c>
      <c r="Q675" t="n">
        <v>0</v>
      </c>
      <c r="R675" s="2" t="inlineStr"/>
    </row>
    <row r="676" ht="15" customHeight="1">
      <c r="A676" t="inlineStr">
        <is>
          <t>A 46748-2023</t>
        </is>
      </c>
      <c r="B676" s="1" t="n">
        <v>45198</v>
      </c>
      <c r="C676" s="1" t="n">
        <v>45709</v>
      </c>
      <c r="D676" t="inlineStr">
        <is>
          <t>JÄMTLANDS LÄN</t>
        </is>
      </c>
      <c r="E676" t="inlineStr">
        <is>
          <t>ÖSTERSUND</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47086-2023</t>
        </is>
      </c>
      <c r="B677" s="1" t="n">
        <v>45201</v>
      </c>
      <c r="C677" s="1" t="n">
        <v>45709</v>
      </c>
      <c r="D677" t="inlineStr">
        <is>
          <t>JÄMTLANDS LÄN</t>
        </is>
      </c>
      <c r="E677" t="inlineStr">
        <is>
          <t>ÖSTERSUND</t>
        </is>
      </c>
      <c r="G677" t="n">
        <v>12</v>
      </c>
      <c r="H677" t="n">
        <v>0</v>
      </c>
      <c r="I677" t="n">
        <v>0</v>
      </c>
      <c r="J677" t="n">
        <v>0</v>
      </c>
      <c r="K677" t="n">
        <v>0</v>
      </c>
      <c r="L677" t="n">
        <v>0</v>
      </c>
      <c r="M677" t="n">
        <v>0</v>
      </c>
      <c r="N677" t="n">
        <v>0</v>
      </c>
      <c r="O677" t="n">
        <v>0</v>
      </c>
      <c r="P677" t="n">
        <v>0</v>
      </c>
      <c r="Q677" t="n">
        <v>0</v>
      </c>
      <c r="R677" s="2" t="inlineStr"/>
    </row>
    <row r="678" ht="15" customHeight="1">
      <c r="A678" t="inlineStr">
        <is>
          <t>A 47252-2023</t>
        </is>
      </c>
      <c r="B678" s="1" t="n">
        <v>45202</v>
      </c>
      <c r="C678" s="1" t="n">
        <v>45709</v>
      </c>
      <c r="D678" t="inlineStr">
        <is>
          <t>JÄMTLANDS LÄN</t>
        </is>
      </c>
      <c r="E678" t="inlineStr">
        <is>
          <t>ÖSTERSUND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47727-2023</t>
        </is>
      </c>
      <c r="B679" s="1" t="n">
        <v>45203</v>
      </c>
      <c r="C679" s="1" t="n">
        <v>45709</v>
      </c>
      <c r="D679" t="inlineStr">
        <is>
          <t>JÄMTLANDS LÄN</t>
        </is>
      </c>
      <c r="E679" t="inlineStr">
        <is>
          <t>ÖSTERSUND</t>
        </is>
      </c>
      <c r="G679" t="n">
        <v>2.6</v>
      </c>
      <c r="H679" t="n">
        <v>0</v>
      </c>
      <c r="I679" t="n">
        <v>0</v>
      </c>
      <c r="J679" t="n">
        <v>0</v>
      </c>
      <c r="K679" t="n">
        <v>0</v>
      </c>
      <c r="L679" t="n">
        <v>0</v>
      </c>
      <c r="M679" t="n">
        <v>0</v>
      </c>
      <c r="N679" t="n">
        <v>0</v>
      </c>
      <c r="O679" t="n">
        <v>0</v>
      </c>
      <c r="P679" t="n">
        <v>0</v>
      </c>
      <c r="Q679" t="n">
        <v>0</v>
      </c>
      <c r="R679" s="2" t="inlineStr"/>
    </row>
    <row r="680" ht="15" customHeight="1">
      <c r="A680" t="inlineStr">
        <is>
          <t>A 48374-2023</t>
        </is>
      </c>
      <c r="B680" s="1" t="n">
        <v>45205</v>
      </c>
      <c r="C680" s="1" t="n">
        <v>45709</v>
      </c>
      <c r="D680" t="inlineStr">
        <is>
          <t>JÄMTLANDS LÄN</t>
        </is>
      </c>
      <c r="E680" t="inlineStr">
        <is>
          <t>ÖSTERSUND</t>
        </is>
      </c>
      <c r="G680" t="n">
        <v>5.6</v>
      </c>
      <c r="H680" t="n">
        <v>0</v>
      </c>
      <c r="I680" t="n">
        <v>0</v>
      </c>
      <c r="J680" t="n">
        <v>0</v>
      </c>
      <c r="K680" t="n">
        <v>0</v>
      </c>
      <c r="L680" t="n">
        <v>0</v>
      </c>
      <c r="M680" t="n">
        <v>0</v>
      </c>
      <c r="N680" t="n">
        <v>0</v>
      </c>
      <c r="O680" t="n">
        <v>0</v>
      </c>
      <c r="P680" t="n">
        <v>0</v>
      </c>
      <c r="Q680" t="n">
        <v>0</v>
      </c>
      <c r="R680" s="2" t="inlineStr"/>
    </row>
    <row r="681" ht="15" customHeight="1">
      <c r="A681" t="inlineStr">
        <is>
          <t>A 50753-2023</t>
        </is>
      </c>
      <c r="B681" s="1" t="n">
        <v>45210</v>
      </c>
      <c r="C681" s="1" t="n">
        <v>45709</v>
      </c>
      <c r="D681" t="inlineStr">
        <is>
          <t>JÄMTLANDS LÄN</t>
        </is>
      </c>
      <c r="E681" t="inlineStr">
        <is>
          <t>ÖSTERSUND</t>
        </is>
      </c>
      <c r="G681" t="n">
        <v>29.3</v>
      </c>
      <c r="H681" t="n">
        <v>0</v>
      </c>
      <c r="I681" t="n">
        <v>0</v>
      </c>
      <c r="J681" t="n">
        <v>0</v>
      </c>
      <c r="K681" t="n">
        <v>0</v>
      </c>
      <c r="L681" t="n">
        <v>0</v>
      </c>
      <c r="M681" t="n">
        <v>0</v>
      </c>
      <c r="N681" t="n">
        <v>0</v>
      </c>
      <c r="O681" t="n">
        <v>0</v>
      </c>
      <c r="P681" t="n">
        <v>0</v>
      </c>
      <c r="Q681" t="n">
        <v>0</v>
      </c>
      <c r="R681" s="2" t="inlineStr"/>
    </row>
    <row r="682" ht="15" customHeight="1">
      <c r="A682" t="inlineStr">
        <is>
          <t>A 50953-2023</t>
        </is>
      </c>
      <c r="B682" s="1" t="n">
        <v>45211</v>
      </c>
      <c r="C682" s="1" t="n">
        <v>45709</v>
      </c>
      <c r="D682" t="inlineStr">
        <is>
          <t>JÄMTLANDS LÄN</t>
        </is>
      </c>
      <c r="E682" t="inlineStr">
        <is>
          <t>ÖSTERSUND</t>
        </is>
      </c>
      <c r="G682" t="n">
        <v>2.2</v>
      </c>
      <c r="H682" t="n">
        <v>0</v>
      </c>
      <c r="I682" t="n">
        <v>0</v>
      </c>
      <c r="J682" t="n">
        <v>0</v>
      </c>
      <c r="K682" t="n">
        <v>0</v>
      </c>
      <c r="L682" t="n">
        <v>0</v>
      </c>
      <c r="M682" t="n">
        <v>0</v>
      </c>
      <c r="N682" t="n">
        <v>0</v>
      </c>
      <c r="O682" t="n">
        <v>0</v>
      </c>
      <c r="P682" t="n">
        <v>0</v>
      </c>
      <c r="Q682" t="n">
        <v>0</v>
      </c>
      <c r="R682" s="2" t="inlineStr"/>
    </row>
    <row r="683" ht="15" customHeight="1">
      <c r="A683" t="inlineStr">
        <is>
          <t>A 51701-2023</t>
        </is>
      </c>
      <c r="B683" s="1" t="n">
        <v>45215</v>
      </c>
      <c r="C683" s="1" t="n">
        <v>45709</v>
      </c>
      <c r="D683" t="inlineStr">
        <is>
          <t>JÄMTLANDS LÄN</t>
        </is>
      </c>
      <c r="E683" t="inlineStr">
        <is>
          <t>ÖSTERSUND</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52209-2023</t>
        </is>
      </c>
      <c r="B684" s="1" t="n">
        <v>45217</v>
      </c>
      <c r="C684" s="1" t="n">
        <v>45709</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50965-2023</t>
        </is>
      </c>
      <c r="B685" s="1" t="n">
        <v>45218</v>
      </c>
      <c r="C685" s="1" t="n">
        <v>45709</v>
      </c>
      <c r="D685" t="inlineStr">
        <is>
          <t>JÄMTLANDS LÄN</t>
        </is>
      </c>
      <c r="E685" t="inlineStr">
        <is>
          <t>ÖSTERSUND</t>
        </is>
      </c>
      <c r="G685" t="n">
        <v>3.5</v>
      </c>
      <c r="H685" t="n">
        <v>0</v>
      </c>
      <c r="I685" t="n">
        <v>0</v>
      </c>
      <c r="J685" t="n">
        <v>0</v>
      </c>
      <c r="K685" t="n">
        <v>0</v>
      </c>
      <c r="L685" t="n">
        <v>0</v>
      </c>
      <c r="M685" t="n">
        <v>0</v>
      </c>
      <c r="N685" t="n">
        <v>0</v>
      </c>
      <c r="O685" t="n">
        <v>0</v>
      </c>
      <c r="P685" t="n">
        <v>0</v>
      </c>
      <c r="Q685" t="n">
        <v>0</v>
      </c>
      <c r="R685" s="2" t="inlineStr"/>
    </row>
    <row r="686" ht="15" customHeight="1">
      <c r="A686" t="inlineStr">
        <is>
          <t>A 51480-2023</t>
        </is>
      </c>
      <c r="B686" s="1" t="n">
        <v>45222</v>
      </c>
      <c r="C686" s="1" t="n">
        <v>45709</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51482-2023</t>
        </is>
      </c>
      <c r="B687" s="1" t="n">
        <v>45222</v>
      </c>
      <c r="C687" s="1" t="n">
        <v>45709</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51481-2023</t>
        </is>
      </c>
      <c r="B688" s="1" t="n">
        <v>45222</v>
      </c>
      <c r="C688" s="1" t="n">
        <v>45709</v>
      </c>
      <c r="D688" t="inlineStr">
        <is>
          <t>JÄMTLANDS LÄN</t>
        </is>
      </c>
      <c r="E688" t="inlineStr">
        <is>
          <t>ÖSTERSUND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51479-2023</t>
        </is>
      </c>
      <c r="B689" s="1" t="n">
        <v>45222</v>
      </c>
      <c r="C689" s="1" t="n">
        <v>45709</v>
      </c>
      <c r="D689" t="inlineStr">
        <is>
          <t>JÄMTLANDS LÄN</t>
        </is>
      </c>
      <c r="E689" t="inlineStr">
        <is>
          <t>ÖSTERSUND</t>
        </is>
      </c>
      <c r="G689" t="n">
        <v>1.9</v>
      </c>
      <c r="H689" t="n">
        <v>0</v>
      </c>
      <c r="I689" t="n">
        <v>0</v>
      </c>
      <c r="J689" t="n">
        <v>0</v>
      </c>
      <c r="K689" t="n">
        <v>0</v>
      </c>
      <c r="L689" t="n">
        <v>0</v>
      </c>
      <c r="M689" t="n">
        <v>0</v>
      </c>
      <c r="N689" t="n">
        <v>0</v>
      </c>
      <c r="O689" t="n">
        <v>0</v>
      </c>
      <c r="P689" t="n">
        <v>0</v>
      </c>
      <c r="Q689" t="n">
        <v>0</v>
      </c>
      <c r="R689" s="2" t="inlineStr"/>
    </row>
    <row r="690" ht="15" customHeight="1">
      <c r="A690" t="inlineStr">
        <is>
          <t>A 53152-2023</t>
        </is>
      </c>
      <c r="B690" s="1" t="n">
        <v>45222</v>
      </c>
      <c r="C690" s="1" t="n">
        <v>45709</v>
      </c>
      <c r="D690" t="inlineStr">
        <is>
          <t>JÄMTLANDS LÄN</t>
        </is>
      </c>
      <c r="E690" t="inlineStr">
        <is>
          <t>ÖSTERSUND</t>
        </is>
      </c>
      <c r="G690" t="n">
        <v>1</v>
      </c>
      <c r="H690" t="n">
        <v>0</v>
      </c>
      <c r="I690" t="n">
        <v>0</v>
      </c>
      <c r="J690" t="n">
        <v>0</v>
      </c>
      <c r="K690" t="n">
        <v>0</v>
      </c>
      <c r="L690" t="n">
        <v>0</v>
      </c>
      <c r="M690" t="n">
        <v>0</v>
      </c>
      <c r="N690" t="n">
        <v>0</v>
      </c>
      <c r="O690" t="n">
        <v>0</v>
      </c>
      <c r="P690" t="n">
        <v>0</v>
      </c>
      <c r="Q690" t="n">
        <v>0</v>
      </c>
      <c r="R690" s="2" t="inlineStr"/>
    </row>
    <row r="691" ht="15" customHeight="1">
      <c r="A691" t="inlineStr">
        <is>
          <t>A 51818-2023</t>
        </is>
      </c>
      <c r="B691" s="1" t="n">
        <v>45223</v>
      </c>
      <c r="C691" s="1" t="n">
        <v>45709</v>
      </c>
      <c r="D691" t="inlineStr">
        <is>
          <t>JÄMTLANDS LÄN</t>
        </is>
      </c>
      <c r="E691" t="inlineStr">
        <is>
          <t>ÖSTERSUND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51913-2023</t>
        </is>
      </c>
      <c r="B692" s="1" t="n">
        <v>45223</v>
      </c>
      <c r="C692" s="1" t="n">
        <v>45709</v>
      </c>
      <c r="D692" t="inlineStr">
        <is>
          <t>JÄMTLANDS LÄN</t>
        </is>
      </c>
      <c r="E692" t="inlineStr">
        <is>
          <t>ÖSTERSUND</t>
        </is>
      </c>
      <c r="F692" t="inlineStr">
        <is>
          <t>Övriga Aktiebolag</t>
        </is>
      </c>
      <c r="G692" t="n">
        <v>3.4</v>
      </c>
      <c r="H692" t="n">
        <v>0</v>
      </c>
      <c r="I692" t="n">
        <v>0</v>
      </c>
      <c r="J692" t="n">
        <v>0</v>
      </c>
      <c r="K692" t="n">
        <v>0</v>
      </c>
      <c r="L692" t="n">
        <v>0</v>
      </c>
      <c r="M692" t="n">
        <v>0</v>
      </c>
      <c r="N692" t="n">
        <v>0</v>
      </c>
      <c r="O692" t="n">
        <v>0</v>
      </c>
      <c r="P692" t="n">
        <v>0</v>
      </c>
      <c r="Q692" t="n">
        <v>0</v>
      </c>
      <c r="R692" s="2" t="inlineStr"/>
    </row>
    <row r="693" ht="15" customHeight="1">
      <c r="A693" t="inlineStr">
        <is>
          <t>A 51942-2023</t>
        </is>
      </c>
      <c r="B693" s="1" t="n">
        <v>45223</v>
      </c>
      <c r="C693" s="1" t="n">
        <v>45709</v>
      </c>
      <c r="D693" t="inlineStr">
        <is>
          <t>JÄMTLANDS LÄN</t>
        </is>
      </c>
      <c r="E693" t="inlineStr">
        <is>
          <t>ÖSTERSUND</t>
        </is>
      </c>
      <c r="F693" t="inlineStr">
        <is>
          <t>Övriga Aktiebolag</t>
        </is>
      </c>
      <c r="G693" t="n">
        <v>0.6</v>
      </c>
      <c r="H693" t="n">
        <v>0</v>
      </c>
      <c r="I693" t="n">
        <v>0</v>
      </c>
      <c r="J693" t="n">
        <v>0</v>
      </c>
      <c r="K693" t="n">
        <v>0</v>
      </c>
      <c r="L693" t="n">
        <v>0</v>
      </c>
      <c r="M693" t="n">
        <v>0</v>
      </c>
      <c r="N693" t="n">
        <v>0</v>
      </c>
      <c r="O693" t="n">
        <v>0</v>
      </c>
      <c r="P693" t="n">
        <v>0</v>
      </c>
      <c r="Q693" t="n">
        <v>0</v>
      </c>
      <c r="R693" s="2" t="inlineStr"/>
    </row>
    <row r="694" ht="15" customHeight="1">
      <c r="A694" t="inlineStr">
        <is>
          <t>A 52128-2023</t>
        </is>
      </c>
      <c r="B694" s="1" t="n">
        <v>45223</v>
      </c>
      <c r="C694" s="1" t="n">
        <v>45709</v>
      </c>
      <c r="D694" t="inlineStr">
        <is>
          <t>JÄMTLANDS LÄN</t>
        </is>
      </c>
      <c r="E694" t="inlineStr">
        <is>
          <t>ÖSTERSUND</t>
        </is>
      </c>
      <c r="F694" t="inlineStr">
        <is>
          <t>SCA</t>
        </is>
      </c>
      <c r="G694" t="n">
        <v>11.9</v>
      </c>
      <c r="H694" t="n">
        <v>0</v>
      </c>
      <c r="I694" t="n">
        <v>0</v>
      </c>
      <c r="J694" t="n">
        <v>0</v>
      </c>
      <c r="K694" t="n">
        <v>0</v>
      </c>
      <c r="L694" t="n">
        <v>0</v>
      </c>
      <c r="M694" t="n">
        <v>0</v>
      </c>
      <c r="N694" t="n">
        <v>0</v>
      </c>
      <c r="O694" t="n">
        <v>0</v>
      </c>
      <c r="P694" t="n">
        <v>0</v>
      </c>
      <c r="Q694" t="n">
        <v>0</v>
      </c>
      <c r="R694" s="2" t="inlineStr"/>
    </row>
    <row r="695" ht="15" customHeight="1">
      <c r="A695" t="inlineStr">
        <is>
          <t>A 51936-2023</t>
        </is>
      </c>
      <c r="B695" s="1" t="n">
        <v>45223</v>
      </c>
      <c r="C695" s="1" t="n">
        <v>45709</v>
      </c>
      <c r="D695" t="inlineStr">
        <is>
          <t>JÄMTLANDS LÄN</t>
        </is>
      </c>
      <c r="E695" t="inlineStr">
        <is>
          <t>ÖSTERSUND</t>
        </is>
      </c>
      <c r="G695" t="n">
        <v>8.4</v>
      </c>
      <c r="H695" t="n">
        <v>0</v>
      </c>
      <c r="I695" t="n">
        <v>0</v>
      </c>
      <c r="J695" t="n">
        <v>0</v>
      </c>
      <c r="K695" t="n">
        <v>0</v>
      </c>
      <c r="L695" t="n">
        <v>0</v>
      </c>
      <c r="M695" t="n">
        <v>0</v>
      </c>
      <c r="N695" t="n">
        <v>0</v>
      </c>
      <c r="O695" t="n">
        <v>0</v>
      </c>
      <c r="P695" t="n">
        <v>0</v>
      </c>
      <c r="Q695" t="n">
        <v>0</v>
      </c>
      <c r="R695" s="2" t="inlineStr"/>
    </row>
    <row r="696" ht="15" customHeight="1">
      <c r="A696" t="inlineStr">
        <is>
          <t>A 51941-2023</t>
        </is>
      </c>
      <c r="B696" s="1" t="n">
        <v>45223</v>
      </c>
      <c r="C696" s="1" t="n">
        <v>45709</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53378-2023</t>
        </is>
      </c>
      <c r="B697" s="1" t="n">
        <v>45223</v>
      </c>
      <c r="C697" s="1" t="n">
        <v>45709</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53380-2023</t>
        </is>
      </c>
      <c r="B698" s="1" t="n">
        <v>45223</v>
      </c>
      <c r="C698" s="1" t="n">
        <v>45709</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52553-2023</t>
        </is>
      </c>
      <c r="B699" s="1" t="n">
        <v>45225</v>
      </c>
      <c r="C699" s="1" t="n">
        <v>45709</v>
      </c>
      <c r="D699" t="inlineStr">
        <is>
          <t>JÄMTLANDS LÄN</t>
        </is>
      </c>
      <c r="E699" t="inlineStr">
        <is>
          <t>ÖSTERSUND</t>
        </is>
      </c>
      <c r="G699" t="n">
        <v>19.9</v>
      </c>
      <c r="H699" t="n">
        <v>0</v>
      </c>
      <c r="I699" t="n">
        <v>0</v>
      </c>
      <c r="J699" t="n">
        <v>0</v>
      </c>
      <c r="K699" t="n">
        <v>0</v>
      </c>
      <c r="L699" t="n">
        <v>0</v>
      </c>
      <c r="M699" t="n">
        <v>0</v>
      </c>
      <c r="N699" t="n">
        <v>0</v>
      </c>
      <c r="O699" t="n">
        <v>0</v>
      </c>
      <c r="P699" t="n">
        <v>0</v>
      </c>
      <c r="Q699" t="n">
        <v>0</v>
      </c>
      <c r="R699" s="2" t="inlineStr"/>
    </row>
    <row r="700" ht="15" customHeight="1">
      <c r="A700" t="inlineStr">
        <is>
          <t>A 55235-2023</t>
        </is>
      </c>
      <c r="B700" s="1" t="n">
        <v>45231</v>
      </c>
      <c r="C700" s="1" t="n">
        <v>45709</v>
      </c>
      <c r="D700" t="inlineStr">
        <is>
          <t>JÄMTLANDS LÄN</t>
        </is>
      </c>
      <c r="E700" t="inlineStr">
        <is>
          <t>ÖSTERSUND</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55251-2023</t>
        </is>
      </c>
      <c r="B701" s="1" t="n">
        <v>45231</v>
      </c>
      <c r="C701" s="1" t="n">
        <v>45709</v>
      </c>
      <c r="D701" t="inlineStr">
        <is>
          <t>JÄMTLANDS LÄN</t>
        </is>
      </c>
      <c r="E701" t="inlineStr">
        <is>
          <t>ÖSTERSUND</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55400-2023</t>
        </is>
      </c>
      <c r="B702" s="1" t="n">
        <v>45231</v>
      </c>
      <c r="C702" s="1" t="n">
        <v>45709</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54131-2023</t>
        </is>
      </c>
      <c r="B703" s="1" t="n">
        <v>45232</v>
      </c>
      <c r="C703" s="1" t="n">
        <v>45709</v>
      </c>
      <c r="D703" t="inlineStr">
        <is>
          <t>JÄMTLANDS LÄN</t>
        </is>
      </c>
      <c r="E703" t="inlineStr">
        <is>
          <t>ÖSTERSUND</t>
        </is>
      </c>
      <c r="G703" t="n">
        <v>5.5</v>
      </c>
      <c r="H703" t="n">
        <v>0</v>
      </c>
      <c r="I703" t="n">
        <v>0</v>
      </c>
      <c r="J703" t="n">
        <v>0</v>
      </c>
      <c r="K703" t="n">
        <v>0</v>
      </c>
      <c r="L703" t="n">
        <v>0</v>
      </c>
      <c r="M703" t="n">
        <v>0</v>
      </c>
      <c r="N703" t="n">
        <v>0</v>
      </c>
      <c r="O703" t="n">
        <v>0</v>
      </c>
      <c r="P703" t="n">
        <v>0</v>
      </c>
      <c r="Q703" t="n">
        <v>0</v>
      </c>
      <c r="R703" s="2" t="inlineStr"/>
    </row>
    <row r="704" ht="15" customHeight="1">
      <c r="A704" t="inlineStr">
        <is>
          <t>A 54608-2023</t>
        </is>
      </c>
      <c r="B704" s="1" t="n">
        <v>45233</v>
      </c>
      <c r="C704" s="1" t="n">
        <v>45709</v>
      </c>
      <c r="D704" t="inlineStr">
        <is>
          <t>JÄMTLANDS LÄN</t>
        </is>
      </c>
      <c r="E704" t="inlineStr">
        <is>
          <t>ÖSTERSUND</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55996-2023</t>
        </is>
      </c>
      <c r="B705" s="1" t="n">
        <v>45233</v>
      </c>
      <c r="C705" s="1" t="n">
        <v>45709</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56043-2023</t>
        </is>
      </c>
      <c r="B706" s="1" t="n">
        <v>45233</v>
      </c>
      <c r="C706" s="1" t="n">
        <v>45709</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54576-2023</t>
        </is>
      </c>
      <c r="B707" s="1" t="n">
        <v>45233</v>
      </c>
      <c r="C707" s="1" t="n">
        <v>45709</v>
      </c>
      <c r="D707" t="inlineStr">
        <is>
          <t>JÄMTLANDS LÄN</t>
        </is>
      </c>
      <c r="E707" t="inlineStr">
        <is>
          <t>ÖSTERSUND</t>
        </is>
      </c>
      <c r="F707" t="inlineStr">
        <is>
          <t>Övriga Aktiebolag</t>
        </is>
      </c>
      <c r="G707" t="n">
        <v>7.3</v>
      </c>
      <c r="H707" t="n">
        <v>0</v>
      </c>
      <c r="I707" t="n">
        <v>0</v>
      </c>
      <c r="J707" t="n">
        <v>0</v>
      </c>
      <c r="K707" t="n">
        <v>0</v>
      </c>
      <c r="L707" t="n">
        <v>0</v>
      </c>
      <c r="M707" t="n">
        <v>0</v>
      </c>
      <c r="N707" t="n">
        <v>0</v>
      </c>
      <c r="O707" t="n">
        <v>0</v>
      </c>
      <c r="P707" t="n">
        <v>0</v>
      </c>
      <c r="Q707" t="n">
        <v>0</v>
      </c>
      <c r="R707" s="2" t="inlineStr"/>
    </row>
    <row r="708" ht="15" customHeight="1">
      <c r="A708" t="inlineStr">
        <is>
          <t>A 54762-2023</t>
        </is>
      </c>
      <c r="B708" s="1" t="n">
        <v>45236</v>
      </c>
      <c r="C708" s="1" t="n">
        <v>45709</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54883-2023</t>
        </is>
      </c>
      <c r="B709" s="1" t="n">
        <v>45236</v>
      </c>
      <c r="C709" s="1" t="n">
        <v>45709</v>
      </c>
      <c r="D709" t="inlineStr">
        <is>
          <t>JÄMTLANDS LÄN</t>
        </is>
      </c>
      <c r="E709" t="inlineStr">
        <is>
          <t>ÖSTERSUND</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54973-2023</t>
        </is>
      </c>
      <c r="B710" s="1" t="n">
        <v>45236</v>
      </c>
      <c r="C710" s="1" t="n">
        <v>45709</v>
      </c>
      <c r="D710" t="inlineStr">
        <is>
          <t>JÄMTLANDS LÄN</t>
        </is>
      </c>
      <c r="E710" t="inlineStr">
        <is>
          <t>ÖSTERSUND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55140-2023</t>
        </is>
      </c>
      <c r="B711" s="1" t="n">
        <v>45237</v>
      </c>
      <c r="C711" s="1" t="n">
        <v>45709</v>
      </c>
      <c r="D711" t="inlineStr">
        <is>
          <t>JÄMTLANDS LÄN</t>
        </is>
      </c>
      <c r="E711" t="inlineStr">
        <is>
          <t>ÖSTERSUND</t>
        </is>
      </c>
      <c r="G711" t="n">
        <v>1.8</v>
      </c>
      <c r="H711" t="n">
        <v>0</v>
      </c>
      <c r="I711" t="n">
        <v>0</v>
      </c>
      <c r="J711" t="n">
        <v>0</v>
      </c>
      <c r="K711" t="n">
        <v>0</v>
      </c>
      <c r="L711" t="n">
        <v>0</v>
      </c>
      <c r="M711" t="n">
        <v>0</v>
      </c>
      <c r="N711" t="n">
        <v>0</v>
      </c>
      <c r="O711" t="n">
        <v>0</v>
      </c>
      <c r="P711" t="n">
        <v>0</v>
      </c>
      <c r="Q711" t="n">
        <v>0</v>
      </c>
      <c r="R711" s="2" t="inlineStr"/>
    </row>
    <row r="712" ht="15" customHeight="1">
      <c r="A712" t="inlineStr">
        <is>
          <t>A 55237-2023</t>
        </is>
      </c>
      <c r="B712" s="1" t="n">
        <v>45237</v>
      </c>
      <c r="C712" s="1" t="n">
        <v>45709</v>
      </c>
      <c r="D712" t="inlineStr">
        <is>
          <t>JÄMTLANDS LÄN</t>
        </is>
      </c>
      <c r="E712" t="inlineStr">
        <is>
          <t>ÖSTERSUND</t>
        </is>
      </c>
      <c r="G712" t="n">
        <v>2.7</v>
      </c>
      <c r="H712" t="n">
        <v>0</v>
      </c>
      <c r="I712" t="n">
        <v>0</v>
      </c>
      <c r="J712" t="n">
        <v>0</v>
      </c>
      <c r="K712" t="n">
        <v>0</v>
      </c>
      <c r="L712" t="n">
        <v>0</v>
      </c>
      <c r="M712" t="n">
        <v>0</v>
      </c>
      <c r="N712" t="n">
        <v>0</v>
      </c>
      <c r="O712" t="n">
        <v>0</v>
      </c>
      <c r="P712" t="n">
        <v>0</v>
      </c>
      <c r="Q712" t="n">
        <v>0</v>
      </c>
      <c r="R712" s="2" t="inlineStr"/>
    </row>
    <row r="713" ht="15" customHeight="1">
      <c r="A713" t="inlineStr">
        <is>
          <t>A 55233-2023</t>
        </is>
      </c>
      <c r="B713" s="1" t="n">
        <v>45237</v>
      </c>
      <c r="C713" s="1" t="n">
        <v>45709</v>
      </c>
      <c r="D713" t="inlineStr">
        <is>
          <t>JÄMTLANDS LÄN</t>
        </is>
      </c>
      <c r="E713" t="inlineStr">
        <is>
          <t>ÖSTERSUND</t>
        </is>
      </c>
      <c r="G713" t="n">
        <v>1.9</v>
      </c>
      <c r="H713" t="n">
        <v>0</v>
      </c>
      <c r="I713" t="n">
        <v>0</v>
      </c>
      <c r="J713" t="n">
        <v>0</v>
      </c>
      <c r="K713" t="n">
        <v>0</v>
      </c>
      <c r="L713" t="n">
        <v>0</v>
      </c>
      <c r="M713" t="n">
        <v>0</v>
      </c>
      <c r="N713" t="n">
        <v>0</v>
      </c>
      <c r="O713" t="n">
        <v>0</v>
      </c>
      <c r="P713" t="n">
        <v>0</v>
      </c>
      <c r="Q713" t="n">
        <v>0</v>
      </c>
      <c r="R713" s="2" t="inlineStr"/>
    </row>
    <row r="714" ht="15" customHeight="1">
      <c r="A714" t="inlineStr">
        <is>
          <t>A 56440-2023</t>
        </is>
      </c>
      <c r="B714" s="1" t="n">
        <v>45237</v>
      </c>
      <c r="C714" s="1" t="n">
        <v>45709</v>
      </c>
      <c r="D714" t="inlineStr">
        <is>
          <t>JÄMTLANDS LÄN</t>
        </is>
      </c>
      <c r="E714" t="inlineStr">
        <is>
          <t>ÖSTERSUND</t>
        </is>
      </c>
      <c r="G714" t="n">
        <v>10.2</v>
      </c>
      <c r="H714" t="n">
        <v>0</v>
      </c>
      <c r="I714" t="n">
        <v>0</v>
      </c>
      <c r="J714" t="n">
        <v>0</v>
      </c>
      <c r="K714" t="n">
        <v>0</v>
      </c>
      <c r="L714" t="n">
        <v>0</v>
      </c>
      <c r="M714" t="n">
        <v>0</v>
      </c>
      <c r="N714" t="n">
        <v>0</v>
      </c>
      <c r="O714" t="n">
        <v>0</v>
      </c>
      <c r="P714" t="n">
        <v>0</v>
      </c>
      <c r="Q714" t="n">
        <v>0</v>
      </c>
      <c r="R714" s="2" t="inlineStr"/>
    </row>
    <row r="715" ht="15" customHeight="1">
      <c r="A715" t="inlineStr">
        <is>
          <t>A 55666-2023</t>
        </is>
      </c>
      <c r="B715" s="1" t="n">
        <v>45239</v>
      </c>
      <c r="C715" s="1" t="n">
        <v>45709</v>
      </c>
      <c r="D715" t="inlineStr">
        <is>
          <t>JÄMTLANDS LÄN</t>
        </is>
      </c>
      <c r="E715" t="inlineStr">
        <is>
          <t>ÖSTERSUND</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56597-2023</t>
        </is>
      </c>
      <c r="B716" s="1" t="n">
        <v>45238</v>
      </c>
      <c r="C716" s="1" t="n">
        <v>45709</v>
      </c>
      <c r="D716" t="inlineStr">
        <is>
          <t>JÄMTLANDS LÄN</t>
        </is>
      </c>
      <c r="E716" t="inlineStr">
        <is>
          <t>ÖSTERSUND</t>
        </is>
      </c>
      <c r="G716" t="n">
        <v>5.1</v>
      </c>
      <c r="H716" t="n">
        <v>0</v>
      </c>
      <c r="I716" t="n">
        <v>0</v>
      </c>
      <c r="J716" t="n">
        <v>0</v>
      </c>
      <c r="K716" t="n">
        <v>0</v>
      </c>
      <c r="L716" t="n">
        <v>0</v>
      </c>
      <c r="M716" t="n">
        <v>0</v>
      </c>
      <c r="N716" t="n">
        <v>0</v>
      </c>
      <c r="O716" t="n">
        <v>0</v>
      </c>
      <c r="P716" t="n">
        <v>0</v>
      </c>
      <c r="Q716" t="n">
        <v>0</v>
      </c>
      <c r="R716" s="2" t="inlineStr"/>
    </row>
    <row r="717" ht="15" customHeight="1">
      <c r="A717" t="inlineStr">
        <is>
          <t>A 55678-2023</t>
        </is>
      </c>
      <c r="B717" s="1" t="n">
        <v>45239</v>
      </c>
      <c r="C717" s="1" t="n">
        <v>45709</v>
      </c>
      <c r="D717" t="inlineStr">
        <is>
          <t>JÄMTLANDS LÄN</t>
        </is>
      </c>
      <c r="E717" t="inlineStr">
        <is>
          <t>ÖSTERSUND</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55785-2023</t>
        </is>
      </c>
      <c r="B718" s="1" t="n">
        <v>45239</v>
      </c>
      <c r="C718" s="1" t="n">
        <v>45709</v>
      </c>
      <c r="D718" t="inlineStr">
        <is>
          <t>JÄMTLANDS LÄN</t>
        </is>
      </c>
      <c r="E718" t="inlineStr">
        <is>
          <t>ÖSTERSUND</t>
        </is>
      </c>
      <c r="F718" t="inlineStr">
        <is>
          <t>Övriga Aktiebolag</t>
        </is>
      </c>
      <c r="G718" t="n">
        <v>16.4</v>
      </c>
      <c r="H718" t="n">
        <v>0</v>
      </c>
      <c r="I718" t="n">
        <v>0</v>
      </c>
      <c r="J718" t="n">
        <v>0</v>
      </c>
      <c r="K718" t="n">
        <v>0</v>
      </c>
      <c r="L718" t="n">
        <v>0</v>
      </c>
      <c r="M718" t="n">
        <v>0</v>
      </c>
      <c r="N718" t="n">
        <v>0</v>
      </c>
      <c r="O718" t="n">
        <v>0</v>
      </c>
      <c r="P718" t="n">
        <v>0</v>
      </c>
      <c r="Q718" t="n">
        <v>0</v>
      </c>
      <c r="R718" s="2" t="inlineStr"/>
    </row>
    <row r="719" ht="15" customHeight="1">
      <c r="A719" t="inlineStr">
        <is>
          <t>A 55827-2023</t>
        </is>
      </c>
      <c r="B719" s="1" t="n">
        <v>45239</v>
      </c>
      <c r="C719" s="1" t="n">
        <v>45709</v>
      </c>
      <c r="D719" t="inlineStr">
        <is>
          <t>JÄMTLANDS LÄN</t>
        </is>
      </c>
      <c r="E719" t="inlineStr">
        <is>
          <t>ÖSTERSUND</t>
        </is>
      </c>
      <c r="F719" t="inlineStr">
        <is>
          <t>Övriga Aktiebolag</t>
        </is>
      </c>
      <c r="G719" t="n">
        <v>9.1</v>
      </c>
      <c r="H719" t="n">
        <v>0</v>
      </c>
      <c r="I719" t="n">
        <v>0</v>
      </c>
      <c r="J719" t="n">
        <v>0</v>
      </c>
      <c r="K719" t="n">
        <v>0</v>
      </c>
      <c r="L719" t="n">
        <v>0</v>
      </c>
      <c r="M719" t="n">
        <v>0</v>
      </c>
      <c r="N719" t="n">
        <v>0</v>
      </c>
      <c r="O719" t="n">
        <v>0</v>
      </c>
      <c r="P719" t="n">
        <v>0</v>
      </c>
      <c r="Q719" t="n">
        <v>0</v>
      </c>
      <c r="R719" s="2" t="inlineStr"/>
    </row>
    <row r="720" ht="15" customHeight="1">
      <c r="A720" t="inlineStr">
        <is>
          <t>A 56465-2023</t>
        </is>
      </c>
      <c r="B720" s="1" t="n">
        <v>45243</v>
      </c>
      <c r="C720" s="1" t="n">
        <v>45709</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56478-2023</t>
        </is>
      </c>
      <c r="B721" s="1" t="n">
        <v>45243</v>
      </c>
      <c r="C721" s="1" t="n">
        <v>45709</v>
      </c>
      <c r="D721" t="inlineStr">
        <is>
          <t>JÄMTLANDS LÄN</t>
        </is>
      </c>
      <c r="E721" t="inlineStr">
        <is>
          <t>ÖSTERSUND</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57863-2023</t>
        </is>
      </c>
      <c r="B722" s="1" t="n">
        <v>45244</v>
      </c>
      <c r="C722" s="1" t="n">
        <v>45709</v>
      </c>
      <c r="D722" t="inlineStr">
        <is>
          <t>JÄMTLANDS LÄN</t>
        </is>
      </c>
      <c r="E722" t="inlineStr">
        <is>
          <t>ÖSTERSUND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57398-2023</t>
        </is>
      </c>
      <c r="B723" s="1" t="n">
        <v>45245</v>
      </c>
      <c r="C723" s="1" t="n">
        <v>45709</v>
      </c>
      <c r="D723" t="inlineStr">
        <is>
          <t>JÄMTLANDS LÄN</t>
        </is>
      </c>
      <c r="E723" t="inlineStr">
        <is>
          <t>ÖSTERSUND</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58809-2023</t>
        </is>
      </c>
      <c r="B724" s="1" t="n">
        <v>45247</v>
      </c>
      <c r="C724" s="1" t="n">
        <v>45709</v>
      </c>
      <c r="D724" t="inlineStr">
        <is>
          <t>JÄMTLANDS LÄN</t>
        </is>
      </c>
      <c r="E724" t="inlineStr">
        <is>
          <t>ÖSTERSUND</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58818-2023</t>
        </is>
      </c>
      <c r="B725" s="1" t="n">
        <v>45247</v>
      </c>
      <c r="C725" s="1" t="n">
        <v>45709</v>
      </c>
      <c r="D725" t="inlineStr">
        <is>
          <t>JÄMTLANDS LÄN</t>
        </is>
      </c>
      <c r="E725" t="inlineStr">
        <is>
          <t>ÖSTERSUND</t>
        </is>
      </c>
      <c r="G725" t="n">
        <v>6.7</v>
      </c>
      <c r="H725" t="n">
        <v>0</v>
      </c>
      <c r="I725" t="n">
        <v>0</v>
      </c>
      <c r="J725" t="n">
        <v>0</v>
      </c>
      <c r="K725" t="n">
        <v>0</v>
      </c>
      <c r="L725" t="n">
        <v>0</v>
      </c>
      <c r="M725" t="n">
        <v>0</v>
      </c>
      <c r="N725" t="n">
        <v>0</v>
      </c>
      <c r="O725" t="n">
        <v>0</v>
      </c>
      <c r="P725" t="n">
        <v>0</v>
      </c>
      <c r="Q725" t="n">
        <v>0</v>
      </c>
      <c r="R725" s="2" t="inlineStr"/>
    </row>
    <row r="726" ht="15" customHeight="1">
      <c r="A726" t="inlineStr">
        <is>
          <t>A 57839-2023</t>
        </is>
      </c>
      <c r="B726" s="1" t="n">
        <v>45247</v>
      </c>
      <c r="C726" s="1" t="n">
        <v>45709</v>
      </c>
      <c r="D726" t="inlineStr">
        <is>
          <t>JÄMTLANDS LÄN</t>
        </is>
      </c>
      <c r="E726" t="inlineStr">
        <is>
          <t>ÖSTERSUND</t>
        </is>
      </c>
      <c r="G726" t="n">
        <v>6.1</v>
      </c>
      <c r="H726" t="n">
        <v>0</v>
      </c>
      <c r="I726" t="n">
        <v>0</v>
      </c>
      <c r="J726" t="n">
        <v>0</v>
      </c>
      <c r="K726" t="n">
        <v>0</v>
      </c>
      <c r="L726" t="n">
        <v>0</v>
      </c>
      <c r="M726" t="n">
        <v>0</v>
      </c>
      <c r="N726" t="n">
        <v>0</v>
      </c>
      <c r="O726" t="n">
        <v>0</v>
      </c>
      <c r="P726" t="n">
        <v>0</v>
      </c>
      <c r="Q726" t="n">
        <v>0</v>
      </c>
      <c r="R726" s="2" t="inlineStr"/>
    </row>
    <row r="727" ht="15" customHeight="1">
      <c r="A727" t="inlineStr">
        <is>
          <t>A 59021-2023</t>
        </is>
      </c>
      <c r="B727" s="1" t="n">
        <v>45250</v>
      </c>
      <c r="C727" s="1" t="n">
        <v>45709</v>
      </c>
      <c r="D727" t="inlineStr">
        <is>
          <t>JÄMTLANDS LÄN</t>
        </is>
      </c>
      <c r="E727" t="inlineStr">
        <is>
          <t>ÖSTERSUND</t>
        </is>
      </c>
      <c r="G727" t="n">
        <v>7</v>
      </c>
      <c r="H727" t="n">
        <v>0</v>
      </c>
      <c r="I727" t="n">
        <v>0</v>
      </c>
      <c r="J727" t="n">
        <v>0</v>
      </c>
      <c r="K727" t="n">
        <v>0</v>
      </c>
      <c r="L727" t="n">
        <v>0</v>
      </c>
      <c r="M727" t="n">
        <v>0</v>
      </c>
      <c r="N727" t="n">
        <v>0</v>
      </c>
      <c r="O727" t="n">
        <v>0</v>
      </c>
      <c r="P727" t="n">
        <v>0</v>
      </c>
      <c r="Q727" t="n">
        <v>0</v>
      </c>
      <c r="R727" s="2" t="inlineStr"/>
    </row>
    <row r="728" ht="15" customHeight="1">
      <c r="A728" t="inlineStr">
        <is>
          <t>A 59094-2023</t>
        </is>
      </c>
      <c r="B728" s="1" t="n">
        <v>45253</v>
      </c>
      <c r="C728" s="1" t="n">
        <v>45709</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59095-2023</t>
        </is>
      </c>
      <c r="B729" s="1" t="n">
        <v>45253</v>
      </c>
      <c r="C729" s="1" t="n">
        <v>45709</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59611-2023</t>
        </is>
      </c>
      <c r="B730" s="1" t="n">
        <v>45254</v>
      </c>
      <c r="C730" s="1" t="n">
        <v>45709</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59953-2023</t>
        </is>
      </c>
      <c r="B731" s="1" t="n">
        <v>45254</v>
      </c>
      <c r="C731" s="1" t="n">
        <v>45709</v>
      </c>
      <c r="D731" t="inlineStr">
        <is>
          <t>JÄMTLANDS LÄN</t>
        </is>
      </c>
      <c r="E731" t="inlineStr">
        <is>
          <t>ÖSTERSUND</t>
        </is>
      </c>
      <c r="G731" t="n">
        <v>4.6</v>
      </c>
      <c r="H731" t="n">
        <v>0</v>
      </c>
      <c r="I731" t="n">
        <v>0</v>
      </c>
      <c r="J731" t="n">
        <v>0</v>
      </c>
      <c r="K731" t="n">
        <v>0</v>
      </c>
      <c r="L731" t="n">
        <v>0</v>
      </c>
      <c r="M731" t="n">
        <v>0</v>
      </c>
      <c r="N731" t="n">
        <v>0</v>
      </c>
      <c r="O731" t="n">
        <v>0</v>
      </c>
      <c r="P731" t="n">
        <v>0</v>
      </c>
      <c r="Q731" t="n">
        <v>0</v>
      </c>
      <c r="R731" s="2" t="inlineStr"/>
    </row>
    <row r="732" ht="15" customHeight="1">
      <c r="A732" t="inlineStr">
        <is>
          <t>A 59694-2023</t>
        </is>
      </c>
      <c r="B732" s="1" t="n">
        <v>45256</v>
      </c>
      <c r="C732" s="1" t="n">
        <v>45709</v>
      </c>
      <c r="D732" t="inlineStr">
        <is>
          <t>JÄMTLANDS LÄN</t>
        </is>
      </c>
      <c r="E732" t="inlineStr">
        <is>
          <t>ÖSTERSUND</t>
        </is>
      </c>
      <c r="G732" t="n">
        <v>4.1</v>
      </c>
      <c r="H732" t="n">
        <v>0</v>
      </c>
      <c r="I732" t="n">
        <v>0</v>
      </c>
      <c r="J732" t="n">
        <v>0</v>
      </c>
      <c r="K732" t="n">
        <v>0</v>
      </c>
      <c r="L732" t="n">
        <v>0</v>
      </c>
      <c r="M732" t="n">
        <v>0</v>
      </c>
      <c r="N732" t="n">
        <v>0</v>
      </c>
      <c r="O732" t="n">
        <v>0</v>
      </c>
      <c r="P732" t="n">
        <v>0</v>
      </c>
      <c r="Q732" t="n">
        <v>0</v>
      </c>
      <c r="R732" s="2" t="inlineStr"/>
    </row>
    <row r="733" ht="15" customHeight="1">
      <c r="A733" t="inlineStr">
        <is>
          <t>A 59813-2023</t>
        </is>
      </c>
      <c r="B733" s="1" t="n">
        <v>45257</v>
      </c>
      <c r="C733" s="1" t="n">
        <v>45709</v>
      </c>
      <c r="D733" t="inlineStr">
        <is>
          <t>JÄMTLANDS LÄN</t>
        </is>
      </c>
      <c r="E733" t="inlineStr">
        <is>
          <t>ÖSTERSUND</t>
        </is>
      </c>
      <c r="G733" t="n">
        <v>3.8</v>
      </c>
      <c r="H733" t="n">
        <v>0</v>
      </c>
      <c r="I733" t="n">
        <v>0</v>
      </c>
      <c r="J733" t="n">
        <v>0</v>
      </c>
      <c r="K733" t="n">
        <v>0</v>
      </c>
      <c r="L733" t="n">
        <v>0</v>
      </c>
      <c r="M733" t="n">
        <v>0</v>
      </c>
      <c r="N733" t="n">
        <v>0</v>
      </c>
      <c r="O733" t="n">
        <v>0</v>
      </c>
      <c r="P733" t="n">
        <v>0</v>
      </c>
      <c r="Q733" t="n">
        <v>0</v>
      </c>
      <c r="R733" s="2" t="inlineStr"/>
    </row>
    <row r="734" ht="15" customHeight="1">
      <c r="A734" t="inlineStr">
        <is>
          <t>A 60029-2023</t>
        </is>
      </c>
      <c r="B734" s="1" t="n">
        <v>45258</v>
      </c>
      <c r="C734" s="1" t="n">
        <v>45709</v>
      </c>
      <c r="D734" t="inlineStr">
        <is>
          <t>JÄMTLANDS LÄN</t>
        </is>
      </c>
      <c r="E734" t="inlineStr">
        <is>
          <t>ÖSTERSUND</t>
        </is>
      </c>
      <c r="G734" t="n">
        <v>1.8</v>
      </c>
      <c r="H734" t="n">
        <v>0</v>
      </c>
      <c r="I734" t="n">
        <v>0</v>
      </c>
      <c r="J734" t="n">
        <v>0</v>
      </c>
      <c r="K734" t="n">
        <v>0</v>
      </c>
      <c r="L734" t="n">
        <v>0</v>
      </c>
      <c r="M734" t="n">
        <v>0</v>
      </c>
      <c r="N734" t="n">
        <v>0</v>
      </c>
      <c r="O734" t="n">
        <v>0</v>
      </c>
      <c r="P734" t="n">
        <v>0</v>
      </c>
      <c r="Q734" t="n">
        <v>0</v>
      </c>
      <c r="R734" s="2" t="inlineStr"/>
    </row>
    <row r="735" ht="15" customHeight="1">
      <c r="A735" t="inlineStr">
        <is>
          <t>A 60477-2023</t>
        </is>
      </c>
      <c r="B735" s="1" t="n">
        <v>45258</v>
      </c>
      <c r="C735" s="1" t="n">
        <v>45709</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60794-2023</t>
        </is>
      </c>
      <c r="B736" s="1" t="n">
        <v>45260</v>
      </c>
      <c r="C736" s="1" t="n">
        <v>45709</v>
      </c>
      <c r="D736" t="inlineStr">
        <is>
          <t>JÄMTLANDS LÄN</t>
        </is>
      </c>
      <c r="E736" t="inlineStr">
        <is>
          <t>ÖSTERSUND</t>
        </is>
      </c>
      <c r="G736" t="n">
        <v>3.6</v>
      </c>
      <c r="H736" t="n">
        <v>0</v>
      </c>
      <c r="I736" t="n">
        <v>0</v>
      </c>
      <c r="J736" t="n">
        <v>0</v>
      </c>
      <c r="K736" t="n">
        <v>0</v>
      </c>
      <c r="L736" t="n">
        <v>0</v>
      </c>
      <c r="M736" t="n">
        <v>0</v>
      </c>
      <c r="N736" t="n">
        <v>0</v>
      </c>
      <c r="O736" t="n">
        <v>0</v>
      </c>
      <c r="P736" t="n">
        <v>0</v>
      </c>
      <c r="Q736" t="n">
        <v>0</v>
      </c>
      <c r="R736" s="2" t="inlineStr"/>
    </row>
    <row r="737" ht="15" customHeight="1">
      <c r="A737" t="inlineStr">
        <is>
          <t>A 60780-2023</t>
        </is>
      </c>
      <c r="B737" s="1" t="n">
        <v>45260</v>
      </c>
      <c r="C737" s="1" t="n">
        <v>45709</v>
      </c>
      <c r="D737" t="inlineStr">
        <is>
          <t>JÄMTLANDS LÄN</t>
        </is>
      </c>
      <c r="E737" t="inlineStr">
        <is>
          <t>ÖSTERSUND</t>
        </is>
      </c>
      <c r="G737" t="n">
        <v>3.7</v>
      </c>
      <c r="H737" t="n">
        <v>0</v>
      </c>
      <c r="I737" t="n">
        <v>0</v>
      </c>
      <c r="J737" t="n">
        <v>0</v>
      </c>
      <c r="K737" t="n">
        <v>0</v>
      </c>
      <c r="L737" t="n">
        <v>0</v>
      </c>
      <c r="M737" t="n">
        <v>0</v>
      </c>
      <c r="N737" t="n">
        <v>0</v>
      </c>
      <c r="O737" t="n">
        <v>0</v>
      </c>
      <c r="P737" t="n">
        <v>0</v>
      </c>
      <c r="Q737" t="n">
        <v>0</v>
      </c>
      <c r="R737" s="2" t="inlineStr"/>
    </row>
    <row r="738" ht="15" customHeight="1">
      <c r="A738" t="inlineStr">
        <is>
          <t>A 61135-2023</t>
        </is>
      </c>
      <c r="B738" s="1" t="n">
        <v>45261</v>
      </c>
      <c r="C738" s="1" t="n">
        <v>45709</v>
      </c>
      <c r="D738" t="inlineStr">
        <is>
          <t>JÄMTLANDS LÄN</t>
        </is>
      </c>
      <c r="E738" t="inlineStr">
        <is>
          <t>ÖSTERSUND</t>
        </is>
      </c>
      <c r="G738" t="n">
        <v>7.3</v>
      </c>
      <c r="H738" t="n">
        <v>0</v>
      </c>
      <c r="I738" t="n">
        <v>0</v>
      </c>
      <c r="J738" t="n">
        <v>0</v>
      </c>
      <c r="K738" t="n">
        <v>0</v>
      </c>
      <c r="L738" t="n">
        <v>0</v>
      </c>
      <c r="M738" t="n">
        <v>0</v>
      </c>
      <c r="N738" t="n">
        <v>0</v>
      </c>
      <c r="O738" t="n">
        <v>0</v>
      </c>
      <c r="P738" t="n">
        <v>0</v>
      </c>
      <c r="Q738" t="n">
        <v>0</v>
      </c>
      <c r="R738" s="2" t="inlineStr"/>
    </row>
    <row r="739" ht="15" customHeight="1">
      <c r="A739" t="inlineStr">
        <is>
          <t>A 61535-2023</t>
        </is>
      </c>
      <c r="B739" s="1" t="n">
        <v>45261</v>
      </c>
      <c r="C739" s="1" t="n">
        <v>45709</v>
      </c>
      <c r="D739" t="inlineStr">
        <is>
          <t>JÄMTLANDS LÄN</t>
        </is>
      </c>
      <c r="E739" t="inlineStr">
        <is>
          <t>ÖSTERSUND</t>
        </is>
      </c>
      <c r="F739" t="inlineStr">
        <is>
          <t>Övriga statliga verk och myndigheter</t>
        </is>
      </c>
      <c r="G739" t="n">
        <v>2.6</v>
      </c>
      <c r="H739" t="n">
        <v>0</v>
      </c>
      <c r="I739" t="n">
        <v>0</v>
      </c>
      <c r="J739" t="n">
        <v>0</v>
      </c>
      <c r="K739" t="n">
        <v>0</v>
      </c>
      <c r="L739" t="n">
        <v>0</v>
      </c>
      <c r="M739" t="n">
        <v>0</v>
      </c>
      <c r="N739" t="n">
        <v>0</v>
      </c>
      <c r="O739" t="n">
        <v>0</v>
      </c>
      <c r="P739" t="n">
        <v>0</v>
      </c>
      <c r="Q739" t="n">
        <v>0</v>
      </c>
      <c r="R739" s="2" t="inlineStr"/>
    </row>
    <row r="740" ht="15" customHeight="1">
      <c r="A740" t="inlineStr">
        <is>
          <t>A 61530-2023</t>
        </is>
      </c>
      <c r="B740" s="1" t="n">
        <v>45261</v>
      </c>
      <c r="C740" s="1" t="n">
        <v>45709</v>
      </c>
      <c r="D740" t="inlineStr">
        <is>
          <t>JÄMTLANDS LÄN</t>
        </is>
      </c>
      <c r="E740" t="inlineStr">
        <is>
          <t>ÖSTERSUND</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61635-2023</t>
        </is>
      </c>
      <c r="B741" s="1" t="n">
        <v>45261</v>
      </c>
      <c r="C741" s="1" t="n">
        <v>45709</v>
      </c>
      <c r="D741" t="inlineStr">
        <is>
          <t>JÄMTLANDS LÄN</t>
        </is>
      </c>
      <c r="E741" t="inlineStr">
        <is>
          <t>ÖSTERSUND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61506-2023</t>
        </is>
      </c>
      <c r="B742" s="1" t="n">
        <v>45264</v>
      </c>
      <c r="C742" s="1" t="n">
        <v>45709</v>
      </c>
      <c r="D742" t="inlineStr">
        <is>
          <t>JÄMTLANDS LÄN</t>
        </is>
      </c>
      <c r="E742" t="inlineStr">
        <is>
          <t>ÖSTERSUND</t>
        </is>
      </c>
      <c r="G742" t="n">
        <v>3</v>
      </c>
      <c r="H742" t="n">
        <v>0</v>
      </c>
      <c r="I742" t="n">
        <v>0</v>
      </c>
      <c r="J742" t="n">
        <v>0</v>
      </c>
      <c r="K742" t="n">
        <v>0</v>
      </c>
      <c r="L742" t="n">
        <v>0</v>
      </c>
      <c r="M742" t="n">
        <v>0</v>
      </c>
      <c r="N742" t="n">
        <v>0</v>
      </c>
      <c r="O742" t="n">
        <v>0</v>
      </c>
      <c r="P742" t="n">
        <v>0</v>
      </c>
      <c r="Q742" t="n">
        <v>0</v>
      </c>
      <c r="R742" s="2" t="inlineStr"/>
    </row>
    <row r="743" ht="15" customHeight="1">
      <c r="A743" t="inlineStr">
        <is>
          <t>A 61499-2023</t>
        </is>
      </c>
      <c r="B743" s="1" t="n">
        <v>45264</v>
      </c>
      <c r="C743" s="1" t="n">
        <v>45709</v>
      </c>
      <c r="D743" t="inlineStr">
        <is>
          <t>JÄMTLANDS LÄN</t>
        </is>
      </c>
      <c r="E743" t="inlineStr">
        <is>
          <t>ÖSTERSUND</t>
        </is>
      </c>
      <c r="F743" t="inlineStr">
        <is>
          <t>SCA</t>
        </is>
      </c>
      <c r="G743" t="n">
        <v>7</v>
      </c>
      <c r="H743" t="n">
        <v>0</v>
      </c>
      <c r="I743" t="n">
        <v>0</v>
      </c>
      <c r="J743" t="n">
        <v>0</v>
      </c>
      <c r="K743" t="n">
        <v>0</v>
      </c>
      <c r="L743" t="n">
        <v>0</v>
      </c>
      <c r="M743" t="n">
        <v>0</v>
      </c>
      <c r="N743" t="n">
        <v>0</v>
      </c>
      <c r="O743" t="n">
        <v>0</v>
      </c>
      <c r="P743" t="n">
        <v>0</v>
      </c>
      <c r="Q743" t="n">
        <v>0</v>
      </c>
      <c r="R743" s="2" t="inlineStr"/>
    </row>
    <row r="744" ht="15" customHeight="1">
      <c r="A744" t="inlineStr">
        <is>
          <t>A 62052-2023</t>
        </is>
      </c>
      <c r="B744" s="1" t="n">
        <v>45265</v>
      </c>
      <c r="C744" s="1" t="n">
        <v>45709</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61791-2023</t>
        </is>
      </c>
      <c r="B745" s="1" t="n">
        <v>45265</v>
      </c>
      <c r="C745" s="1" t="n">
        <v>45709</v>
      </c>
      <c r="D745" t="inlineStr">
        <is>
          <t>JÄMTLANDS LÄN</t>
        </is>
      </c>
      <c r="E745" t="inlineStr">
        <is>
          <t>ÖSTERSUND</t>
        </is>
      </c>
      <c r="F745" t="inlineStr">
        <is>
          <t>SCA</t>
        </is>
      </c>
      <c r="G745" t="n">
        <v>11.4</v>
      </c>
      <c r="H745" t="n">
        <v>0</v>
      </c>
      <c r="I745" t="n">
        <v>0</v>
      </c>
      <c r="J745" t="n">
        <v>0</v>
      </c>
      <c r="K745" t="n">
        <v>0</v>
      </c>
      <c r="L745" t="n">
        <v>0</v>
      </c>
      <c r="M745" t="n">
        <v>0</v>
      </c>
      <c r="N745" t="n">
        <v>0</v>
      </c>
      <c r="O745" t="n">
        <v>0</v>
      </c>
      <c r="P745" t="n">
        <v>0</v>
      </c>
      <c r="Q745" t="n">
        <v>0</v>
      </c>
      <c r="R745" s="2" t="inlineStr"/>
    </row>
    <row r="746" ht="15" customHeight="1">
      <c r="A746" t="inlineStr">
        <is>
          <t>A 62835-2023</t>
        </is>
      </c>
      <c r="B746" s="1" t="n">
        <v>45271</v>
      </c>
      <c r="C746" s="1" t="n">
        <v>45709</v>
      </c>
      <c r="D746" t="inlineStr">
        <is>
          <t>JÄMTLANDS LÄN</t>
        </is>
      </c>
      <c r="E746" t="inlineStr">
        <is>
          <t>ÖSTERSUND</t>
        </is>
      </c>
      <c r="F746" t="inlineStr">
        <is>
          <t>SCA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62834-2023</t>
        </is>
      </c>
      <c r="B747" s="1" t="n">
        <v>45271</v>
      </c>
      <c r="C747" s="1" t="n">
        <v>45709</v>
      </c>
      <c r="D747" t="inlineStr">
        <is>
          <t>JÄMTLANDS LÄN</t>
        </is>
      </c>
      <c r="E747" t="inlineStr">
        <is>
          <t>ÖSTERSUND</t>
        </is>
      </c>
      <c r="F747" t="inlineStr">
        <is>
          <t>SCA</t>
        </is>
      </c>
      <c r="G747" t="n">
        <v>12.2</v>
      </c>
      <c r="H747" t="n">
        <v>0</v>
      </c>
      <c r="I747" t="n">
        <v>0</v>
      </c>
      <c r="J747" t="n">
        <v>0</v>
      </c>
      <c r="K747" t="n">
        <v>0</v>
      </c>
      <c r="L747" t="n">
        <v>0</v>
      </c>
      <c r="M747" t="n">
        <v>0</v>
      </c>
      <c r="N747" t="n">
        <v>0</v>
      </c>
      <c r="O747" t="n">
        <v>0</v>
      </c>
      <c r="P747" t="n">
        <v>0</v>
      </c>
      <c r="Q747" t="n">
        <v>0</v>
      </c>
      <c r="R747" s="2" t="inlineStr"/>
    </row>
    <row r="748" ht="15" customHeight="1">
      <c r="A748" t="inlineStr">
        <is>
          <t>A 63086-2023</t>
        </is>
      </c>
      <c r="B748" s="1" t="n">
        <v>45272</v>
      </c>
      <c r="C748" s="1" t="n">
        <v>45709</v>
      </c>
      <c r="D748" t="inlineStr">
        <is>
          <t>JÄMTLANDS LÄN</t>
        </is>
      </c>
      <c r="E748" t="inlineStr">
        <is>
          <t>ÖSTERSUND</t>
        </is>
      </c>
      <c r="F748" t="inlineStr">
        <is>
          <t>Övriga statliga verk och myndigheter</t>
        </is>
      </c>
      <c r="G748" t="n">
        <v>2.9</v>
      </c>
      <c r="H748" t="n">
        <v>0</v>
      </c>
      <c r="I748" t="n">
        <v>0</v>
      </c>
      <c r="J748" t="n">
        <v>0</v>
      </c>
      <c r="K748" t="n">
        <v>0</v>
      </c>
      <c r="L748" t="n">
        <v>0</v>
      </c>
      <c r="M748" t="n">
        <v>0</v>
      </c>
      <c r="N748" t="n">
        <v>0</v>
      </c>
      <c r="O748" t="n">
        <v>0</v>
      </c>
      <c r="P748" t="n">
        <v>0</v>
      </c>
      <c r="Q748" t="n">
        <v>0</v>
      </c>
      <c r="R748" s="2" t="inlineStr"/>
    </row>
    <row r="749" ht="15" customHeight="1">
      <c r="A749" t="inlineStr">
        <is>
          <t>A 63101-2023</t>
        </is>
      </c>
      <c r="B749" s="1" t="n">
        <v>45273</v>
      </c>
      <c r="C749" s="1" t="n">
        <v>45709</v>
      </c>
      <c r="D749" t="inlineStr">
        <is>
          <t>JÄMTLANDS LÄN</t>
        </is>
      </c>
      <c r="E749" t="inlineStr">
        <is>
          <t>ÖSTERSUND</t>
        </is>
      </c>
      <c r="G749" t="n">
        <v>2.1</v>
      </c>
      <c r="H749" t="n">
        <v>0</v>
      </c>
      <c r="I749" t="n">
        <v>0</v>
      </c>
      <c r="J749" t="n">
        <v>0</v>
      </c>
      <c r="K749" t="n">
        <v>0</v>
      </c>
      <c r="L749" t="n">
        <v>0</v>
      </c>
      <c r="M749" t="n">
        <v>0</v>
      </c>
      <c r="N749" t="n">
        <v>0</v>
      </c>
      <c r="O749" t="n">
        <v>0</v>
      </c>
      <c r="P749" t="n">
        <v>0</v>
      </c>
      <c r="Q749" t="n">
        <v>0</v>
      </c>
      <c r="R749" s="2" t="inlineStr"/>
    </row>
    <row r="750" ht="15" customHeight="1">
      <c r="A750" t="inlineStr">
        <is>
          <t>A 63099-2023</t>
        </is>
      </c>
      <c r="B750" s="1" t="n">
        <v>45273</v>
      </c>
      <c r="C750" s="1" t="n">
        <v>45709</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63320-2023</t>
        </is>
      </c>
      <c r="B751" s="1" t="n">
        <v>45273</v>
      </c>
      <c r="C751" s="1" t="n">
        <v>45709</v>
      </c>
      <c r="D751" t="inlineStr">
        <is>
          <t>JÄMTLANDS LÄN</t>
        </is>
      </c>
      <c r="E751" t="inlineStr">
        <is>
          <t>ÖSTERSUND</t>
        </is>
      </c>
      <c r="G751" t="n">
        <v>11.3</v>
      </c>
      <c r="H751" t="n">
        <v>0</v>
      </c>
      <c r="I751" t="n">
        <v>0</v>
      </c>
      <c r="J751" t="n">
        <v>0</v>
      </c>
      <c r="K751" t="n">
        <v>0</v>
      </c>
      <c r="L751" t="n">
        <v>0</v>
      </c>
      <c r="M751" t="n">
        <v>0</v>
      </c>
      <c r="N751" t="n">
        <v>0</v>
      </c>
      <c r="O751" t="n">
        <v>0</v>
      </c>
      <c r="P751" t="n">
        <v>0</v>
      </c>
      <c r="Q751" t="n">
        <v>0</v>
      </c>
      <c r="R751" s="2" t="inlineStr"/>
    </row>
    <row r="752" ht="15" customHeight="1">
      <c r="A752" t="inlineStr">
        <is>
          <t>A 63739-2023</t>
        </is>
      </c>
      <c r="B752" s="1" t="n">
        <v>45277</v>
      </c>
      <c r="C752" s="1" t="n">
        <v>45709</v>
      </c>
      <c r="D752" t="inlineStr">
        <is>
          <t>JÄMTLANDS LÄN</t>
        </is>
      </c>
      <c r="E752" t="inlineStr">
        <is>
          <t>ÖSTERSUND</t>
        </is>
      </c>
      <c r="G752" t="n">
        <v>5.1</v>
      </c>
      <c r="H752" t="n">
        <v>0</v>
      </c>
      <c r="I752" t="n">
        <v>0</v>
      </c>
      <c r="J752" t="n">
        <v>0</v>
      </c>
      <c r="K752" t="n">
        <v>0</v>
      </c>
      <c r="L752" t="n">
        <v>0</v>
      </c>
      <c r="M752" t="n">
        <v>0</v>
      </c>
      <c r="N752" t="n">
        <v>0</v>
      </c>
      <c r="O752" t="n">
        <v>0</v>
      </c>
      <c r="P752" t="n">
        <v>0</v>
      </c>
      <c r="Q752" t="n">
        <v>0</v>
      </c>
      <c r="R752" s="2" t="inlineStr"/>
    </row>
    <row r="753" ht="15" customHeight="1">
      <c r="A753" t="inlineStr">
        <is>
          <t>A 63740-2023</t>
        </is>
      </c>
      <c r="B753" s="1" t="n">
        <v>45277</v>
      </c>
      <c r="C753" s="1" t="n">
        <v>45709</v>
      </c>
      <c r="D753" t="inlineStr">
        <is>
          <t>JÄMTLANDS LÄN</t>
        </is>
      </c>
      <c r="E753" t="inlineStr">
        <is>
          <t>ÖSTERSUND</t>
        </is>
      </c>
      <c r="G753" t="n">
        <v>3.9</v>
      </c>
      <c r="H753" t="n">
        <v>0</v>
      </c>
      <c r="I753" t="n">
        <v>0</v>
      </c>
      <c r="J753" t="n">
        <v>0</v>
      </c>
      <c r="K753" t="n">
        <v>0</v>
      </c>
      <c r="L753" t="n">
        <v>0</v>
      </c>
      <c r="M753" t="n">
        <v>0</v>
      </c>
      <c r="N753" t="n">
        <v>0</v>
      </c>
      <c r="O753" t="n">
        <v>0</v>
      </c>
      <c r="P753" t="n">
        <v>0</v>
      </c>
      <c r="Q753" t="n">
        <v>0</v>
      </c>
      <c r="R753" s="2" t="inlineStr"/>
    </row>
    <row r="754" ht="15" customHeight="1">
      <c r="A754" t="inlineStr">
        <is>
          <t>A 64233-2023</t>
        </is>
      </c>
      <c r="B754" s="1" t="n">
        <v>45279</v>
      </c>
      <c r="C754" s="1" t="n">
        <v>45709</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64267-2023</t>
        </is>
      </c>
      <c r="B755" s="1" t="n">
        <v>45279</v>
      </c>
      <c r="C755" s="1" t="n">
        <v>45709</v>
      </c>
      <c r="D755" t="inlineStr">
        <is>
          <t>JÄMTLANDS LÄN</t>
        </is>
      </c>
      <c r="E755" t="inlineStr">
        <is>
          <t>ÖSTERSUND</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64314-2023</t>
        </is>
      </c>
      <c r="B756" s="1" t="n">
        <v>45280</v>
      </c>
      <c r="C756" s="1" t="n">
        <v>45709</v>
      </c>
      <c r="D756" t="inlineStr">
        <is>
          <t>JÄMTLANDS LÄN</t>
        </is>
      </c>
      <c r="E756" t="inlineStr">
        <is>
          <t>ÖSTERSUND</t>
        </is>
      </c>
      <c r="G756" t="n">
        <v>0.6</v>
      </c>
      <c r="H756" t="n">
        <v>0</v>
      </c>
      <c r="I756" t="n">
        <v>0</v>
      </c>
      <c r="J756" t="n">
        <v>0</v>
      </c>
      <c r="K756" t="n">
        <v>0</v>
      </c>
      <c r="L756" t="n">
        <v>0</v>
      </c>
      <c r="M756" t="n">
        <v>0</v>
      </c>
      <c r="N756" t="n">
        <v>0</v>
      </c>
      <c r="O756" t="n">
        <v>0</v>
      </c>
      <c r="P756" t="n">
        <v>0</v>
      </c>
      <c r="Q756" t="n">
        <v>0</v>
      </c>
      <c r="R756" s="2" t="inlineStr"/>
    </row>
    <row r="757" ht="15" customHeight="1">
      <c r="A757" t="inlineStr">
        <is>
          <t>A 64309-2023</t>
        </is>
      </c>
      <c r="B757" s="1" t="n">
        <v>45280</v>
      </c>
      <c r="C757" s="1" t="n">
        <v>45709</v>
      </c>
      <c r="D757" t="inlineStr">
        <is>
          <t>JÄMTLANDS LÄN</t>
        </is>
      </c>
      <c r="E757" t="inlineStr">
        <is>
          <t>ÖSTERSUND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64811-2023</t>
        </is>
      </c>
      <c r="B758" s="1" t="n">
        <v>45281</v>
      </c>
      <c r="C758" s="1" t="n">
        <v>45709</v>
      </c>
      <c r="D758" t="inlineStr">
        <is>
          <t>JÄMTLANDS LÄN</t>
        </is>
      </c>
      <c r="E758" t="inlineStr">
        <is>
          <t>ÖSTERSUND</t>
        </is>
      </c>
      <c r="G758" t="n">
        <v>7.6</v>
      </c>
      <c r="H758" t="n">
        <v>0</v>
      </c>
      <c r="I758" t="n">
        <v>0</v>
      </c>
      <c r="J758" t="n">
        <v>0</v>
      </c>
      <c r="K758" t="n">
        <v>0</v>
      </c>
      <c r="L758" t="n">
        <v>0</v>
      </c>
      <c r="M758" t="n">
        <v>0</v>
      </c>
      <c r="N758" t="n">
        <v>0</v>
      </c>
      <c r="O758" t="n">
        <v>0</v>
      </c>
      <c r="P758" t="n">
        <v>0</v>
      </c>
      <c r="Q758" t="n">
        <v>0</v>
      </c>
      <c r="R758" s="2" t="inlineStr"/>
    </row>
    <row r="759" ht="15" customHeight="1">
      <c r="A759" t="inlineStr">
        <is>
          <t>A 64954-2023</t>
        </is>
      </c>
      <c r="B759" s="1" t="n">
        <v>45282</v>
      </c>
      <c r="C759" s="1" t="n">
        <v>45709</v>
      </c>
      <c r="D759" t="inlineStr">
        <is>
          <t>JÄMTLANDS LÄN</t>
        </is>
      </c>
      <c r="E759" t="inlineStr">
        <is>
          <t>ÖSTERSUND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64953-2023</t>
        </is>
      </c>
      <c r="B760" s="1" t="n">
        <v>45282</v>
      </c>
      <c r="C760" s="1" t="n">
        <v>45709</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440-2024</t>
        </is>
      </c>
      <c r="B761" s="1" t="n">
        <v>45296</v>
      </c>
      <c r="C761" s="1" t="n">
        <v>45709</v>
      </c>
      <c r="D761" t="inlineStr">
        <is>
          <t>JÄMTLANDS LÄN</t>
        </is>
      </c>
      <c r="E761" t="inlineStr">
        <is>
          <t>ÖSTERSUND</t>
        </is>
      </c>
      <c r="F761" t="inlineStr">
        <is>
          <t>Kommuner</t>
        </is>
      </c>
      <c r="G761" t="n">
        <v>10.1</v>
      </c>
      <c r="H761" t="n">
        <v>0</v>
      </c>
      <c r="I761" t="n">
        <v>0</v>
      </c>
      <c r="J761" t="n">
        <v>0</v>
      </c>
      <c r="K761" t="n">
        <v>0</v>
      </c>
      <c r="L761" t="n">
        <v>0</v>
      </c>
      <c r="M761" t="n">
        <v>0</v>
      </c>
      <c r="N761" t="n">
        <v>0</v>
      </c>
      <c r="O761" t="n">
        <v>0</v>
      </c>
      <c r="P761" t="n">
        <v>0</v>
      </c>
      <c r="Q761" t="n">
        <v>0</v>
      </c>
      <c r="R761" s="2" t="inlineStr"/>
    </row>
    <row r="762" ht="15" customHeight="1">
      <c r="A762" t="inlineStr">
        <is>
          <t>A 484-2024</t>
        </is>
      </c>
      <c r="B762" s="1" t="n">
        <v>45298</v>
      </c>
      <c r="C762" s="1" t="n">
        <v>45709</v>
      </c>
      <c r="D762" t="inlineStr">
        <is>
          <t>JÄMTLANDS LÄN</t>
        </is>
      </c>
      <c r="E762" t="inlineStr">
        <is>
          <t>ÖSTERSUND</t>
        </is>
      </c>
      <c r="G762" t="n">
        <v>0.9</v>
      </c>
      <c r="H762" t="n">
        <v>0</v>
      </c>
      <c r="I762" t="n">
        <v>0</v>
      </c>
      <c r="J762" t="n">
        <v>0</v>
      </c>
      <c r="K762" t="n">
        <v>0</v>
      </c>
      <c r="L762" t="n">
        <v>0</v>
      </c>
      <c r="M762" t="n">
        <v>0</v>
      </c>
      <c r="N762" t="n">
        <v>0</v>
      </c>
      <c r="O762" t="n">
        <v>0</v>
      </c>
      <c r="P762" t="n">
        <v>0</v>
      </c>
      <c r="Q762" t="n">
        <v>0</v>
      </c>
      <c r="R762" s="2" t="inlineStr"/>
    </row>
    <row r="763" ht="15" customHeight="1">
      <c r="A763" t="inlineStr">
        <is>
          <t>A 485-2024</t>
        </is>
      </c>
      <c r="B763" s="1" t="n">
        <v>45298</v>
      </c>
      <c r="C763" s="1" t="n">
        <v>45709</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846-2024</t>
        </is>
      </c>
      <c r="B764" s="1" t="n">
        <v>45300</v>
      </c>
      <c r="C764" s="1" t="n">
        <v>45709</v>
      </c>
      <c r="D764" t="inlineStr">
        <is>
          <t>JÄMTLANDS LÄN</t>
        </is>
      </c>
      <c r="E764" t="inlineStr">
        <is>
          <t>ÖSTERSUND</t>
        </is>
      </c>
      <c r="G764" t="n">
        <v>2.8</v>
      </c>
      <c r="H764" t="n">
        <v>0</v>
      </c>
      <c r="I764" t="n">
        <v>0</v>
      </c>
      <c r="J764" t="n">
        <v>0</v>
      </c>
      <c r="K764" t="n">
        <v>0</v>
      </c>
      <c r="L764" t="n">
        <v>0</v>
      </c>
      <c r="M764" t="n">
        <v>0</v>
      </c>
      <c r="N764" t="n">
        <v>0</v>
      </c>
      <c r="O764" t="n">
        <v>0</v>
      </c>
      <c r="P764" t="n">
        <v>0</v>
      </c>
      <c r="Q764" t="n">
        <v>0</v>
      </c>
      <c r="R764" s="2" t="inlineStr"/>
    </row>
    <row r="765" ht="15" customHeight="1">
      <c r="A765" t="inlineStr">
        <is>
          <t>A 748-2024</t>
        </is>
      </c>
      <c r="B765" s="1" t="n">
        <v>45300</v>
      </c>
      <c r="C765" s="1" t="n">
        <v>45709</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1159-2024</t>
        </is>
      </c>
      <c r="B766" s="1" t="n">
        <v>45302</v>
      </c>
      <c r="C766" s="1" t="n">
        <v>45709</v>
      </c>
      <c r="D766" t="inlineStr">
        <is>
          <t>JÄMTLANDS LÄN</t>
        </is>
      </c>
      <c r="E766" t="inlineStr">
        <is>
          <t>ÖSTERSUND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1669-2024</t>
        </is>
      </c>
      <c r="B767" s="1" t="n">
        <v>45306</v>
      </c>
      <c r="C767" s="1" t="n">
        <v>45709</v>
      </c>
      <c r="D767" t="inlineStr">
        <is>
          <t>JÄMTLANDS LÄN</t>
        </is>
      </c>
      <c r="E767" t="inlineStr">
        <is>
          <t>ÖSTERSUND</t>
        </is>
      </c>
      <c r="G767" t="n">
        <v>1.6</v>
      </c>
      <c r="H767" t="n">
        <v>0</v>
      </c>
      <c r="I767" t="n">
        <v>0</v>
      </c>
      <c r="J767" t="n">
        <v>0</v>
      </c>
      <c r="K767" t="n">
        <v>0</v>
      </c>
      <c r="L767" t="n">
        <v>0</v>
      </c>
      <c r="M767" t="n">
        <v>0</v>
      </c>
      <c r="N767" t="n">
        <v>0</v>
      </c>
      <c r="O767" t="n">
        <v>0</v>
      </c>
      <c r="P767" t="n">
        <v>0</v>
      </c>
      <c r="Q767" t="n">
        <v>0</v>
      </c>
      <c r="R767" s="2" t="inlineStr"/>
    </row>
    <row r="768" ht="15" customHeight="1">
      <c r="A768" t="inlineStr">
        <is>
          <t>A 1670-2024</t>
        </is>
      </c>
      <c r="B768" s="1" t="n">
        <v>45306</v>
      </c>
      <c r="C768" s="1" t="n">
        <v>45709</v>
      </c>
      <c r="D768" t="inlineStr">
        <is>
          <t>JÄMTLANDS LÄN</t>
        </is>
      </c>
      <c r="E768" t="inlineStr">
        <is>
          <t>ÖSTERSUND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1873-2024</t>
        </is>
      </c>
      <c r="B769" s="1" t="n">
        <v>45307</v>
      </c>
      <c r="C769" s="1" t="n">
        <v>45709</v>
      </c>
      <c r="D769" t="inlineStr">
        <is>
          <t>JÄMTLANDS LÄN</t>
        </is>
      </c>
      <c r="E769" t="inlineStr">
        <is>
          <t>ÖSTERSUND</t>
        </is>
      </c>
      <c r="G769" t="n">
        <v>4.3</v>
      </c>
      <c r="H769" t="n">
        <v>0</v>
      </c>
      <c r="I769" t="n">
        <v>0</v>
      </c>
      <c r="J769" t="n">
        <v>0</v>
      </c>
      <c r="K769" t="n">
        <v>0</v>
      </c>
      <c r="L769" t="n">
        <v>0</v>
      </c>
      <c r="M769" t="n">
        <v>0</v>
      </c>
      <c r="N769" t="n">
        <v>0</v>
      </c>
      <c r="O769" t="n">
        <v>0</v>
      </c>
      <c r="P769" t="n">
        <v>0</v>
      </c>
      <c r="Q769" t="n">
        <v>0</v>
      </c>
      <c r="R769" s="2" t="inlineStr"/>
    </row>
    <row r="770" ht="15" customHeight="1">
      <c r="A770" t="inlineStr">
        <is>
          <t>A 2228-2024</t>
        </is>
      </c>
      <c r="B770" s="1" t="n">
        <v>45309</v>
      </c>
      <c r="C770" s="1" t="n">
        <v>45709</v>
      </c>
      <c r="D770" t="inlineStr">
        <is>
          <t>JÄMTLANDS LÄN</t>
        </is>
      </c>
      <c r="E770" t="inlineStr">
        <is>
          <t>ÖSTERSUND</t>
        </is>
      </c>
      <c r="G770" t="n">
        <v>2.5</v>
      </c>
      <c r="H770" t="n">
        <v>0</v>
      </c>
      <c r="I770" t="n">
        <v>0</v>
      </c>
      <c r="J770" t="n">
        <v>0</v>
      </c>
      <c r="K770" t="n">
        <v>0</v>
      </c>
      <c r="L770" t="n">
        <v>0</v>
      </c>
      <c r="M770" t="n">
        <v>0</v>
      </c>
      <c r="N770" t="n">
        <v>0</v>
      </c>
      <c r="O770" t="n">
        <v>0</v>
      </c>
      <c r="P770" t="n">
        <v>0</v>
      </c>
      <c r="Q770" t="n">
        <v>0</v>
      </c>
      <c r="R770" s="2" t="inlineStr"/>
    </row>
    <row r="771" ht="15" customHeight="1">
      <c r="A771" t="inlineStr">
        <is>
          <t>A 2615-2024</t>
        </is>
      </c>
      <c r="B771" s="1" t="n">
        <v>45313</v>
      </c>
      <c r="C771" s="1" t="n">
        <v>45709</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2627-2024</t>
        </is>
      </c>
      <c r="B772" s="1" t="n">
        <v>45313</v>
      </c>
      <c r="C772" s="1" t="n">
        <v>45709</v>
      </c>
      <c r="D772" t="inlineStr">
        <is>
          <t>JÄMTLANDS LÄN</t>
        </is>
      </c>
      <c r="E772" t="inlineStr">
        <is>
          <t>ÖSTERSUND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2756-2024</t>
        </is>
      </c>
      <c r="B773" s="1" t="n">
        <v>45314</v>
      </c>
      <c r="C773" s="1" t="n">
        <v>45709</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2984-2024</t>
        </is>
      </c>
      <c r="B774" s="1" t="n">
        <v>45315</v>
      </c>
      <c r="C774" s="1" t="n">
        <v>45709</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2978-2024</t>
        </is>
      </c>
      <c r="B775" s="1" t="n">
        <v>45315</v>
      </c>
      <c r="C775" s="1" t="n">
        <v>45709</v>
      </c>
      <c r="D775" t="inlineStr">
        <is>
          <t>JÄMTLANDS LÄN</t>
        </is>
      </c>
      <c r="E775" t="inlineStr">
        <is>
          <t>ÖSTERSUND</t>
        </is>
      </c>
      <c r="G775" t="n">
        <v>1.7</v>
      </c>
      <c r="H775" t="n">
        <v>0</v>
      </c>
      <c r="I775" t="n">
        <v>0</v>
      </c>
      <c r="J775" t="n">
        <v>0</v>
      </c>
      <c r="K775" t="n">
        <v>0</v>
      </c>
      <c r="L775" t="n">
        <v>0</v>
      </c>
      <c r="M775" t="n">
        <v>0</v>
      </c>
      <c r="N775" t="n">
        <v>0</v>
      </c>
      <c r="O775" t="n">
        <v>0</v>
      </c>
      <c r="P775" t="n">
        <v>0</v>
      </c>
      <c r="Q775" t="n">
        <v>0</v>
      </c>
      <c r="R775" s="2" t="inlineStr"/>
    </row>
    <row r="776" ht="15" customHeight="1">
      <c r="A776" t="inlineStr">
        <is>
          <t>A 3186-2024</t>
        </is>
      </c>
      <c r="B776" s="1" t="n">
        <v>45316</v>
      </c>
      <c r="C776" s="1" t="n">
        <v>45709</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3230-2024</t>
        </is>
      </c>
      <c r="B777" s="1" t="n">
        <v>45316</v>
      </c>
      <c r="C777" s="1" t="n">
        <v>45709</v>
      </c>
      <c r="D777" t="inlineStr">
        <is>
          <t>JÄMTLANDS LÄN</t>
        </is>
      </c>
      <c r="E777" t="inlineStr">
        <is>
          <t>ÖSTERSUND</t>
        </is>
      </c>
      <c r="G777" t="n">
        <v>4.4</v>
      </c>
      <c r="H777" t="n">
        <v>0</v>
      </c>
      <c r="I777" t="n">
        <v>0</v>
      </c>
      <c r="J777" t="n">
        <v>0</v>
      </c>
      <c r="K777" t="n">
        <v>0</v>
      </c>
      <c r="L777" t="n">
        <v>0</v>
      </c>
      <c r="M777" t="n">
        <v>0</v>
      </c>
      <c r="N777" t="n">
        <v>0</v>
      </c>
      <c r="O777" t="n">
        <v>0</v>
      </c>
      <c r="P777" t="n">
        <v>0</v>
      </c>
      <c r="Q777" t="n">
        <v>0</v>
      </c>
      <c r="R777" s="2" t="inlineStr"/>
    </row>
    <row r="778" ht="15" customHeight="1">
      <c r="A778" t="inlineStr">
        <is>
          <t>A 3270-2024</t>
        </is>
      </c>
      <c r="B778" s="1" t="n">
        <v>45316</v>
      </c>
      <c r="C778" s="1" t="n">
        <v>45709</v>
      </c>
      <c r="D778" t="inlineStr">
        <is>
          <t>JÄMTLANDS LÄN</t>
        </is>
      </c>
      <c r="E778" t="inlineStr">
        <is>
          <t>ÖSTERSUND</t>
        </is>
      </c>
      <c r="G778" t="n">
        <v>7.5</v>
      </c>
      <c r="H778" t="n">
        <v>0</v>
      </c>
      <c r="I778" t="n">
        <v>0</v>
      </c>
      <c r="J778" t="n">
        <v>0</v>
      </c>
      <c r="K778" t="n">
        <v>0</v>
      </c>
      <c r="L778" t="n">
        <v>0</v>
      </c>
      <c r="M778" t="n">
        <v>0</v>
      </c>
      <c r="N778" t="n">
        <v>0</v>
      </c>
      <c r="O778" t="n">
        <v>0</v>
      </c>
      <c r="P778" t="n">
        <v>0</v>
      </c>
      <c r="Q778" t="n">
        <v>0</v>
      </c>
      <c r="R778" s="2" t="inlineStr"/>
    </row>
    <row r="779" ht="15" customHeight="1">
      <c r="A779" t="inlineStr">
        <is>
          <t>A 3610-2024</t>
        </is>
      </c>
      <c r="B779" s="1" t="n">
        <v>45320</v>
      </c>
      <c r="C779" s="1" t="n">
        <v>45709</v>
      </c>
      <c r="D779" t="inlineStr">
        <is>
          <t>JÄMTLANDS LÄN</t>
        </is>
      </c>
      <c r="E779" t="inlineStr">
        <is>
          <t>ÖSTERSUND</t>
        </is>
      </c>
      <c r="G779" t="n">
        <v>6.2</v>
      </c>
      <c r="H779" t="n">
        <v>0</v>
      </c>
      <c r="I779" t="n">
        <v>0</v>
      </c>
      <c r="J779" t="n">
        <v>0</v>
      </c>
      <c r="K779" t="n">
        <v>0</v>
      </c>
      <c r="L779" t="n">
        <v>0</v>
      </c>
      <c r="M779" t="n">
        <v>0</v>
      </c>
      <c r="N779" t="n">
        <v>0</v>
      </c>
      <c r="O779" t="n">
        <v>0</v>
      </c>
      <c r="P779" t="n">
        <v>0</v>
      </c>
      <c r="Q779" t="n">
        <v>0</v>
      </c>
      <c r="R779" s="2" t="inlineStr"/>
    </row>
    <row r="780" ht="15" customHeight="1">
      <c r="A780" t="inlineStr">
        <is>
          <t>A 3844-2024</t>
        </is>
      </c>
      <c r="B780" s="1" t="n">
        <v>45321</v>
      </c>
      <c r="C780" s="1" t="n">
        <v>45709</v>
      </c>
      <c r="D780" t="inlineStr">
        <is>
          <t>JÄMTLANDS LÄN</t>
        </is>
      </c>
      <c r="E780" t="inlineStr">
        <is>
          <t>ÖSTERSUND</t>
        </is>
      </c>
      <c r="G780" t="n">
        <v>2.2</v>
      </c>
      <c r="H780" t="n">
        <v>0</v>
      </c>
      <c r="I780" t="n">
        <v>0</v>
      </c>
      <c r="J780" t="n">
        <v>0</v>
      </c>
      <c r="K780" t="n">
        <v>0</v>
      </c>
      <c r="L780" t="n">
        <v>0</v>
      </c>
      <c r="M780" t="n">
        <v>0</v>
      </c>
      <c r="N780" t="n">
        <v>0</v>
      </c>
      <c r="O780" t="n">
        <v>0</v>
      </c>
      <c r="P780" t="n">
        <v>0</v>
      </c>
      <c r="Q780" t="n">
        <v>0</v>
      </c>
      <c r="R780" s="2" t="inlineStr"/>
    </row>
    <row r="781" ht="15" customHeight="1">
      <c r="A781" t="inlineStr">
        <is>
          <t>A 4176-2024</t>
        </is>
      </c>
      <c r="B781" s="1" t="n">
        <v>45323</v>
      </c>
      <c r="C781" s="1" t="n">
        <v>45709</v>
      </c>
      <c r="D781" t="inlineStr">
        <is>
          <t>JÄMTLANDS LÄN</t>
        </is>
      </c>
      <c r="E781" t="inlineStr">
        <is>
          <t>ÖSTERSUND</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4350-2024</t>
        </is>
      </c>
      <c r="B782" s="1" t="n">
        <v>45324</v>
      </c>
      <c r="C782" s="1" t="n">
        <v>45709</v>
      </c>
      <c r="D782" t="inlineStr">
        <is>
          <t>JÄMTLANDS LÄN</t>
        </is>
      </c>
      <c r="E782" t="inlineStr">
        <is>
          <t>ÖSTERSUND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4707-2024</t>
        </is>
      </c>
      <c r="B783" s="1" t="n">
        <v>45328</v>
      </c>
      <c r="C783" s="1" t="n">
        <v>45709</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5455-2024</t>
        </is>
      </c>
      <c r="B784" s="1" t="n">
        <v>45331</v>
      </c>
      <c r="C784" s="1" t="n">
        <v>45709</v>
      </c>
      <c r="D784" t="inlineStr">
        <is>
          <t>JÄMTLANDS LÄN</t>
        </is>
      </c>
      <c r="E784" t="inlineStr">
        <is>
          <t>ÖSTERSUND</t>
        </is>
      </c>
      <c r="G784" t="n">
        <v>4.8</v>
      </c>
      <c r="H784" t="n">
        <v>0</v>
      </c>
      <c r="I784" t="n">
        <v>0</v>
      </c>
      <c r="J784" t="n">
        <v>0</v>
      </c>
      <c r="K784" t="n">
        <v>0</v>
      </c>
      <c r="L784" t="n">
        <v>0</v>
      </c>
      <c r="M784" t="n">
        <v>0</v>
      </c>
      <c r="N784" t="n">
        <v>0</v>
      </c>
      <c r="O784" t="n">
        <v>0</v>
      </c>
      <c r="P784" t="n">
        <v>0</v>
      </c>
      <c r="Q784" t="n">
        <v>0</v>
      </c>
      <c r="R784" s="2" t="inlineStr"/>
    </row>
    <row r="785" ht="15" customHeight="1">
      <c r="A785" t="inlineStr">
        <is>
          <t>A 5920-2024</t>
        </is>
      </c>
      <c r="B785" s="1" t="n">
        <v>45335</v>
      </c>
      <c r="C785" s="1" t="n">
        <v>45709</v>
      </c>
      <c r="D785" t="inlineStr">
        <is>
          <t>JÄMTLANDS LÄN</t>
        </is>
      </c>
      <c r="E785" t="inlineStr">
        <is>
          <t>ÖSTERSUND</t>
        </is>
      </c>
      <c r="F785" t="inlineStr">
        <is>
          <t>SCA</t>
        </is>
      </c>
      <c r="G785" t="n">
        <v>17.8</v>
      </c>
      <c r="H785" t="n">
        <v>0</v>
      </c>
      <c r="I785" t="n">
        <v>0</v>
      </c>
      <c r="J785" t="n">
        <v>0</v>
      </c>
      <c r="K785" t="n">
        <v>0</v>
      </c>
      <c r="L785" t="n">
        <v>0</v>
      </c>
      <c r="M785" t="n">
        <v>0</v>
      </c>
      <c r="N785" t="n">
        <v>0</v>
      </c>
      <c r="O785" t="n">
        <v>0</v>
      </c>
      <c r="P785" t="n">
        <v>0</v>
      </c>
      <c r="Q785" t="n">
        <v>0</v>
      </c>
      <c r="R785" s="2" t="inlineStr"/>
    </row>
    <row r="786" ht="15" customHeight="1">
      <c r="A786" t="inlineStr">
        <is>
          <t>A 6048-2024</t>
        </is>
      </c>
      <c r="B786" s="1" t="n">
        <v>45336</v>
      </c>
      <c r="C786" s="1" t="n">
        <v>45709</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6056-2024</t>
        </is>
      </c>
      <c r="B787" s="1" t="n">
        <v>45336</v>
      </c>
      <c r="C787" s="1" t="n">
        <v>45709</v>
      </c>
      <c r="D787" t="inlineStr">
        <is>
          <t>JÄMTLANDS LÄN</t>
        </is>
      </c>
      <c r="E787" t="inlineStr">
        <is>
          <t>ÖSTERSUND</t>
        </is>
      </c>
      <c r="G787" t="n">
        <v>3.9</v>
      </c>
      <c r="H787" t="n">
        <v>0</v>
      </c>
      <c r="I787" t="n">
        <v>0</v>
      </c>
      <c r="J787" t="n">
        <v>0</v>
      </c>
      <c r="K787" t="n">
        <v>0</v>
      </c>
      <c r="L787" t="n">
        <v>0</v>
      </c>
      <c r="M787" t="n">
        <v>0</v>
      </c>
      <c r="N787" t="n">
        <v>0</v>
      </c>
      <c r="O787" t="n">
        <v>0</v>
      </c>
      <c r="P787" t="n">
        <v>0</v>
      </c>
      <c r="Q787" t="n">
        <v>0</v>
      </c>
      <c r="R787" s="2" t="inlineStr"/>
    </row>
    <row r="788" ht="15" customHeight="1">
      <c r="A788" t="inlineStr">
        <is>
          <t>A 6053-2024</t>
        </is>
      </c>
      <c r="B788" s="1" t="n">
        <v>45336</v>
      </c>
      <c r="C788" s="1" t="n">
        <v>45709</v>
      </c>
      <c r="D788" t="inlineStr">
        <is>
          <t>JÄMTLANDS LÄN</t>
        </is>
      </c>
      <c r="E788" t="inlineStr">
        <is>
          <t>ÖSTERSUND</t>
        </is>
      </c>
      <c r="G788" t="n">
        <v>1.4</v>
      </c>
      <c r="H788" t="n">
        <v>0</v>
      </c>
      <c r="I788" t="n">
        <v>0</v>
      </c>
      <c r="J788" t="n">
        <v>0</v>
      </c>
      <c r="K788" t="n">
        <v>0</v>
      </c>
      <c r="L788" t="n">
        <v>0</v>
      </c>
      <c r="M788" t="n">
        <v>0</v>
      </c>
      <c r="N788" t="n">
        <v>0</v>
      </c>
      <c r="O788" t="n">
        <v>0</v>
      </c>
      <c r="P788" t="n">
        <v>0</v>
      </c>
      <c r="Q788" t="n">
        <v>0</v>
      </c>
      <c r="R788" s="2" t="inlineStr"/>
    </row>
    <row r="789" ht="15" customHeight="1">
      <c r="A789" t="inlineStr">
        <is>
          <t>A 6351-2024</t>
        </is>
      </c>
      <c r="B789" s="1" t="n">
        <v>45338</v>
      </c>
      <c r="C789" s="1" t="n">
        <v>45709</v>
      </c>
      <c r="D789" t="inlineStr">
        <is>
          <t>JÄMTLANDS LÄN</t>
        </is>
      </c>
      <c r="E789" t="inlineStr">
        <is>
          <t>ÖSTERSUND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6353-2024</t>
        </is>
      </c>
      <c r="B790" s="1" t="n">
        <v>45338</v>
      </c>
      <c r="C790" s="1" t="n">
        <v>45709</v>
      </c>
      <c r="D790" t="inlineStr">
        <is>
          <t>JÄMTLANDS LÄN</t>
        </is>
      </c>
      <c r="E790" t="inlineStr">
        <is>
          <t>ÖSTERSUND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6376-2024</t>
        </is>
      </c>
      <c r="B791" s="1" t="n">
        <v>45338</v>
      </c>
      <c r="C791" s="1" t="n">
        <v>45709</v>
      </c>
      <c r="D791" t="inlineStr">
        <is>
          <t>JÄMTLANDS LÄN</t>
        </is>
      </c>
      <c r="E791" t="inlineStr">
        <is>
          <t>ÖSTERSUND</t>
        </is>
      </c>
      <c r="G791" t="n">
        <v>4.6</v>
      </c>
      <c r="H791" t="n">
        <v>0</v>
      </c>
      <c r="I791" t="n">
        <v>0</v>
      </c>
      <c r="J791" t="n">
        <v>0</v>
      </c>
      <c r="K791" t="n">
        <v>0</v>
      </c>
      <c r="L791" t="n">
        <v>0</v>
      </c>
      <c r="M791" t="n">
        <v>0</v>
      </c>
      <c r="N791" t="n">
        <v>0</v>
      </c>
      <c r="O791" t="n">
        <v>0</v>
      </c>
      <c r="P791" t="n">
        <v>0</v>
      </c>
      <c r="Q791" t="n">
        <v>0</v>
      </c>
      <c r="R791" s="2" t="inlineStr"/>
    </row>
    <row r="792" ht="15" customHeight="1">
      <c r="A792" t="inlineStr">
        <is>
          <t>A 6402-2024</t>
        </is>
      </c>
      <c r="B792" s="1" t="n">
        <v>45338</v>
      </c>
      <c r="C792" s="1" t="n">
        <v>45709</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6481-2024</t>
        </is>
      </c>
      <c r="B793" s="1" t="n">
        <v>45338</v>
      </c>
      <c r="C793" s="1" t="n">
        <v>45709</v>
      </c>
      <c r="D793" t="inlineStr">
        <is>
          <t>JÄMTLANDS LÄN</t>
        </is>
      </c>
      <c r="E793" t="inlineStr">
        <is>
          <t>ÖSTERSUND</t>
        </is>
      </c>
      <c r="F793" t="inlineStr">
        <is>
          <t>SCA</t>
        </is>
      </c>
      <c r="G793" t="n">
        <v>21.3</v>
      </c>
      <c r="H793" t="n">
        <v>0</v>
      </c>
      <c r="I793" t="n">
        <v>0</v>
      </c>
      <c r="J793" t="n">
        <v>0</v>
      </c>
      <c r="K793" t="n">
        <v>0</v>
      </c>
      <c r="L793" t="n">
        <v>0</v>
      </c>
      <c r="M793" t="n">
        <v>0</v>
      </c>
      <c r="N793" t="n">
        <v>0</v>
      </c>
      <c r="O793" t="n">
        <v>0</v>
      </c>
      <c r="P793" t="n">
        <v>0</v>
      </c>
      <c r="Q793" t="n">
        <v>0</v>
      </c>
      <c r="R793" s="2" t="inlineStr"/>
    </row>
    <row r="794" ht="15" customHeight="1">
      <c r="A794" t="inlineStr">
        <is>
          <t>A 6877-2024</t>
        </is>
      </c>
      <c r="B794" s="1" t="n">
        <v>45342</v>
      </c>
      <c r="C794" s="1" t="n">
        <v>45709</v>
      </c>
      <c r="D794" t="inlineStr">
        <is>
          <t>JÄMTLANDS LÄN</t>
        </is>
      </c>
      <c r="E794" t="inlineStr">
        <is>
          <t>ÖSTERSUND</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7233-2024</t>
        </is>
      </c>
      <c r="B795" s="1" t="n">
        <v>45344</v>
      </c>
      <c r="C795" s="1" t="n">
        <v>45709</v>
      </c>
      <c r="D795" t="inlineStr">
        <is>
          <t>JÄMTLANDS LÄN</t>
        </is>
      </c>
      <c r="E795" t="inlineStr">
        <is>
          <t>ÖSTERSUND</t>
        </is>
      </c>
      <c r="G795" t="n">
        <v>1.2</v>
      </c>
      <c r="H795" t="n">
        <v>0</v>
      </c>
      <c r="I795" t="n">
        <v>0</v>
      </c>
      <c r="J795" t="n">
        <v>0</v>
      </c>
      <c r="K795" t="n">
        <v>0</v>
      </c>
      <c r="L795" t="n">
        <v>0</v>
      </c>
      <c r="M795" t="n">
        <v>0</v>
      </c>
      <c r="N795" t="n">
        <v>0</v>
      </c>
      <c r="O795" t="n">
        <v>0</v>
      </c>
      <c r="P795" t="n">
        <v>0</v>
      </c>
      <c r="Q795" t="n">
        <v>0</v>
      </c>
      <c r="R795" s="2" t="inlineStr"/>
    </row>
    <row r="796" ht="15" customHeight="1">
      <c r="A796" t="inlineStr">
        <is>
          <t>A 7224-2024</t>
        </is>
      </c>
      <c r="B796" s="1" t="n">
        <v>45344</v>
      </c>
      <c r="C796" s="1" t="n">
        <v>45709</v>
      </c>
      <c r="D796" t="inlineStr">
        <is>
          <t>JÄMTLANDS LÄN</t>
        </is>
      </c>
      <c r="E796" t="inlineStr">
        <is>
          <t>ÖSTERSUND</t>
        </is>
      </c>
      <c r="G796" t="n">
        <v>2.9</v>
      </c>
      <c r="H796" t="n">
        <v>0</v>
      </c>
      <c r="I796" t="n">
        <v>0</v>
      </c>
      <c r="J796" t="n">
        <v>0</v>
      </c>
      <c r="K796" t="n">
        <v>0</v>
      </c>
      <c r="L796" t="n">
        <v>0</v>
      </c>
      <c r="M796" t="n">
        <v>0</v>
      </c>
      <c r="N796" t="n">
        <v>0</v>
      </c>
      <c r="O796" t="n">
        <v>0</v>
      </c>
      <c r="P796" t="n">
        <v>0</v>
      </c>
      <c r="Q796" t="n">
        <v>0</v>
      </c>
      <c r="R796" s="2" t="inlineStr"/>
    </row>
    <row r="797" ht="15" customHeight="1">
      <c r="A797" t="inlineStr">
        <is>
          <t>A 7228-2024</t>
        </is>
      </c>
      <c r="B797" s="1" t="n">
        <v>45344</v>
      </c>
      <c r="C797" s="1" t="n">
        <v>45709</v>
      </c>
      <c r="D797" t="inlineStr">
        <is>
          <t>JÄMTLANDS LÄN</t>
        </is>
      </c>
      <c r="E797" t="inlineStr">
        <is>
          <t>ÖSTERSUND</t>
        </is>
      </c>
      <c r="G797" t="n">
        <v>3</v>
      </c>
      <c r="H797" t="n">
        <v>0</v>
      </c>
      <c r="I797" t="n">
        <v>0</v>
      </c>
      <c r="J797" t="n">
        <v>0</v>
      </c>
      <c r="K797" t="n">
        <v>0</v>
      </c>
      <c r="L797" t="n">
        <v>0</v>
      </c>
      <c r="M797" t="n">
        <v>0</v>
      </c>
      <c r="N797" t="n">
        <v>0</v>
      </c>
      <c r="O797" t="n">
        <v>0</v>
      </c>
      <c r="P797" t="n">
        <v>0</v>
      </c>
      <c r="Q797" t="n">
        <v>0</v>
      </c>
      <c r="R797" s="2" t="inlineStr"/>
    </row>
    <row r="798" ht="15" customHeight="1">
      <c r="A798" t="inlineStr">
        <is>
          <t>A 7484-2024</t>
        </is>
      </c>
      <c r="B798" s="1" t="n">
        <v>45346</v>
      </c>
      <c r="C798" s="1" t="n">
        <v>45709</v>
      </c>
      <c r="D798" t="inlineStr">
        <is>
          <t>JÄMTLANDS LÄN</t>
        </is>
      </c>
      <c r="E798" t="inlineStr">
        <is>
          <t>ÖSTERSUND</t>
        </is>
      </c>
      <c r="G798" t="n">
        <v>5.4</v>
      </c>
      <c r="H798" t="n">
        <v>0</v>
      </c>
      <c r="I798" t="n">
        <v>0</v>
      </c>
      <c r="J798" t="n">
        <v>0</v>
      </c>
      <c r="K798" t="n">
        <v>0</v>
      </c>
      <c r="L798" t="n">
        <v>0</v>
      </c>
      <c r="M798" t="n">
        <v>0</v>
      </c>
      <c r="N798" t="n">
        <v>0</v>
      </c>
      <c r="O798" t="n">
        <v>0</v>
      </c>
      <c r="P798" t="n">
        <v>0</v>
      </c>
      <c r="Q798" t="n">
        <v>0</v>
      </c>
      <c r="R798" s="2" t="inlineStr"/>
    </row>
    <row r="799" ht="15" customHeight="1">
      <c r="A799" t="inlineStr">
        <is>
          <t>A 8166-2024</t>
        </is>
      </c>
      <c r="B799" s="1" t="n">
        <v>45349</v>
      </c>
      <c r="C799" s="1" t="n">
        <v>45709</v>
      </c>
      <c r="D799" t="inlineStr">
        <is>
          <t>JÄMTLANDS LÄN</t>
        </is>
      </c>
      <c r="E799" t="inlineStr">
        <is>
          <t>ÖSTERSUND</t>
        </is>
      </c>
      <c r="G799" t="n">
        <v>2.7</v>
      </c>
      <c r="H799" t="n">
        <v>0</v>
      </c>
      <c r="I799" t="n">
        <v>0</v>
      </c>
      <c r="J799" t="n">
        <v>0</v>
      </c>
      <c r="K799" t="n">
        <v>0</v>
      </c>
      <c r="L799" t="n">
        <v>0</v>
      </c>
      <c r="M799" t="n">
        <v>0</v>
      </c>
      <c r="N799" t="n">
        <v>0</v>
      </c>
      <c r="O799" t="n">
        <v>0</v>
      </c>
      <c r="P799" t="n">
        <v>0</v>
      </c>
      <c r="Q799" t="n">
        <v>0</v>
      </c>
      <c r="R799" s="2" t="inlineStr"/>
    </row>
    <row r="800" ht="15" customHeight="1">
      <c r="A800" t="inlineStr">
        <is>
          <t>A 9109-2024</t>
        </is>
      </c>
      <c r="B800" s="1" t="n">
        <v>45358</v>
      </c>
      <c r="C800" s="1" t="n">
        <v>45709</v>
      </c>
      <c r="D800" t="inlineStr">
        <is>
          <t>JÄMTLANDS LÄN</t>
        </is>
      </c>
      <c r="E800" t="inlineStr">
        <is>
          <t>ÖSTERSUND</t>
        </is>
      </c>
      <c r="G800" t="n">
        <v>17.1</v>
      </c>
      <c r="H800" t="n">
        <v>0</v>
      </c>
      <c r="I800" t="n">
        <v>0</v>
      </c>
      <c r="J800" t="n">
        <v>0</v>
      </c>
      <c r="K800" t="n">
        <v>0</v>
      </c>
      <c r="L800" t="n">
        <v>0</v>
      </c>
      <c r="M800" t="n">
        <v>0</v>
      </c>
      <c r="N800" t="n">
        <v>0</v>
      </c>
      <c r="O800" t="n">
        <v>0</v>
      </c>
      <c r="P800" t="n">
        <v>0</v>
      </c>
      <c r="Q800" t="n">
        <v>0</v>
      </c>
      <c r="R800" s="2" t="inlineStr"/>
    </row>
    <row r="801" ht="15" customHeight="1">
      <c r="A801" t="inlineStr">
        <is>
          <t>A 9151-2024</t>
        </is>
      </c>
      <c r="B801" s="1" t="n">
        <v>45358</v>
      </c>
      <c r="C801" s="1" t="n">
        <v>45709</v>
      </c>
      <c r="D801" t="inlineStr">
        <is>
          <t>JÄMTLANDS LÄN</t>
        </is>
      </c>
      <c r="E801" t="inlineStr">
        <is>
          <t>ÖSTERSUND</t>
        </is>
      </c>
      <c r="G801" t="n">
        <v>2.6</v>
      </c>
      <c r="H801" t="n">
        <v>0</v>
      </c>
      <c r="I801" t="n">
        <v>0</v>
      </c>
      <c r="J801" t="n">
        <v>0</v>
      </c>
      <c r="K801" t="n">
        <v>0</v>
      </c>
      <c r="L801" t="n">
        <v>0</v>
      </c>
      <c r="M801" t="n">
        <v>0</v>
      </c>
      <c r="N801" t="n">
        <v>0</v>
      </c>
      <c r="O801" t="n">
        <v>0</v>
      </c>
      <c r="P801" t="n">
        <v>0</v>
      </c>
      <c r="Q801" t="n">
        <v>0</v>
      </c>
      <c r="R801" s="2" t="inlineStr"/>
    </row>
    <row r="802" ht="15" customHeight="1">
      <c r="A802" t="inlineStr">
        <is>
          <t>A 9859-2024</t>
        </is>
      </c>
      <c r="B802" s="1" t="n">
        <v>45363</v>
      </c>
      <c r="C802" s="1" t="n">
        <v>45709</v>
      </c>
      <c r="D802" t="inlineStr">
        <is>
          <t>JÄMTLANDS LÄN</t>
        </is>
      </c>
      <c r="E802" t="inlineStr">
        <is>
          <t>ÖSTERSUND</t>
        </is>
      </c>
      <c r="G802" t="n">
        <v>5.5</v>
      </c>
      <c r="H802" t="n">
        <v>0</v>
      </c>
      <c r="I802" t="n">
        <v>0</v>
      </c>
      <c r="J802" t="n">
        <v>0</v>
      </c>
      <c r="K802" t="n">
        <v>0</v>
      </c>
      <c r="L802" t="n">
        <v>0</v>
      </c>
      <c r="M802" t="n">
        <v>0</v>
      </c>
      <c r="N802" t="n">
        <v>0</v>
      </c>
      <c r="O802" t="n">
        <v>0</v>
      </c>
      <c r="P802" t="n">
        <v>0</v>
      </c>
      <c r="Q802" t="n">
        <v>0</v>
      </c>
      <c r="R802" s="2" t="inlineStr"/>
    </row>
    <row r="803" ht="15" customHeight="1">
      <c r="A803" t="inlineStr">
        <is>
          <t>A 10064-2024</t>
        </is>
      </c>
      <c r="B803" s="1" t="n">
        <v>45364</v>
      </c>
      <c r="C803" s="1" t="n">
        <v>45709</v>
      </c>
      <c r="D803" t="inlineStr">
        <is>
          <t>JÄMTLANDS LÄN</t>
        </is>
      </c>
      <c r="E803" t="inlineStr">
        <is>
          <t>ÖSTERSUND</t>
        </is>
      </c>
      <c r="G803" t="n">
        <v>13.9</v>
      </c>
      <c r="H803" t="n">
        <v>0</v>
      </c>
      <c r="I803" t="n">
        <v>0</v>
      </c>
      <c r="J803" t="n">
        <v>0</v>
      </c>
      <c r="K803" t="n">
        <v>0</v>
      </c>
      <c r="L803" t="n">
        <v>0</v>
      </c>
      <c r="M803" t="n">
        <v>0</v>
      </c>
      <c r="N803" t="n">
        <v>0</v>
      </c>
      <c r="O803" t="n">
        <v>0</v>
      </c>
      <c r="P803" t="n">
        <v>0</v>
      </c>
      <c r="Q803" t="n">
        <v>0</v>
      </c>
      <c r="R803" s="2" t="inlineStr"/>
    </row>
    <row r="804" ht="15" customHeight="1">
      <c r="A804" t="inlineStr">
        <is>
          <t>A 10619-2024</t>
        </is>
      </c>
      <c r="B804" s="1" t="n">
        <v>45367</v>
      </c>
      <c r="C804" s="1" t="n">
        <v>45709</v>
      </c>
      <c r="D804" t="inlineStr">
        <is>
          <t>JÄMTLANDS LÄN</t>
        </is>
      </c>
      <c r="E804" t="inlineStr">
        <is>
          <t>ÖSTERSUND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11052-2024</t>
        </is>
      </c>
      <c r="B805" s="1" t="n">
        <v>45370</v>
      </c>
      <c r="C805" s="1" t="n">
        <v>45709</v>
      </c>
      <c r="D805" t="inlineStr">
        <is>
          <t>JÄMTLANDS LÄN</t>
        </is>
      </c>
      <c r="E805" t="inlineStr">
        <is>
          <t>ÖSTERSUND</t>
        </is>
      </c>
      <c r="G805" t="n">
        <v>2.3</v>
      </c>
      <c r="H805" t="n">
        <v>0</v>
      </c>
      <c r="I805" t="n">
        <v>0</v>
      </c>
      <c r="J805" t="n">
        <v>0</v>
      </c>
      <c r="K805" t="n">
        <v>0</v>
      </c>
      <c r="L805" t="n">
        <v>0</v>
      </c>
      <c r="M805" t="n">
        <v>0</v>
      </c>
      <c r="N805" t="n">
        <v>0</v>
      </c>
      <c r="O805" t="n">
        <v>0</v>
      </c>
      <c r="P805" t="n">
        <v>0</v>
      </c>
      <c r="Q805" t="n">
        <v>0</v>
      </c>
      <c r="R805" s="2" t="inlineStr"/>
    </row>
    <row r="806" ht="15" customHeight="1">
      <c r="A806" t="inlineStr">
        <is>
          <t>A 11768-2024</t>
        </is>
      </c>
      <c r="B806" s="1" t="n">
        <v>45373</v>
      </c>
      <c r="C806" s="1" t="n">
        <v>45709</v>
      </c>
      <c r="D806" t="inlineStr">
        <is>
          <t>JÄMTLANDS LÄN</t>
        </is>
      </c>
      <c r="E806" t="inlineStr">
        <is>
          <t>ÖSTERSUND</t>
        </is>
      </c>
      <c r="F806" t="inlineStr">
        <is>
          <t>SCA</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11877-2024</t>
        </is>
      </c>
      <c r="B807" s="1" t="n">
        <v>45376</v>
      </c>
      <c r="C807" s="1" t="n">
        <v>45709</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11931-2024</t>
        </is>
      </c>
      <c r="B808" s="1" t="n">
        <v>45376</v>
      </c>
      <c r="C808" s="1" t="n">
        <v>45709</v>
      </c>
      <c r="D808" t="inlineStr">
        <is>
          <t>JÄMTLANDS LÄN</t>
        </is>
      </c>
      <c r="E808" t="inlineStr">
        <is>
          <t>ÖSTERSUND</t>
        </is>
      </c>
      <c r="G808" t="n">
        <v>1.6</v>
      </c>
      <c r="H808" t="n">
        <v>0</v>
      </c>
      <c r="I808" t="n">
        <v>0</v>
      </c>
      <c r="J808" t="n">
        <v>0</v>
      </c>
      <c r="K808" t="n">
        <v>0</v>
      </c>
      <c r="L808" t="n">
        <v>0</v>
      </c>
      <c r="M808" t="n">
        <v>0</v>
      </c>
      <c r="N808" t="n">
        <v>0</v>
      </c>
      <c r="O808" t="n">
        <v>0</v>
      </c>
      <c r="P808" t="n">
        <v>0</v>
      </c>
      <c r="Q808" t="n">
        <v>0</v>
      </c>
      <c r="R808" s="2" t="inlineStr"/>
    </row>
    <row r="809" ht="15" customHeight="1">
      <c r="A809" t="inlineStr">
        <is>
          <t>A 14142-2024</t>
        </is>
      </c>
      <c r="B809" s="1" t="n">
        <v>45392</v>
      </c>
      <c r="C809" s="1" t="n">
        <v>45709</v>
      </c>
      <c r="D809" t="inlineStr">
        <is>
          <t>JÄMTLANDS LÄN</t>
        </is>
      </c>
      <c r="E809" t="inlineStr">
        <is>
          <t>ÖSTERSUND</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16068-2024</t>
        </is>
      </c>
      <c r="B810" s="1" t="n">
        <v>45406</v>
      </c>
      <c r="C810" s="1" t="n">
        <v>45709</v>
      </c>
      <c r="D810" t="inlineStr">
        <is>
          <t>JÄMTLANDS LÄN</t>
        </is>
      </c>
      <c r="E810" t="inlineStr">
        <is>
          <t>ÖSTERSUND</t>
        </is>
      </c>
      <c r="F810" t="inlineStr">
        <is>
          <t>SCA</t>
        </is>
      </c>
      <c r="G810" t="n">
        <v>35.6</v>
      </c>
      <c r="H810" t="n">
        <v>0</v>
      </c>
      <c r="I810" t="n">
        <v>0</v>
      </c>
      <c r="J810" t="n">
        <v>0</v>
      </c>
      <c r="K810" t="n">
        <v>0</v>
      </c>
      <c r="L810" t="n">
        <v>0</v>
      </c>
      <c r="M810" t="n">
        <v>0</v>
      </c>
      <c r="N810" t="n">
        <v>0</v>
      </c>
      <c r="O810" t="n">
        <v>0</v>
      </c>
      <c r="P810" t="n">
        <v>0</v>
      </c>
      <c r="Q810" t="n">
        <v>0</v>
      </c>
      <c r="R810" s="2" t="inlineStr"/>
    </row>
    <row r="811" ht="15" customHeight="1">
      <c r="A811" t="inlineStr">
        <is>
          <t>A 16065-2024</t>
        </is>
      </c>
      <c r="B811" s="1" t="n">
        <v>45406</v>
      </c>
      <c r="C811" s="1" t="n">
        <v>45709</v>
      </c>
      <c r="D811" t="inlineStr">
        <is>
          <t>JÄMTLANDS LÄN</t>
        </is>
      </c>
      <c r="E811" t="inlineStr">
        <is>
          <t>ÖSTERSUND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16459-2024</t>
        </is>
      </c>
      <c r="B812" s="1" t="n">
        <v>45407</v>
      </c>
      <c r="C812" s="1" t="n">
        <v>45709</v>
      </c>
      <c r="D812" t="inlineStr">
        <is>
          <t>JÄMTLANDS LÄN</t>
        </is>
      </c>
      <c r="E812" t="inlineStr">
        <is>
          <t>ÖSTERSUND</t>
        </is>
      </c>
      <c r="G812" t="n">
        <v>24</v>
      </c>
      <c r="H812" t="n">
        <v>0</v>
      </c>
      <c r="I812" t="n">
        <v>0</v>
      </c>
      <c r="J812" t="n">
        <v>0</v>
      </c>
      <c r="K812" t="n">
        <v>0</v>
      </c>
      <c r="L812" t="n">
        <v>0</v>
      </c>
      <c r="M812" t="n">
        <v>0</v>
      </c>
      <c r="N812" t="n">
        <v>0</v>
      </c>
      <c r="O812" t="n">
        <v>0</v>
      </c>
      <c r="P812" t="n">
        <v>0</v>
      </c>
      <c r="Q812" t="n">
        <v>0</v>
      </c>
      <c r="R812" s="2" t="inlineStr"/>
    </row>
    <row r="813" ht="15" customHeight="1">
      <c r="A813" t="inlineStr">
        <is>
          <t>A 16689-2024</t>
        </is>
      </c>
      <c r="B813" s="1" t="n">
        <v>45408</v>
      </c>
      <c r="C813" s="1" t="n">
        <v>45709</v>
      </c>
      <c r="D813" t="inlineStr">
        <is>
          <t>JÄMTLANDS LÄN</t>
        </is>
      </c>
      <c r="E813" t="inlineStr">
        <is>
          <t>ÖSTERSUND</t>
        </is>
      </c>
      <c r="G813" t="n">
        <v>0.6</v>
      </c>
      <c r="H813" t="n">
        <v>0</v>
      </c>
      <c r="I813" t="n">
        <v>0</v>
      </c>
      <c r="J813" t="n">
        <v>0</v>
      </c>
      <c r="K813" t="n">
        <v>0</v>
      </c>
      <c r="L813" t="n">
        <v>0</v>
      </c>
      <c r="M813" t="n">
        <v>0</v>
      </c>
      <c r="N813" t="n">
        <v>0</v>
      </c>
      <c r="O813" t="n">
        <v>0</v>
      </c>
      <c r="P813" t="n">
        <v>0</v>
      </c>
      <c r="Q813" t="n">
        <v>0</v>
      </c>
      <c r="R813" s="2" t="inlineStr"/>
    </row>
    <row r="814" ht="15" customHeight="1">
      <c r="A814" t="inlineStr">
        <is>
          <t>A 17188-2024</t>
        </is>
      </c>
      <c r="B814" s="1" t="n">
        <v>45413</v>
      </c>
      <c r="C814" s="1" t="n">
        <v>45709</v>
      </c>
      <c r="D814" t="inlineStr">
        <is>
          <t>JÄMTLANDS LÄN</t>
        </is>
      </c>
      <c r="E814" t="inlineStr">
        <is>
          <t>ÖSTERSUND</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17062-2024</t>
        </is>
      </c>
      <c r="B815" s="1" t="n">
        <v>45412</v>
      </c>
      <c r="C815" s="1" t="n">
        <v>45709</v>
      </c>
      <c r="D815" t="inlineStr">
        <is>
          <t>JÄMTLANDS LÄN</t>
        </is>
      </c>
      <c r="E815" t="inlineStr">
        <is>
          <t>ÖSTERSUND</t>
        </is>
      </c>
      <c r="G815" t="n">
        <v>8</v>
      </c>
      <c r="H815" t="n">
        <v>0</v>
      </c>
      <c r="I815" t="n">
        <v>0</v>
      </c>
      <c r="J815" t="n">
        <v>0</v>
      </c>
      <c r="K815" t="n">
        <v>0</v>
      </c>
      <c r="L815" t="n">
        <v>0</v>
      </c>
      <c r="M815" t="n">
        <v>0</v>
      </c>
      <c r="N815" t="n">
        <v>0</v>
      </c>
      <c r="O815" t="n">
        <v>0</v>
      </c>
      <c r="P815" t="n">
        <v>0</v>
      </c>
      <c r="Q815" t="n">
        <v>0</v>
      </c>
      <c r="R815" s="2" t="inlineStr"/>
    </row>
    <row r="816" ht="15" customHeight="1">
      <c r="A816" t="inlineStr">
        <is>
          <t>A 17066-2024</t>
        </is>
      </c>
      <c r="B816" s="1" t="n">
        <v>45412</v>
      </c>
      <c r="C816" s="1" t="n">
        <v>45709</v>
      </c>
      <c r="D816" t="inlineStr">
        <is>
          <t>JÄMTLANDS LÄN</t>
        </is>
      </c>
      <c r="E816" t="inlineStr">
        <is>
          <t>ÖSTERSUND</t>
        </is>
      </c>
      <c r="G816" t="n">
        <v>4.2</v>
      </c>
      <c r="H816" t="n">
        <v>0</v>
      </c>
      <c r="I816" t="n">
        <v>0</v>
      </c>
      <c r="J816" t="n">
        <v>0</v>
      </c>
      <c r="K816" t="n">
        <v>0</v>
      </c>
      <c r="L816" t="n">
        <v>0</v>
      </c>
      <c r="M816" t="n">
        <v>0</v>
      </c>
      <c r="N816" t="n">
        <v>0</v>
      </c>
      <c r="O816" t="n">
        <v>0</v>
      </c>
      <c r="P816" t="n">
        <v>0</v>
      </c>
      <c r="Q816" t="n">
        <v>0</v>
      </c>
      <c r="R816" s="2" t="inlineStr"/>
    </row>
    <row r="817" ht="15" customHeight="1">
      <c r="A817" t="inlineStr">
        <is>
          <t>A 17547-2024</t>
        </is>
      </c>
      <c r="B817" s="1" t="n">
        <v>45415</v>
      </c>
      <c r="C817" s="1" t="n">
        <v>45709</v>
      </c>
      <c r="D817" t="inlineStr">
        <is>
          <t>JÄMTLANDS LÄN</t>
        </is>
      </c>
      <c r="E817" t="inlineStr">
        <is>
          <t>ÖSTERSUND</t>
        </is>
      </c>
      <c r="G817" t="n">
        <v>2.1</v>
      </c>
      <c r="H817" t="n">
        <v>0</v>
      </c>
      <c r="I817" t="n">
        <v>0</v>
      </c>
      <c r="J817" t="n">
        <v>0</v>
      </c>
      <c r="K817" t="n">
        <v>0</v>
      </c>
      <c r="L817" t="n">
        <v>0</v>
      </c>
      <c r="M817" t="n">
        <v>0</v>
      </c>
      <c r="N817" t="n">
        <v>0</v>
      </c>
      <c r="O817" t="n">
        <v>0</v>
      </c>
      <c r="P817" t="n">
        <v>0</v>
      </c>
      <c r="Q817" t="n">
        <v>0</v>
      </c>
      <c r="R817" s="2" t="inlineStr"/>
    </row>
    <row r="818" ht="15" customHeight="1">
      <c r="A818" t="inlineStr">
        <is>
          <t>A 17760-2024</t>
        </is>
      </c>
      <c r="B818" s="1" t="n">
        <v>45418</v>
      </c>
      <c r="C818" s="1" t="n">
        <v>45709</v>
      </c>
      <c r="D818" t="inlineStr">
        <is>
          <t>JÄMTLANDS LÄN</t>
        </is>
      </c>
      <c r="E818" t="inlineStr">
        <is>
          <t>ÖSTERSUND</t>
        </is>
      </c>
      <c r="G818" t="n">
        <v>1.6</v>
      </c>
      <c r="H818" t="n">
        <v>0</v>
      </c>
      <c r="I818" t="n">
        <v>0</v>
      </c>
      <c r="J818" t="n">
        <v>0</v>
      </c>
      <c r="K818" t="n">
        <v>0</v>
      </c>
      <c r="L818" t="n">
        <v>0</v>
      </c>
      <c r="M818" t="n">
        <v>0</v>
      </c>
      <c r="N818" t="n">
        <v>0</v>
      </c>
      <c r="O818" t="n">
        <v>0</v>
      </c>
      <c r="P818" t="n">
        <v>0</v>
      </c>
      <c r="Q818" t="n">
        <v>0</v>
      </c>
      <c r="R818" s="2" t="inlineStr"/>
    </row>
    <row r="819" ht="15" customHeight="1">
      <c r="A819" t="inlineStr">
        <is>
          <t>A 17709-2024</t>
        </is>
      </c>
      <c r="B819" s="1" t="n">
        <v>45418</v>
      </c>
      <c r="C819" s="1" t="n">
        <v>45709</v>
      </c>
      <c r="D819" t="inlineStr">
        <is>
          <t>JÄMTLANDS LÄN</t>
        </is>
      </c>
      <c r="E819" t="inlineStr">
        <is>
          <t>ÖSTERSUND</t>
        </is>
      </c>
      <c r="G819" t="n">
        <v>2.9</v>
      </c>
      <c r="H819" t="n">
        <v>0</v>
      </c>
      <c r="I819" t="n">
        <v>0</v>
      </c>
      <c r="J819" t="n">
        <v>0</v>
      </c>
      <c r="K819" t="n">
        <v>0</v>
      </c>
      <c r="L819" t="n">
        <v>0</v>
      </c>
      <c r="M819" t="n">
        <v>0</v>
      </c>
      <c r="N819" t="n">
        <v>0</v>
      </c>
      <c r="O819" t="n">
        <v>0</v>
      </c>
      <c r="P819" t="n">
        <v>0</v>
      </c>
      <c r="Q819" t="n">
        <v>0</v>
      </c>
      <c r="R819" s="2" t="inlineStr"/>
    </row>
    <row r="820" ht="15" customHeight="1">
      <c r="A820" t="inlineStr">
        <is>
          <t>A 18627-2024</t>
        </is>
      </c>
      <c r="B820" s="1" t="n">
        <v>45426</v>
      </c>
      <c r="C820" s="1" t="n">
        <v>45709</v>
      </c>
      <c r="D820" t="inlineStr">
        <is>
          <t>JÄMTLANDS LÄN</t>
        </is>
      </c>
      <c r="E820" t="inlineStr">
        <is>
          <t>ÖSTERSUND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18643-2024</t>
        </is>
      </c>
      <c r="B821" s="1" t="n">
        <v>45426</v>
      </c>
      <c r="C821" s="1" t="n">
        <v>45709</v>
      </c>
      <c r="D821" t="inlineStr">
        <is>
          <t>JÄMTLANDS LÄN</t>
        </is>
      </c>
      <c r="E821" t="inlineStr">
        <is>
          <t>ÖSTERSUND</t>
        </is>
      </c>
      <c r="F821" t="inlineStr">
        <is>
          <t>SCA</t>
        </is>
      </c>
      <c r="G821" t="n">
        <v>10.3</v>
      </c>
      <c r="H821" t="n">
        <v>0</v>
      </c>
      <c r="I821" t="n">
        <v>0</v>
      </c>
      <c r="J821" t="n">
        <v>0</v>
      </c>
      <c r="K821" t="n">
        <v>0</v>
      </c>
      <c r="L821" t="n">
        <v>0</v>
      </c>
      <c r="M821" t="n">
        <v>0</v>
      </c>
      <c r="N821" t="n">
        <v>0</v>
      </c>
      <c r="O821" t="n">
        <v>0</v>
      </c>
      <c r="P821" t="n">
        <v>0</v>
      </c>
      <c r="Q821" t="n">
        <v>0</v>
      </c>
      <c r="R821" s="2" t="inlineStr"/>
    </row>
    <row r="822" ht="15" customHeight="1">
      <c r="A822" t="inlineStr">
        <is>
          <t>A 18624-2024</t>
        </is>
      </c>
      <c r="B822" s="1" t="n">
        <v>45426</v>
      </c>
      <c r="C822" s="1" t="n">
        <v>45709</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19112-2024</t>
        </is>
      </c>
      <c r="B823" s="1" t="n">
        <v>45427</v>
      </c>
      <c r="C823" s="1" t="n">
        <v>45709</v>
      </c>
      <c r="D823" t="inlineStr">
        <is>
          <t>JÄMTLANDS LÄN</t>
        </is>
      </c>
      <c r="E823" t="inlineStr">
        <is>
          <t>ÖSTERSUND</t>
        </is>
      </c>
      <c r="G823" t="n">
        <v>3.6</v>
      </c>
      <c r="H823" t="n">
        <v>0</v>
      </c>
      <c r="I823" t="n">
        <v>0</v>
      </c>
      <c r="J823" t="n">
        <v>0</v>
      </c>
      <c r="K823" t="n">
        <v>0</v>
      </c>
      <c r="L823" t="n">
        <v>0</v>
      </c>
      <c r="M823" t="n">
        <v>0</v>
      </c>
      <c r="N823" t="n">
        <v>0</v>
      </c>
      <c r="O823" t="n">
        <v>0</v>
      </c>
      <c r="P823" t="n">
        <v>0</v>
      </c>
      <c r="Q823" t="n">
        <v>0</v>
      </c>
      <c r="R823" s="2" t="inlineStr"/>
    </row>
    <row r="824" ht="15" customHeight="1">
      <c r="A824" t="inlineStr">
        <is>
          <t>A 19037-2024</t>
        </is>
      </c>
      <c r="B824" s="1" t="n">
        <v>45427</v>
      </c>
      <c r="C824" s="1" t="n">
        <v>45709</v>
      </c>
      <c r="D824" t="inlineStr">
        <is>
          <t>JÄMTLANDS LÄN</t>
        </is>
      </c>
      <c r="E824" t="inlineStr">
        <is>
          <t>ÖSTERSUND</t>
        </is>
      </c>
      <c r="G824" t="n">
        <v>2</v>
      </c>
      <c r="H824" t="n">
        <v>0</v>
      </c>
      <c r="I824" t="n">
        <v>0</v>
      </c>
      <c r="J824" t="n">
        <v>0</v>
      </c>
      <c r="K824" t="n">
        <v>0</v>
      </c>
      <c r="L824" t="n">
        <v>0</v>
      </c>
      <c r="M824" t="n">
        <v>0</v>
      </c>
      <c r="N824" t="n">
        <v>0</v>
      </c>
      <c r="O824" t="n">
        <v>0</v>
      </c>
      <c r="P824" t="n">
        <v>0</v>
      </c>
      <c r="Q824" t="n">
        <v>0</v>
      </c>
      <c r="R824" s="2" t="inlineStr"/>
    </row>
    <row r="825" ht="15" customHeight="1">
      <c r="A825" t="inlineStr">
        <is>
          <t>A 19138-2024</t>
        </is>
      </c>
      <c r="B825" s="1" t="n">
        <v>45428</v>
      </c>
      <c r="C825" s="1" t="n">
        <v>45709</v>
      </c>
      <c r="D825" t="inlineStr">
        <is>
          <t>JÄMTLANDS LÄN</t>
        </is>
      </c>
      <c r="E825" t="inlineStr">
        <is>
          <t>ÖSTERSUND</t>
        </is>
      </c>
      <c r="G825" t="n">
        <v>13.6</v>
      </c>
      <c r="H825" t="n">
        <v>0</v>
      </c>
      <c r="I825" t="n">
        <v>0</v>
      </c>
      <c r="J825" t="n">
        <v>0</v>
      </c>
      <c r="K825" t="n">
        <v>0</v>
      </c>
      <c r="L825" t="n">
        <v>0</v>
      </c>
      <c r="M825" t="n">
        <v>0</v>
      </c>
      <c r="N825" t="n">
        <v>0</v>
      </c>
      <c r="O825" t="n">
        <v>0</v>
      </c>
      <c r="P825" t="n">
        <v>0</v>
      </c>
      <c r="Q825" t="n">
        <v>0</v>
      </c>
      <c r="R825" s="2" t="inlineStr"/>
    </row>
    <row r="826" ht="15" customHeight="1">
      <c r="A826" t="inlineStr">
        <is>
          <t>A 19233-2024</t>
        </is>
      </c>
      <c r="B826" s="1" t="n">
        <v>45428</v>
      </c>
      <c r="C826" s="1" t="n">
        <v>45709</v>
      </c>
      <c r="D826" t="inlineStr">
        <is>
          <t>JÄMTLANDS LÄN</t>
        </is>
      </c>
      <c r="E826" t="inlineStr">
        <is>
          <t>ÖSTERSUND</t>
        </is>
      </c>
      <c r="G826" t="n">
        <v>2.2</v>
      </c>
      <c r="H826" t="n">
        <v>0</v>
      </c>
      <c r="I826" t="n">
        <v>0</v>
      </c>
      <c r="J826" t="n">
        <v>0</v>
      </c>
      <c r="K826" t="n">
        <v>0</v>
      </c>
      <c r="L826" t="n">
        <v>0</v>
      </c>
      <c r="M826" t="n">
        <v>0</v>
      </c>
      <c r="N826" t="n">
        <v>0</v>
      </c>
      <c r="O826" t="n">
        <v>0</v>
      </c>
      <c r="P826" t="n">
        <v>0</v>
      </c>
      <c r="Q826" t="n">
        <v>0</v>
      </c>
      <c r="R826" s="2" t="inlineStr"/>
    </row>
    <row r="827" ht="15" customHeight="1">
      <c r="A827" t="inlineStr">
        <is>
          <t>A 19408-2024</t>
        </is>
      </c>
      <c r="B827" s="1" t="n">
        <v>45428</v>
      </c>
      <c r="C827" s="1" t="n">
        <v>45709</v>
      </c>
      <c r="D827" t="inlineStr">
        <is>
          <t>JÄMTLANDS LÄN</t>
        </is>
      </c>
      <c r="E827" t="inlineStr">
        <is>
          <t>ÖSTERSUND</t>
        </is>
      </c>
      <c r="G827" t="n">
        <v>11.1</v>
      </c>
      <c r="H827" t="n">
        <v>0</v>
      </c>
      <c r="I827" t="n">
        <v>0</v>
      </c>
      <c r="J827" t="n">
        <v>0</v>
      </c>
      <c r="K827" t="n">
        <v>0</v>
      </c>
      <c r="L827" t="n">
        <v>0</v>
      </c>
      <c r="M827" t="n">
        <v>0</v>
      </c>
      <c r="N827" t="n">
        <v>0</v>
      </c>
      <c r="O827" t="n">
        <v>0</v>
      </c>
      <c r="P827" t="n">
        <v>0</v>
      </c>
      <c r="Q827" t="n">
        <v>0</v>
      </c>
      <c r="R827" s="2" t="inlineStr"/>
    </row>
    <row r="828" ht="15" customHeight="1">
      <c r="A828" t="inlineStr">
        <is>
          <t>A 19323-2024</t>
        </is>
      </c>
      <c r="B828" s="1" t="n">
        <v>45429</v>
      </c>
      <c r="C828" s="1" t="n">
        <v>45709</v>
      </c>
      <c r="D828" t="inlineStr">
        <is>
          <t>JÄMTLANDS LÄN</t>
        </is>
      </c>
      <c r="E828" t="inlineStr">
        <is>
          <t>ÖSTERSUND</t>
        </is>
      </c>
      <c r="F828" t="inlineStr">
        <is>
          <t>Kommuner</t>
        </is>
      </c>
      <c r="G828" t="n">
        <v>0.2</v>
      </c>
      <c r="H828" t="n">
        <v>0</v>
      </c>
      <c r="I828" t="n">
        <v>0</v>
      </c>
      <c r="J828" t="n">
        <v>0</v>
      </c>
      <c r="K828" t="n">
        <v>0</v>
      </c>
      <c r="L828" t="n">
        <v>0</v>
      </c>
      <c r="M828" t="n">
        <v>0</v>
      </c>
      <c r="N828" t="n">
        <v>0</v>
      </c>
      <c r="O828" t="n">
        <v>0</v>
      </c>
      <c r="P828" t="n">
        <v>0</v>
      </c>
      <c r="Q828" t="n">
        <v>0</v>
      </c>
      <c r="R828" s="2" t="inlineStr"/>
    </row>
    <row r="829" ht="15" customHeight="1">
      <c r="A829" t="inlineStr">
        <is>
          <t>A 19566-2024</t>
        </is>
      </c>
      <c r="B829" s="1" t="n">
        <v>45430</v>
      </c>
      <c r="C829" s="1" t="n">
        <v>45709</v>
      </c>
      <c r="D829" t="inlineStr">
        <is>
          <t>JÄMTLANDS LÄN</t>
        </is>
      </c>
      <c r="E829" t="inlineStr">
        <is>
          <t>ÖSTERSUND</t>
        </is>
      </c>
      <c r="G829" t="n">
        <v>0</v>
      </c>
      <c r="H829" t="n">
        <v>0</v>
      </c>
      <c r="I829" t="n">
        <v>0</v>
      </c>
      <c r="J829" t="n">
        <v>0</v>
      </c>
      <c r="K829" t="n">
        <v>0</v>
      </c>
      <c r="L829" t="n">
        <v>0</v>
      </c>
      <c r="M829" t="n">
        <v>0</v>
      </c>
      <c r="N829" t="n">
        <v>0</v>
      </c>
      <c r="O829" t="n">
        <v>0</v>
      </c>
      <c r="P829" t="n">
        <v>0</v>
      </c>
      <c r="Q829" t="n">
        <v>0</v>
      </c>
      <c r="R829" s="2" t="inlineStr"/>
    </row>
    <row r="830" ht="15" customHeight="1">
      <c r="A830" t="inlineStr">
        <is>
          <t>A 19570-2024</t>
        </is>
      </c>
      <c r="B830" s="1" t="n">
        <v>45430</v>
      </c>
      <c r="C830" s="1" t="n">
        <v>45709</v>
      </c>
      <c r="D830" t="inlineStr">
        <is>
          <t>JÄMTLANDS LÄN</t>
        </is>
      </c>
      <c r="E830" t="inlineStr">
        <is>
          <t>ÖSTERSUND</t>
        </is>
      </c>
      <c r="G830" t="n">
        <v>0.8</v>
      </c>
      <c r="H830" t="n">
        <v>0</v>
      </c>
      <c r="I830" t="n">
        <v>0</v>
      </c>
      <c r="J830" t="n">
        <v>0</v>
      </c>
      <c r="K830" t="n">
        <v>0</v>
      </c>
      <c r="L830" t="n">
        <v>0</v>
      </c>
      <c r="M830" t="n">
        <v>0</v>
      </c>
      <c r="N830" t="n">
        <v>0</v>
      </c>
      <c r="O830" t="n">
        <v>0</v>
      </c>
      <c r="P830" t="n">
        <v>0</v>
      </c>
      <c r="Q830" t="n">
        <v>0</v>
      </c>
      <c r="R830" s="2" t="inlineStr"/>
    </row>
    <row r="831" ht="15" customHeight="1">
      <c r="A831" t="inlineStr">
        <is>
          <t>A 19725-2024</t>
        </is>
      </c>
      <c r="B831" s="1" t="n">
        <v>45432</v>
      </c>
      <c r="C831" s="1" t="n">
        <v>45709</v>
      </c>
      <c r="D831" t="inlineStr">
        <is>
          <t>JÄMTLANDS LÄN</t>
        </is>
      </c>
      <c r="E831" t="inlineStr">
        <is>
          <t>ÖSTERSUND</t>
        </is>
      </c>
      <c r="G831" t="n">
        <v>7.2</v>
      </c>
      <c r="H831" t="n">
        <v>0</v>
      </c>
      <c r="I831" t="n">
        <v>0</v>
      </c>
      <c r="J831" t="n">
        <v>0</v>
      </c>
      <c r="K831" t="n">
        <v>0</v>
      </c>
      <c r="L831" t="n">
        <v>0</v>
      </c>
      <c r="M831" t="n">
        <v>0</v>
      </c>
      <c r="N831" t="n">
        <v>0</v>
      </c>
      <c r="O831" t="n">
        <v>0</v>
      </c>
      <c r="P831" t="n">
        <v>0</v>
      </c>
      <c r="Q831" t="n">
        <v>0</v>
      </c>
      <c r="R831" s="2" t="inlineStr"/>
    </row>
    <row r="832" ht="15" customHeight="1">
      <c r="A832" t="inlineStr">
        <is>
          <t>A 20068-2024</t>
        </is>
      </c>
      <c r="B832" s="1" t="n">
        <v>45434</v>
      </c>
      <c r="C832" s="1" t="n">
        <v>45709</v>
      </c>
      <c r="D832" t="inlineStr">
        <is>
          <t>JÄMTLANDS LÄN</t>
        </is>
      </c>
      <c r="E832" t="inlineStr">
        <is>
          <t>ÖSTERSUND</t>
        </is>
      </c>
      <c r="G832" t="n">
        <v>10.2</v>
      </c>
      <c r="H832" t="n">
        <v>0</v>
      </c>
      <c r="I832" t="n">
        <v>0</v>
      </c>
      <c r="J832" t="n">
        <v>0</v>
      </c>
      <c r="K832" t="n">
        <v>0</v>
      </c>
      <c r="L832" t="n">
        <v>0</v>
      </c>
      <c r="M832" t="n">
        <v>0</v>
      </c>
      <c r="N832" t="n">
        <v>0</v>
      </c>
      <c r="O832" t="n">
        <v>0</v>
      </c>
      <c r="P832" t="n">
        <v>0</v>
      </c>
      <c r="Q832" t="n">
        <v>0</v>
      </c>
      <c r="R832" s="2" t="inlineStr"/>
    </row>
    <row r="833" ht="15" customHeight="1">
      <c r="A833" t="inlineStr">
        <is>
          <t>A 20400-2024</t>
        </is>
      </c>
      <c r="B833" s="1" t="n">
        <v>45435</v>
      </c>
      <c r="C833" s="1" t="n">
        <v>45709</v>
      </c>
      <c r="D833" t="inlineStr">
        <is>
          <t>JÄMTLANDS LÄN</t>
        </is>
      </c>
      <c r="E833" t="inlineStr">
        <is>
          <t>ÖSTERSUND</t>
        </is>
      </c>
      <c r="G833" t="n">
        <v>0.9</v>
      </c>
      <c r="H833" t="n">
        <v>0</v>
      </c>
      <c r="I833" t="n">
        <v>0</v>
      </c>
      <c r="J833" t="n">
        <v>0</v>
      </c>
      <c r="K833" t="n">
        <v>0</v>
      </c>
      <c r="L833" t="n">
        <v>0</v>
      </c>
      <c r="M833" t="n">
        <v>0</v>
      </c>
      <c r="N833" t="n">
        <v>0</v>
      </c>
      <c r="O833" t="n">
        <v>0</v>
      </c>
      <c r="P833" t="n">
        <v>0</v>
      </c>
      <c r="Q833" t="n">
        <v>0</v>
      </c>
      <c r="R833" s="2" t="inlineStr"/>
    </row>
    <row r="834" ht="15" customHeight="1">
      <c r="A834" t="inlineStr">
        <is>
          <t>A 20632-2024</t>
        </is>
      </c>
      <c r="B834" s="1" t="n">
        <v>45436</v>
      </c>
      <c r="C834" s="1" t="n">
        <v>45709</v>
      </c>
      <c r="D834" t="inlineStr">
        <is>
          <t>JÄMTLANDS LÄN</t>
        </is>
      </c>
      <c r="E834" t="inlineStr">
        <is>
          <t>ÖSTERSUND</t>
        </is>
      </c>
      <c r="G834" t="n">
        <v>5.6</v>
      </c>
      <c r="H834" t="n">
        <v>0</v>
      </c>
      <c r="I834" t="n">
        <v>0</v>
      </c>
      <c r="J834" t="n">
        <v>0</v>
      </c>
      <c r="K834" t="n">
        <v>0</v>
      </c>
      <c r="L834" t="n">
        <v>0</v>
      </c>
      <c r="M834" t="n">
        <v>0</v>
      </c>
      <c r="N834" t="n">
        <v>0</v>
      </c>
      <c r="O834" t="n">
        <v>0</v>
      </c>
      <c r="P834" t="n">
        <v>0</v>
      </c>
      <c r="Q834" t="n">
        <v>0</v>
      </c>
      <c r="R834" s="2" t="inlineStr"/>
    </row>
    <row r="835" ht="15" customHeight="1">
      <c r="A835" t="inlineStr">
        <is>
          <t>A 20629-2024</t>
        </is>
      </c>
      <c r="B835" s="1" t="n">
        <v>45436</v>
      </c>
      <c r="C835" s="1" t="n">
        <v>45709</v>
      </c>
      <c r="D835" t="inlineStr">
        <is>
          <t>JÄMTLANDS LÄN</t>
        </is>
      </c>
      <c r="E835" t="inlineStr">
        <is>
          <t>ÖSTERSUND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20736-2024</t>
        </is>
      </c>
      <c r="B836" s="1" t="n">
        <v>45436</v>
      </c>
      <c r="C836" s="1" t="n">
        <v>45709</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21094-2024</t>
        </is>
      </c>
      <c r="B837" s="1" t="n">
        <v>45440</v>
      </c>
      <c r="C837" s="1" t="n">
        <v>45709</v>
      </c>
      <c r="D837" t="inlineStr">
        <is>
          <t>JÄMTLANDS LÄN</t>
        </is>
      </c>
      <c r="E837" t="inlineStr">
        <is>
          <t>ÖSTERSUND</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21093-2024</t>
        </is>
      </c>
      <c r="B838" s="1" t="n">
        <v>45440</v>
      </c>
      <c r="C838" s="1" t="n">
        <v>45709</v>
      </c>
      <c r="D838" t="inlineStr">
        <is>
          <t>JÄMTLANDS LÄN</t>
        </is>
      </c>
      <c r="E838" t="inlineStr">
        <is>
          <t>ÖSTERSUND</t>
        </is>
      </c>
      <c r="F838" t="inlineStr">
        <is>
          <t>SCA</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21373-2024</t>
        </is>
      </c>
      <c r="B839" s="1" t="n">
        <v>45441</v>
      </c>
      <c r="C839" s="1" t="n">
        <v>45709</v>
      </c>
      <c r="D839" t="inlineStr">
        <is>
          <t>JÄMTLANDS LÄN</t>
        </is>
      </c>
      <c r="E839" t="inlineStr">
        <is>
          <t>ÖSTERSUND</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21822-2024</t>
        </is>
      </c>
      <c r="B840" s="1" t="n">
        <v>45442</v>
      </c>
      <c r="C840" s="1" t="n">
        <v>45709</v>
      </c>
      <c r="D840" t="inlineStr">
        <is>
          <t>JÄMTLANDS LÄN</t>
        </is>
      </c>
      <c r="E840" t="inlineStr">
        <is>
          <t>ÖSTERSUND</t>
        </is>
      </c>
      <c r="G840" t="n">
        <v>5.1</v>
      </c>
      <c r="H840" t="n">
        <v>0</v>
      </c>
      <c r="I840" t="n">
        <v>0</v>
      </c>
      <c r="J840" t="n">
        <v>0</v>
      </c>
      <c r="K840" t="n">
        <v>0</v>
      </c>
      <c r="L840" t="n">
        <v>0</v>
      </c>
      <c r="M840" t="n">
        <v>0</v>
      </c>
      <c r="N840" t="n">
        <v>0</v>
      </c>
      <c r="O840" t="n">
        <v>0</v>
      </c>
      <c r="P840" t="n">
        <v>0</v>
      </c>
      <c r="Q840" t="n">
        <v>0</v>
      </c>
      <c r="R840" s="2" t="inlineStr"/>
    </row>
    <row r="841" ht="15" customHeight="1">
      <c r="A841" t="inlineStr">
        <is>
          <t>A 21667-2024</t>
        </is>
      </c>
      <c r="B841" s="1" t="n">
        <v>45442</v>
      </c>
      <c r="C841" s="1" t="n">
        <v>45709</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22123-2024</t>
        </is>
      </c>
      <c r="B842" s="1" t="n">
        <v>45444</v>
      </c>
      <c r="C842" s="1" t="n">
        <v>45709</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22478-2024</t>
        </is>
      </c>
      <c r="B843" s="1" t="n">
        <v>45447</v>
      </c>
      <c r="C843" s="1" t="n">
        <v>45709</v>
      </c>
      <c r="D843" t="inlineStr">
        <is>
          <t>JÄMTLANDS LÄN</t>
        </is>
      </c>
      <c r="E843" t="inlineStr">
        <is>
          <t>ÖSTERSUND</t>
        </is>
      </c>
      <c r="F843" t="inlineStr">
        <is>
          <t>SCA</t>
        </is>
      </c>
      <c r="G843" t="n">
        <v>5.8</v>
      </c>
      <c r="H843" t="n">
        <v>0</v>
      </c>
      <c r="I843" t="n">
        <v>0</v>
      </c>
      <c r="J843" t="n">
        <v>0</v>
      </c>
      <c r="K843" t="n">
        <v>0</v>
      </c>
      <c r="L843" t="n">
        <v>0</v>
      </c>
      <c r="M843" t="n">
        <v>0</v>
      </c>
      <c r="N843" t="n">
        <v>0</v>
      </c>
      <c r="O843" t="n">
        <v>0</v>
      </c>
      <c r="P843" t="n">
        <v>0</v>
      </c>
      <c r="Q843" t="n">
        <v>0</v>
      </c>
      <c r="R843" s="2" t="inlineStr"/>
    </row>
    <row r="844" ht="15" customHeight="1">
      <c r="A844" t="inlineStr">
        <is>
          <t>A 23124-2024</t>
        </is>
      </c>
      <c r="B844" s="1" t="n">
        <v>45450</v>
      </c>
      <c r="C844" s="1" t="n">
        <v>45709</v>
      </c>
      <c r="D844" t="inlineStr">
        <is>
          <t>JÄMTLANDS LÄN</t>
        </is>
      </c>
      <c r="E844" t="inlineStr">
        <is>
          <t>ÖSTERSUND</t>
        </is>
      </c>
      <c r="G844" t="n">
        <v>5.8</v>
      </c>
      <c r="H844" t="n">
        <v>0</v>
      </c>
      <c r="I844" t="n">
        <v>0</v>
      </c>
      <c r="J844" t="n">
        <v>0</v>
      </c>
      <c r="K844" t="n">
        <v>0</v>
      </c>
      <c r="L844" t="n">
        <v>0</v>
      </c>
      <c r="M844" t="n">
        <v>0</v>
      </c>
      <c r="N844" t="n">
        <v>0</v>
      </c>
      <c r="O844" t="n">
        <v>0</v>
      </c>
      <c r="P844" t="n">
        <v>0</v>
      </c>
      <c r="Q844" t="n">
        <v>0</v>
      </c>
      <c r="R844" s="2" t="inlineStr"/>
    </row>
    <row r="845" ht="15" customHeight="1">
      <c r="A845" t="inlineStr">
        <is>
          <t>A 23191-2024</t>
        </is>
      </c>
      <c r="B845" s="1" t="n">
        <v>45450</v>
      </c>
      <c r="C845" s="1" t="n">
        <v>45709</v>
      </c>
      <c r="D845" t="inlineStr">
        <is>
          <t>JÄMTLANDS LÄN</t>
        </is>
      </c>
      <c r="E845" t="inlineStr">
        <is>
          <t>ÖSTERSUND</t>
        </is>
      </c>
      <c r="G845" t="n">
        <v>7</v>
      </c>
      <c r="H845" t="n">
        <v>0</v>
      </c>
      <c r="I845" t="n">
        <v>0</v>
      </c>
      <c r="J845" t="n">
        <v>0</v>
      </c>
      <c r="K845" t="n">
        <v>0</v>
      </c>
      <c r="L845" t="n">
        <v>0</v>
      </c>
      <c r="M845" t="n">
        <v>0</v>
      </c>
      <c r="N845" t="n">
        <v>0</v>
      </c>
      <c r="O845" t="n">
        <v>0</v>
      </c>
      <c r="P845" t="n">
        <v>0</v>
      </c>
      <c r="Q845" t="n">
        <v>0</v>
      </c>
      <c r="R845" s="2" t="inlineStr"/>
    </row>
    <row r="846" ht="15" customHeight="1">
      <c r="A846" t="inlineStr">
        <is>
          <t>A 23492-2024</t>
        </is>
      </c>
      <c r="B846" s="1" t="n">
        <v>45453</v>
      </c>
      <c r="C846" s="1" t="n">
        <v>45709</v>
      </c>
      <c r="D846" t="inlineStr">
        <is>
          <t>JÄMTLANDS LÄN</t>
        </is>
      </c>
      <c r="E846" t="inlineStr">
        <is>
          <t>ÖSTERSUND</t>
        </is>
      </c>
      <c r="G846" t="n">
        <v>9.1</v>
      </c>
      <c r="H846" t="n">
        <v>0</v>
      </c>
      <c r="I846" t="n">
        <v>0</v>
      </c>
      <c r="J846" t="n">
        <v>0</v>
      </c>
      <c r="K846" t="n">
        <v>0</v>
      </c>
      <c r="L846" t="n">
        <v>0</v>
      </c>
      <c r="M846" t="n">
        <v>0</v>
      </c>
      <c r="N846" t="n">
        <v>0</v>
      </c>
      <c r="O846" t="n">
        <v>0</v>
      </c>
      <c r="P846" t="n">
        <v>0</v>
      </c>
      <c r="Q846" t="n">
        <v>0</v>
      </c>
      <c r="R846" s="2" t="inlineStr"/>
    </row>
    <row r="847" ht="15" customHeight="1">
      <c r="A847" t="inlineStr">
        <is>
          <t>A 24246-2024</t>
        </is>
      </c>
      <c r="B847" s="1" t="n">
        <v>45457</v>
      </c>
      <c r="C847" s="1" t="n">
        <v>45709</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24781-2024</t>
        </is>
      </c>
      <c r="B848" s="1" t="n">
        <v>45460</v>
      </c>
      <c r="C848" s="1" t="n">
        <v>45709</v>
      </c>
      <c r="D848" t="inlineStr">
        <is>
          <t>JÄMTLANDS LÄN</t>
        </is>
      </c>
      <c r="E848" t="inlineStr">
        <is>
          <t>ÖSTERSUND</t>
        </is>
      </c>
      <c r="G848" t="n">
        <v>2.2</v>
      </c>
      <c r="H848" t="n">
        <v>0</v>
      </c>
      <c r="I848" t="n">
        <v>0</v>
      </c>
      <c r="J848" t="n">
        <v>0</v>
      </c>
      <c r="K848" t="n">
        <v>0</v>
      </c>
      <c r="L848" t="n">
        <v>0</v>
      </c>
      <c r="M848" t="n">
        <v>0</v>
      </c>
      <c r="N848" t="n">
        <v>0</v>
      </c>
      <c r="O848" t="n">
        <v>0</v>
      </c>
      <c r="P848" t="n">
        <v>0</v>
      </c>
      <c r="Q848" t="n">
        <v>0</v>
      </c>
      <c r="R848" s="2" t="inlineStr"/>
    </row>
    <row r="849" ht="15" customHeight="1">
      <c r="A849" t="inlineStr">
        <is>
          <t>A 24786-2024</t>
        </is>
      </c>
      <c r="B849" s="1" t="n">
        <v>45460</v>
      </c>
      <c r="C849" s="1" t="n">
        <v>45709</v>
      </c>
      <c r="D849" t="inlineStr">
        <is>
          <t>JÄMTLANDS LÄN</t>
        </is>
      </c>
      <c r="E849" t="inlineStr">
        <is>
          <t>ÖSTERSUND</t>
        </is>
      </c>
      <c r="G849" t="n">
        <v>0.1</v>
      </c>
      <c r="H849" t="n">
        <v>0</v>
      </c>
      <c r="I849" t="n">
        <v>0</v>
      </c>
      <c r="J849" t="n">
        <v>0</v>
      </c>
      <c r="K849" t="n">
        <v>0</v>
      </c>
      <c r="L849" t="n">
        <v>0</v>
      </c>
      <c r="M849" t="n">
        <v>0</v>
      </c>
      <c r="N849" t="n">
        <v>0</v>
      </c>
      <c r="O849" t="n">
        <v>0</v>
      </c>
      <c r="P849" t="n">
        <v>0</v>
      </c>
      <c r="Q849" t="n">
        <v>0</v>
      </c>
      <c r="R849" s="2" t="inlineStr"/>
    </row>
    <row r="850" ht="15" customHeight="1">
      <c r="A850" t="inlineStr">
        <is>
          <t>A 24605-2024</t>
        </is>
      </c>
      <c r="B850" s="1" t="n">
        <v>45460</v>
      </c>
      <c r="C850" s="1" t="n">
        <v>45709</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25388-2024</t>
        </is>
      </c>
      <c r="B851" s="1" t="n">
        <v>45463</v>
      </c>
      <c r="C851" s="1" t="n">
        <v>45709</v>
      </c>
      <c r="D851" t="inlineStr">
        <is>
          <t>JÄMTLANDS LÄN</t>
        </is>
      </c>
      <c r="E851" t="inlineStr">
        <is>
          <t>ÖSTERSUND</t>
        </is>
      </c>
      <c r="G851" t="n">
        <v>2.7</v>
      </c>
      <c r="H851" t="n">
        <v>0</v>
      </c>
      <c r="I851" t="n">
        <v>0</v>
      </c>
      <c r="J851" t="n">
        <v>0</v>
      </c>
      <c r="K851" t="n">
        <v>0</v>
      </c>
      <c r="L851" t="n">
        <v>0</v>
      </c>
      <c r="M851" t="n">
        <v>0</v>
      </c>
      <c r="N851" t="n">
        <v>0</v>
      </c>
      <c r="O851" t="n">
        <v>0</v>
      </c>
      <c r="P851" t="n">
        <v>0</v>
      </c>
      <c r="Q851" t="n">
        <v>0</v>
      </c>
      <c r="R851" s="2" t="inlineStr"/>
    </row>
    <row r="852" ht="15" customHeight="1">
      <c r="A852" t="inlineStr">
        <is>
          <t>A 25385-2024</t>
        </is>
      </c>
      <c r="B852" s="1" t="n">
        <v>45463</v>
      </c>
      <c r="C852" s="1" t="n">
        <v>45709</v>
      </c>
      <c r="D852" t="inlineStr">
        <is>
          <t>JÄMTLANDS LÄN</t>
        </is>
      </c>
      <c r="E852" t="inlineStr">
        <is>
          <t>ÖSTERSUND</t>
        </is>
      </c>
      <c r="F852" t="inlineStr">
        <is>
          <t>SCA</t>
        </is>
      </c>
      <c r="G852" t="n">
        <v>5.2</v>
      </c>
      <c r="H852" t="n">
        <v>0</v>
      </c>
      <c r="I852" t="n">
        <v>0</v>
      </c>
      <c r="J852" t="n">
        <v>0</v>
      </c>
      <c r="K852" t="n">
        <v>0</v>
      </c>
      <c r="L852" t="n">
        <v>0</v>
      </c>
      <c r="M852" t="n">
        <v>0</v>
      </c>
      <c r="N852" t="n">
        <v>0</v>
      </c>
      <c r="O852" t="n">
        <v>0</v>
      </c>
      <c r="P852" t="n">
        <v>0</v>
      </c>
      <c r="Q852" t="n">
        <v>0</v>
      </c>
      <c r="R852" s="2" t="inlineStr"/>
    </row>
    <row r="853" ht="15" customHeight="1">
      <c r="A853" t="inlineStr">
        <is>
          <t>A 25187-2024</t>
        </is>
      </c>
      <c r="B853" s="1" t="n">
        <v>45462</v>
      </c>
      <c r="C853" s="1" t="n">
        <v>45709</v>
      </c>
      <c r="D853" t="inlineStr">
        <is>
          <t>JÄMTLANDS LÄN</t>
        </is>
      </c>
      <c r="E853" t="inlineStr">
        <is>
          <t>ÖSTERSUND</t>
        </is>
      </c>
      <c r="G853" t="n">
        <v>2.4</v>
      </c>
      <c r="H853" t="n">
        <v>0</v>
      </c>
      <c r="I853" t="n">
        <v>0</v>
      </c>
      <c r="J853" t="n">
        <v>0</v>
      </c>
      <c r="K853" t="n">
        <v>0</v>
      </c>
      <c r="L853" t="n">
        <v>0</v>
      </c>
      <c r="M853" t="n">
        <v>0</v>
      </c>
      <c r="N853" t="n">
        <v>0</v>
      </c>
      <c r="O853" t="n">
        <v>0</v>
      </c>
      <c r="P853" t="n">
        <v>0</v>
      </c>
      <c r="Q853" t="n">
        <v>0</v>
      </c>
      <c r="R853" s="2" t="inlineStr"/>
    </row>
    <row r="854" ht="15" customHeight="1">
      <c r="A854" t="inlineStr">
        <is>
          <t>A 26202-2024</t>
        </is>
      </c>
      <c r="B854" s="1" t="n">
        <v>45468</v>
      </c>
      <c r="C854" s="1" t="n">
        <v>45709</v>
      </c>
      <c r="D854" t="inlineStr">
        <is>
          <t>JÄMTLANDS LÄN</t>
        </is>
      </c>
      <c r="E854" t="inlineStr">
        <is>
          <t>ÖSTERSUND</t>
        </is>
      </c>
      <c r="G854" t="n">
        <v>6.7</v>
      </c>
      <c r="H854" t="n">
        <v>0</v>
      </c>
      <c r="I854" t="n">
        <v>0</v>
      </c>
      <c r="J854" t="n">
        <v>0</v>
      </c>
      <c r="K854" t="n">
        <v>0</v>
      </c>
      <c r="L854" t="n">
        <v>0</v>
      </c>
      <c r="M854" t="n">
        <v>0</v>
      </c>
      <c r="N854" t="n">
        <v>0</v>
      </c>
      <c r="O854" t="n">
        <v>0</v>
      </c>
      <c r="P854" t="n">
        <v>0</v>
      </c>
      <c r="Q854" t="n">
        <v>0</v>
      </c>
      <c r="R854" s="2" t="inlineStr"/>
    </row>
    <row r="855" ht="15" customHeight="1">
      <c r="A855" t="inlineStr">
        <is>
          <t>A 27906-2024</t>
        </is>
      </c>
      <c r="B855" s="1" t="n">
        <v>45476</v>
      </c>
      <c r="C855" s="1" t="n">
        <v>45709</v>
      </c>
      <c r="D855" t="inlineStr">
        <is>
          <t>JÄMTLANDS LÄN</t>
        </is>
      </c>
      <c r="E855" t="inlineStr">
        <is>
          <t>ÖSTERSUND</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27689-2024</t>
        </is>
      </c>
      <c r="B856" s="1" t="n">
        <v>45475</v>
      </c>
      <c r="C856" s="1" t="n">
        <v>45709</v>
      </c>
      <c r="D856" t="inlineStr">
        <is>
          <t>JÄMTLANDS LÄN</t>
        </is>
      </c>
      <c r="E856" t="inlineStr">
        <is>
          <t>ÖSTERSUND</t>
        </is>
      </c>
      <c r="G856" t="n">
        <v>0.6</v>
      </c>
      <c r="H856" t="n">
        <v>0</v>
      </c>
      <c r="I856" t="n">
        <v>0</v>
      </c>
      <c r="J856" t="n">
        <v>0</v>
      </c>
      <c r="K856" t="n">
        <v>0</v>
      </c>
      <c r="L856" t="n">
        <v>0</v>
      </c>
      <c r="M856" t="n">
        <v>0</v>
      </c>
      <c r="N856" t="n">
        <v>0</v>
      </c>
      <c r="O856" t="n">
        <v>0</v>
      </c>
      <c r="P856" t="n">
        <v>0</v>
      </c>
      <c r="Q856" t="n">
        <v>0</v>
      </c>
      <c r="R856" s="2" t="inlineStr"/>
    </row>
    <row r="857" ht="15" customHeight="1">
      <c r="A857" t="inlineStr">
        <is>
          <t>A 27764-2024</t>
        </is>
      </c>
      <c r="B857" s="1" t="n">
        <v>45475</v>
      </c>
      <c r="C857" s="1" t="n">
        <v>45709</v>
      </c>
      <c r="D857" t="inlineStr">
        <is>
          <t>JÄMTLANDS LÄN</t>
        </is>
      </c>
      <c r="E857" t="inlineStr">
        <is>
          <t>ÖSTERSUND</t>
        </is>
      </c>
      <c r="G857" t="n">
        <v>2.8</v>
      </c>
      <c r="H857" t="n">
        <v>0</v>
      </c>
      <c r="I857" t="n">
        <v>0</v>
      </c>
      <c r="J857" t="n">
        <v>0</v>
      </c>
      <c r="K857" t="n">
        <v>0</v>
      </c>
      <c r="L857" t="n">
        <v>0</v>
      </c>
      <c r="M857" t="n">
        <v>0</v>
      </c>
      <c r="N857" t="n">
        <v>0</v>
      </c>
      <c r="O857" t="n">
        <v>0</v>
      </c>
      <c r="P857" t="n">
        <v>0</v>
      </c>
      <c r="Q857" t="n">
        <v>0</v>
      </c>
      <c r="R857" s="2" t="inlineStr"/>
    </row>
    <row r="858" ht="15" customHeight="1">
      <c r="A858" t="inlineStr">
        <is>
          <t>A 27779-2024</t>
        </is>
      </c>
      <c r="B858" s="1" t="n">
        <v>45475</v>
      </c>
      <c r="C858" s="1" t="n">
        <v>45709</v>
      </c>
      <c r="D858" t="inlineStr">
        <is>
          <t>JÄMTLANDS LÄN</t>
        </is>
      </c>
      <c r="E858" t="inlineStr">
        <is>
          <t>ÖSTERSUND</t>
        </is>
      </c>
      <c r="G858" t="n">
        <v>4.3</v>
      </c>
      <c r="H858" t="n">
        <v>0</v>
      </c>
      <c r="I858" t="n">
        <v>0</v>
      </c>
      <c r="J858" t="n">
        <v>0</v>
      </c>
      <c r="K858" t="n">
        <v>0</v>
      </c>
      <c r="L858" t="n">
        <v>0</v>
      </c>
      <c r="M858" t="n">
        <v>0</v>
      </c>
      <c r="N858" t="n">
        <v>0</v>
      </c>
      <c r="O858" t="n">
        <v>0</v>
      </c>
      <c r="P858" t="n">
        <v>0</v>
      </c>
      <c r="Q858" t="n">
        <v>0</v>
      </c>
      <c r="R858" s="2" t="inlineStr"/>
    </row>
    <row r="859" ht="15" customHeight="1">
      <c r="A859" t="inlineStr">
        <is>
          <t>A 28277-2024</t>
        </is>
      </c>
      <c r="B859" s="1" t="n">
        <v>45477</v>
      </c>
      <c r="C859" s="1" t="n">
        <v>45709</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28179-2024</t>
        </is>
      </c>
      <c r="B860" s="1" t="n">
        <v>45477</v>
      </c>
      <c r="C860" s="1" t="n">
        <v>45709</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28180-2024</t>
        </is>
      </c>
      <c r="B861" s="1" t="n">
        <v>45477</v>
      </c>
      <c r="C861" s="1" t="n">
        <v>45709</v>
      </c>
      <c r="D861" t="inlineStr">
        <is>
          <t>JÄMTLANDS LÄN</t>
        </is>
      </c>
      <c r="E861" t="inlineStr">
        <is>
          <t>ÖSTERSUND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28181-2024</t>
        </is>
      </c>
      <c r="B862" s="1" t="n">
        <v>45477</v>
      </c>
      <c r="C862" s="1" t="n">
        <v>45709</v>
      </c>
      <c r="D862" t="inlineStr">
        <is>
          <t>JÄMTLANDS LÄN</t>
        </is>
      </c>
      <c r="E862" t="inlineStr">
        <is>
          <t>ÖSTERSUND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28543-2024</t>
        </is>
      </c>
      <c r="B863" s="1" t="n">
        <v>45478</v>
      </c>
      <c r="C863" s="1" t="n">
        <v>45709</v>
      </c>
      <c r="D863" t="inlineStr">
        <is>
          <t>JÄMTLANDS LÄN</t>
        </is>
      </c>
      <c r="E863" t="inlineStr">
        <is>
          <t>ÖSTERSUND</t>
        </is>
      </c>
      <c r="G863" t="n">
        <v>5.6</v>
      </c>
      <c r="H863" t="n">
        <v>0</v>
      </c>
      <c r="I863" t="n">
        <v>0</v>
      </c>
      <c r="J863" t="n">
        <v>0</v>
      </c>
      <c r="K863" t="n">
        <v>0</v>
      </c>
      <c r="L863" t="n">
        <v>0</v>
      </c>
      <c r="M863" t="n">
        <v>0</v>
      </c>
      <c r="N863" t="n">
        <v>0</v>
      </c>
      <c r="O863" t="n">
        <v>0</v>
      </c>
      <c r="P863" t="n">
        <v>0</v>
      </c>
      <c r="Q863" t="n">
        <v>0</v>
      </c>
      <c r="R863" s="2" t="inlineStr"/>
    </row>
    <row r="864" ht="15" customHeight="1">
      <c r="A864" t="inlineStr">
        <is>
          <t>A 29496-2024</t>
        </is>
      </c>
      <c r="B864" s="1" t="n">
        <v>45484</v>
      </c>
      <c r="C864" s="1" t="n">
        <v>45709</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30539-2024</t>
        </is>
      </c>
      <c r="B865" s="1" t="n">
        <v>45492</v>
      </c>
      <c r="C865" s="1" t="n">
        <v>45709</v>
      </c>
      <c r="D865" t="inlineStr">
        <is>
          <t>JÄMTLANDS LÄN</t>
        </is>
      </c>
      <c r="E865" t="inlineStr">
        <is>
          <t>ÖSTERSUND</t>
        </is>
      </c>
      <c r="G865" t="n">
        <v>4.9</v>
      </c>
      <c r="H865" t="n">
        <v>0</v>
      </c>
      <c r="I865" t="n">
        <v>0</v>
      </c>
      <c r="J865" t="n">
        <v>0</v>
      </c>
      <c r="K865" t="n">
        <v>0</v>
      </c>
      <c r="L865" t="n">
        <v>0</v>
      </c>
      <c r="M865" t="n">
        <v>0</v>
      </c>
      <c r="N865" t="n">
        <v>0</v>
      </c>
      <c r="O865" t="n">
        <v>0</v>
      </c>
      <c r="P865" t="n">
        <v>0</v>
      </c>
      <c r="Q865" t="n">
        <v>0</v>
      </c>
      <c r="R865" s="2" t="inlineStr"/>
    </row>
    <row r="866" ht="15" customHeight="1">
      <c r="A866" t="inlineStr">
        <is>
          <t>A 30821-2024</t>
        </is>
      </c>
      <c r="B866" s="1" t="n">
        <v>45497</v>
      </c>
      <c r="C866" s="1" t="n">
        <v>45709</v>
      </c>
      <c r="D866" t="inlineStr">
        <is>
          <t>JÄMTLANDS LÄN</t>
        </is>
      </c>
      <c r="E866" t="inlineStr">
        <is>
          <t>ÖSTERSUND</t>
        </is>
      </c>
      <c r="G866" t="n">
        <v>3.4</v>
      </c>
      <c r="H866" t="n">
        <v>0</v>
      </c>
      <c r="I866" t="n">
        <v>0</v>
      </c>
      <c r="J866" t="n">
        <v>0</v>
      </c>
      <c r="K866" t="n">
        <v>0</v>
      </c>
      <c r="L866" t="n">
        <v>0</v>
      </c>
      <c r="M866" t="n">
        <v>0</v>
      </c>
      <c r="N866" t="n">
        <v>0</v>
      </c>
      <c r="O866" t="n">
        <v>0</v>
      </c>
      <c r="P866" t="n">
        <v>0</v>
      </c>
      <c r="Q866" t="n">
        <v>0</v>
      </c>
      <c r="R866" s="2" t="inlineStr"/>
    </row>
    <row r="867" ht="15" customHeight="1">
      <c r="A867" t="inlineStr">
        <is>
          <t>A 31464-2024</t>
        </is>
      </c>
      <c r="B867" s="1" t="n">
        <v>45506</v>
      </c>
      <c r="C867" s="1" t="n">
        <v>45709</v>
      </c>
      <c r="D867" t="inlineStr">
        <is>
          <t>JÄMTLANDS LÄN</t>
        </is>
      </c>
      <c r="E867" t="inlineStr">
        <is>
          <t>ÖSTERSUND</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31446-2024</t>
        </is>
      </c>
      <c r="B868" s="1" t="n">
        <v>45506</v>
      </c>
      <c r="C868" s="1" t="n">
        <v>45709</v>
      </c>
      <c r="D868" t="inlineStr">
        <is>
          <t>JÄMTLANDS LÄN</t>
        </is>
      </c>
      <c r="E868" t="inlineStr">
        <is>
          <t>ÖSTERSUND</t>
        </is>
      </c>
      <c r="G868" t="n">
        <v>5.5</v>
      </c>
      <c r="H868" t="n">
        <v>0</v>
      </c>
      <c r="I868" t="n">
        <v>0</v>
      </c>
      <c r="J868" t="n">
        <v>0</v>
      </c>
      <c r="K868" t="n">
        <v>0</v>
      </c>
      <c r="L868" t="n">
        <v>0</v>
      </c>
      <c r="M868" t="n">
        <v>0</v>
      </c>
      <c r="N868" t="n">
        <v>0</v>
      </c>
      <c r="O868" t="n">
        <v>0</v>
      </c>
      <c r="P868" t="n">
        <v>0</v>
      </c>
      <c r="Q868" t="n">
        <v>0</v>
      </c>
      <c r="R868" s="2" t="inlineStr"/>
    </row>
    <row r="869" ht="15" customHeight="1">
      <c r="A869" t="inlineStr">
        <is>
          <t>A 31445-2024</t>
        </is>
      </c>
      <c r="B869" s="1" t="n">
        <v>45506</v>
      </c>
      <c r="C869" s="1" t="n">
        <v>45709</v>
      </c>
      <c r="D869" t="inlineStr">
        <is>
          <t>JÄMTLANDS LÄN</t>
        </is>
      </c>
      <c r="E869" t="inlineStr">
        <is>
          <t>ÖSTERSUND</t>
        </is>
      </c>
      <c r="G869" t="n">
        <v>0.8</v>
      </c>
      <c r="H869" t="n">
        <v>0</v>
      </c>
      <c r="I869" t="n">
        <v>0</v>
      </c>
      <c r="J869" t="n">
        <v>0</v>
      </c>
      <c r="K869" t="n">
        <v>0</v>
      </c>
      <c r="L869" t="n">
        <v>0</v>
      </c>
      <c r="M869" t="n">
        <v>0</v>
      </c>
      <c r="N869" t="n">
        <v>0</v>
      </c>
      <c r="O869" t="n">
        <v>0</v>
      </c>
      <c r="P869" t="n">
        <v>0</v>
      </c>
      <c r="Q869" t="n">
        <v>0</v>
      </c>
      <c r="R869" s="2" t="inlineStr"/>
    </row>
    <row r="870" ht="15" customHeight="1">
      <c r="A870" t="inlineStr">
        <is>
          <t>A 32224-2024</t>
        </is>
      </c>
      <c r="B870" s="1" t="n">
        <v>45512</v>
      </c>
      <c r="C870" s="1" t="n">
        <v>45709</v>
      </c>
      <c r="D870" t="inlineStr">
        <is>
          <t>JÄMTLANDS LÄN</t>
        </is>
      </c>
      <c r="E870" t="inlineStr">
        <is>
          <t>ÖSTERSUND</t>
        </is>
      </c>
      <c r="G870" t="n">
        <v>1</v>
      </c>
      <c r="H870" t="n">
        <v>0</v>
      </c>
      <c r="I870" t="n">
        <v>0</v>
      </c>
      <c r="J870" t="n">
        <v>0</v>
      </c>
      <c r="K870" t="n">
        <v>0</v>
      </c>
      <c r="L870" t="n">
        <v>0</v>
      </c>
      <c r="M870" t="n">
        <v>0</v>
      </c>
      <c r="N870" t="n">
        <v>0</v>
      </c>
      <c r="O870" t="n">
        <v>0</v>
      </c>
      <c r="P870" t="n">
        <v>0</v>
      </c>
      <c r="Q870" t="n">
        <v>0</v>
      </c>
      <c r="R870" s="2" t="inlineStr"/>
    </row>
    <row r="871" ht="15" customHeight="1">
      <c r="A871" t="inlineStr">
        <is>
          <t>A 32225-2024</t>
        </is>
      </c>
      <c r="B871" s="1" t="n">
        <v>45512</v>
      </c>
      <c r="C871" s="1" t="n">
        <v>45709</v>
      </c>
      <c r="D871" t="inlineStr">
        <is>
          <t>JÄMTLANDS LÄN</t>
        </is>
      </c>
      <c r="E871" t="inlineStr">
        <is>
          <t>ÖSTERSUND</t>
        </is>
      </c>
      <c r="G871" t="n">
        <v>2</v>
      </c>
      <c r="H871" t="n">
        <v>0</v>
      </c>
      <c r="I871" t="n">
        <v>0</v>
      </c>
      <c r="J871" t="n">
        <v>0</v>
      </c>
      <c r="K871" t="n">
        <v>0</v>
      </c>
      <c r="L871" t="n">
        <v>0</v>
      </c>
      <c r="M871" t="n">
        <v>0</v>
      </c>
      <c r="N871" t="n">
        <v>0</v>
      </c>
      <c r="O871" t="n">
        <v>0</v>
      </c>
      <c r="P871" t="n">
        <v>0</v>
      </c>
      <c r="Q871" t="n">
        <v>0</v>
      </c>
      <c r="R871" s="2" t="inlineStr"/>
    </row>
    <row r="872" ht="15" customHeight="1">
      <c r="A872" t="inlineStr">
        <is>
          <t>A 33091-2024</t>
        </is>
      </c>
      <c r="B872" s="1" t="n">
        <v>45517</v>
      </c>
      <c r="C872" s="1" t="n">
        <v>45709</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33015-2024</t>
        </is>
      </c>
      <c r="B873" s="1" t="n">
        <v>45517</v>
      </c>
      <c r="C873" s="1" t="n">
        <v>45709</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33621-2024</t>
        </is>
      </c>
      <c r="B874" s="1" t="n">
        <v>45520</v>
      </c>
      <c r="C874" s="1" t="n">
        <v>45709</v>
      </c>
      <c r="D874" t="inlineStr">
        <is>
          <t>JÄMTLANDS LÄN</t>
        </is>
      </c>
      <c r="E874" t="inlineStr">
        <is>
          <t>ÖSTERSUND</t>
        </is>
      </c>
      <c r="G874" t="n">
        <v>2.1</v>
      </c>
      <c r="H874" t="n">
        <v>0</v>
      </c>
      <c r="I874" t="n">
        <v>0</v>
      </c>
      <c r="J874" t="n">
        <v>0</v>
      </c>
      <c r="K874" t="n">
        <v>0</v>
      </c>
      <c r="L874" t="n">
        <v>0</v>
      </c>
      <c r="M874" t="n">
        <v>0</v>
      </c>
      <c r="N874" t="n">
        <v>0</v>
      </c>
      <c r="O874" t="n">
        <v>0</v>
      </c>
      <c r="P874" t="n">
        <v>0</v>
      </c>
      <c r="Q874" t="n">
        <v>0</v>
      </c>
      <c r="R874" s="2" t="inlineStr"/>
    </row>
    <row r="875" ht="15" customHeight="1">
      <c r="A875" t="inlineStr">
        <is>
          <t>A 33779-2024</t>
        </is>
      </c>
      <c r="B875" s="1" t="n">
        <v>45520</v>
      </c>
      <c r="C875" s="1" t="n">
        <v>45709</v>
      </c>
      <c r="D875" t="inlineStr">
        <is>
          <t>JÄMTLANDS LÄN</t>
        </is>
      </c>
      <c r="E875" t="inlineStr">
        <is>
          <t>ÖSTERSUND</t>
        </is>
      </c>
      <c r="G875" t="n">
        <v>1.5</v>
      </c>
      <c r="H875" t="n">
        <v>0</v>
      </c>
      <c r="I875" t="n">
        <v>0</v>
      </c>
      <c r="J875" t="n">
        <v>0</v>
      </c>
      <c r="K875" t="n">
        <v>0</v>
      </c>
      <c r="L875" t="n">
        <v>0</v>
      </c>
      <c r="M875" t="n">
        <v>0</v>
      </c>
      <c r="N875" t="n">
        <v>0</v>
      </c>
      <c r="O875" t="n">
        <v>0</v>
      </c>
      <c r="P875" t="n">
        <v>0</v>
      </c>
      <c r="Q875" t="n">
        <v>0</v>
      </c>
      <c r="R875" s="2" t="inlineStr"/>
    </row>
    <row r="876" ht="15" customHeight="1">
      <c r="A876" t="inlineStr">
        <is>
          <t>A 34112-2024</t>
        </is>
      </c>
      <c r="B876" s="1" t="n">
        <v>45524</v>
      </c>
      <c r="C876" s="1" t="n">
        <v>45709</v>
      </c>
      <c r="D876" t="inlineStr">
        <is>
          <t>JÄMTLANDS LÄN</t>
        </is>
      </c>
      <c r="E876" t="inlineStr">
        <is>
          <t>ÖSTERSUND</t>
        </is>
      </c>
      <c r="G876" t="n">
        <v>1.2</v>
      </c>
      <c r="H876" t="n">
        <v>0</v>
      </c>
      <c r="I876" t="n">
        <v>0</v>
      </c>
      <c r="J876" t="n">
        <v>0</v>
      </c>
      <c r="K876" t="n">
        <v>0</v>
      </c>
      <c r="L876" t="n">
        <v>0</v>
      </c>
      <c r="M876" t="n">
        <v>0</v>
      </c>
      <c r="N876" t="n">
        <v>0</v>
      </c>
      <c r="O876" t="n">
        <v>0</v>
      </c>
      <c r="P876" t="n">
        <v>0</v>
      </c>
      <c r="Q876" t="n">
        <v>0</v>
      </c>
      <c r="R876" s="2" t="inlineStr"/>
    </row>
    <row r="877" ht="15" customHeight="1">
      <c r="A877" t="inlineStr">
        <is>
          <t>A 34118-2024</t>
        </is>
      </c>
      <c r="B877" s="1" t="n">
        <v>45524</v>
      </c>
      <c r="C877" s="1" t="n">
        <v>45709</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34470-2024</t>
        </is>
      </c>
      <c r="B878" s="1" t="n">
        <v>45525</v>
      </c>
      <c r="C878" s="1" t="n">
        <v>45709</v>
      </c>
      <c r="D878" t="inlineStr">
        <is>
          <t>JÄMTLANDS LÄN</t>
        </is>
      </c>
      <c r="E878" t="inlineStr">
        <is>
          <t>ÖSTERSUND</t>
        </is>
      </c>
      <c r="G878" t="n">
        <v>7.6</v>
      </c>
      <c r="H878" t="n">
        <v>0</v>
      </c>
      <c r="I878" t="n">
        <v>0</v>
      </c>
      <c r="J878" t="n">
        <v>0</v>
      </c>
      <c r="K878" t="n">
        <v>0</v>
      </c>
      <c r="L878" t="n">
        <v>0</v>
      </c>
      <c r="M878" t="n">
        <v>0</v>
      </c>
      <c r="N878" t="n">
        <v>0</v>
      </c>
      <c r="O878" t="n">
        <v>0</v>
      </c>
      <c r="P878" t="n">
        <v>0</v>
      </c>
      <c r="Q878" t="n">
        <v>0</v>
      </c>
      <c r="R878" s="2" t="inlineStr"/>
    </row>
    <row r="879" ht="15" customHeight="1">
      <c r="A879" t="inlineStr">
        <is>
          <t>A 34507-2024</t>
        </is>
      </c>
      <c r="B879" s="1" t="n">
        <v>45525</v>
      </c>
      <c r="C879" s="1" t="n">
        <v>45709</v>
      </c>
      <c r="D879" t="inlineStr">
        <is>
          <t>JÄMTLANDS LÄN</t>
        </is>
      </c>
      <c r="E879" t="inlineStr">
        <is>
          <t>ÖSTERSUND</t>
        </is>
      </c>
      <c r="G879" t="n">
        <v>0.6</v>
      </c>
      <c r="H879" t="n">
        <v>0</v>
      </c>
      <c r="I879" t="n">
        <v>0</v>
      </c>
      <c r="J879" t="n">
        <v>0</v>
      </c>
      <c r="K879" t="n">
        <v>0</v>
      </c>
      <c r="L879" t="n">
        <v>0</v>
      </c>
      <c r="M879" t="n">
        <v>0</v>
      </c>
      <c r="N879" t="n">
        <v>0</v>
      </c>
      <c r="O879" t="n">
        <v>0</v>
      </c>
      <c r="P879" t="n">
        <v>0</v>
      </c>
      <c r="Q879" t="n">
        <v>0</v>
      </c>
      <c r="R879" s="2" t="inlineStr"/>
    </row>
    <row r="880" ht="15" customHeight="1">
      <c r="A880" t="inlineStr">
        <is>
          <t>A 35984-2024</t>
        </is>
      </c>
      <c r="B880" s="1" t="n">
        <v>45533</v>
      </c>
      <c r="C880" s="1" t="n">
        <v>45709</v>
      </c>
      <c r="D880" t="inlineStr">
        <is>
          <t>JÄMTLANDS LÄN</t>
        </is>
      </c>
      <c r="E880" t="inlineStr">
        <is>
          <t>ÖSTERSUND</t>
        </is>
      </c>
      <c r="G880" t="n">
        <v>2.9</v>
      </c>
      <c r="H880" t="n">
        <v>0</v>
      </c>
      <c r="I880" t="n">
        <v>0</v>
      </c>
      <c r="J880" t="n">
        <v>0</v>
      </c>
      <c r="K880" t="n">
        <v>0</v>
      </c>
      <c r="L880" t="n">
        <v>0</v>
      </c>
      <c r="M880" t="n">
        <v>0</v>
      </c>
      <c r="N880" t="n">
        <v>0</v>
      </c>
      <c r="O880" t="n">
        <v>0</v>
      </c>
      <c r="P880" t="n">
        <v>0</v>
      </c>
      <c r="Q880" t="n">
        <v>0</v>
      </c>
      <c r="R880" s="2" t="inlineStr"/>
    </row>
    <row r="881" ht="15" customHeight="1">
      <c r="A881" t="inlineStr">
        <is>
          <t>A 36465-2024</t>
        </is>
      </c>
      <c r="B881" s="1" t="n">
        <v>45537</v>
      </c>
      <c r="C881" s="1" t="n">
        <v>45709</v>
      </c>
      <c r="D881" t="inlineStr">
        <is>
          <t>JÄMTLANDS LÄN</t>
        </is>
      </c>
      <c r="E881" t="inlineStr">
        <is>
          <t>ÖSTERSUND</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36469-2024</t>
        </is>
      </c>
      <c r="B882" s="1" t="n">
        <v>45537</v>
      </c>
      <c r="C882" s="1" t="n">
        <v>45709</v>
      </c>
      <c r="D882" t="inlineStr">
        <is>
          <t>JÄMTLANDS LÄN</t>
        </is>
      </c>
      <c r="E882" t="inlineStr">
        <is>
          <t>ÖSTERSUND</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37270-2024</t>
        </is>
      </c>
      <c r="B883" s="1" t="n">
        <v>45540</v>
      </c>
      <c r="C883" s="1" t="n">
        <v>45709</v>
      </c>
      <c r="D883" t="inlineStr">
        <is>
          <t>JÄMTLANDS LÄN</t>
        </is>
      </c>
      <c r="E883" t="inlineStr">
        <is>
          <t>ÖSTERSUND</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37685-2024</t>
        </is>
      </c>
      <c r="B884" s="1" t="n">
        <v>45541</v>
      </c>
      <c r="C884" s="1" t="n">
        <v>45709</v>
      </c>
      <c r="D884" t="inlineStr">
        <is>
          <t>JÄMTLANDS LÄN</t>
        </is>
      </c>
      <c r="E884" t="inlineStr">
        <is>
          <t>ÖSTERSUND</t>
        </is>
      </c>
      <c r="F884" t="inlineStr">
        <is>
          <t>SCA</t>
        </is>
      </c>
      <c r="G884" t="n">
        <v>11.2</v>
      </c>
      <c r="H884" t="n">
        <v>0</v>
      </c>
      <c r="I884" t="n">
        <v>0</v>
      </c>
      <c r="J884" t="n">
        <v>0</v>
      </c>
      <c r="K884" t="n">
        <v>0</v>
      </c>
      <c r="L884" t="n">
        <v>0</v>
      </c>
      <c r="M884" t="n">
        <v>0</v>
      </c>
      <c r="N884" t="n">
        <v>0</v>
      </c>
      <c r="O884" t="n">
        <v>0</v>
      </c>
      <c r="P884" t="n">
        <v>0</v>
      </c>
      <c r="Q884" t="n">
        <v>0</v>
      </c>
      <c r="R884" s="2" t="inlineStr"/>
    </row>
    <row r="885" ht="15" customHeight="1">
      <c r="A885" t="inlineStr">
        <is>
          <t>A 38926-2024</t>
        </is>
      </c>
      <c r="B885" s="1" t="n">
        <v>45547</v>
      </c>
      <c r="C885" s="1" t="n">
        <v>45709</v>
      </c>
      <c r="D885" t="inlineStr">
        <is>
          <t>JÄMTLANDS LÄN</t>
        </is>
      </c>
      <c r="E885" t="inlineStr">
        <is>
          <t>ÖSTERSUND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38920-2024</t>
        </is>
      </c>
      <c r="B886" s="1" t="n">
        <v>45547</v>
      </c>
      <c r="C886" s="1" t="n">
        <v>45709</v>
      </c>
      <c r="D886" t="inlineStr">
        <is>
          <t>JÄMTLANDS LÄN</t>
        </is>
      </c>
      <c r="E886" t="inlineStr">
        <is>
          <t>ÖSTERSUND</t>
        </is>
      </c>
      <c r="G886" t="n">
        <v>1.9</v>
      </c>
      <c r="H886" t="n">
        <v>0</v>
      </c>
      <c r="I886" t="n">
        <v>0</v>
      </c>
      <c r="J886" t="n">
        <v>0</v>
      </c>
      <c r="K886" t="n">
        <v>0</v>
      </c>
      <c r="L886" t="n">
        <v>0</v>
      </c>
      <c r="M886" t="n">
        <v>0</v>
      </c>
      <c r="N886" t="n">
        <v>0</v>
      </c>
      <c r="O886" t="n">
        <v>0</v>
      </c>
      <c r="P886" t="n">
        <v>0</v>
      </c>
      <c r="Q886" t="n">
        <v>0</v>
      </c>
      <c r="R886" s="2" t="inlineStr"/>
    </row>
    <row r="887" ht="15" customHeight="1">
      <c r="A887" t="inlineStr">
        <is>
          <t>A 38924-2024</t>
        </is>
      </c>
      <c r="B887" s="1" t="n">
        <v>45547</v>
      </c>
      <c r="C887" s="1" t="n">
        <v>45709</v>
      </c>
      <c r="D887" t="inlineStr">
        <is>
          <t>JÄMTLANDS LÄN</t>
        </is>
      </c>
      <c r="E887" t="inlineStr">
        <is>
          <t>ÖSTERSUND</t>
        </is>
      </c>
      <c r="G887" t="n">
        <v>3.5</v>
      </c>
      <c r="H887" t="n">
        <v>0</v>
      </c>
      <c r="I887" t="n">
        <v>0</v>
      </c>
      <c r="J887" t="n">
        <v>0</v>
      </c>
      <c r="K887" t="n">
        <v>0</v>
      </c>
      <c r="L887" t="n">
        <v>0</v>
      </c>
      <c r="M887" t="n">
        <v>0</v>
      </c>
      <c r="N887" t="n">
        <v>0</v>
      </c>
      <c r="O887" t="n">
        <v>0</v>
      </c>
      <c r="P887" t="n">
        <v>0</v>
      </c>
      <c r="Q887" t="n">
        <v>0</v>
      </c>
      <c r="R887" s="2" t="inlineStr"/>
    </row>
    <row r="888" ht="15" customHeight="1">
      <c r="A888" t="inlineStr">
        <is>
          <t>A 39065-2024</t>
        </is>
      </c>
      <c r="B888" s="1" t="n">
        <v>45548</v>
      </c>
      <c r="C888" s="1" t="n">
        <v>45709</v>
      </c>
      <c r="D888" t="inlineStr">
        <is>
          <t>JÄMTLANDS LÄN</t>
        </is>
      </c>
      <c r="E888" t="inlineStr">
        <is>
          <t>ÖSTERSUND</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39510-2024</t>
        </is>
      </c>
      <c r="B889" s="1" t="n">
        <v>45551</v>
      </c>
      <c r="C889" s="1" t="n">
        <v>45709</v>
      </c>
      <c r="D889" t="inlineStr">
        <is>
          <t>JÄMTLANDS LÄN</t>
        </is>
      </c>
      <c r="E889" t="inlineStr">
        <is>
          <t>ÖSTERSUND</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39509-2024</t>
        </is>
      </c>
      <c r="B890" s="1" t="n">
        <v>45551</v>
      </c>
      <c r="C890" s="1" t="n">
        <v>45709</v>
      </c>
      <c r="D890" t="inlineStr">
        <is>
          <t>JÄMTLANDS LÄN</t>
        </is>
      </c>
      <c r="E890" t="inlineStr">
        <is>
          <t>ÖSTERSUND</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39915-2024</t>
        </is>
      </c>
      <c r="B891" s="1" t="n">
        <v>45553</v>
      </c>
      <c r="C891" s="1" t="n">
        <v>45709</v>
      </c>
      <c r="D891" t="inlineStr">
        <is>
          <t>JÄMTLANDS LÄN</t>
        </is>
      </c>
      <c r="E891" t="inlineStr">
        <is>
          <t>ÖSTERSUND</t>
        </is>
      </c>
      <c r="G891" t="n">
        <v>1.3</v>
      </c>
      <c r="H891" t="n">
        <v>0</v>
      </c>
      <c r="I891" t="n">
        <v>0</v>
      </c>
      <c r="J891" t="n">
        <v>0</v>
      </c>
      <c r="K891" t="n">
        <v>0</v>
      </c>
      <c r="L891" t="n">
        <v>0</v>
      </c>
      <c r="M891" t="n">
        <v>0</v>
      </c>
      <c r="N891" t="n">
        <v>0</v>
      </c>
      <c r="O891" t="n">
        <v>0</v>
      </c>
      <c r="P891" t="n">
        <v>0</v>
      </c>
      <c r="Q891" t="n">
        <v>0</v>
      </c>
      <c r="R891" s="2" t="inlineStr"/>
    </row>
    <row r="892" ht="15" customHeight="1">
      <c r="A892" t="inlineStr">
        <is>
          <t>A 39975-2024</t>
        </is>
      </c>
      <c r="B892" s="1" t="n">
        <v>45553</v>
      </c>
      <c r="C892" s="1" t="n">
        <v>45709</v>
      </c>
      <c r="D892" t="inlineStr">
        <is>
          <t>JÄMTLANDS LÄN</t>
        </is>
      </c>
      <c r="E892" t="inlineStr">
        <is>
          <t>ÖSTERSUND</t>
        </is>
      </c>
      <c r="G892" t="n">
        <v>3.8</v>
      </c>
      <c r="H892" t="n">
        <v>0</v>
      </c>
      <c r="I892" t="n">
        <v>0</v>
      </c>
      <c r="J892" t="n">
        <v>0</v>
      </c>
      <c r="K892" t="n">
        <v>0</v>
      </c>
      <c r="L892" t="n">
        <v>0</v>
      </c>
      <c r="M892" t="n">
        <v>0</v>
      </c>
      <c r="N892" t="n">
        <v>0</v>
      </c>
      <c r="O892" t="n">
        <v>0</v>
      </c>
      <c r="P892" t="n">
        <v>0</v>
      </c>
      <c r="Q892" t="n">
        <v>0</v>
      </c>
      <c r="R892" s="2" t="inlineStr"/>
    </row>
    <row r="893" ht="15" customHeight="1">
      <c r="A893" t="inlineStr">
        <is>
          <t>A 40672-2024</t>
        </is>
      </c>
      <c r="B893" s="1" t="n">
        <v>45557</v>
      </c>
      <c r="C893" s="1" t="n">
        <v>45709</v>
      </c>
      <c r="D893" t="inlineStr">
        <is>
          <t>JÄMTLANDS LÄN</t>
        </is>
      </c>
      <c r="E893" t="inlineStr">
        <is>
          <t>ÖSTERSUND</t>
        </is>
      </c>
      <c r="G893" t="n">
        <v>5.2</v>
      </c>
      <c r="H893" t="n">
        <v>0</v>
      </c>
      <c r="I893" t="n">
        <v>0</v>
      </c>
      <c r="J893" t="n">
        <v>0</v>
      </c>
      <c r="K893" t="n">
        <v>0</v>
      </c>
      <c r="L893" t="n">
        <v>0</v>
      </c>
      <c r="M893" t="n">
        <v>0</v>
      </c>
      <c r="N893" t="n">
        <v>0</v>
      </c>
      <c r="O893" t="n">
        <v>0</v>
      </c>
      <c r="P893" t="n">
        <v>0</v>
      </c>
      <c r="Q893" t="n">
        <v>0</v>
      </c>
      <c r="R893" s="2" t="inlineStr"/>
    </row>
    <row r="894" ht="15" customHeight="1">
      <c r="A894" t="inlineStr">
        <is>
          <t>A 40983-2024</t>
        </is>
      </c>
      <c r="B894" s="1" t="n">
        <v>45558</v>
      </c>
      <c r="C894" s="1" t="n">
        <v>45709</v>
      </c>
      <c r="D894" t="inlineStr">
        <is>
          <t>JÄMTLANDS LÄN</t>
        </is>
      </c>
      <c r="E894" t="inlineStr">
        <is>
          <t>ÖSTERSUND</t>
        </is>
      </c>
      <c r="F894" t="inlineStr">
        <is>
          <t>SCA</t>
        </is>
      </c>
      <c r="G894" t="n">
        <v>10.6</v>
      </c>
      <c r="H894" t="n">
        <v>0</v>
      </c>
      <c r="I894" t="n">
        <v>0</v>
      </c>
      <c r="J894" t="n">
        <v>0</v>
      </c>
      <c r="K894" t="n">
        <v>0</v>
      </c>
      <c r="L894" t="n">
        <v>0</v>
      </c>
      <c r="M894" t="n">
        <v>0</v>
      </c>
      <c r="N894" t="n">
        <v>0</v>
      </c>
      <c r="O894" t="n">
        <v>0</v>
      </c>
      <c r="P894" t="n">
        <v>0</v>
      </c>
      <c r="Q894" t="n">
        <v>0</v>
      </c>
      <c r="R894" s="2" t="inlineStr"/>
    </row>
    <row r="895" ht="15" customHeight="1">
      <c r="A895" t="inlineStr">
        <is>
          <t>A 41280-2024</t>
        </is>
      </c>
      <c r="B895" s="1" t="n">
        <v>45559</v>
      </c>
      <c r="C895" s="1" t="n">
        <v>45709</v>
      </c>
      <c r="D895" t="inlineStr">
        <is>
          <t>JÄMTLANDS LÄN</t>
        </is>
      </c>
      <c r="E895" t="inlineStr">
        <is>
          <t>ÖSTERSUND</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41483-2024</t>
        </is>
      </c>
      <c r="B896" s="1" t="n">
        <v>45560</v>
      </c>
      <c r="C896" s="1" t="n">
        <v>45709</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41780-2024</t>
        </is>
      </c>
      <c r="B897" s="1" t="n">
        <v>45561</v>
      </c>
      <c r="C897" s="1" t="n">
        <v>45709</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42550-2024</t>
        </is>
      </c>
      <c r="B898" s="1" t="n">
        <v>45565</v>
      </c>
      <c r="C898" s="1" t="n">
        <v>45709</v>
      </c>
      <c r="D898" t="inlineStr">
        <is>
          <t>JÄMTLANDS LÄN</t>
        </is>
      </c>
      <c r="E898" t="inlineStr">
        <is>
          <t>ÖSTERSUND</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42547-2024</t>
        </is>
      </c>
      <c r="B899" s="1" t="n">
        <v>45565</v>
      </c>
      <c r="C899" s="1" t="n">
        <v>45709</v>
      </c>
      <c r="D899" t="inlineStr">
        <is>
          <t>JÄMTLANDS LÄN</t>
        </is>
      </c>
      <c r="E899" t="inlineStr">
        <is>
          <t>ÖSTERSUND</t>
        </is>
      </c>
      <c r="F899" t="inlineStr">
        <is>
          <t>Övriga Aktiebolag</t>
        </is>
      </c>
      <c r="G899" t="n">
        <v>7.1</v>
      </c>
      <c r="H899" t="n">
        <v>0</v>
      </c>
      <c r="I899" t="n">
        <v>0</v>
      </c>
      <c r="J899" t="n">
        <v>0</v>
      </c>
      <c r="K899" t="n">
        <v>0</v>
      </c>
      <c r="L899" t="n">
        <v>0</v>
      </c>
      <c r="M899" t="n">
        <v>0</v>
      </c>
      <c r="N899" t="n">
        <v>0</v>
      </c>
      <c r="O899" t="n">
        <v>0</v>
      </c>
      <c r="P899" t="n">
        <v>0</v>
      </c>
      <c r="Q899" t="n">
        <v>0</v>
      </c>
      <c r="R899" s="2" t="inlineStr"/>
    </row>
    <row r="900" ht="15" customHeight="1">
      <c r="A900" t="inlineStr">
        <is>
          <t>A 43082-2024</t>
        </is>
      </c>
      <c r="B900" s="1" t="n">
        <v>45567</v>
      </c>
      <c r="C900" s="1" t="n">
        <v>45709</v>
      </c>
      <c r="D900" t="inlineStr">
        <is>
          <t>JÄMTLANDS LÄN</t>
        </is>
      </c>
      <c r="E900" t="inlineStr">
        <is>
          <t>ÖSTERSUND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43118-2024</t>
        </is>
      </c>
      <c r="B901" s="1" t="n">
        <v>45567</v>
      </c>
      <c r="C901" s="1" t="n">
        <v>45709</v>
      </c>
      <c r="D901" t="inlineStr">
        <is>
          <t>JÄMTLANDS LÄN</t>
        </is>
      </c>
      <c r="E901" t="inlineStr">
        <is>
          <t>ÖSTERSUND</t>
        </is>
      </c>
      <c r="G901" t="n">
        <v>5.1</v>
      </c>
      <c r="H901" t="n">
        <v>0</v>
      </c>
      <c r="I901" t="n">
        <v>0</v>
      </c>
      <c r="J901" t="n">
        <v>0</v>
      </c>
      <c r="K901" t="n">
        <v>0</v>
      </c>
      <c r="L901" t="n">
        <v>0</v>
      </c>
      <c r="M901" t="n">
        <v>0</v>
      </c>
      <c r="N901" t="n">
        <v>0</v>
      </c>
      <c r="O901" t="n">
        <v>0</v>
      </c>
      <c r="P901" t="n">
        <v>0</v>
      </c>
      <c r="Q901" t="n">
        <v>0</v>
      </c>
      <c r="R901" s="2" t="inlineStr"/>
    </row>
    <row r="902" ht="15" customHeight="1">
      <c r="A902" t="inlineStr">
        <is>
          <t>A 43016-2024</t>
        </is>
      </c>
      <c r="B902" s="1" t="n">
        <v>45567</v>
      </c>
      <c r="C902" s="1" t="n">
        <v>45709</v>
      </c>
      <c r="D902" t="inlineStr">
        <is>
          <t>JÄMTLANDS LÄN</t>
        </is>
      </c>
      <c r="E902" t="inlineStr">
        <is>
          <t>ÖSTERSUND</t>
        </is>
      </c>
      <c r="G902" t="n">
        <v>5.3</v>
      </c>
      <c r="H902" t="n">
        <v>0</v>
      </c>
      <c r="I902" t="n">
        <v>0</v>
      </c>
      <c r="J902" t="n">
        <v>0</v>
      </c>
      <c r="K902" t="n">
        <v>0</v>
      </c>
      <c r="L902" t="n">
        <v>0</v>
      </c>
      <c r="M902" t="n">
        <v>0</v>
      </c>
      <c r="N902" t="n">
        <v>0</v>
      </c>
      <c r="O902" t="n">
        <v>0</v>
      </c>
      <c r="P902" t="n">
        <v>0</v>
      </c>
      <c r="Q902" t="n">
        <v>0</v>
      </c>
      <c r="R902" s="2" t="inlineStr"/>
    </row>
    <row r="903" ht="15" customHeight="1">
      <c r="A903" t="inlineStr">
        <is>
          <t>A 43148-2024</t>
        </is>
      </c>
      <c r="B903" s="1" t="n">
        <v>45567</v>
      </c>
      <c r="C903" s="1" t="n">
        <v>45709</v>
      </c>
      <c r="D903" t="inlineStr">
        <is>
          <t>JÄMTLANDS LÄN</t>
        </is>
      </c>
      <c r="E903" t="inlineStr">
        <is>
          <t>ÖSTERSUND</t>
        </is>
      </c>
      <c r="G903" t="n">
        <v>3</v>
      </c>
      <c r="H903" t="n">
        <v>0</v>
      </c>
      <c r="I903" t="n">
        <v>0</v>
      </c>
      <c r="J903" t="n">
        <v>0</v>
      </c>
      <c r="K903" t="n">
        <v>0</v>
      </c>
      <c r="L903" t="n">
        <v>0</v>
      </c>
      <c r="M903" t="n">
        <v>0</v>
      </c>
      <c r="N903" t="n">
        <v>0</v>
      </c>
      <c r="O903" t="n">
        <v>0</v>
      </c>
      <c r="P903" t="n">
        <v>0</v>
      </c>
      <c r="Q903" t="n">
        <v>0</v>
      </c>
      <c r="R903" s="2" t="inlineStr"/>
    </row>
    <row r="904" ht="15" customHeight="1">
      <c r="A904" t="inlineStr">
        <is>
          <t>A 43557-2024</t>
        </is>
      </c>
      <c r="B904" s="1" t="n">
        <v>45569</v>
      </c>
      <c r="C904" s="1" t="n">
        <v>45709</v>
      </c>
      <c r="D904" t="inlineStr">
        <is>
          <t>JÄMTLANDS LÄN</t>
        </is>
      </c>
      <c r="E904" t="inlineStr">
        <is>
          <t>ÖSTERSUND</t>
        </is>
      </c>
      <c r="G904" t="n">
        <v>3.6</v>
      </c>
      <c r="H904" t="n">
        <v>0</v>
      </c>
      <c r="I904" t="n">
        <v>0</v>
      </c>
      <c r="J904" t="n">
        <v>0</v>
      </c>
      <c r="K904" t="n">
        <v>0</v>
      </c>
      <c r="L904" t="n">
        <v>0</v>
      </c>
      <c r="M904" t="n">
        <v>0</v>
      </c>
      <c r="N904" t="n">
        <v>0</v>
      </c>
      <c r="O904" t="n">
        <v>0</v>
      </c>
      <c r="P904" t="n">
        <v>0</v>
      </c>
      <c r="Q904" t="n">
        <v>0</v>
      </c>
      <c r="R904" s="2" t="inlineStr"/>
    </row>
    <row r="905" ht="15" customHeight="1">
      <c r="A905" t="inlineStr">
        <is>
          <t>A 43560-2024</t>
        </is>
      </c>
      <c r="B905" s="1" t="n">
        <v>45569</v>
      </c>
      <c r="C905" s="1" t="n">
        <v>45709</v>
      </c>
      <c r="D905" t="inlineStr">
        <is>
          <t>JÄMTLANDS LÄN</t>
        </is>
      </c>
      <c r="E905" t="inlineStr">
        <is>
          <t>ÖSTERSUND</t>
        </is>
      </c>
      <c r="G905" t="n">
        <v>2.7</v>
      </c>
      <c r="H905" t="n">
        <v>0</v>
      </c>
      <c r="I905" t="n">
        <v>0</v>
      </c>
      <c r="J905" t="n">
        <v>0</v>
      </c>
      <c r="K905" t="n">
        <v>0</v>
      </c>
      <c r="L905" t="n">
        <v>0</v>
      </c>
      <c r="M905" t="n">
        <v>0</v>
      </c>
      <c r="N905" t="n">
        <v>0</v>
      </c>
      <c r="O905" t="n">
        <v>0</v>
      </c>
      <c r="P905" t="n">
        <v>0</v>
      </c>
      <c r="Q905" t="n">
        <v>0</v>
      </c>
      <c r="R905" s="2" t="inlineStr"/>
    </row>
    <row r="906" ht="15" customHeight="1">
      <c r="A906" t="inlineStr">
        <is>
          <t>A 44048-2024</t>
        </is>
      </c>
      <c r="B906" s="1" t="n">
        <v>45572</v>
      </c>
      <c r="C906" s="1" t="n">
        <v>45709</v>
      </c>
      <c r="D906" t="inlineStr">
        <is>
          <t>JÄMTLANDS LÄN</t>
        </is>
      </c>
      <c r="E906" t="inlineStr">
        <is>
          <t>ÖSTERSUND</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44489-2024</t>
        </is>
      </c>
      <c r="B907" s="1" t="n">
        <v>45574</v>
      </c>
      <c r="C907" s="1" t="n">
        <v>45709</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44707-2024</t>
        </is>
      </c>
      <c r="B908" s="1" t="n">
        <v>45574</v>
      </c>
      <c r="C908" s="1" t="n">
        <v>45709</v>
      </c>
      <c r="D908" t="inlineStr">
        <is>
          <t>JÄMTLANDS LÄN</t>
        </is>
      </c>
      <c r="E908" t="inlineStr">
        <is>
          <t>ÖSTERSUND</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45341-2024</t>
        </is>
      </c>
      <c r="B909" s="1" t="n">
        <v>45576</v>
      </c>
      <c r="C909" s="1" t="n">
        <v>45709</v>
      </c>
      <c r="D909" t="inlineStr">
        <is>
          <t>JÄMTLANDS LÄN</t>
        </is>
      </c>
      <c r="E909" t="inlineStr">
        <is>
          <t>ÖSTERSUND</t>
        </is>
      </c>
      <c r="G909" t="n">
        <v>5.9</v>
      </c>
      <c r="H909" t="n">
        <v>0</v>
      </c>
      <c r="I909" t="n">
        <v>0</v>
      </c>
      <c r="J909" t="n">
        <v>0</v>
      </c>
      <c r="K909" t="n">
        <v>0</v>
      </c>
      <c r="L909" t="n">
        <v>0</v>
      </c>
      <c r="M909" t="n">
        <v>0</v>
      </c>
      <c r="N909" t="n">
        <v>0</v>
      </c>
      <c r="O909" t="n">
        <v>0</v>
      </c>
      <c r="P909" t="n">
        <v>0</v>
      </c>
      <c r="Q909" t="n">
        <v>0</v>
      </c>
      <c r="R909" s="2" t="inlineStr"/>
    </row>
    <row r="910" ht="15" customHeight="1">
      <c r="A910" t="inlineStr">
        <is>
          <t>A 45338-2024</t>
        </is>
      </c>
      <c r="B910" s="1" t="n">
        <v>45576</v>
      </c>
      <c r="C910" s="1" t="n">
        <v>45709</v>
      </c>
      <c r="D910" t="inlineStr">
        <is>
          <t>JÄMTLANDS LÄN</t>
        </is>
      </c>
      <c r="E910" t="inlineStr">
        <is>
          <t>ÖSTERSUND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45340-2024</t>
        </is>
      </c>
      <c r="B911" s="1" t="n">
        <v>45576</v>
      </c>
      <c r="C911" s="1" t="n">
        <v>45709</v>
      </c>
      <c r="D911" t="inlineStr">
        <is>
          <t>JÄMTLANDS LÄN</t>
        </is>
      </c>
      <c r="E911" t="inlineStr">
        <is>
          <t>ÖSTERSUND</t>
        </is>
      </c>
      <c r="G911" t="n">
        <v>1.6</v>
      </c>
      <c r="H911" t="n">
        <v>0</v>
      </c>
      <c r="I911" t="n">
        <v>0</v>
      </c>
      <c r="J911" t="n">
        <v>0</v>
      </c>
      <c r="K911" t="n">
        <v>0</v>
      </c>
      <c r="L911" t="n">
        <v>0</v>
      </c>
      <c r="M911" t="n">
        <v>0</v>
      </c>
      <c r="N911" t="n">
        <v>0</v>
      </c>
      <c r="O911" t="n">
        <v>0</v>
      </c>
      <c r="P911" t="n">
        <v>0</v>
      </c>
      <c r="Q911" t="n">
        <v>0</v>
      </c>
      <c r="R911" s="2" t="inlineStr"/>
    </row>
    <row r="912" ht="15" customHeight="1">
      <c r="A912" t="inlineStr">
        <is>
          <t>A 45610-2024</t>
        </is>
      </c>
      <c r="B912" s="1" t="n">
        <v>45579</v>
      </c>
      <c r="C912" s="1" t="n">
        <v>45709</v>
      </c>
      <c r="D912" t="inlineStr">
        <is>
          <t>JÄMTLANDS LÄN</t>
        </is>
      </c>
      <c r="E912" t="inlineStr">
        <is>
          <t>ÖSTERSUND</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45742-2024</t>
        </is>
      </c>
      <c r="B913" s="1" t="n">
        <v>45579</v>
      </c>
      <c r="C913" s="1" t="n">
        <v>45709</v>
      </c>
      <c r="D913" t="inlineStr">
        <is>
          <t>JÄMTLANDS LÄN</t>
        </is>
      </c>
      <c r="E913" t="inlineStr">
        <is>
          <t>ÖSTERSUND</t>
        </is>
      </c>
      <c r="G913" t="n">
        <v>2.4</v>
      </c>
      <c r="H913" t="n">
        <v>0</v>
      </c>
      <c r="I913" t="n">
        <v>0</v>
      </c>
      <c r="J913" t="n">
        <v>0</v>
      </c>
      <c r="K913" t="n">
        <v>0</v>
      </c>
      <c r="L913" t="n">
        <v>0</v>
      </c>
      <c r="M913" t="n">
        <v>0</v>
      </c>
      <c r="N913" t="n">
        <v>0</v>
      </c>
      <c r="O913" t="n">
        <v>0</v>
      </c>
      <c r="P913" t="n">
        <v>0</v>
      </c>
      <c r="Q913" t="n">
        <v>0</v>
      </c>
      <c r="R913" s="2" t="inlineStr"/>
    </row>
    <row r="914" ht="15" customHeight="1">
      <c r="A914" t="inlineStr">
        <is>
          <t>A 45895-2024</t>
        </is>
      </c>
      <c r="B914" s="1" t="n">
        <v>45580</v>
      </c>
      <c r="C914" s="1" t="n">
        <v>45709</v>
      </c>
      <c r="D914" t="inlineStr">
        <is>
          <t>JÄMTLANDS LÄN</t>
        </is>
      </c>
      <c r="E914" t="inlineStr">
        <is>
          <t>ÖSTERSUND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45856-2024</t>
        </is>
      </c>
      <c r="B915" s="1" t="n">
        <v>45580</v>
      </c>
      <c r="C915" s="1" t="n">
        <v>45709</v>
      </c>
      <c r="D915" t="inlineStr">
        <is>
          <t>JÄMTLANDS LÄN</t>
        </is>
      </c>
      <c r="E915" t="inlineStr">
        <is>
          <t>ÖSTERSUND</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46732-2024</t>
        </is>
      </c>
      <c r="B916" s="1" t="n">
        <v>45583</v>
      </c>
      <c r="C916" s="1" t="n">
        <v>45709</v>
      </c>
      <c r="D916" t="inlineStr">
        <is>
          <t>JÄMTLANDS LÄN</t>
        </is>
      </c>
      <c r="E916" t="inlineStr">
        <is>
          <t>ÖSTERSUND</t>
        </is>
      </c>
      <c r="G916" t="n">
        <v>3.3</v>
      </c>
      <c r="H916" t="n">
        <v>0</v>
      </c>
      <c r="I916" t="n">
        <v>0</v>
      </c>
      <c r="J916" t="n">
        <v>0</v>
      </c>
      <c r="K916" t="n">
        <v>0</v>
      </c>
      <c r="L916" t="n">
        <v>0</v>
      </c>
      <c r="M916" t="n">
        <v>0</v>
      </c>
      <c r="N916" t="n">
        <v>0</v>
      </c>
      <c r="O916" t="n">
        <v>0</v>
      </c>
      <c r="P916" t="n">
        <v>0</v>
      </c>
      <c r="Q916" t="n">
        <v>0</v>
      </c>
      <c r="R916" s="2" t="inlineStr"/>
    </row>
    <row r="917" ht="15" customHeight="1">
      <c r="A917" t="inlineStr">
        <is>
          <t>A 47245-2024</t>
        </is>
      </c>
      <c r="B917" s="1" t="n">
        <v>45586</v>
      </c>
      <c r="C917" s="1" t="n">
        <v>45709</v>
      </c>
      <c r="D917" t="inlineStr">
        <is>
          <t>JÄMTLANDS LÄN</t>
        </is>
      </c>
      <c r="E917" t="inlineStr">
        <is>
          <t>ÖSTERSUND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47022-2024</t>
        </is>
      </c>
      <c r="B918" s="1" t="n">
        <v>45586</v>
      </c>
      <c r="C918" s="1" t="n">
        <v>45709</v>
      </c>
      <c r="D918" t="inlineStr">
        <is>
          <t>JÄMTLANDS LÄN</t>
        </is>
      </c>
      <c r="E918" t="inlineStr">
        <is>
          <t>ÖSTERSUND</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47357-2024</t>
        </is>
      </c>
      <c r="B919" s="1" t="n">
        <v>45587</v>
      </c>
      <c r="C919" s="1" t="n">
        <v>45709</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47804-2024</t>
        </is>
      </c>
      <c r="B920" s="1" t="n">
        <v>45588</v>
      </c>
      <c r="C920" s="1" t="n">
        <v>45709</v>
      </c>
      <c r="D920" t="inlineStr">
        <is>
          <t>JÄMTLANDS LÄN</t>
        </is>
      </c>
      <c r="E920" t="inlineStr">
        <is>
          <t>ÖSTERSUND</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47630-2024</t>
        </is>
      </c>
      <c r="B921" s="1" t="n">
        <v>45588</v>
      </c>
      <c r="C921" s="1" t="n">
        <v>45709</v>
      </c>
      <c r="D921" t="inlineStr">
        <is>
          <t>JÄMTLANDS LÄN</t>
        </is>
      </c>
      <c r="E921" t="inlineStr">
        <is>
          <t>ÖSTERSUND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47628-2024</t>
        </is>
      </c>
      <c r="B922" s="1" t="n">
        <v>45588</v>
      </c>
      <c r="C922" s="1" t="n">
        <v>45709</v>
      </c>
      <c r="D922" t="inlineStr">
        <is>
          <t>JÄMTLANDS LÄN</t>
        </is>
      </c>
      <c r="E922" t="inlineStr">
        <is>
          <t>ÖSTERSUND</t>
        </is>
      </c>
      <c r="G922" t="n">
        <v>1.9</v>
      </c>
      <c r="H922" t="n">
        <v>0</v>
      </c>
      <c r="I922" t="n">
        <v>0</v>
      </c>
      <c r="J922" t="n">
        <v>0</v>
      </c>
      <c r="K922" t="n">
        <v>0</v>
      </c>
      <c r="L922" t="n">
        <v>0</v>
      </c>
      <c r="M922" t="n">
        <v>0</v>
      </c>
      <c r="N922" t="n">
        <v>0</v>
      </c>
      <c r="O922" t="n">
        <v>0</v>
      </c>
      <c r="P922" t="n">
        <v>0</v>
      </c>
      <c r="Q922" t="n">
        <v>0</v>
      </c>
      <c r="R922" s="2" t="inlineStr"/>
    </row>
    <row r="923" ht="15" customHeight="1">
      <c r="A923" t="inlineStr">
        <is>
          <t>A 47789-2024</t>
        </is>
      </c>
      <c r="B923" s="1" t="n">
        <v>45588</v>
      </c>
      <c r="C923" s="1" t="n">
        <v>45709</v>
      </c>
      <c r="D923" t="inlineStr">
        <is>
          <t>JÄMTLANDS LÄN</t>
        </is>
      </c>
      <c r="E923" t="inlineStr">
        <is>
          <t>ÖSTERSUND</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47805-2024</t>
        </is>
      </c>
      <c r="B924" s="1" t="n">
        <v>45588</v>
      </c>
      <c r="C924" s="1" t="n">
        <v>45709</v>
      </c>
      <c r="D924" t="inlineStr">
        <is>
          <t>JÄMTLANDS LÄN</t>
        </is>
      </c>
      <c r="E924" t="inlineStr">
        <is>
          <t>ÖSTERSUND</t>
        </is>
      </c>
      <c r="G924" t="n">
        <v>7.4</v>
      </c>
      <c r="H924" t="n">
        <v>0</v>
      </c>
      <c r="I924" t="n">
        <v>0</v>
      </c>
      <c r="J924" t="n">
        <v>0</v>
      </c>
      <c r="K924" t="n">
        <v>0</v>
      </c>
      <c r="L924" t="n">
        <v>0</v>
      </c>
      <c r="M924" t="n">
        <v>0</v>
      </c>
      <c r="N924" t="n">
        <v>0</v>
      </c>
      <c r="O924" t="n">
        <v>0</v>
      </c>
      <c r="P924" t="n">
        <v>0</v>
      </c>
      <c r="Q924" t="n">
        <v>0</v>
      </c>
      <c r="R924" s="2" t="inlineStr"/>
    </row>
    <row r="925" ht="15" customHeight="1">
      <c r="A925" t="inlineStr">
        <is>
          <t>A 47627-2024</t>
        </is>
      </c>
      <c r="B925" s="1" t="n">
        <v>45588</v>
      </c>
      <c r="C925" s="1" t="n">
        <v>45709</v>
      </c>
      <c r="D925" t="inlineStr">
        <is>
          <t>JÄMTLANDS LÄN</t>
        </is>
      </c>
      <c r="E925" t="inlineStr">
        <is>
          <t>ÖSTERSUND</t>
        </is>
      </c>
      <c r="G925" t="n">
        <v>0.8</v>
      </c>
      <c r="H925" t="n">
        <v>0</v>
      </c>
      <c r="I925" t="n">
        <v>0</v>
      </c>
      <c r="J925" t="n">
        <v>0</v>
      </c>
      <c r="K925" t="n">
        <v>0</v>
      </c>
      <c r="L925" t="n">
        <v>0</v>
      </c>
      <c r="M925" t="n">
        <v>0</v>
      </c>
      <c r="N925" t="n">
        <v>0</v>
      </c>
      <c r="O925" t="n">
        <v>0</v>
      </c>
      <c r="P925" t="n">
        <v>0</v>
      </c>
      <c r="Q925" t="n">
        <v>0</v>
      </c>
      <c r="R925" s="2" t="inlineStr"/>
    </row>
    <row r="926" ht="15" customHeight="1">
      <c r="A926" t="inlineStr">
        <is>
          <t>A 48131-2024</t>
        </is>
      </c>
      <c r="B926" s="1" t="n">
        <v>45589</v>
      </c>
      <c r="C926" s="1" t="n">
        <v>45709</v>
      </c>
      <c r="D926" t="inlineStr">
        <is>
          <t>JÄMTLANDS LÄN</t>
        </is>
      </c>
      <c r="E926" t="inlineStr">
        <is>
          <t>ÖSTERSUND</t>
        </is>
      </c>
      <c r="G926" t="n">
        <v>2.6</v>
      </c>
      <c r="H926" t="n">
        <v>0</v>
      </c>
      <c r="I926" t="n">
        <v>0</v>
      </c>
      <c r="J926" t="n">
        <v>0</v>
      </c>
      <c r="K926" t="n">
        <v>0</v>
      </c>
      <c r="L926" t="n">
        <v>0</v>
      </c>
      <c r="M926" t="n">
        <v>0</v>
      </c>
      <c r="N926" t="n">
        <v>0</v>
      </c>
      <c r="O926" t="n">
        <v>0</v>
      </c>
      <c r="P926" t="n">
        <v>0</v>
      </c>
      <c r="Q926" t="n">
        <v>0</v>
      </c>
      <c r="R926" s="2" t="inlineStr"/>
    </row>
    <row r="927" ht="15" customHeight="1">
      <c r="A927" t="inlineStr">
        <is>
          <t>A 48106-2024</t>
        </is>
      </c>
      <c r="B927" s="1" t="n">
        <v>45589</v>
      </c>
      <c r="C927" s="1" t="n">
        <v>45709</v>
      </c>
      <c r="D927" t="inlineStr">
        <is>
          <t>JÄMTLANDS LÄN</t>
        </is>
      </c>
      <c r="E927" t="inlineStr">
        <is>
          <t>ÖSTERSUND</t>
        </is>
      </c>
      <c r="G927" t="n">
        <v>3.5</v>
      </c>
      <c r="H927" t="n">
        <v>0</v>
      </c>
      <c r="I927" t="n">
        <v>0</v>
      </c>
      <c r="J927" t="n">
        <v>0</v>
      </c>
      <c r="K927" t="n">
        <v>0</v>
      </c>
      <c r="L927" t="n">
        <v>0</v>
      </c>
      <c r="M927" t="n">
        <v>0</v>
      </c>
      <c r="N927" t="n">
        <v>0</v>
      </c>
      <c r="O927" t="n">
        <v>0</v>
      </c>
      <c r="P927" t="n">
        <v>0</v>
      </c>
      <c r="Q927" t="n">
        <v>0</v>
      </c>
      <c r="R927" s="2" t="inlineStr"/>
    </row>
    <row r="928" ht="15" customHeight="1">
      <c r="A928" t="inlineStr">
        <is>
          <t>A 48421-2024</t>
        </is>
      </c>
      <c r="B928" s="1" t="n">
        <v>45590</v>
      </c>
      <c r="C928" s="1" t="n">
        <v>45709</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48422-2024</t>
        </is>
      </c>
      <c r="B929" s="1" t="n">
        <v>45590</v>
      </c>
      <c r="C929" s="1" t="n">
        <v>45709</v>
      </c>
      <c r="D929" t="inlineStr">
        <is>
          <t>JÄMTLANDS LÄN</t>
        </is>
      </c>
      <c r="E929" t="inlineStr">
        <is>
          <t>ÖSTERSUND</t>
        </is>
      </c>
      <c r="G929" t="n">
        <v>14.6</v>
      </c>
      <c r="H929" t="n">
        <v>0</v>
      </c>
      <c r="I929" t="n">
        <v>0</v>
      </c>
      <c r="J929" t="n">
        <v>0</v>
      </c>
      <c r="K929" t="n">
        <v>0</v>
      </c>
      <c r="L929" t="n">
        <v>0</v>
      </c>
      <c r="M929" t="n">
        <v>0</v>
      </c>
      <c r="N929" t="n">
        <v>0</v>
      </c>
      <c r="O929" t="n">
        <v>0</v>
      </c>
      <c r="P929" t="n">
        <v>0</v>
      </c>
      <c r="Q929" t="n">
        <v>0</v>
      </c>
      <c r="R929" s="2" t="inlineStr"/>
    </row>
    <row r="930" ht="15" customHeight="1">
      <c r="A930" t="inlineStr">
        <is>
          <t>A 48696-2024</t>
        </is>
      </c>
      <c r="B930" s="1" t="n">
        <v>45593</v>
      </c>
      <c r="C930" s="1" t="n">
        <v>45709</v>
      </c>
      <c r="D930" t="inlineStr">
        <is>
          <t>JÄMTLANDS LÄN</t>
        </is>
      </c>
      <c r="E930" t="inlineStr">
        <is>
          <t>ÖSTERSUND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48737-2024</t>
        </is>
      </c>
      <c r="B931" s="1" t="n">
        <v>45593</v>
      </c>
      <c r="C931" s="1" t="n">
        <v>45709</v>
      </c>
      <c r="D931" t="inlineStr">
        <is>
          <t>JÄMTLANDS LÄN</t>
        </is>
      </c>
      <c r="E931" t="inlineStr">
        <is>
          <t>ÖSTERSUND</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49192-2024</t>
        </is>
      </c>
      <c r="B932" s="1" t="n">
        <v>45595</v>
      </c>
      <c r="C932" s="1" t="n">
        <v>45709</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49240-2024</t>
        </is>
      </c>
      <c r="B933" s="1" t="n">
        <v>45595</v>
      </c>
      <c r="C933" s="1" t="n">
        <v>45709</v>
      </c>
      <c r="D933" t="inlineStr">
        <is>
          <t>JÄMTLANDS LÄN</t>
        </is>
      </c>
      <c r="E933" t="inlineStr">
        <is>
          <t>ÖSTERSUND</t>
        </is>
      </c>
      <c r="G933" t="n">
        <v>5.1</v>
      </c>
      <c r="H933" t="n">
        <v>0</v>
      </c>
      <c r="I933" t="n">
        <v>0</v>
      </c>
      <c r="J933" t="n">
        <v>0</v>
      </c>
      <c r="K933" t="n">
        <v>0</v>
      </c>
      <c r="L933" t="n">
        <v>0</v>
      </c>
      <c r="M933" t="n">
        <v>0</v>
      </c>
      <c r="N933" t="n">
        <v>0</v>
      </c>
      <c r="O933" t="n">
        <v>0</v>
      </c>
      <c r="P933" t="n">
        <v>0</v>
      </c>
      <c r="Q933" t="n">
        <v>0</v>
      </c>
      <c r="R933" s="2" t="inlineStr"/>
    </row>
    <row r="934" ht="15" customHeight="1">
      <c r="A934" t="inlineStr">
        <is>
          <t>A 49546-2024</t>
        </is>
      </c>
      <c r="B934" s="1" t="n">
        <v>45596</v>
      </c>
      <c r="C934" s="1" t="n">
        <v>45709</v>
      </c>
      <c r="D934" t="inlineStr">
        <is>
          <t>JÄMTLANDS LÄN</t>
        </is>
      </c>
      <c r="E934" t="inlineStr">
        <is>
          <t>ÖSTERSUND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49592-2024</t>
        </is>
      </c>
      <c r="B935" s="1" t="n">
        <v>45596</v>
      </c>
      <c r="C935" s="1" t="n">
        <v>45709</v>
      </c>
      <c r="D935" t="inlineStr">
        <is>
          <t>JÄMTLANDS LÄN</t>
        </is>
      </c>
      <c r="E935" t="inlineStr">
        <is>
          <t>ÖSTERSUND</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49788-2024</t>
        </is>
      </c>
      <c r="B936" s="1" t="n">
        <v>45597</v>
      </c>
      <c r="C936" s="1" t="n">
        <v>45709</v>
      </c>
      <c r="D936" t="inlineStr">
        <is>
          <t>JÄMTLANDS LÄN</t>
        </is>
      </c>
      <c r="E936" t="inlineStr">
        <is>
          <t>ÖSTERSUND</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50088-2024</t>
        </is>
      </c>
      <c r="B937" s="1" t="n">
        <v>45600</v>
      </c>
      <c r="C937" s="1" t="n">
        <v>45709</v>
      </c>
      <c r="D937" t="inlineStr">
        <is>
          <t>JÄMTLANDS LÄN</t>
        </is>
      </c>
      <c r="E937" t="inlineStr">
        <is>
          <t>ÖSTERSUND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50218-2024</t>
        </is>
      </c>
      <c r="B938" s="1" t="n">
        <v>45600</v>
      </c>
      <c r="C938" s="1" t="n">
        <v>45709</v>
      </c>
      <c r="D938" t="inlineStr">
        <is>
          <t>JÄMTLANDS LÄN</t>
        </is>
      </c>
      <c r="E938" t="inlineStr">
        <is>
          <t>ÖSTERSUND</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50560-2024</t>
        </is>
      </c>
      <c r="B939" s="1" t="n">
        <v>45601</v>
      </c>
      <c r="C939" s="1" t="n">
        <v>45709</v>
      </c>
      <c r="D939" t="inlineStr">
        <is>
          <t>JÄMTLANDS LÄN</t>
        </is>
      </c>
      <c r="E939" t="inlineStr">
        <is>
          <t>ÖSTERSUND</t>
        </is>
      </c>
      <c r="G939" t="n">
        <v>2.3</v>
      </c>
      <c r="H939" t="n">
        <v>0</v>
      </c>
      <c r="I939" t="n">
        <v>0</v>
      </c>
      <c r="J939" t="n">
        <v>0</v>
      </c>
      <c r="K939" t="n">
        <v>0</v>
      </c>
      <c r="L939" t="n">
        <v>0</v>
      </c>
      <c r="M939" t="n">
        <v>0</v>
      </c>
      <c r="N939" t="n">
        <v>0</v>
      </c>
      <c r="O939" t="n">
        <v>0</v>
      </c>
      <c r="P939" t="n">
        <v>0</v>
      </c>
      <c r="Q939" t="n">
        <v>0</v>
      </c>
      <c r="R939" s="2" t="inlineStr"/>
    </row>
    <row r="940" ht="15" customHeight="1">
      <c r="A940" t="inlineStr">
        <is>
          <t>A 50860-2024</t>
        </is>
      </c>
      <c r="B940" s="1" t="n">
        <v>45602</v>
      </c>
      <c r="C940" s="1" t="n">
        <v>45709</v>
      </c>
      <c r="D940" t="inlineStr">
        <is>
          <t>JÄMTLANDS LÄN</t>
        </is>
      </c>
      <c r="E940" t="inlineStr">
        <is>
          <t>ÖSTERSUND</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50861-2024</t>
        </is>
      </c>
      <c r="B941" s="1" t="n">
        <v>45602</v>
      </c>
      <c r="C941" s="1" t="n">
        <v>45709</v>
      </c>
      <c r="D941" t="inlineStr">
        <is>
          <t>JÄMTLANDS LÄN</t>
        </is>
      </c>
      <c r="E941" t="inlineStr">
        <is>
          <t>ÖSTERSUND</t>
        </is>
      </c>
      <c r="G941" t="n">
        <v>5</v>
      </c>
      <c r="H941" t="n">
        <v>0</v>
      </c>
      <c r="I941" t="n">
        <v>0</v>
      </c>
      <c r="J941" t="n">
        <v>0</v>
      </c>
      <c r="K941" t="n">
        <v>0</v>
      </c>
      <c r="L941" t="n">
        <v>0</v>
      </c>
      <c r="M941" t="n">
        <v>0</v>
      </c>
      <c r="N941" t="n">
        <v>0</v>
      </c>
      <c r="O941" t="n">
        <v>0</v>
      </c>
      <c r="P941" t="n">
        <v>0</v>
      </c>
      <c r="Q941" t="n">
        <v>0</v>
      </c>
      <c r="R941" s="2" t="inlineStr"/>
    </row>
    <row r="942" ht="15" customHeight="1">
      <c r="A942" t="inlineStr">
        <is>
          <t>A 50971-2024</t>
        </is>
      </c>
      <c r="B942" s="1" t="n">
        <v>45603</v>
      </c>
      <c r="C942" s="1" t="n">
        <v>45709</v>
      </c>
      <c r="D942" t="inlineStr">
        <is>
          <t>JÄMTLANDS LÄN</t>
        </is>
      </c>
      <c r="E942" t="inlineStr">
        <is>
          <t>ÖSTERSUND</t>
        </is>
      </c>
      <c r="G942" t="n">
        <v>3.2</v>
      </c>
      <c r="H942" t="n">
        <v>0</v>
      </c>
      <c r="I942" t="n">
        <v>0</v>
      </c>
      <c r="J942" t="n">
        <v>0</v>
      </c>
      <c r="K942" t="n">
        <v>0</v>
      </c>
      <c r="L942" t="n">
        <v>0</v>
      </c>
      <c r="M942" t="n">
        <v>0</v>
      </c>
      <c r="N942" t="n">
        <v>0</v>
      </c>
      <c r="O942" t="n">
        <v>0</v>
      </c>
      <c r="P942" t="n">
        <v>0</v>
      </c>
      <c r="Q942" t="n">
        <v>0</v>
      </c>
      <c r="R942" s="2" t="inlineStr"/>
    </row>
    <row r="943" ht="15" customHeight="1">
      <c r="A943" t="inlineStr">
        <is>
          <t>A 51379-2024</t>
        </is>
      </c>
      <c r="B943" s="1" t="n">
        <v>45604</v>
      </c>
      <c r="C943" s="1" t="n">
        <v>45709</v>
      </c>
      <c r="D943" t="inlineStr">
        <is>
          <t>JÄMTLANDS LÄN</t>
        </is>
      </c>
      <c r="E943" t="inlineStr">
        <is>
          <t>ÖSTERSUND</t>
        </is>
      </c>
      <c r="G943" t="n">
        <v>2</v>
      </c>
      <c r="H943" t="n">
        <v>0</v>
      </c>
      <c r="I943" t="n">
        <v>0</v>
      </c>
      <c r="J943" t="n">
        <v>0</v>
      </c>
      <c r="K943" t="n">
        <v>0</v>
      </c>
      <c r="L943" t="n">
        <v>0</v>
      </c>
      <c r="M943" t="n">
        <v>0</v>
      </c>
      <c r="N943" t="n">
        <v>0</v>
      </c>
      <c r="O943" t="n">
        <v>0</v>
      </c>
      <c r="P943" t="n">
        <v>0</v>
      </c>
      <c r="Q943" t="n">
        <v>0</v>
      </c>
      <c r="R943" s="2" t="inlineStr"/>
    </row>
    <row r="944" ht="15" customHeight="1">
      <c r="A944" t="inlineStr">
        <is>
          <t>A 51856-2024</t>
        </is>
      </c>
      <c r="B944" s="1" t="n">
        <v>45607</v>
      </c>
      <c r="C944" s="1" t="n">
        <v>45709</v>
      </c>
      <c r="D944" t="inlineStr">
        <is>
          <t>JÄMTLANDS LÄN</t>
        </is>
      </c>
      <c r="E944" t="inlineStr">
        <is>
          <t>ÖSTERSUND</t>
        </is>
      </c>
      <c r="G944" t="n">
        <v>13.5</v>
      </c>
      <c r="H944" t="n">
        <v>0</v>
      </c>
      <c r="I944" t="n">
        <v>0</v>
      </c>
      <c r="J944" t="n">
        <v>0</v>
      </c>
      <c r="K944" t="n">
        <v>0</v>
      </c>
      <c r="L944" t="n">
        <v>0</v>
      </c>
      <c r="M944" t="n">
        <v>0</v>
      </c>
      <c r="N944" t="n">
        <v>0</v>
      </c>
      <c r="O944" t="n">
        <v>0</v>
      </c>
      <c r="P944" t="n">
        <v>0</v>
      </c>
      <c r="Q944" t="n">
        <v>0</v>
      </c>
      <c r="R944" s="2" t="inlineStr"/>
    </row>
    <row r="945" ht="15" customHeight="1">
      <c r="A945" t="inlineStr">
        <is>
          <t>A 51865-2024</t>
        </is>
      </c>
      <c r="B945" s="1" t="n">
        <v>45607</v>
      </c>
      <c r="C945" s="1" t="n">
        <v>45709</v>
      </c>
      <c r="D945" t="inlineStr">
        <is>
          <t>JÄMTLANDS LÄN</t>
        </is>
      </c>
      <c r="E945" t="inlineStr">
        <is>
          <t>ÖSTERSUND</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51818-2024</t>
        </is>
      </c>
      <c r="B946" s="1" t="n">
        <v>45607</v>
      </c>
      <c r="C946" s="1" t="n">
        <v>45709</v>
      </c>
      <c r="D946" t="inlineStr">
        <is>
          <t>JÄMTLANDS LÄN</t>
        </is>
      </c>
      <c r="E946" t="inlineStr">
        <is>
          <t>ÖSTERSUND</t>
        </is>
      </c>
      <c r="G946" t="n">
        <v>4.6</v>
      </c>
      <c r="H946" t="n">
        <v>0</v>
      </c>
      <c r="I946" t="n">
        <v>0</v>
      </c>
      <c r="J946" t="n">
        <v>0</v>
      </c>
      <c r="K946" t="n">
        <v>0</v>
      </c>
      <c r="L946" t="n">
        <v>0</v>
      </c>
      <c r="M946" t="n">
        <v>0</v>
      </c>
      <c r="N946" t="n">
        <v>0</v>
      </c>
      <c r="O946" t="n">
        <v>0</v>
      </c>
      <c r="P946" t="n">
        <v>0</v>
      </c>
      <c r="Q946" t="n">
        <v>0</v>
      </c>
      <c r="R946" s="2" t="inlineStr"/>
    </row>
    <row r="947" ht="15" customHeight="1">
      <c r="A947" t="inlineStr">
        <is>
          <t>A 51826-2024</t>
        </is>
      </c>
      <c r="B947" s="1" t="n">
        <v>45607</v>
      </c>
      <c r="C947" s="1" t="n">
        <v>45709</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52405-2024</t>
        </is>
      </c>
      <c r="B948" s="1" t="n">
        <v>45609</v>
      </c>
      <c r="C948" s="1" t="n">
        <v>45709</v>
      </c>
      <c r="D948" t="inlineStr">
        <is>
          <t>JÄMTLANDS LÄN</t>
        </is>
      </c>
      <c r="E948" t="inlineStr">
        <is>
          <t>ÖSTERSUND</t>
        </is>
      </c>
      <c r="G948" t="n">
        <v>4.3</v>
      </c>
      <c r="H948" t="n">
        <v>0</v>
      </c>
      <c r="I948" t="n">
        <v>0</v>
      </c>
      <c r="J948" t="n">
        <v>0</v>
      </c>
      <c r="K948" t="n">
        <v>0</v>
      </c>
      <c r="L948" t="n">
        <v>0</v>
      </c>
      <c r="M948" t="n">
        <v>0</v>
      </c>
      <c r="N948" t="n">
        <v>0</v>
      </c>
      <c r="O948" t="n">
        <v>0</v>
      </c>
      <c r="P948" t="n">
        <v>0</v>
      </c>
      <c r="Q948" t="n">
        <v>0</v>
      </c>
      <c r="R948" s="2" t="inlineStr"/>
    </row>
    <row r="949" ht="15" customHeight="1">
      <c r="A949" t="inlineStr">
        <is>
          <t>A 52480-2024</t>
        </is>
      </c>
      <c r="B949" s="1" t="n">
        <v>45609</v>
      </c>
      <c r="C949" s="1" t="n">
        <v>45709</v>
      </c>
      <c r="D949" t="inlineStr">
        <is>
          <t>JÄMTLANDS LÄN</t>
        </is>
      </c>
      <c r="E949" t="inlineStr">
        <is>
          <t>ÖSTERSUND</t>
        </is>
      </c>
      <c r="G949" t="n">
        <v>20.2</v>
      </c>
      <c r="H949" t="n">
        <v>0</v>
      </c>
      <c r="I949" t="n">
        <v>0</v>
      </c>
      <c r="J949" t="n">
        <v>0</v>
      </c>
      <c r="K949" t="n">
        <v>0</v>
      </c>
      <c r="L949" t="n">
        <v>0</v>
      </c>
      <c r="M949" t="n">
        <v>0</v>
      </c>
      <c r="N949" t="n">
        <v>0</v>
      </c>
      <c r="O949" t="n">
        <v>0</v>
      </c>
      <c r="P949" t="n">
        <v>0</v>
      </c>
      <c r="Q949" t="n">
        <v>0</v>
      </c>
      <c r="R949" s="2" t="inlineStr"/>
    </row>
    <row r="950" ht="15" customHeight="1">
      <c r="A950" t="inlineStr">
        <is>
          <t>A 52483-2024</t>
        </is>
      </c>
      <c r="B950" s="1" t="n">
        <v>45609</v>
      </c>
      <c r="C950" s="1" t="n">
        <v>45709</v>
      </c>
      <c r="D950" t="inlineStr">
        <is>
          <t>JÄMTLANDS LÄN</t>
        </is>
      </c>
      <c r="E950" t="inlineStr">
        <is>
          <t>ÖSTERSUND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52481-2024</t>
        </is>
      </c>
      <c r="B951" s="1" t="n">
        <v>45609</v>
      </c>
      <c r="C951" s="1" t="n">
        <v>45709</v>
      </c>
      <c r="D951" t="inlineStr">
        <is>
          <t>JÄMTLANDS LÄN</t>
        </is>
      </c>
      <c r="E951" t="inlineStr">
        <is>
          <t>ÖSTERSUND</t>
        </is>
      </c>
      <c r="G951" t="n">
        <v>1.9</v>
      </c>
      <c r="H951" t="n">
        <v>0</v>
      </c>
      <c r="I951" t="n">
        <v>0</v>
      </c>
      <c r="J951" t="n">
        <v>0</v>
      </c>
      <c r="K951" t="n">
        <v>0</v>
      </c>
      <c r="L951" t="n">
        <v>0</v>
      </c>
      <c r="M951" t="n">
        <v>0</v>
      </c>
      <c r="N951" t="n">
        <v>0</v>
      </c>
      <c r="O951" t="n">
        <v>0</v>
      </c>
      <c r="P951" t="n">
        <v>0</v>
      </c>
      <c r="Q951" t="n">
        <v>0</v>
      </c>
      <c r="R951" s="2" t="inlineStr"/>
    </row>
    <row r="952" ht="15" customHeight="1">
      <c r="A952" t="inlineStr">
        <is>
          <t>A 52482-2024</t>
        </is>
      </c>
      <c r="B952" s="1" t="n">
        <v>45609</v>
      </c>
      <c r="C952" s="1" t="n">
        <v>45709</v>
      </c>
      <c r="D952" t="inlineStr">
        <is>
          <t>JÄMTLANDS LÄN</t>
        </is>
      </c>
      <c r="E952" t="inlineStr">
        <is>
          <t>ÖSTERSUND</t>
        </is>
      </c>
      <c r="G952" t="n">
        <v>7.3</v>
      </c>
      <c r="H952" t="n">
        <v>0</v>
      </c>
      <c r="I952" t="n">
        <v>0</v>
      </c>
      <c r="J952" t="n">
        <v>0</v>
      </c>
      <c r="K952" t="n">
        <v>0</v>
      </c>
      <c r="L952" t="n">
        <v>0</v>
      </c>
      <c r="M952" t="n">
        <v>0</v>
      </c>
      <c r="N952" t="n">
        <v>0</v>
      </c>
      <c r="O952" t="n">
        <v>0</v>
      </c>
      <c r="P952" t="n">
        <v>0</v>
      </c>
      <c r="Q952" t="n">
        <v>0</v>
      </c>
      <c r="R952" s="2" t="inlineStr"/>
    </row>
    <row r="953" ht="15" customHeight="1">
      <c r="A953" t="inlineStr">
        <is>
          <t>A 52854-2024</t>
        </is>
      </c>
      <c r="B953" s="1" t="n">
        <v>45610</v>
      </c>
      <c r="C953" s="1" t="n">
        <v>45709</v>
      </c>
      <c r="D953" t="inlineStr">
        <is>
          <t>JÄMTLANDS LÄN</t>
        </is>
      </c>
      <c r="E953" t="inlineStr">
        <is>
          <t>ÖSTERSUND</t>
        </is>
      </c>
      <c r="G953" t="n">
        <v>2.5</v>
      </c>
      <c r="H953" t="n">
        <v>0</v>
      </c>
      <c r="I953" t="n">
        <v>0</v>
      </c>
      <c r="J953" t="n">
        <v>0</v>
      </c>
      <c r="K953" t="n">
        <v>0</v>
      </c>
      <c r="L953" t="n">
        <v>0</v>
      </c>
      <c r="M953" t="n">
        <v>0</v>
      </c>
      <c r="N953" t="n">
        <v>0</v>
      </c>
      <c r="O953" t="n">
        <v>0</v>
      </c>
      <c r="P953" t="n">
        <v>0</v>
      </c>
      <c r="Q953" t="n">
        <v>0</v>
      </c>
      <c r="R953" s="2" t="inlineStr"/>
    </row>
    <row r="954" ht="15" customHeight="1">
      <c r="A954" t="inlineStr">
        <is>
          <t>A 53060-2024</t>
        </is>
      </c>
      <c r="B954" s="1" t="n">
        <v>45611</v>
      </c>
      <c r="C954" s="1" t="n">
        <v>45709</v>
      </c>
      <c r="D954" t="inlineStr">
        <is>
          <t>JÄMTLANDS LÄN</t>
        </is>
      </c>
      <c r="E954" t="inlineStr">
        <is>
          <t>ÖSTERSUND</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53176-2024</t>
        </is>
      </c>
      <c r="B955" s="1" t="n">
        <v>45611</v>
      </c>
      <c r="C955" s="1" t="n">
        <v>45709</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53130-2024</t>
        </is>
      </c>
      <c r="B956" s="1" t="n">
        <v>45611</v>
      </c>
      <c r="C956" s="1" t="n">
        <v>45709</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53516-2024</t>
        </is>
      </c>
      <c r="B957" s="1" t="n">
        <v>45614</v>
      </c>
      <c r="C957" s="1" t="n">
        <v>45709</v>
      </c>
      <c r="D957" t="inlineStr">
        <is>
          <t>JÄMTLANDS LÄN</t>
        </is>
      </c>
      <c r="E957" t="inlineStr">
        <is>
          <t>ÖSTERSUND</t>
        </is>
      </c>
      <c r="G957" t="n">
        <v>4.5</v>
      </c>
      <c r="H957" t="n">
        <v>0</v>
      </c>
      <c r="I957" t="n">
        <v>0</v>
      </c>
      <c r="J957" t="n">
        <v>0</v>
      </c>
      <c r="K957" t="n">
        <v>0</v>
      </c>
      <c r="L957" t="n">
        <v>0</v>
      </c>
      <c r="M957" t="n">
        <v>0</v>
      </c>
      <c r="N957" t="n">
        <v>0</v>
      </c>
      <c r="O957" t="n">
        <v>0</v>
      </c>
      <c r="P957" t="n">
        <v>0</v>
      </c>
      <c r="Q957" t="n">
        <v>0</v>
      </c>
      <c r="R957" s="2" t="inlineStr"/>
    </row>
    <row r="958" ht="15" customHeight="1">
      <c r="A958" t="inlineStr">
        <is>
          <t>A 53520-2024</t>
        </is>
      </c>
      <c r="B958" s="1" t="n">
        <v>45614</v>
      </c>
      <c r="C958" s="1" t="n">
        <v>45709</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53536-2024</t>
        </is>
      </c>
      <c r="B959" s="1" t="n">
        <v>45614</v>
      </c>
      <c r="C959" s="1" t="n">
        <v>45709</v>
      </c>
      <c r="D959" t="inlineStr">
        <is>
          <t>JÄMTLANDS LÄN</t>
        </is>
      </c>
      <c r="E959" t="inlineStr">
        <is>
          <t>ÖSTERSUND</t>
        </is>
      </c>
      <c r="G959" t="n">
        <v>4.1</v>
      </c>
      <c r="H959" t="n">
        <v>0</v>
      </c>
      <c r="I959" t="n">
        <v>0</v>
      </c>
      <c r="J959" t="n">
        <v>0</v>
      </c>
      <c r="K959" t="n">
        <v>0</v>
      </c>
      <c r="L959" t="n">
        <v>0</v>
      </c>
      <c r="M959" t="n">
        <v>0</v>
      </c>
      <c r="N959" t="n">
        <v>0</v>
      </c>
      <c r="O959" t="n">
        <v>0</v>
      </c>
      <c r="P959" t="n">
        <v>0</v>
      </c>
      <c r="Q959" t="n">
        <v>0</v>
      </c>
      <c r="R959" s="2" t="inlineStr"/>
    </row>
    <row r="960" ht="15" customHeight="1">
      <c r="A960" t="inlineStr">
        <is>
          <t>A 53745-2024</t>
        </is>
      </c>
      <c r="B960" s="1" t="n">
        <v>45615</v>
      </c>
      <c r="C960" s="1" t="n">
        <v>45709</v>
      </c>
      <c r="D960" t="inlineStr">
        <is>
          <t>JÄMTLANDS LÄN</t>
        </is>
      </c>
      <c r="E960" t="inlineStr">
        <is>
          <t>ÖSTERSUND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53864-2024</t>
        </is>
      </c>
      <c r="B961" s="1" t="n">
        <v>45615</v>
      </c>
      <c r="C961" s="1" t="n">
        <v>45709</v>
      </c>
      <c r="D961" t="inlineStr">
        <is>
          <t>JÄMTLANDS LÄN</t>
        </is>
      </c>
      <c r="E961" t="inlineStr">
        <is>
          <t>ÖSTERSUND</t>
        </is>
      </c>
      <c r="G961" t="n">
        <v>5.5</v>
      </c>
      <c r="H961" t="n">
        <v>0</v>
      </c>
      <c r="I961" t="n">
        <v>0</v>
      </c>
      <c r="J961" t="n">
        <v>0</v>
      </c>
      <c r="K961" t="n">
        <v>0</v>
      </c>
      <c r="L961" t="n">
        <v>0</v>
      </c>
      <c r="M961" t="n">
        <v>0</v>
      </c>
      <c r="N961" t="n">
        <v>0</v>
      </c>
      <c r="O961" t="n">
        <v>0</v>
      </c>
      <c r="P961" t="n">
        <v>0</v>
      </c>
      <c r="Q961" t="n">
        <v>0</v>
      </c>
      <c r="R961" s="2" t="inlineStr"/>
    </row>
    <row r="962" ht="15" customHeight="1">
      <c r="A962" t="inlineStr">
        <is>
          <t>A 53660-2024</t>
        </is>
      </c>
      <c r="B962" s="1" t="n">
        <v>45615</v>
      </c>
      <c r="C962" s="1" t="n">
        <v>45709</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54237-2024</t>
        </is>
      </c>
      <c r="B963" s="1" t="n">
        <v>45616</v>
      </c>
      <c r="C963" s="1" t="n">
        <v>45709</v>
      </c>
      <c r="D963" t="inlineStr">
        <is>
          <t>JÄMTLANDS LÄN</t>
        </is>
      </c>
      <c r="E963" t="inlineStr">
        <is>
          <t>ÖSTERSUND</t>
        </is>
      </c>
      <c r="F963" t="inlineStr">
        <is>
          <t>SCA</t>
        </is>
      </c>
      <c r="G963" t="n">
        <v>8.9</v>
      </c>
      <c r="H963" t="n">
        <v>0</v>
      </c>
      <c r="I963" t="n">
        <v>0</v>
      </c>
      <c r="J963" t="n">
        <v>0</v>
      </c>
      <c r="K963" t="n">
        <v>0</v>
      </c>
      <c r="L963" t="n">
        <v>0</v>
      </c>
      <c r="M963" t="n">
        <v>0</v>
      </c>
      <c r="N963" t="n">
        <v>0</v>
      </c>
      <c r="O963" t="n">
        <v>0</v>
      </c>
      <c r="P963" t="n">
        <v>0</v>
      </c>
      <c r="Q963" t="n">
        <v>0</v>
      </c>
      <c r="R963" s="2" t="inlineStr"/>
    </row>
    <row r="964" ht="15" customHeight="1">
      <c r="A964" t="inlineStr">
        <is>
          <t>A 54354-2024</t>
        </is>
      </c>
      <c r="B964" s="1" t="n">
        <v>45617</v>
      </c>
      <c r="C964" s="1" t="n">
        <v>45709</v>
      </c>
      <c r="D964" t="inlineStr">
        <is>
          <t>JÄMTLANDS LÄN</t>
        </is>
      </c>
      <c r="E964" t="inlineStr">
        <is>
          <t>ÖSTERSUND</t>
        </is>
      </c>
      <c r="G964" t="n">
        <v>7</v>
      </c>
      <c r="H964" t="n">
        <v>0</v>
      </c>
      <c r="I964" t="n">
        <v>0</v>
      </c>
      <c r="J964" t="n">
        <v>0</v>
      </c>
      <c r="K964" t="n">
        <v>0</v>
      </c>
      <c r="L964" t="n">
        <v>0</v>
      </c>
      <c r="M964" t="n">
        <v>0</v>
      </c>
      <c r="N964" t="n">
        <v>0</v>
      </c>
      <c r="O964" t="n">
        <v>0</v>
      </c>
      <c r="P964" t="n">
        <v>0</v>
      </c>
      <c r="Q964" t="n">
        <v>0</v>
      </c>
      <c r="R964" s="2" t="inlineStr"/>
    </row>
    <row r="965" ht="15" customHeight="1">
      <c r="A965" t="inlineStr">
        <is>
          <t>A 54317-2024</t>
        </is>
      </c>
      <c r="B965" s="1" t="n">
        <v>45617</v>
      </c>
      <c r="C965" s="1" t="n">
        <v>45709</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54359-2024</t>
        </is>
      </c>
      <c r="B966" s="1" t="n">
        <v>45617</v>
      </c>
      <c r="C966" s="1" t="n">
        <v>45709</v>
      </c>
      <c r="D966" t="inlineStr">
        <is>
          <t>JÄMTLANDS LÄN</t>
        </is>
      </c>
      <c r="E966" t="inlineStr">
        <is>
          <t>ÖSTERSUND</t>
        </is>
      </c>
      <c r="G966" t="n">
        <v>3.2</v>
      </c>
      <c r="H966" t="n">
        <v>0</v>
      </c>
      <c r="I966" t="n">
        <v>0</v>
      </c>
      <c r="J966" t="n">
        <v>0</v>
      </c>
      <c r="K966" t="n">
        <v>0</v>
      </c>
      <c r="L966" t="n">
        <v>0</v>
      </c>
      <c r="M966" t="n">
        <v>0</v>
      </c>
      <c r="N966" t="n">
        <v>0</v>
      </c>
      <c r="O966" t="n">
        <v>0</v>
      </c>
      <c r="P966" t="n">
        <v>0</v>
      </c>
      <c r="Q966" t="n">
        <v>0</v>
      </c>
      <c r="R966" s="2" t="inlineStr"/>
    </row>
    <row r="967" ht="15" customHeight="1">
      <c r="A967" t="inlineStr">
        <is>
          <t>A 54587-2024</t>
        </is>
      </c>
      <c r="B967" s="1" t="n">
        <v>45617</v>
      </c>
      <c r="C967" s="1" t="n">
        <v>45709</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54913-2024</t>
        </is>
      </c>
      <c r="B968" s="1" t="n">
        <v>45618</v>
      </c>
      <c r="C968" s="1" t="n">
        <v>45709</v>
      </c>
      <c r="D968" t="inlineStr">
        <is>
          <t>JÄMTLANDS LÄN</t>
        </is>
      </c>
      <c r="E968" t="inlineStr">
        <is>
          <t>ÖSTERSUND</t>
        </is>
      </c>
      <c r="G968" t="n">
        <v>4.7</v>
      </c>
      <c r="H968" t="n">
        <v>0</v>
      </c>
      <c r="I968" t="n">
        <v>0</v>
      </c>
      <c r="J968" t="n">
        <v>0</v>
      </c>
      <c r="K968" t="n">
        <v>0</v>
      </c>
      <c r="L968" t="n">
        <v>0</v>
      </c>
      <c r="M968" t="n">
        <v>0</v>
      </c>
      <c r="N968" t="n">
        <v>0</v>
      </c>
      <c r="O968" t="n">
        <v>0</v>
      </c>
      <c r="P968" t="n">
        <v>0</v>
      </c>
      <c r="Q968" t="n">
        <v>0</v>
      </c>
      <c r="R968" s="2" t="inlineStr"/>
    </row>
    <row r="969" ht="15" customHeight="1">
      <c r="A969" t="inlineStr">
        <is>
          <t>A 55064-2024</t>
        </is>
      </c>
      <c r="B969" s="1" t="n">
        <v>45621</v>
      </c>
      <c r="C969" s="1" t="n">
        <v>45709</v>
      </c>
      <c r="D969" t="inlineStr">
        <is>
          <t>JÄMTLANDS LÄN</t>
        </is>
      </c>
      <c r="E969" t="inlineStr">
        <is>
          <t>ÖSTERSUND</t>
        </is>
      </c>
      <c r="G969" t="n">
        <v>0.8</v>
      </c>
      <c r="H969" t="n">
        <v>0</v>
      </c>
      <c r="I969" t="n">
        <v>0</v>
      </c>
      <c r="J969" t="n">
        <v>0</v>
      </c>
      <c r="K969" t="n">
        <v>0</v>
      </c>
      <c r="L969" t="n">
        <v>0</v>
      </c>
      <c r="M969" t="n">
        <v>0</v>
      </c>
      <c r="N969" t="n">
        <v>0</v>
      </c>
      <c r="O969" t="n">
        <v>0</v>
      </c>
      <c r="P969" t="n">
        <v>0</v>
      </c>
      <c r="Q969" t="n">
        <v>0</v>
      </c>
      <c r="R969" s="2" t="inlineStr"/>
    </row>
    <row r="970" ht="15" customHeight="1">
      <c r="A970" t="inlineStr">
        <is>
          <t>A 55002-2024</t>
        </is>
      </c>
      <c r="B970" s="1" t="n">
        <v>45621</v>
      </c>
      <c r="C970" s="1" t="n">
        <v>45709</v>
      </c>
      <c r="D970" t="inlineStr">
        <is>
          <t>JÄMTLANDS LÄN</t>
        </is>
      </c>
      <c r="E970" t="inlineStr">
        <is>
          <t>ÖSTERSUND</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55294-2024</t>
        </is>
      </c>
      <c r="B971" s="1" t="n">
        <v>45621</v>
      </c>
      <c r="C971" s="1" t="n">
        <v>45709</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55302-2024</t>
        </is>
      </c>
      <c r="B972" s="1" t="n">
        <v>45621</v>
      </c>
      <c r="C972" s="1" t="n">
        <v>45709</v>
      </c>
      <c r="D972" t="inlineStr">
        <is>
          <t>JÄMTLANDS LÄN</t>
        </is>
      </c>
      <c r="E972" t="inlineStr">
        <is>
          <t>ÖSTERSUND</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55319-2024</t>
        </is>
      </c>
      <c r="B973" s="1" t="n">
        <v>45621</v>
      </c>
      <c r="C973" s="1" t="n">
        <v>45709</v>
      </c>
      <c r="D973" t="inlineStr">
        <is>
          <t>JÄMTLANDS LÄN</t>
        </is>
      </c>
      <c r="E973" t="inlineStr">
        <is>
          <t>ÖSTERSUND</t>
        </is>
      </c>
      <c r="G973" t="n">
        <v>7.1</v>
      </c>
      <c r="H973" t="n">
        <v>0</v>
      </c>
      <c r="I973" t="n">
        <v>0</v>
      </c>
      <c r="J973" t="n">
        <v>0</v>
      </c>
      <c r="K973" t="n">
        <v>0</v>
      </c>
      <c r="L973" t="n">
        <v>0</v>
      </c>
      <c r="M973" t="n">
        <v>0</v>
      </c>
      <c r="N973" t="n">
        <v>0</v>
      </c>
      <c r="O973" t="n">
        <v>0</v>
      </c>
      <c r="P973" t="n">
        <v>0</v>
      </c>
      <c r="Q973" t="n">
        <v>0</v>
      </c>
      <c r="R973" s="2" t="inlineStr"/>
    </row>
    <row r="974" ht="15" customHeight="1">
      <c r="A974" t="inlineStr">
        <is>
          <t>A 55323-2024</t>
        </is>
      </c>
      <c r="B974" s="1" t="n">
        <v>45621</v>
      </c>
      <c r="C974" s="1" t="n">
        <v>45709</v>
      </c>
      <c r="D974" t="inlineStr">
        <is>
          <t>JÄMTLANDS LÄN</t>
        </is>
      </c>
      <c r="E974" t="inlineStr">
        <is>
          <t>ÖSTERSUND</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55061-2024</t>
        </is>
      </c>
      <c r="B975" s="1" t="n">
        <v>45621</v>
      </c>
      <c r="C975" s="1" t="n">
        <v>45709</v>
      </c>
      <c r="D975" t="inlineStr">
        <is>
          <t>JÄMTLANDS LÄN</t>
        </is>
      </c>
      <c r="E975" t="inlineStr">
        <is>
          <t>ÖSTERSUND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55365-2024</t>
        </is>
      </c>
      <c r="B976" s="1" t="n">
        <v>45621</v>
      </c>
      <c r="C976" s="1" t="n">
        <v>45709</v>
      </c>
      <c r="D976" t="inlineStr">
        <is>
          <t>JÄMTLANDS LÄN</t>
        </is>
      </c>
      <c r="E976" t="inlineStr">
        <is>
          <t>ÖSTERSUND</t>
        </is>
      </c>
      <c r="G976" t="n">
        <v>1.6</v>
      </c>
      <c r="H976" t="n">
        <v>0</v>
      </c>
      <c r="I976" t="n">
        <v>0</v>
      </c>
      <c r="J976" t="n">
        <v>0</v>
      </c>
      <c r="K976" t="n">
        <v>0</v>
      </c>
      <c r="L976" t="n">
        <v>0</v>
      </c>
      <c r="M976" t="n">
        <v>0</v>
      </c>
      <c r="N976" t="n">
        <v>0</v>
      </c>
      <c r="O976" t="n">
        <v>0</v>
      </c>
      <c r="P976" t="n">
        <v>0</v>
      </c>
      <c r="Q976" t="n">
        <v>0</v>
      </c>
      <c r="R976" s="2" t="inlineStr"/>
    </row>
    <row r="977" ht="15" customHeight="1">
      <c r="A977" t="inlineStr">
        <is>
          <t>A 55572-2024</t>
        </is>
      </c>
      <c r="B977" s="1" t="n">
        <v>45622</v>
      </c>
      <c r="C977" s="1" t="n">
        <v>45709</v>
      </c>
      <c r="D977" t="inlineStr">
        <is>
          <t>JÄMTLANDS LÄN</t>
        </is>
      </c>
      <c r="E977" t="inlineStr">
        <is>
          <t>ÖSTERSUND</t>
        </is>
      </c>
      <c r="F977" t="inlineStr">
        <is>
          <t>SCA</t>
        </is>
      </c>
      <c r="G977" t="n">
        <v>11.2</v>
      </c>
      <c r="H977" t="n">
        <v>0</v>
      </c>
      <c r="I977" t="n">
        <v>0</v>
      </c>
      <c r="J977" t="n">
        <v>0</v>
      </c>
      <c r="K977" t="n">
        <v>0</v>
      </c>
      <c r="L977" t="n">
        <v>0</v>
      </c>
      <c r="M977" t="n">
        <v>0</v>
      </c>
      <c r="N977" t="n">
        <v>0</v>
      </c>
      <c r="O977" t="n">
        <v>0</v>
      </c>
      <c r="P977" t="n">
        <v>0</v>
      </c>
      <c r="Q977" t="n">
        <v>0</v>
      </c>
      <c r="R977" s="2" t="inlineStr"/>
    </row>
    <row r="978" ht="15" customHeight="1">
      <c r="A978" t="inlineStr">
        <is>
          <t>A 55600-2024</t>
        </is>
      </c>
      <c r="B978" s="1" t="n">
        <v>45622</v>
      </c>
      <c r="C978" s="1" t="n">
        <v>45709</v>
      </c>
      <c r="D978" t="inlineStr">
        <is>
          <t>JÄMTLANDS LÄN</t>
        </is>
      </c>
      <c r="E978" t="inlineStr">
        <is>
          <t>ÖSTERSUND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55700-2024</t>
        </is>
      </c>
      <c r="B979" s="1" t="n">
        <v>45622</v>
      </c>
      <c r="C979" s="1" t="n">
        <v>45709</v>
      </c>
      <c r="D979" t="inlineStr">
        <is>
          <t>JÄMTLANDS LÄN</t>
        </is>
      </c>
      <c r="E979" t="inlineStr">
        <is>
          <t>ÖSTERSUND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56649-2024</t>
        </is>
      </c>
      <c r="B980" s="1" t="n">
        <v>45625</v>
      </c>
      <c r="C980" s="1" t="n">
        <v>45709</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56646-2024</t>
        </is>
      </c>
      <c r="B981" s="1" t="n">
        <v>45625</v>
      </c>
      <c r="C981" s="1" t="n">
        <v>45709</v>
      </c>
      <c r="D981" t="inlineStr">
        <is>
          <t>JÄMTLANDS LÄN</t>
        </is>
      </c>
      <c r="E981" t="inlineStr">
        <is>
          <t>ÖSTERSUND</t>
        </is>
      </c>
      <c r="G981" t="n">
        <v>18.9</v>
      </c>
      <c r="H981" t="n">
        <v>0</v>
      </c>
      <c r="I981" t="n">
        <v>0</v>
      </c>
      <c r="J981" t="n">
        <v>0</v>
      </c>
      <c r="K981" t="n">
        <v>0</v>
      </c>
      <c r="L981" t="n">
        <v>0</v>
      </c>
      <c r="M981" t="n">
        <v>0</v>
      </c>
      <c r="N981" t="n">
        <v>0</v>
      </c>
      <c r="O981" t="n">
        <v>0</v>
      </c>
      <c r="P981" t="n">
        <v>0</v>
      </c>
      <c r="Q981" t="n">
        <v>0</v>
      </c>
      <c r="R981" s="2" t="inlineStr"/>
    </row>
    <row r="982" ht="15" customHeight="1">
      <c r="A982" t="inlineStr">
        <is>
          <t>A 56847-2024</t>
        </is>
      </c>
      <c r="B982" s="1" t="n">
        <v>45628</v>
      </c>
      <c r="C982" s="1" t="n">
        <v>45709</v>
      </c>
      <c r="D982" t="inlineStr">
        <is>
          <t>JÄMTLANDS LÄN</t>
        </is>
      </c>
      <c r="E982" t="inlineStr">
        <is>
          <t>ÖSTERSUND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57702-2024</t>
        </is>
      </c>
      <c r="B983" s="1" t="n">
        <v>45628</v>
      </c>
      <c r="C983" s="1" t="n">
        <v>45709</v>
      </c>
      <c r="D983" t="inlineStr">
        <is>
          <t>JÄMTLANDS LÄN</t>
        </is>
      </c>
      <c r="E983" t="inlineStr">
        <is>
          <t>ÖSTERSUND</t>
        </is>
      </c>
      <c r="G983" t="n">
        <v>2.3</v>
      </c>
      <c r="H983" t="n">
        <v>0</v>
      </c>
      <c r="I983" t="n">
        <v>0</v>
      </c>
      <c r="J983" t="n">
        <v>0</v>
      </c>
      <c r="K983" t="n">
        <v>0</v>
      </c>
      <c r="L983" t="n">
        <v>0</v>
      </c>
      <c r="M983" t="n">
        <v>0</v>
      </c>
      <c r="N983" t="n">
        <v>0</v>
      </c>
      <c r="O983" t="n">
        <v>0</v>
      </c>
      <c r="P983" t="n">
        <v>0</v>
      </c>
      <c r="Q983" t="n">
        <v>0</v>
      </c>
      <c r="R983" s="2" t="inlineStr"/>
    </row>
    <row r="984" ht="15" customHeight="1">
      <c r="A984" t="inlineStr">
        <is>
          <t>A 57397-2024</t>
        </is>
      </c>
      <c r="B984" s="1" t="n">
        <v>45629</v>
      </c>
      <c r="C984" s="1" t="n">
        <v>45709</v>
      </c>
      <c r="D984" t="inlineStr">
        <is>
          <t>JÄMTLANDS LÄN</t>
        </is>
      </c>
      <c r="E984" t="inlineStr">
        <is>
          <t>ÖSTERSUND</t>
        </is>
      </c>
      <c r="G984" t="n">
        <v>3.8</v>
      </c>
      <c r="H984" t="n">
        <v>0</v>
      </c>
      <c r="I984" t="n">
        <v>0</v>
      </c>
      <c r="J984" t="n">
        <v>0</v>
      </c>
      <c r="K984" t="n">
        <v>0</v>
      </c>
      <c r="L984" t="n">
        <v>0</v>
      </c>
      <c r="M984" t="n">
        <v>0</v>
      </c>
      <c r="N984" t="n">
        <v>0</v>
      </c>
      <c r="O984" t="n">
        <v>0</v>
      </c>
      <c r="P984" t="n">
        <v>0</v>
      </c>
      <c r="Q984" t="n">
        <v>0</v>
      </c>
      <c r="R984" s="2" t="inlineStr"/>
    </row>
    <row r="985" ht="15" customHeight="1">
      <c r="A985" t="inlineStr">
        <is>
          <t>A 57589-2024</t>
        </is>
      </c>
      <c r="B985" s="1" t="n">
        <v>45630</v>
      </c>
      <c r="C985" s="1" t="n">
        <v>45709</v>
      </c>
      <c r="D985" t="inlineStr">
        <is>
          <t>JÄMTLANDS LÄN</t>
        </is>
      </c>
      <c r="E985" t="inlineStr">
        <is>
          <t>ÖSTERSUND</t>
        </is>
      </c>
      <c r="G985" t="n">
        <v>1.8</v>
      </c>
      <c r="H985" t="n">
        <v>0</v>
      </c>
      <c r="I985" t="n">
        <v>0</v>
      </c>
      <c r="J985" t="n">
        <v>0</v>
      </c>
      <c r="K985" t="n">
        <v>0</v>
      </c>
      <c r="L985" t="n">
        <v>0</v>
      </c>
      <c r="M985" t="n">
        <v>0</v>
      </c>
      <c r="N985" t="n">
        <v>0</v>
      </c>
      <c r="O985" t="n">
        <v>0</v>
      </c>
      <c r="P985" t="n">
        <v>0</v>
      </c>
      <c r="Q985" t="n">
        <v>0</v>
      </c>
      <c r="R985" s="2" t="inlineStr"/>
    </row>
    <row r="986" ht="15" customHeight="1">
      <c r="A986" t="inlineStr">
        <is>
          <t>A 57706-2024</t>
        </is>
      </c>
      <c r="B986" s="1" t="n">
        <v>45630</v>
      </c>
      <c r="C986" s="1" t="n">
        <v>45709</v>
      </c>
      <c r="D986" t="inlineStr">
        <is>
          <t>JÄMTLANDS LÄN</t>
        </is>
      </c>
      <c r="E986" t="inlineStr">
        <is>
          <t>ÖSTERSUND</t>
        </is>
      </c>
      <c r="G986" t="n">
        <v>13.2</v>
      </c>
      <c r="H986" t="n">
        <v>0</v>
      </c>
      <c r="I986" t="n">
        <v>0</v>
      </c>
      <c r="J986" t="n">
        <v>0</v>
      </c>
      <c r="K986" t="n">
        <v>0</v>
      </c>
      <c r="L986" t="n">
        <v>0</v>
      </c>
      <c r="M986" t="n">
        <v>0</v>
      </c>
      <c r="N986" t="n">
        <v>0</v>
      </c>
      <c r="O986" t="n">
        <v>0</v>
      </c>
      <c r="P986" t="n">
        <v>0</v>
      </c>
      <c r="Q986" t="n">
        <v>0</v>
      </c>
      <c r="R986" s="2" t="inlineStr"/>
    </row>
    <row r="987" ht="15" customHeight="1">
      <c r="A987" t="inlineStr">
        <is>
          <t>A 57556-2024</t>
        </is>
      </c>
      <c r="B987" s="1" t="n">
        <v>45630</v>
      </c>
      <c r="C987" s="1" t="n">
        <v>45709</v>
      </c>
      <c r="D987" t="inlineStr">
        <is>
          <t>JÄMTLANDS LÄN</t>
        </is>
      </c>
      <c r="E987" t="inlineStr">
        <is>
          <t>ÖSTERSUND</t>
        </is>
      </c>
      <c r="G987" t="n">
        <v>5.5</v>
      </c>
      <c r="H987" t="n">
        <v>0</v>
      </c>
      <c r="I987" t="n">
        <v>0</v>
      </c>
      <c r="J987" t="n">
        <v>0</v>
      </c>
      <c r="K987" t="n">
        <v>0</v>
      </c>
      <c r="L987" t="n">
        <v>0</v>
      </c>
      <c r="M987" t="n">
        <v>0</v>
      </c>
      <c r="N987" t="n">
        <v>0</v>
      </c>
      <c r="O987" t="n">
        <v>0</v>
      </c>
      <c r="P987" t="n">
        <v>0</v>
      </c>
      <c r="Q987" t="n">
        <v>0</v>
      </c>
      <c r="R987" s="2" t="inlineStr"/>
    </row>
    <row r="988" ht="15" customHeight="1">
      <c r="A988" t="inlineStr">
        <is>
          <t>A 57547-2024</t>
        </is>
      </c>
      <c r="B988" s="1" t="n">
        <v>45630</v>
      </c>
      <c r="C988" s="1" t="n">
        <v>45709</v>
      </c>
      <c r="D988" t="inlineStr">
        <is>
          <t>JÄMTLANDS LÄN</t>
        </is>
      </c>
      <c r="E988" t="inlineStr">
        <is>
          <t>ÖSTERSUND</t>
        </is>
      </c>
      <c r="G988" t="n">
        <v>16.8</v>
      </c>
      <c r="H988" t="n">
        <v>0</v>
      </c>
      <c r="I988" t="n">
        <v>0</v>
      </c>
      <c r="J988" t="n">
        <v>0</v>
      </c>
      <c r="K988" t="n">
        <v>0</v>
      </c>
      <c r="L988" t="n">
        <v>0</v>
      </c>
      <c r="M988" t="n">
        <v>0</v>
      </c>
      <c r="N988" t="n">
        <v>0</v>
      </c>
      <c r="O988" t="n">
        <v>0</v>
      </c>
      <c r="P988" t="n">
        <v>0</v>
      </c>
      <c r="Q988" t="n">
        <v>0</v>
      </c>
      <c r="R988" s="2" t="inlineStr"/>
    </row>
    <row r="989" ht="15" customHeight="1">
      <c r="A989" t="inlineStr">
        <is>
          <t>A 57917-2024</t>
        </is>
      </c>
      <c r="B989" s="1" t="n">
        <v>45630</v>
      </c>
      <c r="C989" s="1" t="n">
        <v>45709</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58286-2024</t>
        </is>
      </c>
      <c r="B990" s="1" t="n">
        <v>45632</v>
      </c>
      <c r="C990" s="1" t="n">
        <v>45709</v>
      </c>
      <c r="D990" t="inlineStr">
        <is>
          <t>JÄMTLANDS LÄN</t>
        </is>
      </c>
      <c r="E990" t="inlineStr">
        <is>
          <t>ÖSTERSUND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58364-2024</t>
        </is>
      </c>
      <c r="B991" s="1" t="n">
        <v>45632</v>
      </c>
      <c r="C991" s="1" t="n">
        <v>45709</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58407-2024</t>
        </is>
      </c>
      <c r="B992" s="1" t="n">
        <v>45634</v>
      </c>
      <c r="C992" s="1" t="n">
        <v>45709</v>
      </c>
      <c r="D992" t="inlineStr">
        <is>
          <t>JÄMTLANDS LÄN</t>
        </is>
      </c>
      <c r="E992" t="inlineStr">
        <is>
          <t>ÖSTERSUND</t>
        </is>
      </c>
      <c r="G992" t="n">
        <v>2.8</v>
      </c>
      <c r="H992" t="n">
        <v>0</v>
      </c>
      <c r="I992" t="n">
        <v>0</v>
      </c>
      <c r="J992" t="n">
        <v>0</v>
      </c>
      <c r="K992" t="n">
        <v>0</v>
      </c>
      <c r="L992" t="n">
        <v>0</v>
      </c>
      <c r="M992" t="n">
        <v>0</v>
      </c>
      <c r="N992" t="n">
        <v>0</v>
      </c>
      <c r="O992" t="n">
        <v>0</v>
      </c>
      <c r="P992" t="n">
        <v>0</v>
      </c>
      <c r="Q992" t="n">
        <v>0</v>
      </c>
      <c r="R992" s="2" t="inlineStr"/>
    </row>
    <row r="993" ht="15" customHeight="1">
      <c r="A993" t="inlineStr">
        <is>
          <t>A 58406-2024</t>
        </is>
      </c>
      <c r="B993" s="1" t="n">
        <v>45634</v>
      </c>
      <c r="C993" s="1" t="n">
        <v>45709</v>
      </c>
      <c r="D993" t="inlineStr">
        <is>
          <t>JÄMTLANDS LÄN</t>
        </is>
      </c>
      <c r="E993" t="inlineStr">
        <is>
          <t>ÖSTERSUND</t>
        </is>
      </c>
      <c r="G993" t="n">
        <v>3.8</v>
      </c>
      <c r="H993" t="n">
        <v>0</v>
      </c>
      <c r="I993" t="n">
        <v>0</v>
      </c>
      <c r="J993" t="n">
        <v>0</v>
      </c>
      <c r="K993" t="n">
        <v>0</v>
      </c>
      <c r="L993" t="n">
        <v>0</v>
      </c>
      <c r="M993" t="n">
        <v>0</v>
      </c>
      <c r="N993" t="n">
        <v>0</v>
      </c>
      <c r="O993" t="n">
        <v>0</v>
      </c>
      <c r="P993" t="n">
        <v>0</v>
      </c>
      <c r="Q993" t="n">
        <v>0</v>
      </c>
      <c r="R993" s="2" t="inlineStr"/>
    </row>
    <row r="994" ht="15" customHeight="1">
      <c r="A994" t="inlineStr">
        <is>
          <t>A 58952-2024</t>
        </is>
      </c>
      <c r="B994" s="1" t="n">
        <v>45636</v>
      </c>
      <c r="C994" s="1" t="n">
        <v>45709</v>
      </c>
      <c r="D994" t="inlineStr">
        <is>
          <t>JÄMTLANDS LÄN</t>
        </is>
      </c>
      <c r="E994" t="inlineStr">
        <is>
          <t>ÖSTERSUND</t>
        </is>
      </c>
      <c r="G994" t="n">
        <v>3.7</v>
      </c>
      <c r="H994" t="n">
        <v>0</v>
      </c>
      <c r="I994" t="n">
        <v>0</v>
      </c>
      <c r="J994" t="n">
        <v>0</v>
      </c>
      <c r="K994" t="n">
        <v>0</v>
      </c>
      <c r="L994" t="n">
        <v>0</v>
      </c>
      <c r="M994" t="n">
        <v>0</v>
      </c>
      <c r="N994" t="n">
        <v>0</v>
      </c>
      <c r="O994" t="n">
        <v>0</v>
      </c>
      <c r="P994" t="n">
        <v>0</v>
      </c>
      <c r="Q994" t="n">
        <v>0</v>
      </c>
      <c r="R994" s="2" t="inlineStr"/>
    </row>
    <row r="995" ht="15" customHeight="1">
      <c r="A995" t="inlineStr">
        <is>
          <t>A 59107-2024</t>
        </is>
      </c>
      <c r="B995" s="1" t="n">
        <v>45637</v>
      </c>
      <c r="C995" s="1" t="n">
        <v>45709</v>
      </c>
      <c r="D995" t="inlineStr">
        <is>
          <t>JÄMTLANDS LÄN</t>
        </is>
      </c>
      <c r="E995" t="inlineStr">
        <is>
          <t>ÖSTERSUND</t>
        </is>
      </c>
      <c r="F995" t="inlineStr">
        <is>
          <t>SCA</t>
        </is>
      </c>
      <c r="G995" t="n">
        <v>34.8</v>
      </c>
      <c r="H995" t="n">
        <v>0</v>
      </c>
      <c r="I995" t="n">
        <v>0</v>
      </c>
      <c r="J995" t="n">
        <v>0</v>
      </c>
      <c r="K995" t="n">
        <v>0</v>
      </c>
      <c r="L995" t="n">
        <v>0</v>
      </c>
      <c r="M995" t="n">
        <v>0</v>
      </c>
      <c r="N995" t="n">
        <v>0</v>
      </c>
      <c r="O995" t="n">
        <v>0</v>
      </c>
      <c r="P995" t="n">
        <v>0</v>
      </c>
      <c r="Q995" t="n">
        <v>0</v>
      </c>
      <c r="R995" s="2" t="inlineStr"/>
    </row>
    <row r="996" ht="15" customHeight="1">
      <c r="A996" t="inlineStr">
        <is>
          <t>A 59487-2024</t>
        </is>
      </c>
      <c r="B996" s="1" t="n">
        <v>45638</v>
      </c>
      <c r="C996" s="1" t="n">
        <v>45709</v>
      </c>
      <c r="D996" t="inlineStr">
        <is>
          <t>JÄMTLANDS LÄN</t>
        </is>
      </c>
      <c r="E996" t="inlineStr">
        <is>
          <t>ÖSTERSUND</t>
        </is>
      </c>
      <c r="G996" t="n">
        <v>2.1</v>
      </c>
      <c r="H996" t="n">
        <v>0</v>
      </c>
      <c r="I996" t="n">
        <v>0</v>
      </c>
      <c r="J996" t="n">
        <v>0</v>
      </c>
      <c r="K996" t="n">
        <v>0</v>
      </c>
      <c r="L996" t="n">
        <v>0</v>
      </c>
      <c r="M996" t="n">
        <v>0</v>
      </c>
      <c r="N996" t="n">
        <v>0</v>
      </c>
      <c r="O996" t="n">
        <v>0</v>
      </c>
      <c r="P996" t="n">
        <v>0</v>
      </c>
      <c r="Q996" t="n">
        <v>0</v>
      </c>
      <c r="R996" s="2" t="inlineStr"/>
    </row>
    <row r="997" ht="15" customHeight="1">
      <c r="A997" t="inlineStr">
        <is>
          <t>A 59574-2024</t>
        </is>
      </c>
      <c r="B997" s="1" t="n">
        <v>45638</v>
      </c>
      <c r="C997" s="1" t="n">
        <v>45709</v>
      </c>
      <c r="D997" t="inlineStr">
        <is>
          <t>JÄMTLANDS LÄN</t>
        </is>
      </c>
      <c r="E997" t="inlineStr">
        <is>
          <t>ÖSTERSUND</t>
        </is>
      </c>
      <c r="G997" t="n">
        <v>6.2</v>
      </c>
      <c r="H997" t="n">
        <v>0</v>
      </c>
      <c r="I997" t="n">
        <v>0</v>
      </c>
      <c r="J997" t="n">
        <v>0</v>
      </c>
      <c r="K997" t="n">
        <v>0</v>
      </c>
      <c r="L997" t="n">
        <v>0</v>
      </c>
      <c r="M997" t="n">
        <v>0</v>
      </c>
      <c r="N997" t="n">
        <v>0</v>
      </c>
      <c r="O997" t="n">
        <v>0</v>
      </c>
      <c r="P997" t="n">
        <v>0</v>
      </c>
      <c r="Q997" t="n">
        <v>0</v>
      </c>
      <c r="R997" s="2" t="inlineStr"/>
    </row>
    <row r="998" ht="15" customHeight="1">
      <c r="A998" t="inlineStr">
        <is>
          <t>A 59691-2024</t>
        </is>
      </c>
      <c r="B998" s="1" t="n">
        <v>45639</v>
      </c>
      <c r="C998" s="1" t="n">
        <v>45709</v>
      </c>
      <c r="D998" t="inlineStr">
        <is>
          <t>JÄMTLANDS LÄN</t>
        </is>
      </c>
      <c r="E998" t="inlineStr">
        <is>
          <t>ÖSTERSUND</t>
        </is>
      </c>
      <c r="F998" t="inlineStr">
        <is>
          <t>SCA</t>
        </is>
      </c>
      <c r="G998" t="n">
        <v>15.9</v>
      </c>
      <c r="H998" t="n">
        <v>0</v>
      </c>
      <c r="I998" t="n">
        <v>0</v>
      </c>
      <c r="J998" t="n">
        <v>0</v>
      </c>
      <c r="K998" t="n">
        <v>0</v>
      </c>
      <c r="L998" t="n">
        <v>0</v>
      </c>
      <c r="M998" t="n">
        <v>0</v>
      </c>
      <c r="N998" t="n">
        <v>0</v>
      </c>
      <c r="O998" t="n">
        <v>0</v>
      </c>
      <c r="P998" t="n">
        <v>0</v>
      </c>
      <c r="Q998" t="n">
        <v>0</v>
      </c>
      <c r="R998" s="2" t="inlineStr"/>
    </row>
    <row r="999" ht="15" customHeight="1">
      <c r="A999" t="inlineStr">
        <is>
          <t>A 60499-2024</t>
        </is>
      </c>
      <c r="B999" s="1" t="n">
        <v>45642</v>
      </c>
      <c r="C999" s="1" t="n">
        <v>45709</v>
      </c>
      <c r="D999" t="inlineStr">
        <is>
          <t>JÄMTLANDS LÄN</t>
        </is>
      </c>
      <c r="E999" t="inlineStr">
        <is>
          <t>ÖSTERSUND</t>
        </is>
      </c>
      <c r="G999" t="n">
        <v>1.2</v>
      </c>
      <c r="H999" t="n">
        <v>0</v>
      </c>
      <c r="I999" t="n">
        <v>0</v>
      </c>
      <c r="J999" t="n">
        <v>0</v>
      </c>
      <c r="K999" t="n">
        <v>0</v>
      </c>
      <c r="L999" t="n">
        <v>0</v>
      </c>
      <c r="M999" t="n">
        <v>0</v>
      </c>
      <c r="N999" t="n">
        <v>0</v>
      </c>
      <c r="O999" t="n">
        <v>0</v>
      </c>
      <c r="P999" t="n">
        <v>0</v>
      </c>
      <c r="Q999" t="n">
        <v>0</v>
      </c>
      <c r="R999" s="2" t="inlineStr"/>
    </row>
    <row r="1000" ht="15" customHeight="1">
      <c r="A1000" t="inlineStr">
        <is>
          <t>A 60088-2024</t>
        </is>
      </c>
      <c r="B1000" s="1" t="n">
        <v>45642</v>
      </c>
      <c r="C1000" s="1" t="n">
        <v>45709</v>
      </c>
      <c r="D1000" t="inlineStr">
        <is>
          <t>JÄMTLANDS LÄN</t>
        </is>
      </c>
      <c r="E1000" t="inlineStr">
        <is>
          <t>ÖSTERSUND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60349-2024</t>
        </is>
      </c>
      <c r="B1001" s="1" t="n">
        <v>45643</v>
      </c>
      <c r="C1001" s="1" t="n">
        <v>45709</v>
      </c>
      <c r="D1001" t="inlineStr">
        <is>
          <t>JÄMTLANDS LÄN</t>
        </is>
      </c>
      <c r="E1001" t="inlineStr">
        <is>
          <t>ÖSTERSUND</t>
        </is>
      </c>
      <c r="F1001" t="inlineStr">
        <is>
          <t>Sveaskog</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60836-2024</t>
        </is>
      </c>
      <c r="B1002" s="1" t="n">
        <v>45644</v>
      </c>
      <c r="C1002" s="1" t="n">
        <v>45709</v>
      </c>
      <c r="D1002" t="inlineStr">
        <is>
          <t>JÄMTLANDS LÄN</t>
        </is>
      </c>
      <c r="E1002" t="inlineStr">
        <is>
          <t>ÖSTERSUND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61002-2024</t>
        </is>
      </c>
      <c r="B1003" s="1" t="n">
        <v>45645</v>
      </c>
      <c r="C1003" s="1" t="n">
        <v>45709</v>
      </c>
      <c r="D1003" t="inlineStr">
        <is>
          <t>JÄMTLANDS LÄN</t>
        </is>
      </c>
      <c r="E1003" t="inlineStr">
        <is>
          <t>ÖSTERSUND</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61040-2024</t>
        </is>
      </c>
      <c r="B1004" s="1" t="n">
        <v>45645</v>
      </c>
      <c r="C1004" s="1" t="n">
        <v>45709</v>
      </c>
      <c r="D1004" t="inlineStr">
        <is>
          <t>JÄMTLANDS LÄN</t>
        </is>
      </c>
      <c r="E1004" t="inlineStr">
        <is>
          <t>ÖSTERSUND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61332-2024</t>
        </is>
      </c>
      <c r="B1005" s="1" t="n">
        <v>45646</v>
      </c>
      <c r="C1005" s="1" t="n">
        <v>45709</v>
      </c>
      <c r="D1005" t="inlineStr">
        <is>
          <t>JÄMTLANDS LÄN</t>
        </is>
      </c>
      <c r="E1005" t="inlineStr">
        <is>
          <t>ÖSTERSUND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61349-2024</t>
        </is>
      </c>
      <c r="B1006" s="1" t="n">
        <v>45646</v>
      </c>
      <c r="C1006" s="1" t="n">
        <v>45709</v>
      </c>
      <c r="D1006" t="inlineStr">
        <is>
          <t>JÄMTLANDS LÄN</t>
        </is>
      </c>
      <c r="E1006" t="inlineStr">
        <is>
          <t>ÖSTERSUND</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61451-2024</t>
        </is>
      </c>
      <c r="B1007" s="1" t="n">
        <v>45646</v>
      </c>
      <c r="C1007" s="1" t="n">
        <v>45709</v>
      </c>
      <c r="D1007" t="inlineStr">
        <is>
          <t>JÄMTLANDS LÄN</t>
        </is>
      </c>
      <c r="E1007" t="inlineStr">
        <is>
          <t>ÖSTERSUND</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61449-2024</t>
        </is>
      </c>
      <c r="B1008" s="1" t="n">
        <v>45646</v>
      </c>
      <c r="C1008" s="1" t="n">
        <v>45709</v>
      </c>
      <c r="D1008" t="inlineStr">
        <is>
          <t>JÄMTLANDS LÄN</t>
        </is>
      </c>
      <c r="E1008" t="inlineStr">
        <is>
          <t>ÖSTERSUND</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61376-2024</t>
        </is>
      </c>
      <c r="B1009" s="1" t="n">
        <v>45646</v>
      </c>
      <c r="C1009" s="1" t="n">
        <v>45709</v>
      </c>
      <c r="D1009" t="inlineStr">
        <is>
          <t>JÄMTLANDS LÄN</t>
        </is>
      </c>
      <c r="E1009" t="inlineStr">
        <is>
          <t>ÖSTERSUND</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61450-2024</t>
        </is>
      </c>
      <c r="B1010" s="1" t="n">
        <v>45646</v>
      </c>
      <c r="C1010" s="1" t="n">
        <v>45709</v>
      </c>
      <c r="D1010" t="inlineStr">
        <is>
          <t>JÄMTLANDS LÄN</t>
        </is>
      </c>
      <c r="E1010" t="inlineStr">
        <is>
          <t>ÖSTERSUND</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62111-2024</t>
        </is>
      </c>
      <c r="B1011" s="1" t="n">
        <v>45656</v>
      </c>
      <c r="C1011" s="1" t="n">
        <v>45709</v>
      </c>
      <c r="D1011" t="inlineStr">
        <is>
          <t>JÄMTLANDS LÄN</t>
        </is>
      </c>
      <c r="E1011" t="inlineStr">
        <is>
          <t>ÖSTERSUND</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79-2025</t>
        </is>
      </c>
      <c r="B1012" s="1" t="n">
        <v>45659</v>
      </c>
      <c r="C1012" s="1" t="n">
        <v>45709</v>
      </c>
      <c r="D1012" t="inlineStr">
        <is>
          <t>JÄMTLANDS LÄN</t>
        </is>
      </c>
      <c r="E1012" t="inlineStr">
        <is>
          <t>ÖSTERSUND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207-2025</t>
        </is>
      </c>
      <c r="B1013" s="1" t="n">
        <v>45660</v>
      </c>
      <c r="C1013" s="1" t="n">
        <v>45709</v>
      </c>
      <c r="D1013" t="inlineStr">
        <is>
          <t>JÄMTLANDS LÄN</t>
        </is>
      </c>
      <c r="E1013" t="inlineStr">
        <is>
          <t>ÖSTERSUND</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582-2025</t>
        </is>
      </c>
      <c r="B1014" s="1" t="n">
        <v>45664</v>
      </c>
      <c r="C1014" s="1" t="n">
        <v>45709</v>
      </c>
      <c r="D1014" t="inlineStr">
        <is>
          <t>JÄMTLANDS LÄN</t>
        </is>
      </c>
      <c r="E1014" t="inlineStr">
        <is>
          <t>ÖSTERSUND</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1179-2025</t>
        </is>
      </c>
      <c r="B1015" s="1" t="n">
        <v>45667</v>
      </c>
      <c r="C1015" s="1" t="n">
        <v>45709</v>
      </c>
      <c r="D1015" t="inlineStr">
        <is>
          <t>JÄMTLANDS LÄN</t>
        </is>
      </c>
      <c r="E1015" t="inlineStr">
        <is>
          <t>ÖSTERSUND</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1211-2025</t>
        </is>
      </c>
      <c r="B1016" s="1" t="n">
        <v>45667</v>
      </c>
      <c r="C1016" s="1" t="n">
        <v>45709</v>
      </c>
      <c r="D1016" t="inlineStr">
        <is>
          <t>JÄMTLANDS LÄN</t>
        </is>
      </c>
      <c r="E1016" t="inlineStr">
        <is>
          <t>ÖSTERSUND</t>
        </is>
      </c>
      <c r="F1016" t="inlineStr">
        <is>
          <t>SCA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1255-2025</t>
        </is>
      </c>
      <c r="B1017" s="1" t="n">
        <v>45667</v>
      </c>
      <c r="C1017" s="1" t="n">
        <v>45709</v>
      </c>
      <c r="D1017" t="inlineStr">
        <is>
          <t>JÄMTLANDS LÄN</t>
        </is>
      </c>
      <c r="E1017" t="inlineStr">
        <is>
          <t>ÖSTERSUND</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1762-2025</t>
        </is>
      </c>
      <c r="B1018" s="1" t="n">
        <v>45671</v>
      </c>
      <c r="C1018" s="1" t="n">
        <v>45709</v>
      </c>
      <c r="D1018" t="inlineStr">
        <is>
          <t>JÄMTLANDS LÄN</t>
        </is>
      </c>
      <c r="E1018" t="inlineStr">
        <is>
          <t>ÖSTERSUND</t>
        </is>
      </c>
      <c r="F1018" t="inlineStr">
        <is>
          <t>SCA</t>
        </is>
      </c>
      <c r="G1018" t="n">
        <v>51.9</v>
      </c>
      <c r="H1018" t="n">
        <v>0</v>
      </c>
      <c r="I1018" t="n">
        <v>0</v>
      </c>
      <c r="J1018" t="n">
        <v>0</v>
      </c>
      <c r="K1018" t="n">
        <v>0</v>
      </c>
      <c r="L1018" t="n">
        <v>0</v>
      </c>
      <c r="M1018" t="n">
        <v>0</v>
      </c>
      <c r="N1018" t="n">
        <v>0</v>
      </c>
      <c r="O1018" t="n">
        <v>0</v>
      </c>
      <c r="P1018" t="n">
        <v>0</v>
      </c>
      <c r="Q1018" t="n">
        <v>0</v>
      </c>
      <c r="R1018" s="2" t="inlineStr"/>
    </row>
    <row r="1019" ht="15" customHeight="1">
      <c r="A1019" t="inlineStr">
        <is>
          <t>A 2513-2025</t>
        </is>
      </c>
      <c r="B1019" s="1" t="n">
        <v>45674</v>
      </c>
      <c r="C1019" s="1" t="n">
        <v>45709</v>
      </c>
      <c r="D1019" t="inlineStr">
        <is>
          <t>JÄMTLANDS LÄN</t>
        </is>
      </c>
      <c r="E1019" t="inlineStr">
        <is>
          <t>ÖSTERSUND</t>
        </is>
      </c>
      <c r="G1019" t="n">
        <v>30</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45709</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45709</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45709</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2706-2025</t>
        </is>
      </c>
      <c r="B1023" s="1" t="n">
        <v>45677</v>
      </c>
      <c r="C1023" s="1" t="n">
        <v>45709</v>
      </c>
      <c r="D1023" t="inlineStr">
        <is>
          <t>JÄMTLANDS LÄN</t>
        </is>
      </c>
      <c r="E1023" t="inlineStr">
        <is>
          <t>ÖSTERSUND</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45709</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3053-2025</t>
        </is>
      </c>
      <c r="B1025" s="1" t="n">
        <v>45678</v>
      </c>
      <c r="C1025" s="1" t="n">
        <v>45709</v>
      </c>
      <c r="D1025" t="inlineStr">
        <is>
          <t>JÄMTLANDS LÄN</t>
        </is>
      </c>
      <c r="E1025" t="inlineStr">
        <is>
          <t>ÖSTERSUND</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3255-2025</t>
        </is>
      </c>
      <c r="B1026" s="1" t="n">
        <v>45679</v>
      </c>
      <c r="C1026" s="1" t="n">
        <v>45709</v>
      </c>
      <c r="D1026" t="inlineStr">
        <is>
          <t>JÄMTLANDS LÄN</t>
        </is>
      </c>
      <c r="E1026" t="inlineStr">
        <is>
          <t>ÖSTERSUND</t>
        </is>
      </c>
      <c r="F1026" t="inlineStr">
        <is>
          <t>SCA</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45709</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3265-2025</t>
        </is>
      </c>
      <c r="B1028" s="1" t="n">
        <v>45679</v>
      </c>
      <c r="C1028" s="1" t="n">
        <v>45709</v>
      </c>
      <c r="D1028" t="inlineStr">
        <is>
          <t>JÄMTLANDS LÄN</t>
        </is>
      </c>
      <c r="E1028" t="inlineStr">
        <is>
          <t>ÖSTERSUND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3615-2025</t>
        </is>
      </c>
      <c r="B1029" s="1" t="n">
        <v>45681</v>
      </c>
      <c r="C1029" s="1" t="n">
        <v>45709</v>
      </c>
      <c r="D1029" t="inlineStr">
        <is>
          <t>JÄMTLANDS LÄN</t>
        </is>
      </c>
      <c r="E1029" t="inlineStr">
        <is>
          <t>ÖSTERSUND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45709</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3664-2025</t>
        </is>
      </c>
      <c r="B1031" s="1" t="n">
        <v>45681</v>
      </c>
      <c r="C1031" s="1" t="n">
        <v>45709</v>
      </c>
      <c r="D1031" t="inlineStr">
        <is>
          <t>JÄMTLANDS LÄN</t>
        </is>
      </c>
      <c r="E1031" t="inlineStr">
        <is>
          <t>ÖSTERSUND</t>
        </is>
      </c>
      <c r="F1031" t="inlineStr">
        <is>
          <t>SCA</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45709</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3985-2025</t>
        </is>
      </c>
      <c r="B1033" s="1" t="n">
        <v>45684</v>
      </c>
      <c r="C1033" s="1" t="n">
        <v>45709</v>
      </c>
      <c r="D1033" t="inlineStr">
        <is>
          <t>JÄMTLANDS LÄN</t>
        </is>
      </c>
      <c r="E1033" t="inlineStr">
        <is>
          <t>ÖSTERSUND</t>
        </is>
      </c>
      <c r="F1033" t="inlineStr">
        <is>
          <t>SCA</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45709</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3914-2025</t>
        </is>
      </c>
      <c r="B1035" s="1" t="n">
        <v>45684</v>
      </c>
      <c r="C1035" s="1" t="n">
        <v>45709</v>
      </c>
      <c r="D1035" t="inlineStr">
        <is>
          <t>JÄMTLANDS LÄN</t>
        </is>
      </c>
      <c r="E1035" t="inlineStr">
        <is>
          <t>ÖSTERSUND</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4143-2025</t>
        </is>
      </c>
      <c r="B1036" s="1" t="n">
        <v>45685</v>
      </c>
      <c r="C1036" s="1" t="n">
        <v>45709</v>
      </c>
      <c r="D1036" t="inlineStr">
        <is>
          <t>JÄMTLANDS LÄN</t>
        </is>
      </c>
      <c r="E1036" t="inlineStr">
        <is>
          <t>ÖSTERSUND</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4311-2025</t>
        </is>
      </c>
      <c r="B1037" s="1" t="n">
        <v>45685</v>
      </c>
      <c r="C1037" s="1" t="n">
        <v>45709</v>
      </c>
      <c r="D1037" t="inlineStr">
        <is>
          <t>JÄMTLANDS LÄN</t>
        </is>
      </c>
      <c r="E1037" t="inlineStr">
        <is>
          <t>ÖSTERSUND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4384-2025</t>
        </is>
      </c>
      <c r="B1038" s="1" t="n">
        <v>45686</v>
      </c>
      <c r="C1038" s="1" t="n">
        <v>45709</v>
      </c>
      <c r="D1038" t="inlineStr">
        <is>
          <t>JÄMTLANDS LÄN</t>
        </is>
      </c>
      <c r="E1038" t="inlineStr">
        <is>
          <t>ÖSTERSUND</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4491-2025</t>
        </is>
      </c>
      <c r="B1039" s="1" t="n">
        <v>45686</v>
      </c>
      <c r="C1039" s="1" t="n">
        <v>45709</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4523-2025</t>
        </is>
      </c>
      <c r="B1040" s="1" t="n">
        <v>45686</v>
      </c>
      <c r="C1040" s="1" t="n">
        <v>45709</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4480-2025</t>
        </is>
      </c>
      <c r="B1041" s="1" t="n">
        <v>45686</v>
      </c>
      <c r="C1041" s="1" t="n">
        <v>45709</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45709</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45709</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4521-2025</t>
        </is>
      </c>
      <c r="B1044" s="1" t="n">
        <v>45686</v>
      </c>
      <c r="C1044" s="1" t="n">
        <v>45709</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45709</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4864-2025</t>
        </is>
      </c>
      <c r="B1046" s="1" t="n">
        <v>45688</v>
      </c>
      <c r="C1046" s="1" t="n">
        <v>45709</v>
      </c>
      <c r="D1046" t="inlineStr">
        <is>
          <t>JÄMTLANDS LÄN</t>
        </is>
      </c>
      <c r="E1046" t="inlineStr">
        <is>
          <t>ÖSTERSUND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45709</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45709</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4901-2025</t>
        </is>
      </c>
      <c r="B1049" s="1" t="n">
        <v>45688</v>
      </c>
      <c r="C1049" s="1" t="n">
        <v>45709</v>
      </c>
      <c r="D1049" t="inlineStr">
        <is>
          <t>JÄMTLANDS LÄN</t>
        </is>
      </c>
      <c r="E1049" t="inlineStr">
        <is>
          <t>ÖSTERSUND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45709</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4967-2025</t>
        </is>
      </c>
      <c r="B1051" s="1" t="n">
        <v>45690</v>
      </c>
      <c r="C1051" s="1" t="n">
        <v>45709</v>
      </c>
      <c r="D1051" t="inlineStr">
        <is>
          <t>JÄMTLANDS LÄN</t>
        </is>
      </c>
      <c r="E1051" t="inlineStr">
        <is>
          <t>ÖSTERSUND</t>
        </is>
      </c>
      <c r="G1051" t="n">
        <v>26.9</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45709</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45709</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45709</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45709</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5025-2025</t>
        </is>
      </c>
      <c r="B1056" s="1" t="n">
        <v>45691</v>
      </c>
      <c r="C1056" s="1" t="n">
        <v>45709</v>
      </c>
      <c r="D1056" t="inlineStr">
        <is>
          <t>JÄMTLANDS LÄN</t>
        </is>
      </c>
      <c r="E1056" t="inlineStr">
        <is>
          <t>ÖSTERSUND</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45709</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45709</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45709</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45709</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5549-2025</t>
        </is>
      </c>
      <c r="B1061" s="1" t="n">
        <v>45693</v>
      </c>
      <c r="C1061" s="1" t="n">
        <v>45709</v>
      </c>
      <c r="D1061" t="inlineStr">
        <is>
          <t>JÄMTLANDS LÄN</t>
        </is>
      </c>
      <c r="E1061" t="inlineStr">
        <is>
          <t>ÖSTERSUND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5553-2025</t>
        </is>
      </c>
      <c r="B1062" s="1" t="n">
        <v>45693</v>
      </c>
      <c r="C1062" s="1" t="n">
        <v>45709</v>
      </c>
      <c r="D1062" t="inlineStr">
        <is>
          <t>JÄMTLANDS LÄN</t>
        </is>
      </c>
      <c r="E1062" t="inlineStr">
        <is>
          <t>ÖSTERSUND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45709</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45709</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45709</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45709</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7289-2025</t>
        </is>
      </c>
      <c r="B1067" s="1" t="n">
        <v>45702</v>
      </c>
      <c r="C1067" s="1" t="n">
        <v>45709</v>
      </c>
      <c r="D1067" t="inlineStr">
        <is>
          <t>JÄMTLANDS LÄN</t>
        </is>
      </c>
      <c r="E1067" t="inlineStr">
        <is>
          <t>ÖSTERSUND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7233-2025</t>
        </is>
      </c>
      <c r="B1068" s="1" t="n">
        <v>45702</v>
      </c>
      <c r="C1068" s="1" t="n">
        <v>45709</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45709</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45709</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7911-2025</t>
        </is>
      </c>
      <c r="B1071" s="1" t="n">
        <v>45707</v>
      </c>
      <c r="C1071" s="1" t="n">
        <v>45709</v>
      </c>
      <c r="D1071" t="inlineStr">
        <is>
          <t>JÄMTLANDS LÄN</t>
        </is>
      </c>
      <c r="E1071" t="inlineStr">
        <is>
          <t>ÖSTERSUND</t>
        </is>
      </c>
      <c r="F1071" t="inlineStr">
        <is>
          <t>SCA</t>
        </is>
      </c>
      <c r="G1071" t="n">
        <v>17.9</v>
      </c>
      <c r="H1071" t="n">
        <v>0</v>
      </c>
      <c r="I1071" t="n">
        <v>0</v>
      </c>
      <c r="J1071" t="n">
        <v>0</v>
      </c>
      <c r="K1071" t="n">
        <v>0</v>
      </c>
      <c r="L1071" t="n">
        <v>0</v>
      </c>
      <c r="M1071" t="n">
        <v>0</v>
      </c>
      <c r="N1071" t="n">
        <v>0</v>
      </c>
      <c r="O1071" t="n">
        <v>0</v>
      </c>
      <c r="P1071" t="n">
        <v>0</v>
      </c>
      <c r="Q1071" t="n">
        <v>0</v>
      </c>
      <c r="R1071" s="2" t="inlineStr"/>
    </row>
    <row r="1072" ht="15" customHeight="1">
      <c r="A1072" t="inlineStr">
        <is>
          <t>A 7936-2025</t>
        </is>
      </c>
      <c r="B1072" s="1" t="n">
        <v>45707</v>
      </c>
      <c r="C1072" s="1" t="n">
        <v>45709</v>
      </c>
      <c r="D1072" t="inlineStr">
        <is>
          <t>JÄMTLANDS LÄN</t>
        </is>
      </c>
      <c r="E1072" t="inlineStr">
        <is>
          <t>ÖSTERSUND</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45709</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7941-2025</t>
        </is>
      </c>
      <c r="B1074" s="1" t="n">
        <v>45707</v>
      </c>
      <c r="C1074" s="1" t="n">
        <v>45709</v>
      </c>
      <c r="D1074" t="inlineStr">
        <is>
          <t>JÄMTLANDS LÄN</t>
        </is>
      </c>
      <c r="E1074" t="inlineStr">
        <is>
          <t>ÖSTERSUND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7949-2025</t>
        </is>
      </c>
      <c r="B1075" s="1" t="n">
        <v>45707</v>
      </c>
      <c r="C1075" s="1" t="n">
        <v>45709</v>
      </c>
      <c r="D1075" t="inlineStr">
        <is>
          <t>JÄMTLANDS LÄN</t>
        </is>
      </c>
      <c r="E1075" t="inlineStr">
        <is>
          <t>ÖSTERSUND</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7953-2025</t>
        </is>
      </c>
      <c r="B1076" s="1" t="n">
        <v>45707</v>
      </c>
      <c r="C1076" s="1" t="n">
        <v>45709</v>
      </c>
      <c r="D1076" t="inlineStr">
        <is>
          <t>JÄMTLANDS LÄN</t>
        </is>
      </c>
      <c r="E1076" t="inlineStr">
        <is>
          <t>ÖSTERSUND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7956-2025</t>
        </is>
      </c>
      <c r="B1077" s="1" t="n">
        <v>45707</v>
      </c>
      <c r="C1077" s="1" t="n">
        <v>45709</v>
      </c>
      <c r="D1077" t="inlineStr">
        <is>
          <t>JÄMTLANDS LÄN</t>
        </is>
      </c>
      <c r="E1077" t="inlineStr">
        <is>
          <t>ÖSTERSUND</t>
        </is>
      </c>
      <c r="F1077" t="inlineStr">
        <is>
          <t>Övriga Aktiebolag</t>
        </is>
      </c>
      <c r="G1077" t="n">
        <v>111.2</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45709</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45709</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8028-2025</t>
        </is>
      </c>
      <c r="B1080" s="1" t="n">
        <v>45707</v>
      </c>
      <c r="C1080" s="1" t="n">
        <v>45709</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8261-2025</t>
        </is>
      </c>
      <c r="B1081" s="1" t="n">
        <v>45708</v>
      </c>
      <c r="C1081" s="1" t="n">
        <v>45709</v>
      </c>
      <c r="D1081" t="inlineStr">
        <is>
          <t>JÄMTLANDS LÄN</t>
        </is>
      </c>
      <c r="E1081" t="inlineStr">
        <is>
          <t>ÖSTERSUND</t>
        </is>
      </c>
      <c r="G1081" t="n">
        <v>5.4</v>
      </c>
      <c r="H1081" t="n">
        <v>0</v>
      </c>
      <c r="I1081" t="n">
        <v>0</v>
      </c>
      <c r="J1081" t="n">
        <v>0</v>
      </c>
      <c r="K1081" t="n">
        <v>0</v>
      </c>
      <c r="L1081" t="n">
        <v>0</v>
      </c>
      <c r="M1081" t="n">
        <v>0</v>
      </c>
      <c r="N1081" t="n">
        <v>0</v>
      </c>
      <c r="O1081" t="n">
        <v>0</v>
      </c>
      <c r="P1081" t="n">
        <v>0</v>
      </c>
      <c r="Q1081" t="n">
        <v>0</v>
      </c>
      <c r="R1081" s="2" t="inlineStr"/>
    </row>
    <row r="1082">
      <c r="A1082" t="inlineStr">
        <is>
          <t>A 8216-2025</t>
        </is>
      </c>
      <c r="B1082" s="1" t="n">
        <v>45708</v>
      </c>
      <c r="C1082" s="1" t="n">
        <v>45709</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2025-02-21T17:06:23Z</dcterms:created>
  <dcterms:modified xmlns:dcterms="http://purl.org/dc/terms/" xmlns:xsi="http://www.w3.org/2001/XMLSchema-instance" xsi:type="dcterms:W3CDTF">2025-02-21T17:06:24Z</dcterms:modified>
</cp:coreProperties>
</file>