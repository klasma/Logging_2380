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45807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45807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45807</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45807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45807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45807</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45807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45807</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45807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45807</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45807</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45807</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45807</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45807</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45807</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45807</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45807</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45807</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45807</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45807</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45807</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45807</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45807</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45807</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45807</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45807</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45807</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45807</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45807</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45807</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45807</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45807</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45807</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45807</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45807</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45807</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45807</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45807</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45807</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45807</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45807</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45807</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45807</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45807</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45807</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45807</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45807</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45807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45807</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45807</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45807</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45807</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45807</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45807</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45807</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45807</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45807</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45807</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45807</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45807</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45807</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45807</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45807</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45807</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45807</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45807</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45807</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45807</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45807</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45807</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45807</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45807</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45807</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45807</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45807</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45807</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45807</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45807</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45807</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45807</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45807</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45807</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45807</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45807</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45807</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45807</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45807</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45807</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45807</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45807</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45807</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45807</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45807</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45807</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45807</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45807</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45807</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45807</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45807</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45807</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45807</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45807</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45807</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45807</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45807</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45807</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45807</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45807</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45807</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45807</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45807</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45807</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45807</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45807</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45807</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45807</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45807</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45807</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45807</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45807</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45807</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45807</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45807</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45807</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45807</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45807</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45807</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45807</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45807</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45807</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45807</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45807</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45807</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45807</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45807</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45807</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45807</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45807</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45807</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45807</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45807</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45807</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45807</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29058-2019</t>
        </is>
      </c>
      <c r="B146" s="1" t="n">
        <v>43621</v>
      </c>
      <c r="C146" s="1" t="n">
        <v>45807</v>
      </c>
      <c r="D146" t="inlineStr">
        <is>
          <t>JÄMTLANDS LÄN</t>
        </is>
      </c>
      <c r="E146" t="inlineStr">
        <is>
          <t>ÖSTERSUND</t>
        </is>
      </c>
      <c r="G146" t="n">
        <v>1.4</v>
      </c>
      <c r="H146" t="n">
        <v>1</v>
      </c>
      <c r="I146" t="n">
        <v>0</v>
      </c>
      <c r="J146" t="n">
        <v>1</v>
      </c>
      <c r="K146" t="n">
        <v>0</v>
      </c>
      <c r="L146" t="n">
        <v>0</v>
      </c>
      <c r="M146" t="n">
        <v>0</v>
      </c>
      <c r="N146" t="n">
        <v>0</v>
      </c>
      <c r="O146" t="n">
        <v>1</v>
      </c>
      <c r="P146" t="n">
        <v>0</v>
      </c>
      <c r="Q146" t="n">
        <v>1</v>
      </c>
      <c r="R146" s="2" t="inlineStr">
        <is>
          <t>Nordfladdermus</t>
        </is>
      </c>
      <c r="S146">
        <f>HYPERLINK("https://klasma.github.io/Logging_2380/artfynd/A 29058-2019 artfynd.xlsx", "A 29058-2019")</f>
        <v/>
      </c>
      <c r="T146">
        <f>HYPERLINK("https://klasma.github.io/Logging_2380/kartor/A 29058-2019 karta.png", "A 29058-2019")</f>
        <v/>
      </c>
      <c r="V146">
        <f>HYPERLINK("https://klasma.github.io/Logging_2380/klagomål/A 29058-2019 FSC-klagomål.docx", "A 29058-2019")</f>
        <v/>
      </c>
      <c r="W146">
        <f>HYPERLINK("https://klasma.github.io/Logging_2380/klagomålsmail/A 29058-2019 FSC-klagomål mail.docx", "A 29058-2019")</f>
        <v/>
      </c>
      <c r="X146">
        <f>HYPERLINK("https://klasma.github.io/Logging_2380/tillsyn/A 29058-2019 tillsynsbegäran.docx", "A 29058-2019")</f>
        <v/>
      </c>
      <c r="Y146">
        <f>HYPERLINK("https://klasma.github.io/Logging_2380/tillsynsmail/A 29058-2019 tillsynsbegäran mail.docx", "A 29058-2019")</f>
        <v/>
      </c>
    </row>
    <row r="147" ht="15" customHeight="1">
      <c r="A147" t="inlineStr">
        <is>
          <t>A 30941-2019</t>
        </is>
      </c>
      <c r="B147" s="1" t="n">
        <v>43636</v>
      </c>
      <c r="C147" s="1" t="n">
        <v>45807</v>
      </c>
      <c r="D147" t="inlineStr">
        <is>
          <t>JÄMTLANDS LÄN</t>
        </is>
      </c>
      <c r="E147" t="inlineStr">
        <is>
          <t>ÖSTERSUND</t>
        </is>
      </c>
      <c r="F147" t="inlineStr">
        <is>
          <t>SCA</t>
        </is>
      </c>
      <c r="G147" t="n">
        <v>1.9</v>
      </c>
      <c r="H147" t="n">
        <v>1</v>
      </c>
      <c r="I147" t="n">
        <v>1</v>
      </c>
      <c r="J147" t="n">
        <v>0</v>
      </c>
      <c r="K147" t="n">
        <v>0</v>
      </c>
      <c r="L147" t="n">
        <v>0</v>
      </c>
      <c r="M147" t="n">
        <v>0</v>
      </c>
      <c r="N147" t="n">
        <v>0</v>
      </c>
      <c r="O147" t="n">
        <v>0</v>
      </c>
      <c r="P147" t="n">
        <v>0</v>
      </c>
      <c r="Q147" t="n">
        <v>1</v>
      </c>
      <c r="R147" s="2" t="inlineStr">
        <is>
          <t>Tvåblad</t>
        </is>
      </c>
      <c r="S147">
        <f>HYPERLINK("https://klasma.github.io/Logging_2380/artfynd/A 30941-2019 artfynd.xlsx", "A 30941-2019")</f>
        <v/>
      </c>
      <c r="T147">
        <f>HYPERLINK("https://klasma.github.io/Logging_2380/kartor/A 30941-2019 karta.png", "A 30941-2019")</f>
        <v/>
      </c>
      <c r="V147">
        <f>HYPERLINK("https://klasma.github.io/Logging_2380/klagomål/A 30941-2019 FSC-klagomål.docx", "A 30941-2019")</f>
        <v/>
      </c>
      <c r="W147">
        <f>HYPERLINK("https://klasma.github.io/Logging_2380/klagomålsmail/A 30941-2019 FSC-klagomål mail.docx", "A 30941-2019")</f>
        <v/>
      </c>
      <c r="X147">
        <f>HYPERLINK("https://klasma.github.io/Logging_2380/tillsyn/A 30941-2019 tillsynsbegäran.docx", "A 30941-2019")</f>
        <v/>
      </c>
      <c r="Y147">
        <f>HYPERLINK("https://klasma.github.io/Logging_2380/tillsynsmail/A 30941-2019 tillsynsbegäran mail.docx", "A 30941-2019")</f>
        <v/>
      </c>
    </row>
    <row r="148" ht="15" customHeight="1">
      <c r="A148" t="inlineStr">
        <is>
          <t>A 57757-2019</t>
        </is>
      </c>
      <c r="B148" s="1" t="n">
        <v>43768</v>
      </c>
      <c r="C148" s="1" t="n">
        <v>45807</v>
      </c>
      <c r="D148" t="inlineStr">
        <is>
          <t>JÄMTLANDS LÄN</t>
        </is>
      </c>
      <c r="E148" t="inlineStr">
        <is>
          <t>ÖSTERSUND</t>
        </is>
      </c>
      <c r="G148" t="n">
        <v>1.3</v>
      </c>
      <c r="H148" t="n">
        <v>1</v>
      </c>
      <c r="I148" t="n">
        <v>0</v>
      </c>
      <c r="J148" t="n">
        <v>0</v>
      </c>
      <c r="K148" t="n">
        <v>0</v>
      </c>
      <c r="L148" t="n">
        <v>0</v>
      </c>
      <c r="M148" t="n">
        <v>0</v>
      </c>
      <c r="N148" t="n">
        <v>0</v>
      </c>
      <c r="O148" t="n">
        <v>0</v>
      </c>
      <c r="P148" t="n">
        <v>0</v>
      </c>
      <c r="Q148" t="n">
        <v>1</v>
      </c>
      <c r="R148" s="2" t="inlineStr">
        <is>
          <t>Revlummer</t>
        </is>
      </c>
      <c r="S148">
        <f>HYPERLINK("https://klasma.github.io/Logging_2380/artfynd/A 57757-2019 artfynd.xlsx", "A 57757-2019")</f>
        <v/>
      </c>
      <c r="T148">
        <f>HYPERLINK("https://klasma.github.io/Logging_2380/kartor/A 57757-2019 karta.png", "A 57757-2019")</f>
        <v/>
      </c>
      <c r="V148">
        <f>HYPERLINK("https://klasma.github.io/Logging_2380/klagomål/A 57757-2019 FSC-klagomål.docx", "A 57757-2019")</f>
        <v/>
      </c>
      <c r="W148">
        <f>HYPERLINK("https://klasma.github.io/Logging_2380/klagomålsmail/A 57757-2019 FSC-klagomål mail.docx", "A 57757-2019")</f>
        <v/>
      </c>
      <c r="X148">
        <f>HYPERLINK("https://klasma.github.io/Logging_2380/tillsyn/A 57757-2019 tillsynsbegäran.docx", "A 57757-2019")</f>
        <v/>
      </c>
      <c r="Y148">
        <f>HYPERLINK("https://klasma.github.io/Logging_2380/tillsynsmail/A 57757-2019 tillsynsbegäran mail.docx", "A 57757-2019")</f>
        <v/>
      </c>
    </row>
    <row r="149" ht="15" customHeight="1">
      <c r="A149" t="inlineStr">
        <is>
          <t>A 61628-2019</t>
        </is>
      </c>
      <c r="B149" s="1" t="n">
        <v>43784</v>
      </c>
      <c r="C149" s="1" t="n">
        <v>45807</v>
      </c>
      <c r="D149" t="inlineStr">
        <is>
          <t>JÄMTLANDS LÄN</t>
        </is>
      </c>
      <c r="E149" t="inlineStr">
        <is>
          <t>ÖSTERSUND</t>
        </is>
      </c>
      <c r="G149" t="n">
        <v>5.6</v>
      </c>
      <c r="H149" t="n">
        <v>0</v>
      </c>
      <c r="I149" t="n">
        <v>1</v>
      </c>
      <c r="J149" t="n">
        <v>0</v>
      </c>
      <c r="K149" t="n">
        <v>0</v>
      </c>
      <c r="L149" t="n">
        <v>0</v>
      </c>
      <c r="M149" t="n">
        <v>0</v>
      </c>
      <c r="N149" t="n">
        <v>0</v>
      </c>
      <c r="O149" t="n">
        <v>0</v>
      </c>
      <c r="P149" t="n">
        <v>0</v>
      </c>
      <c r="Q149" t="n">
        <v>1</v>
      </c>
      <c r="R149" s="2" t="inlineStr">
        <is>
          <t>Tibast</t>
        </is>
      </c>
      <c r="S149">
        <f>HYPERLINK("https://klasma.github.io/Logging_2380/artfynd/A 61628-2019 artfynd.xlsx", "A 61628-2019")</f>
        <v/>
      </c>
      <c r="T149">
        <f>HYPERLINK("https://klasma.github.io/Logging_2380/kartor/A 61628-2019 karta.png", "A 61628-2019")</f>
        <v/>
      </c>
      <c r="V149">
        <f>HYPERLINK("https://klasma.github.io/Logging_2380/klagomål/A 61628-2019 FSC-klagomål.docx", "A 61628-2019")</f>
        <v/>
      </c>
      <c r="W149">
        <f>HYPERLINK("https://klasma.github.io/Logging_2380/klagomålsmail/A 61628-2019 FSC-klagomål mail.docx", "A 61628-2019")</f>
        <v/>
      </c>
      <c r="X149">
        <f>HYPERLINK("https://klasma.github.io/Logging_2380/tillsyn/A 61628-2019 tillsynsbegäran.docx", "A 61628-2019")</f>
        <v/>
      </c>
      <c r="Y149">
        <f>HYPERLINK("https://klasma.github.io/Logging_2380/tillsynsmail/A 61628-2019 tillsynsbegäran mail.docx", "A 61628-2019")</f>
        <v/>
      </c>
    </row>
    <row r="150" ht="15" customHeight="1">
      <c r="A150" t="inlineStr">
        <is>
          <t>A 11561-2020</t>
        </is>
      </c>
      <c r="B150" s="1" t="n">
        <v>43893</v>
      </c>
      <c r="C150" s="1" t="n">
        <v>45807</v>
      </c>
      <c r="D150" t="inlineStr">
        <is>
          <t>JÄMTLANDS LÄN</t>
        </is>
      </c>
      <c r="E150" t="inlineStr">
        <is>
          <t>ÖSTERSUND</t>
        </is>
      </c>
      <c r="G150" t="n">
        <v>6.2</v>
      </c>
      <c r="H150" t="n">
        <v>1</v>
      </c>
      <c r="I150" t="n">
        <v>0</v>
      </c>
      <c r="J150" t="n">
        <v>0</v>
      </c>
      <c r="K150" t="n">
        <v>0</v>
      </c>
      <c r="L150" t="n">
        <v>0</v>
      </c>
      <c r="M150" t="n">
        <v>0</v>
      </c>
      <c r="N150" t="n">
        <v>0</v>
      </c>
      <c r="O150" t="n">
        <v>0</v>
      </c>
      <c r="P150" t="n">
        <v>0</v>
      </c>
      <c r="Q150" t="n">
        <v>1</v>
      </c>
      <c r="R150" s="2" t="inlineStr">
        <is>
          <t>Revlummer</t>
        </is>
      </c>
      <c r="S150">
        <f>HYPERLINK("https://klasma.github.io/Logging_2380/artfynd/A 11561-2020 artfynd.xlsx", "A 11561-2020")</f>
        <v/>
      </c>
      <c r="T150">
        <f>HYPERLINK("https://klasma.github.io/Logging_2380/kartor/A 11561-2020 karta.png", "A 11561-2020")</f>
        <v/>
      </c>
      <c r="V150">
        <f>HYPERLINK("https://klasma.github.io/Logging_2380/klagomål/A 11561-2020 FSC-klagomål.docx", "A 11561-2020")</f>
        <v/>
      </c>
      <c r="W150">
        <f>HYPERLINK("https://klasma.github.io/Logging_2380/klagomålsmail/A 11561-2020 FSC-klagomål mail.docx", "A 11561-2020")</f>
        <v/>
      </c>
      <c r="X150">
        <f>HYPERLINK("https://klasma.github.io/Logging_2380/tillsyn/A 11561-2020 tillsynsbegäran.docx", "A 11561-2020")</f>
        <v/>
      </c>
      <c r="Y150">
        <f>HYPERLINK("https://klasma.github.io/Logging_2380/tillsynsmail/A 11561-2020 tillsynsbegäran mail.docx", "A 11561-2020")</f>
        <v/>
      </c>
    </row>
    <row r="151" ht="15" customHeight="1">
      <c r="A151" t="inlineStr">
        <is>
          <t>A 35980-2020</t>
        </is>
      </c>
      <c r="B151" s="1" t="n">
        <v>44047</v>
      </c>
      <c r="C151" s="1" t="n">
        <v>45807</v>
      </c>
      <c r="D151" t="inlineStr">
        <is>
          <t>JÄMTLANDS LÄN</t>
        </is>
      </c>
      <c r="E151" t="inlineStr">
        <is>
          <t>ÖSTERSUND</t>
        </is>
      </c>
      <c r="G151" t="n">
        <v>0.7</v>
      </c>
      <c r="H151" t="n">
        <v>0</v>
      </c>
      <c r="I151" t="n">
        <v>0</v>
      </c>
      <c r="J151" t="n">
        <v>1</v>
      </c>
      <c r="K151" t="n">
        <v>0</v>
      </c>
      <c r="L151" t="n">
        <v>0</v>
      </c>
      <c r="M151" t="n">
        <v>0</v>
      </c>
      <c r="N151" t="n">
        <v>0</v>
      </c>
      <c r="O151" t="n">
        <v>1</v>
      </c>
      <c r="P151" t="n">
        <v>0</v>
      </c>
      <c r="Q151" t="n">
        <v>1</v>
      </c>
      <c r="R151" s="2" t="inlineStr">
        <is>
          <t>Slåtterfibbla</t>
        </is>
      </c>
      <c r="S151">
        <f>HYPERLINK("https://klasma.github.io/Logging_2380/artfynd/A 35980-2020 artfynd.xlsx", "A 35980-2020")</f>
        <v/>
      </c>
      <c r="T151">
        <f>HYPERLINK("https://klasma.github.io/Logging_2380/kartor/A 35980-2020 karta.png", "A 35980-2020")</f>
        <v/>
      </c>
      <c r="U151">
        <f>HYPERLINK("https://klasma.github.io/Logging_2380/knärot/A 35980-2020 karta knärot.png", "A 35980-2020")</f>
        <v/>
      </c>
      <c r="V151">
        <f>HYPERLINK("https://klasma.github.io/Logging_2380/klagomål/A 35980-2020 FSC-klagomål.docx", "A 35980-2020")</f>
        <v/>
      </c>
      <c r="W151">
        <f>HYPERLINK("https://klasma.github.io/Logging_2380/klagomålsmail/A 35980-2020 FSC-klagomål mail.docx", "A 35980-2020")</f>
        <v/>
      </c>
      <c r="X151">
        <f>HYPERLINK("https://klasma.github.io/Logging_2380/tillsyn/A 35980-2020 tillsynsbegäran.docx", "A 35980-2020")</f>
        <v/>
      </c>
      <c r="Y151">
        <f>HYPERLINK("https://klasma.github.io/Logging_2380/tillsynsmail/A 35980-2020 tillsynsbegäran mail.docx", "A 35980-2020")</f>
        <v/>
      </c>
    </row>
    <row r="152" ht="15" customHeight="1">
      <c r="A152" t="inlineStr">
        <is>
          <t>A 63775-2020</t>
        </is>
      </c>
      <c r="B152" s="1" t="n">
        <v>44165</v>
      </c>
      <c r="C152" s="1" t="n">
        <v>45807</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Fläcknycklar</t>
        </is>
      </c>
      <c r="S152">
        <f>HYPERLINK("https://klasma.github.io/Logging_2380/artfynd/A 63775-2020 artfynd.xlsx", "A 63775-2020")</f>
        <v/>
      </c>
      <c r="T152">
        <f>HYPERLINK("https://klasma.github.io/Logging_2380/kartor/A 63775-2020 karta.png", "A 63775-2020")</f>
        <v/>
      </c>
      <c r="V152">
        <f>HYPERLINK("https://klasma.github.io/Logging_2380/klagomål/A 63775-2020 FSC-klagomål.docx", "A 63775-2020")</f>
        <v/>
      </c>
      <c r="W152">
        <f>HYPERLINK("https://klasma.github.io/Logging_2380/klagomålsmail/A 63775-2020 FSC-klagomål mail.docx", "A 63775-2020")</f>
        <v/>
      </c>
      <c r="X152">
        <f>HYPERLINK("https://klasma.github.io/Logging_2380/tillsyn/A 63775-2020 tillsynsbegäran.docx", "A 63775-2020")</f>
        <v/>
      </c>
      <c r="Y152">
        <f>HYPERLINK("https://klasma.github.io/Logging_2380/tillsynsmail/A 63775-2020 tillsynsbegäran mail.docx", "A 63775-2020")</f>
        <v/>
      </c>
    </row>
    <row r="153" ht="15" customHeight="1">
      <c r="A153" t="inlineStr">
        <is>
          <t>A 13362-2021</t>
        </is>
      </c>
      <c r="B153" s="1" t="n">
        <v>44272</v>
      </c>
      <c r="C153" s="1" t="n">
        <v>45807</v>
      </c>
      <c r="D153" t="inlineStr">
        <is>
          <t>JÄMTLANDS LÄN</t>
        </is>
      </c>
      <c r="E153" t="inlineStr">
        <is>
          <t>ÖSTERSUND</t>
        </is>
      </c>
      <c r="G153" t="n">
        <v>0.8</v>
      </c>
      <c r="H153" t="n">
        <v>1</v>
      </c>
      <c r="I153" t="n">
        <v>0</v>
      </c>
      <c r="J153" t="n">
        <v>0</v>
      </c>
      <c r="K153" t="n">
        <v>0</v>
      </c>
      <c r="L153" t="n">
        <v>0</v>
      </c>
      <c r="M153" t="n">
        <v>0</v>
      </c>
      <c r="N153" t="n">
        <v>0</v>
      </c>
      <c r="O153" t="n">
        <v>0</v>
      </c>
      <c r="P153" t="n">
        <v>0</v>
      </c>
      <c r="Q153" t="n">
        <v>1</v>
      </c>
      <c r="R153" s="2" t="inlineStr">
        <is>
          <t>Blåsippa</t>
        </is>
      </c>
      <c r="S153">
        <f>HYPERLINK("https://klasma.github.io/Logging_2380/artfynd/A 13362-2021 artfynd.xlsx", "A 13362-2021")</f>
        <v/>
      </c>
      <c r="T153">
        <f>HYPERLINK("https://klasma.github.io/Logging_2380/kartor/A 13362-2021 karta.png", "A 13362-2021")</f>
        <v/>
      </c>
      <c r="V153">
        <f>HYPERLINK("https://klasma.github.io/Logging_2380/klagomål/A 13362-2021 FSC-klagomål.docx", "A 13362-2021")</f>
        <v/>
      </c>
      <c r="W153">
        <f>HYPERLINK("https://klasma.github.io/Logging_2380/klagomålsmail/A 13362-2021 FSC-klagomål mail.docx", "A 13362-2021")</f>
        <v/>
      </c>
      <c r="X153">
        <f>HYPERLINK("https://klasma.github.io/Logging_2380/tillsyn/A 13362-2021 tillsynsbegäran.docx", "A 13362-2021")</f>
        <v/>
      </c>
      <c r="Y153">
        <f>HYPERLINK("https://klasma.github.io/Logging_2380/tillsynsmail/A 13362-2021 tillsynsbegäran mail.docx", "A 13362-2021")</f>
        <v/>
      </c>
    </row>
    <row r="154" ht="15" customHeight="1">
      <c r="A154" t="inlineStr">
        <is>
          <t>A 17217-2021</t>
        </is>
      </c>
      <c r="B154" s="1" t="n">
        <v>44298</v>
      </c>
      <c r="C154" s="1" t="n">
        <v>45807</v>
      </c>
      <c r="D154" t="inlineStr">
        <is>
          <t>JÄMTLANDS LÄN</t>
        </is>
      </c>
      <c r="E154" t="inlineStr">
        <is>
          <t>ÖSTERSUND</t>
        </is>
      </c>
      <c r="G154" t="n">
        <v>10.4</v>
      </c>
      <c r="H154" t="n">
        <v>0</v>
      </c>
      <c r="I154" t="n">
        <v>0</v>
      </c>
      <c r="J154" t="n">
        <v>1</v>
      </c>
      <c r="K154" t="n">
        <v>0</v>
      </c>
      <c r="L154" t="n">
        <v>0</v>
      </c>
      <c r="M154" t="n">
        <v>0</v>
      </c>
      <c r="N154" t="n">
        <v>0</v>
      </c>
      <c r="O154" t="n">
        <v>1</v>
      </c>
      <c r="P154" t="n">
        <v>0</v>
      </c>
      <c r="Q154" t="n">
        <v>1</v>
      </c>
      <c r="R154" s="2" t="inlineStr">
        <is>
          <t>Rödbrun klubbdyna</t>
        </is>
      </c>
      <c r="S154">
        <f>HYPERLINK("https://klasma.github.io/Logging_2380/artfynd/A 17217-2021 artfynd.xlsx", "A 17217-2021")</f>
        <v/>
      </c>
      <c r="T154">
        <f>HYPERLINK("https://klasma.github.io/Logging_2380/kartor/A 17217-2021 karta.png", "A 17217-2021")</f>
        <v/>
      </c>
      <c r="V154">
        <f>HYPERLINK("https://klasma.github.io/Logging_2380/klagomål/A 17217-2021 FSC-klagomål.docx", "A 17217-2021")</f>
        <v/>
      </c>
      <c r="W154">
        <f>HYPERLINK("https://klasma.github.io/Logging_2380/klagomålsmail/A 17217-2021 FSC-klagomål mail.docx", "A 17217-2021")</f>
        <v/>
      </c>
      <c r="X154">
        <f>HYPERLINK("https://klasma.github.io/Logging_2380/tillsyn/A 17217-2021 tillsynsbegäran.docx", "A 17217-2021")</f>
        <v/>
      </c>
      <c r="Y154">
        <f>HYPERLINK("https://klasma.github.io/Logging_2380/tillsynsmail/A 17217-2021 tillsynsbegäran mail.docx", "A 17217-2021")</f>
        <v/>
      </c>
    </row>
    <row r="155" ht="15" customHeight="1">
      <c r="A155" t="inlineStr">
        <is>
          <t>A 25839-2021</t>
        </is>
      </c>
      <c r="B155" s="1" t="n">
        <v>44343</v>
      </c>
      <c r="C155" s="1" t="n">
        <v>45807</v>
      </c>
      <c r="D155" t="inlineStr">
        <is>
          <t>JÄMTLANDS LÄN</t>
        </is>
      </c>
      <c r="E155" t="inlineStr">
        <is>
          <t>ÖSTERSUND</t>
        </is>
      </c>
      <c r="G155" t="n">
        <v>13</v>
      </c>
      <c r="H155" t="n">
        <v>1</v>
      </c>
      <c r="I155" t="n">
        <v>0</v>
      </c>
      <c r="J155" t="n">
        <v>0</v>
      </c>
      <c r="K155" t="n">
        <v>0</v>
      </c>
      <c r="L155" t="n">
        <v>1</v>
      </c>
      <c r="M155" t="n">
        <v>0</v>
      </c>
      <c r="N155" t="n">
        <v>0</v>
      </c>
      <c r="O155" t="n">
        <v>1</v>
      </c>
      <c r="P155" t="n">
        <v>1</v>
      </c>
      <c r="Q155" t="n">
        <v>1</v>
      </c>
      <c r="R155" s="2" t="inlineStr">
        <is>
          <t>Violett guldvinge</t>
        </is>
      </c>
      <c r="S155">
        <f>HYPERLINK("https://klasma.github.io/Logging_2380/artfynd/A 25839-2021 artfynd.xlsx", "A 25839-2021")</f>
        <v/>
      </c>
      <c r="T155">
        <f>HYPERLINK("https://klasma.github.io/Logging_2380/kartor/A 25839-2021 karta.png", "A 25839-2021")</f>
        <v/>
      </c>
      <c r="V155">
        <f>HYPERLINK("https://klasma.github.io/Logging_2380/klagomål/A 25839-2021 FSC-klagomål.docx", "A 25839-2021")</f>
        <v/>
      </c>
      <c r="W155">
        <f>HYPERLINK("https://klasma.github.io/Logging_2380/klagomålsmail/A 25839-2021 FSC-klagomål mail.docx", "A 25839-2021")</f>
        <v/>
      </c>
      <c r="X155">
        <f>HYPERLINK("https://klasma.github.io/Logging_2380/tillsyn/A 25839-2021 tillsynsbegäran.docx", "A 25839-2021")</f>
        <v/>
      </c>
      <c r="Y155">
        <f>HYPERLINK("https://klasma.github.io/Logging_2380/tillsynsmail/A 25839-2021 tillsynsbegäran mail.docx", "A 25839-2021")</f>
        <v/>
      </c>
    </row>
    <row r="156" ht="15" customHeight="1">
      <c r="A156" t="inlineStr">
        <is>
          <t>A 31328-2021</t>
        </is>
      </c>
      <c r="B156" s="1" t="n">
        <v>44368</v>
      </c>
      <c r="C156" s="1" t="n">
        <v>45807</v>
      </c>
      <c r="D156" t="inlineStr">
        <is>
          <t>JÄMTLANDS LÄN</t>
        </is>
      </c>
      <c r="E156" t="inlineStr">
        <is>
          <t>ÖSTERSUND</t>
        </is>
      </c>
      <c r="G156" t="n">
        <v>6.3</v>
      </c>
      <c r="H156" t="n">
        <v>1</v>
      </c>
      <c r="I156" t="n">
        <v>0</v>
      </c>
      <c r="J156" t="n">
        <v>0</v>
      </c>
      <c r="K156" t="n">
        <v>0</v>
      </c>
      <c r="L156" t="n">
        <v>0</v>
      </c>
      <c r="M156" t="n">
        <v>0</v>
      </c>
      <c r="N156" t="n">
        <v>0</v>
      </c>
      <c r="O156" t="n">
        <v>0</v>
      </c>
      <c r="P156" t="n">
        <v>0</v>
      </c>
      <c r="Q156" t="n">
        <v>1</v>
      </c>
      <c r="R156" s="2" t="inlineStr">
        <is>
          <t>Fläcknycklar</t>
        </is>
      </c>
      <c r="S156">
        <f>HYPERLINK("https://klasma.github.io/Logging_2380/artfynd/A 31328-2021 artfynd.xlsx", "A 31328-2021")</f>
        <v/>
      </c>
      <c r="T156">
        <f>HYPERLINK("https://klasma.github.io/Logging_2380/kartor/A 31328-2021 karta.png", "A 31328-2021")</f>
        <v/>
      </c>
      <c r="V156">
        <f>HYPERLINK("https://klasma.github.io/Logging_2380/klagomål/A 31328-2021 FSC-klagomål.docx", "A 31328-2021")</f>
        <v/>
      </c>
      <c r="W156">
        <f>HYPERLINK("https://klasma.github.io/Logging_2380/klagomålsmail/A 31328-2021 FSC-klagomål mail.docx", "A 31328-2021")</f>
        <v/>
      </c>
      <c r="X156">
        <f>HYPERLINK("https://klasma.github.io/Logging_2380/tillsyn/A 31328-2021 tillsynsbegäran.docx", "A 31328-2021")</f>
        <v/>
      </c>
      <c r="Y156">
        <f>HYPERLINK("https://klasma.github.io/Logging_2380/tillsynsmail/A 31328-2021 tillsynsbegäran mail.docx", "A 31328-2021")</f>
        <v/>
      </c>
    </row>
    <row r="157" ht="15" customHeight="1">
      <c r="A157" t="inlineStr">
        <is>
          <t>A 33137-2021</t>
        </is>
      </c>
      <c r="B157" s="1" t="n">
        <v>44376</v>
      </c>
      <c r="C157" s="1" t="n">
        <v>45807</v>
      </c>
      <c r="D157" t="inlineStr">
        <is>
          <t>JÄMTLANDS LÄN</t>
        </is>
      </c>
      <c r="E157" t="inlineStr">
        <is>
          <t>ÖSTERSUND</t>
        </is>
      </c>
      <c r="F157" t="inlineStr">
        <is>
          <t>Kommuner</t>
        </is>
      </c>
      <c r="G157" t="n">
        <v>3.7</v>
      </c>
      <c r="H157" t="n">
        <v>1</v>
      </c>
      <c r="I157" t="n">
        <v>1</v>
      </c>
      <c r="J157" t="n">
        <v>0</v>
      </c>
      <c r="K157" t="n">
        <v>0</v>
      </c>
      <c r="L157" t="n">
        <v>0</v>
      </c>
      <c r="M157" t="n">
        <v>0</v>
      </c>
      <c r="N157" t="n">
        <v>0</v>
      </c>
      <c r="O157" t="n">
        <v>0</v>
      </c>
      <c r="P157" t="n">
        <v>0</v>
      </c>
      <c r="Q157" t="n">
        <v>1</v>
      </c>
      <c r="R157" s="2" t="inlineStr">
        <is>
          <t>Guckusko</t>
        </is>
      </c>
      <c r="S157">
        <f>HYPERLINK("https://klasma.github.io/Logging_2380/artfynd/A 33137-2021 artfynd.xlsx", "A 33137-2021")</f>
        <v/>
      </c>
      <c r="T157">
        <f>HYPERLINK("https://klasma.github.io/Logging_2380/kartor/A 33137-2021 karta.png", "A 33137-2021")</f>
        <v/>
      </c>
      <c r="V157">
        <f>HYPERLINK("https://klasma.github.io/Logging_2380/klagomål/A 33137-2021 FSC-klagomål.docx", "A 33137-2021")</f>
        <v/>
      </c>
      <c r="W157">
        <f>HYPERLINK("https://klasma.github.io/Logging_2380/klagomålsmail/A 33137-2021 FSC-klagomål mail.docx", "A 33137-2021")</f>
        <v/>
      </c>
      <c r="X157">
        <f>HYPERLINK("https://klasma.github.io/Logging_2380/tillsyn/A 33137-2021 tillsynsbegäran.docx", "A 33137-2021")</f>
        <v/>
      </c>
      <c r="Y157">
        <f>HYPERLINK("https://klasma.github.io/Logging_2380/tillsynsmail/A 33137-2021 tillsynsbegäran mail.docx", "A 33137-2021")</f>
        <v/>
      </c>
    </row>
    <row r="158" ht="15" customHeight="1">
      <c r="A158" t="inlineStr">
        <is>
          <t>A 46163-2021</t>
        </is>
      </c>
      <c r="B158" s="1" t="n">
        <v>44441</v>
      </c>
      <c r="C158" s="1" t="n">
        <v>45807</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55821-2021</t>
        </is>
      </c>
      <c r="B159" s="1" t="n">
        <v>44476</v>
      </c>
      <c r="C159" s="1" t="n">
        <v>45807</v>
      </c>
      <c r="D159" t="inlineStr">
        <is>
          <t>JÄMTLANDS LÄN</t>
        </is>
      </c>
      <c r="E159" t="inlineStr">
        <is>
          <t>ÖSTERSUND</t>
        </is>
      </c>
      <c r="G159" t="n">
        <v>7.2</v>
      </c>
      <c r="H159" t="n">
        <v>0</v>
      </c>
      <c r="I159" t="n">
        <v>0</v>
      </c>
      <c r="J159" t="n">
        <v>1</v>
      </c>
      <c r="K159" t="n">
        <v>0</v>
      </c>
      <c r="L159" t="n">
        <v>0</v>
      </c>
      <c r="M159" t="n">
        <v>0</v>
      </c>
      <c r="N159" t="n">
        <v>0</v>
      </c>
      <c r="O159" t="n">
        <v>1</v>
      </c>
      <c r="P159" t="n">
        <v>0</v>
      </c>
      <c r="Q159" t="n">
        <v>1</v>
      </c>
      <c r="R159" s="2" t="inlineStr">
        <is>
          <t>Harticka</t>
        </is>
      </c>
      <c r="S159">
        <f>HYPERLINK("https://klasma.github.io/Logging_2380/artfynd/A 55821-2021 artfynd.xlsx", "A 55821-2021")</f>
        <v/>
      </c>
      <c r="T159">
        <f>HYPERLINK("https://klasma.github.io/Logging_2380/kartor/A 55821-2021 karta.png", "A 55821-2021")</f>
        <v/>
      </c>
      <c r="V159">
        <f>HYPERLINK("https://klasma.github.io/Logging_2380/klagomål/A 55821-2021 FSC-klagomål.docx", "A 55821-2021")</f>
        <v/>
      </c>
      <c r="W159">
        <f>HYPERLINK("https://klasma.github.io/Logging_2380/klagomålsmail/A 55821-2021 FSC-klagomål mail.docx", "A 55821-2021")</f>
        <v/>
      </c>
      <c r="X159">
        <f>HYPERLINK("https://klasma.github.io/Logging_2380/tillsyn/A 55821-2021 tillsynsbegäran.docx", "A 55821-2021")</f>
        <v/>
      </c>
      <c r="Y159">
        <f>HYPERLINK("https://klasma.github.io/Logging_2380/tillsynsmail/A 55821-2021 tillsynsbegäran mail.docx", "A 55821-2021")</f>
        <v/>
      </c>
    </row>
    <row r="160" ht="15" customHeight="1">
      <c r="A160" t="inlineStr">
        <is>
          <t>A 59433-2021</t>
        </is>
      </c>
      <c r="B160" s="1" t="n">
        <v>44491</v>
      </c>
      <c r="C160" s="1" t="n">
        <v>45807</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9739-2022</t>
        </is>
      </c>
      <c r="B161" s="1" t="n">
        <v>44617</v>
      </c>
      <c r="C161" s="1" t="n">
        <v>45807</v>
      </c>
      <c r="D161" t="inlineStr">
        <is>
          <t>JÄMTLANDS LÄN</t>
        </is>
      </c>
      <c r="E161" t="inlineStr">
        <is>
          <t>ÖSTERSUND</t>
        </is>
      </c>
      <c r="F161" t="inlineStr">
        <is>
          <t>SCA</t>
        </is>
      </c>
      <c r="G161" t="n">
        <v>13.5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9739-2022 artfynd.xlsx", "A 9739-2022")</f>
        <v/>
      </c>
      <c r="T161">
        <f>HYPERLINK("https://klasma.github.io/Logging_2380/kartor/A 9739-2022 karta.png", "A 9739-2022")</f>
        <v/>
      </c>
      <c r="V161">
        <f>HYPERLINK("https://klasma.github.io/Logging_2380/klagomål/A 9739-2022 FSC-klagomål.docx", "A 9739-2022")</f>
        <v/>
      </c>
      <c r="W161">
        <f>HYPERLINK("https://klasma.github.io/Logging_2380/klagomålsmail/A 9739-2022 FSC-klagomål mail.docx", "A 9739-2022")</f>
        <v/>
      </c>
      <c r="X161">
        <f>HYPERLINK("https://klasma.github.io/Logging_2380/tillsyn/A 9739-2022 tillsynsbegäran.docx", "A 9739-2022")</f>
        <v/>
      </c>
      <c r="Y161">
        <f>HYPERLINK("https://klasma.github.io/Logging_2380/tillsynsmail/A 9739-2022 tillsynsbegäran mail.docx", "A 9739-2022")</f>
        <v/>
      </c>
    </row>
    <row r="162" ht="15" customHeight="1">
      <c r="A162" t="inlineStr">
        <is>
          <t>A 10336-2022</t>
        </is>
      </c>
      <c r="B162" s="1" t="n">
        <v>44623</v>
      </c>
      <c r="C162" s="1" t="n">
        <v>45807</v>
      </c>
      <c r="D162" t="inlineStr">
        <is>
          <t>JÄMTLANDS LÄN</t>
        </is>
      </c>
      <c r="E162" t="inlineStr">
        <is>
          <t>ÖSTERSUND</t>
        </is>
      </c>
      <c r="G162" t="n">
        <v>0.9</v>
      </c>
      <c r="H162" t="n">
        <v>0</v>
      </c>
      <c r="I162" t="n">
        <v>1</v>
      </c>
      <c r="J162" t="n">
        <v>0</v>
      </c>
      <c r="K162" t="n">
        <v>0</v>
      </c>
      <c r="L162" t="n">
        <v>0</v>
      </c>
      <c r="M162" t="n">
        <v>0</v>
      </c>
      <c r="N162" t="n">
        <v>0</v>
      </c>
      <c r="O162" t="n">
        <v>0</v>
      </c>
      <c r="P162" t="n">
        <v>0</v>
      </c>
      <c r="Q162" t="n">
        <v>1</v>
      </c>
      <c r="R162" s="2" t="inlineStr">
        <is>
          <t>Underviol</t>
        </is>
      </c>
      <c r="S162">
        <f>HYPERLINK("https://klasma.github.io/Logging_2380/artfynd/A 10336-2022 artfynd.xlsx", "A 10336-2022")</f>
        <v/>
      </c>
      <c r="T162">
        <f>HYPERLINK("https://klasma.github.io/Logging_2380/kartor/A 10336-2022 karta.png", "A 10336-2022")</f>
        <v/>
      </c>
      <c r="V162">
        <f>HYPERLINK("https://klasma.github.io/Logging_2380/klagomål/A 10336-2022 FSC-klagomål.docx", "A 10336-2022")</f>
        <v/>
      </c>
      <c r="W162">
        <f>HYPERLINK("https://klasma.github.io/Logging_2380/klagomålsmail/A 10336-2022 FSC-klagomål mail.docx", "A 10336-2022")</f>
        <v/>
      </c>
      <c r="X162">
        <f>HYPERLINK("https://klasma.github.io/Logging_2380/tillsyn/A 10336-2022 tillsynsbegäran.docx", "A 10336-2022")</f>
        <v/>
      </c>
      <c r="Y162">
        <f>HYPERLINK("https://klasma.github.io/Logging_2380/tillsynsmail/A 10336-2022 tillsynsbegäran mail.docx", "A 10336-2022")</f>
        <v/>
      </c>
    </row>
    <row r="163" ht="15" customHeight="1">
      <c r="A163" t="inlineStr">
        <is>
          <t>A 19798-2022</t>
        </is>
      </c>
      <c r="B163" s="1" t="n">
        <v>44694</v>
      </c>
      <c r="C163" s="1" t="n">
        <v>45807</v>
      </c>
      <c r="D163" t="inlineStr">
        <is>
          <t>JÄMTLANDS LÄN</t>
        </is>
      </c>
      <c r="E163" t="inlineStr">
        <is>
          <t>ÖSTERSUND</t>
        </is>
      </c>
      <c r="F163" t="inlineStr">
        <is>
          <t>SCA</t>
        </is>
      </c>
      <c r="G163" t="n">
        <v>1</v>
      </c>
      <c r="H163" t="n">
        <v>1</v>
      </c>
      <c r="I163" t="n">
        <v>1</v>
      </c>
      <c r="J163" t="n">
        <v>0</v>
      </c>
      <c r="K163" t="n">
        <v>0</v>
      </c>
      <c r="L163" t="n">
        <v>0</v>
      </c>
      <c r="M163" t="n">
        <v>0</v>
      </c>
      <c r="N163" t="n">
        <v>0</v>
      </c>
      <c r="O163" t="n">
        <v>0</v>
      </c>
      <c r="P163" t="n">
        <v>0</v>
      </c>
      <c r="Q163" t="n">
        <v>1</v>
      </c>
      <c r="R163" s="2" t="inlineStr">
        <is>
          <t>Guckusko</t>
        </is>
      </c>
      <c r="S163">
        <f>HYPERLINK("https://klasma.github.io/Logging_2380/artfynd/A 19798-2022 artfynd.xlsx", "A 19798-2022")</f>
        <v/>
      </c>
      <c r="T163">
        <f>HYPERLINK("https://klasma.github.io/Logging_2380/kartor/A 19798-2022 karta.png", "A 19798-2022")</f>
        <v/>
      </c>
      <c r="V163">
        <f>HYPERLINK("https://klasma.github.io/Logging_2380/klagomål/A 19798-2022 FSC-klagomål.docx", "A 19798-2022")</f>
        <v/>
      </c>
      <c r="W163">
        <f>HYPERLINK("https://klasma.github.io/Logging_2380/klagomålsmail/A 19798-2022 FSC-klagomål mail.docx", "A 19798-2022")</f>
        <v/>
      </c>
      <c r="X163">
        <f>HYPERLINK("https://klasma.github.io/Logging_2380/tillsyn/A 19798-2022 tillsynsbegäran.docx", "A 19798-2022")</f>
        <v/>
      </c>
      <c r="Y163">
        <f>HYPERLINK("https://klasma.github.io/Logging_2380/tillsynsmail/A 19798-2022 tillsynsbegäran mail.docx", "A 19798-2022")</f>
        <v/>
      </c>
    </row>
    <row r="164" ht="15" customHeight="1">
      <c r="A164" t="inlineStr">
        <is>
          <t>A 27578-2022</t>
        </is>
      </c>
      <c r="B164" s="1" t="n">
        <v>44742</v>
      </c>
      <c r="C164" s="1" t="n">
        <v>45807</v>
      </c>
      <c r="D164" t="inlineStr">
        <is>
          <t>JÄMTLANDS LÄN</t>
        </is>
      </c>
      <c r="E164" t="inlineStr">
        <is>
          <t>ÖSTERSUND</t>
        </is>
      </c>
      <c r="F164" t="inlineStr">
        <is>
          <t>SCA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HYPERLINK("https://klasma.github.io/Logging_2380/artfynd/A 27578-2022 artfynd.xlsx", "A 27578-2022")</f>
        <v/>
      </c>
      <c r="T164">
        <f>HYPERLINK("https://klasma.github.io/Logging_2380/kartor/A 27578-2022 karta.png", "A 27578-2022")</f>
        <v/>
      </c>
      <c r="V164">
        <f>HYPERLINK("https://klasma.github.io/Logging_2380/klagomål/A 27578-2022 FSC-klagomål.docx", "A 27578-2022")</f>
        <v/>
      </c>
      <c r="W164">
        <f>HYPERLINK("https://klasma.github.io/Logging_2380/klagomålsmail/A 27578-2022 FSC-klagomål mail.docx", "A 27578-2022")</f>
        <v/>
      </c>
      <c r="X164">
        <f>HYPERLINK("https://klasma.github.io/Logging_2380/tillsyn/A 27578-2022 tillsynsbegäran.docx", "A 27578-2022")</f>
        <v/>
      </c>
      <c r="Y164">
        <f>HYPERLINK("https://klasma.github.io/Logging_2380/tillsynsmail/A 27578-2022 tillsynsbegäran mail.docx", "A 27578-2022")</f>
        <v/>
      </c>
    </row>
    <row r="165" ht="15" customHeight="1">
      <c r="A165" t="inlineStr">
        <is>
          <t>A 27576-2022</t>
        </is>
      </c>
      <c r="B165" s="1" t="n">
        <v>44742</v>
      </c>
      <c r="C165" s="1" t="n">
        <v>45807</v>
      </c>
      <c r="D165" t="inlineStr">
        <is>
          <t>JÄMTLANDS LÄN</t>
        </is>
      </c>
      <c r="E165" t="inlineStr">
        <is>
          <t>ÖSTERSUND</t>
        </is>
      </c>
      <c r="F165" t="inlineStr">
        <is>
          <t>SCA</t>
        </is>
      </c>
      <c r="G165" t="n">
        <v>0.6</v>
      </c>
      <c r="H165" t="n">
        <v>0</v>
      </c>
      <c r="I165" t="n">
        <v>0</v>
      </c>
      <c r="J165" t="n">
        <v>1</v>
      </c>
      <c r="K165" t="n">
        <v>0</v>
      </c>
      <c r="L165" t="n">
        <v>0</v>
      </c>
      <c r="M165" t="n">
        <v>0</v>
      </c>
      <c r="N165" t="n">
        <v>0</v>
      </c>
      <c r="O165" t="n">
        <v>1</v>
      </c>
      <c r="P165" t="n">
        <v>0</v>
      </c>
      <c r="Q165" t="n">
        <v>1</v>
      </c>
      <c r="R165" s="2" t="inlineStr">
        <is>
          <t>Ullticka</t>
        </is>
      </c>
      <c r="S165">
        <f>HYPERLINK("https://klasma.github.io/Logging_2380/artfynd/A 27576-2022 artfynd.xlsx", "A 27576-2022")</f>
        <v/>
      </c>
      <c r="T165">
        <f>HYPERLINK("https://klasma.github.io/Logging_2380/kartor/A 27576-2022 karta.png", "A 27576-2022")</f>
        <v/>
      </c>
      <c r="U165">
        <f>HYPERLINK("https://klasma.github.io/Logging_2380/knärot/A 27576-2022 karta knärot.png", "A 27576-2022")</f>
        <v/>
      </c>
      <c r="V165">
        <f>HYPERLINK("https://klasma.github.io/Logging_2380/klagomål/A 27576-2022 FSC-klagomål.docx", "A 27576-2022")</f>
        <v/>
      </c>
      <c r="W165">
        <f>HYPERLINK("https://klasma.github.io/Logging_2380/klagomålsmail/A 27576-2022 FSC-klagomål mail.docx", "A 27576-2022")</f>
        <v/>
      </c>
      <c r="X165">
        <f>HYPERLINK("https://klasma.github.io/Logging_2380/tillsyn/A 27576-2022 tillsynsbegäran.docx", "A 27576-2022")</f>
        <v/>
      </c>
      <c r="Y165">
        <f>HYPERLINK("https://klasma.github.io/Logging_2380/tillsynsmail/A 27576-2022 tillsynsbegäran mail.docx", "A 27576-2022")</f>
        <v/>
      </c>
    </row>
    <row r="166" ht="15" customHeight="1">
      <c r="A166" t="inlineStr">
        <is>
          <t>A 33267-2022</t>
        </is>
      </c>
      <c r="B166" s="1" t="n">
        <v>44785</v>
      </c>
      <c r="C166" s="1" t="n">
        <v>45807</v>
      </c>
      <c r="D166" t="inlineStr">
        <is>
          <t>JÄMTLANDS LÄN</t>
        </is>
      </c>
      <c r="E166" t="inlineStr">
        <is>
          <t>ÖSTERSUND</t>
        </is>
      </c>
      <c r="G166" t="n">
        <v>0.9</v>
      </c>
      <c r="H166" t="n">
        <v>1</v>
      </c>
      <c r="I166" t="n">
        <v>0</v>
      </c>
      <c r="J166" t="n">
        <v>1</v>
      </c>
      <c r="K166" t="n">
        <v>0</v>
      </c>
      <c r="L166" t="n">
        <v>0</v>
      </c>
      <c r="M166" t="n">
        <v>0</v>
      </c>
      <c r="N166" t="n">
        <v>0</v>
      </c>
      <c r="O166" t="n">
        <v>1</v>
      </c>
      <c r="P166" t="n">
        <v>0</v>
      </c>
      <c r="Q166" t="n">
        <v>1</v>
      </c>
      <c r="R166" s="2" t="inlineStr">
        <is>
          <t>Talltita</t>
        </is>
      </c>
      <c r="S166">
        <f>HYPERLINK("https://klasma.github.io/Logging_2380/artfynd/A 33267-2022 artfynd.xlsx", "A 33267-2022")</f>
        <v/>
      </c>
      <c r="T166">
        <f>HYPERLINK("https://klasma.github.io/Logging_2380/kartor/A 33267-2022 karta.png", "A 33267-2022")</f>
        <v/>
      </c>
      <c r="V166">
        <f>HYPERLINK("https://klasma.github.io/Logging_2380/klagomål/A 33267-2022 FSC-klagomål.docx", "A 33267-2022")</f>
        <v/>
      </c>
      <c r="W166">
        <f>HYPERLINK("https://klasma.github.io/Logging_2380/klagomålsmail/A 33267-2022 FSC-klagomål mail.docx", "A 33267-2022")</f>
        <v/>
      </c>
      <c r="X166">
        <f>HYPERLINK("https://klasma.github.io/Logging_2380/tillsyn/A 33267-2022 tillsynsbegäran.docx", "A 33267-2022")</f>
        <v/>
      </c>
      <c r="Y166">
        <f>HYPERLINK("https://klasma.github.io/Logging_2380/tillsynsmail/A 33267-2022 tillsynsbegäran mail.docx", "A 33267-2022")</f>
        <v/>
      </c>
      <c r="Z166">
        <f>HYPERLINK("https://klasma.github.io/Logging_2380/fåglar/A 33267-2022 prioriterade fågelarter.docx", "A 33267-2022")</f>
        <v/>
      </c>
    </row>
    <row r="167" ht="15" customHeight="1">
      <c r="A167" t="inlineStr">
        <is>
          <t>A 43947-2022</t>
        </is>
      </c>
      <c r="B167" s="1" t="n">
        <v>44838</v>
      </c>
      <c r="C167" s="1" t="n">
        <v>45807</v>
      </c>
      <c r="D167" t="inlineStr">
        <is>
          <t>JÄMTLANDS LÄN</t>
        </is>
      </c>
      <c r="E167" t="inlineStr">
        <is>
          <t>ÖSTERSUND</t>
        </is>
      </c>
      <c r="F167" t="inlineStr">
        <is>
          <t>Övriga Aktiebolag</t>
        </is>
      </c>
      <c r="G167" t="n">
        <v>15.7</v>
      </c>
      <c r="H167" t="n">
        <v>0</v>
      </c>
      <c r="I167" t="n">
        <v>0</v>
      </c>
      <c r="J167" t="n">
        <v>0</v>
      </c>
      <c r="K167" t="n">
        <v>1</v>
      </c>
      <c r="L167" t="n">
        <v>0</v>
      </c>
      <c r="M167" t="n">
        <v>0</v>
      </c>
      <c r="N167" t="n">
        <v>0</v>
      </c>
      <c r="O167" t="n">
        <v>1</v>
      </c>
      <c r="P167" t="n">
        <v>1</v>
      </c>
      <c r="Q167" t="n">
        <v>1</v>
      </c>
      <c r="R167" s="2" t="inlineStr">
        <is>
          <t>Sprickporing</t>
        </is>
      </c>
      <c r="S167">
        <f>HYPERLINK("https://klasma.github.io/Logging_2380/artfynd/A 43947-2022 artfynd.xlsx", "A 43947-2022")</f>
        <v/>
      </c>
      <c r="T167">
        <f>HYPERLINK("https://klasma.github.io/Logging_2380/kartor/A 43947-2022 karta.png", "A 43947-2022")</f>
        <v/>
      </c>
      <c r="V167">
        <f>HYPERLINK("https://klasma.github.io/Logging_2380/klagomål/A 43947-2022 FSC-klagomål.docx", "A 43947-2022")</f>
        <v/>
      </c>
      <c r="W167">
        <f>HYPERLINK("https://klasma.github.io/Logging_2380/klagomålsmail/A 43947-2022 FSC-klagomål mail.docx", "A 43947-2022")</f>
        <v/>
      </c>
      <c r="X167">
        <f>HYPERLINK("https://klasma.github.io/Logging_2380/tillsyn/A 43947-2022 tillsynsbegäran.docx", "A 43947-2022")</f>
        <v/>
      </c>
      <c r="Y167">
        <f>HYPERLINK("https://klasma.github.io/Logging_2380/tillsynsmail/A 43947-2022 tillsynsbegäran mail.docx", "A 43947-2022")</f>
        <v/>
      </c>
    </row>
    <row r="168" ht="15" customHeight="1">
      <c r="A168" t="inlineStr">
        <is>
          <t>A 45441-2022</t>
        </is>
      </c>
      <c r="B168" s="1" t="n">
        <v>44844</v>
      </c>
      <c r="C168" s="1" t="n">
        <v>45807</v>
      </c>
      <c r="D168" t="inlineStr">
        <is>
          <t>JÄMTLANDS LÄN</t>
        </is>
      </c>
      <c r="E168" t="inlineStr">
        <is>
          <t>ÖSTERSUND</t>
        </is>
      </c>
      <c r="F168" t="inlineStr">
        <is>
          <t>SCA</t>
        </is>
      </c>
      <c r="G168" t="n">
        <v>1.8</v>
      </c>
      <c r="H168" t="n">
        <v>0</v>
      </c>
      <c r="I168" t="n">
        <v>1</v>
      </c>
      <c r="J168" t="n">
        <v>0</v>
      </c>
      <c r="K168" t="n">
        <v>0</v>
      </c>
      <c r="L168" t="n">
        <v>0</v>
      </c>
      <c r="M168" t="n">
        <v>0</v>
      </c>
      <c r="N168" t="n">
        <v>0</v>
      </c>
      <c r="O168" t="n">
        <v>0</v>
      </c>
      <c r="P168" t="n">
        <v>0</v>
      </c>
      <c r="Q168" t="n">
        <v>1</v>
      </c>
      <c r="R168" s="2" t="inlineStr">
        <is>
          <t>Korallblylav</t>
        </is>
      </c>
      <c r="S168">
        <f>HYPERLINK("https://klasma.github.io/Logging_2380/artfynd/A 45441-2022 artfynd.xlsx", "A 45441-2022")</f>
        <v/>
      </c>
      <c r="T168">
        <f>HYPERLINK("https://klasma.github.io/Logging_2380/kartor/A 45441-2022 karta.png", "A 45441-2022")</f>
        <v/>
      </c>
      <c r="V168">
        <f>HYPERLINK("https://klasma.github.io/Logging_2380/klagomål/A 45441-2022 FSC-klagomål.docx", "A 45441-2022")</f>
        <v/>
      </c>
      <c r="W168">
        <f>HYPERLINK("https://klasma.github.io/Logging_2380/klagomålsmail/A 45441-2022 FSC-klagomål mail.docx", "A 45441-2022")</f>
        <v/>
      </c>
      <c r="X168">
        <f>HYPERLINK("https://klasma.github.io/Logging_2380/tillsyn/A 45441-2022 tillsynsbegäran.docx", "A 45441-2022")</f>
        <v/>
      </c>
      <c r="Y168">
        <f>HYPERLINK("https://klasma.github.io/Logging_2380/tillsynsmail/A 45441-2022 tillsynsbegäran mail.docx", "A 45441-2022")</f>
        <v/>
      </c>
    </row>
    <row r="169" ht="15" customHeight="1">
      <c r="A169" t="inlineStr">
        <is>
          <t>A 56245-2022</t>
        </is>
      </c>
      <c r="B169" s="1" t="n">
        <v>44890</v>
      </c>
      <c r="C169" s="1" t="n">
        <v>45807</v>
      </c>
      <c r="D169" t="inlineStr">
        <is>
          <t>JÄMTLANDS LÄN</t>
        </is>
      </c>
      <c r="E169" t="inlineStr">
        <is>
          <t>ÖSTERSUND</t>
        </is>
      </c>
      <c r="F169" t="inlineStr">
        <is>
          <t>Övriga Aktiebolag</t>
        </is>
      </c>
      <c r="G169" t="n">
        <v>10.6</v>
      </c>
      <c r="H169" t="n">
        <v>0</v>
      </c>
      <c r="I169" t="n">
        <v>0</v>
      </c>
      <c r="J169" t="n">
        <v>1</v>
      </c>
      <c r="K169" t="n">
        <v>0</v>
      </c>
      <c r="L169" t="n">
        <v>0</v>
      </c>
      <c r="M169" t="n">
        <v>0</v>
      </c>
      <c r="N169" t="n">
        <v>0</v>
      </c>
      <c r="O169" t="n">
        <v>1</v>
      </c>
      <c r="P169" t="n">
        <v>0</v>
      </c>
      <c r="Q169" t="n">
        <v>1</v>
      </c>
      <c r="R169" s="2" t="inlineStr">
        <is>
          <t>Garnlav</t>
        </is>
      </c>
      <c r="S169">
        <f>HYPERLINK("https://klasma.github.io/Logging_2380/artfynd/A 56245-2022 artfynd.xlsx", "A 56245-2022")</f>
        <v/>
      </c>
      <c r="T169">
        <f>HYPERLINK("https://klasma.github.io/Logging_2380/kartor/A 56245-2022 karta.png", "A 56245-2022")</f>
        <v/>
      </c>
      <c r="V169">
        <f>HYPERLINK("https://klasma.github.io/Logging_2380/klagomål/A 56245-2022 FSC-klagomål.docx", "A 56245-2022")</f>
        <v/>
      </c>
      <c r="W169">
        <f>HYPERLINK("https://klasma.github.io/Logging_2380/klagomålsmail/A 56245-2022 FSC-klagomål mail.docx", "A 56245-2022")</f>
        <v/>
      </c>
      <c r="X169">
        <f>HYPERLINK("https://klasma.github.io/Logging_2380/tillsyn/A 56245-2022 tillsynsbegäran.docx", "A 56245-2022")</f>
        <v/>
      </c>
      <c r="Y169">
        <f>HYPERLINK("https://klasma.github.io/Logging_2380/tillsynsmail/A 56245-2022 tillsynsbegäran mail.docx", "A 56245-2022")</f>
        <v/>
      </c>
    </row>
    <row r="170" ht="15" customHeight="1">
      <c r="A170" t="inlineStr">
        <is>
          <t>A 58181-2022</t>
        </is>
      </c>
      <c r="B170" s="1" t="n">
        <v>44900</v>
      </c>
      <c r="C170" s="1" t="n">
        <v>45807</v>
      </c>
      <c r="D170" t="inlineStr">
        <is>
          <t>JÄMTLANDS LÄN</t>
        </is>
      </c>
      <c r="E170" t="inlineStr">
        <is>
          <t>ÖSTERSUND</t>
        </is>
      </c>
      <c r="G170" t="n">
        <v>14.8</v>
      </c>
      <c r="H170" t="n">
        <v>0</v>
      </c>
      <c r="I170" t="n">
        <v>1</v>
      </c>
      <c r="J170" t="n">
        <v>0</v>
      </c>
      <c r="K170" t="n">
        <v>0</v>
      </c>
      <c r="L170" t="n">
        <v>0</v>
      </c>
      <c r="M170" t="n">
        <v>0</v>
      </c>
      <c r="N170" t="n">
        <v>0</v>
      </c>
      <c r="O170" t="n">
        <v>0</v>
      </c>
      <c r="P170" t="n">
        <v>0</v>
      </c>
      <c r="Q170" t="n">
        <v>1</v>
      </c>
      <c r="R170" s="2" t="inlineStr">
        <is>
          <t>Finbräken</t>
        </is>
      </c>
      <c r="S170">
        <f>HYPERLINK("https://klasma.github.io/Logging_2380/artfynd/A 58181-2022 artfynd.xlsx", "A 58181-2022")</f>
        <v/>
      </c>
      <c r="T170">
        <f>HYPERLINK("https://klasma.github.io/Logging_2380/kartor/A 58181-2022 karta.png", "A 58181-2022")</f>
        <v/>
      </c>
      <c r="V170">
        <f>HYPERLINK("https://klasma.github.io/Logging_2380/klagomål/A 58181-2022 FSC-klagomål.docx", "A 58181-2022")</f>
        <v/>
      </c>
      <c r="W170">
        <f>HYPERLINK("https://klasma.github.io/Logging_2380/klagomålsmail/A 58181-2022 FSC-klagomål mail.docx", "A 58181-2022")</f>
        <v/>
      </c>
      <c r="X170">
        <f>HYPERLINK("https://klasma.github.io/Logging_2380/tillsyn/A 58181-2022 tillsynsbegäran.docx", "A 58181-2022")</f>
        <v/>
      </c>
      <c r="Y170">
        <f>HYPERLINK("https://klasma.github.io/Logging_2380/tillsynsmail/A 58181-2022 tillsynsbegäran mail.docx", "A 58181-2022")</f>
        <v/>
      </c>
    </row>
    <row r="171" ht="15" customHeight="1">
      <c r="A171" t="inlineStr">
        <is>
          <t>A 59739-2022</t>
        </is>
      </c>
      <c r="B171" s="1" t="n">
        <v>44908</v>
      </c>
      <c r="C171" s="1" t="n">
        <v>45807</v>
      </c>
      <c r="D171" t="inlineStr">
        <is>
          <t>JÄMTLANDS LÄN</t>
        </is>
      </c>
      <c r="E171" t="inlineStr">
        <is>
          <t>ÖSTERSUND</t>
        </is>
      </c>
      <c r="F171" t="inlineStr">
        <is>
          <t>Kommuner</t>
        </is>
      </c>
      <c r="G171" t="n">
        <v>1.9</v>
      </c>
      <c r="H171" t="n">
        <v>0</v>
      </c>
      <c r="I171" t="n">
        <v>1</v>
      </c>
      <c r="J171" t="n">
        <v>0</v>
      </c>
      <c r="K171" t="n">
        <v>0</v>
      </c>
      <c r="L171" t="n">
        <v>0</v>
      </c>
      <c r="M171" t="n">
        <v>0</v>
      </c>
      <c r="N171" t="n">
        <v>0</v>
      </c>
      <c r="O171" t="n">
        <v>0</v>
      </c>
      <c r="P171" t="n">
        <v>0</v>
      </c>
      <c r="Q171" t="n">
        <v>1</v>
      </c>
      <c r="R171" s="2" t="inlineStr">
        <is>
          <t>Vedticka</t>
        </is>
      </c>
      <c r="S171">
        <f>HYPERLINK("https://klasma.github.io/Logging_2380/artfynd/A 59739-2022 artfynd.xlsx", "A 59739-2022")</f>
        <v/>
      </c>
      <c r="T171">
        <f>HYPERLINK("https://klasma.github.io/Logging_2380/kartor/A 59739-2022 karta.png", "A 59739-2022")</f>
        <v/>
      </c>
      <c r="V171">
        <f>HYPERLINK("https://klasma.github.io/Logging_2380/klagomål/A 59739-2022 FSC-klagomål.docx", "A 59739-2022")</f>
        <v/>
      </c>
      <c r="W171">
        <f>HYPERLINK("https://klasma.github.io/Logging_2380/klagomålsmail/A 59739-2022 FSC-klagomål mail.docx", "A 59739-2022")</f>
        <v/>
      </c>
      <c r="X171">
        <f>HYPERLINK("https://klasma.github.io/Logging_2380/tillsyn/A 59739-2022 tillsynsbegäran.docx", "A 59739-2022")</f>
        <v/>
      </c>
      <c r="Y171">
        <f>HYPERLINK("https://klasma.github.io/Logging_2380/tillsynsmail/A 59739-2022 tillsynsbegäran mail.docx", "A 59739-2022")</f>
        <v/>
      </c>
    </row>
    <row r="172" ht="15" customHeight="1">
      <c r="A172" t="inlineStr">
        <is>
          <t>A 28980-2023</t>
        </is>
      </c>
      <c r="B172" s="1" t="n">
        <v>45096</v>
      </c>
      <c r="C172" s="1" t="n">
        <v>45807</v>
      </c>
      <c r="D172" t="inlineStr">
        <is>
          <t>JÄMTLANDS LÄN</t>
        </is>
      </c>
      <c r="E172" t="inlineStr">
        <is>
          <t>ÖSTERSUND</t>
        </is>
      </c>
      <c r="G172" t="n">
        <v>2.7</v>
      </c>
      <c r="H172" t="n">
        <v>0</v>
      </c>
      <c r="I172" t="n">
        <v>1</v>
      </c>
      <c r="J172" t="n">
        <v>0</v>
      </c>
      <c r="K172" t="n">
        <v>0</v>
      </c>
      <c r="L172" t="n">
        <v>0</v>
      </c>
      <c r="M172" t="n">
        <v>0</v>
      </c>
      <c r="N172" t="n">
        <v>0</v>
      </c>
      <c r="O172" t="n">
        <v>0</v>
      </c>
      <c r="P172" t="n">
        <v>0</v>
      </c>
      <c r="Q172" t="n">
        <v>1</v>
      </c>
      <c r="R172" s="2" t="inlineStr">
        <is>
          <t>Finbräken</t>
        </is>
      </c>
      <c r="S172">
        <f>HYPERLINK("https://klasma.github.io/Logging_2380/artfynd/A 28980-2023 artfynd.xlsx", "A 28980-2023")</f>
        <v/>
      </c>
      <c r="T172">
        <f>HYPERLINK("https://klasma.github.io/Logging_2380/kartor/A 28980-2023 karta.png", "A 28980-2023")</f>
        <v/>
      </c>
      <c r="V172">
        <f>HYPERLINK("https://klasma.github.io/Logging_2380/klagomål/A 28980-2023 FSC-klagomål.docx", "A 28980-2023")</f>
        <v/>
      </c>
      <c r="W172">
        <f>HYPERLINK("https://klasma.github.io/Logging_2380/klagomålsmail/A 28980-2023 FSC-klagomål mail.docx", "A 28980-2023")</f>
        <v/>
      </c>
      <c r="X172">
        <f>HYPERLINK("https://klasma.github.io/Logging_2380/tillsyn/A 28980-2023 tillsynsbegäran.docx", "A 28980-2023")</f>
        <v/>
      </c>
      <c r="Y172">
        <f>HYPERLINK("https://klasma.github.io/Logging_2380/tillsynsmail/A 28980-2023 tillsynsbegäran mail.docx", "A 28980-2023")</f>
        <v/>
      </c>
    </row>
    <row r="173" ht="15" customHeight="1">
      <c r="A173" t="inlineStr">
        <is>
          <t>A 32411-2023</t>
        </is>
      </c>
      <c r="B173" s="1" t="n">
        <v>45120</v>
      </c>
      <c r="C173" s="1" t="n">
        <v>45807</v>
      </c>
      <c r="D173" t="inlineStr">
        <is>
          <t>JÄMTLANDS LÄN</t>
        </is>
      </c>
      <c r="E173" t="inlineStr">
        <is>
          <t>ÖSTERSUND</t>
        </is>
      </c>
      <c r="G173" t="n">
        <v>8.5</v>
      </c>
      <c r="H173" t="n">
        <v>1</v>
      </c>
      <c r="I173" t="n">
        <v>1</v>
      </c>
      <c r="J173" t="n">
        <v>0</v>
      </c>
      <c r="K173" t="n">
        <v>0</v>
      </c>
      <c r="L173" t="n">
        <v>0</v>
      </c>
      <c r="M173" t="n">
        <v>0</v>
      </c>
      <c r="N173" t="n">
        <v>0</v>
      </c>
      <c r="O173" t="n">
        <v>0</v>
      </c>
      <c r="P173" t="n">
        <v>0</v>
      </c>
      <c r="Q173" t="n">
        <v>1</v>
      </c>
      <c r="R173" s="2" t="inlineStr">
        <is>
          <t>Spindelblomster</t>
        </is>
      </c>
      <c r="S173">
        <f>HYPERLINK("https://klasma.github.io/Logging_2380/artfynd/A 32411-2023 artfynd.xlsx", "A 32411-2023")</f>
        <v/>
      </c>
      <c r="T173">
        <f>HYPERLINK("https://klasma.github.io/Logging_2380/kartor/A 32411-2023 karta.png", "A 32411-2023")</f>
        <v/>
      </c>
      <c r="V173">
        <f>HYPERLINK("https://klasma.github.io/Logging_2380/klagomål/A 32411-2023 FSC-klagomål.docx", "A 32411-2023")</f>
        <v/>
      </c>
      <c r="W173">
        <f>HYPERLINK("https://klasma.github.io/Logging_2380/klagomålsmail/A 32411-2023 FSC-klagomål mail.docx", "A 32411-2023")</f>
        <v/>
      </c>
      <c r="X173">
        <f>HYPERLINK("https://klasma.github.io/Logging_2380/tillsyn/A 32411-2023 tillsynsbegäran.docx", "A 32411-2023")</f>
        <v/>
      </c>
      <c r="Y173">
        <f>HYPERLINK("https://klasma.github.io/Logging_2380/tillsynsmail/A 32411-2023 tillsynsbegäran mail.docx", "A 32411-2023")</f>
        <v/>
      </c>
    </row>
    <row r="174" ht="15" customHeight="1">
      <c r="A174" t="inlineStr">
        <is>
          <t>A 50825-2023</t>
        </is>
      </c>
      <c r="B174" s="1" t="n">
        <v>45217</v>
      </c>
      <c r="C174" s="1" t="n">
        <v>45807</v>
      </c>
      <c r="D174" t="inlineStr">
        <is>
          <t>JÄMTLANDS LÄN</t>
        </is>
      </c>
      <c r="E174" t="inlineStr">
        <is>
          <t>ÖSTERSUND</t>
        </is>
      </c>
      <c r="G174" t="n">
        <v>24.3</v>
      </c>
      <c r="H174" t="n">
        <v>0</v>
      </c>
      <c r="I174" t="n">
        <v>0</v>
      </c>
      <c r="J174" t="n">
        <v>1</v>
      </c>
      <c r="K174" t="n">
        <v>0</v>
      </c>
      <c r="L174" t="n">
        <v>0</v>
      </c>
      <c r="M174" t="n">
        <v>0</v>
      </c>
      <c r="N174" t="n">
        <v>0</v>
      </c>
      <c r="O174" t="n">
        <v>1</v>
      </c>
      <c r="P174" t="n">
        <v>0</v>
      </c>
      <c r="Q174" t="n">
        <v>1</v>
      </c>
      <c r="R174" s="2" t="inlineStr">
        <is>
          <t>Granticka</t>
        </is>
      </c>
      <c r="S174">
        <f>HYPERLINK("https://klasma.github.io/Logging_2380/artfynd/A 50825-2023 artfynd.xlsx", "A 50825-2023")</f>
        <v/>
      </c>
      <c r="T174">
        <f>HYPERLINK("https://klasma.github.io/Logging_2380/kartor/A 50825-2023 karta.png", "A 50825-2023")</f>
        <v/>
      </c>
      <c r="V174">
        <f>HYPERLINK("https://klasma.github.io/Logging_2380/klagomål/A 50825-2023 FSC-klagomål.docx", "A 50825-2023")</f>
        <v/>
      </c>
      <c r="W174">
        <f>HYPERLINK("https://klasma.github.io/Logging_2380/klagomålsmail/A 50825-2023 FSC-klagomål mail.docx", "A 50825-2023")</f>
        <v/>
      </c>
      <c r="X174">
        <f>HYPERLINK("https://klasma.github.io/Logging_2380/tillsyn/A 50825-2023 tillsynsbegäran.docx", "A 50825-2023")</f>
        <v/>
      </c>
      <c r="Y174">
        <f>HYPERLINK("https://klasma.github.io/Logging_2380/tillsynsmail/A 50825-2023 tillsynsbegäran mail.docx", "A 50825-2023")</f>
        <v/>
      </c>
    </row>
    <row r="175" ht="15" customHeight="1">
      <c r="A175" t="inlineStr">
        <is>
          <t>A 56025-2023</t>
        </is>
      </c>
      <c r="B175" s="1" t="n">
        <v>45233</v>
      </c>
      <c r="C175" s="1" t="n">
        <v>45807</v>
      </c>
      <c r="D175" t="inlineStr">
        <is>
          <t>JÄMTLANDS LÄN</t>
        </is>
      </c>
      <c r="E175" t="inlineStr">
        <is>
          <t>ÖSTERSUND</t>
        </is>
      </c>
      <c r="G175" t="n">
        <v>3.9</v>
      </c>
      <c r="H175" t="n">
        <v>1</v>
      </c>
      <c r="I175" t="n">
        <v>0</v>
      </c>
      <c r="J175" t="n">
        <v>1</v>
      </c>
      <c r="K175" t="n">
        <v>0</v>
      </c>
      <c r="L175" t="n">
        <v>0</v>
      </c>
      <c r="M175" t="n">
        <v>0</v>
      </c>
      <c r="N175" t="n">
        <v>0</v>
      </c>
      <c r="O175" t="n">
        <v>1</v>
      </c>
      <c r="P175" t="n">
        <v>0</v>
      </c>
      <c r="Q175" t="n">
        <v>1</v>
      </c>
      <c r="R175" s="2" t="inlineStr">
        <is>
          <t>Jämtlandsmaskros</t>
        </is>
      </c>
      <c r="S175">
        <f>HYPERLINK("https://klasma.github.io/Logging_2380/artfynd/A 56025-2023 artfynd.xlsx", "A 56025-2023")</f>
        <v/>
      </c>
      <c r="T175">
        <f>HYPERLINK("https://klasma.github.io/Logging_2380/kartor/A 56025-2023 karta.png", "A 56025-2023")</f>
        <v/>
      </c>
      <c r="V175">
        <f>HYPERLINK("https://klasma.github.io/Logging_2380/klagomål/A 56025-2023 FSC-klagomål.docx", "A 56025-2023")</f>
        <v/>
      </c>
      <c r="W175">
        <f>HYPERLINK("https://klasma.github.io/Logging_2380/klagomålsmail/A 56025-2023 FSC-klagomål mail.docx", "A 56025-2023")</f>
        <v/>
      </c>
      <c r="X175">
        <f>HYPERLINK("https://klasma.github.io/Logging_2380/tillsyn/A 56025-2023 tillsynsbegäran.docx", "A 56025-2023")</f>
        <v/>
      </c>
      <c r="Y175">
        <f>HYPERLINK("https://klasma.github.io/Logging_2380/tillsynsmail/A 56025-2023 tillsynsbegäran mail.docx", "A 56025-2023")</f>
        <v/>
      </c>
    </row>
    <row r="176" ht="15" customHeight="1">
      <c r="A176" t="inlineStr">
        <is>
          <t>A 57864-2023</t>
        </is>
      </c>
      <c r="B176" s="1" t="n">
        <v>45244</v>
      </c>
      <c r="C176" s="1" t="n">
        <v>45807</v>
      </c>
      <c r="D176" t="inlineStr">
        <is>
          <t>JÄMTLANDS LÄN</t>
        </is>
      </c>
      <c r="E176" t="inlineStr">
        <is>
          <t>ÖSTERSUND</t>
        </is>
      </c>
      <c r="G176" t="n">
        <v>3.1</v>
      </c>
      <c r="H176" t="n">
        <v>1</v>
      </c>
      <c r="I176" t="n">
        <v>0</v>
      </c>
      <c r="J176" t="n">
        <v>0</v>
      </c>
      <c r="K176" t="n">
        <v>0</v>
      </c>
      <c r="L176" t="n">
        <v>0</v>
      </c>
      <c r="M176" t="n">
        <v>0</v>
      </c>
      <c r="N176" t="n">
        <v>0</v>
      </c>
      <c r="O176" t="n">
        <v>0</v>
      </c>
      <c r="P176" t="n">
        <v>0</v>
      </c>
      <c r="Q176" t="n">
        <v>1</v>
      </c>
      <c r="R176" s="2" t="inlineStr">
        <is>
          <t>Mattlummer</t>
        </is>
      </c>
      <c r="S176">
        <f>HYPERLINK("https://klasma.github.io/Logging_2380/artfynd/A 57864-2023 artfynd.xlsx", "A 57864-2023")</f>
        <v/>
      </c>
      <c r="T176">
        <f>HYPERLINK("https://klasma.github.io/Logging_2380/kartor/A 57864-2023 karta.png", "A 57864-2023")</f>
        <v/>
      </c>
      <c r="V176">
        <f>HYPERLINK("https://klasma.github.io/Logging_2380/klagomål/A 57864-2023 FSC-klagomål.docx", "A 57864-2023")</f>
        <v/>
      </c>
      <c r="W176">
        <f>HYPERLINK("https://klasma.github.io/Logging_2380/klagomålsmail/A 57864-2023 FSC-klagomål mail.docx", "A 57864-2023")</f>
        <v/>
      </c>
      <c r="X176">
        <f>HYPERLINK("https://klasma.github.io/Logging_2380/tillsyn/A 57864-2023 tillsynsbegäran.docx", "A 57864-2023")</f>
        <v/>
      </c>
      <c r="Y176">
        <f>HYPERLINK("https://klasma.github.io/Logging_2380/tillsynsmail/A 57864-2023 tillsynsbegäran mail.docx", "A 57864-2023")</f>
        <v/>
      </c>
    </row>
    <row r="177" ht="15" customHeight="1">
      <c r="A177" t="inlineStr">
        <is>
          <t>A 64380-2023</t>
        </is>
      </c>
      <c r="B177" s="1" t="n">
        <v>45280</v>
      </c>
      <c r="C177" s="1" t="n">
        <v>45807</v>
      </c>
      <c r="D177" t="inlineStr">
        <is>
          <t>JÄMTLANDS LÄN</t>
        </is>
      </c>
      <c r="E177" t="inlineStr">
        <is>
          <t>ÖSTERSUND</t>
        </is>
      </c>
      <c r="G177" t="n">
        <v>12.4</v>
      </c>
      <c r="H177" t="n">
        <v>0</v>
      </c>
      <c r="I177" t="n">
        <v>0</v>
      </c>
      <c r="J177" t="n">
        <v>1</v>
      </c>
      <c r="K177" t="n">
        <v>0</v>
      </c>
      <c r="L177" t="n">
        <v>0</v>
      </c>
      <c r="M177" t="n">
        <v>0</v>
      </c>
      <c r="N177" t="n">
        <v>0</v>
      </c>
      <c r="O177" t="n">
        <v>1</v>
      </c>
      <c r="P177" t="n">
        <v>0</v>
      </c>
      <c r="Q177" t="n">
        <v>1</v>
      </c>
      <c r="R177" s="2" t="inlineStr">
        <is>
          <t>Luddfingersvamp</t>
        </is>
      </c>
      <c r="S177">
        <f>HYPERLINK("https://klasma.github.io/Logging_2380/artfynd/A 64380-2023 artfynd.xlsx", "A 64380-2023")</f>
        <v/>
      </c>
      <c r="T177">
        <f>HYPERLINK("https://klasma.github.io/Logging_2380/kartor/A 64380-2023 karta.png", "A 64380-2023")</f>
        <v/>
      </c>
      <c r="V177">
        <f>HYPERLINK("https://klasma.github.io/Logging_2380/klagomål/A 64380-2023 FSC-klagomål.docx", "A 64380-2023")</f>
        <v/>
      </c>
      <c r="W177">
        <f>HYPERLINK("https://klasma.github.io/Logging_2380/klagomålsmail/A 64380-2023 FSC-klagomål mail.docx", "A 64380-2023")</f>
        <v/>
      </c>
      <c r="X177">
        <f>HYPERLINK("https://klasma.github.io/Logging_2380/tillsyn/A 64380-2023 tillsynsbegäran.docx", "A 64380-2023")</f>
        <v/>
      </c>
      <c r="Y177">
        <f>HYPERLINK("https://klasma.github.io/Logging_2380/tillsynsmail/A 64380-2023 tillsynsbegäran mail.docx", "A 64380-2023")</f>
        <v/>
      </c>
    </row>
    <row r="178" ht="15" customHeight="1">
      <c r="A178" t="inlineStr">
        <is>
          <t>A 3272-2024</t>
        </is>
      </c>
      <c r="B178" s="1" t="n">
        <v>45316</v>
      </c>
      <c r="C178" s="1" t="n">
        <v>45807</v>
      </c>
      <c r="D178" t="inlineStr">
        <is>
          <t>JÄMTLANDS LÄN</t>
        </is>
      </c>
      <c r="E178" t="inlineStr">
        <is>
          <t>ÖSTERSUND</t>
        </is>
      </c>
      <c r="G178" t="n">
        <v>5.6</v>
      </c>
      <c r="H178" t="n">
        <v>1</v>
      </c>
      <c r="I178" t="n">
        <v>1</v>
      </c>
      <c r="J178" t="n">
        <v>0</v>
      </c>
      <c r="K178" t="n">
        <v>0</v>
      </c>
      <c r="L178" t="n">
        <v>0</v>
      </c>
      <c r="M178" t="n">
        <v>0</v>
      </c>
      <c r="N178" t="n">
        <v>0</v>
      </c>
      <c r="O178" t="n">
        <v>0</v>
      </c>
      <c r="P178" t="n">
        <v>0</v>
      </c>
      <c r="Q178" t="n">
        <v>1</v>
      </c>
      <c r="R178" s="2" t="inlineStr">
        <is>
          <t>Korallrot</t>
        </is>
      </c>
      <c r="S178">
        <f>HYPERLINK("https://klasma.github.io/Logging_2380/artfynd/A 3272-2024 artfynd.xlsx", "A 3272-2024")</f>
        <v/>
      </c>
      <c r="T178">
        <f>HYPERLINK("https://klasma.github.io/Logging_2380/kartor/A 3272-2024 karta.png", "A 3272-2024")</f>
        <v/>
      </c>
      <c r="V178">
        <f>HYPERLINK("https://klasma.github.io/Logging_2380/klagomål/A 3272-2024 FSC-klagomål.docx", "A 3272-2024")</f>
        <v/>
      </c>
      <c r="W178">
        <f>HYPERLINK("https://klasma.github.io/Logging_2380/klagomålsmail/A 3272-2024 FSC-klagomål mail.docx", "A 3272-2024")</f>
        <v/>
      </c>
      <c r="X178">
        <f>HYPERLINK("https://klasma.github.io/Logging_2380/tillsyn/A 3272-2024 tillsynsbegäran.docx", "A 3272-2024")</f>
        <v/>
      </c>
      <c r="Y178">
        <f>HYPERLINK("https://klasma.github.io/Logging_2380/tillsynsmail/A 3272-2024 tillsynsbegäran mail.docx", "A 3272-2024")</f>
        <v/>
      </c>
    </row>
    <row r="179" ht="15" customHeight="1">
      <c r="A179" t="inlineStr">
        <is>
          <t>A 5781-2024</t>
        </is>
      </c>
      <c r="B179" s="1" t="n">
        <v>45335</v>
      </c>
      <c r="C179" s="1" t="n">
        <v>45807</v>
      </c>
      <c r="D179" t="inlineStr">
        <is>
          <t>JÄMTLANDS LÄN</t>
        </is>
      </c>
      <c r="E179" t="inlineStr">
        <is>
          <t>ÖSTERSUND</t>
        </is>
      </c>
      <c r="G179" t="n">
        <v>8.800000000000001</v>
      </c>
      <c r="H179" t="n">
        <v>1</v>
      </c>
      <c r="I179" t="n">
        <v>1</v>
      </c>
      <c r="J179" t="n">
        <v>0</v>
      </c>
      <c r="K179" t="n">
        <v>0</v>
      </c>
      <c r="L179" t="n">
        <v>0</v>
      </c>
      <c r="M179" t="n">
        <v>0</v>
      </c>
      <c r="N179" t="n">
        <v>0</v>
      </c>
      <c r="O179" t="n">
        <v>0</v>
      </c>
      <c r="P179" t="n">
        <v>0</v>
      </c>
      <c r="Q179" t="n">
        <v>1</v>
      </c>
      <c r="R179" s="2" t="inlineStr">
        <is>
          <t>Guckusko</t>
        </is>
      </c>
      <c r="S179">
        <f>HYPERLINK("https://klasma.github.io/Logging_2380/artfynd/A 5781-2024 artfynd.xlsx", "A 5781-2024")</f>
        <v/>
      </c>
      <c r="T179">
        <f>HYPERLINK("https://klasma.github.io/Logging_2380/kartor/A 5781-2024 karta.png", "A 5781-2024")</f>
        <v/>
      </c>
      <c r="V179">
        <f>HYPERLINK("https://klasma.github.io/Logging_2380/klagomål/A 5781-2024 FSC-klagomål.docx", "A 5781-2024")</f>
        <v/>
      </c>
      <c r="W179">
        <f>HYPERLINK("https://klasma.github.io/Logging_2380/klagomålsmail/A 5781-2024 FSC-klagomål mail.docx", "A 5781-2024")</f>
        <v/>
      </c>
      <c r="X179">
        <f>HYPERLINK("https://klasma.github.io/Logging_2380/tillsyn/A 5781-2024 tillsynsbegäran.docx", "A 5781-2024")</f>
        <v/>
      </c>
      <c r="Y179">
        <f>HYPERLINK("https://klasma.github.io/Logging_2380/tillsynsmail/A 5781-2024 tillsynsbegäran mail.docx", "A 5781-2024")</f>
        <v/>
      </c>
    </row>
    <row r="180" ht="15" customHeight="1">
      <c r="A180" t="inlineStr">
        <is>
          <t>A 5779-2024</t>
        </is>
      </c>
      <c r="B180" s="1" t="n">
        <v>45335</v>
      </c>
      <c r="C180" s="1" t="n">
        <v>45807</v>
      </c>
      <c r="D180" t="inlineStr">
        <is>
          <t>JÄMTLANDS LÄN</t>
        </is>
      </c>
      <c r="E180" t="inlineStr">
        <is>
          <t>ÖSTERSUND</t>
        </is>
      </c>
      <c r="G180" t="n">
        <v>9.9</v>
      </c>
      <c r="H180" t="n">
        <v>0</v>
      </c>
      <c r="I180" t="n">
        <v>1</v>
      </c>
      <c r="J180" t="n">
        <v>0</v>
      </c>
      <c r="K180" t="n">
        <v>0</v>
      </c>
      <c r="L180" t="n">
        <v>0</v>
      </c>
      <c r="M180" t="n">
        <v>0</v>
      </c>
      <c r="N180" t="n">
        <v>0</v>
      </c>
      <c r="O180" t="n">
        <v>0</v>
      </c>
      <c r="P180" t="n">
        <v>0</v>
      </c>
      <c r="Q180" t="n">
        <v>1</v>
      </c>
      <c r="R180" s="2" t="inlineStr">
        <is>
          <t>Kransrams</t>
        </is>
      </c>
      <c r="S180">
        <f>HYPERLINK("https://klasma.github.io/Logging_2380/artfynd/A 5779-2024 artfynd.xlsx", "A 5779-2024")</f>
        <v/>
      </c>
      <c r="T180">
        <f>HYPERLINK("https://klasma.github.io/Logging_2380/kartor/A 5779-2024 karta.png", "A 5779-2024")</f>
        <v/>
      </c>
      <c r="V180">
        <f>HYPERLINK("https://klasma.github.io/Logging_2380/klagomål/A 5779-2024 FSC-klagomål.docx", "A 5779-2024")</f>
        <v/>
      </c>
      <c r="W180">
        <f>HYPERLINK("https://klasma.github.io/Logging_2380/klagomålsmail/A 5779-2024 FSC-klagomål mail.docx", "A 5779-2024")</f>
        <v/>
      </c>
      <c r="X180">
        <f>HYPERLINK("https://klasma.github.io/Logging_2380/tillsyn/A 5779-2024 tillsynsbegäran.docx", "A 5779-2024")</f>
        <v/>
      </c>
      <c r="Y180">
        <f>HYPERLINK("https://klasma.github.io/Logging_2380/tillsynsmail/A 5779-2024 tillsynsbegäran mail.docx", "A 5779-2024")</f>
        <v/>
      </c>
    </row>
    <row r="181" ht="15" customHeight="1">
      <c r="A181" t="inlineStr">
        <is>
          <t>A 11513-2024</t>
        </is>
      </c>
      <c r="B181" s="1" t="n">
        <v>45372</v>
      </c>
      <c r="C181" s="1" t="n">
        <v>45807</v>
      </c>
      <c r="D181" t="inlineStr">
        <is>
          <t>JÄMTLANDS LÄN</t>
        </is>
      </c>
      <c r="E181" t="inlineStr">
        <is>
          <t>ÖSTERSUND</t>
        </is>
      </c>
      <c r="G181" t="n">
        <v>21.2</v>
      </c>
      <c r="H181" t="n">
        <v>0</v>
      </c>
      <c r="I181" t="n">
        <v>1</v>
      </c>
      <c r="J181" t="n">
        <v>0</v>
      </c>
      <c r="K181" t="n">
        <v>0</v>
      </c>
      <c r="L181" t="n">
        <v>0</v>
      </c>
      <c r="M181" t="n">
        <v>0</v>
      </c>
      <c r="N181" t="n">
        <v>0</v>
      </c>
      <c r="O181" t="n">
        <v>0</v>
      </c>
      <c r="P181" t="n">
        <v>0</v>
      </c>
      <c r="Q181" t="n">
        <v>1</v>
      </c>
      <c r="R181" s="2" t="inlineStr">
        <is>
          <t>Tibast</t>
        </is>
      </c>
      <c r="S181">
        <f>HYPERLINK("https://klasma.github.io/Logging_2380/artfynd/A 11513-2024 artfynd.xlsx", "A 11513-2024")</f>
        <v/>
      </c>
      <c r="T181">
        <f>HYPERLINK("https://klasma.github.io/Logging_2380/kartor/A 11513-2024 karta.png", "A 11513-2024")</f>
        <v/>
      </c>
      <c r="V181">
        <f>HYPERLINK("https://klasma.github.io/Logging_2380/klagomål/A 11513-2024 FSC-klagomål.docx", "A 11513-2024")</f>
        <v/>
      </c>
      <c r="W181">
        <f>HYPERLINK("https://klasma.github.io/Logging_2380/klagomålsmail/A 11513-2024 FSC-klagomål mail.docx", "A 11513-2024")</f>
        <v/>
      </c>
      <c r="X181">
        <f>HYPERLINK("https://klasma.github.io/Logging_2380/tillsyn/A 11513-2024 tillsynsbegäran.docx", "A 11513-2024")</f>
        <v/>
      </c>
      <c r="Y181">
        <f>HYPERLINK("https://klasma.github.io/Logging_2380/tillsynsmail/A 11513-2024 tillsynsbegäran mail.docx", "A 11513-2024")</f>
        <v/>
      </c>
    </row>
    <row r="182" ht="15" customHeight="1">
      <c r="A182" t="inlineStr">
        <is>
          <t>A 15090-2024</t>
        </is>
      </c>
      <c r="B182" s="1" t="n">
        <v>45399</v>
      </c>
      <c r="C182" s="1" t="n">
        <v>45807</v>
      </c>
      <c r="D182" t="inlineStr">
        <is>
          <t>JÄMTLANDS LÄN</t>
        </is>
      </c>
      <c r="E182" t="inlineStr">
        <is>
          <t>ÖSTERSUND</t>
        </is>
      </c>
      <c r="G182" t="n">
        <v>18</v>
      </c>
      <c r="H182" t="n">
        <v>0</v>
      </c>
      <c r="I182" t="n">
        <v>1</v>
      </c>
      <c r="J182" t="n">
        <v>0</v>
      </c>
      <c r="K182" t="n">
        <v>0</v>
      </c>
      <c r="L182" t="n">
        <v>0</v>
      </c>
      <c r="M182" t="n">
        <v>0</v>
      </c>
      <c r="N182" t="n">
        <v>0</v>
      </c>
      <c r="O182" t="n">
        <v>0</v>
      </c>
      <c r="P182" t="n">
        <v>0</v>
      </c>
      <c r="Q182" t="n">
        <v>1</v>
      </c>
      <c r="R182" s="2" t="inlineStr">
        <is>
          <t>Svavelriska</t>
        </is>
      </c>
      <c r="S182">
        <f>HYPERLINK("https://klasma.github.io/Logging_2380/artfynd/A 15090-2024 artfynd.xlsx", "A 15090-2024")</f>
        <v/>
      </c>
      <c r="T182">
        <f>HYPERLINK("https://klasma.github.io/Logging_2380/kartor/A 15090-2024 karta.png", "A 15090-2024")</f>
        <v/>
      </c>
      <c r="V182">
        <f>HYPERLINK("https://klasma.github.io/Logging_2380/klagomål/A 15090-2024 FSC-klagomål.docx", "A 15090-2024")</f>
        <v/>
      </c>
      <c r="W182">
        <f>HYPERLINK("https://klasma.github.io/Logging_2380/klagomålsmail/A 15090-2024 FSC-klagomål mail.docx", "A 15090-2024")</f>
        <v/>
      </c>
      <c r="X182">
        <f>HYPERLINK("https://klasma.github.io/Logging_2380/tillsyn/A 15090-2024 tillsynsbegäran.docx", "A 15090-2024")</f>
        <v/>
      </c>
      <c r="Y182">
        <f>HYPERLINK("https://klasma.github.io/Logging_2380/tillsynsmail/A 15090-2024 tillsynsbegäran mail.docx", "A 15090-2024")</f>
        <v/>
      </c>
    </row>
    <row r="183" ht="15" customHeight="1">
      <c r="A183" t="inlineStr">
        <is>
          <t>A 18951-2024</t>
        </is>
      </c>
      <c r="B183" s="1" t="n">
        <v>45427</v>
      </c>
      <c r="C183" s="1" t="n">
        <v>45807</v>
      </c>
      <c r="D183" t="inlineStr">
        <is>
          <t>JÄMTLANDS LÄN</t>
        </is>
      </c>
      <c r="E183" t="inlineStr">
        <is>
          <t>ÖSTERSUND</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HYPERLINK("https://klasma.github.io/Logging_2380/artfynd/A 18951-2024 artfynd.xlsx", "A 18951-2024")</f>
        <v/>
      </c>
      <c r="T183">
        <f>HYPERLINK("https://klasma.github.io/Logging_2380/kartor/A 18951-2024 karta.png", "A 18951-2024")</f>
        <v/>
      </c>
      <c r="V183">
        <f>HYPERLINK("https://klasma.github.io/Logging_2380/klagomål/A 18951-2024 FSC-klagomål.docx", "A 18951-2024")</f>
        <v/>
      </c>
      <c r="W183">
        <f>HYPERLINK("https://klasma.github.io/Logging_2380/klagomålsmail/A 18951-2024 FSC-klagomål mail.docx", "A 18951-2024")</f>
        <v/>
      </c>
      <c r="X183">
        <f>HYPERLINK("https://klasma.github.io/Logging_2380/tillsyn/A 18951-2024 tillsynsbegäran.docx", "A 18951-2024")</f>
        <v/>
      </c>
      <c r="Y183">
        <f>HYPERLINK("https://klasma.github.io/Logging_2380/tillsynsmail/A 18951-2024 tillsynsbegäran mail.docx", "A 18951-2024")</f>
        <v/>
      </c>
    </row>
    <row r="184" ht="15" customHeight="1">
      <c r="A184" t="inlineStr">
        <is>
          <t>A 21614-2024</t>
        </is>
      </c>
      <c r="B184" s="1" t="n">
        <v>45442</v>
      </c>
      <c r="C184" s="1" t="n">
        <v>45807</v>
      </c>
      <c r="D184" t="inlineStr">
        <is>
          <t>JÄMTLANDS LÄN</t>
        </is>
      </c>
      <c r="E184" t="inlineStr">
        <is>
          <t>ÖSTERSUND</t>
        </is>
      </c>
      <c r="F184" t="inlineStr">
        <is>
          <t>SCA</t>
        </is>
      </c>
      <c r="G184" t="n">
        <v>3.5</v>
      </c>
      <c r="H184" t="n">
        <v>0</v>
      </c>
      <c r="I184" t="n">
        <v>0</v>
      </c>
      <c r="J184" t="n">
        <v>1</v>
      </c>
      <c r="K184" t="n">
        <v>0</v>
      </c>
      <c r="L184" t="n">
        <v>0</v>
      </c>
      <c r="M184" t="n">
        <v>0</v>
      </c>
      <c r="N184" t="n">
        <v>0</v>
      </c>
      <c r="O184" t="n">
        <v>1</v>
      </c>
      <c r="P184" t="n">
        <v>0</v>
      </c>
      <c r="Q184" t="n">
        <v>1</v>
      </c>
      <c r="R184" s="2" t="inlineStr">
        <is>
          <t>Lunglav</t>
        </is>
      </c>
      <c r="S184">
        <f>HYPERLINK("https://klasma.github.io/Logging_2380/artfynd/A 21614-2024 artfynd.xlsx", "A 21614-2024")</f>
        <v/>
      </c>
      <c r="T184">
        <f>HYPERLINK("https://klasma.github.io/Logging_2380/kartor/A 21614-2024 karta.png", "A 21614-2024")</f>
        <v/>
      </c>
      <c r="U184">
        <f>HYPERLINK("https://klasma.github.io/Logging_2380/knärot/A 21614-2024 karta knärot.png", "A 21614-2024")</f>
        <v/>
      </c>
      <c r="V184">
        <f>HYPERLINK("https://klasma.github.io/Logging_2380/klagomål/A 21614-2024 FSC-klagomål.docx", "A 21614-2024")</f>
        <v/>
      </c>
      <c r="W184">
        <f>HYPERLINK("https://klasma.github.io/Logging_2380/klagomålsmail/A 21614-2024 FSC-klagomål mail.docx", "A 21614-2024")</f>
        <v/>
      </c>
      <c r="X184">
        <f>HYPERLINK("https://klasma.github.io/Logging_2380/tillsyn/A 21614-2024 tillsynsbegäran.docx", "A 21614-2024")</f>
        <v/>
      </c>
      <c r="Y184">
        <f>HYPERLINK("https://klasma.github.io/Logging_2380/tillsynsmail/A 21614-2024 tillsynsbegäran mail.docx", "A 21614-2024")</f>
        <v/>
      </c>
    </row>
    <row r="185" ht="15" customHeight="1">
      <c r="A185" t="inlineStr">
        <is>
          <t>A 31883-2024</t>
        </is>
      </c>
      <c r="B185" s="1" t="n">
        <v>45510</v>
      </c>
      <c r="C185" s="1" t="n">
        <v>45807</v>
      </c>
      <c r="D185" t="inlineStr">
        <is>
          <t>JÄMTLANDS LÄN</t>
        </is>
      </c>
      <c r="E185" t="inlineStr">
        <is>
          <t>ÖSTERSUND</t>
        </is>
      </c>
      <c r="F185" t="inlineStr">
        <is>
          <t>SCA</t>
        </is>
      </c>
      <c r="G185" t="n">
        <v>3.3</v>
      </c>
      <c r="H185" t="n">
        <v>1</v>
      </c>
      <c r="I185" t="n">
        <v>0</v>
      </c>
      <c r="J185" t="n">
        <v>0</v>
      </c>
      <c r="K185" t="n">
        <v>1</v>
      </c>
      <c r="L185" t="n">
        <v>0</v>
      </c>
      <c r="M185" t="n">
        <v>0</v>
      </c>
      <c r="N185" t="n">
        <v>0</v>
      </c>
      <c r="O185" t="n">
        <v>1</v>
      </c>
      <c r="P185" t="n">
        <v>1</v>
      </c>
      <c r="Q185" t="n">
        <v>1</v>
      </c>
      <c r="R185" s="2" t="inlineStr">
        <is>
          <t>Doftticka</t>
        </is>
      </c>
      <c r="S185">
        <f>HYPERLINK("https://klasma.github.io/Logging_2380/artfynd/A 31883-2024 artfynd.xlsx", "A 31883-2024")</f>
        <v/>
      </c>
      <c r="T185">
        <f>HYPERLINK("https://klasma.github.io/Logging_2380/kartor/A 31883-2024 karta.png", "A 31883-2024")</f>
        <v/>
      </c>
      <c r="V185">
        <f>HYPERLINK("https://klasma.github.io/Logging_2380/klagomål/A 31883-2024 FSC-klagomål.docx", "A 31883-2024")</f>
        <v/>
      </c>
      <c r="W185">
        <f>HYPERLINK("https://klasma.github.io/Logging_2380/klagomålsmail/A 31883-2024 FSC-klagomål mail.docx", "A 31883-2024")</f>
        <v/>
      </c>
      <c r="X185">
        <f>HYPERLINK("https://klasma.github.io/Logging_2380/tillsyn/A 31883-2024 tillsynsbegäran.docx", "A 31883-2024")</f>
        <v/>
      </c>
      <c r="Y185">
        <f>HYPERLINK("https://klasma.github.io/Logging_2380/tillsynsmail/A 31883-2024 tillsynsbegäran mail.docx", "A 31883-2024")</f>
        <v/>
      </c>
    </row>
    <row r="186" ht="15" customHeight="1">
      <c r="A186" t="inlineStr">
        <is>
          <t>A 35422-2024</t>
        </is>
      </c>
      <c r="B186" s="1" t="n">
        <v>45531</v>
      </c>
      <c r="C186" s="1" t="n">
        <v>45807</v>
      </c>
      <c r="D186" t="inlineStr">
        <is>
          <t>JÄMTLANDS LÄN</t>
        </is>
      </c>
      <c r="E186" t="inlineStr">
        <is>
          <t>ÖSTERSUND</t>
        </is>
      </c>
      <c r="F186" t="inlineStr">
        <is>
          <t>SCA</t>
        </is>
      </c>
      <c r="G186" t="n">
        <v>1.9</v>
      </c>
      <c r="H186" t="n">
        <v>0</v>
      </c>
      <c r="I186" t="n">
        <v>0</v>
      </c>
      <c r="J186" t="n">
        <v>1</v>
      </c>
      <c r="K186" t="n">
        <v>0</v>
      </c>
      <c r="L186" t="n">
        <v>0</v>
      </c>
      <c r="M186" t="n">
        <v>0</v>
      </c>
      <c r="N186" t="n">
        <v>0</v>
      </c>
      <c r="O186" t="n">
        <v>1</v>
      </c>
      <c r="P186" t="n">
        <v>0</v>
      </c>
      <c r="Q186" t="n">
        <v>1</v>
      </c>
      <c r="R186" s="2" t="inlineStr">
        <is>
          <t>Lunglav</t>
        </is>
      </c>
      <c r="S186">
        <f>HYPERLINK("https://klasma.github.io/Logging_2380/artfynd/A 35422-2024 artfynd.xlsx", "A 35422-2024")</f>
        <v/>
      </c>
      <c r="T186">
        <f>HYPERLINK("https://klasma.github.io/Logging_2380/kartor/A 35422-2024 karta.png", "A 35422-2024")</f>
        <v/>
      </c>
      <c r="V186">
        <f>HYPERLINK("https://klasma.github.io/Logging_2380/klagomål/A 35422-2024 FSC-klagomål.docx", "A 35422-2024")</f>
        <v/>
      </c>
      <c r="W186">
        <f>HYPERLINK("https://klasma.github.io/Logging_2380/klagomålsmail/A 35422-2024 FSC-klagomål mail.docx", "A 35422-2024")</f>
        <v/>
      </c>
      <c r="X186">
        <f>HYPERLINK("https://klasma.github.io/Logging_2380/tillsyn/A 35422-2024 tillsynsbegäran.docx", "A 35422-2024")</f>
        <v/>
      </c>
      <c r="Y186">
        <f>HYPERLINK("https://klasma.github.io/Logging_2380/tillsynsmail/A 35422-2024 tillsynsbegäran mail.docx", "A 35422-2024")</f>
        <v/>
      </c>
    </row>
    <row r="187" ht="15" customHeight="1">
      <c r="A187" t="inlineStr">
        <is>
          <t>A 35421-2024</t>
        </is>
      </c>
      <c r="B187" s="1" t="n">
        <v>45531</v>
      </c>
      <c r="C187" s="1" t="n">
        <v>45807</v>
      </c>
      <c r="D187" t="inlineStr">
        <is>
          <t>JÄMTLANDS LÄN</t>
        </is>
      </c>
      <c r="E187" t="inlineStr">
        <is>
          <t>ÖSTERSUND</t>
        </is>
      </c>
      <c r="F187" t="inlineStr">
        <is>
          <t>SCA</t>
        </is>
      </c>
      <c r="G187" t="n">
        <v>1.6</v>
      </c>
      <c r="H187" t="n">
        <v>0</v>
      </c>
      <c r="I187" t="n">
        <v>1</v>
      </c>
      <c r="J187" t="n">
        <v>0</v>
      </c>
      <c r="K187" t="n">
        <v>0</v>
      </c>
      <c r="L187" t="n">
        <v>0</v>
      </c>
      <c r="M187" t="n">
        <v>0</v>
      </c>
      <c r="N187" t="n">
        <v>0</v>
      </c>
      <c r="O187" t="n">
        <v>0</v>
      </c>
      <c r="P187" t="n">
        <v>0</v>
      </c>
      <c r="Q187" t="n">
        <v>1</v>
      </c>
      <c r="R187" s="2" t="inlineStr">
        <is>
          <t>Dropptaggsvamp</t>
        </is>
      </c>
      <c r="S187">
        <f>HYPERLINK("https://klasma.github.io/Logging_2380/artfynd/A 35421-2024 artfynd.xlsx", "A 35421-2024")</f>
        <v/>
      </c>
      <c r="T187">
        <f>HYPERLINK("https://klasma.github.io/Logging_2380/kartor/A 35421-2024 karta.png", "A 35421-2024")</f>
        <v/>
      </c>
      <c r="V187">
        <f>HYPERLINK("https://klasma.github.io/Logging_2380/klagomål/A 35421-2024 FSC-klagomål.docx", "A 35421-2024")</f>
        <v/>
      </c>
      <c r="W187">
        <f>HYPERLINK("https://klasma.github.io/Logging_2380/klagomålsmail/A 35421-2024 FSC-klagomål mail.docx", "A 35421-2024")</f>
        <v/>
      </c>
      <c r="X187">
        <f>HYPERLINK("https://klasma.github.io/Logging_2380/tillsyn/A 35421-2024 tillsynsbegäran.docx", "A 35421-2024")</f>
        <v/>
      </c>
      <c r="Y187">
        <f>HYPERLINK("https://klasma.github.io/Logging_2380/tillsynsmail/A 35421-2024 tillsynsbegäran mail.docx", "A 35421-2024")</f>
        <v/>
      </c>
    </row>
    <row r="188" ht="15" customHeight="1">
      <c r="A188" t="inlineStr">
        <is>
          <t>A 36472-2024</t>
        </is>
      </c>
      <c r="B188" s="1" t="n">
        <v>45537</v>
      </c>
      <c r="C188" s="1" t="n">
        <v>45807</v>
      </c>
      <c r="D188" t="inlineStr">
        <is>
          <t>JÄMTLANDS LÄN</t>
        </is>
      </c>
      <c r="E188" t="inlineStr">
        <is>
          <t>ÖSTERSUND</t>
        </is>
      </c>
      <c r="F188" t="inlineStr">
        <is>
          <t>SCA</t>
        </is>
      </c>
      <c r="G188" t="n">
        <v>2.1</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36472-2024 artfynd.xlsx", "A 36472-2024")</f>
        <v/>
      </c>
      <c r="T188">
        <f>HYPERLINK("https://klasma.github.io/Logging_2380/kartor/A 36472-2024 karta.png", "A 36472-2024")</f>
        <v/>
      </c>
      <c r="V188">
        <f>HYPERLINK("https://klasma.github.io/Logging_2380/klagomål/A 36472-2024 FSC-klagomål.docx", "A 36472-2024")</f>
        <v/>
      </c>
      <c r="W188">
        <f>HYPERLINK("https://klasma.github.io/Logging_2380/klagomålsmail/A 36472-2024 FSC-klagomål mail.docx", "A 36472-2024")</f>
        <v/>
      </c>
      <c r="X188">
        <f>HYPERLINK("https://klasma.github.io/Logging_2380/tillsyn/A 36472-2024 tillsynsbegäran.docx", "A 36472-2024")</f>
        <v/>
      </c>
      <c r="Y188">
        <f>HYPERLINK("https://klasma.github.io/Logging_2380/tillsynsmail/A 36472-2024 tillsynsbegäran mail.docx", "A 36472-2024")</f>
        <v/>
      </c>
    </row>
    <row r="189" ht="15" customHeight="1">
      <c r="A189" t="inlineStr">
        <is>
          <t>A 40694-2024</t>
        </is>
      </c>
      <c r="B189" s="1" t="n">
        <v>45558</v>
      </c>
      <c r="C189" s="1" t="n">
        <v>45807</v>
      </c>
      <c r="D189" t="inlineStr">
        <is>
          <t>JÄMTLANDS LÄN</t>
        </is>
      </c>
      <c r="E189" t="inlineStr">
        <is>
          <t>ÖSTERSUND</t>
        </is>
      </c>
      <c r="F189" t="inlineStr">
        <is>
          <t>SCA</t>
        </is>
      </c>
      <c r="G189" t="n">
        <v>6.2</v>
      </c>
      <c r="H189" t="n">
        <v>0</v>
      </c>
      <c r="I189" t="n">
        <v>0</v>
      </c>
      <c r="J189" t="n">
        <v>1</v>
      </c>
      <c r="K189" t="n">
        <v>0</v>
      </c>
      <c r="L189" t="n">
        <v>0</v>
      </c>
      <c r="M189" t="n">
        <v>0</v>
      </c>
      <c r="N189" t="n">
        <v>0</v>
      </c>
      <c r="O189" t="n">
        <v>1</v>
      </c>
      <c r="P189" t="n">
        <v>0</v>
      </c>
      <c r="Q189" t="n">
        <v>1</v>
      </c>
      <c r="R189" s="2" t="inlineStr">
        <is>
          <t>Reliktbock</t>
        </is>
      </c>
      <c r="S189">
        <f>HYPERLINK("https://klasma.github.io/Logging_2380/artfynd/A 40694-2024 artfynd.xlsx", "A 40694-2024")</f>
        <v/>
      </c>
      <c r="T189">
        <f>HYPERLINK("https://klasma.github.io/Logging_2380/kartor/A 40694-2024 karta.png", "A 40694-2024")</f>
        <v/>
      </c>
      <c r="V189">
        <f>HYPERLINK("https://klasma.github.io/Logging_2380/klagomål/A 40694-2024 FSC-klagomål.docx", "A 40694-2024")</f>
        <v/>
      </c>
      <c r="W189">
        <f>HYPERLINK("https://klasma.github.io/Logging_2380/klagomålsmail/A 40694-2024 FSC-klagomål mail.docx", "A 40694-2024")</f>
        <v/>
      </c>
      <c r="X189">
        <f>HYPERLINK("https://klasma.github.io/Logging_2380/tillsyn/A 40694-2024 tillsynsbegäran.docx", "A 40694-2024")</f>
        <v/>
      </c>
      <c r="Y189">
        <f>HYPERLINK("https://klasma.github.io/Logging_2380/tillsynsmail/A 40694-2024 tillsynsbegäran mail.docx", "A 40694-2024")</f>
        <v/>
      </c>
    </row>
    <row r="190" ht="15" customHeight="1">
      <c r="A190" t="inlineStr">
        <is>
          <t>A 40692-2024</t>
        </is>
      </c>
      <c r="B190" s="1" t="n">
        <v>45558</v>
      </c>
      <c r="C190" s="1" t="n">
        <v>45807</v>
      </c>
      <c r="D190" t="inlineStr">
        <is>
          <t>JÄMTLANDS LÄN</t>
        </is>
      </c>
      <c r="E190" t="inlineStr">
        <is>
          <t>ÖSTERSUND</t>
        </is>
      </c>
      <c r="F190" t="inlineStr">
        <is>
          <t>SCA</t>
        </is>
      </c>
      <c r="G190" t="n">
        <v>0.9</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40692-2024 artfynd.xlsx", "A 40692-2024")</f>
        <v/>
      </c>
      <c r="T190">
        <f>HYPERLINK("https://klasma.github.io/Logging_2380/kartor/A 40692-2024 karta.png", "A 40692-2024")</f>
        <v/>
      </c>
      <c r="V190">
        <f>HYPERLINK("https://klasma.github.io/Logging_2380/klagomål/A 40692-2024 FSC-klagomål.docx", "A 40692-2024")</f>
        <v/>
      </c>
      <c r="W190">
        <f>HYPERLINK("https://klasma.github.io/Logging_2380/klagomålsmail/A 40692-2024 FSC-klagomål mail.docx", "A 40692-2024")</f>
        <v/>
      </c>
      <c r="X190">
        <f>HYPERLINK("https://klasma.github.io/Logging_2380/tillsyn/A 40692-2024 tillsynsbegäran.docx", "A 40692-2024")</f>
        <v/>
      </c>
      <c r="Y190">
        <f>HYPERLINK("https://klasma.github.io/Logging_2380/tillsynsmail/A 40692-2024 tillsynsbegäran mail.docx", "A 40692-2024")</f>
        <v/>
      </c>
    </row>
    <row r="191" ht="15" customHeight="1">
      <c r="A191" t="inlineStr">
        <is>
          <t>A 40696-2024</t>
        </is>
      </c>
      <c r="B191" s="1" t="n">
        <v>45558</v>
      </c>
      <c r="C191" s="1" t="n">
        <v>45807</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41312-2024</t>
        </is>
      </c>
      <c r="B192" s="1" t="n">
        <v>45559</v>
      </c>
      <c r="C192" s="1" t="n">
        <v>45807</v>
      </c>
      <c r="D192" t="inlineStr">
        <is>
          <t>JÄMTLANDS LÄN</t>
        </is>
      </c>
      <c r="E192" t="inlineStr">
        <is>
          <t>ÖSTERSUND</t>
        </is>
      </c>
      <c r="F192" t="inlineStr">
        <is>
          <t>SCA</t>
        </is>
      </c>
      <c r="G192" t="n">
        <v>2.6</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41312-2024 artfynd.xlsx", "A 41312-2024")</f>
        <v/>
      </c>
      <c r="T192">
        <f>HYPERLINK("https://klasma.github.io/Logging_2380/kartor/A 41312-2024 karta.png", "A 41312-2024")</f>
        <v/>
      </c>
      <c r="V192">
        <f>HYPERLINK("https://klasma.github.io/Logging_2380/klagomål/A 41312-2024 FSC-klagomål.docx", "A 41312-2024")</f>
        <v/>
      </c>
      <c r="W192">
        <f>HYPERLINK("https://klasma.github.io/Logging_2380/klagomålsmail/A 41312-2024 FSC-klagomål mail.docx", "A 41312-2024")</f>
        <v/>
      </c>
      <c r="X192">
        <f>HYPERLINK("https://klasma.github.io/Logging_2380/tillsyn/A 41312-2024 tillsynsbegäran.docx", "A 41312-2024")</f>
        <v/>
      </c>
      <c r="Y192">
        <f>HYPERLINK("https://klasma.github.io/Logging_2380/tillsynsmail/A 41312-2024 tillsynsbegäran mail.docx", "A 41312-2024")</f>
        <v/>
      </c>
    </row>
    <row r="193" ht="15" customHeight="1">
      <c r="A193" t="inlineStr">
        <is>
          <t>A 41275-2024</t>
        </is>
      </c>
      <c r="B193" s="1" t="n">
        <v>45559</v>
      </c>
      <c r="C193" s="1" t="n">
        <v>45807</v>
      </c>
      <c r="D193" t="inlineStr">
        <is>
          <t>JÄMTLANDS LÄN</t>
        </is>
      </c>
      <c r="E193" t="inlineStr">
        <is>
          <t>ÖSTERSUND</t>
        </is>
      </c>
      <c r="F193" t="inlineStr">
        <is>
          <t>SCA</t>
        </is>
      </c>
      <c r="G193" t="n">
        <v>3.3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41275-2024 artfynd.xlsx", "A 41275-2024")</f>
        <v/>
      </c>
      <c r="T193">
        <f>HYPERLINK("https://klasma.github.io/Logging_2380/kartor/A 41275-2024 karta.png", "A 41275-2024")</f>
        <v/>
      </c>
      <c r="V193">
        <f>HYPERLINK("https://klasma.github.io/Logging_2380/klagomål/A 41275-2024 FSC-klagomål.docx", "A 41275-2024")</f>
        <v/>
      </c>
      <c r="W193">
        <f>HYPERLINK("https://klasma.github.io/Logging_2380/klagomålsmail/A 41275-2024 FSC-klagomål mail.docx", "A 41275-2024")</f>
        <v/>
      </c>
      <c r="X193">
        <f>HYPERLINK("https://klasma.github.io/Logging_2380/tillsyn/A 41275-2024 tillsynsbegäran.docx", "A 41275-2024")</f>
        <v/>
      </c>
      <c r="Y193">
        <f>HYPERLINK("https://klasma.github.io/Logging_2380/tillsynsmail/A 41275-2024 tillsynsbegäran mail.docx", "A 41275-2024")</f>
        <v/>
      </c>
    </row>
    <row r="194" ht="15" customHeight="1">
      <c r="A194" t="inlineStr">
        <is>
          <t>A 41279-2024</t>
        </is>
      </c>
      <c r="B194" s="1" t="n">
        <v>45559</v>
      </c>
      <c r="C194" s="1" t="n">
        <v>45807</v>
      </c>
      <c r="D194" t="inlineStr">
        <is>
          <t>JÄMTLANDS LÄN</t>
        </is>
      </c>
      <c r="E194" t="inlineStr">
        <is>
          <t>ÖSTERSUND</t>
        </is>
      </c>
      <c r="F194" t="inlineStr">
        <is>
          <t>SCA</t>
        </is>
      </c>
      <c r="G194" t="n">
        <v>1.6</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41279-2024 artfynd.xlsx", "A 41279-2024")</f>
        <v/>
      </c>
      <c r="T194">
        <f>HYPERLINK("https://klasma.github.io/Logging_2380/kartor/A 41279-2024 karta.png", "A 41279-2024")</f>
        <v/>
      </c>
      <c r="V194">
        <f>HYPERLINK("https://klasma.github.io/Logging_2380/klagomål/A 41279-2024 FSC-klagomål.docx", "A 41279-2024")</f>
        <v/>
      </c>
      <c r="W194">
        <f>HYPERLINK("https://klasma.github.io/Logging_2380/klagomålsmail/A 41279-2024 FSC-klagomål mail.docx", "A 41279-2024")</f>
        <v/>
      </c>
      <c r="X194">
        <f>HYPERLINK("https://klasma.github.io/Logging_2380/tillsyn/A 41279-2024 tillsynsbegäran.docx", "A 41279-2024")</f>
        <v/>
      </c>
      <c r="Y194">
        <f>HYPERLINK("https://klasma.github.io/Logging_2380/tillsynsmail/A 41279-2024 tillsynsbegäran mail.docx", "A 41279-2024")</f>
        <v/>
      </c>
    </row>
    <row r="195" ht="15" customHeight="1">
      <c r="A195" t="inlineStr">
        <is>
          <t>A 41286-2024</t>
        </is>
      </c>
      <c r="B195" s="1" t="n">
        <v>45559</v>
      </c>
      <c r="C195" s="1" t="n">
        <v>45807</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41286-2024 artfynd.xlsx", "A 41286-2024")</f>
        <v/>
      </c>
      <c r="T195">
        <f>HYPERLINK("https://klasma.github.io/Logging_2380/kartor/A 41286-2024 karta.png", "A 41286-2024")</f>
        <v/>
      </c>
      <c r="V195">
        <f>HYPERLINK("https://klasma.github.io/Logging_2380/klagomål/A 41286-2024 FSC-klagomål.docx", "A 41286-2024")</f>
        <v/>
      </c>
      <c r="W195">
        <f>HYPERLINK("https://klasma.github.io/Logging_2380/klagomålsmail/A 41286-2024 FSC-klagomål mail.docx", "A 41286-2024")</f>
        <v/>
      </c>
      <c r="X195">
        <f>HYPERLINK("https://klasma.github.io/Logging_2380/tillsyn/A 41286-2024 tillsynsbegäran.docx", "A 41286-2024")</f>
        <v/>
      </c>
      <c r="Y195">
        <f>HYPERLINK("https://klasma.github.io/Logging_2380/tillsynsmail/A 41286-2024 tillsynsbegäran mail.docx", "A 41286-2024")</f>
        <v/>
      </c>
    </row>
    <row r="196" ht="15" customHeight="1">
      <c r="A196" t="inlineStr">
        <is>
          <t>A 41755-2024</t>
        </is>
      </c>
      <c r="B196" s="1" t="n">
        <v>45561</v>
      </c>
      <c r="C196" s="1" t="n">
        <v>45807</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41755-2024 artfynd.xlsx", "A 41755-2024")</f>
        <v/>
      </c>
      <c r="T196">
        <f>HYPERLINK("https://klasma.github.io/Logging_2380/kartor/A 41755-2024 karta.png", "A 41755-2024")</f>
        <v/>
      </c>
      <c r="V196">
        <f>HYPERLINK("https://klasma.github.io/Logging_2380/klagomål/A 41755-2024 FSC-klagomål.docx", "A 41755-2024")</f>
        <v/>
      </c>
      <c r="W196">
        <f>HYPERLINK("https://klasma.github.io/Logging_2380/klagomålsmail/A 41755-2024 FSC-klagomål mail.docx", "A 41755-2024")</f>
        <v/>
      </c>
      <c r="X196">
        <f>HYPERLINK("https://klasma.github.io/Logging_2380/tillsyn/A 41755-2024 tillsynsbegäran.docx", "A 41755-2024")</f>
        <v/>
      </c>
      <c r="Y196">
        <f>HYPERLINK("https://klasma.github.io/Logging_2380/tillsynsmail/A 41755-2024 tillsynsbegäran mail.docx", "A 41755-2024")</f>
        <v/>
      </c>
    </row>
    <row r="197" ht="15" customHeight="1">
      <c r="A197" t="inlineStr">
        <is>
          <t>A 41762-2024</t>
        </is>
      </c>
      <c r="B197" s="1" t="n">
        <v>45561</v>
      </c>
      <c r="C197" s="1" t="n">
        <v>45807</v>
      </c>
      <c r="D197" t="inlineStr">
        <is>
          <t>JÄMTLANDS LÄN</t>
        </is>
      </c>
      <c r="E197" t="inlineStr">
        <is>
          <t>ÖSTERSUND</t>
        </is>
      </c>
      <c r="F197" t="inlineStr">
        <is>
          <t>SCA</t>
        </is>
      </c>
      <c r="G197" t="n">
        <v>5.9</v>
      </c>
      <c r="H197" t="n">
        <v>0</v>
      </c>
      <c r="I197" t="n">
        <v>1</v>
      </c>
      <c r="J197" t="n">
        <v>0</v>
      </c>
      <c r="K197" t="n">
        <v>0</v>
      </c>
      <c r="L197" t="n">
        <v>0</v>
      </c>
      <c r="M197" t="n">
        <v>0</v>
      </c>
      <c r="N197" t="n">
        <v>0</v>
      </c>
      <c r="O197" t="n">
        <v>0</v>
      </c>
      <c r="P197" t="n">
        <v>0</v>
      </c>
      <c r="Q197" t="n">
        <v>1</v>
      </c>
      <c r="R197" s="2" t="inlineStr">
        <is>
          <t>Dropptaggsvamp</t>
        </is>
      </c>
      <c r="S197">
        <f>HYPERLINK("https://klasma.github.io/Logging_2380/artfynd/A 41762-2024 artfynd.xlsx", "A 41762-2024")</f>
        <v/>
      </c>
      <c r="T197">
        <f>HYPERLINK("https://klasma.github.io/Logging_2380/kartor/A 41762-2024 karta.png", "A 41762-2024")</f>
        <v/>
      </c>
      <c r="V197">
        <f>HYPERLINK("https://klasma.github.io/Logging_2380/klagomål/A 41762-2024 FSC-klagomål.docx", "A 41762-2024")</f>
        <v/>
      </c>
      <c r="W197">
        <f>HYPERLINK("https://klasma.github.io/Logging_2380/klagomålsmail/A 41762-2024 FSC-klagomål mail.docx", "A 41762-2024")</f>
        <v/>
      </c>
      <c r="X197">
        <f>HYPERLINK("https://klasma.github.io/Logging_2380/tillsyn/A 41762-2024 tillsynsbegäran.docx", "A 41762-2024")</f>
        <v/>
      </c>
      <c r="Y197">
        <f>HYPERLINK("https://klasma.github.io/Logging_2380/tillsynsmail/A 41762-2024 tillsynsbegäran mail.docx", "A 41762-2024")</f>
        <v/>
      </c>
    </row>
    <row r="198" ht="15" customHeight="1">
      <c r="A198" t="inlineStr">
        <is>
          <t>A 41770-2024</t>
        </is>
      </c>
      <c r="B198" s="1" t="n">
        <v>45561</v>
      </c>
      <c r="C198" s="1" t="n">
        <v>45807</v>
      </c>
      <c r="D198" t="inlineStr">
        <is>
          <t>JÄMTLANDS LÄN</t>
        </is>
      </c>
      <c r="E198" t="inlineStr">
        <is>
          <t>ÖSTERSUND</t>
        </is>
      </c>
      <c r="F198" t="inlineStr">
        <is>
          <t>SCA</t>
        </is>
      </c>
      <c r="G198" t="n">
        <v>4.4</v>
      </c>
      <c r="H198" t="n">
        <v>0</v>
      </c>
      <c r="I198" t="n">
        <v>1</v>
      </c>
      <c r="J198" t="n">
        <v>0</v>
      </c>
      <c r="K198" t="n">
        <v>0</v>
      </c>
      <c r="L198" t="n">
        <v>0</v>
      </c>
      <c r="M198" t="n">
        <v>0</v>
      </c>
      <c r="N198" t="n">
        <v>0</v>
      </c>
      <c r="O198" t="n">
        <v>0</v>
      </c>
      <c r="P198" t="n">
        <v>0</v>
      </c>
      <c r="Q198" t="n">
        <v>1</v>
      </c>
      <c r="R198" s="2" t="inlineStr">
        <is>
          <t>Vedticka</t>
        </is>
      </c>
      <c r="S198">
        <f>HYPERLINK("https://klasma.github.io/Logging_2380/artfynd/A 41770-2024 artfynd.xlsx", "A 41770-2024")</f>
        <v/>
      </c>
      <c r="T198">
        <f>HYPERLINK("https://klasma.github.io/Logging_2380/kartor/A 41770-2024 karta.png", "A 41770-2024")</f>
        <v/>
      </c>
      <c r="V198">
        <f>HYPERLINK("https://klasma.github.io/Logging_2380/klagomål/A 41770-2024 FSC-klagomål.docx", "A 41770-2024")</f>
        <v/>
      </c>
      <c r="W198">
        <f>HYPERLINK("https://klasma.github.io/Logging_2380/klagomålsmail/A 41770-2024 FSC-klagomål mail.docx", "A 41770-2024")</f>
        <v/>
      </c>
      <c r="X198">
        <f>HYPERLINK("https://klasma.github.io/Logging_2380/tillsyn/A 41770-2024 tillsynsbegäran.docx", "A 41770-2024")</f>
        <v/>
      </c>
      <c r="Y198">
        <f>HYPERLINK("https://klasma.github.io/Logging_2380/tillsynsmail/A 41770-2024 tillsynsbegäran mail.docx", "A 41770-2024")</f>
        <v/>
      </c>
    </row>
    <row r="199" ht="15" customHeight="1">
      <c r="A199" t="inlineStr">
        <is>
          <t>A 44049-2024</t>
        </is>
      </c>
      <c r="B199" s="1" t="n">
        <v>45572</v>
      </c>
      <c r="C199" s="1" t="n">
        <v>45807</v>
      </c>
      <c r="D199" t="inlineStr">
        <is>
          <t>JÄMTLANDS LÄN</t>
        </is>
      </c>
      <c r="E199" t="inlineStr">
        <is>
          <t>ÖSTERSUND</t>
        </is>
      </c>
      <c r="F199" t="inlineStr">
        <is>
          <t>SCA</t>
        </is>
      </c>
      <c r="G199" t="n">
        <v>4.5</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44049-2024 artfynd.xlsx", "A 44049-2024")</f>
        <v/>
      </c>
      <c r="T199">
        <f>HYPERLINK("https://klasma.github.io/Logging_2380/kartor/A 44049-2024 karta.png", "A 44049-2024")</f>
        <v/>
      </c>
      <c r="V199">
        <f>HYPERLINK("https://klasma.github.io/Logging_2380/klagomål/A 44049-2024 FSC-klagomål.docx", "A 44049-2024")</f>
        <v/>
      </c>
      <c r="W199">
        <f>HYPERLINK("https://klasma.github.io/Logging_2380/klagomålsmail/A 44049-2024 FSC-klagomål mail.docx", "A 44049-2024")</f>
        <v/>
      </c>
      <c r="X199">
        <f>HYPERLINK("https://klasma.github.io/Logging_2380/tillsyn/A 44049-2024 tillsynsbegäran.docx", "A 44049-2024")</f>
        <v/>
      </c>
      <c r="Y199">
        <f>HYPERLINK("https://klasma.github.io/Logging_2380/tillsynsmail/A 44049-2024 tillsynsbegäran mail.docx", "A 44049-2024")</f>
        <v/>
      </c>
    </row>
    <row r="200" ht="15" customHeight="1">
      <c r="A200" t="inlineStr">
        <is>
          <t>A 44737-2024</t>
        </is>
      </c>
      <c r="B200" s="1" t="n">
        <v>45574</v>
      </c>
      <c r="C200" s="1" t="n">
        <v>45807</v>
      </c>
      <c r="D200" t="inlineStr">
        <is>
          <t>JÄMTLANDS LÄN</t>
        </is>
      </c>
      <c r="E200" t="inlineStr">
        <is>
          <t>ÖSTERSUND</t>
        </is>
      </c>
      <c r="F200" t="inlineStr">
        <is>
          <t>SCA</t>
        </is>
      </c>
      <c r="G200" t="n">
        <v>6.3</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44737-2024 artfynd.xlsx", "A 44737-2024")</f>
        <v/>
      </c>
      <c r="T200">
        <f>HYPERLINK("https://klasma.github.io/Logging_2380/kartor/A 44737-2024 karta.png", "A 44737-2024")</f>
        <v/>
      </c>
      <c r="V200">
        <f>HYPERLINK("https://klasma.github.io/Logging_2380/klagomål/A 44737-2024 FSC-klagomål.docx", "A 44737-2024")</f>
        <v/>
      </c>
      <c r="W200">
        <f>HYPERLINK("https://klasma.github.io/Logging_2380/klagomålsmail/A 44737-2024 FSC-klagomål mail.docx", "A 44737-2024")</f>
        <v/>
      </c>
      <c r="X200">
        <f>HYPERLINK("https://klasma.github.io/Logging_2380/tillsyn/A 44737-2024 tillsynsbegäran.docx", "A 44737-2024")</f>
        <v/>
      </c>
      <c r="Y200">
        <f>HYPERLINK("https://klasma.github.io/Logging_2380/tillsynsmail/A 44737-2024 tillsynsbegäran mail.docx", "A 44737-2024")</f>
        <v/>
      </c>
    </row>
    <row r="201" ht="15" customHeight="1">
      <c r="A201" t="inlineStr">
        <is>
          <t>A 45267-2024</t>
        </is>
      </c>
      <c r="B201" s="1" t="n">
        <v>45576</v>
      </c>
      <c r="C201" s="1" t="n">
        <v>45807</v>
      </c>
      <c r="D201" t="inlineStr">
        <is>
          <t>JÄMTLANDS LÄN</t>
        </is>
      </c>
      <c r="E201" t="inlineStr">
        <is>
          <t>ÖSTERSUND</t>
        </is>
      </c>
      <c r="G201" t="n">
        <v>8.6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45267-2024 artfynd.xlsx", "A 45267-2024")</f>
        <v/>
      </c>
      <c r="T201">
        <f>HYPERLINK("https://klasma.github.io/Logging_2380/kartor/A 45267-2024 karta.png", "A 45267-2024")</f>
        <v/>
      </c>
      <c r="V201">
        <f>HYPERLINK("https://klasma.github.io/Logging_2380/klagomål/A 45267-2024 FSC-klagomål.docx", "A 45267-2024")</f>
        <v/>
      </c>
      <c r="W201">
        <f>HYPERLINK("https://klasma.github.io/Logging_2380/klagomålsmail/A 45267-2024 FSC-klagomål mail.docx", "A 45267-2024")</f>
        <v/>
      </c>
      <c r="X201">
        <f>HYPERLINK("https://klasma.github.io/Logging_2380/tillsyn/A 45267-2024 tillsynsbegäran.docx", "A 45267-2024")</f>
        <v/>
      </c>
      <c r="Y201">
        <f>HYPERLINK("https://klasma.github.io/Logging_2380/tillsynsmail/A 45267-2024 tillsynsbegäran mail.docx", "A 45267-2024")</f>
        <v/>
      </c>
      <c r="Z201">
        <f>HYPERLINK("https://klasma.github.io/Logging_2380/fåglar/A 45267-2024 prioriterade fågelarter.docx", "A 45267-2024")</f>
        <v/>
      </c>
    </row>
    <row r="202" ht="15" customHeight="1">
      <c r="A202" t="inlineStr">
        <is>
          <t>A 47176-2024</t>
        </is>
      </c>
      <c r="B202" s="1" t="n">
        <v>45586</v>
      </c>
      <c r="C202" s="1" t="n">
        <v>45807</v>
      </c>
      <c r="D202" t="inlineStr">
        <is>
          <t>JÄMTLANDS LÄN</t>
        </is>
      </c>
      <c r="E202" t="inlineStr">
        <is>
          <t>ÖSTERSUND</t>
        </is>
      </c>
      <c r="F202" t="inlineStr">
        <is>
          <t>SCA</t>
        </is>
      </c>
      <c r="G202" t="n">
        <v>2.9</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47176-2024 artfynd.xlsx", "A 47176-2024")</f>
        <v/>
      </c>
      <c r="T202">
        <f>HYPERLINK("https://klasma.github.io/Logging_2380/kartor/A 47176-2024 karta.png", "A 47176-2024")</f>
        <v/>
      </c>
      <c r="V202">
        <f>HYPERLINK("https://klasma.github.io/Logging_2380/klagomål/A 47176-2024 FSC-klagomål.docx", "A 47176-2024")</f>
        <v/>
      </c>
      <c r="W202">
        <f>HYPERLINK("https://klasma.github.io/Logging_2380/klagomålsmail/A 47176-2024 FSC-klagomål mail.docx", "A 47176-2024")</f>
        <v/>
      </c>
      <c r="X202">
        <f>HYPERLINK("https://klasma.github.io/Logging_2380/tillsyn/A 47176-2024 tillsynsbegäran.docx", "A 47176-2024")</f>
        <v/>
      </c>
      <c r="Y202">
        <f>HYPERLINK("https://klasma.github.io/Logging_2380/tillsynsmail/A 47176-2024 tillsynsbegäran mail.docx", "A 47176-2024")</f>
        <v/>
      </c>
    </row>
    <row r="203" ht="15" customHeight="1">
      <c r="A203" t="inlineStr">
        <is>
          <t>A 54354-2024</t>
        </is>
      </c>
      <c r="B203" s="1" t="n">
        <v>45617</v>
      </c>
      <c r="C203" s="1" t="n">
        <v>45807</v>
      </c>
      <c r="D203" t="inlineStr">
        <is>
          <t>JÄMTLANDS LÄN</t>
        </is>
      </c>
      <c r="E203" t="inlineStr">
        <is>
          <t>ÖSTERSUND</t>
        </is>
      </c>
      <c r="G203" t="n">
        <v>7</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54354-2024 artfynd.xlsx", "A 54354-2024")</f>
        <v/>
      </c>
      <c r="T203">
        <f>HYPERLINK("https://klasma.github.io/Logging_2380/kartor/A 54354-2024 karta.png", "A 54354-2024")</f>
        <v/>
      </c>
      <c r="V203">
        <f>HYPERLINK("https://klasma.github.io/Logging_2380/klagomål/A 54354-2024 FSC-klagomål.docx", "A 54354-2024")</f>
        <v/>
      </c>
      <c r="W203">
        <f>HYPERLINK("https://klasma.github.io/Logging_2380/klagomålsmail/A 54354-2024 FSC-klagomål mail.docx", "A 54354-2024")</f>
        <v/>
      </c>
      <c r="X203">
        <f>HYPERLINK("https://klasma.github.io/Logging_2380/tillsyn/A 54354-2024 tillsynsbegäran.docx", "A 54354-2024")</f>
        <v/>
      </c>
      <c r="Y203">
        <f>HYPERLINK("https://klasma.github.io/Logging_2380/tillsynsmail/A 54354-2024 tillsynsbegäran mail.docx", "A 54354-2024")</f>
        <v/>
      </c>
      <c r="Z203">
        <f>HYPERLINK("https://klasma.github.io/Logging_2380/fåglar/A 54354-2024 prioriterade fågelarter.docx", "A 54354-2024")</f>
        <v/>
      </c>
    </row>
    <row r="204" ht="15" customHeight="1">
      <c r="A204" t="inlineStr">
        <is>
          <t>A 56201-2024</t>
        </is>
      </c>
      <c r="B204" s="1" t="n">
        <v>45624</v>
      </c>
      <c r="C204" s="1" t="n">
        <v>45807</v>
      </c>
      <c r="D204" t="inlineStr">
        <is>
          <t>JÄMTLANDS LÄN</t>
        </is>
      </c>
      <c r="E204" t="inlineStr">
        <is>
          <t>ÖSTERSUND</t>
        </is>
      </c>
      <c r="F204" t="inlineStr">
        <is>
          <t>SCA</t>
        </is>
      </c>
      <c r="G204" t="n">
        <v>5.9</v>
      </c>
      <c r="H204" t="n">
        <v>1</v>
      </c>
      <c r="I204" t="n">
        <v>0</v>
      </c>
      <c r="J204" t="n">
        <v>0</v>
      </c>
      <c r="K204" t="n">
        <v>1</v>
      </c>
      <c r="L204" t="n">
        <v>0</v>
      </c>
      <c r="M204" t="n">
        <v>0</v>
      </c>
      <c r="N204" t="n">
        <v>0</v>
      </c>
      <c r="O204" t="n">
        <v>1</v>
      </c>
      <c r="P204" t="n">
        <v>1</v>
      </c>
      <c r="Q204" t="n">
        <v>1</v>
      </c>
      <c r="R204" s="2" t="inlineStr">
        <is>
          <t>Doftticka</t>
        </is>
      </c>
      <c r="S204">
        <f>HYPERLINK("https://klasma.github.io/Logging_2380/artfynd/A 56201-2024 artfynd.xlsx", "A 56201-2024")</f>
        <v/>
      </c>
      <c r="T204">
        <f>HYPERLINK("https://klasma.github.io/Logging_2380/kartor/A 56201-2024 karta.png", "A 56201-2024")</f>
        <v/>
      </c>
      <c r="V204">
        <f>HYPERLINK("https://klasma.github.io/Logging_2380/klagomål/A 56201-2024 FSC-klagomål.docx", "A 56201-2024")</f>
        <v/>
      </c>
      <c r="W204">
        <f>HYPERLINK("https://klasma.github.io/Logging_2380/klagomålsmail/A 56201-2024 FSC-klagomål mail.docx", "A 56201-2024")</f>
        <v/>
      </c>
      <c r="X204">
        <f>HYPERLINK("https://klasma.github.io/Logging_2380/tillsyn/A 56201-2024 tillsynsbegäran.docx", "A 56201-2024")</f>
        <v/>
      </c>
      <c r="Y204">
        <f>HYPERLINK("https://klasma.github.io/Logging_2380/tillsynsmail/A 56201-2024 tillsynsbegäran mail.docx", "A 56201-2024")</f>
        <v/>
      </c>
    </row>
    <row r="205" ht="15" customHeight="1">
      <c r="A205" t="inlineStr">
        <is>
          <t>A 57065-2024</t>
        </is>
      </c>
      <c r="B205" s="1" t="n">
        <v>45629</v>
      </c>
      <c r="C205" s="1" t="n">
        <v>45807</v>
      </c>
      <c r="D205" t="inlineStr">
        <is>
          <t>JÄMTLANDS LÄN</t>
        </is>
      </c>
      <c r="E205" t="inlineStr">
        <is>
          <t>ÖSTERSUND</t>
        </is>
      </c>
      <c r="F205" t="inlineStr">
        <is>
          <t>SCA</t>
        </is>
      </c>
      <c r="G205" t="n">
        <v>6.3</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57065-2024 artfynd.xlsx", "A 57065-2024")</f>
        <v/>
      </c>
      <c r="T205">
        <f>HYPERLINK("https://klasma.github.io/Logging_2380/kartor/A 57065-2024 karta.png", "A 57065-2024")</f>
        <v/>
      </c>
      <c r="V205">
        <f>HYPERLINK("https://klasma.github.io/Logging_2380/klagomål/A 57065-2024 FSC-klagomål.docx", "A 57065-2024")</f>
        <v/>
      </c>
      <c r="W205">
        <f>HYPERLINK("https://klasma.github.io/Logging_2380/klagomålsmail/A 57065-2024 FSC-klagomål mail.docx", "A 57065-2024")</f>
        <v/>
      </c>
      <c r="X205">
        <f>HYPERLINK("https://klasma.github.io/Logging_2380/tillsyn/A 57065-2024 tillsynsbegäran.docx", "A 57065-2024")</f>
        <v/>
      </c>
      <c r="Y205">
        <f>HYPERLINK("https://klasma.github.io/Logging_2380/tillsynsmail/A 57065-2024 tillsynsbegäran mail.docx", "A 57065-2024")</f>
        <v/>
      </c>
      <c r="Z205">
        <f>HYPERLINK("https://klasma.github.io/Logging_2380/fåglar/A 57065-2024 prioriterade fågelarter.docx", "A 57065-2024")</f>
        <v/>
      </c>
    </row>
    <row r="206" ht="15" customHeight="1">
      <c r="A206" t="inlineStr">
        <is>
          <t>A 59108-2024</t>
        </is>
      </c>
      <c r="B206" s="1" t="n">
        <v>45637</v>
      </c>
      <c r="C206" s="1" t="n">
        <v>45807</v>
      </c>
      <c r="D206" t="inlineStr">
        <is>
          <t>JÄMTLANDS LÄN</t>
        </is>
      </c>
      <c r="E206" t="inlineStr">
        <is>
          <t>ÖSTERSUND</t>
        </is>
      </c>
      <c r="F206" t="inlineStr">
        <is>
          <t>SCA</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59108-2024 artfynd.xlsx", "A 59108-2024")</f>
        <v/>
      </c>
      <c r="T206">
        <f>HYPERLINK("https://klasma.github.io/Logging_2380/kartor/A 59108-2024 karta.png", "A 59108-2024")</f>
        <v/>
      </c>
      <c r="V206">
        <f>HYPERLINK("https://klasma.github.io/Logging_2380/klagomål/A 59108-2024 FSC-klagomål.docx", "A 59108-2024")</f>
        <v/>
      </c>
      <c r="W206">
        <f>HYPERLINK("https://klasma.github.io/Logging_2380/klagomålsmail/A 59108-2024 FSC-klagomål mail.docx", "A 59108-2024")</f>
        <v/>
      </c>
      <c r="X206">
        <f>HYPERLINK("https://klasma.github.io/Logging_2380/tillsyn/A 59108-2024 tillsynsbegäran.docx", "A 59108-2024")</f>
        <v/>
      </c>
      <c r="Y206">
        <f>HYPERLINK("https://klasma.github.io/Logging_2380/tillsynsmail/A 59108-2024 tillsynsbegäran mail.docx", "A 59108-2024")</f>
        <v/>
      </c>
      <c r="Z206">
        <f>HYPERLINK("https://klasma.github.io/Logging_2380/fåglar/A 59108-2024 prioriterade fågelarter.docx", "A 59108-2024")</f>
        <v/>
      </c>
    </row>
    <row r="207" ht="15" customHeight="1">
      <c r="A207" t="inlineStr">
        <is>
          <t>A 61179-2024</t>
        </is>
      </c>
      <c r="B207" s="1" t="n">
        <v>45645</v>
      </c>
      <c r="C207" s="1" t="n">
        <v>45807</v>
      </c>
      <c r="D207" t="inlineStr">
        <is>
          <t>JÄMTLANDS LÄN</t>
        </is>
      </c>
      <c r="E207" t="inlineStr">
        <is>
          <t>ÖSTERSUND</t>
        </is>
      </c>
      <c r="G207" t="n">
        <v>3.4</v>
      </c>
      <c r="H207" t="n">
        <v>1</v>
      </c>
      <c r="I207" t="n">
        <v>0</v>
      </c>
      <c r="J207" t="n">
        <v>0</v>
      </c>
      <c r="K207" t="n">
        <v>1</v>
      </c>
      <c r="L207" t="n">
        <v>0</v>
      </c>
      <c r="M207" t="n">
        <v>0</v>
      </c>
      <c r="N207" t="n">
        <v>0</v>
      </c>
      <c r="O207" t="n">
        <v>1</v>
      </c>
      <c r="P207" t="n">
        <v>1</v>
      </c>
      <c r="Q207" t="n">
        <v>1</v>
      </c>
      <c r="R207" s="2" t="inlineStr">
        <is>
          <t>Knärot</t>
        </is>
      </c>
      <c r="S207">
        <f>HYPERLINK("https://klasma.github.io/Logging_2380/artfynd/A 61179-2024 artfynd.xlsx", "A 61179-2024")</f>
        <v/>
      </c>
      <c r="T207">
        <f>HYPERLINK("https://klasma.github.io/Logging_2380/kartor/A 61179-2024 karta.png", "A 61179-2024")</f>
        <v/>
      </c>
      <c r="U207">
        <f>HYPERLINK("https://klasma.github.io/Logging_2380/knärot/A 61179-2024 karta knärot.png", "A 61179-2024")</f>
        <v/>
      </c>
      <c r="V207">
        <f>HYPERLINK("https://klasma.github.io/Logging_2380/klagomål/A 61179-2024 FSC-klagomål.docx", "A 61179-2024")</f>
        <v/>
      </c>
      <c r="W207">
        <f>HYPERLINK("https://klasma.github.io/Logging_2380/klagomålsmail/A 61179-2024 FSC-klagomål mail.docx", "A 61179-2024")</f>
        <v/>
      </c>
      <c r="X207">
        <f>HYPERLINK("https://klasma.github.io/Logging_2380/tillsyn/A 61179-2024 tillsynsbegäran.docx", "A 61179-2024")</f>
        <v/>
      </c>
      <c r="Y207">
        <f>HYPERLINK("https://klasma.github.io/Logging_2380/tillsynsmail/A 61179-2024 tillsynsbegäran mail.docx", "A 61179-2024")</f>
        <v/>
      </c>
    </row>
    <row r="208" ht="15" customHeight="1">
      <c r="A208" t="inlineStr">
        <is>
          <t>A 3995-2025</t>
        </is>
      </c>
      <c r="B208" s="1" t="n">
        <v>45684</v>
      </c>
      <c r="C208" s="1" t="n">
        <v>45807</v>
      </c>
      <c r="D208" t="inlineStr">
        <is>
          <t>JÄMTLANDS LÄN</t>
        </is>
      </c>
      <c r="E208" t="inlineStr">
        <is>
          <t>ÖSTERSUND</t>
        </is>
      </c>
      <c r="G208" t="n">
        <v>6.5</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3995-2025 artfynd.xlsx", "A 3995-2025")</f>
        <v/>
      </c>
      <c r="T208">
        <f>HYPERLINK("https://klasma.github.io/Logging_2380/kartor/A 3995-2025 karta.png", "A 3995-2025")</f>
        <v/>
      </c>
      <c r="V208">
        <f>HYPERLINK("https://klasma.github.io/Logging_2380/klagomål/A 3995-2025 FSC-klagomål.docx", "A 3995-2025")</f>
        <v/>
      </c>
      <c r="W208">
        <f>HYPERLINK("https://klasma.github.io/Logging_2380/klagomålsmail/A 3995-2025 FSC-klagomål mail.docx", "A 3995-2025")</f>
        <v/>
      </c>
      <c r="X208">
        <f>HYPERLINK("https://klasma.github.io/Logging_2380/tillsyn/A 3995-2025 tillsynsbegäran.docx", "A 3995-2025")</f>
        <v/>
      </c>
      <c r="Y208">
        <f>HYPERLINK("https://klasma.github.io/Logging_2380/tillsynsmail/A 3995-2025 tillsynsbegäran mail.docx", "A 3995-2025")</f>
        <v/>
      </c>
      <c r="Z208">
        <f>HYPERLINK("https://klasma.github.io/Logging_2380/fåglar/A 3995-2025 prioriterade fågelarter.docx", "A 3995-2025")</f>
        <v/>
      </c>
    </row>
    <row r="209" ht="15" customHeight="1">
      <c r="A209" t="inlineStr">
        <is>
          <t>A 4372-2025</t>
        </is>
      </c>
      <c r="B209" s="1" t="n">
        <v>45686</v>
      </c>
      <c r="C209" s="1" t="n">
        <v>45807</v>
      </c>
      <c r="D209" t="inlineStr">
        <is>
          <t>JÄMTLANDS LÄN</t>
        </is>
      </c>
      <c r="E209" t="inlineStr">
        <is>
          <t>ÖSTERSUND</t>
        </is>
      </c>
      <c r="G209" t="n">
        <v>4.5</v>
      </c>
      <c r="H209" t="n">
        <v>0</v>
      </c>
      <c r="I209" t="n">
        <v>0</v>
      </c>
      <c r="J209" t="n">
        <v>1</v>
      </c>
      <c r="K209" t="n">
        <v>0</v>
      </c>
      <c r="L209" t="n">
        <v>0</v>
      </c>
      <c r="M209" t="n">
        <v>0</v>
      </c>
      <c r="N209" t="n">
        <v>0</v>
      </c>
      <c r="O209" t="n">
        <v>1</v>
      </c>
      <c r="P209" t="n">
        <v>0</v>
      </c>
      <c r="Q209" t="n">
        <v>1</v>
      </c>
      <c r="R209" s="2" t="inlineStr">
        <is>
          <t>Lunglav</t>
        </is>
      </c>
      <c r="S209">
        <f>HYPERLINK("https://klasma.github.io/Logging_2380/artfynd/A 4372-2025 artfynd.xlsx", "A 4372-2025")</f>
        <v/>
      </c>
      <c r="T209">
        <f>HYPERLINK("https://klasma.github.io/Logging_2380/kartor/A 4372-2025 karta.png", "A 4372-2025")</f>
        <v/>
      </c>
      <c r="V209">
        <f>HYPERLINK("https://klasma.github.io/Logging_2380/klagomål/A 4372-2025 FSC-klagomål.docx", "A 4372-2025")</f>
        <v/>
      </c>
      <c r="W209">
        <f>HYPERLINK("https://klasma.github.io/Logging_2380/klagomålsmail/A 4372-2025 FSC-klagomål mail.docx", "A 4372-2025")</f>
        <v/>
      </c>
      <c r="X209">
        <f>HYPERLINK("https://klasma.github.io/Logging_2380/tillsyn/A 4372-2025 tillsynsbegäran.docx", "A 4372-2025")</f>
        <v/>
      </c>
      <c r="Y209">
        <f>HYPERLINK("https://klasma.github.io/Logging_2380/tillsynsmail/A 4372-2025 tillsynsbegäran mail.docx", "A 4372-2025")</f>
        <v/>
      </c>
    </row>
    <row r="210" ht="15" customHeight="1">
      <c r="A210" t="inlineStr">
        <is>
          <t>A 5978-2025</t>
        </is>
      </c>
      <c r="B210" s="1" t="n">
        <v>45695</v>
      </c>
      <c r="C210" s="1" t="n">
        <v>45807</v>
      </c>
      <c r="D210" t="inlineStr">
        <is>
          <t>JÄMTLANDS LÄN</t>
        </is>
      </c>
      <c r="E210" t="inlineStr">
        <is>
          <t>ÖSTERSUND</t>
        </is>
      </c>
      <c r="G210" t="n">
        <v>3.2</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HYPERLINK("https://klasma.github.io/Logging_2380/artfynd/A 5978-2025 artfynd.xlsx", "A 5978-2025")</f>
        <v/>
      </c>
      <c r="T210">
        <f>HYPERLINK("https://klasma.github.io/Logging_2380/kartor/A 5978-2025 karta.png", "A 5978-2025")</f>
        <v/>
      </c>
      <c r="V210">
        <f>HYPERLINK("https://klasma.github.io/Logging_2380/klagomål/A 5978-2025 FSC-klagomål.docx", "A 5978-2025")</f>
        <v/>
      </c>
      <c r="W210">
        <f>HYPERLINK("https://klasma.github.io/Logging_2380/klagomålsmail/A 5978-2025 FSC-klagomål mail.docx", "A 5978-2025")</f>
        <v/>
      </c>
      <c r="X210">
        <f>HYPERLINK("https://klasma.github.io/Logging_2380/tillsyn/A 5978-2025 tillsynsbegäran.docx", "A 5978-2025")</f>
        <v/>
      </c>
      <c r="Y210">
        <f>HYPERLINK("https://klasma.github.io/Logging_2380/tillsynsmail/A 5978-2025 tillsynsbegäran mail.docx", "A 5978-2025")</f>
        <v/>
      </c>
    </row>
    <row r="211" ht="15" customHeight="1">
      <c r="A211" t="inlineStr">
        <is>
          <t>A 10724-2025</t>
        </is>
      </c>
      <c r="B211" s="1" t="n">
        <v>45722</v>
      </c>
      <c r="C211" s="1" t="n">
        <v>45807</v>
      </c>
      <c r="D211" t="inlineStr">
        <is>
          <t>JÄMTLANDS LÄN</t>
        </is>
      </c>
      <c r="E211" t="inlineStr">
        <is>
          <t>ÖSTERSUND</t>
        </is>
      </c>
      <c r="F211" t="inlineStr">
        <is>
          <t>SCA</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HYPERLINK("https://klasma.github.io/Logging_232380/artfynd/A 10724-2025 artfynd.xlsx", "A 10724-2025")</f>
        <v/>
      </c>
      <c r="T211">
        <f>HYPERLINK("https://klasma.github.io/Logging_232380/kartor/A 10724-2025 karta.png", "A 10724-2025")</f>
        <v/>
      </c>
      <c r="V211">
        <f>HYPERLINK("https://klasma.github.io/Logging_232380/klagomål/A 10724-2025 FSC-klagomål.docx", "A 10724-2025")</f>
        <v/>
      </c>
      <c r="W211">
        <f>HYPERLINK("https://klasma.github.io/Logging_232380/klagomålsmail/A 10724-2025 FSC-klagomål mail.docx", "A 10724-2025")</f>
        <v/>
      </c>
      <c r="X211">
        <f>HYPERLINK("https://klasma.github.io/Logging_232380/tillsyn/A 10724-2025 tillsynsbegäran.docx", "A 10724-2025")</f>
        <v/>
      </c>
      <c r="Y211">
        <f>HYPERLINK("https://klasma.github.io/Logging_232380/tillsynsmail/A 10724-2025 tillsynsbegäran mail.docx", "A 10724-2025")</f>
        <v/>
      </c>
    </row>
    <row r="212" ht="15" customHeight="1">
      <c r="A212" t="inlineStr">
        <is>
          <t>A 23196-2025</t>
        </is>
      </c>
      <c r="B212" s="1" t="n">
        <v>45791</v>
      </c>
      <c r="C212" s="1" t="n">
        <v>45807</v>
      </c>
      <c r="D212" t="inlineStr">
        <is>
          <t>JÄMTLANDS LÄN</t>
        </is>
      </c>
      <c r="E212" t="inlineStr">
        <is>
          <t>ÖSTERSUND</t>
        </is>
      </c>
      <c r="G212" t="n">
        <v>2.8</v>
      </c>
      <c r="H212" t="n">
        <v>1</v>
      </c>
      <c r="I212" t="n">
        <v>0</v>
      </c>
      <c r="J212" t="n">
        <v>0</v>
      </c>
      <c r="K212" t="n">
        <v>0</v>
      </c>
      <c r="L212" t="n">
        <v>0</v>
      </c>
      <c r="M212" t="n">
        <v>0</v>
      </c>
      <c r="N212" t="n">
        <v>0</v>
      </c>
      <c r="O212" t="n">
        <v>0</v>
      </c>
      <c r="P212" t="n">
        <v>0</v>
      </c>
      <c r="Q212" t="n">
        <v>1</v>
      </c>
      <c r="R212" s="2" t="inlineStr">
        <is>
          <t>Trana</t>
        </is>
      </c>
      <c r="S212">
        <f>HYPERLINK("https://klasma.github.io/Logging_232380/artfynd/A 23196-2025 artfynd.xlsx", "A 23196-2025")</f>
        <v/>
      </c>
      <c r="T212">
        <f>HYPERLINK("https://klasma.github.io/Logging_232380/kartor/A 23196-2025 karta.png", "A 23196-2025")</f>
        <v/>
      </c>
      <c r="V212">
        <f>HYPERLINK("https://klasma.github.io/Logging_232380/klagomål/A 23196-2025 FSC-klagomål.docx", "A 23196-2025")</f>
        <v/>
      </c>
      <c r="W212">
        <f>HYPERLINK("https://klasma.github.io/Logging_232380/klagomålsmail/A 23196-2025 FSC-klagomål mail.docx", "A 23196-2025")</f>
        <v/>
      </c>
      <c r="X212">
        <f>HYPERLINK("https://klasma.github.io/Logging_232380/tillsyn/A 23196-2025 tillsynsbegäran.docx", "A 23196-2025")</f>
        <v/>
      </c>
      <c r="Y212">
        <f>HYPERLINK("https://klasma.github.io/Logging_232380/tillsynsmail/A 23196-2025 tillsynsbegäran mail.docx", "A 23196-2025")</f>
        <v/>
      </c>
      <c r="Z212">
        <f>HYPERLINK("https://klasma.github.io/Logging_232380/fåglar/A 23196-2025 prioriterade fågelarter.docx", "A 23196-2025")</f>
        <v/>
      </c>
    </row>
    <row r="213" ht="15" customHeight="1">
      <c r="A213" t="inlineStr">
        <is>
          <t>A 20319-2019</t>
        </is>
      </c>
      <c r="B213" s="1" t="n">
        <v>43571</v>
      </c>
      <c r="C213" s="1" t="n">
        <v>45807</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21727-2019</t>
        </is>
      </c>
      <c r="B214" s="1" t="n">
        <v>43581</v>
      </c>
      <c r="C214" s="1" t="n">
        <v>45807</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21793-2019</t>
        </is>
      </c>
      <c r="B215" s="1" t="n">
        <v>43581</v>
      </c>
      <c r="C215" s="1" t="n">
        <v>45807</v>
      </c>
      <c r="D215" t="inlineStr">
        <is>
          <t>JÄMTLANDS LÄN</t>
        </is>
      </c>
      <c r="E215" t="inlineStr">
        <is>
          <t>ÖSTERSUND</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22119-2019</t>
        </is>
      </c>
      <c r="B216" s="1" t="n">
        <v>43584</v>
      </c>
      <c r="C216" s="1" t="n">
        <v>45807</v>
      </c>
      <c r="D216" t="inlineStr">
        <is>
          <t>JÄMTLANDS LÄN</t>
        </is>
      </c>
      <c r="E216" t="inlineStr">
        <is>
          <t>ÖSTERSUND</t>
        </is>
      </c>
      <c r="G216" t="n">
        <v>7</v>
      </c>
      <c r="H216" t="n">
        <v>0</v>
      </c>
      <c r="I216" t="n">
        <v>0</v>
      </c>
      <c r="J216" t="n">
        <v>0</v>
      </c>
      <c r="K216" t="n">
        <v>0</v>
      </c>
      <c r="L216" t="n">
        <v>0</v>
      </c>
      <c r="M216" t="n">
        <v>0</v>
      </c>
      <c r="N216" t="n">
        <v>0</v>
      </c>
      <c r="O216" t="n">
        <v>0</v>
      </c>
      <c r="P216" t="n">
        <v>0</v>
      </c>
      <c r="Q216" t="n">
        <v>0</v>
      </c>
      <c r="R216" s="2" t="inlineStr"/>
    </row>
    <row r="217" ht="15" customHeight="1">
      <c r="A217" t="inlineStr">
        <is>
          <t>A 22115-2019</t>
        </is>
      </c>
      <c r="B217" s="1" t="n">
        <v>43584</v>
      </c>
      <c r="C217" s="1" t="n">
        <v>45807</v>
      </c>
      <c r="D217" t="inlineStr">
        <is>
          <t>JÄMTLANDS LÄN</t>
        </is>
      </c>
      <c r="E217" t="inlineStr">
        <is>
          <t>ÖSTERSUND</t>
        </is>
      </c>
      <c r="G217" t="n">
        <v>15.1</v>
      </c>
      <c r="H217" t="n">
        <v>0</v>
      </c>
      <c r="I217" t="n">
        <v>0</v>
      </c>
      <c r="J217" t="n">
        <v>0</v>
      </c>
      <c r="K217" t="n">
        <v>0</v>
      </c>
      <c r="L217" t="n">
        <v>0</v>
      </c>
      <c r="M217" t="n">
        <v>0</v>
      </c>
      <c r="N217" t="n">
        <v>0</v>
      </c>
      <c r="O217" t="n">
        <v>0</v>
      </c>
      <c r="P217" t="n">
        <v>0</v>
      </c>
      <c r="Q217" t="n">
        <v>0</v>
      </c>
      <c r="R217" s="2" t="inlineStr"/>
      <c r="U217">
        <f>HYPERLINK("https://klasma.github.io/Logging_2380/knärot/A 22115-2019 karta knärot.png", "A 22115-2019")</f>
        <v/>
      </c>
      <c r="V217">
        <f>HYPERLINK("https://klasma.github.io/Logging_2380/klagomål/A 22115-2019 FSC-klagomål.docx", "A 22115-2019")</f>
        <v/>
      </c>
      <c r="W217">
        <f>HYPERLINK("https://klasma.github.io/Logging_2380/klagomålsmail/A 22115-2019 FSC-klagomål mail.docx", "A 22115-2019")</f>
        <v/>
      </c>
      <c r="X217">
        <f>HYPERLINK("https://klasma.github.io/Logging_2380/tillsyn/A 22115-2019 tillsynsbegäran.docx", "A 22115-2019")</f>
        <v/>
      </c>
      <c r="Y217">
        <f>HYPERLINK("https://klasma.github.io/Logging_2380/tillsynsmail/A 22115-2019 tillsynsbegäran mail.docx", "A 22115-2019")</f>
        <v/>
      </c>
    </row>
    <row r="218" ht="15" customHeight="1">
      <c r="A218" t="inlineStr">
        <is>
          <t>A 23609-2019</t>
        </is>
      </c>
      <c r="B218" s="1" t="n">
        <v>43594</v>
      </c>
      <c r="C218" s="1" t="n">
        <v>45807</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23940-2019</t>
        </is>
      </c>
      <c r="B219" s="1" t="n">
        <v>43595</v>
      </c>
      <c r="C219" s="1" t="n">
        <v>45807</v>
      </c>
      <c r="D219" t="inlineStr">
        <is>
          <t>JÄMTLANDS LÄN</t>
        </is>
      </c>
      <c r="E219" t="inlineStr">
        <is>
          <t>ÖSTERSUND</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25205-2019</t>
        </is>
      </c>
      <c r="B220" s="1" t="n">
        <v>43600</v>
      </c>
      <c r="C220" s="1" t="n">
        <v>45807</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28892-2019</t>
        </is>
      </c>
      <c r="B221" s="1" t="n">
        <v>43619</v>
      </c>
      <c r="C221" s="1" t="n">
        <v>45807</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28899-2019</t>
        </is>
      </c>
      <c r="B222" s="1" t="n">
        <v>43619</v>
      </c>
      <c r="C222" s="1" t="n">
        <v>45807</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28884-2019</t>
        </is>
      </c>
      <c r="B223" s="1" t="n">
        <v>43619</v>
      </c>
      <c r="C223" s="1" t="n">
        <v>45807</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27977-2019</t>
        </is>
      </c>
      <c r="B224" s="1" t="n">
        <v>43620</v>
      </c>
      <c r="C224" s="1" t="n">
        <v>45807</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31189-2019</t>
        </is>
      </c>
      <c r="B225" s="1" t="n">
        <v>43635</v>
      </c>
      <c r="C225" s="1" t="n">
        <v>45807</v>
      </c>
      <c r="D225" t="inlineStr">
        <is>
          <t>JÄMTLANDS LÄN</t>
        </is>
      </c>
      <c r="E225" t="inlineStr">
        <is>
          <t>ÖSTERSUND</t>
        </is>
      </c>
      <c r="G225" t="n">
        <v>5.5</v>
      </c>
      <c r="H225" t="n">
        <v>0</v>
      </c>
      <c r="I225" t="n">
        <v>0</v>
      </c>
      <c r="J225" t="n">
        <v>0</v>
      </c>
      <c r="K225" t="n">
        <v>0</v>
      </c>
      <c r="L225" t="n">
        <v>0</v>
      </c>
      <c r="M225" t="n">
        <v>0</v>
      </c>
      <c r="N225" t="n">
        <v>0</v>
      </c>
      <c r="O225" t="n">
        <v>0</v>
      </c>
      <c r="P225" t="n">
        <v>0</v>
      </c>
      <c r="Q225" t="n">
        <v>0</v>
      </c>
      <c r="R225" s="2" t="inlineStr"/>
    </row>
    <row r="226" ht="15" customHeight="1">
      <c r="A226" t="inlineStr">
        <is>
          <t>A 30940-2019</t>
        </is>
      </c>
      <c r="B226" s="1" t="n">
        <v>43637</v>
      </c>
      <c r="C226" s="1" t="n">
        <v>45807</v>
      </c>
      <c r="D226" t="inlineStr">
        <is>
          <t>JÄMTLANDS LÄN</t>
        </is>
      </c>
      <c r="E226" t="inlineStr">
        <is>
          <t>ÖSTERSUND</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30946-2019</t>
        </is>
      </c>
      <c r="B227" s="1" t="n">
        <v>43636</v>
      </c>
      <c r="C227" s="1" t="n">
        <v>45807</v>
      </c>
      <c r="D227" t="inlineStr">
        <is>
          <t>JÄMTLANDS LÄN</t>
        </is>
      </c>
      <c r="E227" t="inlineStr">
        <is>
          <t>ÖSTERSUND</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31617-2019</t>
        </is>
      </c>
      <c r="B228" s="1" t="n">
        <v>43640</v>
      </c>
      <c r="C228" s="1" t="n">
        <v>45807</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31621-2019</t>
        </is>
      </c>
      <c r="B229" s="1" t="n">
        <v>43640</v>
      </c>
      <c r="C229" s="1" t="n">
        <v>45807</v>
      </c>
      <c r="D229" t="inlineStr">
        <is>
          <t>JÄMTLANDS LÄN</t>
        </is>
      </c>
      <c r="E229" t="inlineStr">
        <is>
          <t>ÖSTERSUND</t>
        </is>
      </c>
      <c r="G229" t="n">
        <v>1.3</v>
      </c>
      <c r="H229" t="n">
        <v>0</v>
      </c>
      <c r="I229" t="n">
        <v>0</v>
      </c>
      <c r="J229" t="n">
        <v>0</v>
      </c>
      <c r="K229" t="n">
        <v>0</v>
      </c>
      <c r="L229" t="n">
        <v>0</v>
      </c>
      <c r="M229" t="n">
        <v>0</v>
      </c>
      <c r="N229" t="n">
        <v>0</v>
      </c>
      <c r="O229" t="n">
        <v>0</v>
      </c>
      <c r="P229" t="n">
        <v>0</v>
      </c>
      <c r="Q229" t="n">
        <v>0</v>
      </c>
      <c r="R229" s="2" t="inlineStr"/>
    </row>
    <row r="230" ht="15" customHeight="1">
      <c r="A230" t="inlineStr">
        <is>
          <t>A 34903-2019</t>
        </is>
      </c>
      <c r="B230" s="1" t="n">
        <v>43650</v>
      </c>
      <c r="C230" s="1" t="n">
        <v>45807</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35500-2019</t>
        </is>
      </c>
      <c r="B231" s="1" t="n">
        <v>43651</v>
      </c>
      <c r="C231" s="1" t="n">
        <v>45807</v>
      </c>
      <c r="D231" t="inlineStr">
        <is>
          <t>JÄMTLANDS LÄN</t>
        </is>
      </c>
      <c r="E231" t="inlineStr">
        <is>
          <t>ÖSTERSUND</t>
        </is>
      </c>
      <c r="F231" t="inlineStr">
        <is>
          <t>SCA</t>
        </is>
      </c>
      <c r="G231" t="n">
        <v>7</v>
      </c>
      <c r="H231" t="n">
        <v>0</v>
      </c>
      <c r="I231" t="n">
        <v>0</v>
      </c>
      <c r="J231" t="n">
        <v>0</v>
      </c>
      <c r="K231" t="n">
        <v>0</v>
      </c>
      <c r="L231" t="n">
        <v>0</v>
      </c>
      <c r="M231" t="n">
        <v>0</v>
      </c>
      <c r="N231" t="n">
        <v>0</v>
      </c>
      <c r="O231" t="n">
        <v>0</v>
      </c>
      <c r="P231" t="n">
        <v>0</v>
      </c>
      <c r="Q231" t="n">
        <v>0</v>
      </c>
      <c r="R231" s="2" t="inlineStr"/>
    </row>
    <row r="232" ht="15" customHeight="1">
      <c r="A232" t="inlineStr">
        <is>
          <t>A 35535-2019</t>
        </is>
      </c>
      <c r="B232" s="1" t="n">
        <v>43654</v>
      </c>
      <c r="C232" s="1" t="n">
        <v>45807</v>
      </c>
      <c r="D232" t="inlineStr">
        <is>
          <t>JÄMTLANDS LÄN</t>
        </is>
      </c>
      <c r="E232" t="inlineStr">
        <is>
          <t>ÖSTERSUND</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34109-2019</t>
        </is>
      </c>
      <c r="B233" s="1" t="n">
        <v>43654</v>
      </c>
      <c r="C233" s="1" t="n">
        <v>45807</v>
      </c>
      <c r="D233" t="inlineStr">
        <is>
          <t>JÄMTLANDS LÄN</t>
        </is>
      </c>
      <c r="E233" t="inlineStr">
        <is>
          <t>ÖSTERSUND</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34246-2019</t>
        </is>
      </c>
      <c r="B234" s="1" t="n">
        <v>43655</v>
      </c>
      <c r="C234" s="1" t="n">
        <v>45807</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35678-2019</t>
        </is>
      </c>
      <c r="B235" s="1" t="n">
        <v>43656</v>
      </c>
      <c r="C235" s="1" t="n">
        <v>45807</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35688-2019</t>
        </is>
      </c>
      <c r="B236" s="1" t="n">
        <v>43656</v>
      </c>
      <c r="C236" s="1" t="n">
        <v>45807</v>
      </c>
      <c r="D236" t="inlineStr">
        <is>
          <t>JÄMTLANDS LÄN</t>
        </is>
      </c>
      <c r="E236" t="inlineStr">
        <is>
          <t>ÖSTERSUND</t>
        </is>
      </c>
      <c r="G236" t="n">
        <v>12.6</v>
      </c>
      <c r="H236" t="n">
        <v>0</v>
      </c>
      <c r="I236" t="n">
        <v>0</v>
      </c>
      <c r="J236" t="n">
        <v>0</v>
      </c>
      <c r="K236" t="n">
        <v>0</v>
      </c>
      <c r="L236" t="n">
        <v>0</v>
      </c>
      <c r="M236" t="n">
        <v>0</v>
      </c>
      <c r="N236" t="n">
        <v>0</v>
      </c>
      <c r="O236" t="n">
        <v>0</v>
      </c>
      <c r="P236" t="n">
        <v>0</v>
      </c>
      <c r="Q236" t="n">
        <v>0</v>
      </c>
      <c r="R236" s="2" t="inlineStr"/>
    </row>
    <row r="237" ht="15" customHeight="1">
      <c r="A237" t="inlineStr">
        <is>
          <t>A 36003-2019</t>
        </is>
      </c>
      <c r="B237" s="1" t="n">
        <v>43657</v>
      </c>
      <c r="C237" s="1" t="n">
        <v>45807</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36652-2019</t>
        </is>
      </c>
      <c r="B238" s="1" t="n">
        <v>43670</v>
      </c>
      <c r="C238" s="1" t="n">
        <v>45807</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37222-2019</t>
        </is>
      </c>
      <c r="B239" s="1" t="n">
        <v>43676</v>
      </c>
      <c r="C239" s="1" t="n">
        <v>45807</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38662-2019</t>
        </is>
      </c>
      <c r="B240" s="1" t="n">
        <v>43684</v>
      </c>
      <c r="C240" s="1" t="n">
        <v>45807</v>
      </c>
      <c r="D240" t="inlineStr">
        <is>
          <t>JÄMTLANDS LÄN</t>
        </is>
      </c>
      <c r="E240" t="inlineStr">
        <is>
          <t>ÖSTERSUND</t>
        </is>
      </c>
      <c r="G240" t="n">
        <v>2.2</v>
      </c>
      <c r="H240" t="n">
        <v>0</v>
      </c>
      <c r="I240" t="n">
        <v>0</v>
      </c>
      <c r="J240" t="n">
        <v>0</v>
      </c>
      <c r="K240" t="n">
        <v>0</v>
      </c>
      <c r="L240" t="n">
        <v>0</v>
      </c>
      <c r="M240" t="n">
        <v>0</v>
      </c>
      <c r="N240" t="n">
        <v>0</v>
      </c>
      <c r="O240" t="n">
        <v>0</v>
      </c>
      <c r="P240" t="n">
        <v>0</v>
      </c>
      <c r="Q240" t="n">
        <v>0</v>
      </c>
      <c r="R240" s="2" t="inlineStr"/>
    </row>
    <row r="241" ht="15" customHeight="1">
      <c r="A241" t="inlineStr">
        <is>
          <t>A 39459-2019</t>
        </is>
      </c>
      <c r="B241" s="1" t="n">
        <v>43686</v>
      </c>
      <c r="C241" s="1" t="n">
        <v>45807</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40530-2019</t>
        </is>
      </c>
      <c r="B242" s="1" t="n">
        <v>43696</v>
      </c>
      <c r="C242" s="1" t="n">
        <v>45807</v>
      </c>
      <c r="D242" t="inlineStr">
        <is>
          <t>JÄMTLANDS LÄN</t>
        </is>
      </c>
      <c r="E242" t="inlineStr">
        <is>
          <t>ÖSTERSUND</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41364-2019</t>
        </is>
      </c>
      <c r="B243" s="1" t="n">
        <v>43696</v>
      </c>
      <c r="C243" s="1" t="n">
        <v>45807</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40531-2019</t>
        </is>
      </c>
      <c r="B244" s="1" t="n">
        <v>43696</v>
      </c>
      <c r="C244" s="1" t="n">
        <v>45807</v>
      </c>
      <c r="D244" t="inlineStr">
        <is>
          <t>JÄMTLANDS LÄN</t>
        </is>
      </c>
      <c r="E244" t="inlineStr">
        <is>
          <t>ÖSTERSUND</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41556-2019</t>
        </is>
      </c>
      <c r="B245" s="1" t="n">
        <v>43696</v>
      </c>
      <c r="C245" s="1" t="n">
        <v>45807</v>
      </c>
      <c r="D245" t="inlineStr">
        <is>
          <t>JÄMTLANDS LÄN</t>
        </is>
      </c>
      <c r="E245" t="inlineStr">
        <is>
          <t>ÖSTERSUND</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41588-2019</t>
        </is>
      </c>
      <c r="B246" s="1" t="n">
        <v>43699</v>
      </c>
      <c r="C246" s="1" t="n">
        <v>45807</v>
      </c>
      <c r="D246" t="inlineStr">
        <is>
          <t>JÄMTLANDS LÄN</t>
        </is>
      </c>
      <c r="E246" t="inlineStr">
        <is>
          <t>ÖSTERSUND</t>
        </is>
      </c>
      <c r="G246" t="n">
        <v>26.7</v>
      </c>
      <c r="H246" t="n">
        <v>0</v>
      </c>
      <c r="I246" t="n">
        <v>0</v>
      </c>
      <c r="J246" t="n">
        <v>0</v>
      </c>
      <c r="K246" t="n">
        <v>0</v>
      </c>
      <c r="L246" t="n">
        <v>0</v>
      </c>
      <c r="M246" t="n">
        <v>0</v>
      </c>
      <c r="N246" t="n">
        <v>0</v>
      </c>
      <c r="O246" t="n">
        <v>0</v>
      </c>
      <c r="P246" t="n">
        <v>0</v>
      </c>
      <c r="Q246" t="n">
        <v>0</v>
      </c>
      <c r="R246" s="2" t="inlineStr"/>
    </row>
    <row r="247" ht="15" customHeight="1">
      <c r="A247" t="inlineStr">
        <is>
          <t>A 43249-2019</t>
        </is>
      </c>
      <c r="B247" s="1" t="n">
        <v>43703</v>
      </c>
      <c r="C247" s="1" t="n">
        <v>45807</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43425-2019</t>
        </is>
      </c>
      <c r="B248" s="1" t="n">
        <v>43703</v>
      </c>
      <c r="C248" s="1" t="n">
        <v>45807</v>
      </c>
      <c r="D248" t="inlineStr">
        <is>
          <t>JÄMTLANDS LÄN</t>
        </is>
      </c>
      <c r="E248" t="inlineStr">
        <is>
          <t>ÖSTERSUND</t>
        </is>
      </c>
      <c r="G248" t="n">
        <v>2.4</v>
      </c>
      <c r="H248" t="n">
        <v>0</v>
      </c>
      <c r="I248" t="n">
        <v>0</v>
      </c>
      <c r="J248" t="n">
        <v>0</v>
      </c>
      <c r="K248" t="n">
        <v>0</v>
      </c>
      <c r="L248" t="n">
        <v>0</v>
      </c>
      <c r="M248" t="n">
        <v>0</v>
      </c>
      <c r="N248" t="n">
        <v>0</v>
      </c>
      <c r="O248" t="n">
        <v>0</v>
      </c>
      <c r="P248" t="n">
        <v>0</v>
      </c>
      <c r="Q248" t="n">
        <v>0</v>
      </c>
      <c r="R248" s="2" t="inlineStr"/>
    </row>
    <row r="249" ht="15" customHeight="1">
      <c r="A249" t="inlineStr">
        <is>
          <t>A 46346-2019</t>
        </is>
      </c>
      <c r="B249" s="1" t="n">
        <v>43718</v>
      </c>
      <c r="C249" s="1" t="n">
        <v>45807</v>
      </c>
      <c r="D249" t="inlineStr">
        <is>
          <t>JÄMTLANDS LÄN</t>
        </is>
      </c>
      <c r="E249" t="inlineStr">
        <is>
          <t>ÖSTERSUND</t>
        </is>
      </c>
      <c r="F249" t="inlineStr">
        <is>
          <t>SCA</t>
        </is>
      </c>
      <c r="G249" t="n">
        <v>6.5</v>
      </c>
      <c r="H249" t="n">
        <v>0</v>
      </c>
      <c r="I249" t="n">
        <v>0</v>
      </c>
      <c r="J249" t="n">
        <v>0</v>
      </c>
      <c r="K249" t="n">
        <v>0</v>
      </c>
      <c r="L249" t="n">
        <v>0</v>
      </c>
      <c r="M249" t="n">
        <v>0</v>
      </c>
      <c r="N249" t="n">
        <v>0</v>
      </c>
      <c r="O249" t="n">
        <v>0</v>
      </c>
      <c r="P249" t="n">
        <v>0</v>
      </c>
      <c r="Q249" t="n">
        <v>0</v>
      </c>
      <c r="R249" s="2" t="inlineStr"/>
    </row>
    <row r="250" ht="15" customHeight="1">
      <c r="A250" t="inlineStr">
        <is>
          <t>A 47810-2019</t>
        </is>
      </c>
      <c r="B250" s="1" t="n">
        <v>43724</v>
      </c>
      <c r="C250" s="1" t="n">
        <v>45807</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48115-2019</t>
        </is>
      </c>
      <c r="B251" s="1" t="n">
        <v>43725</v>
      </c>
      <c r="C251" s="1" t="n">
        <v>45807</v>
      </c>
      <c r="D251" t="inlineStr">
        <is>
          <t>JÄMTLANDS LÄN</t>
        </is>
      </c>
      <c r="E251" t="inlineStr">
        <is>
          <t>ÖSTERSUND</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48680-2019</t>
        </is>
      </c>
      <c r="B252" s="1" t="n">
        <v>43727</v>
      </c>
      <c r="C252" s="1" t="n">
        <v>45807</v>
      </c>
      <c r="D252" t="inlineStr">
        <is>
          <t>JÄMTLANDS LÄN</t>
        </is>
      </c>
      <c r="E252" t="inlineStr">
        <is>
          <t>ÖSTERSUND</t>
        </is>
      </c>
      <c r="G252" t="n">
        <v>3</v>
      </c>
      <c r="H252" t="n">
        <v>0</v>
      </c>
      <c r="I252" t="n">
        <v>0</v>
      </c>
      <c r="J252" t="n">
        <v>0</v>
      </c>
      <c r="K252" t="n">
        <v>0</v>
      </c>
      <c r="L252" t="n">
        <v>0</v>
      </c>
      <c r="M252" t="n">
        <v>0</v>
      </c>
      <c r="N252" t="n">
        <v>0</v>
      </c>
      <c r="O252" t="n">
        <v>0</v>
      </c>
      <c r="P252" t="n">
        <v>0</v>
      </c>
      <c r="Q252" t="n">
        <v>0</v>
      </c>
      <c r="R252" s="2" t="inlineStr"/>
    </row>
    <row r="253" ht="15" customHeight="1">
      <c r="A253" t="inlineStr">
        <is>
          <t>A 49629-2019</t>
        </is>
      </c>
      <c r="B253" s="1" t="n">
        <v>43732</v>
      </c>
      <c r="C253" s="1" t="n">
        <v>45807</v>
      </c>
      <c r="D253" t="inlineStr">
        <is>
          <t>JÄMTLANDS LÄN</t>
        </is>
      </c>
      <c r="E253" t="inlineStr">
        <is>
          <t>ÖSTERSUND</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51347-2019</t>
        </is>
      </c>
      <c r="B254" s="1" t="n">
        <v>43732</v>
      </c>
      <c r="C254" s="1" t="n">
        <v>45807</v>
      </c>
      <c r="D254" t="inlineStr">
        <is>
          <t>JÄMTLANDS LÄN</t>
        </is>
      </c>
      <c r="E254" t="inlineStr">
        <is>
          <t>ÖSTERSUND</t>
        </is>
      </c>
      <c r="G254" t="n">
        <v>3.8</v>
      </c>
      <c r="H254" t="n">
        <v>0</v>
      </c>
      <c r="I254" t="n">
        <v>0</v>
      </c>
      <c r="J254" t="n">
        <v>0</v>
      </c>
      <c r="K254" t="n">
        <v>0</v>
      </c>
      <c r="L254" t="n">
        <v>0</v>
      </c>
      <c r="M254" t="n">
        <v>0</v>
      </c>
      <c r="N254" t="n">
        <v>0</v>
      </c>
      <c r="O254" t="n">
        <v>0</v>
      </c>
      <c r="P254" t="n">
        <v>0</v>
      </c>
      <c r="Q254" t="n">
        <v>0</v>
      </c>
      <c r="R254" s="2" t="inlineStr"/>
    </row>
    <row r="255" ht="15" customHeight="1">
      <c r="A255" t="inlineStr">
        <is>
          <t>A 49997-2019</t>
        </is>
      </c>
      <c r="B255" s="1" t="n">
        <v>43733</v>
      </c>
      <c r="C255" s="1" t="n">
        <v>45807</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50316-2019</t>
        </is>
      </c>
      <c r="B256" s="1" t="n">
        <v>43735</v>
      </c>
      <c r="C256" s="1" t="n">
        <v>45807</v>
      </c>
      <c r="D256" t="inlineStr">
        <is>
          <t>JÄMTLANDS LÄN</t>
        </is>
      </c>
      <c r="E256" t="inlineStr">
        <is>
          <t>ÖSTERSUND</t>
        </is>
      </c>
      <c r="G256" t="n">
        <v>9.5</v>
      </c>
      <c r="H256" t="n">
        <v>0</v>
      </c>
      <c r="I256" t="n">
        <v>0</v>
      </c>
      <c r="J256" t="n">
        <v>0</v>
      </c>
      <c r="K256" t="n">
        <v>0</v>
      </c>
      <c r="L256" t="n">
        <v>0</v>
      </c>
      <c r="M256" t="n">
        <v>0</v>
      </c>
      <c r="N256" t="n">
        <v>0</v>
      </c>
      <c r="O256" t="n">
        <v>0</v>
      </c>
      <c r="P256" t="n">
        <v>0</v>
      </c>
      <c r="Q256" t="n">
        <v>0</v>
      </c>
      <c r="R256" s="2" t="inlineStr"/>
    </row>
    <row r="257" ht="15" customHeight="1">
      <c r="A257" t="inlineStr">
        <is>
          <t>A 50779-2019</t>
        </is>
      </c>
      <c r="B257" s="1" t="n">
        <v>43738</v>
      </c>
      <c r="C257" s="1" t="n">
        <v>45807</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50968-2019</t>
        </is>
      </c>
      <c r="B258" s="1" t="n">
        <v>43738</v>
      </c>
      <c r="C258" s="1" t="n">
        <v>45807</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54498-2019</t>
        </is>
      </c>
      <c r="B259" s="1" t="n">
        <v>43747</v>
      </c>
      <c r="C259" s="1" t="n">
        <v>45807</v>
      </c>
      <c r="D259" t="inlineStr">
        <is>
          <t>JÄMTLANDS LÄN</t>
        </is>
      </c>
      <c r="E259" t="inlineStr">
        <is>
          <t>ÖSTERSUND</t>
        </is>
      </c>
      <c r="G259" t="n">
        <v>1</v>
      </c>
      <c r="H259" t="n">
        <v>0</v>
      </c>
      <c r="I259" t="n">
        <v>0</v>
      </c>
      <c r="J259" t="n">
        <v>0</v>
      </c>
      <c r="K259" t="n">
        <v>0</v>
      </c>
      <c r="L259" t="n">
        <v>0</v>
      </c>
      <c r="M259" t="n">
        <v>0</v>
      </c>
      <c r="N259" t="n">
        <v>0</v>
      </c>
      <c r="O259" t="n">
        <v>0</v>
      </c>
      <c r="P259" t="n">
        <v>0</v>
      </c>
      <c r="Q259" t="n">
        <v>0</v>
      </c>
      <c r="R259" s="2" t="inlineStr"/>
    </row>
    <row r="260" ht="15" customHeight="1">
      <c r="A260" t="inlineStr">
        <is>
          <t>A 53297-2019</t>
        </is>
      </c>
      <c r="B260" s="1" t="n">
        <v>43748</v>
      </c>
      <c r="C260" s="1" t="n">
        <v>45807</v>
      </c>
      <c r="D260" t="inlineStr">
        <is>
          <t>JÄMTLANDS LÄN</t>
        </is>
      </c>
      <c r="E260" t="inlineStr">
        <is>
          <t>ÖSTERSUND</t>
        </is>
      </c>
      <c r="G260" t="n">
        <v>0.6</v>
      </c>
      <c r="H260" t="n">
        <v>0</v>
      </c>
      <c r="I260" t="n">
        <v>0</v>
      </c>
      <c r="J260" t="n">
        <v>0</v>
      </c>
      <c r="K260" t="n">
        <v>0</v>
      </c>
      <c r="L260" t="n">
        <v>0</v>
      </c>
      <c r="M260" t="n">
        <v>0</v>
      </c>
      <c r="N260" t="n">
        <v>0</v>
      </c>
      <c r="O260" t="n">
        <v>0</v>
      </c>
      <c r="P260" t="n">
        <v>0</v>
      </c>
      <c r="Q260" t="n">
        <v>0</v>
      </c>
      <c r="R260" s="2" t="inlineStr"/>
    </row>
    <row r="261" ht="15" customHeight="1">
      <c r="A261" t="inlineStr">
        <is>
          <t>A 53533-2019</t>
        </is>
      </c>
      <c r="B261" s="1" t="n">
        <v>43749</v>
      </c>
      <c r="C261" s="1" t="n">
        <v>45807</v>
      </c>
      <c r="D261" t="inlineStr">
        <is>
          <t>JÄMTLANDS LÄN</t>
        </is>
      </c>
      <c r="E261" t="inlineStr">
        <is>
          <t>ÖSTERSUND</t>
        </is>
      </c>
      <c r="G261" t="n">
        <v>0.2</v>
      </c>
      <c r="H261" t="n">
        <v>0</v>
      </c>
      <c r="I261" t="n">
        <v>0</v>
      </c>
      <c r="J261" t="n">
        <v>0</v>
      </c>
      <c r="K261" t="n">
        <v>0</v>
      </c>
      <c r="L261" t="n">
        <v>0</v>
      </c>
      <c r="M261" t="n">
        <v>0</v>
      </c>
      <c r="N261" t="n">
        <v>0</v>
      </c>
      <c r="O261" t="n">
        <v>0</v>
      </c>
      <c r="P261" t="n">
        <v>0</v>
      </c>
      <c r="Q261" t="n">
        <v>0</v>
      </c>
      <c r="R261" s="2" t="inlineStr"/>
    </row>
    <row r="262" ht="15" customHeight="1">
      <c r="A262" t="inlineStr">
        <is>
          <t>A 53859-2019</t>
        </is>
      </c>
      <c r="B262" s="1" t="n">
        <v>43752</v>
      </c>
      <c r="C262" s="1" t="n">
        <v>45807</v>
      </c>
      <c r="D262" t="inlineStr">
        <is>
          <t>JÄMTLANDS LÄN</t>
        </is>
      </c>
      <c r="E262" t="inlineStr">
        <is>
          <t>ÖSTERSUND</t>
        </is>
      </c>
      <c r="F262" t="inlineStr">
        <is>
          <t>Övriga Aktiebolag</t>
        </is>
      </c>
      <c r="G262" t="n">
        <v>4.3</v>
      </c>
      <c r="H262" t="n">
        <v>0</v>
      </c>
      <c r="I262" t="n">
        <v>0</v>
      </c>
      <c r="J262" t="n">
        <v>0</v>
      </c>
      <c r="K262" t="n">
        <v>0</v>
      </c>
      <c r="L262" t="n">
        <v>0</v>
      </c>
      <c r="M262" t="n">
        <v>0</v>
      </c>
      <c r="N262" t="n">
        <v>0</v>
      </c>
      <c r="O262" t="n">
        <v>0</v>
      </c>
      <c r="P262" t="n">
        <v>0</v>
      </c>
      <c r="Q262" t="n">
        <v>0</v>
      </c>
      <c r="R262" s="2" t="inlineStr"/>
    </row>
    <row r="263" ht="15" customHeight="1">
      <c r="A263" t="inlineStr">
        <is>
          <t>A 57466-2019</t>
        </is>
      </c>
      <c r="B263" s="1" t="n">
        <v>43761</v>
      </c>
      <c r="C263" s="1" t="n">
        <v>45807</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56512-2019</t>
        </is>
      </c>
      <c r="B264" s="1" t="n">
        <v>43762</v>
      </c>
      <c r="C264" s="1" t="n">
        <v>45807</v>
      </c>
      <c r="D264" t="inlineStr">
        <is>
          <t>JÄMTLANDS LÄN</t>
        </is>
      </c>
      <c r="E264" t="inlineStr">
        <is>
          <t>ÖSTERSUND</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57845-2019</t>
        </is>
      </c>
      <c r="B265" s="1" t="n">
        <v>43768</v>
      </c>
      <c r="C265" s="1" t="n">
        <v>45807</v>
      </c>
      <c r="D265" t="inlineStr">
        <is>
          <t>JÄMTLANDS LÄN</t>
        </is>
      </c>
      <c r="E265" t="inlineStr">
        <is>
          <t>ÖSTERSUND</t>
        </is>
      </c>
      <c r="G265" t="n">
        <v>3.7</v>
      </c>
      <c r="H265" t="n">
        <v>0</v>
      </c>
      <c r="I265" t="n">
        <v>0</v>
      </c>
      <c r="J265" t="n">
        <v>0</v>
      </c>
      <c r="K265" t="n">
        <v>0</v>
      </c>
      <c r="L265" t="n">
        <v>0</v>
      </c>
      <c r="M265" t="n">
        <v>0</v>
      </c>
      <c r="N265" t="n">
        <v>0</v>
      </c>
      <c r="O265" t="n">
        <v>0</v>
      </c>
      <c r="P265" t="n">
        <v>0</v>
      </c>
      <c r="Q265" t="n">
        <v>0</v>
      </c>
      <c r="R265" s="2" t="inlineStr"/>
    </row>
    <row r="266" ht="15" customHeight="1">
      <c r="A266" t="inlineStr">
        <is>
          <t>A 58216-2019</t>
        </is>
      </c>
      <c r="B266" s="1" t="n">
        <v>43770</v>
      </c>
      <c r="C266" s="1" t="n">
        <v>45807</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58210-2019</t>
        </is>
      </c>
      <c r="B267" s="1" t="n">
        <v>43770</v>
      </c>
      <c r="C267" s="1" t="n">
        <v>45807</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59437-2019</t>
        </is>
      </c>
      <c r="B268" s="1" t="n">
        <v>43773</v>
      </c>
      <c r="C268" s="1" t="n">
        <v>45807</v>
      </c>
      <c r="D268" t="inlineStr">
        <is>
          <t>JÄMTLANDS LÄN</t>
        </is>
      </c>
      <c r="E268" t="inlineStr">
        <is>
          <t>ÖSTERSUND</t>
        </is>
      </c>
      <c r="G268" t="n">
        <v>6.2</v>
      </c>
      <c r="H268" t="n">
        <v>0</v>
      </c>
      <c r="I268" t="n">
        <v>0</v>
      </c>
      <c r="J268" t="n">
        <v>0</v>
      </c>
      <c r="K268" t="n">
        <v>0</v>
      </c>
      <c r="L268" t="n">
        <v>0</v>
      </c>
      <c r="M268" t="n">
        <v>0</v>
      </c>
      <c r="N268" t="n">
        <v>0</v>
      </c>
      <c r="O268" t="n">
        <v>0</v>
      </c>
      <c r="P268" t="n">
        <v>0</v>
      </c>
      <c r="Q268" t="n">
        <v>0</v>
      </c>
      <c r="R268" s="2" t="inlineStr"/>
    </row>
    <row r="269" ht="15" customHeight="1">
      <c r="A269" t="inlineStr">
        <is>
          <t>A 60240-2019</t>
        </is>
      </c>
      <c r="B269" s="1" t="n">
        <v>43776</v>
      </c>
      <c r="C269" s="1" t="n">
        <v>45807</v>
      </c>
      <c r="D269" t="inlineStr">
        <is>
          <t>JÄMTLANDS LÄN</t>
        </is>
      </c>
      <c r="E269" t="inlineStr">
        <is>
          <t>ÖSTERSUND</t>
        </is>
      </c>
      <c r="G269" t="n">
        <v>3.9</v>
      </c>
      <c r="H269" t="n">
        <v>0</v>
      </c>
      <c r="I269" t="n">
        <v>0</v>
      </c>
      <c r="J269" t="n">
        <v>0</v>
      </c>
      <c r="K269" t="n">
        <v>0</v>
      </c>
      <c r="L269" t="n">
        <v>0</v>
      </c>
      <c r="M269" t="n">
        <v>0</v>
      </c>
      <c r="N269" t="n">
        <v>0</v>
      </c>
      <c r="O269" t="n">
        <v>0</v>
      </c>
      <c r="P269" t="n">
        <v>0</v>
      </c>
      <c r="Q269" t="n">
        <v>0</v>
      </c>
      <c r="R269" s="2" t="inlineStr"/>
    </row>
    <row r="270" ht="15" customHeight="1">
      <c r="A270" t="inlineStr">
        <is>
          <t>A 60001-2019</t>
        </is>
      </c>
      <c r="B270" s="1" t="n">
        <v>43777</v>
      </c>
      <c r="C270" s="1" t="n">
        <v>45807</v>
      </c>
      <c r="D270" t="inlineStr">
        <is>
          <t>JÄMTLANDS LÄN</t>
        </is>
      </c>
      <c r="E270" t="inlineStr">
        <is>
          <t>ÖSTERSUND</t>
        </is>
      </c>
      <c r="G270" t="n">
        <v>3.2</v>
      </c>
      <c r="H270" t="n">
        <v>0</v>
      </c>
      <c r="I270" t="n">
        <v>0</v>
      </c>
      <c r="J270" t="n">
        <v>0</v>
      </c>
      <c r="K270" t="n">
        <v>0</v>
      </c>
      <c r="L270" t="n">
        <v>0</v>
      </c>
      <c r="M270" t="n">
        <v>0</v>
      </c>
      <c r="N270" t="n">
        <v>0</v>
      </c>
      <c r="O270" t="n">
        <v>0</v>
      </c>
      <c r="P270" t="n">
        <v>0</v>
      </c>
      <c r="Q270" t="n">
        <v>0</v>
      </c>
      <c r="R270" s="2" t="inlineStr"/>
    </row>
    <row r="271" ht="15" customHeight="1">
      <c r="A271" t="inlineStr">
        <is>
          <t>A 60669-2019</t>
        </is>
      </c>
      <c r="B271" s="1" t="n">
        <v>43781</v>
      </c>
      <c r="C271" s="1" t="n">
        <v>45807</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60604-2019</t>
        </is>
      </c>
      <c r="B272" s="1" t="n">
        <v>43781</v>
      </c>
      <c r="C272" s="1" t="n">
        <v>45807</v>
      </c>
      <c r="D272" t="inlineStr">
        <is>
          <t>JÄMTLANDS LÄN</t>
        </is>
      </c>
      <c r="E272" t="inlineStr">
        <is>
          <t>ÖSTERSUND</t>
        </is>
      </c>
      <c r="G272" t="n">
        <v>8.9</v>
      </c>
      <c r="H272" t="n">
        <v>0</v>
      </c>
      <c r="I272" t="n">
        <v>0</v>
      </c>
      <c r="J272" t="n">
        <v>0</v>
      </c>
      <c r="K272" t="n">
        <v>0</v>
      </c>
      <c r="L272" t="n">
        <v>0</v>
      </c>
      <c r="M272" t="n">
        <v>0</v>
      </c>
      <c r="N272" t="n">
        <v>0</v>
      </c>
      <c r="O272" t="n">
        <v>0</v>
      </c>
      <c r="P272" t="n">
        <v>0</v>
      </c>
      <c r="Q272" t="n">
        <v>0</v>
      </c>
      <c r="R272" s="2" t="inlineStr"/>
    </row>
    <row r="273" ht="15" customHeight="1">
      <c r="A273" t="inlineStr">
        <is>
          <t>A 62234-2019</t>
        </is>
      </c>
      <c r="B273" s="1" t="n">
        <v>43784</v>
      </c>
      <c r="C273" s="1" t="n">
        <v>45807</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62136-2019</t>
        </is>
      </c>
      <c r="B274" s="1" t="n">
        <v>43787</v>
      </c>
      <c r="C274" s="1" t="n">
        <v>45807</v>
      </c>
      <c r="D274" t="inlineStr">
        <is>
          <t>JÄMTLANDS LÄN</t>
        </is>
      </c>
      <c r="E274" t="inlineStr">
        <is>
          <t>ÖSTERSUND</t>
        </is>
      </c>
      <c r="F274" t="inlineStr">
        <is>
          <t>Övriga Aktiebolag</t>
        </is>
      </c>
      <c r="G274" t="n">
        <v>35.2</v>
      </c>
      <c r="H274" t="n">
        <v>0</v>
      </c>
      <c r="I274" t="n">
        <v>0</v>
      </c>
      <c r="J274" t="n">
        <v>0</v>
      </c>
      <c r="K274" t="n">
        <v>0</v>
      </c>
      <c r="L274" t="n">
        <v>0</v>
      </c>
      <c r="M274" t="n">
        <v>0</v>
      </c>
      <c r="N274" t="n">
        <v>0</v>
      </c>
      <c r="O274" t="n">
        <v>0</v>
      </c>
      <c r="P274" t="n">
        <v>0</v>
      </c>
      <c r="Q274" t="n">
        <v>0</v>
      </c>
      <c r="R274" s="2" t="inlineStr"/>
    </row>
    <row r="275" ht="15" customHeight="1">
      <c r="A275" t="inlineStr">
        <is>
          <t>A 64622-2019</t>
        </is>
      </c>
      <c r="B275" s="1" t="n">
        <v>43794</v>
      </c>
      <c r="C275" s="1" t="n">
        <v>45807</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65335-2019</t>
        </is>
      </c>
      <c r="B276" s="1" t="n">
        <v>43802</v>
      </c>
      <c r="C276" s="1" t="n">
        <v>45807</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67010-2019</t>
        </is>
      </c>
      <c r="B277" s="1" t="n">
        <v>43805</v>
      </c>
      <c r="C277" s="1" t="n">
        <v>45807</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66592-2019</t>
        </is>
      </c>
      <c r="B278" s="1" t="n">
        <v>43809</v>
      </c>
      <c r="C278" s="1" t="n">
        <v>45807</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67863-2019</t>
        </is>
      </c>
      <c r="B279" s="1" t="n">
        <v>43809</v>
      </c>
      <c r="C279" s="1" t="n">
        <v>45807</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68238-2019</t>
        </is>
      </c>
      <c r="B280" s="1" t="n">
        <v>43817</v>
      </c>
      <c r="C280" s="1" t="n">
        <v>45807</v>
      </c>
      <c r="D280" t="inlineStr">
        <is>
          <t>JÄMTLANDS LÄN</t>
        </is>
      </c>
      <c r="E280" t="inlineStr">
        <is>
          <t>ÖSTERSUND</t>
        </is>
      </c>
      <c r="G280" t="n">
        <v>2.7</v>
      </c>
      <c r="H280" t="n">
        <v>0</v>
      </c>
      <c r="I280" t="n">
        <v>0</v>
      </c>
      <c r="J280" t="n">
        <v>0</v>
      </c>
      <c r="K280" t="n">
        <v>0</v>
      </c>
      <c r="L280" t="n">
        <v>0</v>
      </c>
      <c r="M280" t="n">
        <v>0</v>
      </c>
      <c r="N280" t="n">
        <v>0</v>
      </c>
      <c r="O280" t="n">
        <v>0</v>
      </c>
      <c r="P280" t="n">
        <v>0</v>
      </c>
      <c r="Q280" t="n">
        <v>0</v>
      </c>
      <c r="R280" s="2" t="inlineStr"/>
    </row>
    <row r="281" ht="15" customHeight="1">
      <c r="A281" t="inlineStr">
        <is>
          <t>A 745-2020</t>
        </is>
      </c>
      <c r="B281" s="1" t="n">
        <v>43838</v>
      </c>
      <c r="C281" s="1" t="n">
        <v>45807</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1088-2020</t>
        </is>
      </c>
      <c r="B282" s="1" t="n">
        <v>43840</v>
      </c>
      <c r="C282" s="1" t="n">
        <v>45807</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1268-2020</t>
        </is>
      </c>
      <c r="B283" s="1" t="n">
        <v>43840</v>
      </c>
      <c r="C283" s="1" t="n">
        <v>45807</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1077-2020</t>
        </is>
      </c>
      <c r="B284" s="1" t="n">
        <v>43840</v>
      </c>
      <c r="C284" s="1" t="n">
        <v>45807</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5905-2020</t>
        </is>
      </c>
      <c r="B285" s="1" t="n">
        <v>43861</v>
      </c>
      <c r="C285" s="1" t="n">
        <v>45807</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6028-2020</t>
        </is>
      </c>
      <c r="B286" s="1" t="n">
        <v>43864</v>
      </c>
      <c r="C286" s="1" t="n">
        <v>45807</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6522-2020</t>
        </is>
      </c>
      <c r="B287" s="1" t="n">
        <v>43864</v>
      </c>
      <c r="C287" s="1" t="n">
        <v>45807</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6566-2020</t>
        </is>
      </c>
      <c r="B288" s="1" t="n">
        <v>43865</v>
      </c>
      <c r="C288" s="1" t="n">
        <v>45807</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7255-2020</t>
        </is>
      </c>
      <c r="B289" s="1" t="n">
        <v>43871</v>
      </c>
      <c r="C289" s="1" t="n">
        <v>45807</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7570-2020</t>
        </is>
      </c>
      <c r="B290" s="1" t="n">
        <v>43871</v>
      </c>
      <c r="C290" s="1" t="n">
        <v>45807</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8401-2020</t>
        </is>
      </c>
      <c r="B291" s="1" t="n">
        <v>43875</v>
      </c>
      <c r="C291" s="1" t="n">
        <v>45807</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11566-2020</t>
        </is>
      </c>
      <c r="B292" s="1" t="n">
        <v>43893</v>
      </c>
      <c r="C292" s="1" t="n">
        <v>45807</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12202-2020</t>
        </is>
      </c>
      <c r="B293" s="1" t="n">
        <v>43895</v>
      </c>
      <c r="C293" s="1" t="n">
        <v>45807</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13264-2020</t>
        </is>
      </c>
      <c r="B294" s="1" t="n">
        <v>43901</v>
      </c>
      <c r="C294" s="1" t="n">
        <v>45807</v>
      </c>
      <c r="D294" t="inlineStr">
        <is>
          <t>JÄMTLANDS LÄN</t>
        </is>
      </c>
      <c r="E294" t="inlineStr">
        <is>
          <t>ÖSTERSUND</t>
        </is>
      </c>
      <c r="G294" t="n">
        <v>4.4</v>
      </c>
      <c r="H294" t="n">
        <v>0</v>
      </c>
      <c r="I294" t="n">
        <v>0</v>
      </c>
      <c r="J294" t="n">
        <v>0</v>
      </c>
      <c r="K294" t="n">
        <v>0</v>
      </c>
      <c r="L294" t="n">
        <v>0</v>
      </c>
      <c r="M294" t="n">
        <v>0</v>
      </c>
      <c r="N294" t="n">
        <v>0</v>
      </c>
      <c r="O294" t="n">
        <v>0</v>
      </c>
      <c r="P294" t="n">
        <v>0</v>
      </c>
      <c r="Q294" t="n">
        <v>0</v>
      </c>
      <c r="R294" s="2" t="inlineStr"/>
    </row>
    <row r="295" ht="15" customHeight="1">
      <c r="A295" t="inlineStr">
        <is>
          <t>A 14917-2020</t>
        </is>
      </c>
      <c r="B295" s="1" t="n">
        <v>43906</v>
      </c>
      <c r="C295" s="1" t="n">
        <v>45807</v>
      </c>
      <c r="D295" t="inlineStr">
        <is>
          <t>JÄMTLANDS LÄN</t>
        </is>
      </c>
      <c r="E295" t="inlineStr">
        <is>
          <t>ÖSTERSUND</t>
        </is>
      </c>
      <c r="G295" t="n">
        <v>12.9</v>
      </c>
      <c r="H295" t="n">
        <v>0</v>
      </c>
      <c r="I295" t="n">
        <v>0</v>
      </c>
      <c r="J295" t="n">
        <v>0</v>
      </c>
      <c r="K295" t="n">
        <v>0</v>
      </c>
      <c r="L295" t="n">
        <v>0</v>
      </c>
      <c r="M295" t="n">
        <v>0</v>
      </c>
      <c r="N295" t="n">
        <v>0</v>
      </c>
      <c r="O295" t="n">
        <v>0</v>
      </c>
      <c r="P295" t="n">
        <v>0</v>
      </c>
      <c r="Q295" t="n">
        <v>0</v>
      </c>
      <c r="R295" s="2" t="inlineStr"/>
    </row>
    <row r="296" ht="15" customHeight="1">
      <c r="A296" t="inlineStr">
        <is>
          <t>A 15797-2020</t>
        </is>
      </c>
      <c r="B296" s="1" t="n">
        <v>43909</v>
      </c>
      <c r="C296" s="1" t="n">
        <v>45807</v>
      </c>
      <c r="D296" t="inlineStr">
        <is>
          <t>JÄMTLANDS LÄN</t>
        </is>
      </c>
      <c r="E296" t="inlineStr">
        <is>
          <t>ÖSTERSUND</t>
        </is>
      </c>
      <c r="G296" t="n">
        <v>3.5</v>
      </c>
      <c r="H296" t="n">
        <v>0</v>
      </c>
      <c r="I296" t="n">
        <v>0</v>
      </c>
      <c r="J296" t="n">
        <v>0</v>
      </c>
      <c r="K296" t="n">
        <v>0</v>
      </c>
      <c r="L296" t="n">
        <v>0</v>
      </c>
      <c r="M296" t="n">
        <v>0</v>
      </c>
      <c r="N296" t="n">
        <v>0</v>
      </c>
      <c r="O296" t="n">
        <v>0</v>
      </c>
      <c r="P296" t="n">
        <v>0</v>
      </c>
      <c r="Q296" t="n">
        <v>0</v>
      </c>
      <c r="R296" s="2" t="inlineStr"/>
    </row>
    <row r="297" ht="15" customHeight="1">
      <c r="A297" t="inlineStr">
        <is>
          <t>A 14903-2020</t>
        </is>
      </c>
      <c r="B297" s="1" t="n">
        <v>43910</v>
      </c>
      <c r="C297" s="1" t="n">
        <v>45807</v>
      </c>
      <c r="D297" t="inlineStr">
        <is>
          <t>JÄMTLANDS LÄN</t>
        </is>
      </c>
      <c r="E297" t="inlineStr">
        <is>
          <t>ÖSTERSUND</t>
        </is>
      </c>
      <c r="F297" t="inlineStr">
        <is>
          <t>Kyrkan</t>
        </is>
      </c>
      <c r="G297" t="n">
        <v>2.3</v>
      </c>
      <c r="H297" t="n">
        <v>0</v>
      </c>
      <c r="I297" t="n">
        <v>0</v>
      </c>
      <c r="J297" t="n">
        <v>0</v>
      </c>
      <c r="K297" t="n">
        <v>0</v>
      </c>
      <c r="L297" t="n">
        <v>0</v>
      </c>
      <c r="M297" t="n">
        <v>0</v>
      </c>
      <c r="N297" t="n">
        <v>0</v>
      </c>
      <c r="O297" t="n">
        <v>0</v>
      </c>
      <c r="P297" t="n">
        <v>0</v>
      </c>
      <c r="Q297" t="n">
        <v>0</v>
      </c>
      <c r="R297" s="2" t="inlineStr"/>
    </row>
    <row r="298" ht="15" customHeight="1">
      <c r="A298" t="inlineStr">
        <is>
          <t>A 17464-2020</t>
        </is>
      </c>
      <c r="B298" s="1" t="n">
        <v>43917</v>
      </c>
      <c r="C298" s="1" t="n">
        <v>45807</v>
      </c>
      <c r="D298" t="inlineStr">
        <is>
          <t>JÄMTLANDS LÄN</t>
        </is>
      </c>
      <c r="E298" t="inlineStr">
        <is>
          <t>ÖSTERSUND</t>
        </is>
      </c>
      <c r="G298" t="n">
        <v>3.8</v>
      </c>
      <c r="H298" t="n">
        <v>0</v>
      </c>
      <c r="I298" t="n">
        <v>0</v>
      </c>
      <c r="J298" t="n">
        <v>0</v>
      </c>
      <c r="K298" t="n">
        <v>0</v>
      </c>
      <c r="L298" t="n">
        <v>0</v>
      </c>
      <c r="M298" t="n">
        <v>0</v>
      </c>
      <c r="N298" t="n">
        <v>0</v>
      </c>
      <c r="O298" t="n">
        <v>0</v>
      </c>
      <c r="P298" t="n">
        <v>0</v>
      </c>
      <c r="Q298" t="n">
        <v>0</v>
      </c>
      <c r="R298" s="2" t="inlineStr"/>
    </row>
    <row r="299" ht="15" customHeight="1">
      <c r="A299" t="inlineStr">
        <is>
          <t>A 18339-2020</t>
        </is>
      </c>
      <c r="B299" s="1" t="n">
        <v>43928</v>
      </c>
      <c r="C299" s="1" t="n">
        <v>45807</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18683-2020</t>
        </is>
      </c>
      <c r="B300" s="1" t="n">
        <v>43930</v>
      </c>
      <c r="C300" s="1" t="n">
        <v>45807</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19631-2020</t>
        </is>
      </c>
      <c r="B301" s="1" t="n">
        <v>43936</v>
      </c>
      <c r="C301" s="1" t="n">
        <v>45807</v>
      </c>
      <c r="D301" t="inlineStr">
        <is>
          <t>JÄMTLANDS LÄN</t>
        </is>
      </c>
      <c r="E301" t="inlineStr">
        <is>
          <t>ÖSTERSUND</t>
        </is>
      </c>
      <c r="G301" t="n">
        <v>5.5</v>
      </c>
      <c r="H301" t="n">
        <v>0</v>
      </c>
      <c r="I301" t="n">
        <v>0</v>
      </c>
      <c r="J301" t="n">
        <v>0</v>
      </c>
      <c r="K301" t="n">
        <v>0</v>
      </c>
      <c r="L301" t="n">
        <v>0</v>
      </c>
      <c r="M301" t="n">
        <v>0</v>
      </c>
      <c r="N301" t="n">
        <v>0</v>
      </c>
      <c r="O301" t="n">
        <v>0</v>
      </c>
      <c r="P301" t="n">
        <v>0</v>
      </c>
      <c r="Q301" t="n">
        <v>0</v>
      </c>
      <c r="R301" s="2" t="inlineStr"/>
    </row>
    <row r="302" ht="15" customHeight="1">
      <c r="A302" t="inlineStr">
        <is>
          <t>A 19923-2020</t>
        </is>
      </c>
      <c r="B302" s="1" t="n">
        <v>43943</v>
      </c>
      <c r="C302" s="1" t="n">
        <v>45807</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20198-2020</t>
        </is>
      </c>
      <c r="B303" s="1" t="n">
        <v>43944</v>
      </c>
      <c r="C303" s="1" t="n">
        <v>45807</v>
      </c>
      <c r="D303" t="inlineStr">
        <is>
          <t>JÄMTLANDS LÄN</t>
        </is>
      </c>
      <c r="E303" t="inlineStr">
        <is>
          <t>ÖSTERSUND</t>
        </is>
      </c>
      <c r="G303" t="n">
        <v>2</v>
      </c>
      <c r="H303" t="n">
        <v>0</v>
      </c>
      <c r="I303" t="n">
        <v>0</v>
      </c>
      <c r="J303" t="n">
        <v>0</v>
      </c>
      <c r="K303" t="n">
        <v>0</v>
      </c>
      <c r="L303" t="n">
        <v>0</v>
      </c>
      <c r="M303" t="n">
        <v>0</v>
      </c>
      <c r="N303" t="n">
        <v>0</v>
      </c>
      <c r="O303" t="n">
        <v>0</v>
      </c>
      <c r="P303" t="n">
        <v>0</v>
      </c>
      <c r="Q303" t="n">
        <v>0</v>
      </c>
      <c r="R303" s="2" t="inlineStr"/>
    </row>
    <row r="304" ht="15" customHeight="1">
      <c r="A304" t="inlineStr">
        <is>
          <t>A 23507-2020</t>
        </is>
      </c>
      <c r="B304" s="1" t="n">
        <v>43969</v>
      </c>
      <c r="C304" s="1" t="n">
        <v>45807</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23445-2020</t>
        </is>
      </c>
      <c r="B305" s="1" t="n">
        <v>43969</v>
      </c>
      <c r="C305" s="1" t="n">
        <v>45807</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24259-2020</t>
        </is>
      </c>
      <c r="B306" s="1" t="n">
        <v>43970</v>
      </c>
      <c r="C306" s="1" t="n">
        <v>45807</v>
      </c>
      <c r="D306" t="inlineStr">
        <is>
          <t>JÄMTLANDS LÄN</t>
        </is>
      </c>
      <c r="E306" t="inlineStr">
        <is>
          <t>ÖSTERSUND</t>
        </is>
      </c>
      <c r="G306" t="n">
        <v>0.6</v>
      </c>
      <c r="H306" t="n">
        <v>0</v>
      </c>
      <c r="I306" t="n">
        <v>0</v>
      </c>
      <c r="J306" t="n">
        <v>0</v>
      </c>
      <c r="K306" t="n">
        <v>0</v>
      </c>
      <c r="L306" t="n">
        <v>0</v>
      </c>
      <c r="M306" t="n">
        <v>0</v>
      </c>
      <c r="N306" t="n">
        <v>0</v>
      </c>
      <c r="O306" t="n">
        <v>0</v>
      </c>
      <c r="P306" t="n">
        <v>0</v>
      </c>
      <c r="Q306" t="n">
        <v>0</v>
      </c>
      <c r="R306" s="2" t="inlineStr"/>
    </row>
    <row r="307" ht="15" customHeight="1">
      <c r="A307" t="inlineStr">
        <is>
          <t>A 24253-2020</t>
        </is>
      </c>
      <c r="B307" s="1" t="n">
        <v>43970</v>
      </c>
      <c r="C307" s="1" t="n">
        <v>45807</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25148-2020</t>
        </is>
      </c>
      <c r="B308" s="1" t="n">
        <v>43978</v>
      </c>
      <c r="C308" s="1" t="n">
        <v>45807</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26410-2020</t>
        </is>
      </c>
      <c r="B309" s="1" t="n">
        <v>43986</v>
      </c>
      <c r="C309" s="1" t="n">
        <v>45807</v>
      </c>
      <c r="D309" t="inlineStr">
        <is>
          <t>JÄMTLANDS LÄN</t>
        </is>
      </c>
      <c r="E309" t="inlineStr">
        <is>
          <t>ÖSTERSUND</t>
        </is>
      </c>
      <c r="G309" t="n">
        <v>2.1</v>
      </c>
      <c r="H309" t="n">
        <v>0</v>
      </c>
      <c r="I309" t="n">
        <v>0</v>
      </c>
      <c r="J309" t="n">
        <v>0</v>
      </c>
      <c r="K309" t="n">
        <v>0</v>
      </c>
      <c r="L309" t="n">
        <v>0</v>
      </c>
      <c r="M309" t="n">
        <v>0</v>
      </c>
      <c r="N309" t="n">
        <v>0</v>
      </c>
      <c r="O309" t="n">
        <v>0</v>
      </c>
      <c r="P309" t="n">
        <v>0</v>
      </c>
      <c r="Q309" t="n">
        <v>0</v>
      </c>
      <c r="R309" s="2" t="inlineStr"/>
    </row>
    <row r="310" ht="15" customHeight="1">
      <c r="A310" t="inlineStr">
        <is>
          <t>A 27576-2020</t>
        </is>
      </c>
      <c r="B310" s="1" t="n">
        <v>43992</v>
      </c>
      <c r="C310" s="1" t="n">
        <v>45807</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29635-2020</t>
        </is>
      </c>
      <c r="B311" s="1" t="n">
        <v>44000</v>
      </c>
      <c r="C311" s="1" t="n">
        <v>45807</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29435-2020</t>
        </is>
      </c>
      <c r="B312" s="1" t="n">
        <v>44004</v>
      </c>
      <c r="C312" s="1" t="n">
        <v>45807</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29479-2020</t>
        </is>
      </c>
      <c r="B313" s="1" t="n">
        <v>44005</v>
      </c>
      <c r="C313" s="1" t="n">
        <v>45807</v>
      </c>
      <c r="D313" t="inlineStr">
        <is>
          <t>JÄMTLANDS LÄN</t>
        </is>
      </c>
      <c r="E313" t="inlineStr">
        <is>
          <t>ÖSTERSUND</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29581-2020</t>
        </is>
      </c>
      <c r="B314" s="1" t="n">
        <v>44004</v>
      </c>
      <c r="C314" s="1" t="n">
        <v>45807</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30676-2020</t>
        </is>
      </c>
      <c r="B315" s="1" t="n">
        <v>44008</v>
      </c>
      <c r="C315" s="1" t="n">
        <v>45807</v>
      </c>
      <c r="D315" t="inlineStr">
        <is>
          <t>JÄMTLANDS LÄN</t>
        </is>
      </c>
      <c r="E315" t="inlineStr">
        <is>
          <t>ÖSTERSUND</t>
        </is>
      </c>
      <c r="G315" t="n">
        <v>2.4</v>
      </c>
      <c r="H315" t="n">
        <v>0</v>
      </c>
      <c r="I315" t="n">
        <v>0</v>
      </c>
      <c r="J315" t="n">
        <v>0</v>
      </c>
      <c r="K315" t="n">
        <v>0</v>
      </c>
      <c r="L315" t="n">
        <v>0</v>
      </c>
      <c r="M315" t="n">
        <v>0</v>
      </c>
      <c r="N315" t="n">
        <v>0</v>
      </c>
      <c r="O315" t="n">
        <v>0</v>
      </c>
      <c r="P315" t="n">
        <v>0</v>
      </c>
      <c r="Q315" t="n">
        <v>0</v>
      </c>
      <c r="R315" s="2" t="inlineStr"/>
    </row>
    <row r="316" ht="15" customHeight="1">
      <c r="A316" t="inlineStr">
        <is>
          <t>A 33945-2020</t>
        </is>
      </c>
      <c r="B316" s="1" t="n">
        <v>44027</v>
      </c>
      <c r="C316" s="1" t="n">
        <v>45807</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34703-2020</t>
        </is>
      </c>
      <c r="B317" s="1" t="n">
        <v>44035</v>
      </c>
      <c r="C317" s="1" t="n">
        <v>45807</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37500-2020</t>
        </is>
      </c>
      <c r="B318" s="1" t="n">
        <v>44055</v>
      </c>
      <c r="C318" s="1" t="n">
        <v>45807</v>
      </c>
      <c r="D318" t="inlineStr">
        <is>
          <t>JÄMTLANDS LÄN</t>
        </is>
      </c>
      <c r="E318" t="inlineStr">
        <is>
          <t>ÖSTERSUND</t>
        </is>
      </c>
      <c r="G318" t="n">
        <v>4.8</v>
      </c>
      <c r="H318" t="n">
        <v>0</v>
      </c>
      <c r="I318" t="n">
        <v>0</v>
      </c>
      <c r="J318" t="n">
        <v>0</v>
      </c>
      <c r="K318" t="n">
        <v>0</v>
      </c>
      <c r="L318" t="n">
        <v>0</v>
      </c>
      <c r="M318" t="n">
        <v>0</v>
      </c>
      <c r="N318" t="n">
        <v>0</v>
      </c>
      <c r="O318" t="n">
        <v>0</v>
      </c>
      <c r="P318" t="n">
        <v>0</v>
      </c>
      <c r="Q318" t="n">
        <v>0</v>
      </c>
      <c r="R318" s="2" t="inlineStr"/>
    </row>
    <row r="319" ht="15" customHeight="1">
      <c r="A319" t="inlineStr">
        <is>
          <t>A 38099-2020</t>
        </is>
      </c>
      <c r="B319" s="1" t="n">
        <v>44057</v>
      </c>
      <c r="C319" s="1" t="n">
        <v>45807</v>
      </c>
      <c r="D319" t="inlineStr">
        <is>
          <t>JÄMTLANDS LÄN</t>
        </is>
      </c>
      <c r="E319" t="inlineStr">
        <is>
          <t>ÖSTERSUND</t>
        </is>
      </c>
      <c r="F319" t="inlineStr">
        <is>
          <t>SCA</t>
        </is>
      </c>
      <c r="G319" t="n">
        <v>5.5</v>
      </c>
      <c r="H319" t="n">
        <v>0</v>
      </c>
      <c r="I319" t="n">
        <v>0</v>
      </c>
      <c r="J319" t="n">
        <v>0</v>
      </c>
      <c r="K319" t="n">
        <v>0</v>
      </c>
      <c r="L319" t="n">
        <v>0</v>
      </c>
      <c r="M319" t="n">
        <v>0</v>
      </c>
      <c r="N319" t="n">
        <v>0</v>
      </c>
      <c r="O319" t="n">
        <v>0</v>
      </c>
      <c r="P319" t="n">
        <v>0</v>
      </c>
      <c r="Q319" t="n">
        <v>0</v>
      </c>
      <c r="R319" s="2" t="inlineStr"/>
    </row>
    <row r="320" ht="15" customHeight="1">
      <c r="A320" t="inlineStr">
        <is>
          <t>A 41354-2020</t>
        </is>
      </c>
      <c r="B320" s="1" t="n">
        <v>44072</v>
      </c>
      <c r="C320" s="1" t="n">
        <v>45807</v>
      </c>
      <c r="D320" t="inlineStr">
        <is>
          <t>JÄMTLANDS LÄN</t>
        </is>
      </c>
      <c r="E320" t="inlineStr">
        <is>
          <t>ÖSTERSUND</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42712-2020</t>
        </is>
      </c>
      <c r="B321" s="1" t="n">
        <v>44076</v>
      </c>
      <c r="C321" s="1" t="n">
        <v>45807</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42749-2020</t>
        </is>
      </c>
      <c r="B322" s="1" t="n">
        <v>44078</v>
      </c>
      <c r="C322" s="1" t="n">
        <v>45807</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42765-2020</t>
        </is>
      </c>
      <c r="B323" s="1" t="n">
        <v>44077</v>
      </c>
      <c r="C323" s="1" t="n">
        <v>45807</v>
      </c>
      <c r="D323" t="inlineStr">
        <is>
          <t>JÄMTLANDS LÄN</t>
        </is>
      </c>
      <c r="E323" t="inlineStr">
        <is>
          <t>ÖSTERSUND</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42766-2020</t>
        </is>
      </c>
      <c r="B324" s="1" t="n">
        <v>44077</v>
      </c>
      <c r="C324" s="1" t="n">
        <v>45807</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43796-2020</t>
        </is>
      </c>
      <c r="B325" s="1" t="n">
        <v>44082</v>
      </c>
      <c r="C325" s="1" t="n">
        <v>45807</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45820-2020</t>
        </is>
      </c>
      <c r="B326" s="1" t="n">
        <v>44090</v>
      </c>
      <c r="C326" s="1" t="n">
        <v>45807</v>
      </c>
      <c r="D326" t="inlineStr">
        <is>
          <t>JÄMTLANDS LÄN</t>
        </is>
      </c>
      <c r="E326" t="inlineStr">
        <is>
          <t>ÖSTERSUND</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50121-2020</t>
        </is>
      </c>
      <c r="B327" s="1" t="n">
        <v>44106</v>
      </c>
      <c r="C327" s="1" t="n">
        <v>45807</v>
      </c>
      <c r="D327" t="inlineStr">
        <is>
          <t>JÄMTLANDS LÄN</t>
        </is>
      </c>
      <c r="E327" t="inlineStr">
        <is>
          <t>ÖSTERSUND</t>
        </is>
      </c>
      <c r="F327" t="inlineStr">
        <is>
          <t>Övriga statliga verk och myndigheter</t>
        </is>
      </c>
      <c r="G327" t="n">
        <v>5.2</v>
      </c>
      <c r="H327" t="n">
        <v>0</v>
      </c>
      <c r="I327" t="n">
        <v>0</v>
      </c>
      <c r="J327" t="n">
        <v>0</v>
      </c>
      <c r="K327" t="n">
        <v>0</v>
      </c>
      <c r="L327" t="n">
        <v>0</v>
      </c>
      <c r="M327" t="n">
        <v>0</v>
      </c>
      <c r="N327" t="n">
        <v>0</v>
      </c>
      <c r="O327" t="n">
        <v>0</v>
      </c>
      <c r="P327" t="n">
        <v>0</v>
      </c>
      <c r="Q327" t="n">
        <v>0</v>
      </c>
      <c r="R327" s="2" t="inlineStr"/>
    </row>
    <row r="328" ht="15" customHeight="1">
      <c r="A328" t="inlineStr">
        <is>
          <t>A 50153-2020</t>
        </is>
      </c>
      <c r="B328" s="1" t="n">
        <v>44106</v>
      </c>
      <c r="C328" s="1" t="n">
        <v>45807</v>
      </c>
      <c r="D328" t="inlineStr">
        <is>
          <t>JÄMTLANDS LÄN</t>
        </is>
      </c>
      <c r="E328" t="inlineStr">
        <is>
          <t>ÖSTERSUND</t>
        </is>
      </c>
      <c r="F328" t="inlineStr">
        <is>
          <t>Övriga statliga verk och myndigheter</t>
        </is>
      </c>
      <c r="G328" t="n">
        <v>4.6</v>
      </c>
      <c r="H328" t="n">
        <v>0</v>
      </c>
      <c r="I328" t="n">
        <v>0</v>
      </c>
      <c r="J328" t="n">
        <v>0</v>
      </c>
      <c r="K328" t="n">
        <v>0</v>
      </c>
      <c r="L328" t="n">
        <v>0</v>
      </c>
      <c r="M328" t="n">
        <v>0</v>
      </c>
      <c r="N328" t="n">
        <v>0</v>
      </c>
      <c r="O328" t="n">
        <v>0</v>
      </c>
      <c r="P328" t="n">
        <v>0</v>
      </c>
      <c r="Q328" t="n">
        <v>0</v>
      </c>
      <c r="R328" s="2" t="inlineStr"/>
    </row>
    <row r="329" ht="15" customHeight="1">
      <c r="A329" t="inlineStr">
        <is>
          <t>A 50144-2020</t>
        </is>
      </c>
      <c r="B329" s="1" t="n">
        <v>44106</v>
      </c>
      <c r="C329" s="1" t="n">
        <v>45807</v>
      </c>
      <c r="D329" t="inlineStr">
        <is>
          <t>JÄMTLANDS LÄN</t>
        </is>
      </c>
      <c r="E329" t="inlineStr">
        <is>
          <t>ÖSTERSUND</t>
        </is>
      </c>
      <c r="F329" t="inlineStr">
        <is>
          <t>Övriga statliga verk och myndigheter</t>
        </is>
      </c>
      <c r="G329" t="n">
        <v>2.2</v>
      </c>
      <c r="H329" t="n">
        <v>0</v>
      </c>
      <c r="I329" t="n">
        <v>0</v>
      </c>
      <c r="J329" t="n">
        <v>0</v>
      </c>
      <c r="K329" t="n">
        <v>0</v>
      </c>
      <c r="L329" t="n">
        <v>0</v>
      </c>
      <c r="M329" t="n">
        <v>0</v>
      </c>
      <c r="N329" t="n">
        <v>0</v>
      </c>
      <c r="O329" t="n">
        <v>0</v>
      </c>
      <c r="P329" t="n">
        <v>0</v>
      </c>
      <c r="Q329" t="n">
        <v>0</v>
      </c>
      <c r="R329" s="2" t="inlineStr"/>
    </row>
    <row r="330" ht="15" customHeight="1">
      <c r="A330" t="inlineStr">
        <is>
          <t>A 50632-2020</t>
        </is>
      </c>
      <c r="B330" s="1" t="n">
        <v>44110</v>
      </c>
      <c r="C330" s="1" t="n">
        <v>45807</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52478-2020</t>
        </is>
      </c>
      <c r="B331" s="1" t="n">
        <v>44113</v>
      </c>
      <c r="C331" s="1" t="n">
        <v>45807</v>
      </c>
      <c r="D331" t="inlineStr">
        <is>
          <t>JÄMTLANDS LÄN</t>
        </is>
      </c>
      <c r="E331" t="inlineStr">
        <is>
          <t>ÖSTERSUND</t>
        </is>
      </c>
      <c r="G331" t="n">
        <v>1.7</v>
      </c>
      <c r="H331" t="n">
        <v>0</v>
      </c>
      <c r="I331" t="n">
        <v>0</v>
      </c>
      <c r="J331" t="n">
        <v>0</v>
      </c>
      <c r="K331" t="n">
        <v>0</v>
      </c>
      <c r="L331" t="n">
        <v>0</v>
      </c>
      <c r="M331" t="n">
        <v>0</v>
      </c>
      <c r="N331" t="n">
        <v>0</v>
      </c>
      <c r="O331" t="n">
        <v>0</v>
      </c>
      <c r="P331" t="n">
        <v>0</v>
      </c>
      <c r="Q331" t="n">
        <v>0</v>
      </c>
      <c r="R331" s="2" t="inlineStr"/>
    </row>
    <row r="332" ht="15" customHeight="1">
      <c r="A332" t="inlineStr">
        <is>
          <t>A 52535-2020</t>
        </is>
      </c>
      <c r="B332" s="1" t="n">
        <v>44118</v>
      </c>
      <c r="C332" s="1" t="n">
        <v>45807</v>
      </c>
      <c r="D332" t="inlineStr">
        <is>
          <t>JÄMTLANDS LÄN</t>
        </is>
      </c>
      <c r="E332" t="inlineStr">
        <is>
          <t>ÖSTERSUND</t>
        </is>
      </c>
      <c r="G332" t="n">
        <v>2</v>
      </c>
      <c r="H332" t="n">
        <v>0</v>
      </c>
      <c r="I332" t="n">
        <v>0</v>
      </c>
      <c r="J332" t="n">
        <v>0</v>
      </c>
      <c r="K332" t="n">
        <v>0</v>
      </c>
      <c r="L332" t="n">
        <v>0</v>
      </c>
      <c r="M332" t="n">
        <v>0</v>
      </c>
      <c r="N332" t="n">
        <v>0</v>
      </c>
      <c r="O332" t="n">
        <v>0</v>
      </c>
      <c r="P332" t="n">
        <v>0</v>
      </c>
      <c r="Q332" t="n">
        <v>0</v>
      </c>
      <c r="R332" s="2" t="inlineStr"/>
    </row>
    <row r="333" ht="15" customHeight="1">
      <c r="A333" t="inlineStr">
        <is>
          <t>A 52777-2020</t>
        </is>
      </c>
      <c r="B333" s="1" t="n">
        <v>44118</v>
      </c>
      <c r="C333" s="1" t="n">
        <v>45807</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52791-2020</t>
        </is>
      </c>
      <c r="B334" s="1" t="n">
        <v>44118</v>
      </c>
      <c r="C334" s="1" t="n">
        <v>45807</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53323-2020</t>
        </is>
      </c>
      <c r="B335" s="1" t="n">
        <v>44123</v>
      </c>
      <c r="C335" s="1" t="n">
        <v>45807</v>
      </c>
      <c r="D335" t="inlineStr">
        <is>
          <t>JÄMTLANDS LÄN</t>
        </is>
      </c>
      <c r="E335" t="inlineStr">
        <is>
          <t>ÖSTERSUND</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53967-2020</t>
        </is>
      </c>
      <c r="B336" s="1" t="n">
        <v>44125</v>
      </c>
      <c r="C336" s="1" t="n">
        <v>45807</v>
      </c>
      <c r="D336" t="inlineStr">
        <is>
          <t>JÄMTLANDS LÄN</t>
        </is>
      </c>
      <c r="E336" t="inlineStr">
        <is>
          <t>ÖSTERSUND</t>
        </is>
      </c>
      <c r="G336" t="n">
        <v>25.8</v>
      </c>
      <c r="H336" t="n">
        <v>0</v>
      </c>
      <c r="I336" t="n">
        <v>0</v>
      </c>
      <c r="J336" t="n">
        <v>0</v>
      </c>
      <c r="K336" t="n">
        <v>0</v>
      </c>
      <c r="L336" t="n">
        <v>0</v>
      </c>
      <c r="M336" t="n">
        <v>0</v>
      </c>
      <c r="N336" t="n">
        <v>0</v>
      </c>
      <c r="O336" t="n">
        <v>0</v>
      </c>
      <c r="P336" t="n">
        <v>0</v>
      </c>
      <c r="Q336" t="n">
        <v>0</v>
      </c>
      <c r="R336" s="2" t="inlineStr"/>
    </row>
    <row r="337" ht="15" customHeight="1">
      <c r="A337" t="inlineStr">
        <is>
          <t>A 54539-2020</t>
        </is>
      </c>
      <c r="B337" s="1" t="n">
        <v>44126</v>
      </c>
      <c r="C337" s="1" t="n">
        <v>45807</v>
      </c>
      <c r="D337" t="inlineStr">
        <is>
          <t>JÄMTLANDS LÄN</t>
        </is>
      </c>
      <c r="E337" t="inlineStr">
        <is>
          <t>ÖSTERSUND</t>
        </is>
      </c>
      <c r="G337" t="n">
        <v>4.2</v>
      </c>
      <c r="H337" t="n">
        <v>0</v>
      </c>
      <c r="I337" t="n">
        <v>0</v>
      </c>
      <c r="J337" t="n">
        <v>0</v>
      </c>
      <c r="K337" t="n">
        <v>0</v>
      </c>
      <c r="L337" t="n">
        <v>0</v>
      </c>
      <c r="M337" t="n">
        <v>0</v>
      </c>
      <c r="N337" t="n">
        <v>0</v>
      </c>
      <c r="O337" t="n">
        <v>0</v>
      </c>
      <c r="P337" t="n">
        <v>0</v>
      </c>
      <c r="Q337" t="n">
        <v>0</v>
      </c>
      <c r="R337" s="2" t="inlineStr"/>
    </row>
    <row r="338" ht="15" customHeight="1">
      <c r="A338" t="inlineStr">
        <is>
          <t>A 54844-2020</t>
        </is>
      </c>
      <c r="B338" s="1" t="n">
        <v>44126</v>
      </c>
      <c r="C338" s="1" t="n">
        <v>45807</v>
      </c>
      <c r="D338" t="inlineStr">
        <is>
          <t>JÄMTLANDS LÄN</t>
        </is>
      </c>
      <c r="E338" t="inlineStr">
        <is>
          <t>ÖSTERSUND</t>
        </is>
      </c>
      <c r="G338" t="n">
        <v>6.9</v>
      </c>
      <c r="H338" t="n">
        <v>0</v>
      </c>
      <c r="I338" t="n">
        <v>0</v>
      </c>
      <c r="J338" t="n">
        <v>0</v>
      </c>
      <c r="K338" t="n">
        <v>0</v>
      </c>
      <c r="L338" t="n">
        <v>0</v>
      </c>
      <c r="M338" t="n">
        <v>0</v>
      </c>
      <c r="N338" t="n">
        <v>0</v>
      </c>
      <c r="O338" t="n">
        <v>0</v>
      </c>
      <c r="P338" t="n">
        <v>0</v>
      </c>
      <c r="Q338" t="n">
        <v>0</v>
      </c>
      <c r="R338" s="2" t="inlineStr"/>
    </row>
    <row r="339" ht="15" customHeight="1">
      <c r="A339" t="inlineStr">
        <is>
          <t>A 56220-2020</t>
        </is>
      </c>
      <c r="B339" s="1" t="n">
        <v>44133</v>
      </c>
      <c r="C339" s="1" t="n">
        <v>45807</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56486-2020</t>
        </is>
      </c>
      <c r="B340" s="1" t="n">
        <v>44137</v>
      </c>
      <c r="C340" s="1" t="n">
        <v>45807</v>
      </c>
      <c r="D340" t="inlineStr">
        <is>
          <t>JÄMTLANDS LÄN</t>
        </is>
      </c>
      <c r="E340" t="inlineStr">
        <is>
          <t>ÖSTERSUND</t>
        </is>
      </c>
      <c r="G340" t="n">
        <v>5.8</v>
      </c>
      <c r="H340" t="n">
        <v>0</v>
      </c>
      <c r="I340" t="n">
        <v>0</v>
      </c>
      <c r="J340" t="n">
        <v>0</v>
      </c>
      <c r="K340" t="n">
        <v>0</v>
      </c>
      <c r="L340" t="n">
        <v>0</v>
      </c>
      <c r="M340" t="n">
        <v>0</v>
      </c>
      <c r="N340" t="n">
        <v>0</v>
      </c>
      <c r="O340" t="n">
        <v>0</v>
      </c>
      <c r="P340" t="n">
        <v>0</v>
      </c>
      <c r="Q340" t="n">
        <v>0</v>
      </c>
      <c r="R340" s="2" t="inlineStr"/>
    </row>
    <row r="341" ht="15" customHeight="1">
      <c r="A341" t="inlineStr">
        <is>
          <t>A 56636-2020</t>
        </is>
      </c>
      <c r="B341" s="1" t="n">
        <v>44137</v>
      </c>
      <c r="C341" s="1" t="n">
        <v>45807</v>
      </c>
      <c r="D341" t="inlineStr">
        <is>
          <t>JÄMTLANDS LÄN</t>
        </is>
      </c>
      <c r="E341" t="inlineStr">
        <is>
          <t>ÖSTERSUND</t>
        </is>
      </c>
      <c r="F341" t="inlineStr">
        <is>
          <t>Övriga Aktiebolag</t>
        </is>
      </c>
      <c r="G341" t="n">
        <v>16.2</v>
      </c>
      <c r="H341" t="n">
        <v>0</v>
      </c>
      <c r="I341" t="n">
        <v>0</v>
      </c>
      <c r="J341" t="n">
        <v>0</v>
      </c>
      <c r="K341" t="n">
        <v>0</v>
      </c>
      <c r="L341" t="n">
        <v>0</v>
      </c>
      <c r="M341" t="n">
        <v>0</v>
      </c>
      <c r="N341" t="n">
        <v>0</v>
      </c>
      <c r="O341" t="n">
        <v>0</v>
      </c>
      <c r="P341" t="n">
        <v>0</v>
      </c>
      <c r="Q341" t="n">
        <v>0</v>
      </c>
      <c r="R341" s="2" t="inlineStr"/>
    </row>
    <row r="342" ht="15" customHeight="1">
      <c r="A342" t="inlineStr">
        <is>
          <t>A 56642-2020</t>
        </is>
      </c>
      <c r="B342" s="1" t="n">
        <v>44137</v>
      </c>
      <c r="C342" s="1" t="n">
        <v>45807</v>
      </c>
      <c r="D342" t="inlineStr">
        <is>
          <t>JÄMTLANDS LÄN</t>
        </is>
      </c>
      <c r="E342" t="inlineStr">
        <is>
          <t>ÖSTERSUND</t>
        </is>
      </c>
      <c r="F342" t="inlineStr">
        <is>
          <t>Övriga Aktiebolag</t>
        </is>
      </c>
      <c r="G342" t="n">
        <v>6</v>
      </c>
      <c r="H342" t="n">
        <v>0</v>
      </c>
      <c r="I342" t="n">
        <v>0</v>
      </c>
      <c r="J342" t="n">
        <v>0</v>
      </c>
      <c r="K342" t="n">
        <v>0</v>
      </c>
      <c r="L342" t="n">
        <v>0</v>
      </c>
      <c r="M342" t="n">
        <v>0</v>
      </c>
      <c r="N342" t="n">
        <v>0</v>
      </c>
      <c r="O342" t="n">
        <v>0</v>
      </c>
      <c r="P342" t="n">
        <v>0</v>
      </c>
      <c r="Q342" t="n">
        <v>0</v>
      </c>
      <c r="R342" s="2" t="inlineStr"/>
    </row>
    <row r="343" ht="15" customHeight="1">
      <c r="A343" t="inlineStr">
        <is>
          <t>A 57616-2020</t>
        </is>
      </c>
      <c r="B343" s="1" t="n">
        <v>44140</v>
      </c>
      <c r="C343" s="1" t="n">
        <v>45807</v>
      </c>
      <c r="D343" t="inlineStr">
        <is>
          <t>JÄMTLANDS LÄN</t>
        </is>
      </c>
      <c r="E343" t="inlineStr">
        <is>
          <t>ÖSTERSUND</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57624-2020</t>
        </is>
      </c>
      <c r="B344" s="1" t="n">
        <v>44140</v>
      </c>
      <c r="C344" s="1" t="n">
        <v>45807</v>
      </c>
      <c r="D344" t="inlineStr">
        <is>
          <t>JÄMTLANDS LÄN</t>
        </is>
      </c>
      <c r="E344" t="inlineStr">
        <is>
          <t>ÖSTERSUND</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57791-2020</t>
        </is>
      </c>
      <c r="B345" s="1" t="n">
        <v>44141</v>
      </c>
      <c r="C345" s="1" t="n">
        <v>45807</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57771-2020</t>
        </is>
      </c>
      <c r="B346" s="1" t="n">
        <v>44141</v>
      </c>
      <c r="C346" s="1" t="n">
        <v>45807</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60050-2020</t>
        </is>
      </c>
      <c r="B347" s="1" t="n">
        <v>44151</v>
      </c>
      <c r="C347" s="1" t="n">
        <v>45807</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60126-2020</t>
        </is>
      </c>
      <c r="B348" s="1" t="n">
        <v>44152</v>
      </c>
      <c r="C348" s="1" t="n">
        <v>45807</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63171-2020</t>
        </is>
      </c>
      <c r="B349" s="1" t="n">
        <v>44162</v>
      </c>
      <c r="C349" s="1" t="n">
        <v>45807</v>
      </c>
      <c r="D349" t="inlineStr">
        <is>
          <t>JÄMTLANDS LÄN</t>
        </is>
      </c>
      <c r="E349" t="inlineStr">
        <is>
          <t>ÖSTERSUND</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65410-2020</t>
        </is>
      </c>
      <c r="B350" s="1" t="n">
        <v>44173</v>
      </c>
      <c r="C350" s="1" t="n">
        <v>45807</v>
      </c>
      <c r="D350" t="inlineStr">
        <is>
          <t>JÄMTLANDS LÄN</t>
        </is>
      </c>
      <c r="E350" t="inlineStr">
        <is>
          <t>ÖSTERSUND</t>
        </is>
      </c>
      <c r="F350" t="inlineStr">
        <is>
          <t>Kommuner</t>
        </is>
      </c>
      <c r="G350" t="n">
        <v>0.8</v>
      </c>
      <c r="H350" t="n">
        <v>0</v>
      </c>
      <c r="I350" t="n">
        <v>0</v>
      </c>
      <c r="J350" t="n">
        <v>0</v>
      </c>
      <c r="K350" t="n">
        <v>0</v>
      </c>
      <c r="L350" t="n">
        <v>0</v>
      </c>
      <c r="M350" t="n">
        <v>0</v>
      </c>
      <c r="N350" t="n">
        <v>0</v>
      </c>
      <c r="O350" t="n">
        <v>0</v>
      </c>
      <c r="P350" t="n">
        <v>0</v>
      </c>
      <c r="Q350" t="n">
        <v>0</v>
      </c>
      <c r="R350" s="2" t="inlineStr"/>
    </row>
    <row r="351" ht="15" customHeight="1">
      <c r="A351" t="inlineStr">
        <is>
          <t>A 66269-2020</t>
        </is>
      </c>
      <c r="B351" s="1" t="n">
        <v>44174</v>
      </c>
      <c r="C351" s="1" t="n">
        <v>45807</v>
      </c>
      <c r="D351" t="inlineStr">
        <is>
          <t>JÄMTLANDS LÄN</t>
        </is>
      </c>
      <c r="E351" t="inlineStr">
        <is>
          <t>ÖSTERSUND</t>
        </is>
      </c>
      <c r="F351" t="inlineStr">
        <is>
          <t>Övriga statliga verk och myndigheter</t>
        </is>
      </c>
      <c r="G351" t="n">
        <v>10</v>
      </c>
      <c r="H351" t="n">
        <v>0</v>
      </c>
      <c r="I351" t="n">
        <v>0</v>
      </c>
      <c r="J351" t="n">
        <v>0</v>
      </c>
      <c r="K351" t="n">
        <v>0</v>
      </c>
      <c r="L351" t="n">
        <v>0</v>
      </c>
      <c r="M351" t="n">
        <v>0</v>
      </c>
      <c r="N351" t="n">
        <v>0</v>
      </c>
      <c r="O351" t="n">
        <v>0</v>
      </c>
      <c r="P351" t="n">
        <v>0</v>
      </c>
      <c r="Q351" t="n">
        <v>0</v>
      </c>
      <c r="R351" s="2" t="inlineStr"/>
    </row>
    <row r="352" ht="15" customHeight="1">
      <c r="A352" t="inlineStr">
        <is>
          <t>A 66288-2020</t>
        </is>
      </c>
      <c r="B352" s="1" t="n">
        <v>44174</v>
      </c>
      <c r="C352" s="1" t="n">
        <v>45807</v>
      </c>
      <c r="D352" t="inlineStr">
        <is>
          <t>JÄMTLANDS LÄN</t>
        </is>
      </c>
      <c r="E352" t="inlineStr">
        <is>
          <t>ÖSTERSUND</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66286-2020</t>
        </is>
      </c>
      <c r="B353" s="1" t="n">
        <v>44174</v>
      </c>
      <c r="C353" s="1" t="n">
        <v>45807</v>
      </c>
      <c r="D353" t="inlineStr">
        <is>
          <t>JÄMTLANDS LÄN</t>
        </is>
      </c>
      <c r="E353" t="inlineStr">
        <is>
          <t>ÖSTERSUND</t>
        </is>
      </c>
      <c r="F353" t="inlineStr">
        <is>
          <t>Övriga statliga verk och myndigheter</t>
        </is>
      </c>
      <c r="G353" t="n">
        <v>1.1</v>
      </c>
      <c r="H353" t="n">
        <v>0</v>
      </c>
      <c r="I353" t="n">
        <v>0</v>
      </c>
      <c r="J353" t="n">
        <v>0</v>
      </c>
      <c r="K353" t="n">
        <v>0</v>
      </c>
      <c r="L353" t="n">
        <v>0</v>
      </c>
      <c r="M353" t="n">
        <v>0</v>
      </c>
      <c r="N353" t="n">
        <v>0</v>
      </c>
      <c r="O353" t="n">
        <v>0</v>
      </c>
      <c r="P353" t="n">
        <v>0</v>
      </c>
      <c r="Q353" t="n">
        <v>0</v>
      </c>
      <c r="R353" s="2" t="inlineStr"/>
    </row>
    <row r="354" ht="15" customHeight="1">
      <c r="A354" t="inlineStr">
        <is>
          <t>A 67646-2020</t>
        </is>
      </c>
      <c r="B354" s="1" t="n">
        <v>44180</v>
      </c>
      <c r="C354" s="1" t="n">
        <v>45807</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67643-2020</t>
        </is>
      </c>
      <c r="B355" s="1" t="n">
        <v>44180</v>
      </c>
      <c r="C355" s="1" t="n">
        <v>45807</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68408-2020</t>
        </is>
      </c>
      <c r="B356" s="1" t="n">
        <v>44186</v>
      </c>
      <c r="C356" s="1" t="n">
        <v>45807</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68937-2020</t>
        </is>
      </c>
      <c r="B357" s="1" t="n">
        <v>44187</v>
      </c>
      <c r="C357" s="1" t="n">
        <v>45807</v>
      </c>
      <c r="D357" t="inlineStr">
        <is>
          <t>JÄMTLANDS LÄN</t>
        </is>
      </c>
      <c r="E357" t="inlineStr">
        <is>
          <t>ÖSTERSUND</t>
        </is>
      </c>
      <c r="G357" t="n">
        <v>4.7</v>
      </c>
      <c r="H357" t="n">
        <v>0</v>
      </c>
      <c r="I357" t="n">
        <v>0</v>
      </c>
      <c r="J357" t="n">
        <v>0</v>
      </c>
      <c r="K357" t="n">
        <v>0</v>
      </c>
      <c r="L357" t="n">
        <v>0</v>
      </c>
      <c r="M357" t="n">
        <v>0</v>
      </c>
      <c r="N357" t="n">
        <v>0</v>
      </c>
      <c r="O357" t="n">
        <v>0</v>
      </c>
      <c r="P357" t="n">
        <v>0</v>
      </c>
      <c r="Q357" t="n">
        <v>0</v>
      </c>
      <c r="R357" s="2" t="inlineStr"/>
    </row>
    <row r="358" ht="15" customHeight="1">
      <c r="A358" t="inlineStr">
        <is>
          <t>A 126-2021</t>
        </is>
      </c>
      <c r="B358" s="1" t="n">
        <v>44200</v>
      </c>
      <c r="C358" s="1" t="n">
        <v>45807</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501-2021</t>
        </is>
      </c>
      <c r="B359" s="1" t="n">
        <v>44200</v>
      </c>
      <c r="C359" s="1" t="n">
        <v>45807</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1322-2021</t>
        </is>
      </c>
      <c r="B360" s="1" t="n">
        <v>44208</v>
      </c>
      <c r="C360" s="1" t="n">
        <v>45807</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2686-2021</t>
        </is>
      </c>
      <c r="B361" s="1" t="n">
        <v>44214</v>
      </c>
      <c r="C361" s="1" t="n">
        <v>45807</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5460-2021</t>
        </is>
      </c>
      <c r="B362" s="1" t="n">
        <v>44229</v>
      </c>
      <c r="C362" s="1" t="n">
        <v>45807</v>
      </c>
      <c r="D362" t="inlineStr">
        <is>
          <t>JÄMTLANDS LÄN</t>
        </is>
      </c>
      <c r="E362" t="inlineStr">
        <is>
          <t>ÖSTERSUND</t>
        </is>
      </c>
      <c r="G362" t="n">
        <v>14.2</v>
      </c>
      <c r="H362" t="n">
        <v>0</v>
      </c>
      <c r="I362" t="n">
        <v>0</v>
      </c>
      <c r="J362" t="n">
        <v>0</v>
      </c>
      <c r="K362" t="n">
        <v>0</v>
      </c>
      <c r="L362" t="n">
        <v>0</v>
      </c>
      <c r="M362" t="n">
        <v>0</v>
      </c>
      <c r="N362" t="n">
        <v>0</v>
      </c>
      <c r="O362" t="n">
        <v>0</v>
      </c>
      <c r="P362" t="n">
        <v>0</v>
      </c>
      <c r="Q362" t="n">
        <v>0</v>
      </c>
      <c r="R362" s="2" t="inlineStr"/>
    </row>
    <row r="363" ht="15" customHeight="1">
      <c r="A363" t="inlineStr">
        <is>
          <t>A 6578-2021</t>
        </is>
      </c>
      <c r="B363" s="1" t="n">
        <v>44236</v>
      </c>
      <c r="C363" s="1" t="n">
        <v>45807</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8396-2021</t>
        </is>
      </c>
      <c r="B364" s="1" t="n">
        <v>44238</v>
      </c>
      <c r="C364" s="1" t="n">
        <v>45807</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10590-2021</t>
        </is>
      </c>
      <c r="B365" s="1" t="n">
        <v>44258</v>
      </c>
      <c r="C365" s="1" t="n">
        <v>45807</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10911-2021</t>
        </is>
      </c>
      <c r="B366" s="1" t="n">
        <v>44259</v>
      </c>
      <c r="C366" s="1" t="n">
        <v>45807</v>
      </c>
      <c r="D366" t="inlineStr">
        <is>
          <t>JÄMTLANDS LÄN</t>
        </is>
      </c>
      <c r="E366" t="inlineStr">
        <is>
          <t>ÖSTERSUND</t>
        </is>
      </c>
      <c r="F366" t="inlineStr">
        <is>
          <t>Kyrkan</t>
        </is>
      </c>
      <c r="G366" t="n">
        <v>0.9</v>
      </c>
      <c r="H366" t="n">
        <v>0</v>
      </c>
      <c r="I366" t="n">
        <v>0</v>
      </c>
      <c r="J366" t="n">
        <v>0</v>
      </c>
      <c r="K366" t="n">
        <v>0</v>
      </c>
      <c r="L366" t="n">
        <v>0</v>
      </c>
      <c r="M366" t="n">
        <v>0</v>
      </c>
      <c r="N366" t="n">
        <v>0</v>
      </c>
      <c r="O366" t="n">
        <v>0</v>
      </c>
      <c r="P366" t="n">
        <v>0</v>
      </c>
      <c r="Q366" t="n">
        <v>0</v>
      </c>
      <c r="R366" s="2" t="inlineStr"/>
    </row>
    <row r="367" ht="15" customHeight="1">
      <c r="A367" t="inlineStr">
        <is>
          <t>A 10834-2021</t>
        </is>
      </c>
      <c r="B367" s="1" t="n">
        <v>44259</v>
      </c>
      <c r="C367" s="1" t="n">
        <v>45807</v>
      </c>
      <c r="D367" t="inlineStr">
        <is>
          <t>JÄMTLANDS LÄN</t>
        </is>
      </c>
      <c r="E367" t="inlineStr">
        <is>
          <t>ÖSTERSUND</t>
        </is>
      </c>
      <c r="G367" t="n">
        <v>12.2</v>
      </c>
      <c r="H367" t="n">
        <v>0</v>
      </c>
      <c r="I367" t="n">
        <v>0</v>
      </c>
      <c r="J367" t="n">
        <v>0</v>
      </c>
      <c r="K367" t="n">
        <v>0</v>
      </c>
      <c r="L367" t="n">
        <v>0</v>
      </c>
      <c r="M367" t="n">
        <v>0</v>
      </c>
      <c r="N367" t="n">
        <v>0</v>
      </c>
      <c r="O367" t="n">
        <v>0</v>
      </c>
      <c r="P367" t="n">
        <v>0</v>
      </c>
      <c r="Q367" t="n">
        <v>0</v>
      </c>
      <c r="R367" s="2" t="inlineStr"/>
    </row>
    <row r="368" ht="15" customHeight="1">
      <c r="A368" t="inlineStr">
        <is>
          <t>A 12710-2021</t>
        </is>
      </c>
      <c r="B368" s="1" t="n">
        <v>44270</v>
      </c>
      <c r="C368" s="1" t="n">
        <v>45807</v>
      </c>
      <c r="D368" t="inlineStr">
        <is>
          <t>JÄMTLANDS LÄN</t>
        </is>
      </c>
      <c r="E368" t="inlineStr">
        <is>
          <t>ÖSTERSUND</t>
        </is>
      </c>
      <c r="G368" t="n">
        <v>1.3</v>
      </c>
      <c r="H368" t="n">
        <v>0</v>
      </c>
      <c r="I368" t="n">
        <v>0</v>
      </c>
      <c r="J368" t="n">
        <v>0</v>
      </c>
      <c r="K368" t="n">
        <v>0</v>
      </c>
      <c r="L368" t="n">
        <v>0</v>
      </c>
      <c r="M368" t="n">
        <v>0</v>
      </c>
      <c r="N368" t="n">
        <v>0</v>
      </c>
      <c r="O368" t="n">
        <v>0</v>
      </c>
      <c r="P368" t="n">
        <v>0</v>
      </c>
      <c r="Q368" t="n">
        <v>0</v>
      </c>
      <c r="R368" s="2" t="inlineStr"/>
    </row>
    <row r="369" ht="15" customHeight="1">
      <c r="A369" t="inlineStr">
        <is>
          <t>A 12705-2021</t>
        </is>
      </c>
      <c r="B369" s="1" t="n">
        <v>44270</v>
      </c>
      <c r="C369" s="1" t="n">
        <v>45807</v>
      </c>
      <c r="D369" t="inlineStr">
        <is>
          <t>JÄMTLANDS LÄN</t>
        </is>
      </c>
      <c r="E369" t="inlineStr">
        <is>
          <t>ÖSTERSUND</t>
        </is>
      </c>
      <c r="G369" t="n">
        <v>3.5</v>
      </c>
      <c r="H369" t="n">
        <v>0</v>
      </c>
      <c r="I369" t="n">
        <v>0</v>
      </c>
      <c r="J369" t="n">
        <v>0</v>
      </c>
      <c r="K369" t="n">
        <v>0</v>
      </c>
      <c r="L369" t="n">
        <v>0</v>
      </c>
      <c r="M369" t="n">
        <v>0</v>
      </c>
      <c r="N369" t="n">
        <v>0</v>
      </c>
      <c r="O369" t="n">
        <v>0</v>
      </c>
      <c r="P369" t="n">
        <v>0</v>
      </c>
      <c r="Q369" t="n">
        <v>0</v>
      </c>
      <c r="R369" s="2" t="inlineStr"/>
    </row>
    <row r="370" ht="15" customHeight="1">
      <c r="A370" t="inlineStr">
        <is>
          <t>A 14155-2021</t>
        </is>
      </c>
      <c r="B370" s="1" t="n">
        <v>44278</v>
      </c>
      <c r="C370" s="1" t="n">
        <v>45807</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15659-2021</t>
        </is>
      </c>
      <c r="B371" s="1" t="n">
        <v>44298</v>
      </c>
      <c r="C371" s="1" t="n">
        <v>45807</v>
      </c>
      <c r="D371" t="inlineStr">
        <is>
          <t>JÄMTLANDS LÄN</t>
        </is>
      </c>
      <c r="E371" t="inlineStr">
        <is>
          <t>ÖSTERSUND</t>
        </is>
      </c>
      <c r="G371" t="n">
        <v>13.3</v>
      </c>
      <c r="H371" t="n">
        <v>0</v>
      </c>
      <c r="I371" t="n">
        <v>0</v>
      </c>
      <c r="J371" t="n">
        <v>0</v>
      </c>
      <c r="K371" t="n">
        <v>0</v>
      </c>
      <c r="L371" t="n">
        <v>0</v>
      </c>
      <c r="M371" t="n">
        <v>0</v>
      </c>
      <c r="N371" t="n">
        <v>0</v>
      </c>
      <c r="O371" t="n">
        <v>0</v>
      </c>
      <c r="P371" t="n">
        <v>0</v>
      </c>
      <c r="Q371" t="n">
        <v>0</v>
      </c>
      <c r="R371" s="2" t="inlineStr"/>
    </row>
    <row r="372" ht="15" customHeight="1">
      <c r="A372" t="inlineStr">
        <is>
          <t>A 17362-2021</t>
        </is>
      </c>
      <c r="B372" s="1" t="n">
        <v>44298</v>
      </c>
      <c r="C372" s="1" t="n">
        <v>45807</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17596-2021</t>
        </is>
      </c>
      <c r="B373" s="1" t="n">
        <v>44299</v>
      </c>
      <c r="C373" s="1" t="n">
        <v>45807</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19541-2021</t>
        </is>
      </c>
      <c r="B374" s="1" t="n">
        <v>44312</v>
      </c>
      <c r="C374" s="1" t="n">
        <v>45807</v>
      </c>
      <c r="D374" t="inlineStr">
        <is>
          <t>JÄMTLANDS LÄN</t>
        </is>
      </c>
      <c r="E374" t="inlineStr">
        <is>
          <t>ÖSTERSUND</t>
        </is>
      </c>
      <c r="G374" t="n">
        <v>0.7</v>
      </c>
      <c r="H374" t="n">
        <v>0</v>
      </c>
      <c r="I374" t="n">
        <v>0</v>
      </c>
      <c r="J374" t="n">
        <v>0</v>
      </c>
      <c r="K374" t="n">
        <v>0</v>
      </c>
      <c r="L374" t="n">
        <v>0</v>
      </c>
      <c r="M374" t="n">
        <v>0</v>
      </c>
      <c r="N374" t="n">
        <v>0</v>
      </c>
      <c r="O374" t="n">
        <v>0</v>
      </c>
      <c r="P374" t="n">
        <v>0</v>
      </c>
      <c r="Q374" t="n">
        <v>0</v>
      </c>
      <c r="R374" s="2" t="inlineStr"/>
    </row>
    <row r="375" ht="15" customHeight="1">
      <c r="A375" t="inlineStr">
        <is>
          <t>A 20290-2021</t>
        </is>
      </c>
      <c r="B375" s="1" t="n">
        <v>44314</v>
      </c>
      <c r="C375" s="1" t="n">
        <v>45807</v>
      </c>
      <c r="D375" t="inlineStr">
        <is>
          <t>JÄMTLANDS LÄN</t>
        </is>
      </c>
      <c r="E375" t="inlineStr">
        <is>
          <t>ÖSTERSUND</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20620-2021</t>
        </is>
      </c>
      <c r="B376" s="1" t="n">
        <v>44316</v>
      </c>
      <c r="C376" s="1" t="n">
        <v>45807</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21306-2021</t>
        </is>
      </c>
      <c r="B377" s="1" t="n">
        <v>44320</v>
      </c>
      <c r="C377" s="1" t="n">
        <v>45807</v>
      </c>
      <c r="D377" t="inlineStr">
        <is>
          <t>JÄMTLANDS LÄN</t>
        </is>
      </c>
      <c r="E377" t="inlineStr">
        <is>
          <t>ÖSTERSUND</t>
        </is>
      </c>
      <c r="G377" t="n">
        <v>4.5</v>
      </c>
      <c r="H377" t="n">
        <v>0</v>
      </c>
      <c r="I377" t="n">
        <v>0</v>
      </c>
      <c r="J377" t="n">
        <v>0</v>
      </c>
      <c r="K377" t="n">
        <v>0</v>
      </c>
      <c r="L377" t="n">
        <v>0</v>
      </c>
      <c r="M377" t="n">
        <v>0</v>
      </c>
      <c r="N377" t="n">
        <v>0</v>
      </c>
      <c r="O377" t="n">
        <v>0</v>
      </c>
      <c r="P377" t="n">
        <v>0</v>
      </c>
      <c r="Q377" t="n">
        <v>0</v>
      </c>
      <c r="R377" s="2" t="inlineStr"/>
    </row>
    <row r="378" ht="15" customHeight="1">
      <c r="A378" t="inlineStr">
        <is>
          <t>A 21849-2021</t>
        </is>
      </c>
      <c r="B378" s="1" t="n">
        <v>44322</v>
      </c>
      <c r="C378" s="1" t="n">
        <v>45807</v>
      </c>
      <c r="D378" t="inlineStr">
        <is>
          <t>JÄMTLANDS LÄN</t>
        </is>
      </c>
      <c r="E378" t="inlineStr">
        <is>
          <t>ÖSTERSUND</t>
        </is>
      </c>
      <c r="G378" t="n">
        <v>2.5</v>
      </c>
      <c r="H378" t="n">
        <v>0</v>
      </c>
      <c r="I378" t="n">
        <v>0</v>
      </c>
      <c r="J378" t="n">
        <v>0</v>
      </c>
      <c r="K378" t="n">
        <v>0</v>
      </c>
      <c r="L378" t="n">
        <v>0</v>
      </c>
      <c r="M378" t="n">
        <v>0</v>
      </c>
      <c r="N378" t="n">
        <v>0</v>
      </c>
      <c r="O378" t="n">
        <v>0</v>
      </c>
      <c r="P378" t="n">
        <v>0</v>
      </c>
      <c r="Q378" t="n">
        <v>0</v>
      </c>
      <c r="R378" s="2" t="inlineStr"/>
    </row>
    <row r="379" ht="15" customHeight="1">
      <c r="A379" t="inlineStr">
        <is>
          <t>A 22126-2021</t>
        </is>
      </c>
      <c r="B379" s="1" t="n">
        <v>44323</v>
      </c>
      <c r="C379" s="1" t="n">
        <v>45807</v>
      </c>
      <c r="D379" t="inlineStr">
        <is>
          <t>JÄMTLANDS LÄN</t>
        </is>
      </c>
      <c r="E379" t="inlineStr">
        <is>
          <t>ÖSTERSUND</t>
        </is>
      </c>
      <c r="G379" t="n">
        <v>1.4</v>
      </c>
      <c r="H379" t="n">
        <v>0</v>
      </c>
      <c r="I379" t="n">
        <v>0</v>
      </c>
      <c r="J379" t="n">
        <v>0</v>
      </c>
      <c r="K379" t="n">
        <v>0</v>
      </c>
      <c r="L379" t="n">
        <v>0</v>
      </c>
      <c r="M379" t="n">
        <v>0</v>
      </c>
      <c r="N379" t="n">
        <v>0</v>
      </c>
      <c r="O379" t="n">
        <v>0</v>
      </c>
      <c r="P379" t="n">
        <v>0</v>
      </c>
      <c r="Q379" t="n">
        <v>0</v>
      </c>
      <c r="R379" s="2" t="inlineStr"/>
    </row>
    <row r="380" ht="15" customHeight="1">
      <c r="A380" t="inlineStr">
        <is>
          <t>A 23187-2021</t>
        </is>
      </c>
      <c r="B380" s="1" t="n">
        <v>44328</v>
      </c>
      <c r="C380" s="1" t="n">
        <v>45807</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23895-2021</t>
        </is>
      </c>
      <c r="B381" s="1" t="n">
        <v>44335</v>
      </c>
      <c r="C381" s="1" t="n">
        <v>45807</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24312-2021</t>
        </is>
      </c>
      <c r="B382" s="1" t="n">
        <v>44336</v>
      </c>
      <c r="C382" s="1" t="n">
        <v>45807</v>
      </c>
      <c r="D382" t="inlineStr">
        <is>
          <t>JÄMTLANDS LÄN</t>
        </is>
      </c>
      <c r="E382" t="inlineStr">
        <is>
          <t>ÖSTERSUND</t>
        </is>
      </c>
      <c r="G382" t="n">
        <v>10.6</v>
      </c>
      <c r="H382" t="n">
        <v>0</v>
      </c>
      <c r="I382" t="n">
        <v>0</v>
      </c>
      <c r="J382" t="n">
        <v>0</v>
      </c>
      <c r="K382" t="n">
        <v>0</v>
      </c>
      <c r="L382" t="n">
        <v>0</v>
      </c>
      <c r="M382" t="n">
        <v>0</v>
      </c>
      <c r="N382" t="n">
        <v>0</v>
      </c>
      <c r="O382" t="n">
        <v>0</v>
      </c>
      <c r="P382" t="n">
        <v>0</v>
      </c>
      <c r="Q382" t="n">
        <v>0</v>
      </c>
      <c r="R382" s="2" t="inlineStr"/>
    </row>
    <row r="383" ht="15" customHeight="1">
      <c r="A383" t="inlineStr">
        <is>
          <t>A 24706-2021</t>
        </is>
      </c>
      <c r="B383" s="1" t="n">
        <v>44340</v>
      </c>
      <c r="C383" s="1" t="n">
        <v>45807</v>
      </c>
      <c r="D383" t="inlineStr">
        <is>
          <t>JÄMTLANDS LÄN</t>
        </is>
      </c>
      <c r="E383" t="inlineStr">
        <is>
          <t>ÖSTERSUND</t>
        </is>
      </c>
      <c r="G383" t="n">
        <v>5.6</v>
      </c>
      <c r="H383" t="n">
        <v>0</v>
      </c>
      <c r="I383" t="n">
        <v>0</v>
      </c>
      <c r="J383" t="n">
        <v>0</v>
      </c>
      <c r="K383" t="n">
        <v>0</v>
      </c>
      <c r="L383" t="n">
        <v>0</v>
      </c>
      <c r="M383" t="n">
        <v>0</v>
      </c>
      <c r="N383" t="n">
        <v>0</v>
      </c>
      <c r="O383" t="n">
        <v>0</v>
      </c>
      <c r="P383" t="n">
        <v>0</v>
      </c>
      <c r="Q383" t="n">
        <v>0</v>
      </c>
      <c r="R383" s="2" t="inlineStr"/>
    </row>
    <row r="384" ht="15" customHeight="1">
      <c r="A384" t="inlineStr">
        <is>
          <t>A 24721-2021</t>
        </is>
      </c>
      <c r="B384" s="1" t="n">
        <v>44340</v>
      </c>
      <c r="C384" s="1" t="n">
        <v>45807</v>
      </c>
      <c r="D384" t="inlineStr">
        <is>
          <t>JÄMTLANDS LÄN</t>
        </is>
      </c>
      <c r="E384" t="inlineStr">
        <is>
          <t>ÖSTERSUND</t>
        </is>
      </c>
      <c r="G384" t="n">
        <v>2.7</v>
      </c>
      <c r="H384" t="n">
        <v>0</v>
      </c>
      <c r="I384" t="n">
        <v>0</v>
      </c>
      <c r="J384" t="n">
        <v>0</v>
      </c>
      <c r="K384" t="n">
        <v>0</v>
      </c>
      <c r="L384" t="n">
        <v>0</v>
      </c>
      <c r="M384" t="n">
        <v>0</v>
      </c>
      <c r="N384" t="n">
        <v>0</v>
      </c>
      <c r="O384" t="n">
        <v>0</v>
      </c>
      <c r="P384" t="n">
        <v>0</v>
      </c>
      <c r="Q384" t="n">
        <v>0</v>
      </c>
      <c r="R384" s="2" t="inlineStr"/>
    </row>
    <row r="385" ht="15" customHeight="1">
      <c r="A385" t="inlineStr">
        <is>
          <t>A 26254-2021</t>
        </is>
      </c>
      <c r="B385" s="1" t="n">
        <v>44347</v>
      </c>
      <c r="C385" s="1" t="n">
        <v>45807</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26259-2021</t>
        </is>
      </c>
      <c r="B386" s="1" t="n">
        <v>44347</v>
      </c>
      <c r="C386" s="1" t="n">
        <v>45807</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27061-2021</t>
        </is>
      </c>
      <c r="B387" s="1" t="n">
        <v>44349</v>
      </c>
      <c r="C387" s="1" t="n">
        <v>45807</v>
      </c>
      <c r="D387" t="inlineStr">
        <is>
          <t>JÄMTLANDS LÄN</t>
        </is>
      </c>
      <c r="E387" t="inlineStr">
        <is>
          <t>ÖSTERSUND</t>
        </is>
      </c>
      <c r="G387" t="n">
        <v>3.2</v>
      </c>
      <c r="H387" t="n">
        <v>0</v>
      </c>
      <c r="I387" t="n">
        <v>0</v>
      </c>
      <c r="J387" t="n">
        <v>0</v>
      </c>
      <c r="K387" t="n">
        <v>0</v>
      </c>
      <c r="L387" t="n">
        <v>0</v>
      </c>
      <c r="M387" t="n">
        <v>0</v>
      </c>
      <c r="N387" t="n">
        <v>0</v>
      </c>
      <c r="O387" t="n">
        <v>0</v>
      </c>
      <c r="P387" t="n">
        <v>0</v>
      </c>
      <c r="Q387" t="n">
        <v>0</v>
      </c>
      <c r="R387" s="2" t="inlineStr"/>
    </row>
    <row r="388" ht="15" customHeight="1">
      <c r="A388" t="inlineStr">
        <is>
          <t>A 27004-2021</t>
        </is>
      </c>
      <c r="B388" s="1" t="n">
        <v>44349</v>
      </c>
      <c r="C388" s="1" t="n">
        <v>45807</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29582-2021</t>
        </is>
      </c>
      <c r="B389" s="1" t="n">
        <v>44362</v>
      </c>
      <c r="C389" s="1" t="n">
        <v>45807</v>
      </c>
      <c r="D389" t="inlineStr">
        <is>
          <t>JÄMTLANDS LÄN</t>
        </is>
      </c>
      <c r="E389" t="inlineStr">
        <is>
          <t>ÖSTERSUND</t>
        </is>
      </c>
      <c r="G389" t="n">
        <v>31.5</v>
      </c>
      <c r="H389" t="n">
        <v>0</v>
      </c>
      <c r="I389" t="n">
        <v>0</v>
      </c>
      <c r="J389" t="n">
        <v>0</v>
      </c>
      <c r="K389" t="n">
        <v>0</v>
      </c>
      <c r="L389" t="n">
        <v>0</v>
      </c>
      <c r="M389" t="n">
        <v>0</v>
      </c>
      <c r="N389" t="n">
        <v>0</v>
      </c>
      <c r="O389" t="n">
        <v>0</v>
      </c>
      <c r="P389" t="n">
        <v>0</v>
      </c>
      <c r="Q389" t="n">
        <v>0</v>
      </c>
      <c r="R389" s="2" t="inlineStr"/>
    </row>
    <row r="390" ht="15" customHeight="1">
      <c r="A390" t="inlineStr">
        <is>
          <t>A 29707-2021</t>
        </is>
      </c>
      <c r="B390" s="1" t="n">
        <v>44362</v>
      </c>
      <c r="C390" s="1" t="n">
        <v>45807</v>
      </c>
      <c r="D390" t="inlineStr">
        <is>
          <t>JÄMTLANDS LÄN</t>
        </is>
      </c>
      <c r="E390" t="inlineStr">
        <is>
          <t>ÖSTERSUND</t>
        </is>
      </c>
      <c r="G390" t="n">
        <v>4</v>
      </c>
      <c r="H390" t="n">
        <v>0</v>
      </c>
      <c r="I390" t="n">
        <v>0</v>
      </c>
      <c r="J390" t="n">
        <v>0</v>
      </c>
      <c r="K390" t="n">
        <v>0</v>
      </c>
      <c r="L390" t="n">
        <v>0</v>
      </c>
      <c r="M390" t="n">
        <v>0</v>
      </c>
      <c r="N390" t="n">
        <v>0</v>
      </c>
      <c r="O390" t="n">
        <v>0</v>
      </c>
      <c r="P390" t="n">
        <v>0</v>
      </c>
      <c r="Q390" t="n">
        <v>0</v>
      </c>
      <c r="R390" s="2" t="inlineStr"/>
    </row>
    <row r="391" ht="15" customHeight="1">
      <c r="A391" t="inlineStr">
        <is>
          <t>A 31040-2021</t>
        </is>
      </c>
      <c r="B391" s="1" t="n">
        <v>44368</v>
      </c>
      <c r="C391" s="1" t="n">
        <v>45807</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32994-2021</t>
        </is>
      </c>
      <c r="B392" s="1" t="n">
        <v>44375</v>
      </c>
      <c r="C392" s="1" t="n">
        <v>45807</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33004-2021</t>
        </is>
      </c>
      <c r="B393" s="1" t="n">
        <v>44375</v>
      </c>
      <c r="C393" s="1" t="n">
        <v>45807</v>
      </c>
      <c r="D393" t="inlineStr">
        <is>
          <t>JÄMTLANDS LÄN</t>
        </is>
      </c>
      <c r="E393" t="inlineStr">
        <is>
          <t>ÖSTERSUND</t>
        </is>
      </c>
      <c r="G393" t="n">
        <v>0.6</v>
      </c>
      <c r="H393" t="n">
        <v>0</v>
      </c>
      <c r="I393" t="n">
        <v>0</v>
      </c>
      <c r="J393" t="n">
        <v>0</v>
      </c>
      <c r="K393" t="n">
        <v>0</v>
      </c>
      <c r="L393" t="n">
        <v>0</v>
      </c>
      <c r="M393" t="n">
        <v>0</v>
      </c>
      <c r="N393" t="n">
        <v>0</v>
      </c>
      <c r="O393" t="n">
        <v>0</v>
      </c>
      <c r="P393" t="n">
        <v>0</v>
      </c>
      <c r="Q393" t="n">
        <v>0</v>
      </c>
      <c r="R393" s="2" t="inlineStr"/>
    </row>
    <row r="394" ht="15" customHeight="1">
      <c r="A394" t="inlineStr">
        <is>
          <t>A 32998-2021</t>
        </is>
      </c>
      <c r="B394" s="1" t="n">
        <v>44375</v>
      </c>
      <c r="C394" s="1" t="n">
        <v>45807</v>
      </c>
      <c r="D394" t="inlineStr">
        <is>
          <t>JÄMTLANDS LÄN</t>
        </is>
      </c>
      <c r="E394" t="inlineStr">
        <is>
          <t>ÖSTERSUND</t>
        </is>
      </c>
      <c r="G394" t="n">
        <v>0.1</v>
      </c>
      <c r="H394" t="n">
        <v>0</v>
      </c>
      <c r="I394" t="n">
        <v>0</v>
      </c>
      <c r="J394" t="n">
        <v>0</v>
      </c>
      <c r="K394" t="n">
        <v>0</v>
      </c>
      <c r="L394" t="n">
        <v>0</v>
      </c>
      <c r="M394" t="n">
        <v>0</v>
      </c>
      <c r="N394" t="n">
        <v>0</v>
      </c>
      <c r="O394" t="n">
        <v>0</v>
      </c>
      <c r="P394" t="n">
        <v>0</v>
      </c>
      <c r="Q394" t="n">
        <v>0</v>
      </c>
      <c r="R394" s="2" t="inlineStr"/>
    </row>
    <row r="395" ht="15" customHeight="1">
      <c r="A395" t="inlineStr">
        <is>
          <t>A 32986-2021</t>
        </is>
      </c>
      <c r="B395" s="1" t="n">
        <v>44375</v>
      </c>
      <c r="C395" s="1" t="n">
        <v>45807</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33002-2021</t>
        </is>
      </c>
      <c r="B396" s="1" t="n">
        <v>44375</v>
      </c>
      <c r="C396" s="1" t="n">
        <v>45807</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32990-2021</t>
        </is>
      </c>
      <c r="B397" s="1" t="n">
        <v>44375</v>
      </c>
      <c r="C397" s="1" t="n">
        <v>45807</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33831-2021</t>
        </is>
      </c>
      <c r="B398" s="1" t="n">
        <v>44378</v>
      </c>
      <c r="C398" s="1" t="n">
        <v>45807</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35032-2021</t>
        </is>
      </c>
      <c r="B399" s="1" t="n">
        <v>44383</v>
      </c>
      <c r="C399" s="1" t="n">
        <v>45807</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35755-2021</t>
        </is>
      </c>
      <c r="B400" s="1" t="n">
        <v>44385</v>
      </c>
      <c r="C400" s="1" t="n">
        <v>45807</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38142-2021</t>
        </is>
      </c>
      <c r="B401" s="1" t="n">
        <v>44405</v>
      </c>
      <c r="C401" s="1" t="n">
        <v>45807</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38647-2021</t>
        </is>
      </c>
      <c r="B402" s="1" t="n">
        <v>44410</v>
      </c>
      <c r="C402" s="1" t="n">
        <v>45807</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v>
      </c>
      <c r="C403" s="1" t="n">
        <v>45807</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39735-2021</t>
        </is>
      </c>
      <c r="B404" s="1" t="n">
        <v>44414</v>
      </c>
      <c r="C404" s="1" t="n">
        <v>45807</v>
      </c>
      <c r="D404" t="inlineStr">
        <is>
          <t>JÄMTLANDS LÄN</t>
        </is>
      </c>
      <c r="E404" t="inlineStr">
        <is>
          <t>ÖSTERSUND</t>
        </is>
      </c>
      <c r="G404" t="n">
        <v>4.5</v>
      </c>
      <c r="H404" t="n">
        <v>0</v>
      </c>
      <c r="I404" t="n">
        <v>0</v>
      </c>
      <c r="J404" t="n">
        <v>0</v>
      </c>
      <c r="K404" t="n">
        <v>0</v>
      </c>
      <c r="L404" t="n">
        <v>0</v>
      </c>
      <c r="M404" t="n">
        <v>0</v>
      </c>
      <c r="N404" t="n">
        <v>0</v>
      </c>
      <c r="O404" t="n">
        <v>0</v>
      </c>
      <c r="P404" t="n">
        <v>0</v>
      </c>
      <c r="Q404" t="n">
        <v>0</v>
      </c>
      <c r="R404" s="2" t="inlineStr"/>
    </row>
    <row r="405" ht="15" customHeight="1">
      <c r="A405" t="inlineStr">
        <is>
          <t>A 40038-2021</t>
        </is>
      </c>
      <c r="B405" s="1" t="n">
        <v>44418</v>
      </c>
      <c r="C405" s="1" t="n">
        <v>45807</v>
      </c>
      <c r="D405" t="inlineStr">
        <is>
          <t>JÄMTLANDS LÄN</t>
        </is>
      </c>
      <c r="E405" t="inlineStr">
        <is>
          <t>ÖSTERSUND</t>
        </is>
      </c>
      <c r="G405" t="n">
        <v>7</v>
      </c>
      <c r="H405" t="n">
        <v>0</v>
      </c>
      <c r="I405" t="n">
        <v>0</v>
      </c>
      <c r="J405" t="n">
        <v>0</v>
      </c>
      <c r="K405" t="n">
        <v>0</v>
      </c>
      <c r="L405" t="n">
        <v>0</v>
      </c>
      <c r="M405" t="n">
        <v>0</v>
      </c>
      <c r="N405" t="n">
        <v>0</v>
      </c>
      <c r="O405" t="n">
        <v>0</v>
      </c>
      <c r="P405" t="n">
        <v>0</v>
      </c>
      <c r="Q405" t="n">
        <v>0</v>
      </c>
      <c r="R405" s="2" t="inlineStr"/>
    </row>
    <row r="406" ht="15" customHeight="1">
      <c r="A406" t="inlineStr">
        <is>
          <t>A 41802-2021</t>
        </is>
      </c>
      <c r="B406" s="1" t="n">
        <v>44425</v>
      </c>
      <c r="C406" s="1" t="n">
        <v>45807</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42469-2021</t>
        </is>
      </c>
      <c r="B407" s="1" t="n">
        <v>44427</v>
      </c>
      <c r="C407" s="1" t="n">
        <v>45807</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42793-2021</t>
        </is>
      </c>
      <c r="B408" s="1" t="n">
        <v>44428</v>
      </c>
      <c r="C408" s="1" t="n">
        <v>45807</v>
      </c>
      <c r="D408" t="inlineStr">
        <is>
          <t>JÄMTLANDS LÄN</t>
        </is>
      </c>
      <c r="E408" t="inlineStr">
        <is>
          <t>ÖSTERSUND</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42832-2021</t>
        </is>
      </c>
      <c r="B409" s="1" t="n">
        <v>44430</v>
      </c>
      <c r="C409" s="1" t="n">
        <v>45807</v>
      </c>
      <c r="D409" t="inlineStr">
        <is>
          <t>JÄMTLANDS LÄN</t>
        </is>
      </c>
      <c r="E409" t="inlineStr">
        <is>
          <t>ÖSTERSUND</t>
        </is>
      </c>
      <c r="G409" t="n">
        <v>9</v>
      </c>
      <c r="H409" t="n">
        <v>0</v>
      </c>
      <c r="I409" t="n">
        <v>0</v>
      </c>
      <c r="J409" t="n">
        <v>0</v>
      </c>
      <c r="K409" t="n">
        <v>0</v>
      </c>
      <c r="L409" t="n">
        <v>0</v>
      </c>
      <c r="M409" t="n">
        <v>0</v>
      </c>
      <c r="N409" t="n">
        <v>0</v>
      </c>
      <c r="O409" t="n">
        <v>0</v>
      </c>
      <c r="P409" t="n">
        <v>0</v>
      </c>
      <c r="Q409" t="n">
        <v>0</v>
      </c>
      <c r="R409" s="2" t="inlineStr"/>
    </row>
    <row r="410" ht="15" customHeight="1">
      <c r="A410" t="inlineStr">
        <is>
          <t>A 43310-2021</t>
        </is>
      </c>
      <c r="B410" s="1" t="n">
        <v>44432</v>
      </c>
      <c r="C410" s="1" t="n">
        <v>45807</v>
      </c>
      <c r="D410" t="inlineStr">
        <is>
          <t>JÄMTLANDS LÄN</t>
        </is>
      </c>
      <c r="E410" t="inlineStr">
        <is>
          <t>ÖSTERSUND</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44013-2021</t>
        </is>
      </c>
      <c r="B411" s="1" t="n">
        <v>44434</v>
      </c>
      <c r="C411" s="1" t="n">
        <v>45807</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44051-2021</t>
        </is>
      </c>
      <c r="B412" s="1" t="n">
        <v>44434</v>
      </c>
      <c r="C412" s="1" t="n">
        <v>45807</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44267-2021</t>
        </is>
      </c>
      <c r="B413" s="1" t="n">
        <v>44434</v>
      </c>
      <c r="C413" s="1" t="n">
        <v>45807</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46002-2021</t>
        </is>
      </c>
      <c r="B414" s="1" t="n">
        <v>44441</v>
      </c>
      <c r="C414" s="1" t="n">
        <v>45807</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46004-2021</t>
        </is>
      </c>
      <c r="B415" s="1" t="n">
        <v>44441</v>
      </c>
      <c r="C415" s="1" t="n">
        <v>45807</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46111-2021</t>
        </is>
      </c>
      <c r="B416" s="1" t="n">
        <v>44441</v>
      </c>
      <c r="C416" s="1" t="n">
        <v>45807</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46139-2021</t>
        </is>
      </c>
      <c r="B417" s="1" t="n">
        <v>44441</v>
      </c>
      <c r="C417" s="1" t="n">
        <v>45807</v>
      </c>
      <c r="D417" t="inlineStr">
        <is>
          <t>JÄMTLANDS LÄN</t>
        </is>
      </c>
      <c r="E417" t="inlineStr">
        <is>
          <t>ÖSTERSUND</t>
        </is>
      </c>
      <c r="G417" t="n">
        <v>12.8</v>
      </c>
      <c r="H417" t="n">
        <v>0</v>
      </c>
      <c r="I417" t="n">
        <v>0</v>
      </c>
      <c r="J417" t="n">
        <v>0</v>
      </c>
      <c r="K417" t="n">
        <v>0</v>
      </c>
      <c r="L417" t="n">
        <v>0</v>
      </c>
      <c r="M417" t="n">
        <v>0</v>
      </c>
      <c r="N417" t="n">
        <v>0</v>
      </c>
      <c r="O417" t="n">
        <v>0</v>
      </c>
      <c r="P417" t="n">
        <v>0</v>
      </c>
      <c r="Q417" t="n">
        <v>0</v>
      </c>
      <c r="R417" s="2" t="inlineStr"/>
    </row>
    <row r="418" ht="15" customHeight="1">
      <c r="A418" t="inlineStr">
        <is>
          <t>A 48947-2021</t>
        </is>
      </c>
      <c r="B418" s="1" t="n">
        <v>44453</v>
      </c>
      <c r="C418" s="1" t="n">
        <v>45807</v>
      </c>
      <c r="D418" t="inlineStr">
        <is>
          <t>JÄMTLANDS LÄN</t>
        </is>
      </c>
      <c r="E418" t="inlineStr">
        <is>
          <t>ÖSTERSUND</t>
        </is>
      </c>
      <c r="G418" t="n">
        <v>22.3</v>
      </c>
      <c r="H418" t="n">
        <v>0</v>
      </c>
      <c r="I418" t="n">
        <v>0</v>
      </c>
      <c r="J418" t="n">
        <v>0</v>
      </c>
      <c r="K418" t="n">
        <v>0</v>
      </c>
      <c r="L418" t="n">
        <v>0</v>
      </c>
      <c r="M418" t="n">
        <v>0</v>
      </c>
      <c r="N418" t="n">
        <v>0</v>
      </c>
      <c r="O418" t="n">
        <v>0</v>
      </c>
      <c r="P418" t="n">
        <v>0</v>
      </c>
      <c r="Q418" t="n">
        <v>0</v>
      </c>
      <c r="R418" s="2" t="inlineStr"/>
    </row>
    <row r="419" ht="15" customHeight="1">
      <c r="A419" t="inlineStr">
        <is>
          <t>A 52913-2021</t>
        </is>
      </c>
      <c r="B419" s="1" t="n">
        <v>44466</v>
      </c>
      <c r="C419" s="1" t="n">
        <v>45807</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55302-2021</t>
        </is>
      </c>
      <c r="B420" s="1" t="n">
        <v>44475</v>
      </c>
      <c r="C420" s="1" t="n">
        <v>45807</v>
      </c>
      <c r="D420" t="inlineStr">
        <is>
          <t>JÄMTLANDS LÄN</t>
        </is>
      </c>
      <c r="E420" t="inlineStr">
        <is>
          <t>ÖSTERSUND</t>
        </is>
      </c>
      <c r="G420" t="n">
        <v>0.3</v>
      </c>
      <c r="H420" t="n">
        <v>0</v>
      </c>
      <c r="I420" t="n">
        <v>0</v>
      </c>
      <c r="J420" t="n">
        <v>0</v>
      </c>
      <c r="K420" t="n">
        <v>0</v>
      </c>
      <c r="L420" t="n">
        <v>0</v>
      </c>
      <c r="M420" t="n">
        <v>0</v>
      </c>
      <c r="N420" t="n">
        <v>0</v>
      </c>
      <c r="O420" t="n">
        <v>0</v>
      </c>
      <c r="P420" t="n">
        <v>0</v>
      </c>
      <c r="Q420" t="n">
        <v>0</v>
      </c>
      <c r="R420" s="2" t="inlineStr"/>
    </row>
    <row r="421" ht="15" customHeight="1">
      <c r="A421" t="inlineStr">
        <is>
          <t>A 61631-2021</t>
        </is>
      </c>
      <c r="B421" s="1" t="n">
        <v>44501</v>
      </c>
      <c r="C421" s="1" t="n">
        <v>45807</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64092-2021</t>
        </is>
      </c>
      <c r="B422" s="1" t="n">
        <v>44510</v>
      </c>
      <c r="C422" s="1" t="n">
        <v>45807</v>
      </c>
      <c r="D422" t="inlineStr">
        <is>
          <t>JÄMTLANDS LÄN</t>
        </is>
      </c>
      <c r="E422" t="inlineStr">
        <is>
          <t>ÖSTERSUND</t>
        </is>
      </c>
      <c r="G422" t="n">
        <v>5.6</v>
      </c>
      <c r="H422" t="n">
        <v>0</v>
      </c>
      <c r="I422" t="n">
        <v>0</v>
      </c>
      <c r="J422" t="n">
        <v>0</v>
      </c>
      <c r="K422" t="n">
        <v>0</v>
      </c>
      <c r="L422" t="n">
        <v>0</v>
      </c>
      <c r="M422" t="n">
        <v>0</v>
      </c>
      <c r="N422" t="n">
        <v>0</v>
      </c>
      <c r="O422" t="n">
        <v>0</v>
      </c>
      <c r="P422" t="n">
        <v>0</v>
      </c>
      <c r="Q422" t="n">
        <v>0</v>
      </c>
      <c r="R422" s="2" t="inlineStr"/>
    </row>
    <row r="423" ht="15" customHeight="1">
      <c r="A423" t="inlineStr">
        <is>
          <t>A 64645-2021</t>
        </is>
      </c>
      <c r="B423" s="1" t="n">
        <v>44511</v>
      </c>
      <c r="C423" s="1" t="n">
        <v>45807</v>
      </c>
      <c r="D423" t="inlineStr">
        <is>
          <t>JÄMTLANDS LÄN</t>
        </is>
      </c>
      <c r="E423" t="inlineStr">
        <is>
          <t>ÖSTERSUND</t>
        </is>
      </c>
      <c r="G423" t="n">
        <v>3.2</v>
      </c>
      <c r="H423" t="n">
        <v>0</v>
      </c>
      <c r="I423" t="n">
        <v>0</v>
      </c>
      <c r="J423" t="n">
        <v>0</v>
      </c>
      <c r="K423" t="n">
        <v>0</v>
      </c>
      <c r="L423" t="n">
        <v>0</v>
      </c>
      <c r="M423" t="n">
        <v>0</v>
      </c>
      <c r="N423" t="n">
        <v>0</v>
      </c>
      <c r="O423" t="n">
        <v>0</v>
      </c>
      <c r="P423" t="n">
        <v>0</v>
      </c>
      <c r="Q423" t="n">
        <v>0</v>
      </c>
      <c r="R423" s="2" t="inlineStr"/>
    </row>
    <row r="424" ht="15" customHeight="1">
      <c r="A424" t="inlineStr">
        <is>
          <t>A 65428-2021</t>
        </is>
      </c>
      <c r="B424" s="1" t="n">
        <v>44515</v>
      </c>
      <c r="C424" s="1" t="n">
        <v>45807</v>
      </c>
      <c r="D424" t="inlineStr">
        <is>
          <t>JÄMTLANDS LÄN</t>
        </is>
      </c>
      <c r="E424" t="inlineStr">
        <is>
          <t>ÖSTERSUND</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65866-2021</t>
        </is>
      </c>
      <c r="B425" s="1" t="n">
        <v>44516</v>
      </c>
      <c r="C425" s="1" t="n">
        <v>45807</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65991-2021</t>
        </is>
      </c>
      <c r="B426" s="1" t="n">
        <v>44517</v>
      </c>
      <c r="C426" s="1" t="n">
        <v>45807</v>
      </c>
      <c r="D426" t="inlineStr">
        <is>
          <t>JÄMTLANDS LÄN</t>
        </is>
      </c>
      <c r="E426" t="inlineStr">
        <is>
          <t>ÖSTERSUND</t>
        </is>
      </c>
      <c r="G426" t="n">
        <v>4.3</v>
      </c>
      <c r="H426" t="n">
        <v>0</v>
      </c>
      <c r="I426" t="n">
        <v>0</v>
      </c>
      <c r="J426" t="n">
        <v>0</v>
      </c>
      <c r="K426" t="n">
        <v>0</v>
      </c>
      <c r="L426" t="n">
        <v>0</v>
      </c>
      <c r="M426" t="n">
        <v>0</v>
      </c>
      <c r="N426" t="n">
        <v>0</v>
      </c>
      <c r="O426" t="n">
        <v>0</v>
      </c>
      <c r="P426" t="n">
        <v>0</v>
      </c>
      <c r="Q426" t="n">
        <v>0</v>
      </c>
      <c r="R426" s="2" t="inlineStr"/>
    </row>
    <row r="427" ht="15" customHeight="1">
      <c r="A427" t="inlineStr">
        <is>
          <t>A 66940-2021</t>
        </is>
      </c>
      <c r="B427" s="1" t="n">
        <v>44522</v>
      </c>
      <c r="C427" s="1" t="n">
        <v>45807</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67695-2021</t>
        </is>
      </c>
      <c r="B428" s="1" t="n">
        <v>44524</v>
      </c>
      <c r="C428" s="1" t="n">
        <v>45807</v>
      </c>
      <c r="D428" t="inlineStr">
        <is>
          <t>JÄMTLANDS LÄN</t>
        </is>
      </c>
      <c r="E428" t="inlineStr">
        <is>
          <t>ÖSTERSUND</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67694-2021</t>
        </is>
      </c>
      <c r="B429" s="1" t="n">
        <v>44524</v>
      </c>
      <c r="C429" s="1" t="n">
        <v>45807</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69190-2021</t>
        </is>
      </c>
      <c r="B430" s="1" t="n">
        <v>44529</v>
      </c>
      <c r="C430" s="1" t="n">
        <v>45807</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70256-2021</t>
        </is>
      </c>
      <c r="B431" s="1" t="n">
        <v>44533</v>
      </c>
      <c r="C431" s="1" t="n">
        <v>45807</v>
      </c>
      <c r="D431" t="inlineStr">
        <is>
          <t>JÄMTLANDS LÄN</t>
        </is>
      </c>
      <c r="E431" t="inlineStr">
        <is>
          <t>ÖSTERSUND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70678-2021</t>
        </is>
      </c>
      <c r="B432" s="1" t="n">
        <v>44537</v>
      </c>
      <c r="C432" s="1" t="n">
        <v>45807</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70816-2021</t>
        </is>
      </c>
      <c r="B433" s="1" t="n">
        <v>44537</v>
      </c>
      <c r="C433" s="1" t="n">
        <v>45807</v>
      </c>
      <c r="D433" t="inlineStr">
        <is>
          <t>JÄMTLANDS LÄN</t>
        </is>
      </c>
      <c r="E433" t="inlineStr">
        <is>
          <t>ÖSTERSUND</t>
        </is>
      </c>
      <c r="G433" t="n">
        <v>0.5</v>
      </c>
      <c r="H433" t="n">
        <v>0</v>
      </c>
      <c r="I433" t="n">
        <v>0</v>
      </c>
      <c r="J433" t="n">
        <v>0</v>
      </c>
      <c r="K433" t="n">
        <v>0</v>
      </c>
      <c r="L433" t="n">
        <v>0</v>
      </c>
      <c r="M433" t="n">
        <v>0</v>
      </c>
      <c r="N433" t="n">
        <v>0</v>
      </c>
      <c r="O433" t="n">
        <v>0</v>
      </c>
      <c r="P433" t="n">
        <v>0</v>
      </c>
      <c r="Q433" t="n">
        <v>0</v>
      </c>
      <c r="R433" s="2" t="inlineStr"/>
    </row>
    <row r="434" ht="15" customHeight="1">
      <c r="A434" t="inlineStr">
        <is>
          <t>A 71823-2021</t>
        </is>
      </c>
      <c r="B434" s="1" t="n">
        <v>44539</v>
      </c>
      <c r="C434" s="1" t="n">
        <v>45807</v>
      </c>
      <c r="D434" t="inlineStr">
        <is>
          <t>JÄMTLANDS LÄN</t>
        </is>
      </c>
      <c r="E434" t="inlineStr">
        <is>
          <t>ÖSTERSUND</t>
        </is>
      </c>
      <c r="G434" t="n">
        <v>10.5</v>
      </c>
      <c r="H434" t="n">
        <v>0</v>
      </c>
      <c r="I434" t="n">
        <v>0</v>
      </c>
      <c r="J434" t="n">
        <v>0</v>
      </c>
      <c r="K434" t="n">
        <v>0</v>
      </c>
      <c r="L434" t="n">
        <v>0</v>
      </c>
      <c r="M434" t="n">
        <v>0</v>
      </c>
      <c r="N434" t="n">
        <v>0</v>
      </c>
      <c r="O434" t="n">
        <v>0</v>
      </c>
      <c r="P434" t="n">
        <v>0</v>
      </c>
      <c r="Q434" t="n">
        <v>0</v>
      </c>
      <c r="R434" s="2" t="inlineStr"/>
    </row>
    <row r="435" ht="15" customHeight="1">
      <c r="A435" t="inlineStr">
        <is>
          <t>A 72089-2021</t>
        </is>
      </c>
      <c r="B435" s="1" t="n">
        <v>44540</v>
      </c>
      <c r="C435" s="1" t="n">
        <v>45807</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72041-2021</t>
        </is>
      </c>
      <c r="B436" s="1" t="n">
        <v>44540</v>
      </c>
      <c r="C436" s="1" t="n">
        <v>45807</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72258-2021</t>
        </is>
      </c>
      <c r="B437" s="1" t="n">
        <v>44540</v>
      </c>
      <c r="C437" s="1" t="n">
        <v>45807</v>
      </c>
      <c r="D437" t="inlineStr">
        <is>
          <t>JÄMTLANDS LÄN</t>
        </is>
      </c>
      <c r="E437" t="inlineStr">
        <is>
          <t>ÖSTERSUND</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72061-2021</t>
        </is>
      </c>
      <c r="B438" s="1" t="n">
        <v>44540</v>
      </c>
      <c r="C438" s="1" t="n">
        <v>45807</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71956-2021</t>
        </is>
      </c>
      <c r="B439" s="1" t="n">
        <v>44544</v>
      </c>
      <c r="C439" s="1" t="n">
        <v>45807</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72938-2021</t>
        </is>
      </c>
      <c r="B440" s="1" t="n">
        <v>44547</v>
      </c>
      <c r="C440" s="1" t="n">
        <v>45807</v>
      </c>
      <c r="D440" t="inlineStr">
        <is>
          <t>JÄMTLANDS LÄN</t>
        </is>
      </c>
      <c r="E440" t="inlineStr">
        <is>
          <t>ÖSTERSUND</t>
        </is>
      </c>
      <c r="G440" t="n">
        <v>4.5</v>
      </c>
      <c r="H440" t="n">
        <v>0</v>
      </c>
      <c r="I440" t="n">
        <v>0</v>
      </c>
      <c r="J440" t="n">
        <v>0</v>
      </c>
      <c r="K440" t="n">
        <v>0</v>
      </c>
      <c r="L440" t="n">
        <v>0</v>
      </c>
      <c r="M440" t="n">
        <v>0</v>
      </c>
      <c r="N440" t="n">
        <v>0</v>
      </c>
      <c r="O440" t="n">
        <v>0</v>
      </c>
      <c r="P440" t="n">
        <v>0</v>
      </c>
      <c r="Q440" t="n">
        <v>0</v>
      </c>
      <c r="R440" s="2" t="inlineStr"/>
    </row>
    <row r="441" ht="15" customHeight="1">
      <c r="A441" t="inlineStr">
        <is>
          <t>A 73078-2021</t>
        </is>
      </c>
      <c r="B441" s="1" t="n">
        <v>44550</v>
      </c>
      <c r="C441" s="1" t="n">
        <v>45807</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73066-2021</t>
        </is>
      </c>
      <c r="B442" s="1" t="n">
        <v>44550</v>
      </c>
      <c r="C442" s="1" t="n">
        <v>45807</v>
      </c>
      <c r="D442" t="inlineStr">
        <is>
          <t>JÄMTLANDS LÄN</t>
        </is>
      </c>
      <c r="E442" t="inlineStr">
        <is>
          <t>ÖSTERSUND</t>
        </is>
      </c>
      <c r="G442" t="n">
        <v>2.9</v>
      </c>
      <c r="H442" t="n">
        <v>0</v>
      </c>
      <c r="I442" t="n">
        <v>0</v>
      </c>
      <c r="J442" t="n">
        <v>0</v>
      </c>
      <c r="K442" t="n">
        <v>0</v>
      </c>
      <c r="L442" t="n">
        <v>0</v>
      </c>
      <c r="M442" t="n">
        <v>0</v>
      </c>
      <c r="N442" t="n">
        <v>0</v>
      </c>
      <c r="O442" t="n">
        <v>0</v>
      </c>
      <c r="P442" t="n">
        <v>0</v>
      </c>
      <c r="Q442" t="n">
        <v>0</v>
      </c>
      <c r="R442" s="2" t="inlineStr"/>
    </row>
    <row r="443" ht="15" customHeight="1">
      <c r="A443" t="inlineStr">
        <is>
          <t>A 73875-2021</t>
        </is>
      </c>
      <c r="B443" s="1" t="n">
        <v>44553</v>
      </c>
      <c r="C443" s="1" t="n">
        <v>45807</v>
      </c>
      <c r="D443" t="inlineStr">
        <is>
          <t>JÄMTLANDS LÄN</t>
        </is>
      </c>
      <c r="E443" t="inlineStr">
        <is>
          <t>ÖSTERSUND</t>
        </is>
      </c>
      <c r="G443" t="n">
        <v>1.3</v>
      </c>
      <c r="H443" t="n">
        <v>0</v>
      </c>
      <c r="I443" t="n">
        <v>0</v>
      </c>
      <c r="J443" t="n">
        <v>0</v>
      </c>
      <c r="K443" t="n">
        <v>0</v>
      </c>
      <c r="L443" t="n">
        <v>0</v>
      </c>
      <c r="M443" t="n">
        <v>0</v>
      </c>
      <c r="N443" t="n">
        <v>0</v>
      </c>
      <c r="O443" t="n">
        <v>0</v>
      </c>
      <c r="P443" t="n">
        <v>0</v>
      </c>
      <c r="Q443" t="n">
        <v>0</v>
      </c>
      <c r="R443" s="2" t="inlineStr"/>
    </row>
    <row r="444" ht="15" customHeight="1">
      <c r="A444" t="inlineStr">
        <is>
          <t>A 73870-2021</t>
        </is>
      </c>
      <c r="B444" s="1" t="n">
        <v>44553</v>
      </c>
      <c r="C444" s="1" t="n">
        <v>45807</v>
      </c>
      <c r="D444" t="inlineStr">
        <is>
          <t>JÄMTLANDS LÄN</t>
        </is>
      </c>
      <c r="E444" t="inlineStr">
        <is>
          <t>ÖSTERSUND</t>
        </is>
      </c>
      <c r="G444" t="n">
        <v>5.3</v>
      </c>
      <c r="H444" t="n">
        <v>0</v>
      </c>
      <c r="I444" t="n">
        <v>0</v>
      </c>
      <c r="J444" t="n">
        <v>0</v>
      </c>
      <c r="K444" t="n">
        <v>0</v>
      </c>
      <c r="L444" t="n">
        <v>0</v>
      </c>
      <c r="M444" t="n">
        <v>0</v>
      </c>
      <c r="N444" t="n">
        <v>0</v>
      </c>
      <c r="O444" t="n">
        <v>0</v>
      </c>
      <c r="P444" t="n">
        <v>0</v>
      </c>
      <c r="Q444" t="n">
        <v>0</v>
      </c>
      <c r="R444" s="2" t="inlineStr"/>
    </row>
    <row r="445" ht="15" customHeight="1">
      <c r="A445" t="inlineStr">
        <is>
          <t>A 154-2022</t>
        </is>
      </c>
      <c r="B445" s="1" t="n">
        <v>44561</v>
      </c>
      <c r="C445" s="1" t="n">
        <v>45807</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231-2022</t>
        </is>
      </c>
      <c r="B446" s="1" t="n">
        <v>44564</v>
      </c>
      <c r="C446" s="1" t="n">
        <v>45807</v>
      </c>
      <c r="D446" t="inlineStr">
        <is>
          <t>JÄMTLANDS LÄN</t>
        </is>
      </c>
      <c r="E446" t="inlineStr">
        <is>
          <t>ÖSTERSUND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681-2022</t>
        </is>
      </c>
      <c r="B447" s="1" t="n">
        <v>44566</v>
      </c>
      <c r="C447" s="1" t="n">
        <v>45807</v>
      </c>
      <c r="D447" t="inlineStr">
        <is>
          <t>JÄMTLANDS LÄN</t>
        </is>
      </c>
      <c r="E447" t="inlineStr">
        <is>
          <t>ÖSTERSUND</t>
        </is>
      </c>
      <c r="G447" t="n">
        <v>2.3</v>
      </c>
      <c r="H447" t="n">
        <v>0</v>
      </c>
      <c r="I447" t="n">
        <v>0</v>
      </c>
      <c r="J447" t="n">
        <v>0</v>
      </c>
      <c r="K447" t="n">
        <v>0</v>
      </c>
      <c r="L447" t="n">
        <v>0</v>
      </c>
      <c r="M447" t="n">
        <v>0</v>
      </c>
      <c r="N447" t="n">
        <v>0</v>
      </c>
      <c r="O447" t="n">
        <v>0</v>
      </c>
      <c r="P447" t="n">
        <v>0</v>
      </c>
      <c r="Q447" t="n">
        <v>0</v>
      </c>
      <c r="R447" s="2" t="inlineStr"/>
    </row>
    <row r="448" ht="15" customHeight="1">
      <c r="A448" t="inlineStr">
        <is>
          <t>A 695-2022</t>
        </is>
      </c>
      <c r="B448" s="1" t="n">
        <v>44566</v>
      </c>
      <c r="C448" s="1" t="n">
        <v>45807</v>
      </c>
      <c r="D448" t="inlineStr">
        <is>
          <t>JÄMTLANDS LÄN</t>
        </is>
      </c>
      <c r="E448" t="inlineStr">
        <is>
          <t>ÖSTERSUND</t>
        </is>
      </c>
      <c r="G448" t="n">
        <v>14.9</v>
      </c>
      <c r="H448" t="n">
        <v>0</v>
      </c>
      <c r="I448" t="n">
        <v>0</v>
      </c>
      <c r="J448" t="n">
        <v>0</v>
      </c>
      <c r="K448" t="n">
        <v>0</v>
      </c>
      <c r="L448" t="n">
        <v>0</v>
      </c>
      <c r="M448" t="n">
        <v>0</v>
      </c>
      <c r="N448" t="n">
        <v>0</v>
      </c>
      <c r="O448" t="n">
        <v>0</v>
      </c>
      <c r="P448" t="n">
        <v>0</v>
      </c>
      <c r="Q448" t="n">
        <v>0</v>
      </c>
      <c r="R448" s="2" t="inlineStr"/>
    </row>
    <row r="449" ht="15" customHeight="1">
      <c r="A449" t="inlineStr">
        <is>
          <t>A 2431-2022</t>
        </is>
      </c>
      <c r="B449" s="1" t="n">
        <v>44579</v>
      </c>
      <c r="C449" s="1" t="n">
        <v>45807</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2763-2022</t>
        </is>
      </c>
      <c r="B450" s="1" t="n">
        <v>44580</v>
      </c>
      <c r="C450" s="1" t="n">
        <v>45807</v>
      </c>
      <c r="D450" t="inlineStr">
        <is>
          <t>JÄMTLANDS LÄN</t>
        </is>
      </c>
      <c r="E450" t="inlineStr">
        <is>
          <t>ÖSTERSUND</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2880-2022</t>
        </is>
      </c>
      <c r="B451" s="1" t="n">
        <v>44581</v>
      </c>
      <c r="C451" s="1" t="n">
        <v>45807</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3016-2022</t>
        </is>
      </c>
      <c r="B452" s="1" t="n">
        <v>44581</v>
      </c>
      <c r="C452" s="1" t="n">
        <v>45807</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5145-2022</t>
        </is>
      </c>
      <c r="B453" s="1" t="n">
        <v>44594</v>
      </c>
      <c r="C453" s="1" t="n">
        <v>45807</v>
      </c>
      <c r="D453" t="inlineStr">
        <is>
          <t>JÄMTLANDS LÄN</t>
        </is>
      </c>
      <c r="E453" t="inlineStr">
        <is>
          <t>ÖSTERSUND</t>
        </is>
      </c>
      <c r="G453" t="n">
        <v>2.6</v>
      </c>
      <c r="H453" t="n">
        <v>0</v>
      </c>
      <c r="I453" t="n">
        <v>0</v>
      </c>
      <c r="J453" t="n">
        <v>0</v>
      </c>
      <c r="K453" t="n">
        <v>0</v>
      </c>
      <c r="L453" t="n">
        <v>0</v>
      </c>
      <c r="M453" t="n">
        <v>0</v>
      </c>
      <c r="N453" t="n">
        <v>0</v>
      </c>
      <c r="O453" t="n">
        <v>0</v>
      </c>
      <c r="P453" t="n">
        <v>0</v>
      </c>
      <c r="Q453" t="n">
        <v>0</v>
      </c>
      <c r="R453" s="2" t="inlineStr"/>
    </row>
    <row r="454" ht="15" customHeight="1">
      <c r="A454" t="inlineStr">
        <is>
          <t>A 5670-2022</t>
        </is>
      </c>
      <c r="B454" s="1" t="n">
        <v>44595</v>
      </c>
      <c r="C454" s="1" t="n">
        <v>45807</v>
      </c>
      <c r="D454" t="inlineStr">
        <is>
          <t>JÄMTLANDS LÄN</t>
        </is>
      </c>
      <c r="E454" t="inlineStr">
        <is>
          <t>ÖSTERSUND</t>
        </is>
      </c>
      <c r="G454" t="n">
        <v>2.7</v>
      </c>
      <c r="H454" t="n">
        <v>0</v>
      </c>
      <c r="I454" t="n">
        <v>0</v>
      </c>
      <c r="J454" t="n">
        <v>0</v>
      </c>
      <c r="K454" t="n">
        <v>0</v>
      </c>
      <c r="L454" t="n">
        <v>0</v>
      </c>
      <c r="M454" t="n">
        <v>0</v>
      </c>
      <c r="N454" t="n">
        <v>0</v>
      </c>
      <c r="O454" t="n">
        <v>0</v>
      </c>
      <c r="P454" t="n">
        <v>0</v>
      </c>
      <c r="Q454" t="n">
        <v>0</v>
      </c>
      <c r="R454" s="2" t="inlineStr"/>
    </row>
    <row r="455" ht="15" customHeight="1">
      <c r="A455" t="inlineStr">
        <is>
          <t>A 6013-2022</t>
        </is>
      </c>
      <c r="B455" s="1" t="n">
        <v>44599</v>
      </c>
      <c r="C455" s="1" t="n">
        <v>45807</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6458-2022</t>
        </is>
      </c>
      <c r="B456" s="1" t="n">
        <v>44601</v>
      </c>
      <c r="C456" s="1" t="n">
        <v>45807</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7573-2022</t>
        </is>
      </c>
      <c r="B457" s="1" t="n">
        <v>44607</v>
      </c>
      <c r="C457" s="1" t="n">
        <v>45807</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8027-2022</t>
        </is>
      </c>
      <c r="B458" s="1" t="n">
        <v>44609</v>
      </c>
      <c r="C458" s="1" t="n">
        <v>45807</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8227-2022</t>
        </is>
      </c>
      <c r="B459" s="1" t="n">
        <v>44609</v>
      </c>
      <c r="C459" s="1" t="n">
        <v>45807</v>
      </c>
      <c r="D459" t="inlineStr">
        <is>
          <t>JÄMTLANDS LÄN</t>
        </is>
      </c>
      <c r="E459" t="inlineStr">
        <is>
          <t>ÖSTERSUND</t>
        </is>
      </c>
      <c r="G459" t="n">
        <v>6.6</v>
      </c>
      <c r="H459" t="n">
        <v>0</v>
      </c>
      <c r="I459" t="n">
        <v>0</v>
      </c>
      <c r="J459" t="n">
        <v>0</v>
      </c>
      <c r="K459" t="n">
        <v>0</v>
      </c>
      <c r="L459" t="n">
        <v>0</v>
      </c>
      <c r="M459" t="n">
        <v>0</v>
      </c>
      <c r="N459" t="n">
        <v>0</v>
      </c>
      <c r="O459" t="n">
        <v>0</v>
      </c>
      <c r="P459" t="n">
        <v>0</v>
      </c>
      <c r="Q459" t="n">
        <v>0</v>
      </c>
      <c r="R459" s="2" t="inlineStr"/>
    </row>
    <row r="460" ht="15" customHeight="1">
      <c r="A460" t="inlineStr">
        <is>
          <t>A 8647-2022</t>
        </is>
      </c>
      <c r="B460" s="1" t="n">
        <v>44613</v>
      </c>
      <c r="C460" s="1" t="n">
        <v>45807</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8972-2022</t>
        </is>
      </c>
      <c r="B461" s="1" t="n">
        <v>44614</v>
      </c>
      <c r="C461" s="1" t="n">
        <v>45807</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11740-2022</t>
        </is>
      </c>
      <c r="B462" s="1" t="n">
        <v>44634</v>
      </c>
      <c r="C462" s="1" t="n">
        <v>45807</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11933-2022</t>
        </is>
      </c>
      <c r="B463" s="1" t="n">
        <v>44635</v>
      </c>
      <c r="C463" s="1" t="n">
        <v>45807</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12301-2022</t>
        </is>
      </c>
      <c r="B464" s="1" t="n">
        <v>44637</v>
      </c>
      <c r="C464" s="1" t="n">
        <v>45807</v>
      </c>
      <c r="D464" t="inlineStr">
        <is>
          <t>JÄMTLANDS LÄN</t>
        </is>
      </c>
      <c r="E464" t="inlineStr">
        <is>
          <t>ÖSTERSUND</t>
        </is>
      </c>
      <c r="G464" t="n">
        <v>5.8</v>
      </c>
      <c r="H464" t="n">
        <v>0</v>
      </c>
      <c r="I464" t="n">
        <v>0</v>
      </c>
      <c r="J464" t="n">
        <v>0</v>
      </c>
      <c r="K464" t="n">
        <v>0</v>
      </c>
      <c r="L464" t="n">
        <v>0</v>
      </c>
      <c r="M464" t="n">
        <v>0</v>
      </c>
      <c r="N464" t="n">
        <v>0</v>
      </c>
      <c r="O464" t="n">
        <v>0</v>
      </c>
      <c r="P464" t="n">
        <v>0</v>
      </c>
      <c r="Q464" t="n">
        <v>0</v>
      </c>
      <c r="R464" s="2" t="inlineStr"/>
    </row>
    <row r="465" ht="15" customHeight="1">
      <c r="A465" t="inlineStr">
        <is>
          <t>A 12285-2022</t>
        </is>
      </c>
      <c r="B465" s="1" t="n">
        <v>44637</v>
      </c>
      <c r="C465" s="1" t="n">
        <v>45807</v>
      </c>
      <c r="D465" t="inlineStr">
        <is>
          <t>JÄMTLANDS LÄN</t>
        </is>
      </c>
      <c r="E465" t="inlineStr">
        <is>
          <t>ÖSTERSUND</t>
        </is>
      </c>
      <c r="G465" t="n">
        <v>1.4</v>
      </c>
      <c r="H465" t="n">
        <v>0</v>
      </c>
      <c r="I465" t="n">
        <v>0</v>
      </c>
      <c r="J465" t="n">
        <v>0</v>
      </c>
      <c r="K465" t="n">
        <v>0</v>
      </c>
      <c r="L465" t="n">
        <v>0</v>
      </c>
      <c r="M465" t="n">
        <v>0</v>
      </c>
      <c r="N465" t="n">
        <v>0</v>
      </c>
      <c r="O465" t="n">
        <v>0</v>
      </c>
      <c r="P465" t="n">
        <v>0</v>
      </c>
      <c r="Q465" t="n">
        <v>0</v>
      </c>
      <c r="R465" s="2" t="inlineStr"/>
    </row>
    <row r="466" ht="15" customHeight="1">
      <c r="A466" t="inlineStr">
        <is>
          <t>A 12946-2022</t>
        </is>
      </c>
      <c r="B466" s="1" t="n">
        <v>44642</v>
      </c>
      <c r="C466" s="1" t="n">
        <v>45807</v>
      </c>
      <c r="D466" t="inlineStr">
        <is>
          <t>JÄMTLANDS LÄN</t>
        </is>
      </c>
      <c r="E466" t="inlineStr">
        <is>
          <t>ÖSTERSUND</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13024-2022</t>
        </is>
      </c>
      <c r="B467" s="1" t="n">
        <v>44643</v>
      </c>
      <c r="C467" s="1" t="n">
        <v>45807</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14653-2022</t>
        </is>
      </c>
      <c r="B468" s="1" t="n">
        <v>44655</v>
      </c>
      <c r="C468" s="1" t="n">
        <v>45807</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14657-2022</t>
        </is>
      </c>
      <c r="B469" s="1" t="n">
        <v>44655</v>
      </c>
      <c r="C469" s="1" t="n">
        <v>45807</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14658-2022</t>
        </is>
      </c>
      <c r="B470" s="1" t="n">
        <v>44655</v>
      </c>
      <c r="C470" s="1" t="n">
        <v>45807</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16025-2022</t>
        </is>
      </c>
      <c r="B471" s="1" t="n">
        <v>44665</v>
      </c>
      <c r="C471" s="1" t="n">
        <v>45807</v>
      </c>
      <c r="D471" t="inlineStr">
        <is>
          <t>JÄMTLANDS LÄN</t>
        </is>
      </c>
      <c r="E471" t="inlineStr">
        <is>
          <t>ÖSTERSUND</t>
        </is>
      </c>
      <c r="G471" t="n">
        <v>6</v>
      </c>
      <c r="H471" t="n">
        <v>0</v>
      </c>
      <c r="I471" t="n">
        <v>0</v>
      </c>
      <c r="J471" t="n">
        <v>0</v>
      </c>
      <c r="K471" t="n">
        <v>0</v>
      </c>
      <c r="L471" t="n">
        <v>0</v>
      </c>
      <c r="M471" t="n">
        <v>0</v>
      </c>
      <c r="N471" t="n">
        <v>0</v>
      </c>
      <c r="O471" t="n">
        <v>0</v>
      </c>
      <c r="P471" t="n">
        <v>0</v>
      </c>
      <c r="Q471" t="n">
        <v>0</v>
      </c>
      <c r="R471" s="2" t="inlineStr"/>
    </row>
    <row r="472" ht="15" customHeight="1">
      <c r="A472" t="inlineStr">
        <is>
          <t>A 16034-2022</t>
        </is>
      </c>
      <c r="B472" s="1" t="n">
        <v>44665</v>
      </c>
      <c r="C472" s="1" t="n">
        <v>45807</v>
      </c>
      <c r="D472" t="inlineStr">
        <is>
          <t>JÄMTLANDS LÄN</t>
        </is>
      </c>
      <c r="E472" t="inlineStr">
        <is>
          <t>ÖSTERSUND</t>
        </is>
      </c>
      <c r="G472" t="n">
        <v>5.2</v>
      </c>
      <c r="H472" t="n">
        <v>0</v>
      </c>
      <c r="I472" t="n">
        <v>0</v>
      </c>
      <c r="J472" t="n">
        <v>0</v>
      </c>
      <c r="K472" t="n">
        <v>0</v>
      </c>
      <c r="L472" t="n">
        <v>0</v>
      </c>
      <c r="M472" t="n">
        <v>0</v>
      </c>
      <c r="N472" t="n">
        <v>0</v>
      </c>
      <c r="O472" t="n">
        <v>0</v>
      </c>
      <c r="P472" t="n">
        <v>0</v>
      </c>
      <c r="Q472" t="n">
        <v>0</v>
      </c>
      <c r="R472" s="2" t="inlineStr"/>
    </row>
    <row r="473" ht="15" customHeight="1">
      <c r="A473" t="inlineStr">
        <is>
          <t>A 17574-2022</t>
        </is>
      </c>
      <c r="B473" s="1" t="n">
        <v>44680</v>
      </c>
      <c r="C473" s="1" t="n">
        <v>45807</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17732-2022</t>
        </is>
      </c>
      <c r="B474" s="1" t="n">
        <v>44681</v>
      </c>
      <c r="C474" s="1" t="n">
        <v>45807</v>
      </c>
      <c r="D474" t="inlineStr">
        <is>
          <t>JÄMTLANDS LÄN</t>
        </is>
      </c>
      <c r="E474" t="inlineStr">
        <is>
          <t>ÖSTERSUND</t>
        </is>
      </c>
      <c r="G474" t="n">
        <v>5.4</v>
      </c>
      <c r="H474" t="n">
        <v>0</v>
      </c>
      <c r="I474" t="n">
        <v>0</v>
      </c>
      <c r="J474" t="n">
        <v>0</v>
      </c>
      <c r="K474" t="n">
        <v>0</v>
      </c>
      <c r="L474" t="n">
        <v>0</v>
      </c>
      <c r="M474" t="n">
        <v>0</v>
      </c>
      <c r="N474" t="n">
        <v>0</v>
      </c>
      <c r="O474" t="n">
        <v>0</v>
      </c>
      <c r="P474" t="n">
        <v>0</v>
      </c>
      <c r="Q474" t="n">
        <v>0</v>
      </c>
      <c r="R474" s="2" t="inlineStr"/>
    </row>
    <row r="475" ht="15" customHeight="1">
      <c r="A475" t="inlineStr">
        <is>
          <t>A 17734-2022</t>
        </is>
      </c>
      <c r="B475" s="1" t="n">
        <v>44680</v>
      </c>
      <c r="C475" s="1" t="n">
        <v>45807</v>
      </c>
      <c r="D475" t="inlineStr">
        <is>
          <t>JÄMTLANDS LÄN</t>
        </is>
      </c>
      <c r="E475" t="inlineStr">
        <is>
          <t>ÖSTERSUND</t>
        </is>
      </c>
      <c r="G475" t="n">
        <v>26.4</v>
      </c>
      <c r="H475" t="n">
        <v>0</v>
      </c>
      <c r="I475" t="n">
        <v>0</v>
      </c>
      <c r="J475" t="n">
        <v>0</v>
      </c>
      <c r="K475" t="n">
        <v>0</v>
      </c>
      <c r="L475" t="n">
        <v>0</v>
      </c>
      <c r="M475" t="n">
        <v>0</v>
      </c>
      <c r="N475" t="n">
        <v>0</v>
      </c>
      <c r="O475" t="n">
        <v>0</v>
      </c>
      <c r="P475" t="n">
        <v>0</v>
      </c>
      <c r="Q475" t="n">
        <v>0</v>
      </c>
      <c r="R475" s="2" t="inlineStr"/>
    </row>
    <row r="476" ht="15" customHeight="1">
      <c r="A476" t="inlineStr">
        <is>
          <t>A 20960-2022</t>
        </is>
      </c>
      <c r="B476" s="1" t="n">
        <v>44702</v>
      </c>
      <c r="C476" s="1" t="n">
        <v>45807</v>
      </c>
      <c r="D476" t="inlineStr">
        <is>
          <t>JÄMTLANDS LÄN</t>
        </is>
      </c>
      <c r="E476" t="inlineStr">
        <is>
          <t>ÖSTERSUND</t>
        </is>
      </c>
      <c r="G476" t="n">
        <v>3.6</v>
      </c>
      <c r="H476" t="n">
        <v>0</v>
      </c>
      <c r="I476" t="n">
        <v>0</v>
      </c>
      <c r="J476" t="n">
        <v>0</v>
      </c>
      <c r="K476" t="n">
        <v>0</v>
      </c>
      <c r="L476" t="n">
        <v>0</v>
      </c>
      <c r="M476" t="n">
        <v>0</v>
      </c>
      <c r="N476" t="n">
        <v>0</v>
      </c>
      <c r="O476" t="n">
        <v>0</v>
      </c>
      <c r="P476" t="n">
        <v>0</v>
      </c>
      <c r="Q476" t="n">
        <v>0</v>
      </c>
      <c r="R476" s="2" t="inlineStr"/>
    </row>
    <row r="477" ht="15" customHeight="1">
      <c r="A477" t="inlineStr">
        <is>
          <t>A 20983-2022</t>
        </is>
      </c>
      <c r="B477" s="1" t="n">
        <v>44703</v>
      </c>
      <c r="C477" s="1" t="n">
        <v>45807</v>
      </c>
      <c r="D477" t="inlineStr">
        <is>
          <t>JÄMTLANDS LÄN</t>
        </is>
      </c>
      <c r="E477" t="inlineStr">
        <is>
          <t>ÖSTERSUND</t>
        </is>
      </c>
      <c r="G477" t="n">
        <v>2.2</v>
      </c>
      <c r="H477" t="n">
        <v>0</v>
      </c>
      <c r="I477" t="n">
        <v>0</v>
      </c>
      <c r="J477" t="n">
        <v>0</v>
      </c>
      <c r="K477" t="n">
        <v>0</v>
      </c>
      <c r="L477" t="n">
        <v>0</v>
      </c>
      <c r="M477" t="n">
        <v>0</v>
      </c>
      <c r="N477" t="n">
        <v>0</v>
      </c>
      <c r="O477" t="n">
        <v>0</v>
      </c>
      <c r="P477" t="n">
        <v>0</v>
      </c>
      <c r="Q477" t="n">
        <v>0</v>
      </c>
      <c r="R477" s="2" t="inlineStr"/>
    </row>
    <row r="478" ht="15" customHeight="1">
      <c r="A478" t="inlineStr">
        <is>
          <t>A 21211-2022</t>
        </is>
      </c>
      <c r="B478" s="1" t="n">
        <v>44705</v>
      </c>
      <c r="C478" s="1" t="n">
        <v>45807</v>
      </c>
      <c r="D478" t="inlineStr">
        <is>
          <t>JÄMTLANDS LÄN</t>
        </is>
      </c>
      <c r="E478" t="inlineStr">
        <is>
          <t>ÖSTERSUND</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21495-2022</t>
        </is>
      </c>
      <c r="B479" s="1" t="n">
        <v>44706</v>
      </c>
      <c r="C479" s="1" t="n">
        <v>45807</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22083-2022</t>
        </is>
      </c>
      <c r="B480" s="1" t="n">
        <v>44711</v>
      </c>
      <c r="C480" s="1" t="n">
        <v>45807</v>
      </c>
      <c r="D480" t="inlineStr">
        <is>
          <t>JÄMTLANDS LÄN</t>
        </is>
      </c>
      <c r="E480" t="inlineStr">
        <is>
          <t>ÖSTERSUND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22085-2022</t>
        </is>
      </c>
      <c r="B481" s="1" t="n">
        <v>44711</v>
      </c>
      <c r="C481" s="1" t="n">
        <v>45807</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22084-2022</t>
        </is>
      </c>
      <c r="B482" s="1" t="n">
        <v>44711</v>
      </c>
      <c r="C482" s="1" t="n">
        <v>45807</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22082-2022</t>
        </is>
      </c>
      <c r="B483" s="1" t="n">
        <v>44712</v>
      </c>
      <c r="C483" s="1" t="n">
        <v>45807</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23555-2022</t>
        </is>
      </c>
      <c r="B484" s="1" t="n">
        <v>44721</v>
      </c>
      <c r="C484" s="1" t="n">
        <v>45807</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23563-2022</t>
        </is>
      </c>
      <c r="B485" s="1" t="n">
        <v>44721</v>
      </c>
      <c r="C485" s="1" t="n">
        <v>45807</v>
      </c>
      <c r="D485" t="inlineStr">
        <is>
          <t>JÄMTLANDS LÄN</t>
        </is>
      </c>
      <c r="E485" t="inlineStr">
        <is>
          <t>ÖSTERSUND</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23551-2022</t>
        </is>
      </c>
      <c r="B486" s="1" t="n">
        <v>44721</v>
      </c>
      <c r="C486" s="1" t="n">
        <v>45807</v>
      </c>
      <c r="D486" t="inlineStr">
        <is>
          <t>JÄMTLANDS LÄN</t>
        </is>
      </c>
      <c r="E486" t="inlineStr">
        <is>
          <t>ÖSTERSUND</t>
        </is>
      </c>
      <c r="G486" t="n">
        <v>0.3</v>
      </c>
      <c r="H486" t="n">
        <v>0</v>
      </c>
      <c r="I486" t="n">
        <v>0</v>
      </c>
      <c r="J486" t="n">
        <v>0</v>
      </c>
      <c r="K486" t="n">
        <v>0</v>
      </c>
      <c r="L486" t="n">
        <v>0</v>
      </c>
      <c r="M486" t="n">
        <v>0</v>
      </c>
      <c r="N486" t="n">
        <v>0</v>
      </c>
      <c r="O486" t="n">
        <v>0</v>
      </c>
      <c r="P486" t="n">
        <v>0</v>
      </c>
      <c r="Q486" t="n">
        <v>0</v>
      </c>
      <c r="R486" s="2" t="inlineStr"/>
    </row>
    <row r="487" ht="15" customHeight="1">
      <c r="A487" t="inlineStr">
        <is>
          <t>A 23992-2022</t>
        </is>
      </c>
      <c r="B487" s="1" t="n">
        <v>44722</v>
      </c>
      <c r="C487" s="1" t="n">
        <v>45807</v>
      </c>
      <c r="D487" t="inlineStr">
        <is>
          <t>JÄMTLANDS LÄN</t>
        </is>
      </c>
      <c r="E487" t="inlineStr">
        <is>
          <t>ÖSTERSUND</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23993-2022</t>
        </is>
      </c>
      <c r="B488" s="1" t="n">
        <v>44723</v>
      </c>
      <c r="C488" s="1" t="n">
        <v>45807</v>
      </c>
      <c r="D488" t="inlineStr">
        <is>
          <t>JÄMTLANDS LÄN</t>
        </is>
      </c>
      <c r="E488" t="inlineStr">
        <is>
          <t>ÖSTERSUND</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26321-2022</t>
        </is>
      </c>
      <c r="B489" s="1" t="n">
        <v>44735</v>
      </c>
      <c r="C489" s="1" t="n">
        <v>45807</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26731-2022</t>
        </is>
      </c>
      <c r="B490" s="1" t="n">
        <v>44740</v>
      </c>
      <c r="C490" s="1" t="n">
        <v>45807</v>
      </c>
      <c r="D490" t="inlineStr">
        <is>
          <t>JÄMTLANDS LÄN</t>
        </is>
      </c>
      <c r="E490" t="inlineStr">
        <is>
          <t>ÖSTERSUND</t>
        </is>
      </c>
      <c r="G490" t="n">
        <v>3.1</v>
      </c>
      <c r="H490" t="n">
        <v>0</v>
      </c>
      <c r="I490" t="n">
        <v>0</v>
      </c>
      <c r="J490" t="n">
        <v>0</v>
      </c>
      <c r="K490" t="n">
        <v>0</v>
      </c>
      <c r="L490" t="n">
        <v>0</v>
      </c>
      <c r="M490" t="n">
        <v>0</v>
      </c>
      <c r="N490" t="n">
        <v>0</v>
      </c>
      <c r="O490" t="n">
        <v>0</v>
      </c>
      <c r="P490" t="n">
        <v>0</v>
      </c>
      <c r="Q490" t="n">
        <v>0</v>
      </c>
      <c r="R490" s="2" t="inlineStr"/>
    </row>
    <row r="491" ht="15" customHeight="1">
      <c r="A491" t="inlineStr">
        <is>
          <t>A 27343-2022</t>
        </is>
      </c>
      <c r="B491" s="1" t="n">
        <v>44742</v>
      </c>
      <c r="C491" s="1" t="n">
        <v>45807</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27582-2022</t>
        </is>
      </c>
      <c r="B492" s="1" t="n">
        <v>44743</v>
      </c>
      <c r="C492" s="1" t="n">
        <v>45807</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27575-2022</t>
        </is>
      </c>
      <c r="B493" s="1" t="n">
        <v>44742</v>
      </c>
      <c r="C493" s="1" t="n">
        <v>45807</v>
      </c>
      <c r="D493" t="inlineStr">
        <is>
          <t>JÄMTLANDS LÄN</t>
        </is>
      </c>
      <c r="E493" t="inlineStr">
        <is>
          <t>ÖSTERSUND</t>
        </is>
      </c>
      <c r="F493" t="inlineStr">
        <is>
          <t>SCA</t>
        </is>
      </c>
      <c r="G493" t="n">
        <v>2.4</v>
      </c>
      <c r="H493" t="n">
        <v>0</v>
      </c>
      <c r="I493" t="n">
        <v>0</v>
      </c>
      <c r="J493" t="n">
        <v>0</v>
      </c>
      <c r="K493" t="n">
        <v>0</v>
      </c>
      <c r="L493" t="n">
        <v>0</v>
      </c>
      <c r="M493" t="n">
        <v>0</v>
      </c>
      <c r="N493" t="n">
        <v>0</v>
      </c>
      <c r="O493" t="n">
        <v>0</v>
      </c>
      <c r="P493" t="n">
        <v>0</v>
      </c>
      <c r="Q493" t="n">
        <v>0</v>
      </c>
      <c r="R493" s="2" t="inlineStr"/>
      <c r="U493">
        <f>HYPERLINK("https://klasma.github.io/Logging_2380/knärot/A 27575-2022 karta knärot.png", "A 27575-2022")</f>
        <v/>
      </c>
      <c r="V493">
        <f>HYPERLINK("https://klasma.github.io/Logging_2380/klagomål/A 27575-2022 FSC-klagomål.docx", "A 27575-2022")</f>
        <v/>
      </c>
      <c r="W493">
        <f>HYPERLINK("https://klasma.github.io/Logging_2380/klagomålsmail/A 27575-2022 FSC-klagomål mail.docx", "A 27575-2022")</f>
        <v/>
      </c>
      <c r="X493">
        <f>HYPERLINK("https://klasma.github.io/Logging_2380/tillsyn/A 27575-2022 tillsynsbegäran.docx", "A 27575-2022")</f>
        <v/>
      </c>
      <c r="Y493">
        <f>HYPERLINK("https://klasma.github.io/Logging_2380/tillsynsmail/A 27575-2022 tillsynsbegäran mail.docx", "A 27575-2022")</f>
        <v/>
      </c>
    </row>
    <row r="494" ht="15" customHeight="1">
      <c r="A494" t="inlineStr">
        <is>
          <t>A 27581-2022</t>
        </is>
      </c>
      <c r="B494" s="1" t="n">
        <v>44742</v>
      </c>
      <c r="C494" s="1" t="n">
        <v>45807</v>
      </c>
      <c r="D494" t="inlineStr">
        <is>
          <t>JÄMTLANDS LÄN</t>
        </is>
      </c>
      <c r="E494" t="inlineStr">
        <is>
          <t>ÖSTERSUND</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27780-2022</t>
        </is>
      </c>
      <c r="B495" s="1" t="n">
        <v>44743</v>
      </c>
      <c r="C495" s="1" t="n">
        <v>45807</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29094-2022</t>
        </is>
      </c>
      <c r="B496" s="1" t="n">
        <v>44750</v>
      </c>
      <c r="C496" s="1" t="n">
        <v>45807</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45807</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29829-2022</t>
        </is>
      </c>
      <c r="B498" s="1" t="n">
        <v>44755</v>
      </c>
      <c r="C498" s="1" t="n">
        <v>45807</v>
      </c>
      <c r="D498" t="inlineStr">
        <is>
          <t>JÄMTLANDS LÄN</t>
        </is>
      </c>
      <c r="E498" t="inlineStr">
        <is>
          <t>ÖSTERSUND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29828-2022</t>
        </is>
      </c>
      <c r="B499" s="1" t="n">
        <v>44755</v>
      </c>
      <c r="C499" s="1" t="n">
        <v>45807</v>
      </c>
      <c r="D499" t="inlineStr">
        <is>
          <t>JÄMTLANDS LÄN</t>
        </is>
      </c>
      <c r="E499" t="inlineStr">
        <is>
          <t>ÖSTERSUND</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30217-2022</t>
        </is>
      </c>
      <c r="B500" s="1" t="n">
        <v>44758</v>
      </c>
      <c r="C500" s="1" t="n">
        <v>45807</v>
      </c>
      <c r="D500" t="inlineStr">
        <is>
          <t>JÄMTLANDS LÄN</t>
        </is>
      </c>
      <c r="E500" t="inlineStr">
        <is>
          <t>ÖSTERSUND</t>
        </is>
      </c>
      <c r="G500" t="n">
        <v>2.9</v>
      </c>
      <c r="H500" t="n">
        <v>0</v>
      </c>
      <c r="I500" t="n">
        <v>0</v>
      </c>
      <c r="J500" t="n">
        <v>0</v>
      </c>
      <c r="K500" t="n">
        <v>0</v>
      </c>
      <c r="L500" t="n">
        <v>0</v>
      </c>
      <c r="M500" t="n">
        <v>0</v>
      </c>
      <c r="N500" t="n">
        <v>0</v>
      </c>
      <c r="O500" t="n">
        <v>0</v>
      </c>
      <c r="P500" t="n">
        <v>0</v>
      </c>
      <c r="Q500" t="n">
        <v>0</v>
      </c>
      <c r="R500" s="2" t="inlineStr"/>
    </row>
    <row r="501" ht="15" customHeight="1">
      <c r="A501" t="inlineStr">
        <is>
          <t>A 33804-2022</t>
        </is>
      </c>
      <c r="B501" s="1" t="n">
        <v>44790</v>
      </c>
      <c r="C501" s="1" t="n">
        <v>45807</v>
      </c>
      <c r="D501" t="inlineStr">
        <is>
          <t>JÄMTLANDS LÄN</t>
        </is>
      </c>
      <c r="E501" t="inlineStr">
        <is>
          <t>ÖSTERSUND</t>
        </is>
      </c>
      <c r="G501" t="n">
        <v>1.8</v>
      </c>
      <c r="H501" t="n">
        <v>0</v>
      </c>
      <c r="I501" t="n">
        <v>0</v>
      </c>
      <c r="J501" t="n">
        <v>0</v>
      </c>
      <c r="K501" t="n">
        <v>0</v>
      </c>
      <c r="L501" t="n">
        <v>0</v>
      </c>
      <c r="M501" t="n">
        <v>0</v>
      </c>
      <c r="N501" t="n">
        <v>0</v>
      </c>
      <c r="O501" t="n">
        <v>0</v>
      </c>
      <c r="P501" t="n">
        <v>0</v>
      </c>
      <c r="Q501" t="n">
        <v>0</v>
      </c>
      <c r="R501" s="2" t="inlineStr"/>
    </row>
    <row r="502" ht="15" customHeight="1">
      <c r="A502" t="inlineStr">
        <is>
          <t>A 33808-2022</t>
        </is>
      </c>
      <c r="B502" s="1" t="n">
        <v>44790</v>
      </c>
      <c r="C502" s="1" t="n">
        <v>45807</v>
      </c>
      <c r="D502" t="inlineStr">
        <is>
          <t>JÄMTLANDS LÄN</t>
        </is>
      </c>
      <c r="E502" t="inlineStr">
        <is>
          <t>ÖSTERSUND</t>
        </is>
      </c>
      <c r="G502" t="n">
        <v>4.1</v>
      </c>
      <c r="H502" t="n">
        <v>0</v>
      </c>
      <c r="I502" t="n">
        <v>0</v>
      </c>
      <c r="J502" t="n">
        <v>0</v>
      </c>
      <c r="K502" t="n">
        <v>0</v>
      </c>
      <c r="L502" t="n">
        <v>0</v>
      </c>
      <c r="M502" t="n">
        <v>0</v>
      </c>
      <c r="N502" t="n">
        <v>0</v>
      </c>
      <c r="O502" t="n">
        <v>0</v>
      </c>
      <c r="P502" t="n">
        <v>0</v>
      </c>
      <c r="Q502" t="n">
        <v>0</v>
      </c>
      <c r="R502" s="2" t="inlineStr"/>
    </row>
    <row r="503" ht="15" customHeight="1">
      <c r="A503" t="inlineStr">
        <is>
          <t>A 33813-2022</t>
        </is>
      </c>
      <c r="B503" s="1" t="n">
        <v>44790</v>
      </c>
      <c r="C503" s="1" t="n">
        <v>45807</v>
      </c>
      <c r="D503" t="inlineStr">
        <is>
          <t>JÄMTLANDS LÄN</t>
        </is>
      </c>
      <c r="E503" t="inlineStr">
        <is>
          <t>ÖSTERSUND</t>
        </is>
      </c>
      <c r="G503" t="n">
        <v>7.9</v>
      </c>
      <c r="H503" t="n">
        <v>0</v>
      </c>
      <c r="I503" t="n">
        <v>0</v>
      </c>
      <c r="J503" t="n">
        <v>0</v>
      </c>
      <c r="K503" t="n">
        <v>0</v>
      </c>
      <c r="L503" t="n">
        <v>0</v>
      </c>
      <c r="M503" t="n">
        <v>0</v>
      </c>
      <c r="N503" t="n">
        <v>0</v>
      </c>
      <c r="O503" t="n">
        <v>0</v>
      </c>
      <c r="P503" t="n">
        <v>0</v>
      </c>
      <c r="Q503" t="n">
        <v>0</v>
      </c>
      <c r="R503" s="2" t="inlineStr"/>
    </row>
    <row r="504" ht="15" customHeight="1">
      <c r="A504" t="inlineStr">
        <is>
          <t>A 33786-2022</t>
        </is>
      </c>
      <c r="B504" s="1" t="n">
        <v>44790</v>
      </c>
      <c r="C504" s="1" t="n">
        <v>45807</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33801-2022</t>
        </is>
      </c>
      <c r="B505" s="1" t="n">
        <v>44790</v>
      </c>
      <c r="C505" s="1" t="n">
        <v>45807</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35556-2022</t>
        </is>
      </c>
      <c r="B506" s="1" t="n">
        <v>44799</v>
      </c>
      <c r="C506" s="1" t="n">
        <v>45807</v>
      </c>
      <c r="D506" t="inlineStr">
        <is>
          <t>JÄMTLANDS LÄN</t>
        </is>
      </c>
      <c r="E506" t="inlineStr">
        <is>
          <t>ÖSTERSUND</t>
        </is>
      </c>
      <c r="G506" t="n">
        <v>3.6</v>
      </c>
      <c r="H506" t="n">
        <v>0</v>
      </c>
      <c r="I506" t="n">
        <v>0</v>
      </c>
      <c r="J506" t="n">
        <v>0</v>
      </c>
      <c r="K506" t="n">
        <v>0</v>
      </c>
      <c r="L506" t="n">
        <v>0</v>
      </c>
      <c r="M506" t="n">
        <v>0</v>
      </c>
      <c r="N506" t="n">
        <v>0</v>
      </c>
      <c r="O506" t="n">
        <v>0</v>
      </c>
      <c r="P506" t="n">
        <v>0</v>
      </c>
      <c r="Q506" t="n">
        <v>0</v>
      </c>
      <c r="R506" s="2" t="inlineStr"/>
    </row>
    <row r="507" ht="15" customHeight="1">
      <c r="A507" t="inlineStr">
        <is>
          <t>A 39828-2022</t>
        </is>
      </c>
      <c r="B507" s="1" t="n">
        <v>44817</v>
      </c>
      <c r="C507" s="1" t="n">
        <v>45807</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39928-2022</t>
        </is>
      </c>
      <c r="B508" s="1" t="n">
        <v>44819</v>
      </c>
      <c r="C508" s="1" t="n">
        <v>45807</v>
      </c>
      <c r="D508" t="inlineStr">
        <is>
          <t>JÄMTLANDS LÄN</t>
        </is>
      </c>
      <c r="E508" t="inlineStr">
        <is>
          <t>ÖSTERSUND</t>
        </is>
      </c>
      <c r="F508" t="inlineStr">
        <is>
          <t>SCA</t>
        </is>
      </c>
      <c r="G508" t="n">
        <v>8.9</v>
      </c>
      <c r="H508" t="n">
        <v>0</v>
      </c>
      <c r="I508" t="n">
        <v>0</v>
      </c>
      <c r="J508" t="n">
        <v>0</v>
      </c>
      <c r="K508" t="n">
        <v>0</v>
      </c>
      <c r="L508" t="n">
        <v>0</v>
      </c>
      <c r="M508" t="n">
        <v>0</v>
      </c>
      <c r="N508" t="n">
        <v>0</v>
      </c>
      <c r="O508" t="n">
        <v>0</v>
      </c>
      <c r="P508" t="n">
        <v>0</v>
      </c>
      <c r="Q508" t="n">
        <v>0</v>
      </c>
      <c r="R508" s="2" t="inlineStr"/>
    </row>
    <row r="509" ht="15" customHeight="1">
      <c r="A509" t="inlineStr">
        <is>
          <t>A 40885-2022</t>
        </is>
      </c>
      <c r="B509" s="1" t="n">
        <v>44820</v>
      </c>
      <c r="C509" s="1" t="n">
        <v>45807</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43511-2022</t>
        </is>
      </c>
      <c r="B510" s="1" t="n">
        <v>44837</v>
      </c>
      <c r="C510" s="1" t="n">
        <v>45807</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43951-2022</t>
        </is>
      </c>
      <c r="B511" s="1" t="n">
        <v>44838</v>
      </c>
      <c r="C511" s="1" t="n">
        <v>45807</v>
      </c>
      <c r="D511" t="inlineStr">
        <is>
          <t>JÄMTLANDS LÄN</t>
        </is>
      </c>
      <c r="E511" t="inlineStr">
        <is>
          <t>ÖSTERSUND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44909-2022</t>
        </is>
      </c>
      <c r="B512" s="1" t="n">
        <v>44840</v>
      </c>
      <c r="C512" s="1" t="n">
        <v>45807</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45004-2022</t>
        </is>
      </c>
      <c r="B513" s="1" t="n">
        <v>44840</v>
      </c>
      <c r="C513" s="1" t="n">
        <v>45807</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45654-2022</t>
        </is>
      </c>
      <c r="B514" s="1" t="n">
        <v>44845</v>
      </c>
      <c r="C514" s="1" t="n">
        <v>45807</v>
      </c>
      <c r="D514" t="inlineStr">
        <is>
          <t>JÄMTLANDS LÄN</t>
        </is>
      </c>
      <c r="E514" t="inlineStr">
        <is>
          <t>ÖSTERSUND</t>
        </is>
      </c>
      <c r="G514" t="n">
        <v>0.4</v>
      </c>
      <c r="H514" t="n">
        <v>0</v>
      </c>
      <c r="I514" t="n">
        <v>0</v>
      </c>
      <c r="J514" t="n">
        <v>0</v>
      </c>
      <c r="K514" t="n">
        <v>0</v>
      </c>
      <c r="L514" t="n">
        <v>0</v>
      </c>
      <c r="M514" t="n">
        <v>0</v>
      </c>
      <c r="N514" t="n">
        <v>0</v>
      </c>
      <c r="O514" t="n">
        <v>0</v>
      </c>
      <c r="P514" t="n">
        <v>0</v>
      </c>
      <c r="Q514" t="n">
        <v>0</v>
      </c>
      <c r="R514" s="2" t="inlineStr"/>
    </row>
    <row r="515" ht="15" customHeight="1">
      <c r="A515" t="inlineStr">
        <is>
          <t>A 46913-2022</t>
        </is>
      </c>
      <c r="B515" s="1" t="n">
        <v>44851</v>
      </c>
      <c r="C515" s="1" t="n">
        <v>45807</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47296-2022</t>
        </is>
      </c>
      <c r="B516" s="1" t="n">
        <v>44853</v>
      </c>
      <c r="C516" s="1" t="n">
        <v>45807</v>
      </c>
      <c r="D516" t="inlineStr">
        <is>
          <t>JÄMTLANDS LÄN</t>
        </is>
      </c>
      <c r="E516" t="inlineStr">
        <is>
          <t>ÖSTERSUND</t>
        </is>
      </c>
      <c r="G516" t="n">
        <v>0.5</v>
      </c>
      <c r="H516" t="n">
        <v>0</v>
      </c>
      <c r="I516" t="n">
        <v>0</v>
      </c>
      <c r="J516" t="n">
        <v>0</v>
      </c>
      <c r="K516" t="n">
        <v>0</v>
      </c>
      <c r="L516" t="n">
        <v>0</v>
      </c>
      <c r="M516" t="n">
        <v>0</v>
      </c>
      <c r="N516" t="n">
        <v>0</v>
      </c>
      <c r="O516" t="n">
        <v>0</v>
      </c>
      <c r="P516" t="n">
        <v>0</v>
      </c>
      <c r="Q516" t="n">
        <v>0</v>
      </c>
      <c r="R516" s="2" t="inlineStr"/>
    </row>
    <row r="517" ht="15" customHeight="1">
      <c r="A517" t="inlineStr">
        <is>
          <t>A 47294-2022</t>
        </is>
      </c>
      <c r="B517" s="1" t="n">
        <v>44852</v>
      </c>
      <c r="C517" s="1" t="n">
        <v>45807</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47295-2022</t>
        </is>
      </c>
      <c r="B518" s="1" t="n">
        <v>44852</v>
      </c>
      <c r="C518" s="1" t="n">
        <v>45807</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49389-2022</t>
        </is>
      </c>
      <c r="B519" s="1" t="n">
        <v>44861</v>
      </c>
      <c r="C519" s="1" t="n">
        <v>45807</v>
      </c>
      <c r="D519" t="inlineStr">
        <is>
          <t>JÄMTLANDS LÄN</t>
        </is>
      </c>
      <c r="E519" t="inlineStr">
        <is>
          <t>ÖSTERSUND</t>
        </is>
      </c>
      <c r="F519" t="inlineStr">
        <is>
          <t>Övriga Aktiebolag</t>
        </is>
      </c>
      <c r="G519" t="n">
        <v>19.2</v>
      </c>
      <c r="H519" t="n">
        <v>0</v>
      </c>
      <c r="I519" t="n">
        <v>0</v>
      </c>
      <c r="J519" t="n">
        <v>0</v>
      </c>
      <c r="K519" t="n">
        <v>0</v>
      </c>
      <c r="L519" t="n">
        <v>0</v>
      </c>
      <c r="M519" t="n">
        <v>0</v>
      </c>
      <c r="N519" t="n">
        <v>0</v>
      </c>
      <c r="O519" t="n">
        <v>0</v>
      </c>
      <c r="P519" t="n">
        <v>0</v>
      </c>
      <c r="Q519" t="n">
        <v>0</v>
      </c>
      <c r="R519" s="2" t="inlineStr"/>
    </row>
    <row r="520" ht="15" customHeight="1">
      <c r="A520" t="inlineStr">
        <is>
          <t>A 50932-2022</t>
        </is>
      </c>
      <c r="B520" s="1" t="n">
        <v>44867</v>
      </c>
      <c r="C520" s="1" t="n">
        <v>45807</v>
      </c>
      <c r="D520" t="inlineStr">
        <is>
          <t>JÄMTLANDS LÄN</t>
        </is>
      </c>
      <c r="E520" t="inlineStr">
        <is>
          <t>ÖSTERSUND</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51164-2022</t>
        </is>
      </c>
      <c r="B521" s="1" t="n">
        <v>44868</v>
      </c>
      <c r="C521" s="1" t="n">
        <v>45807</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52155-2022</t>
        </is>
      </c>
      <c r="B522" s="1" t="n">
        <v>44873</v>
      </c>
      <c r="C522" s="1" t="n">
        <v>45807</v>
      </c>
      <c r="D522" t="inlineStr">
        <is>
          <t>JÄMTLANDS LÄN</t>
        </is>
      </c>
      <c r="E522" t="inlineStr">
        <is>
          <t>ÖSTERSUND</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52898-2022</t>
        </is>
      </c>
      <c r="B523" s="1" t="n">
        <v>44875</v>
      </c>
      <c r="C523" s="1" t="n">
        <v>45807</v>
      </c>
      <c r="D523" t="inlineStr">
        <is>
          <t>JÄMTLANDS LÄN</t>
        </is>
      </c>
      <c r="E523" t="inlineStr">
        <is>
          <t>ÖSTERSUND</t>
        </is>
      </c>
      <c r="F523" t="inlineStr">
        <is>
          <t>Övriga Aktiebolag</t>
        </is>
      </c>
      <c r="G523" t="n">
        <v>12.1</v>
      </c>
      <c r="H523" t="n">
        <v>0</v>
      </c>
      <c r="I523" t="n">
        <v>0</v>
      </c>
      <c r="J523" t="n">
        <v>0</v>
      </c>
      <c r="K523" t="n">
        <v>0</v>
      </c>
      <c r="L523" t="n">
        <v>0</v>
      </c>
      <c r="M523" t="n">
        <v>0</v>
      </c>
      <c r="N523" t="n">
        <v>0</v>
      </c>
      <c r="O523" t="n">
        <v>0</v>
      </c>
      <c r="P523" t="n">
        <v>0</v>
      </c>
      <c r="Q523" t="n">
        <v>0</v>
      </c>
      <c r="R523" s="2" t="inlineStr"/>
    </row>
    <row r="524" ht="15" customHeight="1">
      <c r="A524" t="inlineStr">
        <is>
          <t>A 53802-2022</t>
        </is>
      </c>
      <c r="B524" s="1" t="n">
        <v>44875</v>
      </c>
      <c r="C524" s="1" t="n">
        <v>45807</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53764-2022</t>
        </is>
      </c>
      <c r="B525" s="1" t="n">
        <v>44875</v>
      </c>
      <c r="C525" s="1" t="n">
        <v>45807</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53807-2022</t>
        </is>
      </c>
      <c r="B526" s="1" t="n">
        <v>44875</v>
      </c>
      <c r="C526" s="1" t="n">
        <v>45807</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53453-2022</t>
        </is>
      </c>
      <c r="B527" s="1" t="n">
        <v>44879</v>
      </c>
      <c r="C527" s="1" t="n">
        <v>45807</v>
      </c>
      <c r="D527" t="inlineStr">
        <is>
          <t>JÄMTLANDS LÄN</t>
        </is>
      </c>
      <c r="E527" t="inlineStr">
        <is>
          <t>ÖSTERSUND</t>
        </is>
      </c>
      <c r="G527" t="n">
        <v>22.2</v>
      </c>
      <c r="H527" t="n">
        <v>0</v>
      </c>
      <c r="I527" t="n">
        <v>0</v>
      </c>
      <c r="J527" t="n">
        <v>0</v>
      </c>
      <c r="K527" t="n">
        <v>0</v>
      </c>
      <c r="L527" t="n">
        <v>0</v>
      </c>
      <c r="M527" t="n">
        <v>0</v>
      </c>
      <c r="N527" t="n">
        <v>0</v>
      </c>
      <c r="O527" t="n">
        <v>0</v>
      </c>
      <c r="P527" t="n">
        <v>0</v>
      </c>
      <c r="Q527" t="n">
        <v>0</v>
      </c>
      <c r="R527" s="2" t="inlineStr"/>
    </row>
    <row r="528" ht="15" customHeight="1">
      <c r="A528" t="inlineStr">
        <is>
          <t>A 53556-2022</t>
        </is>
      </c>
      <c r="B528" s="1" t="n">
        <v>44879</v>
      </c>
      <c r="C528" s="1" t="n">
        <v>45807</v>
      </c>
      <c r="D528" t="inlineStr">
        <is>
          <t>JÄMTLANDS LÄN</t>
        </is>
      </c>
      <c r="E528" t="inlineStr">
        <is>
          <t>ÖSTERSUND</t>
        </is>
      </c>
      <c r="F528" t="inlineStr">
        <is>
          <t>Övriga Aktiebolag</t>
        </is>
      </c>
      <c r="G528" t="n">
        <v>3.5</v>
      </c>
      <c r="H528" t="n">
        <v>0</v>
      </c>
      <c r="I528" t="n">
        <v>0</v>
      </c>
      <c r="J528" t="n">
        <v>0</v>
      </c>
      <c r="K528" t="n">
        <v>0</v>
      </c>
      <c r="L528" t="n">
        <v>0</v>
      </c>
      <c r="M528" t="n">
        <v>0</v>
      </c>
      <c r="N528" t="n">
        <v>0</v>
      </c>
      <c r="O528" t="n">
        <v>0</v>
      </c>
      <c r="P528" t="n">
        <v>0</v>
      </c>
      <c r="Q528" t="n">
        <v>0</v>
      </c>
      <c r="R528" s="2" t="inlineStr"/>
    </row>
    <row r="529" ht="15" customHeight="1">
      <c r="A529" t="inlineStr">
        <is>
          <t>A 53714-2022</t>
        </is>
      </c>
      <c r="B529" s="1" t="n">
        <v>44880</v>
      </c>
      <c r="C529" s="1" t="n">
        <v>45807</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54712-2022</t>
        </is>
      </c>
      <c r="B530" s="1" t="n">
        <v>44883</v>
      </c>
      <c r="C530" s="1" t="n">
        <v>45807</v>
      </c>
      <c r="D530" t="inlineStr">
        <is>
          <t>JÄMTLANDS LÄN</t>
        </is>
      </c>
      <c r="E530" t="inlineStr">
        <is>
          <t>ÖSTERSUND</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54663-2022</t>
        </is>
      </c>
      <c r="B531" s="1" t="n">
        <v>44883</v>
      </c>
      <c r="C531" s="1" t="n">
        <v>45807</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55102-2022</t>
        </is>
      </c>
      <c r="B532" s="1" t="n">
        <v>44886</v>
      </c>
      <c r="C532" s="1" t="n">
        <v>45807</v>
      </c>
      <c r="D532" t="inlineStr">
        <is>
          <t>JÄMTLANDS LÄN</t>
        </is>
      </c>
      <c r="E532" t="inlineStr">
        <is>
          <t>ÖSTERSUND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55008-2022</t>
        </is>
      </c>
      <c r="B533" s="1" t="n">
        <v>44886</v>
      </c>
      <c r="C533" s="1" t="n">
        <v>45807</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55105-2022</t>
        </is>
      </c>
      <c r="B534" s="1" t="n">
        <v>44886</v>
      </c>
      <c r="C534" s="1" t="n">
        <v>45807</v>
      </c>
      <c r="D534" t="inlineStr">
        <is>
          <t>JÄMTLANDS LÄN</t>
        </is>
      </c>
      <c r="E534" t="inlineStr">
        <is>
          <t>ÖSTERSUND</t>
        </is>
      </c>
      <c r="F534" t="inlineStr">
        <is>
          <t>Övriga Aktiebolag</t>
        </is>
      </c>
      <c r="G534" t="n">
        <v>2.4</v>
      </c>
      <c r="H534" t="n">
        <v>0</v>
      </c>
      <c r="I534" t="n">
        <v>0</v>
      </c>
      <c r="J534" t="n">
        <v>0</v>
      </c>
      <c r="K534" t="n">
        <v>0</v>
      </c>
      <c r="L534" t="n">
        <v>0</v>
      </c>
      <c r="M534" t="n">
        <v>0</v>
      </c>
      <c r="N534" t="n">
        <v>0</v>
      </c>
      <c r="O534" t="n">
        <v>0</v>
      </c>
      <c r="P534" t="n">
        <v>0</v>
      </c>
      <c r="Q534" t="n">
        <v>0</v>
      </c>
      <c r="R534" s="2" t="inlineStr"/>
      <c r="U534">
        <f>HYPERLINK("https://klasma.github.io/Logging_2380/knärot/A 55105-2022 karta knärot.png", "A 55105-2022")</f>
        <v/>
      </c>
      <c r="V534">
        <f>HYPERLINK("https://klasma.github.io/Logging_2380/klagomål/A 55105-2022 FSC-klagomål.docx", "A 55105-2022")</f>
        <v/>
      </c>
      <c r="W534">
        <f>HYPERLINK("https://klasma.github.io/Logging_2380/klagomålsmail/A 55105-2022 FSC-klagomål mail.docx", "A 55105-2022")</f>
        <v/>
      </c>
      <c r="X534">
        <f>HYPERLINK("https://klasma.github.io/Logging_2380/tillsyn/A 55105-2022 tillsynsbegäran.docx", "A 55105-2022")</f>
        <v/>
      </c>
      <c r="Y534">
        <f>HYPERLINK("https://klasma.github.io/Logging_2380/tillsynsmail/A 55105-2022 tillsynsbegäran mail.docx", "A 55105-2022")</f>
        <v/>
      </c>
    </row>
    <row r="535" ht="15" customHeight="1">
      <c r="A535" t="inlineStr">
        <is>
          <t>A 55371-2022</t>
        </is>
      </c>
      <c r="B535" s="1" t="n">
        <v>44887</v>
      </c>
      <c r="C535" s="1" t="n">
        <v>45807</v>
      </c>
      <c r="D535" t="inlineStr">
        <is>
          <t>JÄMTLANDS LÄN</t>
        </is>
      </c>
      <c r="E535" t="inlineStr">
        <is>
          <t>ÖSTERSUND</t>
        </is>
      </c>
      <c r="F535" t="inlineStr">
        <is>
          <t>Övriga Aktiebolag</t>
        </is>
      </c>
      <c r="G535" t="n">
        <v>15.4</v>
      </c>
      <c r="H535" t="n">
        <v>0</v>
      </c>
      <c r="I535" t="n">
        <v>0</v>
      </c>
      <c r="J535" t="n">
        <v>0</v>
      </c>
      <c r="K535" t="n">
        <v>0</v>
      </c>
      <c r="L535" t="n">
        <v>0</v>
      </c>
      <c r="M535" t="n">
        <v>0</v>
      </c>
      <c r="N535" t="n">
        <v>0</v>
      </c>
      <c r="O535" t="n">
        <v>0</v>
      </c>
      <c r="P535" t="n">
        <v>0</v>
      </c>
      <c r="Q535" t="n">
        <v>0</v>
      </c>
      <c r="R535" s="2" t="inlineStr"/>
    </row>
    <row r="536" ht="15" customHeight="1">
      <c r="A536" t="inlineStr">
        <is>
          <t>A 55448-2022</t>
        </is>
      </c>
      <c r="B536" s="1" t="n">
        <v>44887</v>
      </c>
      <c r="C536" s="1" t="n">
        <v>45807</v>
      </c>
      <c r="D536" t="inlineStr">
        <is>
          <t>JÄMTLANDS LÄN</t>
        </is>
      </c>
      <c r="E536" t="inlineStr">
        <is>
          <t>ÖSTERSUND</t>
        </is>
      </c>
      <c r="G536" t="n">
        <v>5.2</v>
      </c>
      <c r="H536" t="n">
        <v>0</v>
      </c>
      <c r="I536" t="n">
        <v>0</v>
      </c>
      <c r="J536" t="n">
        <v>0</v>
      </c>
      <c r="K536" t="n">
        <v>0</v>
      </c>
      <c r="L536" t="n">
        <v>0</v>
      </c>
      <c r="M536" t="n">
        <v>0</v>
      </c>
      <c r="N536" t="n">
        <v>0</v>
      </c>
      <c r="O536" t="n">
        <v>0</v>
      </c>
      <c r="P536" t="n">
        <v>0</v>
      </c>
      <c r="Q536" t="n">
        <v>0</v>
      </c>
      <c r="R536" s="2" t="inlineStr"/>
    </row>
    <row r="537" ht="15" customHeight="1">
      <c r="A537" t="inlineStr">
        <is>
          <t>A 56067-2022</t>
        </is>
      </c>
      <c r="B537" s="1" t="n">
        <v>44889</v>
      </c>
      <c r="C537" s="1" t="n">
        <v>45807</v>
      </c>
      <c r="D537" t="inlineStr">
        <is>
          <t>JÄMTLANDS LÄN</t>
        </is>
      </c>
      <c r="E537" t="inlineStr">
        <is>
          <t>ÖSTERSUND</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56148-2022</t>
        </is>
      </c>
      <c r="B538" s="1" t="n">
        <v>44889</v>
      </c>
      <c r="C538" s="1" t="n">
        <v>45807</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56111-2022</t>
        </is>
      </c>
      <c r="B539" s="1" t="n">
        <v>44889</v>
      </c>
      <c r="C539" s="1" t="n">
        <v>45807</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57009-2022</t>
        </is>
      </c>
      <c r="B540" s="1" t="n">
        <v>44894</v>
      </c>
      <c r="C540" s="1" t="n">
        <v>45807</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59266-2022</t>
        </is>
      </c>
      <c r="B541" s="1" t="n">
        <v>44904</v>
      </c>
      <c r="C541" s="1" t="n">
        <v>45807</v>
      </c>
      <c r="D541" t="inlineStr">
        <is>
          <t>JÄMTLANDS LÄN</t>
        </is>
      </c>
      <c r="E541" t="inlineStr">
        <is>
          <t>ÖSTERSUND</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59648-2022</t>
        </is>
      </c>
      <c r="B542" s="1" t="n">
        <v>44907</v>
      </c>
      <c r="C542" s="1" t="n">
        <v>45807</v>
      </c>
      <c r="D542" t="inlineStr">
        <is>
          <t>JÄMTLANDS LÄN</t>
        </is>
      </c>
      <c r="E542" t="inlineStr">
        <is>
          <t>ÖSTERSUND</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59649-2022</t>
        </is>
      </c>
      <c r="B543" s="1" t="n">
        <v>44908</v>
      </c>
      <c r="C543" s="1" t="n">
        <v>45807</v>
      </c>
      <c r="D543" t="inlineStr">
        <is>
          <t>JÄMTLANDS LÄN</t>
        </is>
      </c>
      <c r="E543" t="inlineStr">
        <is>
          <t>ÖSTERSUND</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60174-2022</t>
        </is>
      </c>
      <c r="B544" s="1" t="n">
        <v>44910</v>
      </c>
      <c r="C544" s="1" t="n">
        <v>45807</v>
      </c>
      <c r="D544" t="inlineStr">
        <is>
          <t>JÄMTLANDS LÄN</t>
        </is>
      </c>
      <c r="E544" t="inlineStr">
        <is>
          <t>ÖSTERSUND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61256-2022</t>
        </is>
      </c>
      <c r="B545" s="1" t="n">
        <v>44909</v>
      </c>
      <c r="C545" s="1" t="n">
        <v>45807</v>
      </c>
      <c r="D545" t="inlineStr">
        <is>
          <t>JÄMTLANDS LÄN</t>
        </is>
      </c>
      <c r="E545" t="inlineStr">
        <is>
          <t>ÖSTERSUND</t>
        </is>
      </c>
      <c r="G545" t="n">
        <v>3.9</v>
      </c>
      <c r="H545" t="n">
        <v>0</v>
      </c>
      <c r="I545" t="n">
        <v>0</v>
      </c>
      <c r="J545" t="n">
        <v>0</v>
      </c>
      <c r="K545" t="n">
        <v>0</v>
      </c>
      <c r="L545" t="n">
        <v>0</v>
      </c>
      <c r="M545" t="n">
        <v>0</v>
      </c>
      <c r="N545" t="n">
        <v>0</v>
      </c>
      <c r="O545" t="n">
        <v>0</v>
      </c>
      <c r="P545" t="n">
        <v>0</v>
      </c>
      <c r="Q545" t="n">
        <v>0</v>
      </c>
      <c r="R545" s="2" t="inlineStr"/>
    </row>
    <row r="546" ht="15" customHeight="1">
      <c r="A546" t="inlineStr">
        <is>
          <t>A 60430-2022</t>
        </is>
      </c>
      <c r="B546" s="1" t="n">
        <v>44911</v>
      </c>
      <c r="C546" s="1" t="n">
        <v>45807</v>
      </c>
      <c r="D546" t="inlineStr">
        <is>
          <t>JÄMTLANDS LÄN</t>
        </is>
      </c>
      <c r="E546" t="inlineStr">
        <is>
          <t>ÖSTERSUND</t>
        </is>
      </c>
      <c r="F546" t="inlineStr">
        <is>
          <t>Övriga Aktiebolag</t>
        </is>
      </c>
      <c r="G546" t="n">
        <v>24.2</v>
      </c>
      <c r="H546" t="n">
        <v>0</v>
      </c>
      <c r="I546" t="n">
        <v>0</v>
      </c>
      <c r="J546" t="n">
        <v>0</v>
      </c>
      <c r="K546" t="n">
        <v>0</v>
      </c>
      <c r="L546" t="n">
        <v>0</v>
      </c>
      <c r="M546" t="n">
        <v>0</v>
      </c>
      <c r="N546" t="n">
        <v>0</v>
      </c>
      <c r="O546" t="n">
        <v>0</v>
      </c>
      <c r="P546" t="n">
        <v>0</v>
      </c>
      <c r="Q546" t="n">
        <v>0</v>
      </c>
      <c r="R546" s="2" t="inlineStr"/>
    </row>
    <row r="547" ht="15" customHeight="1">
      <c r="A547" t="inlineStr">
        <is>
          <t>A 60575-2022</t>
        </is>
      </c>
      <c r="B547" s="1" t="n">
        <v>44911</v>
      </c>
      <c r="C547" s="1" t="n">
        <v>45807</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60674-2022</t>
        </is>
      </c>
      <c r="B548" s="1" t="n">
        <v>44911</v>
      </c>
      <c r="C548" s="1" t="n">
        <v>45807</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60677-2022</t>
        </is>
      </c>
      <c r="B549" s="1" t="n">
        <v>44911</v>
      </c>
      <c r="C549" s="1" t="n">
        <v>45807</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60681-2022</t>
        </is>
      </c>
      <c r="B550" s="1" t="n">
        <v>44911</v>
      </c>
      <c r="C550" s="1" t="n">
        <v>45807</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60678-2022</t>
        </is>
      </c>
      <c r="B551" s="1" t="n">
        <v>44911</v>
      </c>
      <c r="C551" s="1" t="n">
        <v>45807</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60560-2022</t>
        </is>
      </c>
      <c r="B552" s="1" t="n">
        <v>44911</v>
      </c>
      <c r="C552" s="1" t="n">
        <v>45807</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60676-2022</t>
        </is>
      </c>
      <c r="B553" s="1" t="n">
        <v>44911</v>
      </c>
      <c r="C553" s="1" t="n">
        <v>45807</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60680-2022</t>
        </is>
      </c>
      <c r="B554" s="1" t="n">
        <v>44911</v>
      </c>
      <c r="C554" s="1" t="n">
        <v>45807</v>
      </c>
      <c r="D554" t="inlineStr">
        <is>
          <t>JÄMTLANDS LÄN</t>
        </is>
      </c>
      <c r="E554" t="inlineStr">
        <is>
          <t>ÖSTERSUND</t>
        </is>
      </c>
      <c r="G554" t="n">
        <v>1.3</v>
      </c>
      <c r="H554" t="n">
        <v>0</v>
      </c>
      <c r="I554" t="n">
        <v>0</v>
      </c>
      <c r="J554" t="n">
        <v>0</v>
      </c>
      <c r="K554" t="n">
        <v>0</v>
      </c>
      <c r="L554" t="n">
        <v>0</v>
      </c>
      <c r="M554" t="n">
        <v>0</v>
      </c>
      <c r="N554" t="n">
        <v>0</v>
      </c>
      <c r="O554" t="n">
        <v>0</v>
      </c>
      <c r="P554" t="n">
        <v>0</v>
      </c>
      <c r="Q554" t="n">
        <v>0</v>
      </c>
      <c r="R554" s="2" t="inlineStr"/>
    </row>
    <row r="555" ht="15" customHeight="1">
      <c r="A555" t="inlineStr">
        <is>
          <t>A 60623-2022</t>
        </is>
      </c>
      <c r="B555" s="1" t="n">
        <v>44911</v>
      </c>
      <c r="C555" s="1" t="n">
        <v>45807</v>
      </c>
      <c r="D555" t="inlineStr">
        <is>
          <t>JÄMTLANDS LÄN</t>
        </is>
      </c>
      <c r="E555" t="inlineStr">
        <is>
          <t>ÖSTERSUND</t>
        </is>
      </c>
      <c r="G555" t="n">
        <v>10.9</v>
      </c>
      <c r="H555" t="n">
        <v>0</v>
      </c>
      <c r="I555" t="n">
        <v>0</v>
      </c>
      <c r="J555" t="n">
        <v>0</v>
      </c>
      <c r="K555" t="n">
        <v>0</v>
      </c>
      <c r="L555" t="n">
        <v>0</v>
      </c>
      <c r="M555" t="n">
        <v>0</v>
      </c>
      <c r="N555" t="n">
        <v>0</v>
      </c>
      <c r="O555" t="n">
        <v>0</v>
      </c>
      <c r="P555" t="n">
        <v>0</v>
      </c>
      <c r="Q555" t="n">
        <v>0</v>
      </c>
      <c r="R555" s="2" t="inlineStr"/>
    </row>
    <row r="556" ht="15" customHeight="1">
      <c r="A556" t="inlineStr">
        <is>
          <t>A 60675-2022</t>
        </is>
      </c>
      <c r="B556" s="1" t="n">
        <v>44911</v>
      </c>
      <c r="C556" s="1" t="n">
        <v>45807</v>
      </c>
      <c r="D556" t="inlineStr">
        <is>
          <t>JÄMTLANDS LÄN</t>
        </is>
      </c>
      <c r="E556" t="inlineStr">
        <is>
          <t>ÖSTERSUND</t>
        </is>
      </c>
      <c r="G556" t="n">
        <v>4.3</v>
      </c>
      <c r="H556" t="n">
        <v>0</v>
      </c>
      <c r="I556" t="n">
        <v>0</v>
      </c>
      <c r="J556" t="n">
        <v>0</v>
      </c>
      <c r="K556" t="n">
        <v>0</v>
      </c>
      <c r="L556" t="n">
        <v>0</v>
      </c>
      <c r="M556" t="n">
        <v>0</v>
      </c>
      <c r="N556" t="n">
        <v>0</v>
      </c>
      <c r="O556" t="n">
        <v>0</v>
      </c>
      <c r="P556" t="n">
        <v>0</v>
      </c>
      <c r="Q556" t="n">
        <v>0</v>
      </c>
      <c r="R556" s="2" t="inlineStr"/>
    </row>
    <row r="557" ht="15" customHeight="1">
      <c r="A557" t="inlineStr">
        <is>
          <t>A 60679-2022</t>
        </is>
      </c>
      <c r="B557" s="1" t="n">
        <v>44911</v>
      </c>
      <c r="C557" s="1" t="n">
        <v>45807</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60767-2022</t>
        </is>
      </c>
      <c r="B558" s="1" t="n">
        <v>44914</v>
      </c>
      <c r="C558" s="1" t="n">
        <v>45807</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61653-2022</t>
        </is>
      </c>
      <c r="B559" s="1" t="n">
        <v>44916</v>
      </c>
      <c r="C559" s="1" t="n">
        <v>45807</v>
      </c>
      <c r="D559" t="inlineStr">
        <is>
          <t>JÄMTLANDS LÄN</t>
        </is>
      </c>
      <c r="E559" t="inlineStr">
        <is>
          <t>ÖSTERSUND</t>
        </is>
      </c>
      <c r="G559" t="n">
        <v>7.6</v>
      </c>
      <c r="H559" t="n">
        <v>0</v>
      </c>
      <c r="I559" t="n">
        <v>0</v>
      </c>
      <c r="J559" t="n">
        <v>0</v>
      </c>
      <c r="K559" t="n">
        <v>0</v>
      </c>
      <c r="L559" t="n">
        <v>0</v>
      </c>
      <c r="M559" t="n">
        <v>0</v>
      </c>
      <c r="N559" t="n">
        <v>0</v>
      </c>
      <c r="O559" t="n">
        <v>0</v>
      </c>
      <c r="P559" t="n">
        <v>0</v>
      </c>
      <c r="Q559" t="n">
        <v>0</v>
      </c>
      <c r="R559" s="2" t="inlineStr"/>
    </row>
    <row r="560" ht="15" customHeight="1">
      <c r="A560" t="inlineStr">
        <is>
          <t>A 62040-2022</t>
        </is>
      </c>
      <c r="B560" s="1" t="n">
        <v>44918</v>
      </c>
      <c r="C560" s="1" t="n">
        <v>45807</v>
      </c>
      <c r="D560" t="inlineStr">
        <is>
          <t>JÄMTLANDS LÄN</t>
        </is>
      </c>
      <c r="E560" t="inlineStr">
        <is>
          <t>ÖSTERSUND</t>
        </is>
      </c>
      <c r="G560" t="n">
        <v>2.6</v>
      </c>
      <c r="H560" t="n">
        <v>0</v>
      </c>
      <c r="I560" t="n">
        <v>0</v>
      </c>
      <c r="J560" t="n">
        <v>0</v>
      </c>
      <c r="K560" t="n">
        <v>0</v>
      </c>
      <c r="L560" t="n">
        <v>0</v>
      </c>
      <c r="M560" t="n">
        <v>0</v>
      </c>
      <c r="N560" t="n">
        <v>0</v>
      </c>
      <c r="O560" t="n">
        <v>0</v>
      </c>
      <c r="P560" t="n">
        <v>0</v>
      </c>
      <c r="Q560" t="n">
        <v>0</v>
      </c>
      <c r="R560" s="2" t="inlineStr"/>
    </row>
    <row r="561" ht="15" customHeight="1">
      <c r="A561" t="inlineStr">
        <is>
          <t>A 62043-2022</t>
        </is>
      </c>
      <c r="B561" s="1" t="n">
        <v>44918</v>
      </c>
      <c r="C561" s="1" t="n">
        <v>45807</v>
      </c>
      <c r="D561" t="inlineStr">
        <is>
          <t>JÄMTLANDS LÄN</t>
        </is>
      </c>
      <c r="E561" t="inlineStr">
        <is>
          <t>ÖSTERSUND</t>
        </is>
      </c>
      <c r="G561" t="n">
        <v>5.2</v>
      </c>
      <c r="H561" t="n">
        <v>0</v>
      </c>
      <c r="I561" t="n">
        <v>0</v>
      </c>
      <c r="J561" t="n">
        <v>0</v>
      </c>
      <c r="K561" t="n">
        <v>0</v>
      </c>
      <c r="L561" t="n">
        <v>0</v>
      </c>
      <c r="M561" t="n">
        <v>0</v>
      </c>
      <c r="N561" t="n">
        <v>0</v>
      </c>
      <c r="O561" t="n">
        <v>0</v>
      </c>
      <c r="P561" t="n">
        <v>0</v>
      </c>
      <c r="Q561" t="n">
        <v>0</v>
      </c>
      <c r="R561" s="2" t="inlineStr"/>
    </row>
    <row r="562" ht="15" customHeight="1">
      <c r="A562" t="inlineStr">
        <is>
          <t>A 62227-2022</t>
        </is>
      </c>
      <c r="B562" s="1" t="n">
        <v>44922</v>
      </c>
      <c r="C562" s="1" t="n">
        <v>45807</v>
      </c>
      <c r="D562" t="inlineStr">
        <is>
          <t>JÄMTLANDS LÄN</t>
        </is>
      </c>
      <c r="E562" t="inlineStr">
        <is>
          <t>ÖSTERSUND</t>
        </is>
      </c>
      <c r="G562" t="n">
        <v>2.2</v>
      </c>
      <c r="H562" t="n">
        <v>0</v>
      </c>
      <c r="I562" t="n">
        <v>0</v>
      </c>
      <c r="J562" t="n">
        <v>0</v>
      </c>
      <c r="K562" t="n">
        <v>0</v>
      </c>
      <c r="L562" t="n">
        <v>0</v>
      </c>
      <c r="M562" t="n">
        <v>0</v>
      </c>
      <c r="N562" t="n">
        <v>0</v>
      </c>
      <c r="O562" t="n">
        <v>0</v>
      </c>
      <c r="P562" t="n">
        <v>0</v>
      </c>
      <c r="Q562" t="n">
        <v>0</v>
      </c>
      <c r="R562" s="2" t="inlineStr"/>
    </row>
    <row r="563" ht="15" customHeight="1">
      <c r="A563" t="inlineStr">
        <is>
          <t>A 62225-2022</t>
        </is>
      </c>
      <c r="B563" s="1" t="n">
        <v>44922</v>
      </c>
      <c r="C563" s="1" t="n">
        <v>45807</v>
      </c>
      <c r="D563" t="inlineStr">
        <is>
          <t>JÄMTLANDS LÄN</t>
        </is>
      </c>
      <c r="E563" t="inlineStr">
        <is>
          <t>ÖSTERSUND</t>
        </is>
      </c>
      <c r="G563" t="n">
        <v>1</v>
      </c>
      <c r="H563" t="n">
        <v>0</v>
      </c>
      <c r="I563" t="n">
        <v>0</v>
      </c>
      <c r="J563" t="n">
        <v>0</v>
      </c>
      <c r="K563" t="n">
        <v>0</v>
      </c>
      <c r="L563" t="n">
        <v>0</v>
      </c>
      <c r="M563" t="n">
        <v>0</v>
      </c>
      <c r="N563" t="n">
        <v>0</v>
      </c>
      <c r="O563" t="n">
        <v>0</v>
      </c>
      <c r="P563" t="n">
        <v>0</v>
      </c>
      <c r="Q563" t="n">
        <v>0</v>
      </c>
      <c r="R563" s="2" t="inlineStr"/>
    </row>
    <row r="564" ht="15" customHeight="1">
      <c r="A564" t="inlineStr">
        <is>
          <t>A 62222-2022</t>
        </is>
      </c>
      <c r="B564" s="1" t="n">
        <v>44922</v>
      </c>
      <c r="C564" s="1" t="n">
        <v>45807</v>
      </c>
      <c r="D564" t="inlineStr">
        <is>
          <t>JÄMTLANDS LÄN</t>
        </is>
      </c>
      <c r="E564" t="inlineStr">
        <is>
          <t>ÖSTERSUND</t>
        </is>
      </c>
      <c r="G564" t="n">
        <v>4.1</v>
      </c>
      <c r="H564" t="n">
        <v>0</v>
      </c>
      <c r="I564" t="n">
        <v>0</v>
      </c>
      <c r="J564" t="n">
        <v>0</v>
      </c>
      <c r="K564" t="n">
        <v>0</v>
      </c>
      <c r="L564" t="n">
        <v>0</v>
      </c>
      <c r="M564" t="n">
        <v>0</v>
      </c>
      <c r="N564" t="n">
        <v>0</v>
      </c>
      <c r="O564" t="n">
        <v>0</v>
      </c>
      <c r="P564" t="n">
        <v>0</v>
      </c>
      <c r="Q564" t="n">
        <v>0</v>
      </c>
      <c r="R564" s="2" t="inlineStr"/>
    </row>
    <row r="565" ht="15" customHeight="1">
      <c r="A565" t="inlineStr">
        <is>
          <t>A 296-2023</t>
        </is>
      </c>
      <c r="B565" s="1" t="n">
        <v>44922</v>
      </c>
      <c r="C565" s="1" t="n">
        <v>45807</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12-2023</t>
        </is>
      </c>
      <c r="B566" s="1" t="n">
        <v>44927</v>
      </c>
      <c r="C566" s="1" t="n">
        <v>45807</v>
      </c>
      <c r="D566" t="inlineStr">
        <is>
          <t>JÄMTLANDS LÄN</t>
        </is>
      </c>
      <c r="E566" t="inlineStr">
        <is>
          <t>ÖSTERSUND</t>
        </is>
      </c>
      <c r="G566" t="n">
        <v>4.7</v>
      </c>
      <c r="H566" t="n">
        <v>0</v>
      </c>
      <c r="I566" t="n">
        <v>0</v>
      </c>
      <c r="J566" t="n">
        <v>0</v>
      </c>
      <c r="K566" t="n">
        <v>0</v>
      </c>
      <c r="L566" t="n">
        <v>0</v>
      </c>
      <c r="M566" t="n">
        <v>0</v>
      </c>
      <c r="N566" t="n">
        <v>0</v>
      </c>
      <c r="O566" t="n">
        <v>0</v>
      </c>
      <c r="P566" t="n">
        <v>0</v>
      </c>
      <c r="Q566" t="n">
        <v>0</v>
      </c>
      <c r="R566" s="2" t="inlineStr"/>
    </row>
    <row r="567" ht="15" customHeight="1">
      <c r="A567" t="inlineStr">
        <is>
          <t>A 257-2023</t>
        </is>
      </c>
      <c r="B567" s="1" t="n">
        <v>44928</v>
      </c>
      <c r="C567" s="1" t="n">
        <v>45807</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55-2023</t>
        </is>
      </c>
      <c r="B568" s="1" t="n">
        <v>44928</v>
      </c>
      <c r="C568" s="1" t="n">
        <v>45807</v>
      </c>
      <c r="D568" t="inlineStr">
        <is>
          <t>JÄMTLANDS LÄN</t>
        </is>
      </c>
      <c r="E568" t="inlineStr">
        <is>
          <t>ÖSTERSUND</t>
        </is>
      </c>
      <c r="G568" t="n">
        <v>4</v>
      </c>
      <c r="H568" t="n">
        <v>0</v>
      </c>
      <c r="I568" t="n">
        <v>0</v>
      </c>
      <c r="J568" t="n">
        <v>0</v>
      </c>
      <c r="K568" t="n">
        <v>0</v>
      </c>
      <c r="L568" t="n">
        <v>0</v>
      </c>
      <c r="M568" t="n">
        <v>0</v>
      </c>
      <c r="N568" t="n">
        <v>0</v>
      </c>
      <c r="O568" t="n">
        <v>0</v>
      </c>
      <c r="P568" t="n">
        <v>0</v>
      </c>
      <c r="Q568" t="n">
        <v>0</v>
      </c>
      <c r="R568" s="2" t="inlineStr"/>
    </row>
    <row r="569" ht="15" customHeight="1">
      <c r="A569" t="inlineStr">
        <is>
          <t>A 1234-2023</t>
        </is>
      </c>
      <c r="B569" s="1" t="n">
        <v>44936</v>
      </c>
      <c r="C569" s="1" t="n">
        <v>45807</v>
      </c>
      <c r="D569" t="inlineStr">
        <is>
          <t>JÄMTLANDS LÄN</t>
        </is>
      </c>
      <c r="E569" t="inlineStr">
        <is>
          <t>ÖSTERSUND</t>
        </is>
      </c>
      <c r="G569" t="n">
        <v>2.3</v>
      </c>
      <c r="H569" t="n">
        <v>0</v>
      </c>
      <c r="I569" t="n">
        <v>0</v>
      </c>
      <c r="J569" t="n">
        <v>0</v>
      </c>
      <c r="K569" t="n">
        <v>0</v>
      </c>
      <c r="L569" t="n">
        <v>0</v>
      </c>
      <c r="M569" t="n">
        <v>0</v>
      </c>
      <c r="N569" t="n">
        <v>0</v>
      </c>
      <c r="O569" t="n">
        <v>0</v>
      </c>
      <c r="P569" t="n">
        <v>0</v>
      </c>
      <c r="Q569" t="n">
        <v>0</v>
      </c>
      <c r="R569" s="2" t="inlineStr"/>
    </row>
    <row r="570" ht="15" customHeight="1">
      <c r="A570" t="inlineStr">
        <is>
          <t>A 1893-2023</t>
        </is>
      </c>
      <c r="B570" s="1" t="n">
        <v>44937</v>
      </c>
      <c r="C570" s="1" t="n">
        <v>45807</v>
      </c>
      <c r="D570" t="inlineStr">
        <is>
          <t>JÄMTLANDS LÄN</t>
        </is>
      </c>
      <c r="E570" t="inlineStr">
        <is>
          <t>ÖSTERSUND</t>
        </is>
      </c>
      <c r="G570" t="n">
        <v>11</v>
      </c>
      <c r="H570" t="n">
        <v>0</v>
      </c>
      <c r="I570" t="n">
        <v>0</v>
      </c>
      <c r="J570" t="n">
        <v>0</v>
      </c>
      <c r="K570" t="n">
        <v>0</v>
      </c>
      <c r="L570" t="n">
        <v>0</v>
      </c>
      <c r="M570" t="n">
        <v>0</v>
      </c>
      <c r="N570" t="n">
        <v>0</v>
      </c>
      <c r="O570" t="n">
        <v>0</v>
      </c>
      <c r="P570" t="n">
        <v>0</v>
      </c>
      <c r="Q570" t="n">
        <v>0</v>
      </c>
      <c r="R570" s="2" t="inlineStr"/>
    </row>
    <row r="571" ht="15" customHeight="1">
      <c r="A571" t="inlineStr">
        <is>
          <t>A 2420-2023</t>
        </is>
      </c>
      <c r="B571" s="1" t="n">
        <v>44943</v>
      </c>
      <c r="C571" s="1" t="n">
        <v>45807</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3339-2023</t>
        </is>
      </c>
      <c r="B572" s="1" t="n">
        <v>44949</v>
      </c>
      <c r="C572" s="1" t="n">
        <v>45807</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3749-2023</t>
        </is>
      </c>
      <c r="B573" s="1" t="n">
        <v>44949</v>
      </c>
      <c r="C573" s="1" t="n">
        <v>45807</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3949-2023</t>
        </is>
      </c>
      <c r="B574" s="1" t="n">
        <v>44950</v>
      </c>
      <c r="C574" s="1" t="n">
        <v>45807</v>
      </c>
      <c r="D574" t="inlineStr">
        <is>
          <t>JÄMTLANDS LÄN</t>
        </is>
      </c>
      <c r="E574" t="inlineStr">
        <is>
          <t>ÖSTERSUND</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4134-2023</t>
        </is>
      </c>
      <c r="B575" s="1" t="n">
        <v>44952</v>
      </c>
      <c r="C575" s="1" t="n">
        <v>45807</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4135-2023</t>
        </is>
      </c>
      <c r="B576" s="1" t="n">
        <v>44952</v>
      </c>
      <c r="C576" s="1" t="n">
        <v>45807</v>
      </c>
      <c r="D576" t="inlineStr">
        <is>
          <t>JÄMTLANDS LÄN</t>
        </is>
      </c>
      <c r="E576" t="inlineStr">
        <is>
          <t>ÖSTERSUND</t>
        </is>
      </c>
      <c r="G576" t="n">
        <v>1.3</v>
      </c>
      <c r="H576" t="n">
        <v>0</v>
      </c>
      <c r="I576" t="n">
        <v>0</v>
      </c>
      <c r="J576" t="n">
        <v>0</v>
      </c>
      <c r="K576" t="n">
        <v>0</v>
      </c>
      <c r="L576" t="n">
        <v>0</v>
      </c>
      <c r="M576" t="n">
        <v>0</v>
      </c>
      <c r="N576" t="n">
        <v>0</v>
      </c>
      <c r="O576" t="n">
        <v>0</v>
      </c>
      <c r="P576" t="n">
        <v>0</v>
      </c>
      <c r="Q576" t="n">
        <v>0</v>
      </c>
      <c r="R576" s="2" t="inlineStr"/>
    </row>
    <row r="577" ht="15" customHeight="1">
      <c r="A577" t="inlineStr">
        <is>
          <t>A 4136-2023</t>
        </is>
      </c>
      <c r="B577" s="1" t="n">
        <v>44952</v>
      </c>
      <c r="C577" s="1" t="n">
        <v>45807</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4345-2023</t>
        </is>
      </c>
      <c r="B578" s="1" t="n">
        <v>44954</v>
      </c>
      <c r="C578" s="1" t="n">
        <v>45807</v>
      </c>
      <c r="D578" t="inlineStr">
        <is>
          <t>JÄMTLANDS LÄN</t>
        </is>
      </c>
      <c r="E578" t="inlineStr">
        <is>
          <t>ÖSTERSUND</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5197-2023</t>
        </is>
      </c>
      <c r="B579" s="1" t="n">
        <v>44953</v>
      </c>
      <c r="C579" s="1" t="n">
        <v>45807</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4872-2023</t>
        </is>
      </c>
      <c r="B580" s="1" t="n">
        <v>44957</v>
      </c>
      <c r="C580" s="1" t="n">
        <v>45807</v>
      </c>
      <c r="D580" t="inlineStr">
        <is>
          <t>JÄMTLANDS LÄN</t>
        </is>
      </c>
      <c r="E580" t="inlineStr">
        <is>
          <t>ÖSTERSUND</t>
        </is>
      </c>
      <c r="G580" t="n">
        <v>10.7</v>
      </c>
      <c r="H580" t="n">
        <v>0</v>
      </c>
      <c r="I580" t="n">
        <v>0</v>
      </c>
      <c r="J580" t="n">
        <v>0</v>
      </c>
      <c r="K580" t="n">
        <v>0</v>
      </c>
      <c r="L580" t="n">
        <v>0</v>
      </c>
      <c r="M580" t="n">
        <v>0</v>
      </c>
      <c r="N580" t="n">
        <v>0</v>
      </c>
      <c r="O580" t="n">
        <v>0</v>
      </c>
      <c r="P580" t="n">
        <v>0</v>
      </c>
      <c r="Q580" t="n">
        <v>0</v>
      </c>
      <c r="R580" s="2" t="inlineStr"/>
    </row>
    <row r="581" ht="15" customHeight="1">
      <c r="A581" t="inlineStr">
        <is>
          <t>A 5951-2023</t>
        </is>
      </c>
      <c r="B581" s="1" t="n">
        <v>44963</v>
      </c>
      <c r="C581" s="1" t="n">
        <v>45807</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5950-2023</t>
        </is>
      </c>
      <c r="B582" s="1" t="n">
        <v>44963</v>
      </c>
      <c r="C582" s="1" t="n">
        <v>45807</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6341-2023</t>
        </is>
      </c>
      <c r="B583" s="1" t="n">
        <v>44965</v>
      </c>
      <c r="C583" s="1" t="n">
        <v>45807</v>
      </c>
      <c r="D583" t="inlineStr">
        <is>
          <t>JÄMTLANDS LÄN</t>
        </is>
      </c>
      <c r="E583" t="inlineStr">
        <is>
          <t>ÖSTERSUND</t>
        </is>
      </c>
      <c r="G583" t="n">
        <v>6</v>
      </c>
      <c r="H583" t="n">
        <v>0</v>
      </c>
      <c r="I583" t="n">
        <v>0</v>
      </c>
      <c r="J583" t="n">
        <v>0</v>
      </c>
      <c r="K583" t="n">
        <v>0</v>
      </c>
      <c r="L583" t="n">
        <v>0</v>
      </c>
      <c r="M583" t="n">
        <v>0</v>
      </c>
      <c r="N583" t="n">
        <v>0</v>
      </c>
      <c r="O583" t="n">
        <v>0</v>
      </c>
      <c r="P583" t="n">
        <v>0</v>
      </c>
      <c r="Q583" t="n">
        <v>0</v>
      </c>
      <c r="R583" s="2" t="inlineStr"/>
    </row>
    <row r="584" ht="15" customHeight="1">
      <c r="A584" t="inlineStr">
        <is>
          <t>A 7327-2023</t>
        </is>
      </c>
      <c r="B584" s="1" t="n">
        <v>44971</v>
      </c>
      <c r="C584" s="1" t="n">
        <v>45807</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7983-2023</t>
        </is>
      </c>
      <c r="B585" s="1" t="n">
        <v>44970</v>
      </c>
      <c r="C585" s="1" t="n">
        <v>45807</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8223-2023</t>
        </is>
      </c>
      <c r="B586" s="1" t="n">
        <v>44971</v>
      </c>
      <c r="C586" s="1" t="n">
        <v>45807</v>
      </c>
      <c r="D586" t="inlineStr">
        <is>
          <t>JÄMTLANDS LÄN</t>
        </is>
      </c>
      <c r="E586" t="inlineStr">
        <is>
          <t>ÖSTERSUND</t>
        </is>
      </c>
      <c r="G586" t="n">
        <v>7.6</v>
      </c>
      <c r="H586" t="n">
        <v>0</v>
      </c>
      <c r="I586" t="n">
        <v>0</v>
      </c>
      <c r="J586" t="n">
        <v>0</v>
      </c>
      <c r="K586" t="n">
        <v>0</v>
      </c>
      <c r="L586" t="n">
        <v>0</v>
      </c>
      <c r="M586" t="n">
        <v>0</v>
      </c>
      <c r="N586" t="n">
        <v>0</v>
      </c>
      <c r="O586" t="n">
        <v>0</v>
      </c>
      <c r="P586" t="n">
        <v>0</v>
      </c>
      <c r="Q586" t="n">
        <v>0</v>
      </c>
      <c r="R586" s="2" t="inlineStr"/>
    </row>
    <row r="587" ht="15" customHeight="1">
      <c r="A587" t="inlineStr">
        <is>
          <t>A 8423-2023</t>
        </is>
      </c>
      <c r="B587" s="1" t="n">
        <v>44977</v>
      </c>
      <c r="C587" s="1" t="n">
        <v>45807</v>
      </c>
      <c r="D587" t="inlineStr">
        <is>
          <t>JÄMTLANDS LÄN</t>
        </is>
      </c>
      <c r="E587" t="inlineStr">
        <is>
          <t>ÖSTERSUND</t>
        </is>
      </c>
      <c r="F587" t="inlineStr">
        <is>
          <t>Övriga Aktiebolag</t>
        </is>
      </c>
      <c r="G587" t="n">
        <v>53.1</v>
      </c>
      <c r="H587" t="n">
        <v>0</v>
      </c>
      <c r="I587" t="n">
        <v>0</v>
      </c>
      <c r="J587" t="n">
        <v>0</v>
      </c>
      <c r="K587" t="n">
        <v>0</v>
      </c>
      <c r="L587" t="n">
        <v>0</v>
      </c>
      <c r="M587" t="n">
        <v>0</v>
      </c>
      <c r="N587" t="n">
        <v>0</v>
      </c>
      <c r="O587" t="n">
        <v>0</v>
      </c>
      <c r="P587" t="n">
        <v>0</v>
      </c>
      <c r="Q587" t="n">
        <v>0</v>
      </c>
      <c r="R587" s="2" t="inlineStr"/>
    </row>
    <row r="588" ht="15" customHeight="1">
      <c r="A588" t="inlineStr">
        <is>
          <t>A 8675-2023</t>
        </is>
      </c>
      <c r="B588" s="1" t="n">
        <v>44978</v>
      </c>
      <c r="C588" s="1" t="n">
        <v>45807</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10306-2023</t>
        </is>
      </c>
      <c r="B589" s="1" t="n">
        <v>44986</v>
      </c>
      <c r="C589" s="1" t="n">
        <v>45807</v>
      </c>
      <c r="D589" t="inlineStr">
        <is>
          <t>JÄMTLANDS LÄN</t>
        </is>
      </c>
      <c r="E589" t="inlineStr">
        <is>
          <t>ÖSTERSUND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10308-2023</t>
        </is>
      </c>
      <c r="B590" s="1" t="n">
        <v>44986</v>
      </c>
      <c r="C590" s="1" t="n">
        <v>45807</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10307-2023</t>
        </is>
      </c>
      <c r="B591" s="1" t="n">
        <v>44986</v>
      </c>
      <c r="C591" s="1" t="n">
        <v>45807</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10315-2023</t>
        </is>
      </c>
      <c r="B592" s="1" t="n">
        <v>44986</v>
      </c>
      <c r="C592" s="1" t="n">
        <v>45807</v>
      </c>
      <c r="D592" t="inlineStr">
        <is>
          <t>JÄMTLANDS LÄN</t>
        </is>
      </c>
      <c r="E592" t="inlineStr">
        <is>
          <t>ÖSTERSUND</t>
        </is>
      </c>
      <c r="F592" t="inlineStr">
        <is>
          <t>SCA</t>
        </is>
      </c>
      <c r="G592" t="n">
        <v>6.7</v>
      </c>
      <c r="H592" t="n">
        <v>0</v>
      </c>
      <c r="I592" t="n">
        <v>0</v>
      </c>
      <c r="J592" t="n">
        <v>0</v>
      </c>
      <c r="K592" t="n">
        <v>0</v>
      </c>
      <c r="L592" t="n">
        <v>0</v>
      </c>
      <c r="M592" t="n">
        <v>0</v>
      </c>
      <c r="N592" t="n">
        <v>0</v>
      </c>
      <c r="O592" t="n">
        <v>0</v>
      </c>
      <c r="P592" t="n">
        <v>0</v>
      </c>
      <c r="Q592" t="n">
        <v>0</v>
      </c>
      <c r="R592" s="2" t="inlineStr"/>
    </row>
    <row r="593" ht="15" customHeight="1">
      <c r="A593" t="inlineStr">
        <is>
          <t>A 10305-2023</t>
        </is>
      </c>
      <c r="B593" s="1" t="n">
        <v>44986</v>
      </c>
      <c r="C593" s="1" t="n">
        <v>45807</v>
      </c>
      <c r="D593" t="inlineStr">
        <is>
          <t>JÄMTLANDS LÄN</t>
        </is>
      </c>
      <c r="E593" t="inlineStr">
        <is>
          <t>ÖSTERSUND</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11356-2023</t>
        </is>
      </c>
      <c r="B594" s="1" t="n">
        <v>44993</v>
      </c>
      <c r="C594" s="1" t="n">
        <v>45807</v>
      </c>
      <c r="D594" t="inlineStr">
        <is>
          <t>JÄMTLANDS LÄN</t>
        </is>
      </c>
      <c r="E594" t="inlineStr">
        <is>
          <t>ÖSTERSUND</t>
        </is>
      </c>
      <c r="G594" t="n">
        <v>8.1</v>
      </c>
      <c r="H594" t="n">
        <v>0</v>
      </c>
      <c r="I594" t="n">
        <v>0</v>
      </c>
      <c r="J594" t="n">
        <v>0</v>
      </c>
      <c r="K594" t="n">
        <v>0</v>
      </c>
      <c r="L594" t="n">
        <v>0</v>
      </c>
      <c r="M594" t="n">
        <v>0</v>
      </c>
      <c r="N594" t="n">
        <v>0</v>
      </c>
      <c r="O594" t="n">
        <v>0</v>
      </c>
      <c r="P594" t="n">
        <v>0</v>
      </c>
      <c r="Q594" t="n">
        <v>0</v>
      </c>
      <c r="R594" s="2" t="inlineStr"/>
    </row>
    <row r="595" ht="15" customHeight="1">
      <c r="A595" t="inlineStr">
        <is>
          <t>A 12821-2023</t>
        </is>
      </c>
      <c r="B595" s="1" t="n">
        <v>45000</v>
      </c>
      <c r="C595" s="1" t="n">
        <v>45807</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13166-2023</t>
        </is>
      </c>
      <c r="B596" s="1" t="n">
        <v>45002</v>
      </c>
      <c r="C596" s="1" t="n">
        <v>45807</v>
      </c>
      <c r="D596" t="inlineStr">
        <is>
          <t>JÄMTLANDS LÄN</t>
        </is>
      </c>
      <c r="E596" t="inlineStr">
        <is>
          <t>ÖSTERSUND</t>
        </is>
      </c>
      <c r="F596" t="inlineStr">
        <is>
          <t>Övriga statliga verk och myndigheter</t>
        </is>
      </c>
      <c r="G596" t="n">
        <v>1</v>
      </c>
      <c r="H596" t="n">
        <v>0</v>
      </c>
      <c r="I596" t="n">
        <v>0</v>
      </c>
      <c r="J596" t="n">
        <v>0</v>
      </c>
      <c r="K596" t="n">
        <v>0</v>
      </c>
      <c r="L596" t="n">
        <v>0</v>
      </c>
      <c r="M596" t="n">
        <v>0</v>
      </c>
      <c r="N596" t="n">
        <v>0</v>
      </c>
      <c r="O596" t="n">
        <v>0</v>
      </c>
      <c r="P596" t="n">
        <v>0</v>
      </c>
      <c r="Q596" t="n">
        <v>0</v>
      </c>
      <c r="R596" s="2" t="inlineStr"/>
    </row>
    <row r="597" ht="15" customHeight="1">
      <c r="A597" t="inlineStr">
        <is>
          <t>A 13148-2023</t>
        </is>
      </c>
      <c r="B597" s="1" t="n">
        <v>45002</v>
      </c>
      <c r="C597" s="1" t="n">
        <v>45807</v>
      </c>
      <c r="D597" t="inlineStr">
        <is>
          <t>JÄMTLANDS LÄN</t>
        </is>
      </c>
      <c r="E597" t="inlineStr">
        <is>
          <t>ÖSTERSUND</t>
        </is>
      </c>
      <c r="G597" t="n">
        <v>1.8</v>
      </c>
      <c r="H597" t="n">
        <v>0</v>
      </c>
      <c r="I597" t="n">
        <v>0</v>
      </c>
      <c r="J597" t="n">
        <v>0</v>
      </c>
      <c r="K597" t="n">
        <v>0</v>
      </c>
      <c r="L597" t="n">
        <v>0</v>
      </c>
      <c r="M597" t="n">
        <v>0</v>
      </c>
      <c r="N597" t="n">
        <v>0</v>
      </c>
      <c r="O597" t="n">
        <v>0</v>
      </c>
      <c r="P597" t="n">
        <v>0</v>
      </c>
      <c r="Q597" t="n">
        <v>0</v>
      </c>
      <c r="R597" s="2" t="inlineStr"/>
    </row>
    <row r="598" ht="15" customHeight="1">
      <c r="A598" t="inlineStr">
        <is>
          <t>A 13152-2023</t>
        </is>
      </c>
      <c r="B598" s="1" t="n">
        <v>45002</v>
      </c>
      <c r="C598" s="1" t="n">
        <v>45807</v>
      </c>
      <c r="D598" t="inlineStr">
        <is>
          <t>JÄMTLANDS LÄN</t>
        </is>
      </c>
      <c r="E598" t="inlineStr">
        <is>
          <t>ÖSTERSUND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13282-2023</t>
        </is>
      </c>
      <c r="B599" s="1" t="n">
        <v>45004</v>
      </c>
      <c r="C599" s="1" t="n">
        <v>45807</v>
      </c>
      <c r="D599" t="inlineStr">
        <is>
          <t>JÄMTLANDS LÄN</t>
        </is>
      </c>
      <c r="E599" t="inlineStr">
        <is>
          <t>ÖSTERSUND</t>
        </is>
      </c>
      <c r="G599" t="n">
        <v>28.5</v>
      </c>
      <c r="H599" t="n">
        <v>0</v>
      </c>
      <c r="I599" t="n">
        <v>0</v>
      </c>
      <c r="J599" t="n">
        <v>0</v>
      </c>
      <c r="K599" t="n">
        <v>0</v>
      </c>
      <c r="L599" t="n">
        <v>0</v>
      </c>
      <c r="M599" t="n">
        <v>0</v>
      </c>
      <c r="N599" t="n">
        <v>0</v>
      </c>
      <c r="O599" t="n">
        <v>0</v>
      </c>
      <c r="P599" t="n">
        <v>0</v>
      </c>
      <c r="Q599" t="n">
        <v>0</v>
      </c>
      <c r="R599" s="2" t="inlineStr"/>
    </row>
    <row r="600" ht="15" customHeight="1">
      <c r="A600" t="inlineStr">
        <is>
          <t>A 13921-2023</t>
        </is>
      </c>
      <c r="B600" s="1" t="n">
        <v>45008</v>
      </c>
      <c r="C600" s="1" t="n">
        <v>45807</v>
      </c>
      <c r="D600" t="inlineStr">
        <is>
          <t>JÄMTLANDS LÄN</t>
        </is>
      </c>
      <c r="E600" t="inlineStr">
        <is>
          <t>ÖSTERSUND</t>
        </is>
      </c>
      <c r="G600" t="n">
        <v>0.3</v>
      </c>
      <c r="H600" t="n">
        <v>0</v>
      </c>
      <c r="I600" t="n">
        <v>0</v>
      </c>
      <c r="J600" t="n">
        <v>0</v>
      </c>
      <c r="K600" t="n">
        <v>0</v>
      </c>
      <c r="L600" t="n">
        <v>0</v>
      </c>
      <c r="M600" t="n">
        <v>0</v>
      </c>
      <c r="N600" t="n">
        <v>0</v>
      </c>
      <c r="O600" t="n">
        <v>0</v>
      </c>
      <c r="P600" t="n">
        <v>0</v>
      </c>
      <c r="Q600" t="n">
        <v>0</v>
      </c>
      <c r="R600" s="2" t="inlineStr"/>
    </row>
    <row r="601" ht="15" customHeight="1">
      <c r="A601" t="inlineStr">
        <is>
          <t>A 14520-2023</t>
        </is>
      </c>
      <c r="B601" s="1" t="n">
        <v>45012</v>
      </c>
      <c r="C601" s="1" t="n">
        <v>45807</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14523-2023</t>
        </is>
      </c>
      <c r="B602" s="1" t="n">
        <v>45012</v>
      </c>
      <c r="C602" s="1" t="n">
        <v>45807</v>
      </c>
      <c r="D602" t="inlineStr">
        <is>
          <t>JÄMTLANDS LÄN</t>
        </is>
      </c>
      <c r="E602" t="inlineStr">
        <is>
          <t>ÖSTERSUND</t>
        </is>
      </c>
      <c r="G602" t="n">
        <v>4.5</v>
      </c>
      <c r="H602" t="n">
        <v>0</v>
      </c>
      <c r="I602" t="n">
        <v>0</v>
      </c>
      <c r="J602" t="n">
        <v>0</v>
      </c>
      <c r="K602" t="n">
        <v>0</v>
      </c>
      <c r="L602" t="n">
        <v>0</v>
      </c>
      <c r="M602" t="n">
        <v>0</v>
      </c>
      <c r="N602" t="n">
        <v>0</v>
      </c>
      <c r="O602" t="n">
        <v>0</v>
      </c>
      <c r="P602" t="n">
        <v>0</v>
      </c>
      <c r="Q602" t="n">
        <v>0</v>
      </c>
      <c r="R602" s="2" t="inlineStr"/>
    </row>
    <row r="603" ht="15" customHeight="1">
      <c r="A603" t="inlineStr">
        <is>
          <t>A 14521-2023</t>
        </is>
      </c>
      <c r="B603" s="1" t="n">
        <v>45013</v>
      </c>
      <c r="C603" s="1" t="n">
        <v>45807</v>
      </c>
      <c r="D603" t="inlineStr">
        <is>
          <t>JÄMTLANDS LÄN</t>
        </is>
      </c>
      <c r="E603" t="inlineStr">
        <is>
          <t>ÖSTERSUND</t>
        </is>
      </c>
      <c r="G603" t="n">
        <v>1.6</v>
      </c>
      <c r="H603" t="n">
        <v>0</v>
      </c>
      <c r="I603" t="n">
        <v>0</v>
      </c>
      <c r="J603" t="n">
        <v>0</v>
      </c>
      <c r="K603" t="n">
        <v>0</v>
      </c>
      <c r="L603" t="n">
        <v>0</v>
      </c>
      <c r="M603" t="n">
        <v>0</v>
      </c>
      <c r="N603" t="n">
        <v>0</v>
      </c>
      <c r="O603" t="n">
        <v>0</v>
      </c>
      <c r="P603" t="n">
        <v>0</v>
      </c>
      <c r="Q603" t="n">
        <v>0</v>
      </c>
      <c r="R603" s="2" t="inlineStr"/>
    </row>
    <row r="604" ht="15" customHeight="1">
      <c r="A604" t="inlineStr">
        <is>
          <t>A 14518-2023</t>
        </is>
      </c>
      <c r="B604" s="1" t="n">
        <v>45012</v>
      </c>
      <c r="C604" s="1" t="n">
        <v>45807</v>
      </c>
      <c r="D604" t="inlineStr">
        <is>
          <t>JÄMTLANDS LÄN</t>
        </is>
      </c>
      <c r="E604" t="inlineStr">
        <is>
          <t>ÖSTERSUND</t>
        </is>
      </c>
      <c r="G604" t="n">
        <v>14.4</v>
      </c>
      <c r="H604" t="n">
        <v>0</v>
      </c>
      <c r="I604" t="n">
        <v>0</v>
      </c>
      <c r="J604" t="n">
        <v>0</v>
      </c>
      <c r="K604" t="n">
        <v>0</v>
      </c>
      <c r="L604" t="n">
        <v>0</v>
      </c>
      <c r="M604" t="n">
        <v>0</v>
      </c>
      <c r="N604" t="n">
        <v>0</v>
      </c>
      <c r="O604" t="n">
        <v>0</v>
      </c>
      <c r="P604" t="n">
        <v>0</v>
      </c>
      <c r="Q604" t="n">
        <v>0</v>
      </c>
      <c r="R604" s="2" t="inlineStr"/>
    </row>
    <row r="605" ht="15" customHeight="1">
      <c r="A605" t="inlineStr">
        <is>
          <t>A 15984-2023</t>
        </is>
      </c>
      <c r="B605" s="1" t="n">
        <v>45022</v>
      </c>
      <c r="C605" s="1" t="n">
        <v>45807</v>
      </c>
      <c r="D605" t="inlineStr">
        <is>
          <t>JÄMTLANDS LÄN</t>
        </is>
      </c>
      <c r="E605" t="inlineStr">
        <is>
          <t>ÖSTERSUND</t>
        </is>
      </c>
      <c r="F605" t="inlineStr">
        <is>
          <t>SCA</t>
        </is>
      </c>
      <c r="G605" t="n">
        <v>10.1</v>
      </c>
      <c r="H605" t="n">
        <v>0</v>
      </c>
      <c r="I605" t="n">
        <v>0</v>
      </c>
      <c r="J605" t="n">
        <v>0</v>
      </c>
      <c r="K605" t="n">
        <v>0</v>
      </c>
      <c r="L605" t="n">
        <v>0</v>
      </c>
      <c r="M605" t="n">
        <v>0</v>
      </c>
      <c r="N605" t="n">
        <v>0</v>
      </c>
      <c r="O605" t="n">
        <v>0</v>
      </c>
      <c r="P605" t="n">
        <v>0</v>
      </c>
      <c r="Q605" t="n">
        <v>0</v>
      </c>
      <c r="R605" s="2" t="inlineStr"/>
    </row>
    <row r="606" ht="15" customHeight="1">
      <c r="A606" t="inlineStr">
        <is>
          <t>A 16666-2023</t>
        </is>
      </c>
      <c r="B606" s="1" t="n">
        <v>45028</v>
      </c>
      <c r="C606" s="1" t="n">
        <v>45807</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16682-2023</t>
        </is>
      </c>
      <c r="B607" s="1" t="n">
        <v>45028</v>
      </c>
      <c r="C607" s="1" t="n">
        <v>45807</v>
      </c>
      <c r="D607" t="inlineStr">
        <is>
          <t>JÄMTLANDS LÄN</t>
        </is>
      </c>
      <c r="E607" t="inlineStr">
        <is>
          <t>ÖSTERSUND</t>
        </is>
      </c>
      <c r="G607" t="n">
        <v>7.9</v>
      </c>
      <c r="H607" t="n">
        <v>0</v>
      </c>
      <c r="I607" t="n">
        <v>0</v>
      </c>
      <c r="J607" t="n">
        <v>0</v>
      </c>
      <c r="K607" t="n">
        <v>0</v>
      </c>
      <c r="L607" t="n">
        <v>0</v>
      </c>
      <c r="M607" t="n">
        <v>0</v>
      </c>
      <c r="N607" t="n">
        <v>0</v>
      </c>
      <c r="O607" t="n">
        <v>0</v>
      </c>
      <c r="P607" t="n">
        <v>0</v>
      </c>
      <c r="Q607" t="n">
        <v>0</v>
      </c>
      <c r="R607" s="2" t="inlineStr"/>
    </row>
    <row r="608" ht="15" customHeight="1">
      <c r="A608" t="inlineStr">
        <is>
          <t>A 17225-2023</t>
        </is>
      </c>
      <c r="B608" s="1" t="n">
        <v>45035</v>
      </c>
      <c r="C608" s="1" t="n">
        <v>45807</v>
      </c>
      <c r="D608" t="inlineStr">
        <is>
          <t>JÄMTLANDS LÄN</t>
        </is>
      </c>
      <c r="E608" t="inlineStr">
        <is>
          <t>ÖSTERSUND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19573-2023</t>
        </is>
      </c>
      <c r="B609" s="1" t="n">
        <v>45049</v>
      </c>
      <c r="C609" s="1" t="n">
        <v>45807</v>
      </c>
      <c r="D609" t="inlineStr">
        <is>
          <t>JÄMTLANDS LÄN</t>
        </is>
      </c>
      <c r="E609" t="inlineStr">
        <is>
          <t>ÖSTERSUND</t>
        </is>
      </c>
      <c r="G609" t="n">
        <v>4.6</v>
      </c>
      <c r="H609" t="n">
        <v>0</v>
      </c>
      <c r="I609" t="n">
        <v>0</v>
      </c>
      <c r="J609" t="n">
        <v>0</v>
      </c>
      <c r="K609" t="n">
        <v>0</v>
      </c>
      <c r="L609" t="n">
        <v>0</v>
      </c>
      <c r="M609" t="n">
        <v>0</v>
      </c>
      <c r="N609" t="n">
        <v>0</v>
      </c>
      <c r="O609" t="n">
        <v>0</v>
      </c>
      <c r="P609" t="n">
        <v>0</v>
      </c>
      <c r="Q609" t="n">
        <v>0</v>
      </c>
      <c r="R609" s="2" t="inlineStr"/>
    </row>
    <row r="610" ht="15" customHeight="1">
      <c r="A610" t="inlineStr">
        <is>
          <t>A 19750-2023</t>
        </is>
      </c>
      <c r="B610" s="1" t="n">
        <v>45050</v>
      </c>
      <c r="C610" s="1" t="n">
        <v>45807</v>
      </c>
      <c r="D610" t="inlineStr">
        <is>
          <t>JÄMTLANDS LÄN</t>
        </is>
      </c>
      <c r="E610" t="inlineStr">
        <is>
          <t>ÖSTERSUND</t>
        </is>
      </c>
      <c r="G610" t="n">
        <v>3.2</v>
      </c>
      <c r="H610" t="n">
        <v>0</v>
      </c>
      <c r="I610" t="n">
        <v>0</v>
      </c>
      <c r="J610" t="n">
        <v>0</v>
      </c>
      <c r="K610" t="n">
        <v>0</v>
      </c>
      <c r="L610" t="n">
        <v>0</v>
      </c>
      <c r="M610" t="n">
        <v>0</v>
      </c>
      <c r="N610" t="n">
        <v>0</v>
      </c>
      <c r="O610" t="n">
        <v>0</v>
      </c>
      <c r="P610" t="n">
        <v>0</v>
      </c>
      <c r="Q610" t="n">
        <v>0</v>
      </c>
      <c r="R610" s="2" t="inlineStr"/>
    </row>
    <row r="611" ht="15" customHeight="1">
      <c r="A611" t="inlineStr">
        <is>
          <t>A 20606-2023</t>
        </is>
      </c>
      <c r="B611" s="1" t="n">
        <v>45057</v>
      </c>
      <c r="C611" s="1" t="n">
        <v>45807</v>
      </c>
      <c r="D611" t="inlineStr">
        <is>
          <t>JÄMTLANDS LÄN</t>
        </is>
      </c>
      <c r="E611" t="inlineStr">
        <is>
          <t>ÖSTERSUND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20634-2023</t>
        </is>
      </c>
      <c r="B612" s="1" t="n">
        <v>45058</v>
      </c>
      <c r="C612" s="1" t="n">
        <v>45807</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20588-2023</t>
        </is>
      </c>
      <c r="B613" s="1" t="n">
        <v>45057</v>
      </c>
      <c r="C613" s="1" t="n">
        <v>45807</v>
      </c>
      <c r="D613" t="inlineStr">
        <is>
          <t>JÄMTLANDS LÄN</t>
        </is>
      </c>
      <c r="E613" t="inlineStr">
        <is>
          <t>ÖSTERSUND</t>
        </is>
      </c>
      <c r="G613" t="n">
        <v>0.9</v>
      </c>
      <c r="H613" t="n">
        <v>0</v>
      </c>
      <c r="I613" t="n">
        <v>0</v>
      </c>
      <c r="J613" t="n">
        <v>0</v>
      </c>
      <c r="K613" t="n">
        <v>0</v>
      </c>
      <c r="L613" t="n">
        <v>0</v>
      </c>
      <c r="M613" t="n">
        <v>0</v>
      </c>
      <c r="N613" t="n">
        <v>0</v>
      </c>
      <c r="O613" t="n">
        <v>0</v>
      </c>
      <c r="P613" t="n">
        <v>0</v>
      </c>
      <c r="Q613" t="n">
        <v>0</v>
      </c>
      <c r="R613" s="2" t="inlineStr"/>
    </row>
    <row r="614" ht="15" customHeight="1">
      <c r="A614" t="inlineStr">
        <is>
          <t>A 20635-2023</t>
        </is>
      </c>
      <c r="B614" s="1" t="n">
        <v>45058</v>
      </c>
      <c r="C614" s="1" t="n">
        <v>45807</v>
      </c>
      <c r="D614" t="inlineStr">
        <is>
          <t>JÄMTLANDS LÄN</t>
        </is>
      </c>
      <c r="E614" t="inlineStr">
        <is>
          <t>ÖSTERSUND</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20633-2023</t>
        </is>
      </c>
      <c r="B615" s="1" t="n">
        <v>45058</v>
      </c>
      <c r="C615" s="1" t="n">
        <v>45807</v>
      </c>
      <c r="D615" t="inlineStr">
        <is>
          <t>JÄMTLANDS LÄN</t>
        </is>
      </c>
      <c r="E615" t="inlineStr">
        <is>
          <t>ÖSTERSUND</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20636-2023</t>
        </is>
      </c>
      <c r="B616" s="1" t="n">
        <v>45058</v>
      </c>
      <c r="C616" s="1" t="n">
        <v>45807</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24515-2023</t>
        </is>
      </c>
      <c r="B617" s="1" t="n">
        <v>45077</v>
      </c>
      <c r="C617" s="1" t="n">
        <v>45807</v>
      </c>
      <c r="D617" t="inlineStr">
        <is>
          <t>JÄMTLANDS LÄN</t>
        </is>
      </c>
      <c r="E617" t="inlineStr">
        <is>
          <t>ÖSTERSUND</t>
        </is>
      </c>
      <c r="G617" t="n">
        <v>27.8</v>
      </c>
      <c r="H617" t="n">
        <v>0</v>
      </c>
      <c r="I617" t="n">
        <v>0</v>
      </c>
      <c r="J617" t="n">
        <v>0</v>
      </c>
      <c r="K617" t="n">
        <v>0</v>
      </c>
      <c r="L617" t="n">
        <v>0</v>
      </c>
      <c r="M617" t="n">
        <v>0</v>
      </c>
      <c r="N617" t="n">
        <v>0</v>
      </c>
      <c r="O617" t="n">
        <v>0</v>
      </c>
      <c r="P617" t="n">
        <v>0</v>
      </c>
      <c r="Q617" t="n">
        <v>0</v>
      </c>
      <c r="R617" s="2" t="inlineStr"/>
    </row>
    <row r="618" ht="15" customHeight="1">
      <c r="A618" t="inlineStr">
        <is>
          <t>A 24396-2023</t>
        </is>
      </c>
      <c r="B618" s="1" t="n">
        <v>45082</v>
      </c>
      <c r="C618" s="1" t="n">
        <v>45807</v>
      </c>
      <c r="D618" t="inlineStr">
        <is>
          <t>JÄMTLANDS LÄN</t>
        </is>
      </c>
      <c r="E618" t="inlineStr">
        <is>
          <t>ÖSTERSUND</t>
        </is>
      </c>
      <c r="F618" t="inlineStr">
        <is>
          <t>Kyrkan</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25727-2023</t>
        </is>
      </c>
      <c r="B619" s="1" t="n">
        <v>45084</v>
      </c>
      <c r="C619" s="1" t="n">
        <v>45807</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25866-2023</t>
        </is>
      </c>
      <c r="B620" s="1" t="n">
        <v>45084</v>
      </c>
      <c r="C620" s="1" t="n">
        <v>45807</v>
      </c>
      <c r="D620" t="inlineStr">
        <is>
          <t>JÄMTLANDS LÄN</t>
        </is>
      </c>
      <c r="E620" t="inlineStr">
        <is>
          <t>ÖSTERSUND</t>
        </is>
      </c>
      <c r="G620" t="n">
        <v>1.8</v>
      </c>
      <c r="H620" t="n">
        <v>0</v>
      </c>
      <c r="I620" t="n">
        <v>0</v>
      </c>
      <c r="J620" t="n">
        <v>0</v>
      </c>
      <c r="K620" t="n">
        <v>0</v>
      </c>
      <c r="L620" t="n">
        <v>0</v>
      </c>
      <c r="M620" t="n">
        <v>0</v>
      </c>
      <c r="N620" t="n">
        <v>0</v>
      </c>
      <c r="O620" t="n">
        <v>0</v>
      </c>
      <c r="P620" t="n">
        <v>0</v>
      </c>
      <c r="Q620" t="n">
        <v>0</v>
      </c>
      <c r="R620" s="2" t="inlineStr"/>
    </row>
    <row r="621" ht="15" customHeight="1">
      <c r="A621" t="inlineStr">
        <is>
          <t>A 25496-2023</t>
        </is>
      </c>
      <c r="B621" s="1" t="n">
        <v>45089</v>
      </c>
      <c r="C621" s="1" t="n">
        <v>45807</v>
      </c>
      <c r="D621" t="inlineStr">
        <is>
          <t>JÄMTLANDS LÄN</t>
        </is>
      </c>
      <c r="E621" t="inlineStr">
        <is>
          <t>ÖSTERSUND</t>
        </is>
      </c>
      <c r="F621" t="inlineStr">
        <is>
          <t>Kyrkan</t>
        </is>
      </c>
      <c r="G621" t="n">
        <v>5.7</v>
      </c>
      <c r="H621" t="n">
        <v>0</v>
      </c>
      <c r="I621" t="n">
        <v>0</v>
      </c>
      <c r="J621" t="n">
        <v>0</v>
      </c>
      <c r="K621" t="n">
        <v>0</v>
      </c>
      <c r="L621" t="n">
        <v>0</v>
      </c>
      <c r="M621" t="n">
        <v>0</v>
      </c>
      <c r="N621" t="n">
        <v>0</v>
      </c>
      <c r="O621" t="n">
        <v>0</v>
      </c>
      <c r="P621" t="n">
        <v>0</v>
      </c>
      <c r="Q621" t="n">
        <v>0</v>
      </c>
      <c r="R621" s="2" t="inlineStr"/>
    </row>
    <row r="622" ht="15" customHeight="1">
      <c r="A622" t="inlineStr">
        <is>
          <t>A 25535-2023</t>
        </is>
      </c>
      <c r="B622" s="1" t="n">
        <v>45089</v>
      </c>
      <c r="C622" s="1" t="n">
        <v>45807</v>
      </c>
      <c r="D622" t="inlineStr">
        <is>
          <t>JÄMTLANDS LÄN</t>
        </is>
      </c>
      <c r="E622" t="inlineStr">
        <is>
          <t>ÖSTERSUND</t>
        </is>
      </c>
      <c r="G622" t="n">
        <v>1</v>
      </c>
      <c r="H622" t="n">
        <v>0</v>
      </c>
      <c r="I622" t="n">
        <v>0</v>
      </c>
      <c r="J622" t="n">
        <v>0</v>
      </c>
      <c r="K622" t="n">
        <v>0</v>
      </c>
      <c r="L622" t="n">
        <v>0</v>
      </c>
      <c r="M622" t="n">
        <v>0</v>
      </c>
      <c r="N622" t="n">
        <v>0</v>
      </c>
      <c r="O622" t="n">
        <v>0</v>
      </c>
      <c r="P622" t="n">
        <v>0</v>
      </c>
      <c r="Q622" t="n">
        <v>0</v>
      </c>
      <c r="R622" s="2" t="inlineStr"/>
    </row>
    <row r="623" ht="15" customHeight="1">
      <c r="A623" t="inlineStr">
        <is>
          <t>A 25514-2023</t>
        </is>
      </c>
      <c r="B623" s="1" t="n">
        <v>45089</v>
      </c>
      <c r="C623" s="1" t="n">
        <v>45807</v>
      </c>
      <c r="D623" t="inlineStr">
        <is>
          <t>JÄMTLANDS LÄN</t>
        </is>
      </c>
      <c r="E623" t="inlineStr">
        <is>
          <t>ÖSTERSUND</t>
        </is>
      </c>
      <c r="F623" t="inlineStr">
        <is>
          <t>Kyrkan</t>
        </is>
      </c>
      <c r="G623" t="n">
        <v>6.7</v>
      </c>
      <c r="H623" t="n">
        <v>0</v>
      </c>
      <c r="I623" t="n">
        <v>0</v>
      </c>
      <c r="J623" t="n">
        <v>0</v>
      </c>
      <c r="K623" t="n">
        <v>0</v>
      </c>
      <c r="L623" t="n">
        <v>0</v>
      </c>
      <c r="M623" t="n">
        <v>0</v>
      </c>
      <c r="N623" t="n">
        <v>0</v>
      </c>
      <c r="O623" t="n">
        <v>0</v>
      </c>
      <c r="P623" t="n">
        <v>0</v>
      </c>
      <c r="Q623" t="n">
        <v>0</v>
      </c>
      <c r="R623" s="2" t="inlineStr"/>
    </row>
    <row r="624" ht="15" customHeight="1">
      <c r="A624" t="inlineStr">
        <is>
          <t>A 26565-2023</t>
        </is>
      </c>
      <c r="B624" s="1" t="n">
        <v>45089</v>
      </c>
      <c r="C624" s="1" t="n">
        <v>45807</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26521-2023</t>
        </is>
      </c>
      <c r="B625" s="1" t="n">
        <v>45089</v>
      </c>
      <c r="C625" s="1" t="n">
        <v>45807</v>
      </c>
      <c r="D625" t="inlineStr">
        <is>
          <t>JÄMTLANDS LÄN</t>
        </is>
      </c>
      <c r="E625" t="inlineStr">
        <is>
          <t>ÖSTERSUND</t>
        </is>
      </c>
      <c r="G625" t="n">
        <v>11.7</v>
      </c>
      <c r="H625" t="n">
        <v>0</v>
      </c>
      <c r="I625" t="n">
        <v>0</v>
      </c>
      <c r="J625" t="n">
        <v>0</v>
      </c>
      <c r="K625" t="n">
        <v>0</v>
      </c>
      <c r="L625" t="n">
        <v>0</v>
      </c>
      <c r="M625" t="n">
        <v>0</v>
      </c>
      <c r="N625" t="n">
        <v>0</v>
      </c>
      <c r="O625" t="n">
        <v>0</v>
      </c>
      <c r="P625" t="n">
        <v>0</v>
      </c>
      <c r="Q625" t="n">
        <v>0</v>
      </c>
      <c r="R625" s="2" t="inlineStr"/>
    </row>
    <row r="626" ht="15" customHeight="1">
      <c r="A626" t="inlineStr">
        <is>
          <t>A 25789-2023</t>
        </is>
      </c>
      <c r="B626" s="1" t="n">
        <v>45090</v>
      </c>
      <c r="C626" s="1" t="n">
        <v>45807</v>
      </c>
      <c r="D626" t="inlineStr">
        <is>
          <t>JÄMTLANDS LÄN</t>
        </is>
      </c>
      <c r="E626" t="inlineStr">
        <is>
          <t>ÖSTERSUND</t>
        </is>
      </c>
      <c r="G626" t="n">
        <v>3.1</v>
      </c>
      <c r="H626" t="n">
        <v>0</v>
      </c>
      <c r="I626" t="n">
        <v>0</v>
      </c>
      <c r="J626" t="n">
        <v>0</v>
      </c>
      <c r="K626" t="n">
        <v>0</v>
      </c>
      <c r="L626" t="n">
        <v>0</v>
      </c>
      <c r="M626" t="n">
        <v>0</v>
      </c>
      <c r="N626" t="n">
        <v>0</v>
      </c>
      <c r="O626" t="n">
        <v>0</v>
      </c>
      <c r="P626" t="n">
        <v>0</v>
      </c>
      <c r="Q626" t="n">
        <v>0</v>
      </c>
      <c r="R626" s="2" t="inlineStr"/>
    </row>
    <row r="627" ht="15" customHeight="1">
      <c r="A627" t="inlineStr">
        <is>
          <t>A 26012-2023</t>
        </is>
      </c>
      <c r="B627" s="1" t="n">
        <v>45091</v>
      </c>
      <c r="C627" s="1" t="n">
        <v>45807</v>
      </c>
      <c r="D627" t="inlineStr">
        <is>
          <t>JÄMTLANDS LÄN</t>
        </is>
      </c>
      <c r="E627" t="inlineStr">
        <is>
          <t>ÖSTERSUND</t>
        </is>
      </c>
      <c r="G627" t="n">
        <v>3.6</v>
      </c>
      <c r="H627" t="n">
        <v>0</v>
      </c>
      <c r="I627" t="n">
        <v>0</v>
      </c>
      <c r="J627" t="n">
        <v>0</v>
      </c>
      <c r="K627" t="n">
        <v>0</v>
      </c>
      <c r="L627" t="n">
        <v>0</v>
      </c>
      <c r="M627" t="n">
        <v>0</v>
      </c>
      <c r="N627" t="n">
        <v>0</v>
      </c>
      <c r="O627" t="n">
        <v>0</v>
      </c>
      <c r="P627" t="n">
        <v>0</v>
      </c>
      <c r="Q627" t="n">
        <v>0</v>
      </c>
      <c r="R627" s="2" t="inlineStr"/>
    </row>
    <row r="628" ht="15" customHeight="1">
      <c r="A628" t="inlineStr">
        <is>
          <t>A 27294-2023</t>
        </is>
      </c>
      <c r="B628" s="1" t="n">
        <v>45092</v>
      </c>
      <c r="C628" s="1" t="n">
        <v>45807</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27004-2023</t>
        </is>
      </c>
      <c r="B629" s="1" t="n">
        <v>45094</v>
      </c>
      <c r="C629" s="1" t="n">
        <v>45807</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27124-2023</t>
        </is>
      </c>
      <c r="B630" s="1" t="n">
        <v>45096</v>
      </c>
      <c r="C630" s="1" t="n">
        <v>45807</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45807</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27130-2023</t>
        </is>
      </c>
      <c r="B632" s="1" t="n">
        <v>45096</v>
      </c>
      <c r="C632" s="1" t="n">
        <v>45807</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29548-2023</t>
        </is>
      </c>
      <c r="B633" s="1" t="n">
        <v>45098</v>
      </c>
      <c r="C633" s="1" t="n">
        <v>45807</v>
      </c>
      <c r="D633" t="inlineStr">
        <is>
          <t>JÄMTLANDS LÄN</t>
        </is>
      </c>
      <c r="E633" t="inlineStr">
        <is>
          <t>ÖSTERSUND</t>
        </is>
      </c>
      <c r="G633" t="n">
        <v>3</v>
      </c>
      <c r="H633" t="n">
        <v>0</v>
      </c>
      <c r="I633" t="n">
        <v>0</v>
      </c>
      <c r="J633" t="n">
        <v>0</v>
      </c>
      <c r="K633" t="n">
        <v>0</v>
      </c>
      <c r="L633" t="n">
        <v>0</v>
      </c>
      <c r="M633" t="n">
        <v>0</v>
      </c>
      <c r="N633" t="n">
        <v>0</v>
      </c>
      <c r="O633" t="n">
        <v>0</v>
      </c>
      <c r="P633" t="n">
        <v>0</v>
      </c>
      <c r="Q633" t="n">
        <v>0</v>
      </c>
      <c r="R633" s="2" t="inlineStr"/>
    </row>
    <row r="634" ht="15" customHeight="1">
      <c r="A634" t="inlineStr">
        <is>
          <t>A 30244-2023</t>
        </is>
      </c>
      <c r="B634" s="1" t="n">
        <v>45099</v>
      </c>
      <c r="C634" s="1" t="n">
        <v>45807</v>
      </c>
      <c r="D634" t="inlineStr">
        <is>
          <t>JÄMTLANDS LÄN</t>
        </is>
      </c>
      <c r="E634" t="inlineStr">
        <is>
          <t>ÖSTERSUND</t>
        </is>
      </c>
      <c r="G634" t="n">
        <v>1.4</v>
      </c>
      <c r="H634" t="n">
        <v>0</v>
      </c>
      <c r="I634" t="n">
        <v>0</v>
      </c>
      <c r="J634" t="n">
        <v>0</v>
      </c>
      <c r="K634" t="n">
        <v>0</v>
      </c>
      <c r="L634" t="n">
        <v>0</v>
      </c>
      <c r="M634" t="n">
        <v>0</v>
      </c>
      <c r="N634" t="n">
        <v>0</v>
      </c>
      <c r="O634" t="n">
        <v>0</v>
      </c>
      <c r="P634" t="n">
        <v>0</v>
      </c>
      <c r="Q634" t="n">
        <v>0</v>
      </c>
      <c r="R634" s="2" t="inlineStr"/>
    </row>
    <row r="635" ht="15" customHeight="1">
      <c r="A635" t="inlineStr">
        <is>
          <t>A 30262-2023</t>
        </is>
      </c>
      <c r="B635" s="1" t="n">
        <v>45099</v>
      </c>
      <c r="C635" s="1" t="n">
        <v>45807</v>
      </c>
      <c r="D635" t="inlineStr">
        <is>
          <t>JÄMTLANDS LÄN</t>
        </is>
      </c>
      <c r="E635" t="inlineStr">
        <is>
          <t>ÖSTERSUND</t>
        </is>
      </c>
      <c r="G635" t="n">
        <v>5.2</v>
      </c>
      <c r="H635" t="n">
        <v>0</v>
      </c>
      <c r="I635" t="n">
        <v>0</v>
      </c>
      <c r="J635" t="n">
        <v>0</v>
      </c>
      <c r="K635" t="n">
        <v>0</v>
      </c>
      <c r="L635" t="n">
        <v>0</v>
      </c>
      <c r="M635" t="n">
        <v>0</v>
      </c>
      <c r="N635" t="n">
        <v>0</v>
      </c>
      <c r="O635" t="n">
        <v>0</v>
      </c>
      <c r="P635" t="n">
        <v>0</v>
      </c>
      <c r="Q635" t="n">
        <v>0</v>
      </c>
      <c r="R635" s="2" t="inlineStr"/>
    </row>
    <row r="636" ht="15" customHeight="1">
      <c r="A636" t="inlineStr">
        <is>
          <t>A 30255-2023</t>
        </is>
      </c>
      <c r="B636" s="1" t="n">
        <v>45099</v>
      </c>
      <c r="C636" s="1" t="n">
        <v>45807</v>
      </c>
      <c r="D636" t="inlineStr">
        <is>
          <t>JÄMTLANDS LÄN</t>
        </is>
      </c>
      <c r="E636" t="inlineStr">
        <is>
          <t>ÖSTERSUND</t>
        </is>
      </c>
      <c r="G636" t="n">
        <v>20.2</v>
      </c>
      <c r="H636" t="n">
        <v>0</v>
      </c>
      <c r="I636" t="n">
        <v>0</v>
      </c>
      <c r="J636" t="n">
        <v>0</v>
      </c>
      <c r="K636" t="n">
        <v>0</v>
      </c>
      <c r="L636" t="n">
        <v>0</v>
      </c>
      <c r="M636" t="n">
        <v>0</v>
      </c>
      <c r="N636" t="n">
        <v>0</v>
      </c>
      <c r="O636" t="n">
        <v>0</v>
      </c>
      <c r="P636" t="n">
        <v>0</v>
      </c>
      <c r="Q636" t="n">
        <v>0</v>
      </c>
      <c r="R636" s="2" t="inlineStr"/>
    </row>
    <row r="637" ht="15" customHeight="1">
      <c r="A637" t="inlineStr">
        <is>
          <t>A 30264-2023</t>
        </is>
      </c>
      <c r="B637" s="1" t="n">
        <v>45099</v>
      </c>
      <c r="C637" s="1" t="n">
        <v>45807</v>
      </c>
      <c r="D637" t="inlineStr">
        <is>
          <t>JÄMTLANDS LÄN</t>
        </is>
      </c>
      <c r="E637" t="inlineStr">
        <is>
          <t>ÖSTERSUND</t>
        </is>
      </c>
      <c r="G637" t="n">
        <v>10</v>
      </c>
      <c r="H637" t="n">
        <v>0</v>
      </c>
      <c r="I637" t="n">
        <v>0</v>
      </c>
      <c r="J637" t="n">
        <v>0</v>
      </c>
      <c r="K637" t="n">
        <v>0</v>
      </c>
      <c r="L637" t="n">
        <v>0</v>
      </c>
      <c r="M637" t="n">
        <v>0</v>
      </c>
      <c r="N637" t="n">
        <v>0</v>
      </c>
      <c r="O637" t="n">
        <v>0</v>
      </c>
      <c r="P637" t="n">
        <v>0</v>
      </c>
      <c r="Q637" t="n">
        <v>0</v>
      </c>
      <c r="R637" s="2" t="inlineStr"/>
    </row>
    <row r="638" ht="15" customHeight="1">
      <c r="A638" t="inlineStr">
        <is>
          <t>A 30206-2023</t>
        </is>
      </c>
      <c r="B638" s="1" t="n">
        <v>45099</v>
      </c>
      <c r="C638" s="1" t="n">
        <v>45807</v>
      </c>
      <c r="D638" t="inlineStr">
        <is>
          <t>JÄMTLANDS LÄN</t>
        </is>
      </c>
      <c r="E638" t="inlineStr">
        <is>
          <t>ÖSTERSUND</t>
        </is>
      </c>
      <c r="G638" t="n">
        <v>3.9</v>
      </c>
      <c r="H638" t="n">
        <v>0</v>
      </c>
      <c r="I638" t="n">
        <v>0</v>
      </c>
      <c r="J638" t="n">
        <v>0</v>
      </c>
      <c r="K638" t="n">
        <v>0</v>
      </c>
      <c r="L638" t="n">
        <v>0</v>
      </c>
      <c r="M638" t="n">
        <v>0</v>
      </c>
      <c r="N638" t="n">
        <v>0</v>
      </c>
      <c r="O638" t="n">
        <v>0</v>
      </c>
      <c r="P638" t="n">
        <v>0</v>
      </c>
      <c r="Q638" t="n">
        <v>0</v>
      </c>
      <c r="R638" s="2" t="inlineStr"/>
    </row>
    <row r="639" ht="15" customHeight="1">
      <c r="A639" t="inlineStr">
        <is>
          <t>A 30236-2023</t>
        </is>
      </c>
      <c r="B639" s="1" t="n">
        <v>45099</v>
      </c>
      <c r="C639" s="1" t="n">
        <v>45807</v>
      </c>
      <c r="D639" t="inlineStr">
        <is>
          <t>JÄMTLANDS LÄN</t>
        </is>
      </c>
      <c r="E639" t="inlineStr">
        <is>
          <t>ÖSTERSUND</t>
        </is>
      </c>
      <c r="G639" t="n">
        <v>3.5</v>
      </c>
      <c r="H639" t="n">
        <v>0</v>
      </c>
      <c r="I639" t="n">
        <v>0</v>
      </c>
      <c r="J639" t="n">
        <v>0</v>
      </c>
      <c r="K639" t="n">
        <v>0</v>
      </c>
      <c r="L639" t="n">
        <v>0</v>
      </c>
      <c r="M639" t="n">
        <v>0</v>
      </c>
      <c r="N639" t="n">
        <v>0</v>
      </c>
      <c r="O639" t="n">
        <v>0</v>
      </c>
      <c r="P639" t="n">
        <v>0</v>
      </c>
      <c r="Q639" t="n">
        <v>0</v>
      </c>
      <c r="R639" s="2" t="inlineStr"/>
    </row>
    <row r="640" ht="15" customHeight="1">
      <c r="A640" t="inlineStr">
        <is>
          <t>A 28747-2023</t>
        </is>
      </c>
      <c r="B640" s="1" t="n">
        <v>45103</v>
      </c>
      <c r="C640" s="1" t="n">
        <v>45807</v>
      </c>
      <c r="D640" t="inlineStr">
        <is>
          <t>JÄMTLANDS LÄN</t>
        </is>
      </c>
      <c r="E640" t="inlineStr">
        <is>
          <t>ÖSTERSUND</t>
        </is>
      </c>
      <c r="F640" t="inlineStr">
        <is>
          <t>SCA</t>
        </is>
      </c>
      <c r="G640" t="n">
        <v>8</v>
      </c>
      <c r="H640" t="n">
        <v>0</v>
      </c>
      <c r="I640" t="n">
        <v>0</v>
      </c>
      <c r="J640" t="n">
        <v>0</v>
      </c>
      <c r="K640" t="n">
        <v>0</v>
      </c>
      <c r="L640" t="n">
        <v>0</v>
      </c>
      <c r="M640" t="n">
        <v>0</v>
      </c>
      <c r="N640" t="n">
        <v>0</v>
      </c>
      <c r="O640" t="n">
        <v>0</v>
      </c>
      <c r="P640" t="n">
        <v>0</v>
      </c>
      <c r="Q640" t="n">
        <v>0</v>
      </c>
      <c r="R640" s="2" t="inlineStr"/>
    </row>
    <row r="641" ht="15" customHeight="1">
      <c r="A641" t="inlineStr">
        <is>
          <t>A 31870-2023</t>
        </is>
      </c>
      <c r="B641" s="1" t="n">
        <v>45106</v>
      </c>
      <c r="C641" s="1" t="n">
        <v>45807</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29703-2023</t>
        </is>
      </c>
      <c r="B642" s="1" t="n">
        <v>45107</v>
      </c>
      <c r="C642" s="1" t="n">
        <v>45807</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29682-2023</t>
        </is>
      </c>
      <c r="B643" s="1" t="n">
        <v>45107</v>
      </c>
      <c r="C643" s="1" t="n">
        <v>45807</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30602-2023</t>
        </is>
      </c>
      <c r="B644" s="1" t="n">
        <v>45112</v>
      </c>
      <c r="C644" s="1" t="n">
        <v>45807</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31551-2023</t>
        </is>
      </c>
      <c r="B645" s="1" t="n">
        <v>45117</v>
      </c>
      <c r="C645" s="1" t="n">
        <v>45807</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31600-2023</t>
        </is>
      </c>
      <c r="B646" s="1" t="n">
        <v>45117</v>
      </c>
      <c r="C646" s="1" t="n">
        <v>45807</v>
      </c>
      <c r="D646" t="inlineStr">
        <is>
          <t>JÄMTLANDS LÄN</t>
        </is>
      </c>
      <c r="E646" t="inlineStr">
        <is>
          <t>ÖSTERSUND</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31549-2023</t>
        </is>
      </c>
      <c r="B647" s="1" t="n">
        <v>45117</v>
      </c>
      <c r="C647" s="1" t="n">
        <v>45807</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33501-2023</t>
        </is>
      </c>
      <c r="B648" s="1" t="n">
        <v>45118</v>
      </c>
      <c r="C648" s="1" t="n">
        <v>45807</v>
      </c>
      <c r="D648" t="inlineStr">
        <is>
          <t>JÄMTLANDS LÄN</t>
        </is>
      </c>
      <c r="E648" t="inlineStr">
        <is>
          <t>ÖSTERSUND</t>
        </is>
      </c>
      <c r="G648" t="n">
        <v>5.8</v>
      </c>
      <c r="H648" t="n">
        <v>0</v>
      </c>
      <c r="I648" t="n">
        <v>0</v>
      </c>
      <c r="J648" t="n">
        <v>0</v>
      </c>
      <c r="K648" t="n">
        <v>0</v>
      </c>
      <c r="L648" t="n">
        <v>0</v>
      </c>
      <c r="M648" t="n">
        <v>0</v>
      </c>
      <c r="N648" t="n">
        <v>0</v>
      </c>
      <c r="O648" t="n">
        <v>0</v>
      </c>
      <c r="P648" t="n">
        <v>0</v>
      </c>
      <c r="Q648" t="n">
        <v>0</v>
      </c>
      <c r="R648" s="2" t="inlineStr"/>
    </row>
    <row r="649" ht="15" customHeight="1">
      <c r="A649" t="inlineStr">
        <is>
          <t>A 33502-2023</t>
        </is>
      </c>
      <c r="B649" s="1" t="n">
        <v>45118</v>
      </c>
      <c r="C649" s="1" t="n">
        <v>45807</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32568-2023</t>
        </is>
      </c>
      <c r="B650" s="1" t="n">
        <v>45121</v>
      </c>
      <c r="C650" s="1" t="n">
        <v>45807</v>
      </c>
      <c r="D650" t="inlineStr">
        <is>
          <t>JÄMTLANDS LÄN</t>
        </is>
      </c>
      <c r="E650" t="inlineStr">
        <is>
          <t>ÖSTERSUND</t>
        </is>
      </c>
      <c r="G650" t="n">
        <v>14.9</v>
      </c>
      <c r="H650" t="n">
        <v>0</v>
      </c>
      <c r="I650" t="n">
        <v>0</v>
      </c>
      <c r="J650" t="n">
        <v>0</v>
      </c>
      <c r="K650" t="n">
        <v>0</v>
      </c>
      <c r="L650" t="n">
        <v>0</v>
      </c>
      <c r="M650" t="n">
        <v>0</v>
      </c>
      <c r="N650" t="n">
        <v>0</v>
      </c>
      <c r="O650" t="n">
        <v>0</v>
      </c>
      <c r="P650" t="n">
        <v>0</v>
      </c>
      <c r="Q650" t="n">
        <v>0</v>
      </c>
      <c r="R650" s="2" t="inlineStr"/>
    </row>
    <row r="651" ht="15" customHeight="1">
      <c r="A651" t="inlineStr">
        <is>
          <t>A 34052-2023</t>
        </is>
      </c>
      <c r="B651" s="1" t="n">
        <v>45125</v>
      </c>
      <c r="C651" s="1" t="n">
        <v>45807</v>
      </c>
      <c r="D651" t="inlineStr">
        <is>
          <t>JÄMTLANDS LÄN</t>
        </is>
      </c>
      <c r="E651" t="inlineStr">
        <is>
          <t>ÖSTERSUND</t>
        </is>
      </c>
      <c r="G651" t="n">
        <v>4</v>
      </c>
      <c r="H651" t="n">
        <v>0</v>
      </c>
      <c r="I651" t="n">
        <v>0</v>
      </c>
      <c r="J651" t="n">
        <v>0</v>
      </c>
      <c r="K651" t="n">
        <v>0</v>
      </c>
      <c r="L651" t="n">
        <v>0</v>
      </c>
      <c r="M651" t="n">
        <v>0</v>
      </c>
      <c r="N651" t="n">
        <v>0</v>
      </c>
      <c r="O651" t="n">
        <v>0</v>
      </c>
      <c r="P651" t="n">
        <v>0</v>
      </c>
      <c r="Q651" t="n">
        <v>0</v>
      </c>
      <c r="R651" s="2" t="inlineStr"/>
    </row>
    <row r="652" ht="15" customHeight="1">
      <c r="A652" t="inlineStr">
        <is>
          <t>A 33875-2023</t>
        </is>
      </c>
      <c r="B652" s="1" t="n">
        <v>45134</v>
      </c>
      <c r="C652" s="1" t="n">
        <v>45807</v>
      </c>
      <c r="D652" t="inlineStr">
        <is>
          <t>JÄMTLANDS LÄN</t>
        </is>
      </c>
      <c r="E652" t="inlineStr">
        <is>
          <t>ÖSTERSUND</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34482-2023</t>
        </is>
      </c>
      <c r="B653" s="1" t="n">
        <v>45140</v>
      </c>
      <c r="C653" s="1" t="n">
        <v>45807</v>
      </c>
      <c r="D653" t="inlineStr">
        <is>
          <t>JÄMTLANDS LÄN</t>
        </is>
      </c>
      <c r="E653" t="inlineStr">
        <is>
          <t>ÖSTERSUND</t>
        </is>
      </c>
      <c r="F653" t="inlineStr">
        <is>
          <t>SCA</t>
        </is>
      </c>
      <c r="G653" t="n">
        <v>50</v>
      </c>
      <c r="H653" t="n">
        <v>0</v>
      </c>
      <c r="I653" t="n">
        <v>0</v>
      </c>
      <c r="J653" t="n">
        <v>0</v>
      </c>
      <c r="K653" t="n">
        <v>0</v>
      </c>
      <c r="L653" t="n">
        <v>0</v>
      </c>
      <c r="M653" t="n">
        <v>0</v>
      </c>
      <c r="N653" t="n">
        <v>0</v>
      </c>
      <c r="O653" t="n">
        <v>0</v>
      </c>
      <c r="P653" t="n">
        <v>0</v>
      </c>
      <c r="Q653" t="n">
        <v>0</v>
      </c>
      <c r="R653" s="2" t="inlineStr"/>
    </row>
    <row r="654" ht="15" customHeight="1">
      <c r="A654" t="inlineStr">
        <is>
          <t>A 34688-2023</t>
        </is>
      </c>
      <c r="B654" s="1" t="n">
        <v>45141</v>
      </c>
      <c r="C654" s="1" t="n">
        <v>45807</v>
      </c>
      <c r="D654" t="inlineStr">
        <is>
          <t>JÄMTLANDS LÄN</t>
        </is>
      </c>
      <c r="E654" t="inlineStr">
        <is>
          <t>ÖSTERSUND</t>
        </is>
      </c>
      <c r="G654" t="n">
        <v>7.4</v>
      </c>
      <c r="H654" t="n">
        <v>0</v>
      </c>
      <c r="I654" t="n">
        <v>0</v>
      </c>
      <c r="J654" t="n">
        <v>0</v>
      </c>
      <c r="K654" t="n">
        <v>0</v>
      </c>
      <c r="L654" t="n">
        <v>0</v>
      </c>
      <c r="M654" t="n">
        <v>0</v>
      </c>
      <c r="N654" t="n">
        <v>0</v>
      </c>
      <c r="O654" t="n">
        <v>0</v>
      </c>
      <c r="P654" t="n">
        <v>0</v>
      </c>
      <c r="Q654" t="n">
        <v>0</v>
      </c>
      <c r="R654" s="2" t="inlineStr"/>
    </row>
    <row r="655" ht="15" customHeight="1">
      <c r="A655" t="inlineStr">
        <is>
          <t>A 36406-2023</t>
        </is>
      </c>
      <c r="B655" s="1" t="n">
        <v>45149</v>
      </c>
      <c r="C655" s="1" t="n">
        <v>45807</v>
      </c>
      <c r="D655" t="inlineStr">
        <is>
          <t>JÄMTLANDS LÄN</t>
        </is>
      </c>
      <c r="E655" t="inlineStr">
        <is>
          <t>ÖSTERSUND</t>
        </is>
      </c>
      <c r="G655" t="n">
        <v>2.4</v>
      </c>
      <c r="H655" t="n">
        <v>0</v>
      </c>
      <c r="I655" t="n">
        <v>0</v>
      </c>
      <c r="J655" t="n">
        <v>0</v>
      </c>
      <c r="K655" t="n">
        <v>0</v>
      </c>
      <c r="L655" t="n">
        <v>0</v>
      </c>
      <c r="M655" t="n">
        <v>0</v>
      </c>
      <c r="N655" t="n">
        <v>0</v>
      </c>
      <c r="O655" t="n">
        <v>0</v>
      </c>
      <c r="P655" t="n">
        <v>0</v>
      </c>
      <c r="Q655" t="n">
        <v>0</v>
      </c>
      <c r="R655" s="2" t="inlineStr"/>
    </row>
    <row r="656" ht="15" customHeight="1">
      <c r="A656" t="inlineStr">
        <is>
          <t>A 37140-2023</t>
        </is>
      </c>
      <c r="B656" s="1" t="n">
        <v>45154</v>
      </c>
      <c r="C656" s="1" t="n">
        <v>45807</v>
      </c>
      <c r="D656" t="inlineStr">
        <is>
          <t>JÄMTLANDS LÄN</t>
        </is>
      </c>
      <c r="E656" t="inlineStr">
        <is>
          <t>ÖSTERSUND</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37597-2023</t>
        </is>
      </c>
      <c r="B657" s="1" t="n">
        <v>45159</v>
      </c>
      <c r="C657" s="1" t="n">
        <v>45807</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37645-2023</t>
        </is>
      </c>
      <c r="B658" s="1" t="n">
        <v>45159</v>
      </c>
      <c r="C658" s="1" t="n">
        <v>45807</v>
      </c>
      <c r="D658" t="inlineStr">
        <is>
          <t>JÄMTLANDS LÄN</t>
        </is>
      </c>
      <c r="E658" t="inlineStr">
        <is>
          <t>ÖSTERSUND</t>
        </is>
      </c>
      <c r="F658" t="inlineStr">
        <is>
          <t>Övriga Aktiebolag</t>
        </is>
      </c>
      <c r="G658" t="n">
        <v>3.5</v>
      </c>
      <c r="H658" t="n">
        <v>0</v>
      </c>
      <c r="I658" t="n">
        <v>0</v>
      </c>
      <c r="J658" t="n">
        <v>0</v>
      </c>
      <c r="K658" t="n">
        <v>0</v>
      </c>
      <c r="L658" t="n">
        <v>0</v>
      </c>
      <c r="M658" t="n">
        <v>0</v>
      </c>
      <c r="N658" t="n">
        <v>0</v>
      </c>
      <c r="O658" t="n">
        <v>0</v>
      </c>
      <c r="P658" t="n">
        <v>0</v>
      </c>
      <c r="Q658" t="n">
        <v>0</v>
      </c>
      <c r="R658" s="2" t="inlineStr"/>
    </row>
    <row r="659" ht="15" customHeight="1">
      <c r="A659" t="inlineStr">
        <is>
          <t>A 38335-2023</t>
        </is>
      </c>
      <c r="B659" s="1" t="n">
        <v>45161</v>
      </c>
      <c r="C659" s="1" t="n">
        <v>45807</v>
      </c>
      <c r="D659" t="inlineStr">
        <is>
          <t>JÄMTLANDS LÄN</t>
        </is>
      </c>
      <c r="E659" t="inlineStr">
        <is>
          <t>ÖSTERSUND</t>
        </is>
      </c>
      <c r="G659" t="n">
        <v>15.1</v>
      </c>
      <c r="H659" t="n">
        <v>0</v>
      </c>
      <c r="I659" t="n">
        <v>0</v>
      </c>
      <c r="J659" t="n">
        <v>0</v>
      </c>
      <c r="K659" t="n">
        <v>0</v>
      </c>
      <c r="L659" t="n">
        <v>0</v>
      </c>
      <c r="M659" t="n">
        <v>0</v>
      </c>
      <c r="N659" t="n">
        <v>0</v>
      </c>
      <c r="O659" t="n">
        <v>0</v>
      </c>
      <c r="P659" t="n">
        <v>0</v>
      </c>
      <c r="Q659" t="n">
        <v>0</v>
      </c>
      <c r="R659" s="2" t="inlineStr"/>
    </row>
    <row r="660" ht="15" customHeight="1">
      <c r="A660" t="inlineStr">
        <is>
          <t>A 38713-2023</t>
        </is>
      </c>
      <c r="B660" s="1" t="n">
        <v>45163</v>
      </c>
      <c r="C660" s="1" t="n">
        <v>45807</v>
      </c>
      <c r="D660" t="inlineStr">
        <is>
          <t>JÄMTLANDS LÄN</t>
        </is>
      </c>
      <c r="E660" t="inlineStr">
        <is>
          <t>ÖSTERSUND</t>
        </is>
      </c>
      <c r="G660" t="n">
        <v>6</v>
      </c>
      <c r="H660" t="n">
        <v>0</v>
      </c>
      <c r="I660" t="n">
        <v>0</v>
      </c>
      <c r="J660" t="n">
        <v>0</v>
      </c>
      <c r="K660" t="n">
        <v>0</v>
      </c>
      <c r="L660" t="n">
        <v>0</v>
      </c>
      <c r="M660" t="n">
        <v>0</v>
      </c>
      <c r="N660" t="n">
        <v>0</v>
      </c>
      <c r="O660" t="n">
        <v>0</v>
      </c>
      <c r="P660" t="n">
        <v>0</v>
      </c>
      <c r="Q660" t="n">
        <v>0</v>
      </c>
      <c r="R660" s="2" t="inlineStr"/>
    </row>
    <row r="661" ht="15" customHeight="1">
      <c r="A661" t="inlineStr">
        <is>
          <t>A 39494-2023</t>
        </is>
      </c>
      <c r="B661" s="1" t="n">
        <v>45166</v>
      </c>
      <c r="C661" s="1" t="n">
        <v>45807</v>
      </c>
      <c r="D661" t="inlineStr">
        <is>
          <t>JÄMTLANDS LÄN</t>
        </is>
      </c>
      <c r="E661" t="inlineStr">
        <is>
          <t>ÖSTERSUND</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39493-2023</t>
        </is>
      </c>
      <c r="B662" s="1" t="n">
        <v>45167</v>
      </c>
      <c r="C662" s="1" t="n">
        <v>45807</v>
      </c>
      <c r="D662" t="inlineStr">
        <is>
          <t>JÄMTLANDS LÄN</t>
        </is>
      </c>
      <c r="E662" t="inlineStr">
        <is>
          <t>ÖSTERSUND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39647-2023</t>
        </is>
      </c>
      <c r="B663" s="1" t="n">
        <v>45167</v>
      </c>
      <c r="C663" s="1" t="n">
        <v>45807</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39652-2023</t>
        </is>
      </c>
      <c r="B664" s="1" t="n">
        <v>45167</v>
      </c>
      <c r="C664" s="1" t="n">
        <v>45807</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39805-2023</t>
        </is>
      </c>
      <c r="B665" s="1" t="n">
        <v>45168</v>
      </c>
      <c r="C665" s="1" t="n">
        <v>45807</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40423-2023</t>
        </is>
      </c>
      <c r="B666" s="1" t="n">
        <v>45169</v>
      </c>
      <c r="C666" s="1" t="n">
        <v>45807</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40422-2023</t>
        </is>
      </c>
      <c r="B667" s="1" t="n">
        <v>45170</v>
      </c>
      <c r="C667" s="1" t="n">
        <v>45807</v>
      </c>
      <c r="D667" t="inlineStr">
        <is>
          <t>JÄMTLANDS LÄN</t>
        </is>
      </c>
      <c r="E667" t="inlineStr">
        <is>
          <t>ÖSTERSUND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40792-2023</t>
        </is>
      </c>
      <c r="B668" s="1" t="n">
        <v>45170</v>
      </c>
      <c r="C668" s="1" t="n">
        <v>45807</v>
      </c>
      <c r="D668" t="inlineStr">
        <is>
          <t>JÄMTLANDS LÄN</t>
        </is>
      </c>
      <c r="E668" t="inlineStr">
        <is>
          <t>ÖSTERSUND</t>
        </is>
      </c>
      <c r="G668" t="n">
        <v>22.4</v>
      </c>
      <c r="H668" t="n">
        <v>0</v>
      </c>
      <c r="I668" t="n">
        <v>0</v>
      </c>
      <c r="J668" t="n">
        <v>0</v>
      </c>
      <c r="K668" t="n">
        <v>0</v>
      </c>
      <c r="L668" t="n">
        <v>0</v>
      </c>
      <c r="M668" t="n">
        <v>0</v>
      </c>
      <c r="N668" t="n">
        <v>0</v>
      </c>
      <c r="O668" t="n">
        <v>0</v>
      </c>
      <c r="P668" t="n">
        <v>0</v>
      </c>
      <c r="Q668" t="n">
        <v>0</v>
      </c>
      <c r="R668" s="2" t="inlineStr"/>
    </row>
    <row r="669" ht="15" customHeight="1">
      <c r="A669" t="inlineStr">
        <is>
          <t>A 40772-2023</t>
        </is>
      </c>
      <c r="B669" s="1" t="n">
        <v>45171</v>
      </c>
      <c r="C669" s="1" t="n">
        <v>45807</v>
      </c>
      <c r="D669" t="inlineStr">
        <is>
          <t>JÄMTLANDS LÄN</t>
        </is>
      </c>
      <c r="E669" t="inlineStr">
        <is>
          <t>ÖSTERSUND</t>
        </is>
      </c>
      <c r="F669" t="inlineStr">
        <is>
          <t>SCA</t>
        </is>
      </c>
      <c r="G669" t="n">
        <v>17.6</v>
      </c>
      <c r="H669" t="n">
        <v>0</v>
      </c>
      <c r="I669" t="n">
        <v>0</v>
      </c>
      <c r="J669" t="n">
        <v>0</v>
      </c>
      <c r="K669" t="n">
        <v>0</v>
      </c>
      <c r="L669" t="n">
        <v>0</v>
      </c>
      <c r="M669" t="n">
        <v>0</v>
      </c>
      <c r="N669" t="n">
        <v>0</v>
      </c>
      <c r="O669" t="n">
        <v>0</v>
      </c>
      <c r="P669" t="n">
        <v>0</v>
      </c>
      <c r="Q669" t="n">
        <v>0</v>
      </c>
      <c r="R669" s="2" t="inlineStr"/>
    </row>
    <row r="670" ht="15" customHeight="1">
      <c r="A670" t="inlineStr">
        <is>
          <t>A 41224-2023</t>
        </is>
      </c>
      <c r="B670" s="1" t="n">
        <v>45174</v>
      </c>
      <c r="C670" s="1" t="n">
        <v>45807</v>
      </c>
      <c r="D670" t="inlineStr">
        <is>
          <t>JÄMTLANDS LÄN</t>
        </is>
      </c>
      <c r="E670" t="inlineStr">
        <is>
          <t>ÖSTERSUND</t>
        </is>
      </c>
      <c r="G670" t="n">
        <v>13.3</v>
      </c>
      <c r="H670" t="n">
        <v>0</v>
      </c>
      <c r="I670" t="n">
        <v>0</v>
      </c>
      <c r="J670" t="n">
        <v>0</v>
      </c>
      <c r="K670" t="n">
        <v>0</v>
      </c>
      <c r="L670" t="n">
        <v>0</v>
      </c>
      <c r="M670" t="n">
        <v>0</v>
      </c>
      <c r="N670" t="n">
        <v>0</v>
      </c>
      <c r="O670" t="n">
        <v>0</v>
      </c>
      <c r="P670" t="n">
        <v>0</v>
      </c>
      <c r="Q670" t="n">
        <v>0</v>
      </c>
      <c r="R670" s="2" t="inlineStr"/>
    </row>
    <row r="671" ht="15" customHeight="1">
      <c r="A671" t="inlineStr">
        <is>
          <t>A 41649-2023</t>
        </is>
      </c>
      <c r="B671" s="1" t="n">
        <v>45176</v>
      </c>
      <c r="C671" s="1" t="n">
        <v>45807</v>
      </c>
      <c r="D671" t="inlineStr">
        <is>
          <t>JÄMTLANDS LÄN</t>
        </is>
      </c>
      <c r="E671" t="inlineStr">
        <is>
          <t>ÖSTERSUND</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41919-2023</t>
        </is>
      </c>
      <c r="B672" s="1" t="n">
        <v>45177</v>
      </c>
      <c r="C672" s="1" t="n">
        <v>45807</v>
      </c>
      <c r="D672" t="inlineStr">
        <is>
          <t>JÄMTLANDS LÄN</t>
        </is>
      </c>
      <c r="E672" t="inlineStr">
        <is>
          <t>ÖSTERSUND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41918-2023</t>
        </is>
      </c>
      <c r="B673" s="1" t="n">
        <v>45177</v>
      </c>
      <c r="C673" s="1" t="n">
        <v>45807</v>
      </c>
      <c r="D673" t="inlineStr">
        <is>
          <t>JÄMTLANDS LÄN</t>
        </is>
      </c>
      <c r="E673" t="inlineStr">
        <is>
          <t>ÖSTERSUND</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41900-2023</t>
        </is>
      </c>
      <c r="B674" s="1" t="n">
        <v>45176</v>
      </c>
      <c r="C674" s="1" t="n">
        <v>45807</v>
      </c>
      <c r="D674" t="inlineStr">
        <is>
          <t>JÄMTLANDS LÄN</t>
        </is>
      </c>
      <c r="E674" t="inlineStr">
        <is>
          <t>ÖSTERSUND</t>
        </is>
      </c>
      <c r="G674" t="n">
        <v>24.4</v>
      </c>
      <c r="H674" t="n">
        <v>0</v>
      </c>
      <c r="I674" t="n">
        <v>0</v>
      </c>
      <c r="J674" t="n">
        <v>0</v>
      </c>
      <c r="K674" t="n">
        <v>0</v>
      </c>
      <c r="L674" t="n">
        <v>0</v>
      </c>
      <c r="M674" t="n">
        <v>0</v>
      </c>
      <c r="N674" t="n">
        <v>0</v>
      </c>
      <c r="O674" t="n">
        <v>0</v>
      </c>
      <c r="P674" t="n">
        <v>0</v>
      </c>
      <c r="Q674" t="n">
        <v>0</v>
      </c>
      <c r="R674" s="2" t="inlineStr"/>
    </row>
    <row r="675" ht="15" customHeight="1">
      <c r="A675" t="inlineStr">
        <is>
          <t>A 42151-2023</t>
        </is>
      </c>
      <c r="B675" s="1" t="n">
        <v>45178</v>
      </c>
      <c r="C675" s="1" t="n">
        <v>45807</v>
      </c>
      <c r="D675" t="inlineStr">
        <is>
          <t>JÄMTLANDS LÄN</t>
        </is>
      </c>
      <c r="E675" t="inlineStr">
        <is>
          <t>ÖSTERSUND</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43557-2023</t>
        </is>
      </c>
      <c r="B676" s="1" t="n">
        <v>45181</v>
      </c>
      <c r="C676" s="1" t="n">
        <v>45807</v>
      </c>
      <c r="D676" t="inlineStr">
        <is>
          <t>JÄMTLANDS LÄN</t>
        </is>
      </c>
      <c r="E676" t="inlineStr">
        <is>
          <t>ÖSTERSUND</t>
        </is>
      </c>
      <c r="G676" t="n">
        <v>0.9</v>
      </c>
      <c r="H676" t="n">
        <v>0</v>
      </c>
      <c r="I676" t="n">
        <v>0</v>
      </c>
      <c r="J676" t="n">
        <v>0</v>
      </c>
      <c r="K676" t="n">
        <v>0</v>
      </c>
      <c r="L676" t="n">
        <v>0</v>
      </c>
      <c r="M676" t="n">
        <v>0</v>
      </c>
      <c r="N676" t="n">
        <v>0</v>
      </c>
      <c r="O676" t="n">
        <v>0</v>
      </c>
      <c r="P676" t="n">
        <v>0</v>
      </c>
      <c r="Q676" t="n">
        <v>0</v>
      </c>
      <c r="R676" s="2" t="inlineStr"/>
    </row>
    <row r="677" ht="15" customHeight="1">
      <c r="A677" t="inlineStr">
        <is>
          <t>A 42664-2023</t>
        </is>
      </c>
      <c r="B677" s="1" t="n">
        <v>45181</v>
      </c>
      <c r="C677" s="1" t="n">
        <v>45807</v>
      </c>
      <c r="D677" t="inlineStr">
        <is>
          <t>JÄMTLANDS LÄN</t>
        </is>
      </c>
      <c r="E677" t="inlineStr">
        <is>
          <t>ÖSTERSUND</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42679-2023</t>
        </is>
      </c>
      <c r="B678" s="1" t="n">
        <v>45181</v>
      </c>
      <c r="C678" s="1" t="n">
        <v>45807</v>
      </c>
      <c r="D678" t="inlineStr">
        <is>
          <t>JÄMTLANDS LÄN</t>
        </is>
      </c>
      <c r="E678" t="inlineStr">
        <is>
          <t>ÖSTERSUND</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43740-2023</t>
        </is>
      </c>
      <c r="B679" s="1" t="n">
        <v>45182</v>
      </c>
      <c r="C679" s="1" t="n">
        <v>45807</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43135-2023</t>
        </is>
      </c>
      <c r="B680" s="1" t="n">
        <v>45183</v>
      </c>
      <c r="C680" s="1" t="n">
        <v>45807</v>
      </c>
      <c r="D680" t="inlineStr">
        <is>
          <t>JÄMTLANDS LÄN</t>
        </is>
      </c>
      <c r="E680" t="inlineStr">
        <is>
          <t>ÖSTERSUND</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43252-2023</t>
        </is>
      </c>
      <c r="B681" s="1" t="n">
        <v>45183</v>
      </c>
      <c r="C681" s="1" t="n">
        <v>45807</v>
      </c>
      <c r="D681" t="inlineStr">
        <is>
          <t>JÄMTLANDS LÄN</t>
        </is>
      </c>
      <c r="E681" t="inlineStr">
        <is>
          <t>ÖSTERSUND</t>
        </is>
      </c>
      <c r="G681" t="n">
        <v>2.9</v>
      </c>
      <c r="H681" t="n">
        <v>0</v>
      </c>
      <c r="I681" t="n">
        <v>0</v>
      </c>
      <c r="J681" t="n">
        <v>0</v>
      </c>
      <c r="K681" t="n">
        <v>0</v>
      </c>
      <c r="L681" t="n">
        <v>0</v>
      </c>
      <c r="M681" t="n">
        <v>0</v>
      </c>
      <c r="N681" t="n">
        <v>0</v>
      </c>
      <c r="O681" t="n">
        <v>0</v>
      </c>
      <c r="P681" t="n">
        <v>0</v>
      </c>
      <c r="Q681" t="n">
        <v>0</v>
      </c>
      <c r="R681" s="2" t="inlineStr"/>
    </row>
    <row r="682" ht="15" customHeight="1">
      <c r="A682" t="inlineStr">
        <is>
          <t>A 44327-2023</t>
        </is>
      </c>
      <c r="B682" s="1" t="n">
        <v>45188</v>
      </c>
      <c r="C682" s="1" t="n">
        <v>45807</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44359-2023</t>
        </is>
      </c>
      <c r="B683" s="1" t="n">
        <v>45188</v>
      </c>
      <c r="C683" s="1" t="n">
        <v>45807</v>
      </c>
      <c r="D683" t="inlineStr">
        <is>
          <t>JÄMTLANDS LÄN</t>
        </is>
      </c>
      <c r="E683" t="inlineStr">
        <is>
          <t>ÖSTERSUND</t>
        </is>
      </c>
      <c r="G683" t="n">
        <v>8.1</v>
      </c>
      <c r="H683" t="n">
        <v>0</v>
      </c>
      <c r="I683" t="n">
        <v>0</v>
      </c>
      <c r="J683" t="n">
        <v>0</v>
      </c>
      <c r="K683" t="n">
        <v>0</v>
      </c>
      <c r="L683" t="n">
        <v>0</v>
      </c>
      <c r="M683" t="n">
        <v>0</v>
      </c>
      <c r="N683" t="n">
        <v>0</v>
      </c>
      <c r="O683" t="n">
        <v>0</v>
      </c>
      <c r="P683" t="n">
        <v>0</v>
      </c>
      <c r="Q683" t="n">
        <v>0</v>
      </c>
      <c r="R683" s="2" t="inlineStr"/>
    </row>
    <row r="684" ht="15" customHeight="1">
      <c r="A684" t="inlineStr">
        <is>
          <t>A 45980-2023</t>
        </is>
      </c>
      <c r="B684" s="1" t="n">
        <v>45189</v>
      </c>
      <c r="C684" s="1" t="n">
        <v>45807</v>
      </c>
      <c r="D684" t="inlineStr">
        <is>
          <t>JÄMTLANDS LÄN</t>
        </is>
      </c>
      <c r="E684" t="inlineStr">
        <is>
          <t>ÖSTERSUND</t>
        </is>
      </c>
      <c r="G684" t="n">
        <v>0.5</v>
      </c>
      <c r="H684" t="n">
        <v>0</v>
      </c>
      <c r="I684" t="n">
        <v>0</v>
      </c>
      <c r="J684" t="n">
        <v>0</v>
      </c>
      <c r="K684" t="n">
        <v>0</v>
      </c>
      <c r="L684" t="n">
        <v>0</v>
      </c>
      <c r="M684" t="n">
        <v>0</v>
      </c>
      <c r="N684" t="n">
        <v>0</v>
      </c>
      <c r="O684" t="n">
        <v>0</v>
      </c>
      <c r="P684" t="n">
        <v>0</v>
      </c>
      <c r="Q684" t="n">
        <v>0</v>
      </c>
      <c r="R684" s="2" t="inlineStr"/>
    </row>
    <row r="685" ht="15" customHeight="1">
      <c r="A685" t="inlineStr">
        <is>
          <t>A 44719-2023</t>
        </is>
      </c>
      <c r="B685" s="1" t="n">
        <v>45190</v>
      </c>
      <c r="C685" s="1" t="n">
        <v>45807</v>
      </c>
      <c r="D685" t="inlineStr">
        <is>
          <t>JÄMTLANDS LÄN</t>
        </is>
      </c>
      <c r="E685" t="inlineStr">
        <is>
          <t>ÖSTERSUND</t>
        </is>
      </c>
      <c r="G685" t="n">
        <v>17.5</v>
      </c>
      <c r="H685" t="n">
        <v>0</v>
      </c>
      <c r="I685" t="n">
        <v>0</v>
      </c>
      <c r="J685" t="n">
        <v>0</v>
      </c>
      <c r="K685" t="n">
        <v>0</v>
      </c>
      <c r="L685" t="n">
        <v>0</v>
      </c>
      <c r="M685" t="n">
        <v>0</v>
      </c>
      <c r="N685" t="n">
        <v>0</v>
      </c>
      <c r="O685" t="n">
        <v>0</v>
      </c>
      <c r="P685" t="n">
        <v>0</v>
      </c>
      <c r="Q685" t="n">
        <v>0</v>
      </c>
      <c r="R685" s="2" t="inlineStr"/>
    </row>
    <row r="686" ht="15" customHeight="1">
      <c r="A686" t="inlineStr">
        <is>
          <t>A 44798-2023</t>
        </is>
      </c>
      <c r="B686" s="1" t="n">
        <v>45190</v>
      </c>
      <c r="C686" s="1" t="n">
        <v>45807</v>
      </c>
      <c r="D686" t="inlineStr">
        <is>
          <t>JÄMTLANDS LÄN</t>
        </is>
      </c>
      <c r="E686" t="inlineStr">
        <is>
          <t>ÖSTERSUND</t>
        </is>
      </c>
      <c r="G686" t="n">
        <v>1.1</v>
      </c>
      <c r="H686" t="n">
        <v>0</v>
      </c>
      <c r="I686" t="n">
        <v>0</v>
      </c>
      <c r="J686" t="n">
        <v>0</v>
      </c>
      <c r="K686" t="n">
        <v>0</v>
      </c>
      <c r="L686" t="n">
        <v>0</v>
      </c>
      <c r="M686" t="n">
        <v>0</v>
      </c>
      <c r="N686" t="n">
        <v>0</v>
      </c>
      <c r="O686" t="n">
        <v>0</v>
      </c>
      <c r="P686" t="n">
        <v>0</v>
      </c>
      <c r="Q686" t="n">
        <v>0</v>
      </c>
      <c r="R686" s="2" t="inlineStr"/>
    </row>
    <row r="687" ht="15" customHeight="1">
      <c r="A687" t="inlineStr">
        <is>
          <t>A 46375-2023</t>
        </is>
      </c>
      <c r="B687" s="1" t="n">
        <v>45197</v>
      </c>
      <c r="C687" s="1" t="n">
        <v>45807</v>
      </c>
      <c r="D687" t="inlineStr">
        <is>
          <t>JÄMTLANDS LÄN</t>
        </is>
      </c>
      <c r="E687" t="inlineStr">
        <is>
          <t>ÖSTERSUND</t>
        </is>
      </c>
      <c r="G687" t="n">
        <v>2.5</v>
      </c>
      <c r="H687" t="n">
        <v>0</v>
      </c>
      <c r="I687" t="n">
        <v>0</v>
      </c>
      <c r="J687" t="n">
        <v>0</v>
      </c>
      <c r="K687" t="n">
        <v>0</v>
      </c>
      <c r="L687" t="n">
        <v>0</v>
      </c>
      <c r="M687" t="n">
        <v>0</v>
      </c>
      <c r="N687" t="n">
        <v>0</v>
      </c>
      <c r="O687" t="n">
        <v>0</v>
      </c>
      <c r="P687" t="n">
        <v>0</v>
      </c>
      <c r="Q687" t="n">
        <v>0</v>
      </c>
      <c r="R687" s="2" t="inlineStr"/>
    </row>
    <row r="688" ht="15" customHeight="1">
      <c r="A688" t="inlineStr">
        <is>
          <t>A 46763-2023</t>
        </is>
      </c>
      <c r="B688" s="1" t="n">
        <v>45198</v>
      </c>
      <c r="C688" s="1" t="n">
        <v>45807</v>
      </c>
      <c r="D688" t="inlineStr">
        <is>
          <t>JÄMTLANDS LÄN</t>
        </is>
      </c>
      <c r="E688" t="inlineStr">
        <is>
          <t>ÖSTERSUND</t>
        </is>
      </c>
      <c r="F688" t="inlineStr">
        <is>
          <t>Sveaskog</t>
        </is>
      </c>
      <c r="G688" t="n">
        <v>13.3</v>
      </c>
      <c r="H688" t="n">
        <v>0</v>
      </c>
      <c r="I688" t="n">
        <v>0</v>
      </c>
      <c r="J688" t="n">
        <v>0</v>
      </c>
      <c r="K688" t="n">
        <v>0</v>
      </c>
      <c r="L688" t="n">
        <v>0</v>
      </c>
      <c r="M688" t="n">
        <v>0</v>
      </c>
      <c r="N688" t="n">
        <v>0</v>
      </c>
      <c r="O688" t="n">
        <v>0</v>
      </c>
      <c r="P688" t="n">
        <v>0</v>
      </c>
      <c r="Q688" t="n">
        <v>0</v>
      </c>
      <c r="R688" s="2" t="inlineStr"/>
    </row>
    <row r="689" ht="15" customHeight="1">
      <c r="A689" t="inlineStr">
        <is>
          <t>A 46748-2023</t>
        </is>
      </c>
      <c r="B689" s="1" t="n">
        <v>45198</v>
      </c>
      <c r="C689" s="1" t="n">
        <v>45807</v>
      </c>
      <c r="D689" t="inlineStr">
        <is>
          <t>JÄMTLANDS LÄN</t>
        </is>
      </c>
      <c r="E689" t="inlineStr">
        <is>
          <t>ÖSTERSUND</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47086-2023</t>
        </is>
      </c>
      <c r="B690" s="1" t="n">
        <v>45201</v>
      </c>
      <c r="C690" s="1" t="n">
        <v>45807</v>
      </c>
      <c r="D690" t="inlineStr">
        <is>
          <t>JÄMTLANDS LÄN</t>
        </is>
      </c>
      <c r="E690" t="inlineStr">
        <is>
          <t>ÖSTERSUND</t>
        </is>
      </c>
      <c r="G690" t="n">
        <v>12</v>
      </c>
      <c r="H690" t="n">
        <v>0</v>
      </c>
      <c r="I690" t="n">
        <v>0</v>
      </c>
      <c r="J690" t="n">
        <v>0</v>
      </c>
      <c r="K690" t="n">
        <v>0</v>
      </c>
      <c r="L690" t="n">
        <v>0</v>
      </c>
      <c r="M690" t="n">
        <v>0</v>
      </c>
      <c r="N690" t="n">
        <v>0</v>
      </c>
      <c r="O690" t="n">
        <v>0</v>
      </c>
      <c r="P690" t="n">
        <v>0</v>
      </c>
      <c r="Q690" t="n">
        <v>0</v>
      </c>
      <c r="R690" s="2" t="inlineStr"/>
    </row>
    <row r="691" ht="15" customHeight="1">
      <c r="A691" t="inlineStr">
        <is>
          <t>A 47252-2023</t>
        </is>
      </c>
      <c r="B691" s="1" t="n">
        <v>45202</v>
      </c>
      <c r="C691" s="1" t="n">
        <v>45807</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47727-2023</t>
        </is>
      </c>
      <c r="B692" s="1" t="n">
        <v>45203</v>
      </c>
      <c r="C692" s="1" t="n">
        <v>45807</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48374-2023</t>
        </is>
      </c>
      <c r="B693" s="1" t="n">
        <v>45205</v>
      </c>
      <c r="C693" s="1" t="n">
        <v>45807</v>
      </c>
      <c r="D693" t="inlineStr">
        <is>
          <t>JÄMTLANDS LÄN</t>
        </is>
      </c>
      <c r="E693" t="inlineStr">
        <is>
          <t>ÖSTERSUND</t>
        </is>
      </c>
      <c r="G693" t="n">
        <v>5.6</v>
      </c>
      <c r="H693" t="n">
        <v>0</v>
      </c>
      <c r="I693" t="n">
        <v>0</v>
      </c>
      <c r="J693" t="n">
        <v>0</v>
      </c>
      <c r="K693" t="n">
        <v>0</v>
      </c>
      <c r="L693" t="n">
        <v>0</v>
      </c>
      <c r="M693" t="n">
        <v>0</v>
      </c>
      <c r="N693" t="n">
        <v>0</v>
      </c>
      <c r="O693" t="n">
        <v>0</v>
      </c>
      <c r="P693" t="n">
        <v>0</v>
      </c>
      <c r="Q693" t="n">
        <v>0</v>
      </c>
      <c r="R693" s="2" t="inlineStr"/>
    </row>
    <row r="694" ht="15" customHeight="1">
      <c r="A694" t="inlineStr">
        <is>
          <t>A 50753-2023</t>
        </is>
      </c>
      <c r="B694" s="1" t="n">
        <v>45210</v>
      </c>
      <c r="C694" s="1" t="n">
        <v>45807</v>
      </c>
      <c r="D694" t="inlineStr">
        <is>
          <t>JÄMTLANDS LÄN</t>
        </is>
      </c>
      <c r="E694" t="inlineStr">
        <is>
          <t>ÖSTERSUND</t>
        </is>
      </c>
      <c r="G694" t="n">
        <v>29.3</v>
      </c>
      <c r="H694" t="n">
        <v>0</v>
      </c>
      <c r="I694" t="n">
        <v>0</v>
      </c>
      <c r="J694" t="n">
        <v>0</v>
      </c>
      <c r="K694" t="n">
        <v>0</v>
      </c>
      <c r="L694" t="n">
        <v>0</v>
      </c>
      <c r="M694" t="n">
        <v>0</v>
      </c>
      <c r="N694" t="n">
        <v>0</v>
      </c>
      <c r="O694" t="n">
        <v>0</v>
      </c>
      <c r="P694" t="n">
        <v>0</v>
      </c>
      <c r="Q694" t="n">
        <v>0</v>
      </c>
      <c r="R694" s="2" t="inlineStr"/>
    </row>
    <row r="695" ht="15" customHeight="1">
      <c r="A695" t="inlineStr">
        <is>
          <t>A 50953-2023</t>
        </is>
      </c>
      <c r="B695" s="1" t="n">
        <v>45211</v>
      </c>
      <c r="C695" s="1" t="n">
        <v>45807</v>
      </c>
      <c r="D695" t="inlineStr">
        <is>
          <t>JÄMTLANDS LÄN</t>
        </is>
      </c>
      <c r="E695" t="inlineStr">
        <is>
          <t>ÖSTERSUND</t>
        </is>
      </c>
      <c r="G695" t="n">
        <v>2.2</v>
      </c>
      <c r="H695" t="n">
        <v>0</v>
      </c>
      <c r="I695" t="n">
        <v>0</v>
      </c>
      <c r="J695" t="n">
        <v>0</v>
      </c>
      <c r="K695" t="n">
        <v>0</v>
      </c>
      <c r="L695" t="n">
        <v>0</v>
      </c>
      <c r="M695" t="n">
        <v>0</v>
      </c>
      <c r="N695" t="n">
        <v>0</v>
      </c>
      <c r="O695" t="n">
        <v>0</v>
      </c>
      <c r="P695" t="n">
        <v>0</v>
      </c>
      <c r="Q695" t="n">
        <v>0</v>
      </c>
      <c r="R695" s="2" t="inlineStr"/>
    </row>
    <row r="696" ht="15" customHeight="1">
      <c r="A696" t="inlineStr">
        <is>
          <t>A 51701-2023</t>
        </is>
      </c>
      <c r="B696" s="1" t="n">
        <v>45215</v>
      </c>
      <c r="C696" s="1" t="n">
        <v>45807</v>
      </c>
      <c r="D696" t="inlineStr">
        <is>
          <t>JÄMTLANDS LÄN</t>
        </is>
      </c>
      <c r="E696" t="inlineStr">
        <is>
          <t>ÖSTERSUND</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52209-2023</t>
        </is>
      </c>
      <c r="B697" s="1" t="n">
        <v>45217</v>
      </c>
      <c r="C697" s="1" t="n">
        <v>45807</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50965-2023</t>
        </is>
      </c>
      <c r="B698" s="1" t="n">
        <v>45218</v>
      </c>
      <c r="C698" s="1" t="n">
        <v>45807</v>
      </c>
      <c r="D698" t="inlineStr">
        <is>
          <t>JÄMTLANDS LÄN</t>
        </is>
      </c>
      <c r="E698" t="inlineStr">
        <is>
          <t>ÖSTERSUND</t>
        </is>
      </c>
      <c r="G698" t="n">
        <v>3.5</v>
      </c>
      <c r="H698" t="n">
        <v>0</v>
      </c>
      <c r="I698" t="n">
        <v>0</v>
      </c>
      <c r="J698" t="n">
        <v>0</v>
      </c>
      <c r="K698" t="n">
        <v>0</v>
      </c>
      <c r="L698" t="n">
        <v>0</v>
      </c>
      <c r="M698" t="n">
        <v>0</v>
      </c>
      <c r="N698" t="n">
        <v>0</v>
      </c>
      <c r="O698" t="n">
        <v>0</v>
      </c>
      <c r="P698" t="n">
        <v>0</v>
      </c>
      <c r="Q698" t="n">
        <v>0</v>
      </c>
      <c r="R698" s="2" t="inlineStr"/>
    </row>
    <row r="699" ht="15" customHeight="1">
      <c r="A699" t="inlineStr">
        <is>
          <t>A 51480-2023</t>
        </is>
      </c>
      <c r="B699" s="1" t="n">
        <v>45222</v>
      </c>
      <c r="C699" s="1" t="n">
        <v>45807</v>
      </c>
      <c r="D699" t="inlineStr">
        <is>
          <t>JÄMTLANDS LÄN</t>
        </is>
      </c>
      <c r="E699" t="inlineStr">
        <is>
          <t>ÖSTERSUND</t>
        </is>
      </c>
      <c r="G699" t="n">
        <v>1.3</v>
      </c>
      <c r="H699" t="n">
        <v>0</v>
      </c>
      <c r="I699" t="n">
        <v>0</v>
      </c>
      <c r="J699" t="n">
        <v>0</v>
      </c>
      <c r="K699" t="n">
        <v>0</v>
      </c>
      <c r="L699" t="n">
        <v>0</v>
      </c>
      <c r="M699" t="n">
        <v>0</v>
      </c>
      <c r="N699" t="n">
        <v>0</v>
      </c>
      <c r="O699" t="n">
        <v>0</v>
      </c>
      <c r="P699" t="n">
        <v>0</v>
      </c>
      <c r="Q699" t="n">
        <v>0</v>
      </c>
      <c r="R699" s="2" t="inlineStr"/>
    </row>
    <row r="700" ht="15" customHeight="1">
      <c r="A700" t="inlineStr">
        <is>
          <t>A 51482-2023</t>
        </is>
      </c>
      <c r="B700" s="1" t="n">
        <v>45222</v>
      </c>
      <c r="C700" s="1" t="n">
        <v>45807</v>
      </c>
      <c r="D700" t="inlineStr">
        <is>
          <t>JÄMTLANDS LÄN</t>
        </is>
      </c>
      <c r="E700" t="inlineStr">
        <is>
          <t>ÖSTERSUND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51481-2023</t>
        </is>
      </c>
      <c r="B701" s="1" t="n">
        <v>45222</v>
      </c>
      <c r="C701" s="1" t="n">
        <v>45807</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51479-2023</t>
        </is>
      </c>
      <c r="B702" s="1" t="n">
        <v>45222</v>
      </c>
      <c r="C702" s="1" t="n">
        <v>45807</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53152-2023</t>
        </is>
      </c>
      <c r="B703" s="1" t="n">
        <v>45222</v>
      </c>
      <c r="C703" s="1" t="n">
        <v>45807</v>
      </c>
      <c r="D703" t="inlineStr">
        <is>
          <t>JÄMTLANDS LÄN</t>
        </is>
      </c>
      <c r="E703" t="inlineStr">
        <is>
          <t>ÖSTERSUND</t>
        </is>
      </c>
      <c r="G703" t="n">
        <v>1</v>
      </c>
      <c r="H703" t="n">
        <v>0</v>
      </c>
      <c r="I703" t="n">
        <v>0</v>
      </c>
      <c r="J703" t="n">
        <v>0</v>
      </c>
      <c r="K703" t="n">
        <v>0</v>
      </c>
      <c r="L703" t="n">
        <v>0</v>
      </c>
      <c r="M703" t="n">
        <v>0</v>
      </c>
      <c r="N703" t="n">
        <v>0</v>
      </c>
      <c r="O703" t="n">
        <v>0</v>
      </c>
      <c r="P703" t="n">
        <v>0</v>
      </c>
      <c r="Q703" t="n">
        <v>0</v>
      </c>
      <c r="R703" s="2" t="inlineStr"/>
    </row>
    <row r="704" ht="15" customHeight="1">
      <c r="A704" t="inlineStr">
        <is>
          <t>A 51818-2023</t>
        </is>
      </c>
      <c r="B704" s="1" t="n">
        <v>45223</v>
      </c>
      <c r="C704" s="1" t="n">
        <v>45807</v>
      </c>
      <c r="D704" t="inlineStr">
        <is>
          <t>JÄMTLANDS LÄN</t>
        </is>
      </c>
      <c r="E704" t="inlineStr">
        <is>
          <t>ÖSTERSUND</t>
        </is>
      </c>
      <c r="G704" t="n">
        <v>4.7</v>
      </c>
      <c r="H704" t="n">
        <v>0</v>
      </c>
      <c r="I704" t="n">
        <v>0</v>
      </c>
      <c r="J704" t="n">
        <v>0</v>
      </c>
      <c r="K704" t="n">
        <v>0</v>
      </c>
      <c r="L704" t="n">
        <v>0</v>
      </c>
      <c r="M704" t="n">
        <v>0</v>
      </c>
      <c r="N704" t="n">
        <v>0</v>
      </c>
      <c r="O704" t="n">
        <v>0</v>
      </c>
      <c r="P704" t="n">
        <v>0</v>
      </c>
      <c r="Q704" t="n">
        <v>0</v>
      </c>
      <c r="R704" s="2" t="inlineStr"/>
    </row>
    <row r="705" ht="15" customHeight="1">
      <c r="A705" t="inlineStr">
        <is>
          <t>A 51913-2023</t>
        </is>
      </c>
      <c r="B705" s="1" t="n">
        <v>45223</v>
      </c>
      <c r="C705" s="1" t="n">
        <v>45807</v>
      </c>
      <c r="D705" t="inlineStr">
        <is>
          <t>JÄMTLANDS LÄN</t>
        </is>
      </c>
      <c r="E705" t="inlineStr">
        <is>
          <t>ÖSTERSUND</t>
        </is>
      </c>
      <c r="F705" t="inlineStr">
        <is>
          <t>Övriga Aktiebolag</t>
        </is>
      </c>
      <c r="G705" t="n">
        <v>3.4</v>
      </c>
      <c r="H705" t="n">
        <v>0</v>
      </c>
      <c r="I705" t="n">
        <v>0</v>
      </c>
      <c r="J705" t="n">
        <v>0</v>
      </c>
      <c r="K705" t="n">
        <v>0</v>
      </c>
      <c r="L705" t="n">
        <v>0</v>
      </c>
      <c r="M705" t="n">
        <v>0</v>
      </c>
      <c r="N705" t="n">
        <v>0</v>
      </c>
      <c r="O705" t="n">
        <v>0</v>
      </c>
      <c r="P705" t="n">
        <v>0</v>
      </c>
      <c r="Q705" t="n">
        <v>0</v>
      </c>
      <c r="R705" s="2" t="inlineStr"/>
    </row>
    <row r="706" ht="15" customHeight="1">
      <c r="A706" t="inlineStr">
        <is>
          <t>A 51942-2023</t>
        </is>
      </c>
      <c r="B706" s="1" t="n">
        <v>45223</v>
      </c>
      <c r="C706" s="1" t="n">
        <v>45807</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52128-2023</t>
        </is>
      </c>
      <c r="B707" s="1" t="n">
        <v>45223</v>
      </c>
      <c r="C707" s="1" t="n">
        <v>45807</v>
      </c>
      <c r="D707" t="inlineStr">
        <is>
          <t>JÄMTLANDS LÄN</t>
        </is>
      </c>
      <c r="E707" t="inlineStr">
        <is>
          <t>ÖSTERSUND</t>
        </is>
      </c>
      <c r="F707" t="inlineStr">
        <is>
          <t>SCA</t>
        </is>
      </c>
      <c r="G707" t="n">
        <v>11.9</v>
      </c>
      <c r="H707" t="n">
        <v>0</v>
      </c>
      <c r="I707" t="n">
        <v>0</v>
      </c>
      <c r="J707" t="n">
        <v>0</v>
      </c>
      <c r="K707" t="n">
        <v>0</v>
      </c>
      <c r="L707" t="n">
        <v>0</v>
      </c>
      <c r="M707" t="n">
        <v>0</v>
      </c>
      <c r="N707" t="n">
        <v>0</v>
      </c>
      <c r="O707" t="n">
        <v>0</v>
      </c>
      <c r="P707" t="n">
        <v>0</v>
      </c>
      <c r="Q707" t="n">
        <v>0</v>
      </c>
      <c r="R707" s="2" t="inlineStr"/>
    </row>
    <row r="708" ht="15" customHeight="1">
      <c r="A708" t="inlineStr">
        <is>
          <t>A 51936-2023</t>
        </is>
      </c>
      <c r="B708" s="1" t="n">
        <v>45223</v>
      </c>
      <c r="C708" s="1" t="n">
        <v>45807</v>
      </c>
      <c r="D708" t="inlineStr">
        <is>
          <t>JÄMTLANDS LÄN</t>
        </is>
      </c>
      <c r="E708" t="inlineStr">
        <is>
          <t>ÖSTERSUND</t>
        </is>
      </c>
      <c r="G708" t="n">
        <v>8.4</v>
      </c>
      <c r="H708" t="n">
        <v>0</v>
      </c>
      <c r="I708" t="n">
        <v>0</v>
      </c>
      <c r="J708" t="n">
        <v>0</v>
      </c>
      <c r="K708" t="n">
        <v>0</v>
      </c>
      <c r="L708" t="n">
        <v>0</v>
      </c>
      <c r="M708" t="n">
        <v>0</v>
      </c>
      <c r="N708" t="n">
        <v>0</v>
      </c>
      <c r="O708" t="n">
        <v>0</v>
      </c>
      <c r="P708" t="n">
        <v>0</v>
      </c>
      <c r="Q708" t="n">
        <v>0</v>
      </c>
      <c r="R708" s="2" t="inlineStr"/>
    </row>
    <row r="709" ht="15" customHeight="1">
      <c r="A709" t="inlineStr">
        <is>
          <t>A 51941-2023</t>
        </is>
      </c>
      <c r="B709" s="1" t="n">
        <v>45223</v>
      </c>
      <c r="C709" s="1" t="n">
        <v>45807</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53378-2023</t>
        </is>
      </c>
      <c r="B710" s="1" t="n">
        <v>45223</v>
      </c>
      <c r="C710" s="1" t="n">
        <v>45807</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53380-2023</t>
        </is>
      </c>
      <c r="B711" s="1" t="n">
        <v>45223</v>
      </c>
      <c r="C711" s="1" t="n">
        <v>45807</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52553-2023</t>
        </is>
      </c>
      <c r="B712" s="1" t="n">
        <v>45225</v>
      </c>
      <c r="C712" s="1" t="n">
        <v>45807</v>
      </c>
      <c r="D712" t="inlineStr">
        <is>
          <t>JÄMTLANDS LÄN</t>
        </is>
      </c>
      <c r="E712" t="inlineStr">
        <is>
          <t>ÖSTERSUND</t>
        </is>
      </c>
      <c r="G712" t="n">
        <v>19.9</v>
      </c>
      <c r="H712" t="n">
        <v>0</v>
      </c>
      <c r="I712" t="n">
        <v>0</v>
      </c>
      <c r="J712" t="n">
        <v>0</v>
      </c>
      <c r="K712" t="n">
        <v>0</v>
      </c>
      <c r="L712" t="n">
        <v>0</v>
      </c>
      <c r="M712" t="n">
        <v>0</v>
      </c>
      <c r="N712" t="n">
        <v>0</v>
      </c>
      <c r="O712" t="n">
        <v>0</v>
      </c>
      <c r="P712" t="n">
        <v>0</v>
      </c>
      <c r="Q712" t="n">
        <v>0</v>
      </c>
      <c r="R712" s="2" t="inlineStr"/>
    </row>
    <row r="713" ht="15" customHeight="1">
      <c r="A713" t="inlineStr">
        <is>
          <t>A 55235-2023</t>
        </is>
      </c>
      <c r="B713" s="1" t="n">
        <v>45231</v>
      </c>
      <c r="C713" s="1" t="n">
        <v>45807</v>
      </c>
      <c r="D713" t="inlineStr">
        <is>
          <t>JÄMTLANDS LÄN</t>
        </is>
      </c>
      <c r="E713" t="inlineStr">
        <is>
          <t>ÖSTERSUND</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55251-2023</t>
        </is>
      </c>
      <c r="B714" s="1" t="n">
        <v>45231</v>
      </c>
      <c r="C714" s="1" t="n">
        <v>45807</v>
      </c>
      <c r="D714" t="inlineStr">
        <is>
          <t>JÄMTLANDS LÄN</t>
        </is>
      </c>
      <c r="E714" t="inlineStr">
        <is>
          <t>ÖSTERSUND</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55400-2023</t>
        </is>
      </c>
      <c r="B715" s="1" t="n">
        <v>45231</v>
      </c>
      <c r="C715" s="1" t="n">
        <v>45807</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54131-2023</t>
        </is>
      </c>
      <c r="B716" s="1" t="n">
        <v>45232</v>
      </c>
      <c r="C716" s="1" t="n">
        <v>45807</v>
      </c>
      <c r="D716" t="inlineStr">
        <is>
          <t>JÄMTLANDS LÄN</t>
        </is>
      </c>
      <c r="E716" t="inlineStr">
        <is>
          <t>ÖSTERSUND</t>
        </is>
      </c>
      <c r="G716" t="n">
        <v>5.5</v>
      </c>
      <c r="H716" t="n">
        <v>0</v>
      </c>
      <c r="I716" t="n">
        <v>0</v>
      </c>
      <c r="J716" t="n">
        <v>0</v>
      </c>
      <c r="K716" t="n">
        <v>0</v>
      </c>
      <c r="L716" t="n">
        <v>0</v>
      </c>
      <c r="M716" t="n">
        <v>0</v>
      </c>
      <c r="N716" t="n">
        <v>0</v>
      </c>
      <c r="O716" t="n">
        <v>0</v>
      </c>
      <c r="P716" t="n">
        <v>0</v>
      </c>
      <c r="Q716" t="n">
        <v>0</v>
      </c>
      <c r="R716" s="2" t="inlineStr"/>
    </row>
    <row r="717" ht="15" customHeight="1">
      <c r="A717" t="inlineStr">
        <is>
          <t>A 54608-2023</t>
        </is>
      </c>
      <c r="B717" s="1" t="n">
        <v>45233</v>
      </c>
      <c r="C717" s="1" t="n">
        <v>45807</v>
      </c>
      <c r="D717" t="inlineStr">
        <is>
          <t>JÄMTLANDS LÄN</t>
        </is>
      </c>
      <c r="E717" t="inlineStr">
        <is>
          <t>ÖSTERSUND</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55996-2023</t>
        </is>
      </c>
      <c r="B718" s="1" t="n">
        <v>45233</v>
      </c>
      <c r="C718" s="1" t="n">
        <v>45807</v>
      </c>
      <c r="D718" t="inlineStr">
        <is>
          <t>JÄMTLANDS LÄN</t>
        </is>
      </c>
      <c r="E718" t="inlineStr">
        <is>
          <t>ÖSTERSUND</t>
        </is>
      </c>
      <c r="G718" t="n">
        <v>2.4</v>
      </c>
      <c r="H718" t="n">
        <v>0</v>
      </c>
      <c r="I718" t="n">
        <v>0</v>
      </c>
      <c r="J718" t="n">
        <v>0</v>
      </c>
      <c r="K718" t="n">
        <v>0</v>
      </c>
      <c r="L718" t="n">
        <v>0</v>
      </c>
      <c r="M718" t="n">
        <v>0</v>
      </c>
      <c r="N718" t="n">
        <v>0</v>
      </c>
      <c r="O718" t="n">
        <v>0</v>
      </c>
      <c r="P718" t="n">
        <v>0</v>
      </c>
      <c r="Q718" t="n">
        <v>0</v>
      </c>
      <c r="R718" s="2" t="inlineStr"/>
    </row>
    <row r="719" ht="15" customHeight="1">
      <c r="A719" t="inlineStr">
        <is>
          <t>A 56043-2023</t>
        </is>
      </c>
      <c r="B719" s="1" t="n">
        <v>45233</v>
      </c>
      <c r="C719" s="1" t="n">
        <v>45807</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54576-2023</t>
        </is>
      </c>
      <c r="B720" s="1" t="n">
        <v>45233</v>
      </c>
      <c r="C720" s="1" t="n">
        <v>45807</v>
      </c>
      <c r="D720" t="inlineStr">
        <is>
          <t>JÄMTLANDS LÄN</t>
        </is>
      </c>
      <c r="E720" t="inlineStr">
        <is>
          <t>ÖSTERSUND</t>
        </is>
      </c>
      <c r="F720" t="inlineStr">
        <is>
          <t>Övriga Aktiebolag</t>
        </is>
      </c>
      <c r="G720" t="n">
        <v>7.3</v>
      </c>
      <c r="H720" t="n">
        <v>0</v>
      </c>
      <c r="I720" t="n">
        <v>0</v>
      </c>
      <c r="J720" t="n">
        <v>0</v>
      </c>
      <c r="K720" t="n">
        <v>0</v>
      </c>
      <c r="L720" t="n">
        <v>0</v>
      </c>
      <c r="M720" t="n">
        <v>0</v>
      </c>
      <c r="N720" t="n">
        <v>0</v>
      </c>
      <c r="O720" t="n">
        <v>0</v>
      </c>
      <c r="P720" t="n">
        <v>0</v>
      </c>
      <c r="Q720" t="n">
        <v>0</v>
      </c>
      <c r="R720" s="2" t="inlineStr"/>
    </row>
    <row r="721" ht="15" customHeight="1">
      <c r="A721" t="inlineStr">
        <is>
          <t>A 54762-2023</t>
        </is>
      </c>
      <c r="B721" s="1" t="n">
        <v>45236</v>
      </c>
      <c r="C721" s="1" t="n">
        <v>45807</v>
      </c>
      <c r="D721" t="inlineStr">
        <is>
          <t>JÄMTLANDS LÄN</t>
        </is>
      </c>
      <c r="E721" t="inlineStr">
        <is>
          <t>ÖSTERSUND</t>
        </is>
      </c>
      <c r="G721" t="n">
        <v>1.5</v>
      </c>
      <c r="H721" t="n">
        <v>0</v>
      </c>
      <c r="I721" t="n">
        <v>0</v>
      </c>
      <c r="J721" t="n">
        <v>0</v>
      </c>
      <c r="K721" t="n">
        <v>0</v>
      </c>
      <c r="L721" t="n">
        <v>0</v>
      </c>
      <c r="M721" t="n">
        <v>0</v>
      </c>
      <c r="N721" t="n">
        <v>0</v>
      </c>
      <c r="O721" t="n">
        <v>0</v>
      </c>
      <c r="P721" t="n">
        <v>0</v>
      </c>
      <c r="Q721" t="n">
        <v>0</v>
      </c>
      <c r="R721" s="2" t="inlineStr"/>
    </row>
    <row r="722" ht="15" customHeight="1">
      <c r="A722" t="inlineStr">
        <is>
          <t>A 54883-2023</t>
        </is>
      </c>
      <c r="B722" s="1" t="n">
        <v>45236</v>
      </c>
      <c r="C722" s="1" t="n">
        <v>45807</v>
      </c>
      <c r="D722" t="inlineStr">
        <is>
          <t>JÄMTLANDS LÄN</t>
        </is>
      </c>
      <c r="E722" t="inlineStr">
        <is>
          <t>ÖSTERSUND</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54973-2023</t>
        </is>
      </c>
      <c r="B723" s="1" t="n">
        <v>45236</v>
      </c>
      <c r="C723" s="1" t="n">
        <v>45807</v>
      </c>
      <c r="D723" t="inlineStr">
        <is>
          <t>JÄMTLANDS LÄN</t>
        </is>
      </c>
      <c r="E723" t="inlineStr">
        <is>
          <t>ÖSTERSUND</t>
        </is>
      </c>
      <c r="G723" t="n">
        <v>15.4</v>
      </c>
      <c r="H723" t="n">
        <v>0</v>
      </c>
      <c r="I723" t="n">
        <v>0</v>
      </c>
      <c r="J723" t="n">
        <v>0</v>
      </c>
      <c r="K723" t="n">
        <v>0</v>
      </c>
      <c r="L723" t="n">
        <v>0</v>
      </c>
      <c r="M723" t="n">
        <v>0</v>
      </c>
      <c r="N723" t="n">
        <v>0</v>
      </c>
      <c r="O723" t="n">
        <v>0</v>
      </c>
      <c r="P723" t="n">
        <v>0</v>
      </c>
      <c r="Q723" t="n">
        <v>0</v>
      </c>
      <c r="R723" s="2" t="inlineStr"/>
    </row>
    <row r="724" ht="15" customHeight="1">
      <c r="A724" t="inlineStr">
        <is>
          <t>A 55140-2023</t>
        </is>
      </c>
      <c r="B724" s="1" t="n">
        <v>45237</v>
      </c>
      <c r="C724" s="1" t="n">
        <v>45807</v>
      </c>
      <c r="D724" t="inlineStr">
        <is>
          <t>JÄMTLANDS LÄN</t>
        </is>
      </c>
      <c r="E724" t="inlineStr">
        <is>
          <t>ÖSTERSUND</t>
        </is>
      </c>
      <c r="G724" t="n">
        <v>1.8</v>
      </c>
      <c r="H724" t="n">
        <v>0</v>
      </c>
      <c r="I724" t="n">
        <v>0</v>
      </c>
      <c r="J724" t="n">
        <v>0</v>
      </c>
      <c r="K724" t="n">
        <v>0</v>
      </c>
      <c r="L724" t="n">
        <v>0</v>
      </c>
      <c r="M724" t="n">
        <v>0</v>
      </c>
      <c r="N724" t="n">
        <v>0</v>
      </c>
      <c r="O724" t="n">
        <v>0</v>
      </c>
      <c r="P724" t="n">
        <v>0</v>
      </c>
      <c r="Q724" t="n">
        <v>0</v>
      </c>
      <c r="R724" s="2" t="inlineStr"/>
    </row>
    <row r="725" ht="15" customHeight="1">
      <c r="A725" t="inlineStr">
        <is>
          <t>A 55237-2023</t>
        </is>
      </c>
      <c r="B725" s="1" t="n">
        <v>45237</v>
      </c>
      <c r="C725" s="1" t="n">
        <v>45807</v>
      </c>
      <c r="D725" t="inlineStr">
        <is>
          <t>JÄMTLANDS LÄN</t>
        </is>
      </c>
      <c r="E725" t="inlineStr">
        <is>
          <t>ÖSTERSUND</t>
        </is>
      </c>
      <c r="G725" t="n">
        <v>2.7</v>
      </c>
      <c r="H725" t="n">
        <v>0</v>
      </c>
      <c r="I725" t="n">
        <v>0</v>
      </c>
      <c r="J725" t="n">
        <v>0</v>
      </c>
      <c r="K725" t="n">
        <v>0</v>
      </c>
      <c r="L725" t="n">
        <v>0</v>
      </c>
      <c r="M725" t="n">
        <v>0</v>
      </c>
      <c r="N725" t="n">
        <v>0</v>
      </c>
      <c r="O725" t="n">
        <v>0</v>
      </c>
      <c r="P725" t="n">
        <v>0</v>
      </c>
      <c r="Q725" t="n">
        <v>0</v>
      </c>
      <c r="R725" s="2" t="inlineStr"/>
    </row>
    <row r="726" ht="15" customHeight="1">
      <c r="A726" t="inlineStr">
        <is>
          <t>A 55233-2023</t>
        </is>
      </c>
      <c r="B726" s="1" t="n">
        <v>45237</v>
      </c>
      <c r="C726" s="1" t="n">
        <v>45807</v>
      </c>
      <c r="D726" t="inlineStr">
        <is>
          <t>JÄMTLANDS LÄN</t>
        </is>
      </c>
      <c r="E726" t="inlineStr">
        <is>
          <t>ÖSTERSUND</t>
        </is>
      </c>
      <c r="G726" t="n">
        <v>1.9</v>
      </c>
      <c r="H726" t="n">
        <v>0</v>
      </c>
      <c r="I726" t="n">
        <v>0</v>
      </c>
      <c r="J726" t="n">
        <v>0</v>
      </c>
      <c r="K726" t="n">
        <v>0</v>
      </c>
      <c r="L726" t="n">
        <v>0</v>
      </c>
      <c r="M726" t="n">
        <v>0</v>
      </c>
      <c r="N726" t="n">
        <v>0</v>
      </c>
      <c r="O726" t="n">
        <v>0</v>
      </c>
      <c r="P726" t="n">
        <v>0</v>
      </c>
      <c r="Q726" t="n">
        <v>0</v>
      </c>
      <c r="R726" s="2" t="inlineStr"/>
    </row>
    <row r="727" ht="15" customHeight="1">
      <c r="A727" t="inlineStr">
        <is>
          <t>A 56440-2023</t>
        </is>
      </c>
      <c r="B727" s="1" t="n">
        <v>45237</v>
      </c>
      <c r="C727" s="1" t="n">
        <v>45807</v>
      </c>
      <c r="D727" t="inlineStr">
        <is>
          <t>JÄMTLANDS LÄN</t>
        </is>
      </c>
      <c r="E727" t="inlineStr">
        <is>
          <t>ÖSTERSUND</t>
        </is>
      </c>
      <c r="G727" t="n">
        <v>10.2</v>
      </c>
      <c r="H727" t="n">
        <v>0</v>
      </c>
      <c r="I727" t="n">
        <v>0</v>
      </c>
      <c r="J727" t="n">
        <v>0</v>
      </c>
      <c r="K727" t="n">
        <v>0</v>
      </c>
      <c r="L727" t="n">
        <v>0</v>
      </c>
      <c r="M727" t="n">
        <v>0</v>
      </c>
      <c r="N727" t="n">
        <v>0</v>
      </c>
      <c r="O727" t="n">
        <v>0</v>
      </c>
      <c r="P727" t="n">
        <v>0</v>
      </c>
      <c r="Q727" t="n">
        <v>0</v>
      </c>
      <c r="R727" s="2" t="inlineStr"/>
    </row>
    <row r="728" ht="15" customHeight="1">
      <c r="A728" t="inlineStr">
        <is>
          <t>A 55666-2023</t>
        </is>
      </c>
      <c r="B728" s="1" t="n">
        <v>45239</v>
      </c>
      <c r="C728" s="1" t="n">
        <v>45807</v>
      </c>
      <c r="D728" t="inlineStr">
        <is>
          <t>JÄMTLANDS LÄN</t>
        </is>
      </c>
      <c r="E728" t="inlineStr">
        <is>
          <t>ÖSTERSUND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56597-2023</t>
        </is>
      </c>
      <c r="B729" s="1" t="n">
        <v>45238</v>
      </c>
      <c r="C729" s="1" t="n">
        <v>45807</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55678-2023</t>
        </is>
      </c>
      <c r="B730" s="1" t="n">
        <v>45239</v>
      </c>
      <c r="C730" s="1" t="n">
        <v>45807</v>
      </c>
      <c r="D730" t="inlineStr">
        <is>
          <t>JÄMTLANDS LÄN</t>
        </is>
      </c>
      <c r="E730" t="inlineStr">
        <is>
          <t>ÖSTERSUND</t>
        </is>
      </c>
      <c r="F730" t="inlineStr">
        <is>
          <t>Övriga Aktiebolag</t>
        </is>
      </c>
      <c r="G730" t="n">
        <v>0.6</v>
      </c>
      <c r="H730" t="n">
        <v>0</v>
      </c>
      <c r="I730" t="n">
        <v>0</v>
      </c>
      <c r="J730" t="n">
        <v>0</v>
      </c>
      <c r="K730" t="n">
        <v>0</v>
      </c>
      <c r="L730" t="n">
        <v>0</v>
      </c>
      <c r="M730" t="n">
        <v>0</v>
      </c>
      <c r="N730" t="n">
        <v>0</v>
      </c>
      <c r="O730" t="n">
        <v>0</v>
      </c>
      <c r="P730" t="n">
        <v>0</v>
      </c>
      <c r="Q730" t="n">
        <v>0</v>
      </c>
      <c r="R730" s="2" t="inlineStr"/>
    </row>
    <row r="731" ht="15" customHeight="1">
      <c r="A731" t="inlineStr">
        <is>
          <t>A 55785-2023</t>
        </is>
      </c>
      <c r="B731" s="1" t="n">
        <v>45239</v>
      </c>
      <c r="C731" s="1" t="n">
        <v>45807</v>
      </c>
      <c r="D731" t="inlineStr">
        <is>
          <t>JÄMTLANDS LÄN</t>
        </is>
      </c>
      <c r="E731" t="inlineStr">
        <is>
          <t>ÖSTERSUND</t>
        </is>
      </c>
      <c r="F731" t="inlineStr">
        <is>
          <t>Övriga Aktiebolag</t>
        </is>
      </c>
      <c r="G731" t="n">
        <v>16.4</v>
      </c>
      <c r="H731" t="n">
        <v>0</v>
      </c>
      <c r="I731" t="n">
        <v>0</v>
      </c>
      <c r="J731" t="n">
        <v>0</v>
      </c>
      <c r="K731" t="n">
        <v>0</v>
      </c>
      <c r="L731" t="n">
        <v>0</v>
      </c>
      <c r="M731" t="n">
        <v>0</v>
      </c>
      <c r="N731" t="n">
        <v>0</v>
      </c>
      <c r="O731" t="n">
        <v>0</v>
      </c>
      <c r="P731" t="n">
        <v>0</v>
      </c>
      <c r="Q731" t="n">
        <v>0</v>
      </c>
      <c r="R731" s="2" t="inlineStr"/>
    </row>
    <row r="732" ht="15" customHeight="1">
      <c r="A732" t="inlineStr">
        <is>
          <t>A 55827-2023</t>
        </is>
      </c>
      <c r="B732" s="1" t="n">
        <v>45239</v>
      </c>
      <c r="C732" s="1" t="n">
        <v>45807</v>
      </c>
      <c r="D732" t="inlineStr">
        <is>
          <t>JÄMTLANDS LÄN</t>
        </is>
      </c>
      <c r="E732" t="inlineStr">
        <is>
          <t>ÖSTERSUND</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56465-2023</t>
        </is>
      </c>
      <c r="B733" s="1" t="n">
        <v>45243</v>
      </c>
      <c r="C733" s="1" t="n">
        <v>45807</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56478-2023</t>
        </is>
      </c>
      <c r="B734" s="1" t="n">
        <v>45243</v>
      </c>
      <c r="C734" s="1" t="n">
        <v>45807</v>
      </c>
      <c r="D734" t="inlineStr">
        <is>
          <t>JÄMTLANDS LÄN</t>
        </is>
      </c>
      <c r="E734" t="inlineStr">
        <is>
          <t>ÖSTERSUND</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57863-2023</t>
        </is>
      </c>
      <c r="B735" s="1" t="n">
        <v>45244</v>
      </c>
      <c r="C735" s="1" t="n">
        <v>45807</v>
      </c>
      <c r="D735" t="inlineStr">
        <is>
          <t>JÄMTLANDS LÄN</t>
        </is>
      </c>
      <c r="E735" t="inlineStr">
        <is>
          <t>ÖSTERSUND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57398-2023</t>
        </is>
      </c>
      <c r="B736" s="1" t="n">
        <v>45245</v>
      </c>
      <c r="C736" s="1" t="n">
        <v>45807</v>
      </c>
      <c r="D736" t="inlineStr">
        <is>
          <t>JÄMTLANDS LÄN</t>
        </is>
      </c>
      <c r="E736" t="inlineStr">
        <is>
          <t>ÖSTERSUND</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58809-2023</t>
        </is>
      </c>
      <c r="B737" s="1" t="n">
        <v>45247</v>
      </c>
      <c r="C737" s="1" t="n">
        <v>45807</v>
      </c>
      <c r="D737" t="inlineStr">
        <is>
          <t>JÄMTLANDS LÄN</t>
        </is>
      </c>
      <c r="E737" t="inlineStr">
        <is>
          <t>ÖSTERSUND</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58818-2023</t>
        </is>
      </c>
      <c r="B738" s="1" t="n">
        <v>45247</v>
      </c>
      <c r="C738" s="1" t="n">
        <v>45807</v>
      </c>
      <c r="D738" t="inlineStr">
        <is>
          <t>JÄMTLANDS LÄN</t>
        </is>
      </c>
      <c r="E738" t="inlineStr">
        <is>
          <t>ÖSTERSUND</t>
        </is>
      </c>
      <c r="G738" t="n">
        <v>6.7</v>
      </c>
      <c r="H738" t="n">
        <v>0</v>
      </c>
      <c r="I738" t="n">
        <v>0</v>
      </c>
      <c r="J738" t="n">
        <v>0</v>
      </c>
      <c r="K738" t="n">
        <v>0</v>
      </c>
      <c r="L738" t="n">
        <v>0</v>
      </c>
      <c r="M738" t="n">
        <v>0</v>
      </c>
      <c r="N738" t="n">
        <v>0</v>
      </c>
      <c r="O738" t="n">
        <v>0</v>
      </c>
      <c r="P738" t="n">
        <v>0</v>
      </c>
      <c r="Q738" t="n">
        <v>0</v>
      </c>
      <c r="R738" s="2" t="inlineStr"/>
    </row>
    <row r="739" ht="15" customHeight="1">
      <c r="A739" t="inlineStr">
        <is>
          <t>A 57839-2023</t>
        </is>
      </c>
      <c r="B739" s="1" t="n">
        <v>45247</v>
      </c>
      <c r="C739" s="1" t="n">
        <v>45807</v>
      </c>
      <c r="D739" t="inlineStr">
        <is>
          <t>JÄMTLANDS LÄN</t>
        </is>
      </c>
      <c r="E739" t="inlineStr">
        <is>
          <t>ÖSTERSUND</t>
        </is>
      </c>
      <c r="G739" t="n">
        <v>6.1</v>
      </c>
      <c r="H739" t="n">
        <v>0</v>
      </c>
      <c r="I739" t="n">
        <v>0</v>
      </c>
      <c r="J739" t="n">
        <v>0</v>
      </c>
      <c r="K739" t="n">
        <v>0</v>
      </c>
      <c r="L739" t="n">
        <v>0</v>
      </c>
      <c r="M739" t="n">
        <v>0</v>
      </c>
      <c r="N739" t="n">
        <v>0</v>
      </c>
      <c r="O739" t="n">
        <v>0</v>
      </c>
      <c r="P739" t="n">
        <v>0</v>
      </c>
      <c r="Q739" t="n">
        <v>0</v>
      </c>
      <c r="R739" s="2" t="inlineStr"/>
    </row>
    <row r="740" ht="15" customHeight="1">
      <c r="A740" t="inlineStr">
        <is>
          <t>A 59021-2023</t>
        </is>
      </c>
      <c r="B740" s="1" t="n">
        <v>45250</v>
      </c>
      <c r="C740" s="1" t="n">
        <v>45807</v>
      </c>
      <c r="D740" t="inlineStr">
        <is>
          <t>JÄMTLANDS LÄN</t>
        </is>
      </c>
      <c r="E740" t="inlineStr">
        <is>
          <t>ÖSTERSUND</t>
        </is>
      </c>
      <c r="G740" t="n">
        <v>7</v>
      </c>
      <c r="H740" t="n">
        <v>0</v>
      </c>
      <c r="I740" t="n">
        <v>0</v>
      </c>
      <c r="J740" t="n">
        <v>0</v>
      </c>
      <c r="K740" t="n">
        <v>0</v>
      </c>
      <c r="L740" t="n">
        <v>0</v>
      </c>
      <c r="M740" t="n">
        <v>0</v>
      </c>
      <c r="N740" t="n">
        <v>0</v>
      </c>
      <c r="O740" t="n">
        <v>0</v>
      </c>
      <c r="P740" t="n">
        <v>0</v>
      </c>
      <c r="Q740" t="n">
        <v>0</v>
      </c>
      <c r="R740" s="2" t="inlineStr"/>
    </row>
    <row r="741" ht="15" customHeight="1">
      <c r="A741" t="inlineStr">
        <is>
          <t>A 59094-2023</t>
        </is>
      </c>
      <c r="B741" s="1" t="n">
        <v>45253</v>
      </c>
      <c r="C741" s="1" t="n">
        <v>45807</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59095-2023</t>
        </is>
      </c>
      <c r="B742" s="1" t="n">
        <v>45253</v>
      </c>
      <c r="C742" s="1" t="n">
        <v>45807</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59611-2023</t>
        </is>
      </c>
      <c r="B743" s="1" t="n">
        <v>45254</v>
      </c>
      <c r="C743" s="1" t="n">
        <v>45807</v>
      </c>
      <c r="D743" t="inlineStr">
        <is>
          <t>JÄMTLANDS LÄN</t>
        </is>
      </c>
      <c r="E743" t="inlineStr">
        <is>
          <t>ÖSTERSUND</t>
        </is>
      </c>
      <c r="G743" t="n">
        <v>1.5</v>
      </c>
      <c r="H743" t="n">
        <v>0</v>
      </c>
      <c r="I743" t="n">
        <v>0</v>
      </c>
      <c r="J743" t="n">
        <v>0</v>
      </c>
      <c r="K743" t="n">
        <v>0</v>
      </c>
      <c r="L743" t="n">
        <v>0</v>
      </c>
      <c r="M743" t="n">
        <v>0</v>
      </c>
      <c r="N743" t="n">
        <v>0</v>
      </c>
      <c r="O743" t="n">
        <v>0</v>
      </c>
      <c r="P743" t="n">
        <v>0</v>
      </c>
      <c r="Q743" t="n">
        <v>0</v>
      </c>
      <c r="R743" s="2" t="inlineStr"/>
    </row>
    <row r="744" ht="15" customHeight="1">
      <c r="A744" t="inlineStr">
        <is>
          <t>A 59953-2023</t>
        </is>
      </c>
      <c r="B744" s="1" t="n">
        <v>45254</v>
      </c>
      <c r="C744" s="1" t="n">
        <v>45807</v>
      </c>
      <c r="D744" t="inlineStr">
        <is>
          <t>JÄMTLANDS LÄN</t>
        </is>
      </c>
      <c r="E744" t="inlineStr">
        <is>
          <t>ÖSTERSUND</t>
        </is>
      </c>
      <c r="G744" t="n">
        <v>4.6</v>
      </c>
      <c r="H744" t="n">
        <v>0</v>
      </c>
      <c r="I744" t="n">
        <v>0</v>
      </c>
      <c r="J744" t="n">
        <v>0</v>
      </c>
      <c r="K744" t="n">
        <v>0</v>
      </c>
      <c r="L744" t="n">
        <v>0</v>
      </c>
      <c r="M744" t="n">
        <v>0</v>
      </c>
      <c r="N744" t="n">
        <v>0</v>
      </c>
      <c r="O744" t="n">
        <v>0</v>
      </c>
      <c r="P744" t="n">
        <v>0</v>
      </c>
      <c r="Q744" t="n">
        <v>0</v>
      </c>
      <c r="R744" s="2" t="inlineStr"/>
    </row>
    <row r="745" ht="15" customHeight="1">
      <c r="A745" t="inlineStr">
        <is>
          <t>A 59694-2023</t>
        </is>
      </c>
      <c r="B745" s="1" t="n">
        <v>45256</v>
      </c>
      <c r="C745" s="1" t="n">
        <v>45807</v>
      </c>
      <c r="D745" t="inlineStr">
        <is>
          <t>JÄMTLANDS LÄN</t>
        </is>
      </c>
      <c r="E745" t="inlineStr">
        <is>
          <t>ÖSTERSUND</t>
        </is>
      </c>
      <c r="G745" t="n">
        <v>4.1</v>
      </c>
      <c r="H745" t="n">
        <v>0</v>
      </c>
      <c r="I745" t="n">
        <v>0</v>
      </c>
      <c r="J745" t="n">
        <v>0</v>
      </c>
      <c r="K745" t="n">
        <v>0</v>
      </c>
      <c r="L745" t="n">
        <v>0</v>
      </c>
      <c r="M745" t="n">
        <v>0</v>
      </c>
      <c r="N745" t="n">
        <v>0</v>
      </c>
      <c r="O745" t="n">
        <v>0</v>
      </c>
      <c r="P745" t="n">
        <v>0</v>
      </c>
      <c r="Q745" t="n">
        <v>0</v>
      </c>
      <c r="R745" s="2" t="inlineStr"/>
    </row>
    <row r="746" ht="15" customHeight="1">
      <c r="A746" t="inlineStr">
        <is>
          <t>A 59813-2023</t>
        </is>
      </c>
      <c r="B746" s="1" t="n">
        <v>45257</v>
      </c>
      <c r="C746" s="1" t="n">
        <v>45807</v>
      </c>
      <c r="D746" t="inlineStr">
        <is>
          <t>JÄMTLANDS LÄN</t>
        </is>
      </c>
      <c r="E746" t="inlineStr">
        <is>
          <t>ÖSTERSUND</t>
        </is>
      </c>
      <c r="G746" t="n">
        <v>3.8</v>
      </c>
      <c r="H746" t="n">
        <v>0</v>
      </c>
      <c r="I746" t="n">
        <v>0</v>
      </c>
      <c r="J746" t="n">
        <v>0</v>
      </c>
      <c r="K746" t="n">
        <v>0</v>
      </c>
      <c r="L746" t="n">
        <v>0</v>
      </c>
      <c r="M746" t="n">
        <v>0</v>
      </c>
      <c r="N746" t="n">
        <v>0</v>
      </c>
      <c r="O746" t="n">
        <v>0</v>
      </c>
      <c r="P746" t="n">
        <v>0</v>
      </c>
      <c r="Q746" t="n">
        <v>0</v>
      </c>
      <c r="R746" s="2" t="inlineStr"/>
    </row>
    <row r="747" ht="15" customHeight="1">
      <c r="A747" t="inlineStr">
        <is>
          <t>A 60029-2023</t>
        </is>
      </c>
      <c r="B747" s="1" t="n">
        <v>45258</v>
      </c>
      <c r="C747" s="1" t="n">
        <v>45807</v>
      </c>
      <c r="D747" t="inlineStr">
        <is>
          <t>JÄMTLANDS LÄN</t>
        </is>
      </c>
      <c r="E747" t="inlineStr">
        <is>
          <t>ÖSTERSUND</t>
        </is>
      </c>
      <c r="G747" t="n">
        <v>1.8</v>
      </c>
      <c r="H747" t="n">
        <v>0</v>
      </c>
      <c r="I747" t="n">
        <v>0</v>
      </c>
      <c r="J747" t="n">
        <v>0</v>
      </c>
      <c r="K747" t="n">
        <v>0</v>
      </c>
      <c r="L747" t="n">
        <v>0</v>
      </c>
      <c r="M747" t="n">
        <v>0</v>
      </c>
      <c r="N747" t="n">
        <v>0</v>
      </c>
      <c r="O747" t="n">
        <v>0</v>
      </c>
      <c r="P747" t="n">
        <v>0</v>
      </c>
      <c r="Q747" t="n">
        <v>0</v>
      </c>
      <c r="R747" s="2" t="inlineStr"/>
    </row>
    <row r="748" ht="15" customHeight="1">
      <c r="A748" t="inlineStr">
        <is>
          <t>A 60477-2023</t>
        </is>
      </c>
      <c r="B748" s="1" t="n">
        <v>45258</v>
      </c>
      <c r="C748" s="1" t="n">
        <v>45807</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60794-2023</t>
        </is>
      </c>
      <c r="B749" s="1" t="n">
        <v>45260</v>
      </c>
      <c r="C749" s="1" t="n">
        <v>45807</v>
      </c>
      <c r="D749" t="inlineStr">
        <is>
          <t>JÄMTLANDS LÄN</t>
        </is>
      </c>
      <c r="E749" t="inlineStr">
        <is>
          <t>ÖSTERSUND</t>
        </is>
      </c>
      <c r="G749" t="n">
        <v>3.6</v>
      </c>
      <c r="H749" t="n">
        <v>0</v>
      </c>
      <c r="I749" t="n">
        <v>0</v>
      </c>
      <c r="J749" t="n">
        <v>0</v>
      </c>
      <c r="K749" t="n">
        <v>0</v>
      </c>
      <c r="L749" t="n">
        <v>0</v>
      </c>
      <c r="M749" t="n">
        <v>0</v>
      </c>
      <c r="N749" t="n">
        <v>0</v>
      </c>
      <c r="O749" t="n">
        <v>0</v>
      </c>
      <c r="P749" t="n">
        <v>0</v>
      </c>
      <c r="Q749" t="n">
        <v>0</v>
      </c>
      <c r="R749" s="2" t="inlineStr"/>
    </row>
    <row r="750" ht="15" customHeight="1">
      <c r="A750" t="inlineStr">
        <is>
          <t>A 60780-2023</t>
        </is>
      </c>
      <c r="B750" s="1" t="n">
        <v>45260</v>
      </c>
      <c r="C750" s="1" t="n">
        <v>45807</v>
      </c>
      <c r="D750" t="inlineStr">
        <is>
          <t>JÄMTLANDS LÄN</t>
        </is>
      </c>
      <c r="E750" t="inlineStr">
        <is>
          <t>ÖSTERSUND</t>
        </is>
      </c>
      <c r="G750" t="n">
        <v>3.7</v>
      </c>
      <c r="H750" t="n">
        <v>0</v>
      </c>
      <c r="I750" t="n">
        <v>0</v>
      </c>
      <c r="J750" t="n">
        <v>0</v>
      </c>
      <c r="K750" t="n">
        <v>0</v>
      </c>
      <c r="L750" t="n">
        <v>0</v>
      </c>
      <c r="M750" t="n">
        <v>0</v>
      </c>
      <c r="N750" t="n">
        <v>0</v>
      </c>
      <c r="O750" t="n">
        <v>0</v>
      </c>
      <c r="P750" t="n">
        <v>0</v>
      </c>
      <c r="Q750" t="n">
        <v>0</v>
      </c>
      <c r="R750" s="2" t="inlineStr"/>
    </row>
    <row r="751" ht="15" customHeight="1">
      <c r="A751" t="inlineStr">
        <is>
          <t>A 61135-2023</t>
        </is>
      </c>
      <c r="B751" s="1" t="n">
        <v>45261</v>
      </c>
      <c r="C751" s="1" t="n">
        <v>45807</v>
      </c>
      <c r="D751" t="inlineStr">
        <is>
          <t>JÄMTLANDS LÄN</t>
        </is>
      </c>
      <c r="E751" t="inlineStr">
        <is>
          <t>ÖSTERSUND</t>
        </is>
      </c>
      <c r="G751" t="n">
        <v>7.3</v>
      </c>
      <c r="H751" t="n">
        <v>0</v>
      </c>
      <c r="I751" t="n">
        <v>0</v>
      </c>
      <c r="J751" t="n">
        <v>0</v>
      </c>
      <c r="K751" t="n">
        <v>0</v>
      </c>
      <c r="L751" t="n">
        <v>0</v>
      </c>
      <c r="M751" t="n">
        <v>0</v>
      </c>
      <c r="N751" t="n">
        <v>0</v>
      </c>
      <c r="O751" t="n">
        <v>0</v>
      </c>
      <c r="P751" t="n">
        <v>0</v>
      </c>
      <c r="Q751" t="n">
        <v>0</v>
      </c>
      <c r="R751" s="2" t="inlineStr"/>
    </row>
    <row r="752" ht="15" customHeight="1">
      <c r="A752" t="inlineStr">
        <is>
          <t>A 61535-2023</t>
        </is>
      </c>
      <c r="B752" s="1" t="n">
        <v>45261</v>
      </c>
      <c r="C752" s="1" t="n">
        <v>45807</v>
      </c>
      <c r="D752" t="inlineStr">
        <is>
          <t>JÄMTLANDS LÄN</t>
        </is>
      </c>
      <c r="E752" t="inlineStr">
        <is>
          <t>ÖSTERSUND</t>
        </is>
      </c>
      <c r="F752" t="inlineStr">
        <is>
          <t>Övriga statliga verk och myndigheter</t>
        </is>
      </c>
      <c r="G752" t="n">
        <v>2.6</v>
      </c>
      <c r="H752" t="n">
        <v>0</v>
      </c>
      <c r="I752" t="n">
        <v>0</v>
      </c>
      <c r="J752" t="n">
        <v>0</v>
      </c>
      <c r="K752" t="n">
        <v>0</v>
      </c>
      <c r="L752" t="n">
        <v>0</v>
      </c>
      <c r="M752" t="n">
        <v>0</v>
      </c>
      <c r="N752" t="n">
        <v>0</v>
      </c>
      <c r="O752" t="n">
        <v>0</v>
      </c>
      <c r="P752" t="n">
        <v>0</v>
      </c>
      <c r="Q752" t="n">
        <v>0</v>
      </c>
      <c r="R752" s="2" t="inlineStr"/>
    </row>
    <row r="753" ht="15" customHeight="1">
      <c r="A753" t="inlineStr">
        <is>
          <t>A 61530-2023</t>
        </is>
      </c>
      <c r="B753" s="1" t="n">
        <v>45261</v>
      </c>
      <c r="C753" s="1" t="n">
        <v>45807</v>
      </c>
      <c r="D753" t="inlineStr">
        <is>
          <t>JÄMTLANDS LÄN</t>
        </is>
      </c>
      <c r="E753" t="inlineStr">
        <is>
          <t>ÖSTERSUND</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61635-2023</t>
        </is>
      </c>
      <c r="B754" s="1" t="n">
        <v>45261</v>
      </c>
      <c r="C754" s="1" t="n">
        <v>45807</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61506-2023</t>
        </is>
      </c>
      <c r="B755" s="1" t="n">
        <v>45264</v>
      </c>
      <c r="C755" s="1" t="n">
        <v>45807</v>
      </c>
      <c r="D755" t="inlineStr">
        <is>
          <t>JÄMTLANDS LÄN</t>
        </is>
      </c>
      <c r="E755" t="inlineStr">
        <is>
          <t>ÖSTERSUND</t>
        </is>
      </c>
      <c r="G755" t="n">
        <v>3</v>
      </c>
      <c r="H755" t="n">
        <v>0</v>
      </c>
      <c r="I755" t="n">
        <v>0</v>
      </c>
      <c r="J755" t="n">
        <v>0</v>
      </c>
      <c r="K755" t="n">
        <v>0</v>
      </c>
      <c r="L755" t="n">
        <v>0</v>
      </c>
      <c r="M755" t="n">
        <v>0</v>
      </c>
      <c r="N755" t="n">
        <v>0</v>
      </c>
      <c r="O755" t="n">
        <v>0</v>
      </c>
      <c r="P755" t="n">
        <v>0</v>
      </c>
      <c r="Q755" t="n">
        <v>0</v>
      </c>
      <c r="R755" s="2" t="inlineStr"/>
    </row>
    <row r="756" ht="15" customHeight="1">
      <c r="A756" t="inlineStr">
        <is>
          <t>A 61499-2023</t>
        </is>
      </c>
      <c r="B756" s="1" t="n">
        <v>45264</v>
      </c>
      <c r="C756" s="1" t="n">
        <v>45807</v>
      </c>
      <c r="D756" t="inlineStr">
        <is>
          <t>JÄMTLANDS LÄN</t>
        </is>
      </c>
      <c r="E756" t="inlineStr">
        <is>
          <t>ÖSTERSUND</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62052-2023</t>
        </is>
      </c>
      <c r="B757" s="1" t="n">
        <v>45265</v>
      </c>
      <c r="C757" s="1" t="n">
        <v>45807</v>
      </c>
      <c r="D757" t="inlineStr">
        <is>
          <t>JÄMTLANDS LÄN</t>
        </is>
      </c>
      <c r="E757" t="inlineStr">
        <is>
          <t>ÖSTERSUND</t>
        </is>
      </c>
      <c r="G757" t="n">
        <v>3.3</v>
      </c>
      <c r="H757" t="n">
        <v>0</v>
      </c>
      <c r="I757" t="n">
        <v>0</v>
      </c>
      <c r="J757" t="n">
        <v>0</v>
      </c>
      <c r="K757" t="n">
        <v>0</v>
      </c>
      <c r="L757" t="n">
        <v>0</v>
      </c>
      <c r="M757" t="n">
        <v>0</v>
      </c>
      <c r="N757" t="n">
        <v>0</v>
      </c>
      <c r="O757" t="n">
        <v>0</v>
      </c>
      <c r="P757" t="n">
        <v>0</v>
      </c>
      <c r="Q757" t="n">
        <v>0</v>
      </c>
      <c r="R757" s="2" t="inlineStr"/>
    </row>
    <row r="758" ht="15" customHeight="1">
      <c r="A758" t="inlineStr">
        <is>
          <t>A 61791-2023</t>
        </is>
      </c>
      <c r="B758" s="1" t="n">
        <v>45265</v>
      </c>
      <c r="C758" s="1" t="n">
        <v>45807</v>
      </c>
      <c r="D758" t="inlineStr">
        <is>
          <t>JÄMTLANDS LÄN</t>
        </is>
      </c>
      <c r="E758" t="inlineStr">
        <is>
          <t>ÖSTERSUND</t>
        </is>
      </c>
      <c r="F758" t="inlineStr">
        <is>
          <t>SCA</t>
        </is>
      </c>
      <c r="G758" t="n">
        <v>11.4</v>
      </c>
      <c r="H758" t="n">
        <v>0</v>
      </c>
      <c r="I758" t="n">
        <v>0</v>
      </c>
      <c r="J758" t="n">
        <v>0</v>
      </c>
      <c r="K758" t="n">
        <v>0</v>
      </c>
      <c r="L758" t="n">
        <v>0</v>
      </c>
      <c r="M758" t="n">
        <v>0</v>
      </c>
      <c r="N758" t="n">
        <v>0</v>
      </c>
      <c r="O758" t="n">
        <v>0</v>
      </c>
      <c r="P758" t="n">
        <v>0</v>
      </c>
      <c r="Q758" t="n">
        <v>0</v>
      </c>
      <c r="R758" s="2" t="inlineStr"/>
    </row>
    <row r="759" ht="15" customHeight="1">
      <c r="A759" t="inlineStr">
        <is>
          <t>A 62835-2023</t>
        </is>
      </c>
      <c r="B759" s="1" t="n">
        <v>45271</v>
      </c>
      <c r="C759" s="1" t="n">
        <v>45807</v>
      </c>
      <c r="D759" t="inlineStr">
        <is>
          <t>JÄMTLANDS LÄN</t>
        </is>
      </c>
      <c r="E759" t="inlineStr">
        <is>
          <t>ÖSTERSUND</t>
        </is>
      </c>
      <c r="F759" t="inlineStr">
        <is>
          <t>SCA</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62834-2023</t>
        </is>
      </c>
      <c r="B760" s="1" t="n">
        <v>45271</v>
      </c>
      <c r="C760" s="1" t="n">
        <v>45807</v>
      </c>
      <c r="D760" t="inlineStr">
        <is>
          <t>JÄMTLANDS LÄN</t>
        </is>
      </c>
      <c r="E760" t="inlineStr">
        <is>
          <t>ÖSTERSUND</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63086-2023</t>
        </is>
      </c>
      <c r="B761" s="1" t="n">
        <v>45272</v>
      </c>
      <c r="C761" s="1" t="n">
        <v>45807</v>
      </c>
      <c r="D761" t="inlineStr">
        <is>
          <t>JÄMTLANDS LÄN</t>
        </is>
      </c>
      <c r="E761" t="inlineStr">
        <is>
          <t>ÖSTERSUND</t>
        </is>
      </c>
      <c r="F761" t="inlineStr">
        <is>
          <t>Övriga statliga verk och myndigheter</t>
        </is>
      </c>
      <c r="G761" t="n">
        <v>2.9</v>
      </c>
      <c r="H761" t="n">
        <v>0</v>
      </c>
      <c r="I761" t="n">
        <v>0</v>
      </c>
      <c r="J761" t="n">
        <v>0</v>
      </c>
      <c r="K761" t="n">
        <v>0</v>
      </c>
      <c r="L761" t="n">
        <v>0</v>
      </c>
      <c r="M761" t="n">
        <v>0</v>
      </c>
      <c r="N761" t="n">
        <v>0</v>
      </c>
      <c r="O761" t="n">
        <v>0</v>
      </c>
      <c r="P761" t="n">
        <v>0</v>
      </c>
      <c r="Q761" t="n">
        <v>0</v>
      </c>
      <c r="R761" s="2" t="inlineStr"/>
    </row>
    <row r="762" ht="15" customHeight="1">
      <c r="A762" t="inlineStr">
        <is>
          <t>A 63101-2023</t>
        </is>
      </c>
      <c r="B762" s="1" t="n">
        <v>45273</v>
      </c>
      <c r="C762" s="1" t="n">
        <v>45807</v>
      </c>
      <c r="D762" t="inlineStr">
        <is>
          <t>JÄMTLANDS LÄN</t>
        </is>
      </c>
      <c r="E762" t="inlineStr">
        <is>
          <t>ÖSTERSUND</t>
        </is>
      </c>
      <c r="G762" t="n">
        <v>2.1</v>
      </c>
      <c r="H762" t="n">
        <v>0</v>
      </c>
      <c r="I762" t="n">
        <v>0</v>
      </c>
      <c r="J762" t="n">
        <v>0</v>
      </c>
      <c r="K762" t="n">
        <v>0</v>
      </c>
      <c r="L762" t="n">
        <v>0</v>
      </c>
      <c r="M762" t="n">
        <v>0</v>
      </c>
      <c r="N762" t="n">
        <v>0</v>
      </c>
      <c r="O762" t="n">
        <v>0</v>
      </c>
      <c r="P762" t="n">
        <v>0</v>
      </c>
      <c r="Q762" t="n">
        <v>0</v>
      </c>
      <c r="R762" s="2" t="inlineStr"/>
    </row>
    <row r="763" ht="15" customHeight="1">
      <c r="A763" t="inlineStr">
        <is>
          <t>A 63099-2023</t>
        </is>
      </c>
      <c r="B763" s="1" t="n">
        <v>45273</v>
      </c>
      <c r="C763" s="1" t="n">
        <v>45807</v>
      </c>
      <c r="D763" t="inlineStr">
        <is>
          <t>JÄMTLANDS LÄN</t>
        </is>
      </c>
      <c r="E763" t="inlineStr">
        <is>
          <t>ÖSTERSUND</t>
        </is>
      </c>
      <c r="G763" t="n">
        <v>1.5</v>
      </c>
      <c r="H763" t="n">
        <v>0</v>
      </c>
      <c r="I763" t="n">
        <v>0</v>
      </c>
      <c r="J763" t="n">
        <v>0</v>
      </c>
      <c r="K763" t="n">
        <v>0</v>
      </c>
      <c r="L763" t="n">
        <v>0</v>
      </c>
      <c r="M763" t="n">
        <v>0</v>
      </c>
      <c r="N763" t="n">
        <v>0</v>
      </c>
      <c r="O763" t="n">
        <v>0</v>
      </c>
      <c r="P763" t="n">
        <v>0</v>
      </c>
      <c r="Q763" t="n">
        <v>0</v>
      </c>
      <c r="R763" s="2" t="inlineStr"/>
    </row>
    <row r="764" ht="15" customHeight="1">
      <c r="A764" t="inlineStr">
        <is>
          <t>A 63320-2023</t>
        </is>
      </c>
      <c r="B764" s="1" t="n">
        <v>45273</v>
      </c>
      <c r="C764" s="1" t="n">
        <v>45807</v>
      </c>
      <c r="D764" t="inlineStr">
        <is>
          <t>JÄMTLANDS LÄN</t>
        </is>
      </c>
      <c r="E764" t="inlineStr">
        <is>
          <t>ÖSTERSUND</t>
        </is>
      </c>
      <c r="G764" t="n">
        <v>11.3</v>
      </c>
      <c r="H764" t="n">
        <v>0</v>
      </c>
      <c r="I764" t="n">
        <v>0</v>
      </c>
      <c r="J764" t="n">
        <v>0</v>
      </c>
      <c r="K764" t="n">
        <v>0</v>
      </c>
      <c r="L764" t="n">
        <v>0</v>
      </c>
      <c r="M764" t="n">
        <v>0</v>
      </c>
      <c r="N764" t="n">
        <v>0</v>
      </c>
      <c r="O764" t="n">
        <v>0</v>
      </c>
      <c r="P764" t="n">
        <v>0</v>
      </c>
      <c r="Q764" t="n">
        <v>0</v>
      </c>
      <c r="R764" s="2" t="inlineStr"/>
    </row>
    <row r="765" ht="15" customHeight="1">
      <c r="A765" t="inlineStr">
        <is>
          <t>A 63739-2023</t>
        </is>
      </c>
      <c r="B765" s="1" t="n">
        <v>45277</v>
      </c>
      <c r="C765" s="1" t="n">
        <v>45807</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63740-2023</t>
        </is>
      </c>
      <c r="B766" s="1" t="n">
        <v>45277</v>
      </c>
      <c r="C766" s="1" t="n">
        <v>45807</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64233-2023</t>
        </is>
      </c>
      <c r="B767" s="1" t="n">
        <v>45279</v>
      </c>
      <c r="C767" s="1" t="n">
        <v>45807</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64267-2023</t>
        </is>
      </c>
      <c r="B768" s="1" t="n">
        <v>45279</v>
      </c>
      <c r="C768" s="1" t="n">
        <v>45807</v>
      </c>
      <c r="D768" t="inlineStr">
        <is>
          <t>JÄMTLANDS LÄN</t>
        </is>
      </c>
      <c r="E768" t="inlineStr">
        <is>
          <t>ÖSTERSUND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64314-2023</t>
        </is>
      </c>
      <c r="B769" s="1" t="n">
        <v>45280</v>
      </c>
      <c r="C769" s="1" t="n">
        <v>45807</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64309-2023</t>
        </is>
      </c>
      <c r="B770" s="1" t="n">
        <v>45280</v>
      </c>
      <c r="C770" s="1" t="n">
        <v>45807</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64811-2023</t>
        </is>
      </c>
      <c r="B771" s="1" t="n">
        <v>45281</v>
      </c>
      <c r="C771" s="1" t="n">
        <v>45807</v>
      </c>
      <c r="D771" t="inlineStr">
        <is>
          <t>JÄMTLANDS LÄN</t>
        </is>
      </c>
      <c r="E771" t="inlineStr">
        <is>
          <t>ÖSTERSUND</t>
        </is>
      </c>
      <c r="G771" t="n">
        <v>7.6</v>
      </c>
      <c r="H771" t="n">
        <v>0</v>
      </c>
      <c r="I771" t="n">
        <v>0</v>
      </c>
      <c r="J771" t="n">
        <v>0</v>
      </c>
      <c r="K771" t="n">
        <v>0</v>
      </c>
      <c r="L771" t="n">
        <v>0</v>
      </c>
      <c r="M771" t="n">
        <v>0</v>
      </c>
      <c r="N771" t="n">
        <v>0</v>
      </c>
      <c r="O771" t="n">
        <v>0</v>
      </c>
      <c r="P771" t="n">
        <v>0</v>
      </c>
      <c r="Q771" t="n">
        <v>0</v>
      </c>
      <c r="R771" s="2" t="inlineStr"/>
    </row>
    <row r="772" ht="15" customHeight="1">
      <c r="A772" t="inlineStr">
        <is>
          <t>A 64954-2023</t>
        </is>
      </c>
      <c r="B772" s="1" t="n">
        <v>45282</v>
      </c>
      <c r="C772" s="1" t="n">
        <v>45807</v>
      </c>
      <c r="D772" t="inlineStr">
        <is>
          <t>JÄMTLANDS LÄN</t>
        </is>
      </c>
      <c r="E772" t="inlineStr">
        <is>
          <t>ÖSTERSUND</t>
        </is>
      </c>
      <c r="G772" t="n">
        <v>0.9</v>
      </c>
      <c r="H772" t="n">
        <v>0</v>
      </c>
      <c r="I772" t="n">
        <v>0</v>
      </c>
      <c r="J772" t="n">
        <v>0</v>
      </c>
      <c r="K772" t="n">
        <v>0</v>
      </c>
      <c r="L772" t="n">
        <v>0</v>
      </c>
      <c r="M772" t="n">
        <v>0</v>
      </c>
      <c r="N772" t="n">
        <v>0</v>
      </c>
      <c r="O772" t="n">
        <v>0</v>
      </c>
      <c r="P772" t="n">
        <v>0</v>
      </c>
      <c r="Q772" t="n">
        <v>0</v>
      </c>
      <c r="R772" s="2" t="inlineStr"/>
    </row>
    <row r="773" ht="15" customHeight="1">
      <c r="A773" t="inlineStr">
        <is>
          <t>A 64953-2023</t>
        </is>
      </c>
      <c r="B773" s="1" t="n">
        <v>45282</v>
      </c>
      <c r="C773" s="1" t="n">
        <v>45807</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440-2024</t>
        </is>
      </c>
      <c r="B774" s="1" t="n">
        <v>45296</v>
      </c>
      <c r="C774" s="1" t="n">
        <v>45807</v>
      </c>
      <c r="D774" t="inlineStr">
        <is>
          <t>JÄMTLANDS LÄN</t>
        </is>
      </c>
      <c r="E774" t="inlineStr">
        <is>
          <t>ÖSTERSUND</t>
        </is>
      </c>
      <c r="F774" t="inlineStr">
        <is>
          <t>Kommuner</t>
        </is>
      </c>
      <c r="G774" t="n">
        <v>10.1</v>
      </c>
      <c r="H774" t="n">
        <v>0</v>
      </c>
      <c r="I774" t="n">
        <v>0</v>
      </c>
      <c r="J774" t="n">
        <v>0</v>
      </c>
      <c r="K774" t="n">
        <v>0</v>
      </c>
      <c r="L774" t="n">
        <v>0</v>
      </c>
      <c r="M774" t="n">
        <v>0</v>
      </c>
      <c r="N774" t="n">
        <v>0</v>
      </c>
      <c r="O774" t="n">
        <v>0</v>
      </c>
      <c r="P774" t="n">
        <v>0</v>
      </c>
      <c r="Q774" t="n">
        <v>0</v>
      </c>
      <c r="R774" s="2" t="inlineStr"/>
    </row>
    <row r="775" ht="15" customHeight="1">
      <c r="A775" t="inlineStr">
        <is>
          <t>A 484-2024</t>
        </is>
      </c>
      <c r="B775" s="1" t="n">
        <v>45298</v>
      </c>
      <c r="C775" s="1" t="n">
        <v>45807</v>
      </c>
      <c r="D775" t="inlineStr">
        <is>
          <t>JÄMTLANDS LÄN</t>
        </is>
      </c>
      <c r="E775" t="inlineStr">
        <is>
          <t>ÖSTERSUND</t>
        </is>
      </c>
      <c r="G775" t="n">
        <v>0.9</v>
      </c>
      <c r="H775" t="n">
        <v>0</v>
      </c>
      <c r="I775" t="n">
        <v>0</v>
      </c>
      <c r="J775" t="n">
        <v>0</v>
      </c>
      <c r="K775" t="n">
        <v>0</v>
      </c>
      <c r="L775" t="n">
        <v>0</v>
      </c>
      <c r="M775" t="n">
        <v>0</v>
      </c>
      <c r="N775" t="n">
        <v>0</v>
      </c>
      <c r="O775" t="n">
        <v>0</v>
      </c>
      <c r="P775" t="n">
        <v>0</v>
      </c>
      <c r="Q775" t="n">
        <v>0</v>
      </c>
      <c r="R775" s="2" t="inlineStr"/>
    </row>
    <row r="776" ht="15" customHeight="1">
      <c r="A776" t="inlineStr">
        <is>
          <t>A 485-2024</t>
        </is>
      </c>
      <c r="B776" s="1" t="n">
        <v>45298</v>
      </c>
      <c r="C776" s="1" t="n">
        <v>45807</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846-2024</t>
        </is>
      </c>
      <c r="B777" s="1" t="n">
        <v>45300</v>
      </c>
      <c r="C777" s="1" t="n">
        <v>45807</v>
      </c>
      <c r="D777" t="inlineStr">
        <is>
          <t>JÄMTLANDS LÄN</t>
        </is>
      </c>
      <c r="E777" t="inlineStr">
        <is>
          <t>ÖSTERSUND</t>
        </is>
      </c>
      <c r="G777" t="n">
        <v>2.8</v>
      </c>
      <c r="H777" t="n">
        <v>0</v>
      </c>
      <c r="I777" t="n">
        <v>0</v>
      </c>
      <c r="J777" t="n">
        <v>0</v>
      </c>
      <c r="K777" t="n">
        <v>0</v>
      </c>
      <c r="L777" t="n">
        <v>0</v>
      </c>
      <c r="M777" t="n">
        <v>0</v>
      </c>
      <c r="N777" t="n">
        <v>0</v>
      </c>
      <c r="O777" t="n">
        <v>0</v>
      </c>
      <c r="P777" t="n">
        <v>0</v>
      </c>
      <c r="Q777" t="n">
        <v>0</v>
      </c>
      <c r="R777" s="2" t="inlineStr"/>
    </row>
    <row r="778" ht="15" customHeight="1">
      <c r="A778" t="inlineStr">
        <is>
          <t>A 748-2024</t>
        </is>
      </c>
      <c r="B778" s="1" t="n">
        <v>45300</v>
      </c>
      <c r="C778" s="1" t="n">
        <v>45807</v>
      </c>
      <c r="D778" t="inlineStr">
        <is>
          <t>JÄMTLANDS LÄN</t>
        </is>
      </c>
      <c r="E778" t="inlineStr">
        <is>
          <t>ÖSTERSUND</t>
        </is>
      </c>
      <c r="G778" t="n">
        <v>3.3</v>
      </c>
      <c r="H778" t="n">
        <v>0</v>
      </c>
      <c r="I778" t="n">
        <v>0</v>
      </c>
      <c r="J778" t="n">
        <v>0</v>
      </c>
      <c r="K778" t="n">
        <v>0</v>
      </c>
      <c r="L778" t="n">
        <v>0</v>
      </c>
      <c r="M778" t="n">
        <v>0</v>
      </c>
      <c r="N778" t="n">
        <v>0</v>
      </c>
      <c r="O778" t="n">
        <v>0</v>
      </c>
      <c r="P778" t="n">
        <v>0</v>
      </c>
      <c r="Q778" t="n">
        <v>0</v>
      </c>
      <c r="R778" s="2" t="inlineStr"/>
    </row>
    <row r="779" ht="15" customHeight="1">
      <c r="A779" t="inlineStr">
        <is>
          <t>A 1159-2024</t>
        </is>
      </c>
      <c r="B779" s="1" t="n">
        <v>45302</v>
      </c>
      <c r="C779" s="1" t="n">
        <v>45807</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1669-2024</t>
        </is>
      </c>
      <c r="B780" s="1" t="n">
        <v>45306</v>
      </c>
      <c r="C780" s="1" t="n">
        <v>45807</v>
      </c>
      <c r="D780" t="inlineStr">
        <is>
          <t>JÄMTLANDS LÄN</t>
        </is>
      </c>
      <c r="E780" t="inlineStr">
        <is>
          <t>ÖSTERSUND</t>
        </is>
      </c>
      <c r="G780" t="n">
        <v>1.6</v>
      </c>
      <c r="H780" t="n">
        <v>0</v>
      </c>
      <c r="I780" t="n">
        <v>0</v>
      </c>
      <c r="J780" t="n">
        <v>0</v>
      </c>
      <c r="K780" t="n">
        <v>0</v>
      </c>
      <c r="L780" t="n">
        <v>0</v>
      </c>
      <c r="M780" t="n">
        <v>0</v>
      </c>
      <c r="N780" t="n">
        <v>0</v>
      </c>
      <c r="O780" t="n">
        <v>0</v>
      </c>
      <c r="P780" t="n">
        <v>0</v>
      </c>
      <c r="Q780" t="n">
        <v>0</v>
      </c>
      <c r="R780" s="2" t="inlineStr"/>
    </row>
    <row r="781" ht="15" customHeight="1">
      <c r="A781" t="inlineStr">
        <is>
          <t>A 1670-2024</t>
        </is>
      </c>
      <c r="B781" s="1" t="n">
        <v>45306</v>
      </c>
      <c r="C781" s="1" t="n">
        <v>45807</v>
      </c>
      <c r="D781" t="inlineStr">
        <is>
          <t>JÄMTLANDS LÄN</t>
        </is>
      </c>
      <c r="E781" t="inlineStr">
        <is>
          <t>ÖSTERSUND</t>
        </is>
      </c>
      <c r="G781" t="n">
        <v>1.2</v>
      </c>
      <c r="H781" t="n">
        <v>0</v>
      </c>
      <c r="I781" t="n">
        <v>0</v>
      </c>
      <c r="J781" t="n">
        <v>0</v>
      </c>
      <c r="K781" t="n">
        <v>0</v>
      </c>
      <c r="L781" t="n">
        <v>0</v>
      </c>
      <c r="M781" t="n">
        <v>0</v>
      </c>
      <c r="N781" t="n">
        <v>0</v>
      </c>
      <c r="O781" t="n">
        <v>0</v>
      </c>
      <c r="P781" t="n">
        <v>0</v>
      </c>
      <c r="Q781" t="n">
        <v>0</v>
      </c>
      <c r="R781" s="2" t="inlineStr"/>
    </row>
    <row r="782" ht="15" customHeight="1">
      <c r="A782" t="inlineStr">
        <is>
          <t>A 1873-2024</t>
        </is>
      </c>
      <c r="B782" s="1" t="n">
        <v>45307</v>
      </c>
      <c r="C782" s="1" t="n">
        <v>45807</v>
      </c>
      <c r="D782" t="inlineStr">
        <is>
          <t>JÄMTLANDS LÄN</t>
        </is>
      </c>
      <c r="E782" t="inlineStr">
        <is>
          <t>ÖSTERSUND</t>
        </is>
      </c>
      <c r="G782" t="n">
        <v>4.3</v>
      </c>
      <c r="H782" t="n">
        <v>0</v>
      </c>
      <c r="I782" t="n">
        <v>0</v>
      </c>
      <c r="J782" t="n">
        <v>0</v>
      </c>
      <c r="K782" t="n">
        <v>0</v>
      </c>
      <c r="L782" t="n">
        <v>0</v>
      </c>
      <c r="M782" t="n">
        <v>0</v>
      </c>
      <c r="N782" t="n">
        <v>0</v>
      </c>
      <c r="O782" t="n">
        <v>0</v>
      </c>
      <c r="P782" t="n">
        <v>0</v>
      </c>
      <c r="Q782" t="n">
        <v>0</v>
      </c>
      <c r="R782" s="2" t="inlineStr"/>
    </row>
    <row r="783" ht="15" customHeight="1">
      <c r="A783" t="inlineStr">
        <is>
          <t>A 2228-2024</t>
        </is>
      </c>
      <c r="B783" s="1" t="n">
        <v>45309</v>
      </c>
      <c r="C783" s="1" t="n">
        <v>45807</v>
      </c>
      <c r="D783" t="inlineStr">
        <is>
          <t>JÄMTLANDS LÄN</t>
        </is>
      </c>
      <c r="E783" t="inlineStr">
        <is>
          <t>ÖSTERSUND</t>
        </is>
      </c>
      <c r="G783" t="n">
        <v>2.5</v>
      </c>
      <c r="H783" t="n">
        <v>0</v>
      </c>
      <c r="I783" t="n">
        <v>0</v>
      </c>
      <c r="J783" t="n">
        <v>0</v>
      </c>
      <c r="K783" t="n">
        <v>0</v>
      </c>
      <c r="L783" t="n">
        <v>0</v>
      </c>
      <c r="M783" t="n">
        <v>0</v>
      </c>
      <c r="N783" t="n">
        <v>0</v>
      </c>
      <c r="O783" t="n">
        <v>0</v>
      </c>
      <c r="P783" t="n">
        <v>0</v>
      </c>
      <c r="Q783" t="n">
        <v>0</v>
      </c>
      <c r="R783" s="2" t="inlineStr"/>
    </row>
    <row r="784" ht="15" customHeight="1">
      <c r="A784" t="inlineStr">
        <is>
          <t>A 2615-2024</t>
        </is>
      </c>
      <c r="B784" s="1" t="n">
        <v>45313</v>
      </c>
      <c r="C784" s="1" t="n">
        <v>45807</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2627-2024</t>
        </is>
      </c>
      <c r="B785" s="1" t="n">
        <v>45313</v>
      </c>
      <c r="C785" s="1" t="n">
        <v>45807</v>
      </c>
      <c r="D785" t="inlineStr">
        <is>
          <t>JÄMTLANDS LÄN</t>
        </is>
      </c>
      <c r="E785" t="inlineStr">
        <is>
          <t>ÖSTERSUND</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2756-2024</t>
        </is>
      </c>
      <c r="B786" s="1" t="n">
        <v>45314</v>
      </c>
      <c r="C786" s="1" t="n">
        <v>45807</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2984-2024</t>
        </is>
      </c>
      <c r="B787" s="1" t="n">
        <v>45315</v>
      </c>
      <c r="C787" s="1" t="n">
        <v>45807</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2978-2024</t>
        </is>
      </c>
      <c r="B788" s="1" t="n">
        <v>45315</v>
      </c>
      <c r="C788" s="1" t="n">
        <v>45807</v>
      </c>
      <c r="D788" t="inlineStr">
        <is>
          <t>JÄMTLANDS LÄN</t>
        </is>
      </c>
      <c r="E788" t="inlineStr">
        <is>
          <t>ÖSTERSUND</t>
        </is>
      </c>
      <c r="G788" t="n">
        <v>1.7</v>
      </c>
      <c r="H788" t="n">
        <v>0</v>
      </c>
      <c r="I788" t="n">
        <v>0</v>
      </c>
      <c r="J788" t="n">
        <v>0</v>
      </c>
      <c r="K788" t="n">
        <v>0</v>
      </c>
      <c r="L788" t="n">
        <v>0</v>
      </c>
      <c r="M788" t="n">
        <v>0</v>
      </c>
      <c r="N788" t="n">
        <v>0</v>
      </c>
      <c r="O788" t="n">
        <v>0</v>
      </c>
      <c r="P788" t="n">
        <v>0</v>
      </c>
      <c r="Q788" t="n">
        <v>0</v>
      </c>
      <c r="R788" s="2" t="inlineStr"/>
    </row>
    <row r="789" ht="15" customHeight="1">
      <c r="A789" t="inlineStr">
        <is>
          <t>A 3186-2024</t>
        </is>
      </c>
      <c r="B789" s="1" t="n">
        <v>45316</v>
      </c>
      <c r="C789" s="1" t="n">
        <v>45807</v>
      </c>
      <c r="D789" t="inlineStr">
        <is>
          <t>JÄMTLANDS LÄN</t>
        </is>
      </c>
      <c r="E789" t="inlineStr">
        <is>
          <t>ÖSTERSUND</t>
        </is>
      </c>
      <c r="G789" t="n">
        <v>5.1</v>
      </c>
      <c r="H789" t="n">
        <v>0</v>
      </c>
      <c r="I789" t="n">
        <v>0</v>
      </c>
      <c r="J789" t="n">
        <v>0</v>
      </c>
      <c r="K789" t="n">
        <v>0</v>
      </c>
      <c r="L789" t="n">
        <v>0</v>
      </c>
      <c r="M789" t="n">
        <v>0</v>
      </c>
      <c r="N789" t="n">
        <v>0</v>
      </c>
      <c r="O789" t="n">
        <v>0</v>
      </c>
      <c r="P789" t="n">
        <v>0</v>
      </c>
      <c r="Q789" t="n">
        <v>0</v>
      </c>
      <c r="R789" s="2" t="inlineStr"/>
    </row>
    <row r="790" ht="15" customHeight="1">
      <c r="A790" t="inlineStr">
        <is>
          <t>A 3230-2024</t>
        </is>
      </c>
      <c r="B790" s="1" t="n">
        <v>45316</v>
      </c>
      <c r="C790" s="1" t="n">
        <v>45807</v>
      </c>
      <c r="D790" t="inlineStr">
        <is>
          <t>JÄMTLANDS LÄN</t>
        </is>
      </c>
      <c r="E790" t="inlineStr">
        <is>
          <t>ÖSTERSUND</t>
        </is>
      </c>
      <c r="G790" t="n">
        <v>4.4</v>
      </c>
      <c r="H790" t="n">
        <v>0</v>
      </c>
      <c r="I790" t="n">
        <v>0</v>
      </c>
      <c r="J790" t="n">
        <v>0</v>
      </c>
      <c r="K790" t="n">
        <v>0</v>
      </c>
      <c r="L790" t="n">
        <v>0</v>
      </c>
      <c r="M790" t="n">
        <v>0</v>
      </c>
      <c r="N790" t="n">
        <v>0</v>
      </c>
      <c r="O790" t="n">
        <v>0</v>
      </c>
      <c r="P790" t="n">
        <v>0</v>
      </c>
      <c r="Q790" t="n">
        <v>0</v>
      </c>
      <c r="R790" s="2" t="inlineStr"/>
    </row>
    <row r="791" ht="15" customHeight="1">
      <c r="A791" t="inlineStr">
        <is>
          <t>A 3270-2024</t>
        </is>
      </c>
      <c r="B791" s="1" t="n">
        <v>45316</v>
      </c>
      <c r="C791" s="1" t="n">
        <v>45807</v>
      </c>
      <c r="D791" t="inlineStr">
        <is>
          <t>JÄMTLANDS LÄN</t>
        </is>
      </c>
      <c r="E791" t="inlineStr">
        <is>
          <t>ÖSTERSUND</t>
        </is>
      </c>
      <c r="G791" t="n">
        <v>7.5</v>
      </c>
      <c r="H791" t="n">
        <v>0</v>
      </c>
      <c r="I791" t="n">
        <v>0</v>
      </c>
      <c r="J791" t="n">
        <v>0</v>
      </c>
      <c r="K791" t="n">
        <v>0</v>
      </c>
      <c r="L791" t="n">
        <v>0</v>
      </c>
      <c r="M791" t="n">
        <v>0</v>
      </c>
      <c r="N791" t="n">
        <v>0</v>
      </c>
      <c r="O791" t="n">
        <v>0</v>
      </c>
      <c r="P791" t="n">
        <v>0</v>
      </c>
      <c r="Q791" t="n">
        <v>0</v>
      </c>
      <c r="R791" s="2" t="inlineStr"/>
    </row>
    <row r="792" ht="15" customHeight="1">
      <c r="A792" t="inlineStr">
        <is>
          <t>A 3610-2024</t>
        </is>
      </c>
      <c r="B792" s="1" t="n">
        <v>45320</v>
      </c>
      <c r="C792" s="1" t="n">
        <v>45807</v>
      </c>
      <c r="D792" t="inlineStr">
        <is>
          <t>JÄMTLANDS LÄN</t>
        </is>
      </c>
      <c r="E792" t="inlineStr">
        <is>
          <t>ÖSTERSUND</t>
        </is>
      </c>
      <c r="G792" t="n">
        <v>6.2</v>
      </c>
      <c r="H792" t="n">
        <v>0</v>
      </c>
      <c r="I792" t="n">
        <v>0</v>
      </c>
      <c r="J792" t="n">
        <v>0</v>
      </c>
      <c r="K792" t="n">
        <v>0</v>
      </c>
      <c r="L792" t="n">
        <v>0</v>
      </c>
      <c r="M792" t="n">
        <v>0</v>
      </c>
      <c r="N792" t="n">
        <v>0</v>
      </c>
      <c r="O792" t="n">
        <v>0</v>
      </c>
      <c r="P792" t="n">
        <v>0</v>
      </c>
      <c r="Q792" t="n">
        <v>0</v>
      </c>
      <c r="R792" s="2" t="inlineStr"/>
    </row>
    <row r="793" ht="15" customHeight="1">
      <c r="A793" t="inlineStr">
        <is>
          <t>A 3844-2024</t>
        </is>
      </c>
      <c r="B793" s="1" t="n">
        <v>45321</v>
      </c>
      <c r="C793" s="1" t="n">
        <v>45807</v>
      </c>
      <c r="D793" t="inlineStr">
        <is>
          <t>JÄMTLANDS LÄN</t>
        </is>
      </c>
      <c r="E793" t="inlineStr">
        <is>
          <t>ÖSTERSUND</t>
        </is>
      </c>
      <c r="G793" t="n">
        <v>2.2</v>
      </c>
      <c r="H793" t="n">
        <v>0</v>
      </c>
      <c r="I793" t="n">
        <v>0</v>
      </c>
      <c r="J793" t="n">
        <v>0</v>
      </c>
      <c r="K793" t="n">
        <v>0</v>
      </c>
      <c r="L793" t="n">
        <v>0</v>
      </c>
      <c r="M793" t="n">
        <v>0</v>
      </c>
      <c r="N793" t="n">
        <v>0</v>
      </c>
      <c r="O793" t="n">
        <v>0</v>
      </c>
      <c r="P793" t="n">
        <v>0</v>
      </c>
      <c r="Q793" t="n">
        <v>0</v>
      </c>
      <c r="R793" s="2" t="inlineStr"/>
    </row>
    <row r="794" ht="15" customHeight="1">
      <c r="A794" t="inlineStr">
        <is>
          <t>A 4176-2024</t>
        </is>
      </c>
      <c r="B794" s="1" t="n">
        <v>45323</v>
      </c>
      <c r="C794" s="1" t="n">
        <v>45807</v>
      </c>
      <c r="D794" t="inlineStr">
        <is>
          <t>JÄMTLANDS LÄN</t>
        </is>
      </c>
      <c r="E794" t="inlineStr">
        <is>
          <t>ÖSTERSUND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4350-2024</t>
        </is>
      </c>
      <c r="B795" s="1" t="n">
        <v>45324</v>
      </c>
      <c r="C795" s="1" t="n">
        <v>45807</v>
      </c>
      <c r="D795" t="inlineStr">
        <is>
          <t>JÄMTLANDS LÄN</t>
        </is>
      </c>
      <c r="E795" t="inlineStr">
        <is>
          <t>ÖSTERSUND</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4707-2024</t>
        </is>
      </c>
      <c r="B796" s="1" t="n">
        <v>45328</v>
      </c>
      <c r="C796" s="1" t="n">
        <v>45807</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5455-2024</t>
        </is>
      </c>
      <c r="B797" s="1" t="n">
        <v>45331</v>
      </c>
      <c r="C797" s="1" t="n">
        <v>45807</v>
      </c>
      <c r="D797" t="inlineStr">
        <is>
          <t>JÄMTLANDS LÄN</t>
        </is>
      </c>
      <c r="E797" t="inlineStr">
        <is>
          <t>ÖSTERSUND</t>
        </is>
      </c>
      <c r="G797" t="n">
        <v>4.8</v>
      </c>
      <c r="H797" t="n">
        <v>0</v>
      </c>
      <c r="I797" t="n">
        <v>0</v>
      </c>
      <c r="J797" t="n">
        <v>0</v>
      </c>
      <c r="K797" t="n">
        <v>0</v>
      </c>
      <c r="L797" t="n">
        <v>0</v>
      </c>
      <c r="M797" t="n">
        <v>0</v>
      </c>
      <c r="N797" t="n">
        <v>0</v>
      </c>
      <c r="O797" t="n">
        <v>0</v>
      </c>
      <c r="P797" t="n">
        <v>0</v>
      </c>
      <c r="Q797" t="n">
        <v>0</v>
      </c>
      <c r="R797" s="2" t="inlineStr"/>
    </row>
    <row r="798" ht="15" customHeight="1">
      <c r="A798" t="inlineStr">
        <is>
          <t>A 5920-2024</t>
        </is>
      </c>
      <c r="B798" s="1" t="n">
        <v>45335</v>
      </c>
      <c r="C798" s="1" t="n">
        <v>45807</v>
      </c>
      <c r="D798" t="inlineStr">
        <is>
          <t>JÄMTLANDS LÄN</t>
        </is>
      </c>
      <c r="E798" t="inlineStr">
        <is>
          <t>ÖSTERSUND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6048-2024</t>
        </is>
      </c>
      <c r="B799" s="1" t="n">
        <v>45336</v>
      </c>
      <c r="C799" s="1" t="n">
        <v>45807</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6056-2024</t>
        </is>
      </c>
      <c r="B800" s="1" t="n">
        <v>45336</v>
      </c>
      <c r="C800" s="1" t="n">
        <v>45807</v>
      </c>
      <c r="D800" t="inlineStr">
        <is>
          <t>JÄMTLANDS LÄN</t>
        </is>
      </c>
      <c r="E800" t="inlineStr">
        <is>
          <t>ÖSTERSUND</t>
        </is>
      </c>
      <c r="G800" t="n">
        <v>3.9</v>
      </c>
      <c r="H800" t="n">
        <v>0</v>
      </c>
      <c r="I800" t="n">
        <v>0</v>
      </c>
      <c r="J800" t="n">
        <v>0</v>
      </c>
      <c r="K800" t="n">
        <v>0</v>
      </c>
      <c r="L800" t="n">
        <v>0</v>
      </c>
      <c r="M800" t="n">
        <v>0</v>
      </c>
      <c r="N800" t="n">
        <v>0</v>
      </c>
      <c r="O800" t="n">
        <v>0</v>
      </c>
      <c r="P800" t="n">
        <v>0</v>
      </c>
      <c r="Q800" t="n">
        <v>0</v>
      </c>
      <c r="R800" s="2" t="inlineStr"/>
    </row>
    <row r="801" ht="15" customHeight="1">
      <c r="A801" t="inlineStr">
        <is>
          <t>A 6053-2024</t>
        </is>
      </c>
      <c r="B801" s="1" t="n">
        <v>45336</v>
      </c>
      <c r="C801" s="1" t="n">
        <v>45807</v>
      </c>
      <c r="D801" t="inlineStr">
        <is>
          <t>JÄMTLANDS LÄN</t>
        </is>
      </c>
      <c r="E801" t="inlineStr">
        <is>
          <t>ÖSTERSUND</t>
        </is>
      </c>
      <c r="G801" t="n">
        <v>1.4</v>
      </c>
      <c r="H801" t="n">
        <v>0</v>
      </c>
      <c r="I801" t="n">
        <v>0</v>
      </c>
      <c r="J801" t="n">
        <v>0</v>
      </c>
      <c r="K801" t="n">
        <v>0</v>
      </c>
      <c r="L801" t="n">
        <v>0</v>
      </c>
      <c r="M801" t="n">
        <v>0</v>
      </c>
      <c r="N801" t="n">
        <v>0</v>
      </c>
      <c r="O801" t="n">
        <v>0</v>
      </c>
      <c r="P801" t="n">
        <v>0</v>
      </c>
      <c r="Q801" t="n">
        <v>0</v>
      </c>
      <c r="R801" s="2" t="inlineStr"/>
    </row>
    <row r="802" ht="15" customHeight="1">
      <c r="A802" t="inlineStr">
        <is>
          <t>A 6351-2024</t>
        </is>
      </c>
      <c r="B802" s="1" t="n">
        <v>45338</v>
      </c>
      <c r="C802" s="1" t="n">
        <v>45807</v>
      </c>
      <c r="D802" t="inlineStr">
        <is>
          <t>JÄMTLANDS LÄN</t>
        </is>
      </c>
      <c r="E802" t="inlineStr">
        <is>
          <t>ÖSTERSUND</t>
        </is>
      </c>
      <c r="G802" t="n">
        <v>0.8</v>
      </c>
      <c r="H802" t="n">
        <v>0</v>
      </c>
      <c r="I802" t="n">
        <v>0</v>
      </c>
      <c r="J802" t="n">
        <v>0</v>
      </c>
      <c r="K802" t="n">
        <v>0</v>
      </c>
      <c r="L802" t="n">
        <v>0</v>
      </c>
      <c r="M802" t="n">
        <v>0</v>
      </c>
      <c r="N802" t="n">
        <v>0</v>
      </c>
      <c r="O802" t="n">
        <v>0</v>
      </c>
      <c r="P802" t="n">
        <v>0</v>
      </c>
      <c r="Q802" t="n">
        <v>0</v>
      </c>
      <c r="R802" s="2" t="inlineStr"/>
    </row>
    <row r="803" ht="15" customHeight="1">
      <c r="A803" t="inlineStr">
        <is>
          <t>A 6353-2024</t>
        </is>
      </c>
      <c r="B803" s="1" t="n">
        <v>45338</v>
      </c>
      <c r="C803" s="1" t="n">
        <v>45807</v>
      </c>
      <c r="D803" t="inlineStr">
        <is>
          <t>JÄMTLANDS LÄN</t>
        </is>
      </c>
      <c r="E803" t="inlineStr">
        <is>
          <t>ÖSTERSUND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6376-2024</t>
        </is>
      </c>
      <c r="B804" s="1" t="n">
        <v>45338</v>
      </c>
      <c r="C804" s="1" t="n">
        <v>45807</v>
      </c>
      <c r="D804" t="inlineStr">
        <is>
          <t>JÄMTLANDS LÄN</t>
        </is>
      </c>
      <c r="E804" t="inlineStr">
        <is>
          <t>ÖSTERSUND</t>
        </is>
      </c>
      <c r="G804" t="n">
        <v>4.6</v>
      </c>
      <c r="H804" t="n">
        <v>0</v>
      </c>
      <c r="I804" t="n">
        <v>0</v>
      </c>
      <c r="J804" t="n">
        <v>0</v>
      </c>
      <c r="K804" t="n">
        <v>0</v>
      </c>
      <c r="L804" t="n">
        <v>0</v>
      </c>
      <c r="M804" t="n">
        <v>0</v>
      </c>
      <c r="N804" t="n">
        <v>0</v>
      </c>
      <c r="O804" t="n">
        <v>0</v>
      </c>
      <c r="P804" t="n">
        <v>0</v>
      </c>
      <c r="Q804" t="n">
        <v>0</v>
      </c>
      <c r="R804" s="2" t="inlineStr"/>
    </row>
    <row r="805" ht="15" customHeight="1">
      <c r="A805" t="inlineStr">
        <is>
          <t>A 6402-2024</t>
        </is>
      </c>
      <c r="B805" s="1" t="n">
        <v>45338</v>
      </c>
      <c r="C805" s="1" t="n">
        <v>45807</v>
      </c>
      <c r="D805" t="inlineStr">
        <is>
          <t>JÄMTLANDS LÄN</t>
        </is>
      </c>
      <c r="E805" t="inlineStr">
        <is>
          <t>ÖSTERSUND</t>
        </is>
      </c>
      <c r="G805" t="n">
        <v>4.4</v>
      </c>
      <c r="H805" t="n">
        <v>0</v>
      </c>
      <c r="I805" t="n">
        <v>0</v>
      </c>
      <c r="J805" t="n">
        <v>0</v>
      </c>
      <c r="K805" t="n">
        <v>0</v>
      </c>
      <c r="L805" t="n">
        <v>0</v>
      </c>
      <c r="M805" t="n">
        <v>0</v>
      </c>
      <c r="N805" t="n">
        <v>0</v>
      </c>
      <c r="O805" t="n">
        <v>0</v>
      </c>
      <c r="P805" t="n">
        <v>0</v>
      </c>
      <c r="Q805" t="n">
        <v>0</v>
      </c>
      <c r="R805" s="2" t="inlineStr"/>
    </row>
    <row r="806" ht="15" customHeight="1">
      <c r="A806" t="inlineStr">
        <is>
          <t>A 6481-2024</t>
        </is>
      </c>
      <c r="B806" s="1" t="n">
        <v>45338</v>
      </c>
      <c r="C806" s="1" t="n">
        <v>45807</v>
      </c>
      <c r="D806" t="inlineStr">
        <is>
          <t>JÄMTLANDS LÄN</t>
        </is>
      </c>
      <c r="E806" t="inlineStr">
        <is>
          <t>ÖSTERSUND</t>
        </is>
      </c>
      <c r="F806" t="inlineStr">
        <is>
          <t>SCA</t>
        </is>
      </c>
      <c r="G806" t="n">
        <v>21.3</v>
      </c>
      <c r="H806" t="n">
        <v>0</v>
      </c>
      <c r="I806" t="n">
        <v>0</v>
      </c>
      <c r="J806" t="n">
        <v>0</v>
      </c>
      <c r="K806" t="n">
        <v>0</v>
      </c>
      <c r="L806" t="n">
        <v>0</v>
      </c>
      <c r="M806" t="n">
        <v>0</v>
      </c>
      <c r="N806" t="n">
        <v>0</v>
      </c>
      <c r="O806" t="n">
        <v>0</v>
      </c>
      <c r="P806" t="n">
        <v>0</v>
      </c>
      <c r="Q806" t="n">
        <v>0</v>
      </c>
      <c r="R806" s="2" t="inlineStr"/>
    </row>
    <row r="807" ht="15" customHeight="1">
      <c r="A807" t="inlineStr">
        <is>
          <t>A 6877-2024</t>
        </is>
      </c>
      <c r="B807" s="1" t="n">
        <v>45342</v>
      </c>
      <c r="C807" s="1" t="n">
        <v>45807</v>
      </c>
      <c r="D807" t="inlineStr">
        <is>
          <t>JÄMTLANDS LÄN</t>
        </is>
      </c>
      <c r="E807" t="inlineStr">
        <is>
          <t>ÖSTERSUND</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7233-2024</t>
        </is>
      </c>
      <c r="B808" s="1" t="n">
        <v>45344</v>
      </c>
      <c r="C808" s="1" t="n">
        <v>45807</v>
      </c>
      <c r="D808" t="inlineStr">
        <is>
          <t>JÄMTLANDS LÄN</t>
        </is>
      </c>
      <c r="E808" t="inlineStr">
        <is>
          <t>ÖSTERSUND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7224-2024</t>
        </is>
      </c>
      <c r="B809" s="1" t="n">
        <v>45344</v>
      </c>
      <c r="C809" s="1" t="n">
        <v>45807</v>
      </c>
      <c r="D809" t="inlineStr">
        <is>
          <t>JÄMTLANDS LÄN</t>
        </is>
      </c>
      <c r="E809" t="inlineStr">
        <is>
          <t>ÖSTERSUND</t>
        </is>
      </c>
      <c r="G809" t="n">
        <v>2.9</v>
      </c>
      <c r="H809" t="n">
        <v>0</v>
      </c>
      <c r="I809" t="n">
        <v>0</v>
      </c>
      <c r="J809" t="n">
        <v>0</v>
      </c>
      <c r="K809" t="n">
        <v>0</v>
      </c>
      <c r="L809" t="n">
        <v>0</v>
      </c>
      <c r="M809" t="n">
        <v>0</v>
      </c>
      <c r="N809" t="n">
        <v>0</v>
      </c>
      <c r="O809" t="n">
        <v>0</v>
      </c>
      <c r="P809" t="n">
        <v>0</v>
      </c>
      <c r="Q809" t="n">
        <v>0</v>
      </c>
      <c r="R809" s="2" t="inlineStr"/>
    </row>
    <row r="810" ht="15" customHeight="1">
      <c r="A810" t="inlineStr">
        <is>
          <t>A 7228-2024</t>
        </is>
      </c>
      <c r="B810" s="1" t="n">
        <v>45344</v>
      </c>
      <c r="C810" s="1" t="n">
        <v>45807</v>
      </c>
      <c r="D810" t="inlineStr">
        <is>
          <t>JÄMTLANDS LÄN</t>
        </is>
      </c>
      <c r="E810" t="inlineStr">
        <is>
          <t>ÖSTERSUND</t>
        </is>
      </c>
      <c r="G810" t="n">
        <v>3</v>
      </c>
      <c r="H810" t="n">
        <v>0</v>
      </c>
      <c r="I810" t="n">
        <v>0</v>
      </c>
      <c r="J810" t="n">
        <v>0</v>
      </c>
      <c r="K810" t="n">
        <v>0</v>
      </c>
      <c r="L810" t="n">
        <v>0</v>
      </c>
      <c r="M810" t="n">
        <v>0</v>
      </c>
      <c r="N810" t="n">
        <v>0</v>
      </c>
      <c r="O810" t="n">
        <v>0</v>
      </c>
      <c r="P810" t="n">
        <v>0</v>
      </c>
      <c r="Q810" t="n">
        <v>0</v>
      </c>
      <c r="R810" s="2" t="inlineStr"/>
    </row>
    <row r="811" ht="15" customHeight="1">
      <c r="A811" t="inlineStr">
        <is>
          <t>A 7484-2024</t>
        </is>
      </c>
      <c r="B811" s="1" t="n">
        <v>45346</v>
      </c>
      <c r="C811" s="1" t="n">
        <v>45807</v>
      </c>
      <c r="D811" t="inlineStr">
        <is>
          <t>JÄMTLANDS LÄN</t>
        </is>
      </c>
      <c r="E811" t="inlineStr">
        <is>
          <t>ÖSTERSUND</t>
        </is>
      </c>
      <c r="G811" t="n">
        <v>5.4</v>
      </c>
      <c r="H811" t="n">
        <v>0</v>
      </c>
      <c r="I811" t="n">
        <v>0</v>
      </c>
      <c r="J811" t="n">
        <v>0</v>
      </c>
      <c r="K811" t="n">
        <v>0</v>
      </c>
      <c r="L811" t="n">
        <v>0</v>
      </c>
      <c r="M811" t="n">
        <v>0</v>
      </c>
      <c r="N811" t="n">
        <v>0</v>
      </c>
      <c r="O811" t="n">
        <v>0</v>
      </c>
      <c r="P811" t="n">
        <v>0</v>
      </c>
      <c r="Q811" t="n">
        <v>0</v>
      </c>
      <c r="R811" s="2" t="inlineStr"/>
    </row>
    <row r="812" ht="15" customHeight="1">
      <c r="A812" t="inlineStr">
        <is>
          <t>A 8166-2024</t>
        </is>
      </c>
      <c r="B812" s="1" t="n">
        <v>45349</v>
      </c>
      <c r="C812" s="1" t="n">
        <v>45807</v>
      </c>
      <c r="D812" t="inlineStr">
        <is>
          <t>JÄMTLANDS LÄN</t>
        </is>
      </c>
      <c r="E812" t="inlineStr">
        <is>
          <t>ÖSTERSUND</t>
        </is>
      </c>
      <c r="G812" t="n">
        <v>2.7</v>
      </c>
      <c r="H812" t="n">
        <v>0</v>
      </c>
      <c r="I812" t="n">
        <v>0</v>
      </c>
      <c r="J812" t="n">
        <v>0</v>
      </c>
      <c r="K812" t="n">
        <v>0</v>
      </c>
      <c r="L812" t="n">
        <v>0</v>
      </c>
      <c r="M812" t="n">
        <v>0</v>
      </c>
      <c r="N812" t="n">
        <v>0</v>
      </c>
      <c r="O812" t="n">
        <v>0</v>
      </c>
      <c r="P812" t="n">
        <v>0</v>
      </c>
      <c r="Q812" t="n">
        <v>0</v>
      </c>
      <c r="R812" s="2" t="inlineStr"/>
    </row>
    <row r="813" ht="15" customHeight="1">
      <c r="A813" t="inlineStr">
        <is>
          <t>A 9109-2024</t>
        </is>
      </c>
      <c r="B813" s="1" t="n">
        <v>45358</v>
      </c>
      <c r="C813" s="1" t="n">
        <v>45807</v>
      </c>
      <c r="D813" t="inlineStr">
        <is>
          <t>JÄMTLANDS LÄN</t>
        </is>
      </c>
      <c r="E813" t="inlineStr">
        <is>
          <t>ÖSTERSUND</t>
        </is>
      </c>
      <c r="G813" t="n">
        <v>17.1</v>
      </c>
      <c r="H813" t="n">
        <v>0</v>
      </c>
      <c r="I813" t="n">
        <v>0</v>
      </c>
      <c r="J813" t="n">
        <v>0</v>
      </c>
      <c r="K813" t="n">
        <v>0</v>
      </c>
      <c r="L813" t="n">
        <v>0</v>
      </c>
      <c r="M813" t="n">
        <v>0</v>
      </c>
      <c r="N813" t="n">
        <v>0</v>
      </c>
      <c r="O813" t="n">
        <v>0</v>
      </c>
      <c r="P813" t="n">
        <v>0</v>
      </c>
      <c r="Q813" t="n">
        <v>0</v>
      </c>
      <c r="R813" s="2" t="inlineStr"/>
    </row>
    <row r="814" ht="15" customHeight="1">
      <c r="A814" t="inlineStr">
        <is>
          <t>A 9151-2024</t>
        </is>
      </c>
      <c r="B814" s="1" t="n">
        <v>45358</v>
      </c>
      <c r="C814" s="1" t="n">
        <v>45807</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9859-2024</t>
        </is>
      </c>
      <c r="B815" s="1" t="n">
        <v>45363</v>
      </c>
      <c r="C815" s="1" t="n">
        <v>45807</v>
      </c>
      <c r="D815" t="inlineStr">
        <is>
          <t>JÄMTLANDS LÄN</t>
        </is>
      </c>
      <c r="E815" t="inlineStr">
        <is>
          <t>ÖSTERSUND</t>
        </is>
      </c>
      <c r="G815" t="n">
        <v>5.5</v>
      </c>
      <c r="H815" t="n">
        <v>0</v>
      </c>
      <c r="I815" t="n">
        <v>0</v>
      </c>
      <c r="J815" t="n">
        <v>0</v>
      </c>
      <c r="K815" t="n">
        <v>0</v>
      </c>
      <c r="L815" t="n">
        <v>0</v>
      </c>
      <c r="M815" t="n">
        <v>0</v>
      </c>
      <c r="N815" t="n">
        <v>0</v>
      </c>
      <c r="O815" t="n">
        <v>0</v>
      </c>
      <c r="P815" t="n">
        <v>0</v>
      </c>
      <c r="Q815" t="n">
        <v>0</v>
      </c>
      <c r="R815" s="2" t="inlineStr"/>
    </row>
    <row r="816" ht="15" customHeight="1">
      <c r="A816" t="inlineStr">
        <is>
          <t>A 10064-2024</t>
        </is>
      </c>
      <c r="B816" s="1" t="n">
        <v>45364</v>
      </c>
      <c r="C816" s="1" t="n">
        <v>45807</v>
      </c>
      <c r="D816" t="inlineStr">
        <is>
          <t>JÄMTLANDS LÄN</t>
        </is>
      </c>
      <c r="E816" t="inlineStr">
        <is>
          <t>ÖSTERSUND</t>
        </is>
      </c>
      <c r="G816" t="n">
        <v>13.9</v>
      </c>
      <c r="H816" t="n">
        <v>0</v>
      </c>
      <c r="I816" t="n">
        <v>0</v>
      </c>
      <c r="J816" t="n">
        <v>0</v>
      </c>
      <c r="K816" t="n">
        <v>0</v>
      </c>
      <c r="L816" t="n">
        <v>0</v>
      </c>
      <c r="M816" t="n">
        <v>0</v>
      </c>
      <c r="N816" t="n">
        <v>0</v>
      </c>
      <c r="O816" t="n">
        <v>0</v>
      </c>
      <c r="P816" t="n">
        <v>0</v>
      </c>
      <c r="Q816" t="n">
        <v>0</v>
      </c>
      <c r="R816" s="2" t="inlineStr"/>
    </row>
    <row r="817" ht="15" customHeight="1">
      <c r="A817" t="inlineStr">
        <is>
          <t>A 10619-2024</t>
        </is>
      </c>
      <c r="B817" s="1" t="n">
        <v>45367</v>
      </c>
      <c r="C817" s="1" t="n">
        <v>45807</v>
      </c>
      <c r="D817" t="inlineStr">
        <is>
          <t>JÄMTLANDS LÄN</t>
        </is>
      </c>
      <c r="E817" t="inlineStr">
        <is>
          <t>ÖSTERSUND</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11052-2024</t>
        </is>
      </c>
      <c r="B818" s="1" t="n">
        <v>45370</v>
      </c>
      <c r="C818" s="1" t="n">
        <v>45807</v>
      </c>
      <c r="D818" t="inlineStr">
        <is>
          <t>JÄMTLANDS LÄN</t>
        </is>
      </c>
      <c r="E818" t="inlineStr">
        <is>
          <t>ÖSTERSUND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11768-2024</t>
        </is>
      </c>
      <c r="B819" s="1" t="n">
        <v>45373</v>
      </c>
      <c r="C819" s="1" t="n">
        <v>45807</v>
      </c>
      <c r="D819" t="inlineStr">
        <is>
          <t>JÄMTLANDS LÄN</t>
        </is>
      </c>
      <c r="E819" t="inlineStr">
        <is>
          <t>ÖSTERSUND</t>
        </is>
      </c>
      <c r="F819" t="inlineStr">
        <is>
          <t>SCA</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11877-2024</t>
        </is>
      </c>
      <c r="B820" s="1" t="n">
        <v>45376</v>
      </c>
      <c r="C820" s="1" t="n">
        <v>45807</v>
      </c>
      <c r="D820" t="inlineStr">
        <is>
          <t>JÄMTLANDS LÄN</t>
        </is>
      </c>
      <c r="E820" t="inlineStr">
        <is>
          <t>ÖSTERSUND</t>
        </is>
      </c>
      <c r="G820" t="n">
        <v>2.6</v>
      </c>
      <c r="H820" t="n">
        <v>0</v>
      </c>
      <c r="I820" t="n">
        <v>0</v>
      </c>
      <c r="J820" t="n">
        <v>0</v>
      </c>
      <c r="K820" t="n">
        <v>0</v>
      </c>
      <c r="L820" t="n">
        <v>0</v>
      </c>
      <c r="M820" t="n">
        <v>0</v>
      </c>
      <c r="N820" t="n">
        <v>0</v>
      </c>
      <c r="O820" t="n">
        <v>0</v>
      </c>
      <c r="P820" t="n">
        <v>0</v>
      </c>
      <c r="Q820" t="n">
        <v>0</v>
      </c>
      <c r="R820" s="2" t="inlineStr"/>
    </row>
    <row r="821" ht="15" customHeight="1">
      <c r="A821" t="inlineStr">
        <is>
          <t>A 11931-2024</t>
        </is>
      </c>
      <c r="B821" s="1" t="n">
        <v>45376</v>
      </c>
      <c r="C821" s="1" t="n">
        <v>45807</v>
      </c>
      <c r="D821" t="inlineStr">
        <is>
          <t>JÄMTLANDS LÄN</t>
        </is>
      </c>
      <c r="E821" t="inlineStr">
        <is>
          <t>ÖSTERSUND</t>
        </is>
      </c>
      <c r="G821" t="n">
        <v>1.6</v>
      </c>
      <c r="H821" t="n">
        <v>0</v>
      </c>
      <c r="I821" t="n">
        <v>0</v>
      </c>
      <c r="J821" t="n">
        <v>0</v>
      </c>
      <c r="K821" t="n">
        <v>0</v>
      </c>
      <c r="L821" t="n">
        <v>0</v>
      </c>
      <c r="M821" t="n">
        <v>0</v>
      </c>
      <c r="N821" t="n">
        <v>0</v>
      </c>
      <c r="O821" t="n">
        <v>0</v>
      </c>
      <c r="P821" t="n">
        <v>0</v>
      </c>
      <c r="Q821" t="n">
        <v>0</v>
      </c>
      <c r="R821" s="2" t="inlineStr"/>
    </row>
    <row r="822" ht="15" customHeight="1">
      <c r="A822" t="inlineStr">
        <is>
          <t>A 14142-2024</t>
        </is>
      </c>
      <c r="B822" s="1" t="n">
        <v>45392</v>
      </c>
      <c r="C822" s="1" t="n">
        <v>45807</v>
      </c>
      <c r="D822" t="inlineStr">
        <is>
          <t>JÄMTLANDS LÄN</t>
        </is>
      </c>
      <c r="E822" t="inlineStr">
        <is>
          <t>ÖSTERSUND</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16068-2024</t>
        </is>
      </c>
      <c r="B823" s="1" t="n">
        <v>45406</v>
      </c>
      <c r="C823" s="1" t="n">
        <v>45807</v>
      </c>
      <c r="D823" t="inlineStr">
        <is>
          <t>JÄMTLANDS LÄN</t>
        </is>
      </c>
      <c r="E823" t="inlineStr">
        <is>
          <t>ÖSTERSUND</t>
        </is>
      </c>
      <c r="F823" t="inlineStr">
        <is>
          <t>SCA</t>
        </is>
      </c>
      <c r="G823" t="n">
        <v>35.6</v>
      </c>
      <c r="H823" t="n">
        <v>0</v>
      </c>
      <c r="I823" t="n">
        <v>0</v>
      </c>
      <c r="J823" t="n">
        <v>0</v>
      </c>
      <c r="K823" t="n">
        <v>0</v>
      </c>
      <c r="L823" t="n">
        <v>0</v>
      </c>
      <c r="M823" t="n">
        <v>0</v>
      </c>
      <c r="N823" t="n">
        <v>0</v>
      </c>
      <c r="O823" t="n">
        <v>0</v>
      </c>
      <c r="P823" t="n">
        <v>0</v>
      </c>
      <c r="Q823" t="n">
        <v>0</v>
      </c>
      <c r="R823" s="2" t="inlineStr"/>
    </row>
    <row r="824" ht="15" customHeight="1">
      <c r="A824" t="inlineStr">
        <is>
          <t>A 16065-2024</t>
        </is>
      </c>
      <c r="B824" s="1" t="n">
        <v>45406</v>
      </c>
      <c r="C824" s="1" t="n">
        <v>45807</v>
      </c>
      <c r="D824" t="inlineStr">
        <is>
          <t>JÄMTLANDS LÄN</t>
        </is>
      </c>
      <c r="E824" t="inlineStr">
        <is>
          <t>ÖSTERSUND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16459-2024</t>
        </is>
      </c>
      <c r="B825" s="1" t="n">
        <v>45407</v>
      </c>
      <c r="C825" s="1" t="n">
        <v>45807</v>
      </c>
      <c r="D825" t="inlineStr">
        <is>
          <t>JÄMTLANDS LÄN</t>
        </is>
      </c>
      <c r="E825" t="inlineStr">
        <is>
          <t>ÖSTERSUND</t>
        </is>
      </c>
      <c r="G825" t="n">
        <v>24</v>
      </c>
      <c r="H825" t="n">
        <v>0</v>
      </c>
      <c r="I825" t="n">
        <v>0</v>
      </c>
      <c r="J825" t="n">
        <v>0</v>
      </c>
      <c r="K825" t="n">
        <v>0</v>
      </c>
      <c r="L825" t="n">
        <v>0</v>
      </c>
      <c r="M825" t="n">
        <v>0</v>
      </c>
      <c r="N825" t="n">
        <v>0</v>
      </c>
      <c r="O825" t="n">
        <v>0</v>
      </c>
      <c r="P825" t="n">
        <v>0</v>
      </c>
      <c r="Q825" t="n">
        <v>0</v>
      </c>
      <c r="R825" s="2" t="inlineStr"/>
    </row>
    <row r="826" ht="15" customHeight="1">
      <c r="A826" t="inlineStr">
        <is>
          <t>A 16689-2024</t>
        </is>
      </c>
      <c r="B826" s="1" t="n">
        <v>45408</v>
      </c>
      <c r="C826" s="1" t="n">
        <v>45807</v>
      </c>
      <c r="D826" t="inlineStr">
        <is>
          <t>JÄMTLANDS LÄN</t>
        </is>
      </c>
      <c r="E826" t="inlineStr">
        <is>
          <t>ÖSTERSUND</t>
        </is>
      </c>
      <c r="G826" t="n">
        <v>0.6</v>
      </c>
      <c r="H826" t="n">
        <v>0</v>
      </c>
      <c r="I826" t="n">
        <v>0</v>
      </c>
      <c r="J826" t="n">
        <v>0</v>
      </c>
      <c r="K826" t="n">
        <v>0</v>
      </c>
      <c r="L826" t="n">
        <v>0</v>
      </c>
      <c r="M826" t="n">
        <v>0</v>
      </c>
      <c r="N826" t="n">
        <v>0</v>
      </c>
      <c r="O826" t="n">
        <v>0</v>
      </c>
      <c r="P826" t="n">
        <v>0</v>
      </c>
      <c r="Q826" t="n">
        <v>0</v>
      </c>
      <c r="R826" s="2" t="inlineStr"/>
    </row>
    <row r="827" ht="15" customHeight="1">
      <c r="A827" t="inlineStr">
        <is>
          <t>A 17188-2024</t>
        </is>
      </c>
      <c r="B827" s="1" t="n">
        <v>45413</v>
      </c>
      <c r="C827" s="1" t="n">
        <v>45807</v>
      </c>
      <c r="D827" t="inlineStr">
        <is>
          <t>JÄMTLANDS LÄN</t>
        </is>
      </c>
      <c r="E827" t="inlineStr">
        <is>
          <t>ÖSTERSUND</t>
        </is>
      </c>
      <c r="F827" t="inlineStr">
        <is>
          <t>SCA</t>
        </is>
      </c>
      <c r="G827" t="n">
        <v>14.6</v>
      </c>
      <c r="H827" t="n">
        <v>0</v>
      </c>
      <c r="I827" t="n">
        <v>0</v>
      </c>
      <c r="J827" t="n">
        <v>0</v>
      </c>
      <c r="K827" t="n">
        <v>0</v>
      </c>
      <c r="L827" t="n">
        <v>0</v>
      </c>
      <c r="M827" t="n">
        <v>0</v>
      </c>
      <c r="N827" t="n">
        <v>0</v>
      </c>
      <c r="O827" t="n">
        <v>0</v>
      </c>
      <c r="P827" t="n">
        <v>0</v>
      </c>
      <c r="Q827" t="n">
        <v>0</v>
      </c>
      <c r="R827" s="2" t="inlineStr"/>
    </row>
    <row r="828" ht="15" customHeight="1">
      <c r="A828" t="inlineStr">
        <is>
          <t>A 17062-2024</t>
        </is>
      </c>
      <c r="B828" s="1" t="n">
        <v>45412</v>
      </c>
      <c r="C828" s="1" t="n">
        <v>45807</v>
      </c>
      <c r="D828" t="inlineStr">
        <is>
          <t>JÄMTLANDS LÄN</t>
        </is>
      </c>
      <c r="E828" t="inlineStr">
        <is>
          <t>ÖSTERSUND</t>
        </is>
      </c>
      <c r="G828" t="n">
        <v>8</v>
      </c>
      <c r="H828" t="n">
        <v>0</v>
      </c>
      <c r="I828" t="n">
        <v>0</v>
      </c>
      <c r="J828" t="n">
        <v>0</v>
      </c>
      <c r="K828" t="n">
        <v>0</v>
      </c>
      <c r="L828" t="n">
        <v>0</v>
      </c>
      <c r="M828" t="n">
        <v>0</v>
      </c>
      <c r="N828" t="n">
        <v>0</v>
      </c>
      <c r="O828" t="n">
        <v>0</v>
      </c>
      <c r="P828" t="n">
        <v>0</v>
      </c>
      <c r="Q828" t="n">
        <v>0</v>
      </c>
      <c r="R828" s="2" t="inlineStr"/>
    </row>
    <row r="829" ht="15" customHeight="1">
      <c r="A829" t="inlineStr">
        <is>
          <t>A 17066-2024</t>
        </is>
      </c>
      <c r="B829" s="1" t="n">
        <v>45412</v>
      </c>
      <c r="C829" s="1" t="n">
        <v>45807</v>
      </c>
      <c r="D829" t="inlineStr">
        <is>
          <t>JÄMTLANDS LÄN</t>
        </is>
      </c>
      <c r="E829" t="inlineStr">
        <is>
          <t>ÖSTERSUND</t>
        </is>
      </c>
      <c r="G829" t="n">
        <v>4.2</v>
      </c>
      <c r="H829" t="n">
        <v>0</v>
      </c>
      <c r="I829" t="n">
        <v>0</v>
      </c>
      <c r="J829" t="n">
        <v>0</v>
      </c>
      <c r="K829" t="n">
        <v>0</v>
      </c>
      <c r="L829" t="n">
        <v>0</v>
      </c>
      <c r="M829" t="n">
        <v>0</v>
      </c>
      <c r="N829" t="n">
        <v>0</v>
      </c>
      <c r="O829" t="n">
        <v>0</v>
      </c>
      <c r="P829" t="n">
        <v>0</v>
      </c>
      <c r="Q829" t="n">
        <v>0</v>
      </c>
      <c r="R829" s="2" t="inlineStr"/>
    </row>
    <row r="830" ht="15" customHeight="1">
      <c r="A830" t="inlineStr">
        <is>
          <t>A 17547-2024</t>
        </is>
      </c>
      <c r="B830" s="1" t="n">
        <v>45415</v>
      </c>
      <c r="C830" s="1" t="n">
        <v>45807</v>
      </c>
      <c r="D830" t="inlineStr">
        <is>
          <t>JÄMTLANDS LÄN</t>
        </is>
      </c>
      <c r="E830" t="inlineStr">
        <is>
          <t>ÖSTERSUND</t>
        </is>
      </c>
      <c r="G830" t="n">
        <v>2.1</v>
      </c>
      <c r="H830" t="n">
        <v>0</v>
      </c>
      <c r="I830" t="n">
        <v>0</v>
      </c>
      <c r="J830" t="n">
        <v>0</v>
      </c>
      <c r="K830" t="n">
        <v>0</v>
      </c>
      <c r="L830" t="n">
        <v>0</v>
      </c>
      <c r="M830" t="n">
        <v>0</v>
      </c>
      <c r="N830" t="n">
        <v>0</v>
      </c>
      <c r="O830" t="n">
        <v>0</v>
      </c>
      <c r="P830" t="n">
        <v>0</v>
      </c>
      <c r="Q830" t="n">
        <v>0</v>
      </c>
      <c r="R830" s="2" t="inlineStr"/>
    </row>
    <row r="831" ht="15" customHeight="1">
      <c r="A831" t="inlineStr">
        <is>
          <t>A 17760-2024</t>
        </is>
      </c>
      <c r="B831" s="1" t="n">
        <v>45418</v>
      </c>
      <c r="C831" s="1" t="n">
        <v>45807</v>
      </c>
      <c r="D831" t="inlineStr">
        <is>
          <t>JÄMTLANDS LÄN</t>
        </is>
      </c>
      <c r="E831" t="inlineStr">
        <is>
          <t>ÖSTERSUND</t>
        </is>
      </c>
      <c r="G831" t="n">
        <v>1.6</v>
      </c>
      <c r="H831" t="n">
        <v>0</v>
      </c>
      <c r="I831" t="n">
        <v>0</v>
      </c>
      <c r="J831" t="n">
        <v>0</v>
      </c>
      <c r="K831" t="n">
        <v>0</v>
      </c>
      <c r="L831" t="n">
        <v>0</v>
      </c>
      <c r="M831" t="n">
        <v>0</v>
      </c>
      <c r="N831" t="n">
        <v>0</v>
      </c>
      <c r="O831" t="n">
        <v>0</v>
      </c>
      <c r="P831" t="n">
        <v>0</v>
      </c>
      <c r="Q831" t="n">
        <v>0</v>
      </c>
      <c r="R831" s="2" t="inlineStr"/>
    </row>
    <row r="832" ht="15" customHeight="1">
      <c r="A832" t="inlineStr">
        <is>
          <t>A 17709-2024</t>
        </is>
      </c>
      <c r="B832" s="1" t="n">
        <v>45418</v>
      </c>
      <c r="C832" s="1" t="n">
        <v>45807</v>
      </c>
      <c r="D832" t="inlineStr">
        <is>
          <t>JÄMTLANDS LÄN</t>
        </is>
      </c>
      <c r="E832" t="inlineStr">
        <is>
          <t>ÖSTERSUND</t>
        </is>
      </c>
      <c r="G832" t="n">
        <v>2.9</v>
      </c>
      <c r="H832" t="n">
        <v>0</v>
      </c>
      <c r="I832" t="n">
        <v>0</v>
      </c>
      <c r="J832" t="n">
        <v>0</v>
      </c>
      <c r="K832" t="n">
        <v>0</v>
      </c>
      <c r="L832" t="n">
        <v>0</v>
      </c>
      <c r="M832" t="n">
        <v>0</v>
      </c>
      <c r="N832" t="n">
        <v>0</v>
      </c>
      <c r="O832" t="n">
        <v>0</v>
      </c>
      <c r="P832" t="n">
        <v>0</v>
      </c>
      <c r="Q832" t="n">
        <v>0</v>
      </c>
      <c r="R832" s="2" t="inlineStr"/>
    </row>
    <row r="833" ht="15" customHeight="1">
      <c r="A833" t="inlineStr">
        <is>
          <t>A 18627-2024</t>
        </is>
      </c>
      <c r="B833" s="1" t="n">
        <v>45426</v>
      </c>
      <c r="C833" s="1" t="n">
        <v>45807</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18643-2024</t>
        </is>
      </c>
      <c r="B834" s="1" t="n">
        <v>45426</v>
      </c>
      <c r="C834" s="1" t="n">
        <v>45807</v>
      </c>
      <c r="D834" t="inlineStr">
        <is>
          <t>JÄMTLANDS LÄN</t>
        </is>
      </c>
      <c r="E834" t="inlineStr">
        <is>
          <t>ÖSTERSUND</t>
        </is>
      </c>
      <c r="F834" t="inlineStr">
        <is>
          <t>SCA</t>
        </is>
      </c>
      <c r="G834" t="n">
        <v>10.3</v>
      </c>
      <c r="H834" t="n">
        <v>0</v>
      </c>
      <c r="I834" t="n">
        <v>0</v>
      </c>
      <c r="J834" t="n">
        <v>0</v>
      </c>
      <c r="K834" t="n">
        <v>0</v>
      </c>
      <c r="L834" t="n">
        <v>0</v>
      </c>
      <c r="M834" t="n">
        <v>0</v>
      </c>
      <c r="N834" t="n">
        <v>0</v>
      </c>
      <c r="O834" t="n">
        <v>0</v>
      </c>
      <c r="P834" t="n">
        <v>0</v>
      </c>
      <c r="Q834" t="n">
        <v>0</v>
      </c>
      <c r="R834" s="2" t="inlineStr"/>
    </row>
    <row r="835" ht="15" customHeight="1">
      <c r="A835" t="inlineStr">
        <is>
          <t>A 18624-2024</t>
        </is>
      </c>
      <c r="B835" s="1" t="n">
        <v>45426</v>
      </c>
      <c r="C835" s="1" t="n">
        <v>45807</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19112-2024</t>
        </is>
      </c>
      <c r="B836" s="1" t="n">
        <v>45427</v>
      </c>
      <c r="C836" s="1" t="n">
        <v>45807</v>
      </c>
      <c r="D836" t="inlineStr">
        <is>
          <t>JÄMTLANDS LÄN</t>
        </is>
      </c>
      <c r="E836" t="inlineStr">
        <is>
          <t>ÖSTERSUND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19037-2024</t>
        </is>
      </c>
      <c r="B837" s="1" t="n">
        <v>45427</v>
      </c>
      <c r="C837" s="1" t="n">
        <v>45807</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19138-2024</t>
        </is>
      </c>
      <c r="B838" s="1" t="n">
        <v>45428</v>
      </c>
      <c r="C838" s="1" t="n">
        <v>45807</v>
      </c>
      <c r="D838" t="inlineStr">
        <is>
          <t>JÄMTLANDS LÄN</t>
        </is>
      </c>
      <c r="E838" t="inlineStr">
        <is>
          <t>ÖSTERSUND</t>
        </is>
      </c>
      <c r="G838" t="n">
        <v>13.6</v>
      </c>
      <c r="H838" t="n">
        <v>0</v>
      </c>
      <c r="I838" t="n">
        <v>0</v>
      </c>
      <c r="J838" t="n">
        <v>0</v>
      </c>
      <c r="K838" t="n">
        <v>0</v>
      </c>
      <c r="L838" t="n">
        <v>0</v>
      </c>
      <c r="M838" t="n">
        <v>0</v>
      </c>
      <c r="N838" t="n">
        <v>0</v>
      </c>
      <c r="O838" t="n">
        <v>0</v>
      </c>
      <c r="P838" t="n">
        <v>0</v>
      </c>
      <c r="Q838" t="n">
        <v>0</v>
      </c>
      <c r="R838" s="2" t="inlineStr"/>
    </row>
    <row r="839" ht="15" customHeight="1">
      <c r="A839" t="inlineStr">
        <is>
          <t>A 19233-2024</t>
        </is>
      </c>
      <c r="B839" s="1" t="n">
        <v>45428</v>
      </c>
      <c r="C839" s="1" t="n">
        <v>45807</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19408-2024</t>
        </is>
      </c>
      <c r="B840" s="1" t="n">
        <v>45428</v>
      </c>
      <c r="C840" s="1" t="n">
        <v>45807</v>
      </c>
      <c r="D840" t="inlineStr">
        <is>
          <t>JÄMTLANDS LÄN</t>
        </is>
      </c>
      <c r="E840" t="inlineStr">
        <is>
          <t>ÖSTERSUND</t>
        </is>
      </c>
      <c r="G840" t="n">
        <v>11.1</v>
      </c>
      <c r="H840" t="n">
        <v>0</v>
      </c>
      <c r="I840" t="n">
        <v>0</v>
      </c>
      <c r="J840" t="n">
        <v>0</v>
      </c>
      <c r="K840" t="n">
        <v>0</v>
      </c>
      <c r="L840" t="n">
        <v>0</v>
      </c>
      <c r="M840" t="n">
        <v>0</v>
      </c>
      <c r="N840" t="n">
        <v>0</v>
      </c>
      <c r="O840" t="n">
        <v>0</v>
      </c>
      <c r="P840" t="n">
        <v>0</v>
      </c>
      <c r="Q840" t="n">
        <v>0</v>
      </c>
      <c r="R840" s="2" t="inlineStr"/>
    </row>
    <row r="841" ht="15" customHeight="1">
      <c r="A841" t="inlineStr">
        <is>
          <t>A 19323-2024</t>
        </is>
      </c>
      <c r="B841" s="1" t="n">
        <v>45429</v>
      </c>
      <c r="C841" s="1" t="n">
        <v>45807</v>
      </c>
      <c r="D841" t="inlineStr">
        <is>
          <t>JÄMTLANDS LÄN</t>
        </is>
      </c>
      <c r="E841" t="inlineStr">
        <is>
          <t>ÖSTERSUND</t>
        </is>
      </c>
      <c r="F841" t="inlineStr">
        <is>
          <t>Kommuner</t>
        </is>
      </c>
      <c r="G841" t="n">
        <v>0.2</v>
      </c>
      <c r="H841" t="n">
        <v>0</v>
      </c>
      <c r="I841" t="n">
        <v>0</v>
      </c>
      <c r="J841" t="n">
        <v>0</v>
      </c>
      <c r="K841" t="n">
        <v>0</v>
      </c>
      <c r="L841" t="n">
        <v>0</v>
      </c>
      <c r="M841" t="n">
        <v>0</v>
      </c>
      <c r="N841" t="n">
        <v>0</v>
      </c>
      <c r="O841" t="n">
        <v>0</v>
      </c>
      <c r="P841" t="n">
        <v>0</v>
      </c>
      <c r="Q841" t="n">
        <v>0</v>
      </c>
      <c r="R841" s="2" t="inlineStr"/>
    </row>
    <row r="842" ht="15" customHeight="1">
      <c r="A842" t="inlineStr">
        <is>
          <t>A 19566-2024</t>
        </is>
      </c>
      <c r="B842" s="1" t="n">
        <v>45430</v>
      </c>
      <c r="C842" s="1" t="n">
        <v>45807</v>
      </c>
      <c r="D842" t="inlineStr">
        <is>
          <t>JÄMTLANDS LÄN</t>
        </is>
      </c>
      <c r="E842" t="inlineStr">
        <is>
          <t>ÖSTERSUND</t>
        </is>
      </c>
      <c r="G842" t="n">
        <v>0</v>
      </c>
      <c r="H842" t="n">
        <v>0</v>
      </c>
      <c r="I842" t="n">
        <v>0</v>
      </c>
      <c r="J842" t="n">
        <v>0</v>
      </c>
      <c r="K842" t="n">
        <v>0</v>
      </c>
      <c r="L842" t="n">
        <v>0</v>
      </c>
      <c r="M842" t="n">
        <v>0</v>
      </c>
      <c r="N842" t="n">
        <v>0</v>
      </c>
      <c r="O842" t="n">
        <v>0</v>
      </c>
      <c r="P842" t="n">
        <v>0</v>
      </c>
      <c r="Q842" t="n">
        <v>0</v>
      </c>
      <c r="R842" s="2" t="inlineStr"/>
    </row>
    <row r="843" ht="15" customHeight="1">
      <c r="A843" t="inlineStr">
        <is>
          <t>A 19570-2024</t>
        </is>
      </c>
      <c r="B843" s="1" t="n">
        <v>45430</v>
      </c>
      <c r="C843" s="1" t="n">
        <v>45807</v>
      </c>
      <c r="D843" t="inlineStr">
        <is>
          <t>JÄMTLANDS LÄN</t>
        </is>
      </c>
      <c r="E843" t="inlineStr">
        <is>
          <t>ÖSTERSUND</t>
        </is>
      </c>
      <c r="G843" t="n">
        <v>0.8</v>
      </c>
      <c r="H843" t="n">
        <v>0</v>
      </c>
      <c r="I843" t="n">
        <v>0</v>
      </c>
      <c r="J843" t="n">
        <v>0</v>
      </c>
      <c r="K843" t="n">
        <v>0</v>
      </c>
      <c r="L843" t="n">
        <v>0</v>
      </c>
      <c r="M843" t="n">
        <v>0</v>
      </c>
      <c r="N843" t="n">
        <v>0</v>
      </c>
      <c r="O843" t="n">
        <v>0</v>
      </c>
      <c r="P843" t="n">
        <v>0</v>
      </c>
      <c r="Q843" t="n">
        <v>0</v>
      </c>
      <c r="R843" s="2" t="inlineStr"/>
    </row>
    <row r="844" ht="15" customHeight="1">
      <c r="A844" t="inlineStr">
        <is>
          <t>A 19725-2024</t>
        </is>
      </c>
      <c r="B844" s="1" t="n">
        <v>45432</v>
      </c>
      <c r="C844" s="1" t="n">
        <v>45807</v>
      </c>
      <c r="D844" t="inlineStr">
        <is>
          <t>JÄMTLANDS LÄN</t>
        </is>
      </c>
      <c r="E844" t="inlineStr">
        <is>
          <t>ÖSTERSUND</t>
        </is>
      </c>
      <c r="G844" t="n">
        <v>7.2</v>
      </c>
      <c r="H844" t="n">
        <v>0</v>
      </c>
      <c r="I844" t="n">
        <v>0</v>
      </c>
      <c r="J844" t="n">
        <v>0</v>
      </c>
      <c r="K844" t="n">
        <v>0</v>
      </c>
      <c r="L844" t="n">
        <v>0</v>
      </c>
      <c r="M844" t="n">
        <v>0</v>
      </c>
      <c r="N844" t="n">
        <v>0</v>
      </c>
      <c r="O844" t="n">
        <v>0</v>
      </c>
      <c r="P844" t="n">
        <v>0</v>
      </c>
      <c r="Q844" t="n">
        <v>0</v>
      </c>
      <c r="R844" s="2" t="inlineStr"/>
    </row>
    <row r="845" ht="15" customHeight="1">
      <c r="A845" t="inlineStr">
        <is>
          <t>A 20068-2024</t>
        </is>
      </c>
      <c r="B845" s="1" t="n">
        <v>45434</v>
      </c>
      <c r="C845" s="1" t="n">
        <v>45807</v>
      </c>
      <c r="D845" t="inlineStr">
        <is>
          <t>JÄMTLANDS LÄN</t>
        </is>
      </c>
      <c r="E845" t="inlineStr">
        <is>
          <t>ÖSTERSUND</t>
        </is>
      </c>
      <c r="G845" t="n">
        <v>10.2</v>
      </c>
      <c r="H845" t="n">
        <v>0</v>
      </c>
      <c r="I845" t="n">
        <v>0</v>
      </c>
      <c r="J845" t="n">
        <v>0</v>
      </c>
      <c r="K845" t="n">
        <v>0</v>
      </c>
      <c r="L845" t="n">
        <v>0</v>
      </c>
      <c r="M845" t="n">
        <v>0</v>
      </c>
      <c r="N845" t="n">
        <v>0</v>
      </c>
      <c r="O845" t="n">
        <v>0</v>
      </c>
      <c r="P845" t="n">
        <v>0</v>
      </c>
      <c r="Q845" t="n">
        <v>0</v>
      </c>
      <c r="R845" s="2" t="inlineStr"/>
    </row>
    <row r="846" ht="15" customHeight="1">
      <c r="A846" t="inlineStr">
        <is>
          <t>A 20400-2024</t>
        </is>
      </c>
      <c r="B846" s="1" t="n">
        <v>45435</v>
      </c>
      <c r="C846" s="1" t="n">
        <v>45807</v>
      </c>
      <c r="D846" t="inlineStr">
        <is>
          <t>JÄMTLANDS LÄN</t>
        </is>
      </c>
      <c r="E846" t="inlineStr">
        <is>
          <t>ÖSTERSUND</t>
        </is>
      </c>
      <c r="G846" t="n">
        <v>0.9</v>
      </c>
      <c r="H846" t="n">
        <v>0</v>
      </c>
      <c r="I846" t="n">
        <v>0</v>
      </c>
      <c r="J846" t="n">
        <v>0</v>
      </c>
      <c r="K846" t="n">
        <v>0</v>
      </c>
      <c r="L846" t="n">
        <v>0</v>
      </c>
      <c r="M846" t="n">
        <v>0</v>
      </c>
      <c r="N846" t="n">
        <v>0</v>
      </c>
      <c r="O846" t="n">
        <v>0</v>
      </c>
      <c r="P846" t="n">
        <v>0</v>
      </c>
      <c r="Q846" t="n">
        <v>0</v>
      </c>
      <c r="R846" s="2" t="inlineStr"/>
    </row>
    <row r="847" ht="15" customHeight="1">
      <c r="A847" t="inlineStr">
        <is>
          <t>A 20632-2024</t>
        </is>
      </c>
      <c r="B847" s="1" t="n">
        <v>45436</v>
      </c>
      <c r="C847" s="1" t="n">
        <v>45807</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20629-2024</t>
        </is>
      </c>
      <c r="B848" s="1" t="n">
        <v>45436</v>
      </c>
      <c r="C848" s="1" t="n">
        <v>45807</v>
      </c>
      <c r="D848" t="inlineStr">
        <is>
          <t>JÄMTLANDS LÄN</t>
        </is>
      </c>
      <c r="E848" t="inlineStr">
        <is>
          <t>ÖSTERSUND</t>
        </is>
      </c>
      <c r="G848" t="n">
        <v>2.3</v>
      </c>
      <c r="H848" t="n">
        <v>0</v>
      </c>
      <c r="I848" t="n">
        <v>0</v>
      </c>
      <c r="J848" t="n">
        <v>0</v>
      </c>
      <c r="K848" t="n">
        <v>0</v>
      </c>
      <c r="L848" t="n">
        <v>0</v>
      </c>
      <c r="M848" t="n">
        <v>0</v>
      </c>
      <c r="N848" t="n">
        <v>0</v>
      </c>
      <c r="O848" t="n">
        <v>0</v>
      </c>
      <c r="P848" t="n">
        <v>0</v>
      </c>
      <c r="Q848" t="n">
        <v>0</v>
      </c>
      <c r="R848" s="2" t="inlineStr"/>
    </row>
    <row r="849" ht="15" customHeight="1">
      <c r="A849" t="inlineStr">
        <is>
          <t>A 20736-2024</t>
        </is>
      </c>
      <c r="B849" s="1" t="n">
        <v>45436</v>
      </c>
      <c r="C849" s="1" t="n">
        <v>45807</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21094-2024</t>
        </is>
      </c>
      <c r="B850" s="1" t="n">
        <v>45440</v>
      </c>
      <c r="C850" s="1" t="n">
        <v>45807</v>
      </c>
      <c r="D850" t="inlineStr">
        <is>
          <t>JÄMTLANDS LÄN</t>
        </is>
      </c>
      <c r="E850" t="inlineStr">
        <is>
          <t>ÖSTERSUND</t>
        </is>
      </c>
      <c r="F850" t="inlineStr">
        <is>
          <t>SCA</t>
        </is>
      </c>
      <c r="G850" t="n">
        <v>7.6</v>
      </c>
      <c r="H850" t="n">
        <v>0</v>
      </c>
      <c r="I850" t="n">
        <v>0</v>
      </c>
      <c r="J850" t="n">
        <v>0</v>
      </c>
      <c r="K850" t="n">
        <v>0</v>
      </c>
      <c r="L850" t="n">
        <v>0</v>
      </c>
      <c r="M850" t="n">
        <v>0</v>
      </c>
      <c r="N850" t="n">
        <v>0</v>
      </c>
      <c r="O850" t="n">
        <v>0</v>
      </c>
      <c r="P850" t="n">
        <v>0</v>
      </c>
      <c r="Q850" t="n">
        <v>0</v>
      </c>
      <c r="R850" s="2" t="inlineStr"/>
    </row>
    <row r="851" ht="15" customHeight="1">
      <c r="A851" t="inlineStr">
        <is>
          <t>A 21093-2024</t>
        </is>
      </c>
      <c r="B851" s="1" t="n">
        <v>45440</v>
      </c>
      <c r="C851" s="1" t="n">
        <v>45807</v>
      </c>
      <c r="D851" t="inlineStr">
        <is>
          <t>JÄMTLANDS LÄN</t>
        </is>
      </c>
      <c r="E851" t="inlineStr">
        <is>
          <t>ÖSTERSUND</t>
        </is>
      </c>
      <c r="F851" t="inlineStr">
        <is>
          <t>SCA</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21373-2024</t>
        </is>
      </c>
      <c r="B852" s="1" t="n">
        <v>45441</v>
      </c>
      <c r="C852" s="1" t="n">
        <v>45807</v>
      </c>
      <c r="D852" t="inlineStr">
        <is>
          <t>JÄMTLANDS LÄN</t>
        </is>
      </c>
      <c r="E852" t="inlineStr">
        <is>
          <t>ÖSTERSUND</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21822-2024</t>
        </is>
      </c>
      <c r="B853" s="1" t="n">
        <v>45442</v>
      </c>
      <c r="C853" s="1" t="n">
        <v>45807</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21667-2024</t>
        </is>
      </c>
      <c r="B854" s="1" t="n">
        <v>45442</v>
      </c>
      <c r="C854" s="1" t="n">
        <v>45807</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22123-2024</t>
        </is>
      </c>
      <c r="B855" s="1" t="n">
        <v>45444</v>
      </c>
      <c r="C855" s="1" t="n">
        <v>45807</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22478-2024</t>
        </is>
      </c>
      <c r="B856" s="1" t="n">
        <v>45447</v>
      </c>
      <c r="C856" s="1" t="n">
        <v>45807</v>
      </c>
      <c r="D856" t="inlineStr">
        <is>
          <t>JÄMTLANDS LÄN</t>
        </is>
      </c>
      <c r="E856" t="inlineStr">
        <is>
          <t>ÖSTERSUND</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23124-2024</t>
        </is>
      </c>
      <c r="B857" s="1" t="n">
        <v>45450</v>
      </c>
      <c r="C857" s="1" t="n">
        <v>45807</v>
      </c>
      <c r="D857" t="inlineStr">
        <is>
          <t>JÄMTLANDS LÄN</t>
        </is>
      </c>
      <c r="E857" t="inlineStr">
        <is>
          <t>ÖSTERSUND</t>
        </is>
      </c>
      <c r="G857" t="n">
        <v>5.8</v>
      </c>
      <c r="H857" t="n">
        <v>0</v>
      </c>
      <c r="I857" t="n">
        <v>0</v>
      </c>
      <c r="J857" t="n">
        <v>0</v>
      </c>
      <c r="K857" t="n">
        <v>0</v>
      </c>
      <c r="L857" t="n">
        <v>0</v>
      </c>
      <c r="M857" t="n">
        <v>0</v>
      </c>
      <c r="N857" t="n">
        <v>0</v>
      </c>
      <c r="O857" t="n">
        <v>0</v>
      </c>
      <c r="P857" t="n">
        <v>0</v>
      </c>
      <c r="Q857" t="n">
        <v>0</v>
      </c>
      <c r="R857" s="2" t="inlineStr"/>
    </row>
    <row r="858" ht="15" customHeight="1">
      <c r="A858" t="inlineStr">
        <is>
          <t>A 23191-2024</t>
        </is>
      </c>
      <c r="B858" s="1" t="n">
        <v>45450</v>
      </c>
      <c r="C858" s="1" t="n">
        <v>45807</v>
      </c>
      <c r="D858" t="inlineStr">
        <is>
          <t>JÄMTLANDS LÄN</t>
        </is>
      </c>
      <c r="E858" t="inlineStr">
        <is>
          <t>ÖSTERSUND</t>
        </is>
      </c>
      <c r="G858" t="n">
        <v>7</v>
      </c>
      <c r="H858" t="n">
        <v>0</v>
      </c>
      <c r="I858" t="n">
        <v>0</v>
      </c>
      <c r="J858" t="n">
        <v>0</v>
      </c>
      <c r="K858" t="n">
        <v>0</v>
      </c>
      <c r="L858" t="n">
        <v>0</v>
      </c>
      <c r="M858" t="n">
        <v>0</v>
      </c>
      <c r="N858" t="n">
        <v>0</v>
      </c>
      <c r="O858" t="n">
        <v>0</v>
      </c>
      <c r="P858" t="n">
        <v>0</v>
      </c>
      <c r="Q858" t="n">
        <v>0</v>
      </c>
      <c r="R858" s="2" t="inlineStr"/>
    </row>
    <row r="859" ht="15" customHeight="1">
      <c r="A859" t="inlineStr">
        <is>
          <t>A 23492-2024</t>
        </is>
      </c>
      <c r="B859" s="1" t="n">
        <v>45453</v>
      </c>
      <c r="C859" s="1" t="n">
        <v>45807</v>
      </c>
      <c r="D859" t="inlineStr">
        <is>
          <t>JÄMTLANDS LÄN</t>
        </is>
      </c>
      <c r="E859" t="inlineStr">
        <is>
          <t>ÖSTERSUND</t>
        </is>
      </c>
      <c r="G859" t="n">
        <v>9.1</v>
      </c>
      <c r="H859" t="n">
        <v>0</v>
      </c>
      <c r="I859" t="n">
        <v>0</v>
      </c>
      <c r="J859" t="n">
        <v>0</v>
      </c>
      <c r="K859" t="n">
        <v>0</v>
      </c>
      <c r="L859" t="n">
        <v>0</v>
      </c>
      <c r="M859" t="n">
        <v>0</v>
      </c>
      <c r="N859" t="n">
        <v>0</v>
      </c>
      <c r="O859" t="n">
        <v>0</v>
      </c>
      <c r="P859" t="n">
        <v>0</v>
      </c>
      <c r="Q859" t="n">
        <v>0</v>
      </c>
      <c r="R859" s="2" t="inlineStr"/>
    </row>
    <row r="860" ht="15" customHeight="1">
      <c r="A860" t="inlineStr">
        <is>
          <t>A 24246-2024</t>
        </is>
      </c>
      <c r="B860" s="1" t="n">
        <v>45457</v>
      </c>
      <c r="C860" s="1" t="n">
        <v>45807</v>
      </c>
      <c r="D860" t="inlineStr">
        <is>
          <t>JÄMTLANDS LÄN</t>
        </is>
      </c>
      <c r="E860" t="inlineStr">
        <is>
          <t>ÖSTERSUND</t>
        </is>
      </c>
      <c r="G860" t="n">
        <v>5.3</v>
      </c>
      <c r="H860" t="n">
        <v>0</v>
      </c>
      <c r="I860" t="n">
        <v>0</v>
      </c>
      <c r="J860" t="n">
        <v>0</v>
      </c>
      <c r="K860" t="n">
        <v>0</v>
      </c>
      <c r="L860" t="n">
        <v>0</v>
      </c>
      <c r="M860" t="n">
        <v>0</v>
      </c>
      <c r="N860" t="n">
        <v>0</v>
      </c>
      <c r="O860" t="n">
        <v>0</v>
      </c>
      <c r="P860" t="n">
        <v>0</v>
      </c>
      <c r="Q860" t="n">
        <v>0</v>
      </c>
      <c r="R860" s="2" t="inlineStr"/>
    </row>
    <row r="861" ht="15" customHeight="1">
      <c r="A861" t="inlineStr">
        <is>
          <t>A 24781-2024</t>
        </is>
      </c>
      <c r="B861" s="1" t="n">
        <v>45460</v>
      </c>
      <c r="C861" s="1" t="n">
        <v>45807</v>
      </c>
      <c r="D861" t="inlineStr">
        <is>
          <t>JÄMTLANDS LÄN</t>
        </is>
      </c>
      <c r="E861" t="inlineStr">
        <is>
          <t>ÖSTERSUND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24786-2024</t>
        </is>
      </c>
      <c r="B862" s="1" t="n">
        <v>45460</v>
      </c>
      <c r="C862" s="1" t="n">
        <v>45807</v>
      </c>
      <c r="D862" t="inlineStr">
        <is>
          <t>JÄMTLANDS LÄN</t>
        </is>
      </c>
      <c r="E862" t="inlineStr">
        <is>
          <t>ÖSTERSUND</t>
        </is>
      </c>
      <c r="G862" t="n">
        <v>0.1</v>
      </c>
      <c r="H862" t="n">
        <v>0</v>
      </c>
      <c r="I862" t="n">
        <v>0</v>
      </c>
      <c r="J862" t="n">
        <v>0</v>
      </c>
      <c r="K862" t="n">
        <v>0</v>
      </c>
      <c r="L862" t="n">
        <v>0</v>
      </c>
      <c r="M862" t="n">
        <v>0</v>
      </c>
      <c r="N862" t="n">
        <v>0</v>
      </c>
      <c r="O862" t="n">
        <v>0</v>
      </c>
      <c r="P862" t="n">
        <v>0</v>
      </c>
      <c r="Q862" t="n">
        <v>0</v>
      </c>
      <c r="R862" s="2" t="inlineStr"/>
    </row>
    <row r="863" ht="15" customHeight="1">
      <c r="A863" t="inlineStr">
        <is>
          <t>A 24605-2024</t>
        </is>
      </c>
      <c r="B863" s="1" t="n">
        <v>45460</v>
      </c>
      <c r="C863" s="1" t="n">
        <v>45807</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25388-2024</t>
        </is>
      </c>
      <c r="B864" s="1" t="n">
        <v>45463</v>
      </c>
      <c r="C864" s="1" t="n">
        <v>45807</v>
      </c>
      <c r="D864" t="inlineStr">
        <is>
          <t>JÄMTLANDS LÄN</t>
        </is>
      </c>
      <c r="E864" t="inlineStr">
        <is>
          <t>ÖSTERSUND</t>
        </is>
      </c>
      <c r="G864" t="n">
        <v>2.7</v>
      </c>
      <c r="H864" t="n">
        <v>0</v>
      </c>
      <c r="I864" t="n">
        <v>0</v>
      </c>
      <c r="J864" t="n">
        <v>0</v>
      </c>
      <c r="K864" t="n">
        <v>0</v>
      </c>
      <c r="L864" t="n">
        <v>0</v>
      </c>
      <c r="M864" t="n">
        <v>0</v>
      </c>
      <c r="N864" t="n">
        <v>0</v>
      </c>
      <c r="O864" t="n">
        <v>0</v>
      </c>
      <c r="P864" t="n">
        <v>0</v>
      </c>
      <c r="Q864" t="n">
        <v>0</v>
      </c>
      <c r="R864" s="2" t="inlineStr"/>
    </row>
    <row r="865" ht="15" customHeight="1">
      <c r="A865" t="inlineStr">
        <is>
          <t>A 25385-2024</t>
        </is>
      </c>
      <c r="B865" s="1" t="n">
        <v>45463</v>
      </c>
      <c r="C865" s="1" t="n">
        <v>45807</v>
      </c>
      <c r="D865" t="inlineStr">
        <is>
          <t>JÄMTLANDS LÄN</t>
        </is>
      </c>
      <c r="E865" t="inlineStr">
        <is>
          <t>ÖSTERSUND</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25187-2024</t>
        </is>
      </c>
      <c r="B866" s="1" t="n">
        <v>45462</v>
      </c>
      <c r="C866" s="1" t="n">
        <v>45807</v>
      </c>
      <c r="D866" t="inlineStr">
        <is>
          <t>JÄMTLANDS LÄN</t>
        </is>
      </c>
      <c r="E866" t="inlineStr">
        <is>
          <t>ÖSTERSUND</t>
        </is>
      </c>
      <c r="G866" t="n">
        <v>2.4</v>
      </c>
      <c r="H866" t="n">
        <v>0</v>
      </c>
      <c r="I866" t="n">
        <v>0</v>
      </c>
      <c r="J866" t="n">
        <v>0</v>
      </c>
      <c r="K866" t="n">
        <v>0</v>
      </c>
      <c r="L866" t="n">
        <v>0</v>
      </c>
      <c r="M866" t="n">
        <v>0</v>
      </c>
      <c r="N866" t="n">
        <v>0</v>
      </c>
      <c r="O866" t="n">
        <v>0</v>
      </c>
      <c r="P866" t="n">
        <v>0</v>
      </c>
      <c r="Q866" t="n">
        <v>0</v>
      </c>
      <c r="R866" s="2" t="inlineStr"/>
    </row>
    <row r="867" ht="15" customHeight="1">
      <c r="A867" t="inlineStr">
        <is>
          <t>A 26202-2024</t>
        </is>
      </c>
      <c r="B867" s="1" t="n">
        <v>45468</v>
      </c>
      <c r="C867" s="1" t="n">
        <v>45807</v>
      </c>
      <c r="D867" t="inlineStr">
        <is>
          <t>JÄMTLANDS LÄN</t>
        </is>
      </c>
      <c r="E867" t="inlineStr">
        <is>
          <t>ÖSTERSUND</t>
        </is>
      </c>
      <c r="G867" t="n">
        <v>6.7</v>
      </c>
      <c r="H867" t="n">
        <v>0</v>
      </c>
      <c r="I867" t="n">
        <v>0</v>
      </c>
      <c r="J867" t="n">
        <v>0</v>
      </c>
      <c r="K867" t="n">
        <v>0</v>
      </c>
      <c r="L867" t="n">
        <v>0</v>
      </c>
      <c r="M867" t="n">
        <v>0</v>
      </c>
      <c r="N867" t="n">
        <v>0</v>
      </c>
      <c r="O867" t="n">
        <v>0</v>
      </c>
      <c r="P867" t="n">
        <v>0</v>
      </c>
      <c r="Q867" t="n">
        <v>0</v>
      </c>
      <c r="R867" s="2" t="inlineStr"/>
    </row>
    <row r="868" ht="15" customHeight="1">
      <c r="A868" t="inlineStr">
        <is>
          <t>A 27906-2024</t>
        </is>
      </c>
      <c r="B868" s="1" t="n">
        <v>45476</v>
      </c>
      <c r="C868" s="1" t="n">
        <v>45807</v>
      </c>
      <c r="D868" t="inlineStr">
        <is>
          <t>JÄMTLANDS LÄN</t>
        </is>
      </c>
      <c r="E868" t="inlineStr">
        <is>
          <t>ÖSTERSUND</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27689-2024</t>
        </is>
      </c>
      <c r="B869" s="1" t="n">
        <v>45475</v>
      </c>
      <c r="C869" s="1" t="n">
        <v>45807</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27764-2024</t>
        </is>
      </c>
      <c r="B870" s="1" t="n">
        <v>45475</v>
      </c>
      <c r="C870" s="1" t="n">
        <v>45807</v>
      </c>
      <c r="D870" t="inlineStr">
        <is>
          <t>JÄMTLANDS LÄN</t>
        </is>
      </c>
      <c r="E870" t="inlineStr">
        <is>
          <t>ÖSTERSUND</t>
        </is>
      </c>
      <c r="G870" t="n">
        <v>2.8</v>
      </c>
      <c r="H870" t="n">
        <v>0</v>
      </c>
      <c r="I870" t="n">
        <v>0</v>
      </c>
      <c r="J870" t="n">
        <v>0</v>
      </c>
      <c r="K870" t="n">
        <v>0</v>
      </c>
      <c r="L870" t="n">
        <v>0</v>
      </c>
      <c r="M870" t="n">
        <v>0</v>
      </c>
      <c r="N870" t="n">
        <v>0</v>
      </c>
      <c r="O870" t="n">
        <v>0</v>
      </c>
      <c r="P870" t="n">
        <v>0</v>
      </c>
      <c r="Q870" t="n">
        <v>0</v>
      </c>
      <c r="R870" s="2" t="inlineStr"/>
    </row>
    <row r="871" ht="15" customHeight="1">
      <c r="A871" t="inlineStr">
        <is>
          <t>A 27779-2024</t>
        </is>
      </c>
      <c r="B871" s="1" t="n">
        <v>45475</v>
      </c>
      <c r="C871" s="1" t="n">
        <v>45807</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28277-2024</t>
        </is>
      </c>
      <c r="B872" s="1" t="n">
        <v>45477</v>
      </c>
      <c r="C872" s="1" t="n">
        <v>45807</v>
      </c>
      <c r="D872" t="inlineStr">
        <is>
          <t>JÄMTLANDS LÄN</t>
        </is>
      </c>
      <c r="E872" t="inlineStr">
        <is>
          <t>ÖSTERSUND</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28179-2024</t>
        </is>
      </c>
      <c r="B873" s="1" t="n">
        <v>45477</v>
      </c>
      <c r="C873" s="1" t="n">
        <v>45807</v>
      </c>
      <c r="D873" t="inlineStr">
        <is>
          <t>JÄMTLANDS LÄN</t>
        </is>
      </c>
      <c r="E873" t="inlineStr">
        <is>
          <t>ÖSTERSUND</t>
        </is>
      </c>
      <c r="G873" t="n">
        <v>2.2</v>
      </c>
      <c r="H873" t="n">
        <v>0</v>
      </c>
      <c r="I873" t="n">
        <v>0</v>
      </c>
      <c r="J873" t="n">
        <v>0</v>
      </c>
      <c r="K873" t="n">
        <v>0</v>
      </c>
      <c r="L873" t="n">
        <v>0</v>
      </c>
      <c r="M873" t="n">
        <v>0</v>
      </c>
      <c r="N873" t="n">
        <v>0</v>
      </c>
      <c r="O873" t="n">
        <v>0</v>
      </c>
      <c r="P873" t="n">
        <v>0</v>
      </c>
      <c r="Q873" t="n">
        <v>0</v>
      </c>
      <c r="R873" s="2" t="inlineStr"/>
    </row>
    <row r="874" ht="15" customHeight="1">
      <c r="A874" t="inlineStr">
        <is>
          <t>A 28180-2024</t>
        </is>
      </c>
      <c r="B874" s="1" t="n">
        <v>45477</v>
      </c>
      <c r="C874" s="1" t="n">
        <v>45807</v>
      </c>
      <c r="D874" t="inlineStr">
        <is>
          <t>JÄMTLANDS LÄN</t>
        </is>
      </c>
      <c r="E874" t="inlineStr">
        <is>
          <t>ÖSTERSUND</t>
        </is>
      </c>
      <c r="G874" t="n">
        <v>2.6</v>
      </c>
      <c r="H874" t="n">
        <v>0</v>
      </c>
      <c r="I874" t="n">
        <v>0</v>
      </c>
      <c r="J874" t="n">
        <v>0</v>
      </c>
      <c r="K874" t="n">
        <v>0</v>
      </c>
      <c r="L874" t="n">
        <v>0</v>
      </c>
      <c r="M874" t="n">
        <v>0</v>
      </c>
      <c r="N874" t="n">
        <v>0</v>
      </c>
      <c r="O874" t="n">
        <v>0</v>
      </c>
      <c r="P874" t="n">
        <v>0</v>
      </c>
      <c r="Q874" t="n">
        <v>0</v>
      </c>
      <c r="R874" s="2" t="inlineStr"/>
    </row>
    <row r="875" ht="15" customHeight="1">
      <c r="A875" t="inlineStr">
        <is>
          <t>A 28181-2024</t>
        </is>
      </c>
      <c r="B875" s="1" t="n">
        <v>45477</v>
      </c>
      <c r="C875" s="1" t="n">
        <v>45807</v>
      </c>
      <c r="D875" t="inlineStr">
        <is>
          <t>JÄMTLANDS LÄN</t>
        </is>
      </c>
      <c r="E875" t="inlineStr">
        <is>
          <t>ÖSTERSUND</t>
        </is>
      </c>
      <c r="G875" t="n">
        <v>0.7</v>
      </c>
      <c r="H875" t="n">
        <v>0</v>
      </c>
      <c r="I875" t="n">
        <v>0</v>
      </c>
      <c r="J875" t="n">
        <v>0</v>
      </c>
      <c r="K875" t="n">
        <v>0</v>
      </c>
      <c r="L875" t="n">
        <v>0</v>
      </c>
      <c r="M875" t="n">
        <v>0</v>
      </c>
      <c r="N875" t="n">
        <v>0</v>
      </c>
      <c r="O875" t="n">
        <v>0</v>
      </c>
      <c r="P875" t="n">
        <v>0</v>
      </c>
      <c r="Q875" t="n">
        <v>0</v>
      </c>
      <c r="R875" s="2" t="inlineStr"/>
    </row>
    <row r="876" ht="15" customHeight="1">
      <c r="A876" t="inlineStr">
        <is>
          <t>A 28543-2024</t>
        </is>
      </c>
      <c r="B876" s="1" t="n">
        <v>45478</v>
      </c>
      <c r="C876" s="1" t="n">
        <v>45807</v>
      </c>
      <c r="D876" t="inlineStr">
        <is>
          <t>JÄMTLANDS LÄN</t>
        </is>
      </c>
      <c r="E876" t="inlineStr">
        <is>
          <t>ÖSTERSUND</t>
        </is>
      </c>
      <c r="G876" t="n">
        <v>5.6</v>
      </c>
      <c r="H876" t="n">
        <v>0</v>
      </c>
      <c r="I876" t="n">
        <v>0</v>
      </c>
      <c r="J876" t="n">
        <v>0</v>
      </c>
      <c r="K876" t="n">
        <v>0</v>
      </c>
      <c r="L876" t="n">
        <v>0</v>
      </c>
      <c r="M876" t="n">
        <v>0</v>
      </c>
      <c r="N876" t="n">
        <v>0</v>
      </c>
      <c r="O876" t="n">
        <v>0</v>
      </c>
      <c r="P876" t="n">
        <v>0</v>
      </c>
      <c r="Q876" t="n">
        <v>0</v>
      </c>
      <c r="R876" s="2" t="inlineStr"/>
    </row>
    <row r="877" ht="15" customHeight="1">
      <c r="A877" t="inlineStr">
        <is>
          <t>A 29496-2024</t>
        </is>
      </c>
      <c r="B877" s="1" t="n">
        <v>45484</v>
      </c>
      <c r="C877" s="1" t="n">
        <v>45807</v>
      </c>
      <c r="D877" t="inlineStr">
        <is>
          <t>JÄMTLANDS LÄN</t>
        </is>
      </c>
      <c r="E877" t="inlineStr">
        <is>
          <t>ÖSTERSUND</t>
        </is>
      </c>
      <c r="G877" t="n">
        <v>4.3</v>
      </c>
      <c r="H877" t="n">
        <v>0</v>
      </c>
      <c r="I877" t="n">
        <v>0</v>
      </c>
      <c r="J877" t="n">
        <v>0</v>
      </c>
      <c r="K877" t="n">
        <v>0</v>
      </c>
      <c r="L877" t="n">
        <v>0</v>
      </c>
      <c r="M877" t="n">
        <v>0</v>
      </c>
      <c r="N877" t="n">
        <v>0</v>
      </c>
      <c r="O877" t="n">
        <v>0</v>
      </c>
      <c r="P877" t="n">
        <v>0</v>
      </c>
      <c r="Q877" t="n">
        <v>0</v>
      </c>
      <c r="R877" s="2" t="inlineStr"/>
    </row>
    <row r="878" ht="15" customHeight="1">
      <c r="A878" t="inlineStr">
        <is>
          <t>A 30539-2024</t>
        </is>
      </c>
      <c r="B878" s="1" t="n">
        <v>45492</v>
      </c>
      <c r="C878" s="1" t="n">
        <v>45807</v>
      </c>
      <c r="D878" t="inlineStr">
        <is>
          <t>JÄMTLANDS LÄN</t>
        </is>
      </c>
      <c r="E878" t="inlineStr">
        <is>
          <t>ÖSTERSUND</t>
        </is>
      </c>
      <c r="G878" t="n">
        <v>4.9</v>
      </c>
      <c r="H878" t="n">
        <v>0</v>
      </c>
      <c r="I878" t="n">
        <v>0</v>
      </c>
      <c r="J878" t="n">
        <v>0</v>
      </c>
      <c r="K878" t="n">
        <v>0</v>
      </c>
      <c r="L878" t="n">
        <v>0</v>
      </c>
      <c r="M878" t="n">
        <v>0</v>
      </c>
      <c r="N878" t="n">
        <v>0</v>
      </c>
      <c r="O878" t="n">
        <v>0</v>
      </c>
      <c r="P878" t="n">
        <v>0</v>
      </c>
      <c r="Q878" t="n">
        <v>0</v>
      </c>
      <c r="R878" s="2" t="inlineStr"/>
    </row>
    <row r="879" ht="15" customHeight="1">
      <c r="A879" t="inlineStr">
        <is>
          <t>A 30821-2024</t>
        </is>
      </c>
      <c r="B879" s="1" t="n">
        <v>45497</v>
      </c>
      <c r="C879" s="1" t="n">
        <v>45807</v>
      </c>
      <c r="D879" t="inlineStr">
        <is>
          <t>JÄMTLANDS LÄN</t>
        </is>
      </c>
      <c r="E879" t="inlineStr">
        <is>
          <t>ÖSTERSUND</t>
        </is>
      </c>
      <c r="G879" t="n">
        <v>3.4</v>
      </c>
      <c r="H879" t="n">
        <v>0</v>
      </c>
      <c r="I879" t="n">
        <v>0</v>
      </c>
      <c r="J879" t="n">
        <v>0</v>
      </c>
      <c r="K879" t="n">
        <v>0</v>
      </c>
      <c r="L879" t="n">
        <v>0</v>
      </c>
      <c r="M879" t="n">
        <v>0</v>
      </c>
      <c r="N879" t="n">
        <v>0</v>
      </c>
      <c r="O879" t="n">
        <v>0</v>
      </c>
      <c r="P879" t="n">
        <v>0</v>
      </c>
      <c r="Q879" t="n">
        <v>0</v>
      </c>
      <c r="R879" s="2" t="inlineStr"/>
    </row>
    <row r="880" ht="15" customHeight="1">
      <c r="A880" t="inlineStr">
        <is>
          <t>A 31464-2024</t>
        </is>
      </c>
      <c r="B880" s="1" t="n">
        <v>45506</v>
      </c>
      <c r="C880" s="1" t="n">
        <v>45807</v>
      </c>
      <c r="D880" t="inlineStr">
        <is>
          <t>JÄMTLANDS LÄN</t>
        </is>
      </c>
      <c r="E880" t="inlineStr">
        <is>
          <t>ÖSTERSUND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31446-2024</t>
        </is>
      </c>
      <c r="B881" s="1" t="n">
        <v>45506</v>
      </c>
      <c r="C881" s="1" t="n">
        <v>45807</v>
      </c>
      <c r="D881" t="inlineStr">
        <is>
          <t>JÄMTLANDS LÄN</t>
        </is>
      </c>
      <c r="E881" t="inlineStr">
        <is>
          <t>ÖSTERSUND</t>
        </is>
      </c>
      <c r="G881" t="n">
        <v>5.5</v>
      </c>
      <c r="H881" t="n">
        <v>0</v>
      </c>
      <c r="I881" t="n">
        <v>0</v>
      </c>
      <c r="J881" t="n">
        <v>0</v>
      </c>
      <c r="K881" t="n">
        <v>0</v>
      </c>
      <c r="L881" t="n">
        <v>0</v>
      </c>
      <c r="M881" t="n">
        <v>0</v>
      </c>
      <c r="N881" t="n">
        <v>0</v>
      </c>
      <c r="O881" t="n">
        <v>0</v>
      </c>
      <c r="P881" t="n">
        <v>0</v>
      </c>
      <c r="Q881" t="n">
        <v>0</v>
      </c>
      <c r="R881" s="2" t="inlineStr"/>
    </row>
    <row r="882" ht="15" customHeight="1">
      <c r="A882" t="inlineStr">
        <is>
          <t>A 31445-2024</t>
        </is>
      </c>
      <c r="B882" s="1" t="n">
        <v>45506</v>
      </c>
      <c r="C882" s="1" t="n">
        <v>45807</v>
      </c>
      <c r="D882" t="inlineStr">
        <is>
          <t>JÄMTLANDS LÄN</t>
        </is>
      </c>
      <c r="E882" t="inlineStr">
        <is>
          <t>ÖSTERSUND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32224-2024</t>
        </is>
      </c>
      <c r="B883" s="1" t="n">
        <v>45512</v>
      </c>
      <c r="C883" s="1" t="n">
        <v>45807</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32225-2024</t>
        </is>
      </c>
      <c r="B884" s="1" t="n">
        <v>45512</v>
      </c>
      <c r="C884" s="1" t="n">
        <v>45807</v>
      </c>
      <c r="D884" t="inlineStr">
        <is>
          <t>JÄMTLANDS LÄN</t>
        </is>
      </c>
      <c r="E884" t="inlineStr">
        <is>
          <t>ÖSTERSUND</t>
        </is>
      </c>
      <c r="G884" t="n">
        <v>2</v>
      </c>
      <c r="H884" t="n">
        <v>0</v>
      </c>
      <c r="I884" t="n">
        <v>0</v>
      </c>
      <c r="J884" t="n">
        <v>0</v>
      </c>
      <c r="K884" t="n">
        <v>0</v>
      </c>
      <c r="L884" t="n">
        <v>0</v>
      </c>
      <c r="M884" t="n">
        <v>0</v>
      </c>
      <c r="N884" t="n">
        <v>0</v>
      </c>
      <c r="O884" t="n">
        <v>0</v>
      </c>
      <c r="P884" t="n">
        <v>0</v>
      </c>
      <c r="Q884" t="n">
        <v>0</v>
      </c>
      <c r="R884" s="2" t="inlineStr"/>
    </row>
    <row r="885" ht="15" customHeight="1">
      <c r="A885" t="inlineStr">
        <is>
          <t>A 33091-2024</t>
        </is>
      </c>
      <c r="B885" s="1" t="n">
        <v>45517</v>
      </c>
      <c r="C885" s="1" t="n">
        <v>45807</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33015-2024</t>
        </is>
      </c>
      <c r="B886" s="1" t="n">
        <v>45517</v>
      </c>
      <c r="C886" s="1" t="n">
        <v>45807</v>
      </c>
      <c r="D886" t="inlineStr">
        <is>
          <t>JÄMTLANDS LÄN</t>
        </is>
      </c>
      <c r="E886" t="inlineStr">
        <is>
          <t>ÖSTERSUND</t>
        </is>
      </c>
      <c r="G886" t="n">
        <v>2.6</v>
      </c>
      <c r="H886" t="n">
        <v>0</v>
      </c>
      <c r="I886" t="n">
        <v>0</v>
      </c>
      <c r="J886" t="n">
        <v>0</v>
      </c>
      <c r="K886" t="n">
        <v>0</v>
      </c>
      <c r="L886" t="n">
        <v>0</v>
      </c>
      <c r="M886" t="n">
        <v>0</v>
      </c>
      <c r="N886" t="n">
        <v>0</v>
      </c>
      <c r="O886" t="n">
        <v>0</v>
      </c>
      <c r="P886" t="n">
        <v>0</v>
      </c>
      <c r="Q886" t="n">
        <v>0</v>
      </c>
      <c r="R886" s="2" t="inlineStr"/>
    </row>
    <row r="887" ht="15" customHeight="1">
      <c r="A887" t="inlineStr">
        <is>
          <t>A 33621-2024</t>
        </is>
      </c>
      <c r="B887" s="1" t="n">
        <v>45520</v>
      </c>
      <c r="C887" s="1" t="n">
        <v>45807</v>
      </c>
      <c r="D887" t="inlineStr">
        <is>
          <t>JÄMTLANDS LÄN</t>
        </is>
      </c>
      <c r="E887" t="inlineStr">
        <is>
          <t>ÖSTERSUND</t>
        </is>
      </c>
      <c r="G887" t="n">
        <v>2.1</v>
      </c>
      <c r="H887" t="n">
        <v>0</v>
      </c>
      <c r="I887" t="n">
        <v>0</v>
      </c>
      <c r="J887" t="n">
        <v>0</v>
      </c>
      <c r="K887" t="n">
        <v>0</v>
      </c>
      <c r="L887" t="n">
        <v>0</v>
      </c>
      <c r="M887" t="n">
        <v>0</v>
      </c>
      <c r="N887" t="n">
        <v>0</v>
      </c>
      <c r="O887" t="n">
        <v>0</v>
      </c>
      <c r="P887" t="n">
        <v>0</v>
      </c>
      <c r="Q887" t="n">
        <v>0</v>
      </c>
      <c r="R887" s="2" t="inlineStr"/>
    </row>
    <row r="888" ht="15" customHeight="1">
      <c r="A888" t="inlineStr">
        <is>
          <t>A 33779-2024</t>
        </is>
      </c>
      <c r="B888" s="1" t="n">
        <v>45520</v>
      </c>
      <c r="C888" s="1" t="n">
        <v>45807</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34112-2024</t>
        </is>
      </c>
      <c r="B889" s="1" t="n">
        <v>45524</v>
      </c>
      <c r="C889" s="1" t="n">
        <v>45807</v>
      </c>
      <c r="D889" t="inlineStr">
        <is>
          <t>JÄMTLANDS LÄN</t>
        </is>
      </c>
      <c r="E889" t="inlineStr">
        <is>
          <t>ÖSTERSUND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34118-2024</t>
        </is>
      </c>
      <c r="B890" s="1" t="n">
        <v>45524</v>
      </c>
      <c r="C890" s="1" t="n">
        <v>45807</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34470-2024</t>
        </is>
      </c>
      <c r="B891" s="1" t="n">
        <v>45525</v>
      </c>
      <c r="C891" s="1" t="n">
        <v>45807</v>
      </c>
      <c r="D891" t="inlineStr">
        <is>
          <t>JÄMTLANDS LÄN</t>
        </is>
      </c>
      <c r="E891" t="inlineStr">
        <is>
          <t>ÖSTERSUND</t>
        </is>
      </c>
      <c r="G891" t="n">
        <v>7.6</v>
      </c>
      <c r="H891" t="n">
        <v>0</v>
      </c>
      <c r="I891" t="n">
        <v>0</v>
      </c>
      <c r="J891" t="n">
        <v>0</v>
      </c>
      <c r="K891" t="n">
        <v>0</v>
      </c>
      <c r="L891" t="n">
        <v>0</v>
      </c>
      <c r="M891" t="n">
        <v>0</v>
      </c>
      <c r="N891" t="n">
        <v>0</v>
      </c>
      <c r="O891" t="n">
        <v>0</v>
      </c>
      <c r="P891" t="n">
        <v>0</v>
      </c>
      <c r="Q891" t="n">
        <v>0</v>
      </c>
      <c r="R891" s="2" t="inlineStr"/>
    </row>
    <row r="892" ht="15" customHeight="1">
      <c r="A892" t="inlineStr">
        <is>
          <t>A 34507-2024</t>
        </is>
      </c>
      <c r="B892" s="1" t="n">
        <v>45525</v>
      </c>
      <c r="C892" s="1" t="n">
        <v>45807</v>
      </c>
      <c r="D892" t="inlineStr">
        <is>
          <t>JÄMTLANDS LÄN</t>
        </is>
      </c>
      <c r="E892" t="inlineStr">
        <is>
          <t>ÖSTERSUND</t>
        </is>
      </c>
      <c r="G892" t="n">
        <v>0.6</v>
      </c>
      <c r="H892" t="n">
        <v>0</v>
      </c>
      <c r="I892" t="n">
        <v>0</v>
      </c>
      <c r="J892" t="n">
        <v>0</v>
      </c>
      <c r="K892" t="n">
        <v>0</v>
      </c>
      <c r="L892" t="n">
        <v>0</v>
      </c>
      <c r="M892" t="n">
        <v>0</v>
      </c>
      <c r="N892" t="n">
        <v>0</v>
      </c>
      <c r="O892" t="n">
        <v>0</v>
      </c>
      <c r="P892" t="n">
        <v>0</v>
      </c>
      <c r="Q892" t="n">
        <v>0</v>
      </c>
      <c r="R892" s="2" t="inlineStr"/>
    </row>
    <row r="893" ht="15" customHeight="1">
      <c r="A893" t="inlineStr">
        <is>
          <t>A 35984-2024</t>
        </is>
      </c>
      <c r="B893" s="1" t="n">
        <v>45533</v>
      </c>
      <c r="C893" s="1" t="n">
        <v>45807</v>
      </c>
      <c r="D893" t="inlineStr">
        <is>
          <t>JÄMTLANDS LÄN</t>
        </is>
      </c>
      <c r="E893" t="inlineStr">
        <is>
          <t>ÖSTERSUND</t>
        </is>
      </c>
      <c r="G893" t="n">
        <v>2.9</v>
      </c>
      <c r="H893" t="n">
        <v>0</v>
      </c>
      <c r="I893" t="n">
        <v>0</v>
      </c>
      <c r="J893" t="n">
        <v>0</v>
      </c>
      <c r="K893" t="n">
        <v>0</v>
      </c>
      <c r="L893" t="n">
        <v>0</v>
      </c>
      <c r="M893" t="n">
        <v>0</v>
      </c>
      <c r="N893" t="n">
        <v>0</v>
      </c>
      <c r="O893" t="n">
        <v>0</v>
      </c>
      <c r="P893" t="n">
        <v>0</v>
      </c>
      <c r="Q893" t="n">
        <v>0</v>
      </c>
      <c r="R893" s="2" t="inlineStr"/>
    </row>
    <row r="894" ht="15" customHeight="1">
      <c r="A894" t="inlineStr">
        <is>
          <t>A 36465-2024</t>
        </is>
      </c>
      <c r="B894" s="1" t="n">
        <v>45537</v>
      </c>
      <c r="C894" s="1" t="n">
        <v>45807</v>
      </c>
      <c r="D894" t="inlineStr">
        <is>
          <t>JÄMTLANDS LÄN</t>
        </is>
      </c>
      <c r="E894" t="inlineStr">
        <is>
          <t>ÖSTERSUND</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36469-2024</t>
        </is>
      </c>
      <c r="B895" s="1" t="n">
        <v>45537</v>
      </c>
      <c r="C895" s="1" t="n">
        <v>45807</v>
      </c>
      <c r="D895" t="inlineStr">
        <is>
          <t>JÄMTLANDS LÄN</t>
        </is>
      </c>
      <c r="E895" t="inlineStr">
        <is>
          <t>ÖSTERSUND</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37270-2024</t>
        </is>
      </c>
      <c r="B896" s="1" t="n">
        <v>45540</v>
      </c>
      <c r="C896" s="1" t="n">
        <v>45807</v>
      </c>
      <c r="D896" t="inlineStr">
        <is>
          <t>JÄMTLANDS LÄN</t>
        </is>
      </c>
      <c r="E896" t="inlineStr">
        <is>
          <t>ÖSTERSUND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37685-2024</t>
        </is>
      </c>
      <c r="B897" s="1" t="n">
        <v>45541</v>
      </c>
      <c r="C897" s="1" t="n">
        <v>45807</v>
      </c>
      <c r="D897" t="inlineStr">
        <is>
          <t>JÄMTLANDS LÄN</t>
        </is>
      </c>
      <c r="E897" t="inlineStr">
        <is>
          <t>ÖSTERSUND</t>
        </is>
      </c>
      <c r="F897" t="inlineStr">
        <is>
          <t>SCA</t>
        </is>
      </c>
      <c r="G897" t="n">
        <v>11.2</v>
      </c>
      <c r="H897" t="n">
        <v>0</v>
      </c>
      <c r="I897" t="n">
        <v>0</v>
      </c>
      <c r="J897" t="n">
        <v>0</v>
      </c>
      <c r="K897" t="n">
        <v>0</v>
      </c>
      <c r="L897" t="n">
        <v>0</v>
      </c>
      <c r="M897" t="n">
        <v>0</v>
      </c>
      <c r="N897" t="n">
        <v>0</v>
      </c>
      <c r="O897" t="n">
        <v>0</v>
      </c>
      <c r="P897" t="n">
        <v>0</v>
      </c>
      <c r="Q897" t="n">
        <v>0</v>
      </c>
      <c r="R897" s="2" t="inlineStr"/>
    </row>
    <row r="898" ht="15" customHeight="1">
      <c r="A898" t="inlineStr">
        <is>
          <t>A 38926-2024</t>
        </is>
      </c>
      <c r="B898" s="1" t="n">
        <v>45547</v>
      </c>
      <c r="C898" s="1" t="n">
        <v>45807</v>
      </c>
      <c r="D898" t="inlineStr">
        <is>
          <t>JÄMTLANDS LÄN</t>
        </is>
      </c>
      <c r="E898" t="inlineStr">
        <is>
          <t>ÖSTERSUND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38920-2024</t>
        </is>
      </c>
      <c r="B899" s="1" t="n">
        <v>45547</v>
      </c>
      <c r="C899" s="1" t="n">
        <v>45807</v>
      </c>
      <c r="D899" t="inlineStr">
        <is>
          <t>JÄMTLANDS LÄN</t>
        </is>
      </c>
      <c r="E899" t="inlineStr">
        <is>
          <t>ÖSTERSUND</t>
        </is>
      </c>
      <c r="G899" t="n">
        <v>1.9</v>
      </c>
      <c r="H899" t="n">
        <v>0</v>
      </c>
      <c r="I899" t="n">
        <v>0</v>
      </c>
      <c r="J899" t="n">
        <v>0</v>
      </c>
      <c r="K899" t="n">
        <v>0</v>
      </c>
      <c r="L899" t="n">
        <v>0</v>
      </c>
      <c r="M899" t="n">
        <v>0</v>
      </c>
      <c r="N899" t="n">
        <v>0</v>
      </c>
      <c r="O899" t="n">
        <v>0</v>
      </c>
      <c r="P899" t="n">
        <v>0</v>
      </c>
      <c r="Q899" t="n">
        <v>0</v>
      </c>
      <c r="R899" s="2" t="inlineStr"/>
    </row>
    <row r="900" ht="15" customHeight="1">
      <c r="A900" t="inlineStr">
        <is>
          <t>A 38924-2024</t>
        </is>
      </c>
      <c r="B900" s="1" t="n">
        <v>45547</v>
      </c>
      <c r="C900" s="1" t="n">
        <v>45807</v>
      </c>
      <c r="D900" t="inlineStr">
        <is>
          <t>JÄMTLANDS LÄN</t>
        </is>
      </c>
      <c r="E900" t="inlineStr">
        <is>
          <t>ÖSTERSUND</t>
        </is>
      </c>
      <c r="G900" t="n">
        <v>3.5</v>
      </c>
      <c r="H900" t="n">
        <v>0</v>
      </c>
      <c r="I900" t="n">
        <v>0</v>
      </c>
      <c r="J900" t="n">
        <v>0</v>
      </c>
      <c r="K900" t="n">
        <v>0</v>
      </c>
      <c r="L900" t="n">
        <v>0</v>
      </c>
      <c r="M900" t="n">
        <v>0</v>
      </c>
      <c r="N900" t="n">
        <v>0</v>
      </c>
      <c r="O900" t="n">
        <v>0</v>
      </c>
      <c r="P900" t="n">
        <v>0</v>
      </c>
      <c r="Q900" t="n">
        <v>0</v>
      </c>
      <c r="R900" s="2" t="inlineStr"/>
    </row>
    <row r="901" ht="15" customHeight="1">
      <c r="A901" t="inlineStr">
        <is>
          <t>A 39065-2024</t>
        </is>
      </c>
      <c r="B901" s="1" t="n">
        <v>45548</v>
      </c>
      <c r="C901" s="1" t="n">
        <v>45807</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39510-2024</t>
        </is>
      </c>
      <c r="B902" s="1" t="n">
        <v>45551</v>
      </c>
      <c r="C902" s="1" t="n">
        <v>45807</v>
      </c>
      <c r="D902" t="inlineStr">
        <is>
          <t>JÄMTLANDS LÄN</t>
        </is>
      </c>
      <c r="E902" t="inlineStr">
        <is>
          <t>ÖSTERSUND</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39509-2024</t>
        </is>
      </c>
      <c r="B903" s="1" t="n">
        <v>45551</v>
      </c>
      <c r="C903" s="1" t="n">
        <v>45807</v>
      </c>
      <c r="D903" t="inlineStr">
        <is>
          <t>JÄMTLANDS LÄN</t>
        </is>
      </c>
      <c r="E903" t="inlineStr">
        <is>
          <t>ÖSTERSUND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39915-2024</t>
        </is>
      </c>
      <c r="B904" s="1" t="n">
        <v>45553</v>
      </c>
      <c r="C904" s="1" t="n">
        <v>45807</v>
      </c>
      <c r="D904" t="inlineStr">
        <is>
          <t>JÄMTLANDS LÄN</t>
        </is>
      </c>
      <c r="E904" t="inlineStr">
        <is>
          <t>ÖSTERSUND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39975-2024</t>
        </is>
      </c>
      <c r="B905" s="1" t="n">
        <v>45553</v>
      </c>
      <c r="C905" s="1" t="n">
        <v>45807</v>
      </c>
      <c r="D905" t="inlineStr">
        <is>
          <t>JÄMTLANDS LÄN</t>
        </is>
      </c>
      <c r="E905" t="inlineStr">
        <is>
          <t>ÖSTERSUND</t>
        </is>
      </c>
      <c r="G905" t="n">
        <v>3.8</v>
      </c>
      <c r="H905" t="n">
        <v>0</v>
      </c>
      <c r="I905" t="n">
        <v>0</v>
      </c>
      <c r="J905" t="n">
        <v>0</v>
      </c>
      <c r="K905" t="n">
        <v>0</v>
      </c>
      <c r="L905" t="n">
        <v>0</v>
      </c>
      <c r="M905" t="n">
        <v>0</v>
      </c>
      <c r="N905" t="n">
        <v>0</v>
      </c>
      <c r="O905" t="n">
        <v>0</v>
      </c>
      <c r="P905" t="n">
        <v>0</v>
      </c>
      <c r="Q905" t="n">
        <v>0</v>
      </c>
      <c r="R905" s="2" t="inlineStr"/>
    </row>
    <row r="906" ht="15" customHeight="1">
      <c r="A906" t="inlineStr">
        <is>
          <t>A 40672-2024</t>
        </is>
      </c>
      <c r="B906" s="1" t="n">
        <v>45557</v>
      </c>
      <c r="C906" s="1" t="n">
        <v>45807</v>
      </c>
      <c r="D906" t="inlineStr">
        <is>
          <t>JÄMTLANDS LÄN</t>
        </is>
      </c>
      <c r="E906" t="inlineStr">
        <is>
          <t>ÖSTERSUND</t>
        </is>
      </c>
      <c r="G906" t="n">
        <v>5.2</v>
      </c>
      <c r="H906" t="n">
        <v>0</v>
      </c>
      <c r="I906" t="n">
        <v>0</v>
      </c>
      <c r="J906" t="n">
        <v>0</v>
      </c>
      <c r="K906" t="n">
        <v>0</v>
      </c>
      <c r="L906" t="n">
        <v>0</v>
      </c>
      <c r="M906" t="n">
        <v>0</v>
      </c>
      <c r="N906" t="n">
        <v>0</v>
      </c>
      <c r="O906" t="n">
        <v>0</v>
      </c>
      <c r="P906" t="n">
        <v>0</v>
      </c>
      <c r="Q906" t="n">
        <v>0</v>
      </c>
      <c r="R906" s="2" t="inlineStr"/>
    </row>
    <row r="907" ht="15" customHeight="1">
      <c r="A907" t="inlineStr">
        <is>
          <t>A 40983-2024</t>
        </is>
      </c>
      <c r="B907" s="1" t="n">
        <v>45558</v>
      </c>
      <c r="C907" s="1" t="n">
        <v>45807</v>
      </c>
      <c r="D907" t="inlineStr">
        <is>
          <t>JÄMTLANDS LÄN</t>
        </is>
      </c>
      <c r="E907" t="inlineStr">
        <is>
          <t>ÖSTERSUND</t>
        </is>
      </c>
      <c r="F907" t="inlineStr">
        <is>
          <t>SCA</t>
        </is>
      </c>
      <c r="G907" t="n">
        <v>10.6</v>
      </c>
      <c r="H907" t="n">
        <v>0</v>
      </c>
      <c r="I907" t="n">
        <v>0</v>
      </c>
      <c r="J907" t="n">
        <v>0</v>
      </c>
      <c r="K907" t="n">
        <v>0</v>
      </c>
      <c r="L907" t="n">
        <v>0</v>
      </c>
      <c r="M907" t="n">
        <v>0</v>
      </c>
      <c r="N907" t="n">
        <v>0</v>
      </c>
      <c r="O907" t="n">
        <v>0</v>
      </c>
      <c r="P907" t="n">
        <v>0</v>
      </c>
      <c r="Q907" t="n">
        <v>0</v>
      </c>
      <c r="R907" s="2" t="inlineStr"/>
    </row>
    <row r="908" ht="15" customHeight="1">
      <c r="A908" t="inlineStr">
        <is>
          <t>A 41280-2024</t>
        </is>
      </c>
      <c r="B908" s="1" t="n">
        <v>45559</v>
      </c>
      <c r="C908" s="1" t="n">
        <v>45807</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41483-2024</t>
        </is>
      </c>
      <c r="B909" s="1" t="n">
        <v>45560</v>
      </c>
      <c r="C909" s="1" t="n">
        <v>45807</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41780-2024</t>
        </is>
      </c>
      <c r="B910" s="1" t="n">
        <v>45561</v>
      </c>
      <c r="C910" s="1" t="n">
        <v>45807</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42550-2024</t>
        </is>
      </c>
      <c r="B911" s="1" t="n">
        <v>45565</v>
      </c>
      <c r="C911" s="1" t="n">
        <v>45807</v>
      </c>
      <c r="D911" t="inlineStr">
        <is>
          <t>JÄMTLANDS LÄN</t>
        </is>
      </c>
      <c r="E911" t="inlineStr">
        <is>
          <t>ÖSTERSUND</t>
        </is>
      </c>
      <c r="F911" t="inlineStr">
        <is>
          <t>Övriga Aktiebolag</t>
        </is>
      </c>
      <c r="G911" t="n">
        <v>0.9</v>
      </c>
      <c r="H911" t="n">
        <v>0</v>
      </c>
      <c r="I911" t="n">
        <v>0</v>
      </c>
      <c r="J911" t="n">
        <v>0</v>
      </c>
      <c r="K911" t="n">
        <v>0</v>
      </c>
      <c r="L911" t="n">
        <v>0</v>
      </c>
      <c r="M911" t="n">
        <v>0</v>
      </c>
      <c r="N911" t="n">
        <v>0</v>
      </c>
      <c r="O911" t="n">
        <v>0</v>
      </c>
      <c r="P911" t="n">
        <v>0</v>
      </c>
      <c r="Q911" t="n">
        <v>0</v>
      </c>
      <c r="R911" s="2" t="inlineStr"/>
    </row>
    <row r="912" ht="15" customHeight="1">
      <c r="A912" t="inlineStr">
        <is>
          <t>A 42547-2024</t>
        </is>
      </c>
      <c r="B912" s="1" t="n">
        <v>45565</v>
      </c>
      <c r="C912" s="1" t="n">
        <v>45807</v>
      </c>
      <c r="D912" t="inlineStr">
        <is>
          <t>JÄMTLANDS LÄN</t>
        </is>
      </c>
      <c r="E912" t="inlineStr">
        <is>
          <t>ÖSTERSUND</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43082-2024</t>
        </is>
      </c>
      <c r="B913" s="1" t="n">
        <v>45567</v>
      </c>
      <c r="C913" s="1" t="n">
        <v>45807</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43118-2024</t>
        </is>
      </c>
      <c r="B914" s="1" t="n">
        <v>45567</v>
      </c>
      <c r="C914" s="1" t="n">
        <v>45807</v>
      </c>
      <c r="D914" t="inlineStr">
        <is>
          <t>JÄMTLANDS LÄN</t>
        </is>
      </c>
      <c r="E914" t="inlineStr">
        <is>
          <t>ÖSTERSUND</t>
        </is>
      </c>
      <c r="G914" t="n">
        <v>5.1</v>
      </c>
      <c r="H914" t="n">
        <v>0</v>
      </c>
      <c r="I914" t="n">
        <v>0</v>
      </c>
      <c r="J914" t="n">
        <v>0</v>
      </c>
      <c r="K914" t="n">
        <v>0</v>
      </c>
      <c r="L914" t="n">
        <v>0</v>
      </c>
      <c r="M914" t="n">
        <v>0</v>
      </c>
      <c r="N914" t="n">
        <v>0</v>
      </c>
      <c r="O914" t="n">
        <v>0</v>
      </c>
      <c r="P914" t="n">
        <v>0</v>
      </c>
      <c r="Q914" t="n">
        <v>0</v>
      </c>
      <c r="R914" s="2" t="inlineStr"/>
    </row>
    <row r="915" ht="15" customHeight="1">
      <c r="A915" t="inlineStr">
        <is>
          <t>A 43016-2024</t>
        </is>
      </c>
      <c r="B915" s="1" t="n">
        <v>45567</v>
      </c>
      <c r="C915" s="1" t="n">
        <v>45807</v>
      </c>
      <c r="D915" t="inlineStr">
        <is>
          <t>JÄMTLANDS LÄN</t>
        </is>
      </c>
      <c r="E915" t="inlineStr">
        <is>
          <t>ÖSTERSUND</t>
        </is>
      </c>
      <c r="G915" t="n">
        <v>5.3</v>
      </c>
      <c r="H915" t="n">
        <v>0</v>
      </c>
      <c r="I915" t="n">
        <v>0</v>
      </c>
      <c r="J915" t="n">
        <v>0</v>
      </c>
      <c r="K915" t="n">
        <v>0</v>
      </c>
      <c r="L915" t="n">
        <v>0</v>
      </c>
      <c r="M915" t="n">
        <v>0</v>
      </c>
      <c r="N915" t="n">
        <v>0</v>
      </c>
      <c r="O915" t="n">
        <v>0</v>
      </c>
      <c r="P915" t="n">
        <v>0</v>
      </c>
      <c r="Q915" t="n">
        <v>0</v>
      </c>
      <c r="R915" s="2" t="inlineStr"/>
    </row>
    <row r="916" ht="15" customHeight="1">
      <c r="A916" t="inlineStr">
        <is>
          <t>A 43148-2024</t>
        </is>
      </c>
      <c r="B916" s="1" t="n">
        <v>45567</v>
      </c>
      <c r="C916" s="1" t="n">
        <v>45807</v>
      </c>
      <c r="D916" t="inlineStr">
        <is>
          <t>JÄMTLANDS LÄN</t>
        </is>
      </c>
      <c r="E916" t="inlineStr">
        <is>
          <t>ÖSTERSUND</t>
        </is>
      </c>
      <c r="G916" t="n">
        <v>3</v>
      </c>
      <c r="H916" t="n">
        <v>0</v>
      </c>
      <c r="I916" t="n">
        <v>0</v>
      </c>
      <c r="J916" t="n">
        <v>0</v>
      </c>
      <c r="K916" t="n">
        <v>0</v>
      </c>
      <c r="L916" t="n">
        <v>0</v>
      </c>
      <c r="M916" t="n">
        <v>0</v>
      </c>
      <c r="N916" t="n">
        <v>0</v>
      </c>
      <c r="O916" t="n">
        <v>0</v>
      </c>
      <c r="P916" t="n">
        <v>0</v>
      </c>
      <c r="Q916" t="n">
        <v>0</v>
      </c>
      <c r="R916" s="2" t="inlineStr"/>
    </row>
    <row r="917" ht="15" customHeight="1">
      <c r="A917" t="inlineStr">
        <is>
          <t>A 43557-2024</t>
        </is>
      </c>
      <c r="B917" s="1" t="n">
        <v>45569</v>
      </c>
      <c r="C917" s="1" t="n">
        <v>45807</v>
      </c>
      <c r="D917" t="inlineStr">
        <is>
          <t>JÄMTLANDS LÄN</t>
        </is>
      </c>
      <c r="E917" t="inlineStr">
        <is>
          <t>ÖSTERSUND</t>
        </is>
      </c>
      <c r="G917" t="n">
        <v>3.6</v>
      </c>
      <c r="H917" t="n">
        <v>0</v>
      </c>
      <c r="I917" t="n">
        <v>0</v>
      </c>
      <c r="J917" t="n">
        <v>0</v>
      </c>
      <c r="K917" t="n">
        <v>0</v>
      </c>
      <c r="L917" t="n">
        <v>0</v>
      </c>
      <c r="M917" t="n">
        <v>0</v>
      </c>
      <c r="N917" t="n">
        <v>0</v>
      </c>
      <c r="O917" t="n">
        <v>0</v>
      </c>
      <c r="P917" t="n">
        <v>0</v>
      </c>
      <c r="Q917" t="n">
        <v>0</v>
      </c>
      <c r="R917" s="2" t="inlineStr"/>
    </row>
    <row r="918" ht="15" customHeight="1">
      <c r="A918" t="inlineStr">
        <is>
          <t>A 43560-2024</t>
        </is>
      </c>
      <c r="B918" s="1" t="n">
        <v>45569</v>
      </c>
      <c r="C918" s="1" t="n">
        <v>45807</v>
      </c>
      <c r="D918" t="inlineStr">
        <is>
          <t>JÄMTLANDS LÄN</t>
        </is>
      </c>
      <c r="E918" t="inlineStr">
        <is>
          <t>ÖSTERSUND</t>
        </is>
      </c>
      <c r="G918" t="n">
        <v>2.7</v>
      </c>
      <c r="H918" t="n">
        <v>0</v>
      </c>
      <c r="I918" t="n">
        <v>0</v>
      </c>
      <c r="J918" t="n">
        <v>0</v>
      </c>
      <c r="K918" t="n">
        <v>0</v>
      </c>
      <c r="L918" t="n">
        <v>0</v>
      </c>
      <c r="M918" t="n">
        <v>0</v>
      </c>
      <c r="N918" t="n">
        <v>0</v>
      </c>
      <c r="O918" t="n">
        <v>0</v>
      </c>
      <c r="P918" t="n">
        <v>0</v>
      </c>
      <c r="Q918" t="n">
        <v>0</v>
      </c>
      <c r="R918" s="2" t="inlineStr"/>
    </row>
    <row r="919" ht="15" customHeight="1">
      <c r="A919" t="inlineStr">
        <is>
          <t>A 44048-2024</t>
        </is>
      </c>
      <c r="B919" s="1" t="n">
        <v>45572</v>
      </c>
      <c r="C919" s="1" t="n">
        <v>45807</v>
      </c>
      <c r="D919" t="inlineStr">
        <is>
          <t>JÄMTLANDS LÄN</t>
        </is>
      </c>
      <c r="E919" t="inlineStr">
        <is>
          <t>ÖSTERSUND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44489-2024</t>
        </is>
      </c>
      <c r="B920" s="1" t="n">
        <v>45574</v>
      </c>
      <c r="C920" s="1" t="n">
        <v>45807</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44707-2024</t>
        </is>
      </c>
      <c r="B921" s="1" t="n">
        <v>45574</v>
      </c>
      <c r="C921" s="1" t="n">
        <v>45807</v>
      </c>
      <c r="D921" t="inlineStr">
        <is>
          <t>JÄMTLANDS LÄN</t>
        </is>
      </c>
      <c r="E921" t="inlineStr">
        <is>
          <t>ÖSTERSUND</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45341-2024</t>
        </is>
      </c>
      <c r="B922" s="1" t="n">
        <v>45576</v>
      </c>
      <c r="C922" s="1" t="n">
        <v>45807</v>
      </c>
      <c r="D922" t="inlineStr">
        <is>
          <t>JÄMTLANDS LÄN</t>
        </is>
      </c>
      <c r="E922" t="inlineStr">
        <is>
          <t>ÖSTERSUND</t>
        </is>
      </c>
      <c r="G922" t="n">
        <v>5.9</v>
      </c>
      <c r="H922" t="n">
        <v>0</v>
      </c>
      <c r="I922" t="n">
        <v>0</v>
      </c>
      <c r="J922" t="n">
        <v>0</v>
      </c>
      <c r="K922" t="n">
        <v>0</v>
      </c>
      <c r="L922" t="n">
        <v>0</v>
      </c>
      <c r="M922" t="n">
        <v>0</v>
      </c>
      <c r="N922" t="n">
        <v>0</v>
      </c>
      <c r="O922" t="n">
        <v>0</v>
      </c>
      <c r="P922" t="n">
        <v>0</v>
      </c>
      <c r="Q922" t="n">
        <v>0</v>
      </c>
      <c r="R922" s="2" t="inlineStr"/>
    </row>
    <row r="923" ht="15" customHeight="1">
      <c r="A923" t="inlineStr">
        <is>
          <t>A 45338-2024</t>
        </is>
      </c>
      <c r="B923" s="1" t="n">
        <v>45576</v>
      </c>
      <c r="C923" s="1" t="n">
        <v>45807</v>
      </c>
      <c r="D923" t="inlineStr">
        <is>
          <t>JÄMTLANDS LÄN</t>
        </is>
      </c>
      <c r="E923" t="inlineStr">
        <is>
          <t>ÖSTERSUND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45340-2024</t>
        </is>
      </c>
      <c r="B924" s="1" t="n">
        <v>45576</v>
      </c>
      <c r="C924" s="1" t="n">
        <v>45807</v>
      </c>
      <c r="D924" t="inlineStr">
        <is>
          <t>JÄMTLANDS LÄN</t>
        </is>
      </c>
      <c r="E924" t="inlineStr">
        <is>
          <t>ÖSTERSUND</t>
        </is>
      </c>
      <c r="G924" t="n">
        <v>1.6</v>
      </c>
      <c r="H924" t="n">
        <v>0</v>
      </c>
      <c r="I924" t="n">
        <v>0</v>
      </c>
      <c r="J924" t="n">
        <v>0</v>
      </c>
      <c r="K924" t="n">
        <v>0</v>
      </c>
      <c r="L924" t="n">
        <v>0</v>
      </c>
      <c r="M924" t="n">
        <v>0</v>
      </c>
      <c r="N924" t="n">
        <v>0</v>
      </c>
      <c r="O924" t="n">
        <v>0</v>
      </c>
      <c r="P924" t="n">
        <v>0</v>
      </c>
      <c r="Q924" t="n">
        <v>0</v>
      </c>
      <c r="R924" s="2" t="inlineStr"/>
    </row>
    <row r="925" ht="15" customHeight="1">
      <c r="A925" t="inlineStr">
        <is>
          <t>A 45610-2024</t>
        </is>
      </c>
      <c r="B925" s="1" t="n">
        <v>45579</v>
      </c>
      <c r="C925" s="1" t="n">
        <v>45807</v>
      </c>
      <c r="D925" t="inlineStr">
        <is>
          <t>JÄMTLANDS LÄN</t>
        </is>
      </c>
      <c r="E925" t="inlineStr">
        <is>
          <t>ÖSTERSUND</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45742-2024</t>
        </is>
      </c>
      <c r="B926" s="1" t="n">
        <v>45579</v>
      </c>
      <c r="C926" s="1" t="n">
        <v>45807</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45895-2024</t>
        </is>
      </c>
      <c r="B927" s="1" t="n">
        <v>45580</v>
      </c>
      <c r="C927" s="1" t="n">
        <v>45807</v>
      </c>
      <c r="D927" t="inlineStr">
        <is>
          <t>JÄMTLANDS LÄN</t>
        </is>
      </c>
      <c r="E927" t="inlineStr">
        <is>
          <t>ÖSTERSUND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45856-2024</t>
        </is>
      </c>
      <c r="B928" s="1" t="n">
        <v>45580</v>
      </c>
      <c r="C928" s="1" t="n">
        <v>45807</v>
      </c>
      <c r="D928" t="inlineStr">
        <is>
          <t>JÄMTLANDS LÄN</t>
        </is>
      </c>
      <c r="E928" t="inlineStr">
        <is>
          <t>ÖSTERSUND</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46732-2024</t>
        </is>
      </c>
      <c r="B929" s="1" t="n">
        <v>45583</v>
      </c>
      <c r="C929" s="1" t="n">
        <v>45807</v>
      </c>
      <c r="D929" t="inlineStr">
        <is>
          <t>JÄMTLANDS LÄN</t>
        </is>
      </c>
      <c r="E929" t="inlineStr">
        <is>
          <t>ÖSTERSUND</t>
        </is>
      </c>
      <c r="G929" t="n">
        <v>3.3</v>
      </c>
      <c r="H929" t="n">
        <v>0</v>
      </c>
      <c r="I929" t="n">
        <v>0</v>
      </c>
      <c r="J929" t="n">
        <v>0</v>
      </c>
      <c r="K929" t="n">
        <v>0</v>
      </c>
      <c r="L929" t="n">
        <v>0</v>
      </c>
      <c r="M929" t="n">
        <v>0</v>
      </c>
      <c r="N929" t="n">
        <v>0</v>
      </c>
      <c r="O929" t="n">
        <v>0</v>
      </c>
      <c r="P929" t="n">
        <v>0</v>
      </c>
      <c r="Q929" t="n">
        <v>0</v>
      </c>
      <c r="R929" s="2" t="inlineStr"/>
    </row>
    <row r="930" ht="15" customHeight="1">
      <c r="A930" t="inlineStr">
        <is>
          <t>A 47245-2024</t>
        </is>
      </c>
      <c r="B930" s="1" t="n">
        <v>45586</v>
      </c>
      <c r="C930" s="1" t="n">
        <v>45807</v>
      </c>
      <c r="D930" t="inlineStr">
        <is>
          <t>JÄMTLANDS LÄN</t>
        </is>
      </c>
      <c r="E930" t="inlineStr">
        <is>
          <t>ÖSTERSUND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47022-2024</t>
        </is>
      </c>
      <c r="B931" s="1" t="n">
        <v>45586</v>
      </c>
      <c r="C931" s="1" t="n">
        <v>45807</v>
      </c>
      <c r="D931" t="inlineStr">
        <is>
          <t>JÄMTLANDS LÄN</t>
        </is>
      </c>
      <c r="E931" t="inlineStr">
        <is>
          <t>ÖSTERSUND</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47357-2024</t>
        </is>
      </c>
      <c r="B932" s="1" t="n">
        <v>45587</v>
      </c>
      <c r="C932" s="1" t="n">
        <v>45807</v>
      </c>
      <c r="D932" t="inlineStr">
        <is>
          <t>JÄMTLANDS LÄN</t>
        </is>
      </c>
      <c r="E932" t="inlineStr">
        <is>
          <t>ÖSTERSUND</t>
        </is>
      </c>
      <c r="G932" t="n">
        <v>2.4</v>
      </c>
      <c r="H932" t="n">
        <v>0</v>
      </c>
      <c r="I932" t="n">
        <v>0</v>
      </c>
      <c r="J932" t="n">
        <v>0</v>
      </c>
      <c r="K932" t="n">
        <v>0</v>
      </c>
      <c r="L932" t="n">
        <v>0</v>
      </c>
      <c r="M932" t="n">
        <v>0</v>
      </c>
      <c r="N932" t="n">
        <v>0</v>
      </c>
      <c r="O932" t="n">
        <v>0</v>
      </c>
      <c r="P932" t="n">
        <v>0</v>
      </c>
      <c r="Q932" t="n">
        <v>0</v>
      </c>
      <c r="R932" s="2" t="inlineStr"/>
    </row>
    <row r="933" ht="15" customHeight="1">
      <c r="A933" t="inlineStr">
        <is>
          <t>A 47804-2024</t>
        </is>
      </c>
      <c r="B933" s="1" t="n">
        <v>45588</v>
      </c>
      <c r="C933" s="1" t="n">
        <v>45807</v>
      </c>
      <c r="D933" t="inlineStr">
        <is>
          <t>JÄMTLANDS LÄN</t>
        </is>
      </c>
      <c r="E933" t="inlineStr">
        <is>
          <t>ÖSTERSUND</t>
        </is>
      </c>
      <c r="F933" t="inlineStr">
        <is>
          <t>SCA</t>
        </is>
      </c>
      <c r="G933" t="n">
        <v>7.3</v>
      </c>
      <c r="H933" t="n">
        <v>0</v>
      </c>
      <c r="I933" t="n">
        <v>0</v>
      </c>
      <c r="J933" t="n">
        <v>0</v>
      </c>
      <c r="K933" t="n">
        <v>0</v>
      </c>
      <c r="L933" t="n">
        <v>0</v>
      </c>
      <c r="M933" t="n">
        <v>0</v>
      </c>
      <c r="N933" t="n">
        <v>0</v>
      </c>
      <c r="O933" t="n">
        <v>0</v>
      </c>
      <c r="P933" t="n">
        <v>0</v>
      </c>
      <c r="Q933" t="n">
        <v>0</v>
      </c>
      <c r="R933" s="2" t="inlineStr"/>
    </row>
    <row r="934" ht="15" customHeight="1">
      <c r="A934" t="inlineStr">
        <is>
          <t>A 47630-2024</t>
        </is>
      </c>
      <c r="B934" s="1" t="n">
        <v>45588</v>
      </c>
      <c r="C934" s="1" t="n">
        <v>45807</v>
      </c>
      <c r="D934" t="inlineStr">
        <is>
          <t>JÄMTLANDS LÄN</t>
        </is>
      </c>
      <c r="E934" t="inlineStr">
        <is>
          <t>ÖSTERSUND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47628-2024</t>
        </is>
      </c>
      <c r="B935" s="1" t="n">
        <v>45588</v>
      </c>
      <c r="C935" s="1" t="n">
        <v>45807</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47789-2024</t>
        </is>
      </c>
      <c r="B936" s="1" t="n">
        <v>45588</v>
      </c>
      <c r="C936" s="1" t="n">
        <v>45807</v>
      </c>
      <c r="D936" t="inlineStr">
        <is>
          <t>JÄMTLANDS LÄN</t>
        </is>
      </c>
      <c r="E936" t="inlineStr">
        <is>
          <t>ÖSTERSUND</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47805-2024</t>
        </is>
      </c>
      <c r="B937" s="1" t="n">
        <v>45588</v>
      </c>
      <c r="C937" s="1" t="n">
        <v>45807</v>
      </c>
      <c r="D937" t="inlineStr">
        <is>
          <t>JÄMTLANDS LÄN</t>
        </is>
      </c>
      <c r="E937" t="inlineStr">
        <is>
          <t>ÖSTERSUND</t>
        </is>
      </c>
      <c r="G937" t="n">
        <v>7.4</v>
      </c>
      <c r="H937" t="n">
        <v>0</v>
      </c>
      <c r="I937" t="n">
        <v>0</v>
      </c>
      <c r="J937" t="n">
        <v>0</v>
      </c>
      <c r="K937" t="n">
        <v>0</v>
      </c>
      <c r="L937" t="n">
        <v>0</v>
      </c>
      <c r="M937" t="n">
        <v>0</v>
      </c>
      <c r="N937" t="n">
        <v>0</v>
      </c>
      <c r="O937" t="n">
        <v>0</v>
      </c>
      <c r="P937" t="n">
        <v>0</v>
      </c>
      <c r="Q937" t="n">
        <v>0</v>
      </c>
      <c r="R937" s="2" t="inlineStr"/>
    </row>
    <row r="938" ht="15" customHeight="1">
      <c r="A938" t="inlineStr">
        <is>
          <t>A 47627-2024</t>
        </is>
      </c>
      <c r="B938" s="1" t="n">
        <v>45588</v>
      </c>
      <c r="C938" s="1" t="n">
        <v>45807</v>
      </c>
      <c r="D938" t="inlineStr">
        <is>
          <t>JÄMTLANDS LÄN</t>
        </is>
      </c>
      <c r="E938" t="inlineStr">
        <is>
          <t>ÖSTERSUND</t>
        </is>
      </c>
      <c r="G938" t="n">
        <v>0.8</v>
      </c>
      <c r="H938" t="n">
        <v>0</v>
      </c>
      <c r="I938" t="n">
        <v>0</v>
      </c>
      <c r="J938" t="n">
        <v>0</v>
      </c>
      <c r="K938" t="n">
        <v>0</v>
      </c>
      <c r="L938" t="n">
        <v>0</v>
      </c>
      <c r="M938" t="n">
        <v>0</v>
      </c>
      <c r="N938" t="n">
        <v>0</v>
      </c>
      <c r="O938" t="n">
        <v>0</v>
      </c>
      <c r="P938" t="n">
        <v>0</v>
      </c>
      <c r="Q938" t="n">
        <v>0</v>
      </c>
      <c r="R938" s="2" t="inlineStr"/>
    </row>
    <row r="939" ht="15" customHeight="1">
      <c r="A939" t="inlineStr">
        <is>
          <t>A 48131-2024</t>
        </is>
      </c>
      <c r="B939" s="1" t="n">
        <v>45589</v>
      </c>
      <c r="C939" s="1" t="n">
        <v>45807</v>
      </c>
      <c r="D939" t="inlineStr">
        <is>
          <t>JÄMTLANDS LÄN</t>
        </is>
      </c>
      <c r="E939" t="inlineStr">
        <is>
          <t>ÖSTERSUND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48106-2024</t>
        </is>
      </c>
      <c r="B940" s="1" t="n">
        <v>45589</v>
      </c>
      <c r="C940" s="1" t="n">
        <v>45807</v>
      </c>
      <c r="D940" t="inlineStr">
        <is>
          <t>JÄMTLANDS LÄN</t>
        </is>
      </c>
      <c r="E940" t="inlineStr">
        <is>
          <t>ÖSTERSUND</t>
        </is>
      </c>
      <c r="G940" t="n">
        <v>3.5</v>
      </c>
      <c r="H940" t="n">
        <v>0</v>
      </c>
      <c r="I940" t="n">
        <v>0</v>
      </c>
      <c r="J940" t="n">
        <v>0</v>
      </c>
      <c r="K940" t="n">
        <v>0</v>
      </c>
      <c r="L940" t="n">
        <v>0</v>
      </c>
      <c r="M940" t="n">
        <v>0</v>
      </c>
      <c r="N940" t="n">
        <v>0</v>
      </c>
      <c r="O940" t="n">
        <v>0</v>
      </c>
      <c r="P940" t="n">
        <v>0</v>
      </c>
      <c r="Q940" t="n">
        <v>0</v>
      </c>
      <c r="R940" s="2" t="inlineStr"/>
    </row>
    <row r="941" ht="15" customHeight="1">
      <c r="A941" t="inlineStr">
        <is>
          <t>A 48421-2024</t>
        </is>
      </c>
      <c r="B941" s="1" t="n">
        <v>45590</v>
      </c>
      <c r="C941" s="1" t="n">
        <v>45807</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48422-2024</t>
        </is>
      </c>
      <c r="B942" s="1" t="n">
        <v>45590</v>
      </c>
      <c r="C942" s="1" t="n">
        <v>45807</v>
      </c>
      <c r="D942" t="inlineStr">
        <is>
          <t>JÄMTLANDS LÄN</t>
        </is>
      </c>
      <c r="E942" t="inlineStr">
        <is>
          <t>ÖSTERSUND</t>
        </is>
      </c>
      <c r="G942" t="n">
        <v>14.6</v>
      </c>
      <c r="H942" t="n">
        <v>0</v>
      </c>
      <c r="I942" t="n">
        <v>0</v>
      </c>
      <c r="J942" t="n">
        <v>0</v>
      </c>
      <c r="K942" t="n">
        <v>0</v>
      </c>
      <c r="L942" t="n">
        <v>0</v>
      </c>
      <c r="M942" t="n">
        <v>0</v>
      </c>
      <c r="N942" t="n">
        <v>0</v>
      </c>
      <c r="O942" t="n">
        <v>0</v>
      </c>
      <c r="P942" t="n">
        <v>0</v>
      </c>
      <c r="Q942" t="n">
        <v>0</v>
      </c>
      <c r="R942" s="2" t="inlineStr"/>
    </row>
    <row r="943" ht="15" customHeight="1">
      <c r="A943" t="inlineStr">
        <is>
          <t>A 48696-2024</t>
        </is>
      </c>
      <c r="B943" s="1" t="n">
        <v>45593</v>
      </c>
      <c r="C943" s="1" t="n">
        <v>45807</v>
      </c>
      <c r="D943" t="inlineStr">
        <is>
          <t>JÄMTLANDS LÄN</t>
        </is>
      </c>
      <c r="E943" t="inlineStr">
        <is>
          <t>ÖSTERSUND</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48737-2024</t>
        </is>
      </c>
      <c r="B944" s="1" t="n">
        <v>45593</v>
      </c>
      <c r="C944" s="1" t="n">
        <v>45807</v>
      </c>
      <c r="D944" t="inlineStr">
        <is>
          <t>JÄMTLANDS LÄN</t>
        </is>
      </c>
      <c r="E944" t="inlineStr">
        <is>
          <t>ÖSTERSUND</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49192-2024</t>
        </is>
      </c>
      <c r="B945" s="1" t="n">
        <v>45595</v>
      </c>
      <c r="C945" s="1" t="n">
        <v>45807</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49240-2024</t>
        </is>
      </c>
      <c r="B946" s="1" t="n">
        <v>45595</v>
      </c>
      <c r="C946" s="1" t="n">
        <v>45807</v>
      </c>
      <c r="D946" t="inlineStr">
        <is>
          <t>JÄMTLANDS LÄN</t>
        </is>
      </c>
      <c r="E946" t="inlineStr">
        <is>
          <t>ÖSTERSUND</t>
        </is>
      </c>
      <c r="G946" t="n">
        <v>5.1</v>
      </c>
      <c r="H946" t="n">
        <v>0</v>
      </c>
      <c r="I946" t="n">
        <v>0</v>
      </c>
      <c r="J946" t="n">
        <v>0</v>
      </c>
      <c r="K946" t="n">
        <v>0</v>
      </c>
      <c r="L946" t="n">
        <v>0</v>
      </c>
      <c r="M946" t="n">
        <v>0</v>
      </c>
      <c r="N946" t="n">
        <v>0</v>
      </c>
      <c r="O946" t="n">
        <v>0</v>
      </c>
      <c r="P946" t="n">
        <v>0</v>
      </c>
      <c r="Q946" t="n">
        <v>0</v>
      </c>
      <c r="R946" s="2" t="inlineStr"/>
    </row>
    <row r="947" ht="15" customHeight="1">
      <c r="A947" t="inlineStr">
        <is>
          <t>A 49546-2024</t>
        </is>
      </c>
      <c r="B947" s="1" t="n">
        <v>45596</v>
      </c>
      <c r="C947" s="1" t="n">
        <v>45807</v>
      </c>
      <c r="D947" t="inlineStr">
        <is>
          <t>JÄMTLANDS LÄN</t>
        </is>
      </c>
      <c r="E947" t="inlineStr">
        <is>
          <t>ÖSTERSUND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49592-2024</t>
        </is>
      </c>
      <c r="B948" s="1" t="n">
        <v>45596</v>
      </c>
      <c r="C948" s="1" t="n">
        <v>45807</v>
      </c>
      <c r="D948" t="inlineStr">
        <is>
          <t>JÄMTLANDS LÄN</t>
        </is>
      </c>
      <c r="E948" t="inlineStr">
        <is>
          <t>ÖSTERSUND</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49788-2024</t>
        </is>
      </c>
      <c r="B949" s="1" t="n">
        <v>45597</v>
      </c>
      <c r="C949" s="1" t="n">
        <v>45807</v>
      </c>
      <c r="D949" t="inlineStr">
        <is>
          <t>JÄMTLANDS LÄN</t>
        </is>
      </c>
      <c r="E949" t="inlineStr">
        <is>
          <t>ÖSTERSUND</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50088-2024</t>
        </is>
      </c>
      <c r="B950" s="1" t="n">
        <v>45600</v>
      </c>
      <c r="C950" s="1" t="n">
        <v>45807</v>
      </c>
      <c r="D950" t="inlineStr">
        <is>
          <t>JÄMTLANDS LÄN</t>
        </is>
      </c>
      <c r="E950" t="inlineStr">
        <is>
          <t>ÖSTERSUND</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50218-2024</t>
        </is>
      </c>
      <c r="B951" s="1" t="n">
        <v>45600</v>
      </c>
      <c r="C951" s="1" t="n">
        <v>45807</v>
      </c>
      <c r="D951" t="inlineStr">
        <is>
          <t>JÄMTLANDS LÄN</t>
        </is>
      </c>
      <c r="E951" t="inlineStr">
        <is>
          <t>ÖSTERSUND</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50560-2024</t>
        </is>
      </c>
      <c r="B952" s="1" t="n">
        <v>45601</v>
      </c>
      <c r="C952" s="1" t="n">
        <v>45807</v>
      </c>
      <c r="D952" t="inlineStr">
        <is>
          <t>JÄMTLANDS LÄN</t>
        </is>
      </c>
      <c r="E952" t="inlineStr">
        <is>
          <t>ÖSTERSUND</t>
        </is>
      </c>
      <c r="G952" t="n">
        <v>2.3</v>
      </c>
      <c r="H952" t="n">
        <v>0</v>
      </c>
      <c r="I952" t="n">
        <v>0</v>
      </c>
      <c r="J952" t="n">
        <v>0</v>
      </c>
      <c r="K952" t="n">
        <v>0</v>
      </c>
      <c r="L952" t="n">
        <v>0</v>
      </c>
      <c r="M952" t="n">
        <v>0</v>
      </c>
      <c r="N952" t="n">
        <v>0</v>
      </c>
      <c r="O952" t="n">
        <v>0</v>
      </c>
      <c r="P952" t="n">
        <v>0</v>
      </c>
      <c r="Q952" t="n">
        <v>0</v>
      </c>
      <c r="R952" s="2" t="inlineStr"/>
    </row>
    <row r="953" ht="15" customHeight="1">
      <c r="A953" t="inlineStr">
        <is>
          <t>A 50860-2024</t>
        </is>
      </c>
      <c r="B953" s="1" t="n">
        <v>45602</v>
      </c>
      <c r="C953" s="1" t="n">
        <v>45807</v>
      </c>
      <c r="D953" t="inlineStr">
        <is>
          <t>JÄMTLANDS LÄN</t>
        </is>
      </c>
      <c r="E953" t="inlineStr">
        <is>
          <t>ÖSTERSUND</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50861-2024</t>
        </is>
      </c>
      <c r="B954" s="1" t="n">
        <v>45602</v>
      </c>
      <c r="C954" s="1" t="n">
        <v>45807</v>
      </c>
      <c r="D954" t="inlineStr">
        <is>
          <t>JÄMTLANDS LÄN</t>
        </is>
      </c>
      <c r="E954" t="inlineStr">
        <is>
          <t>ÖSTERSUND</t>
        </is>
      </c>
      <c r="G954" t="n">
        <v>5</v>
      </c>
      <c r="H954" t="n">
        <v>0</v>
      </c>
      <c r="I954" t="n">
        <v>0</v>
      </c>
      <c r="J954" t="n">
        <v>0</v>
      </c>
      <c r="K954" t="n">
        <v>0</v>
      </c>
      <c r="L954" t="n">
        <v>0</v>
      </c>
      <c r="M954" t="n">
        <v>0</v>
      </c>
      <c r="N954" t="n">
        <v>0</v>
      </c>
      <c r="O954" t="n">
        <v>0</v>
      </c>
      <c r="P954" t="n">
        <v>0</v>
      </c>
      <c r="Q954" t="n">
        <v>0</v>
      </c>
      <c r="R954" s="2" t="inlineStr"/>
    </row>
    <row r="955" ht="15" customHeight="1">
      <c r="A955" t="inlineStr">
        <is>
          <t>A 50971-2024</t>
        </is>
      </c>
      <c r="B955" s="1" t="n">
        <v>45603</v>
      </c>
      <c r="C955" s="1" t="n">
        <v>45807</v>
      </c>
      <c r="D955" t="inlineStr">
        <is>
          <t>JÄMTLANDS LÄN</t>
        </is>
      </c>
      <c r="E955" t="inlineStr">
        <is>
          <t>ÖSTERSUND</t>
        </is>
      </c>
      <c r="G955" t="n">
        <v>3.2</v>
      </c>
      <c r="H955" t="n">
        <v>0</v>
      </c>
      <c r="I955" t="n">
        <v>0</v>
      </c>
      <c r="J955" t="n">
        <v>0</v>
      </c>
      <c r="K955" t="n">
        <v>0</v>
      </c>
      <c r="L955" t="n">
        <v>0</v>
      </c>
      <c r="M955" t="n">
        <v>0</v>
      </c>
      <c r="N955" t="n">
        <v>0</v>
      </c>
      <c r="O955" t="n">
        <v>0</v>
      </c>
      <c r="P955" t="n">
        <v>0</v>
      </c>
      <c r="Q955" t="n">
        <v>0</v>
      </c>
      <c r="R955" s="2" t="inlineStr"/>
    </row>
    <row r="956" ht="15" customHeight="1">
      <c r="A956" t="inlineStr">
        <is>
          <t>A 51379-2024</t>
        </is>
      </c>
      <c r="B956" s="1" t="n">
        <v>45604</v>
      </c>
      <c r="C956" s="1" t="n">
        <v>45807</v>
      </c>
      <c r="D956" t="inlineStr">
        <is>
          <t>JÄMTLANDS LÄN</t>
        </is>
      </c>
      <c r="E956" t="inlineStr">
        <is>
          <t>ÖSTERSUND</t>
        </is>
      </c>
      <c r="G956" t="n">
        <v>2</v>
      </c>
      <c r="H956" t="n">
        <v>0</v>
      </c>
      <c r="I956" t="n">
        <v>0</v>
      </c>
      <c r="J956" t="n">
        <v>0</v>
      </c>
      <c r="K956" t="n">
        <v>0</v>
      </c>
      <c r="L956" t="n">
        <v>0</v>
      </c>
      <c r="M956" t="n">
        <v>0</v>
      </c>
      <c r="N956" t="n">
        <v>0</v>
      </c>
      <c r="O956" t="n">
        <v>0</v>
      </c>
      <c r="P956" t="n">
        <v>0</v>
      </c>
      <c r="Q956" t="n">
        <v>0</v>
      </c>
      <c r="R956" s="2" t="inlineStr"/>
    </row>
    <row r="957" ht="15" customHeight="1">
      <c r="A957" t="inlineStr">
        <is>
          <t>A 51856-2024</t>
        </is>
      </c>
      <c r="B957" s="1" t="n">
        <v>45607</v>
      </c>
      <c r="C957" s="1" t="n">
        <v>45807</v>
      </c>
      <c r="D957" t="inlineStr">
        <is>
          <t>JÄMTLANDS LÄN</t>
        </is>
      </c>
      <c r="E957" t="inlineStr">
        <is>
          <t>ÖSTERSUND</t>
        </is>
      </c>
      <c r="G957" t="n">
        <v>13.5</v>
      </c>
      <c r="H957" t="n">
        <v>0</v>
      </c>
      <c r="I957" t="n">
        <v>0</v>
      </c>
      <c r="J957" t="n">
        <v>0</v>
      </c>
      <c r="K957" t="n">
        <v>0</v>
      </c>
      <c r="L957" t="n">
        <v>0</v>
      </c>
      <c r="M957" t="n">
        <v>0</v>
      </c>
      <c r="N957" t="n">
        <v>0</v>
      </c>
      <c r="O957" t="n">
        <v>0</v>
      </c>
      <c r="P957" t="n">
        <v>0</v>
      </c>
      <c r="Q957" t="n">
        <v>0</v>
      </c>
      <c r="R957" s="2" t="inlineStr"/>
    </row>
    <row r="958" ht="15" customHeight="1">
      <c r="A958" t="inlineStr">
        <is>
          <t>A 51865-2024</t>
        </is>
      </c>
      <c r="B958" s="1" t="n">
        <v>45607</v>
      </c>
      <c r="C958" s="1" t="n">
        <v>45807</v>
      </c>
      <c r="D958" t="inlineStr">
        <is>
          <t>JÄMTLANDS LÄN</t>
        </is>
      </c>
      <c r="E958" t="inlineStr">
        <is>
          <t>ÖSTERSUND</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51818-2024</t>
        </is>
      </c>
      <c r="B959" s="1" t="n">
        <v>45607</v>
      </c>
      <c r="C959" s="1" t="n">
        <v>45807</v>
      </c>
      <c r="D959" t="inlineStr">
        <is>
          <t>JÄMTLANDS LÄN</t>
        </is>
      </c>
      <c r="E959" t="inlineStr">
        <is>
          <t>ÖSTERSUND</t>
        </is>
      </c>
      <c r="G959" t="n">
        <v>4.6</v>
      </c>
      <c r="H959" t="n">
        <v>0</v>
      </c>
      <c r="I959" t="n">
        <v>0</v>
      </c>
      <c r="J959" t="n">
        <v>0</v>
      </c>
      <c r="K959" t="n">
        <v>0</v>
      </c>
      <c r="L959" t="n">
        <v>0</v>
      </c>
      <c r="M959" t="n">
        <v>0</v>
      </c>
      <c r="N959" t="n">
        <v>0</v>
      </c>
      <c r="O959" t="n">
        <v>0</v>
      </c>
      <c r="P959" t="n">
        <v>0</v>
      </c>
      <c r="Q959" t="n">
        <v>0</v>
      </c>
      <c r="R959" s="2" t="inlineStr"/>
    </row>
    <row r="960" ht="15" customHeight="1">
      <c r="A960" t="inlineStr">
        <is>
          <t>A 51826-2024</t>
        </is>
      </c>
      <c r="B960" s="1" t="n">
        <v>45607</v>
      </c>
      <c r="C960" s="1" t="n">
        <v>45807</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52405-2024</t>
        </is>
      </c>
      <c r="B961" s="1" t="n">
        <v>45609</v>
      </c>
      <c r="C961" s="1" t="n">
        <v>45807</v>
      </c>
      <c r="D961" t="inlineStr">
        <is>
          <t>JÄMTLANDS LÄN</t>
        </is>
      </c>
      <c r="E961" t="inlineStr">
        <is>
          <t>ÖSTERSUND</t>
        </is>
      </c>
      <c r="G961" t="n">
        <v>4.3</v>
      </c>
      <c r="H961" t="n">
        <v>0</v>
      </c>
      <c r="I961" t="n">
        <v>0</v>
      </c>
      <c r="J961" t="n">
        <v>0</v>
      </c>
      <c r="K961" t="n">
        <v>0</v>
      </c>
      <c r="L961" t="n">
        <v>0</v>
      </c>
      <c r="M961" t="n">
        <v>0</v>
      </c>
      <c r="N961" t="n">
        <v>0</v>
      </c>
      <c r="O961" t="n">
        <v>0</v>
      </c>
      <c r="P961" t="n">
        <v>0</v>
      </c>
      <c r="Q961" t="n">
        <v>0</v>
      </c>
      <c r="R961" s="2" t="inlineStr"/>
    </row>
    <row r="962" ht="15" customHeight="1">
      <c r="A962" t="inlineStr">
        <is>
          <t>A 52480-2024</t>
        </is>
      </c>
      <c r="B962" s="1" t="n">
        <v>45609</v>
      </c>
      <c r="C962" s="1" t="n">
        <v>45807</v>
      </c>
      <c r="D962" t="inlineStr">
        <is>
          <t>JÄMTLANDS LÄN</t>
        </is>
      </c>
      <c r="E962" t="inlineStr">
        <is>
          <t>ÖSTERSUND</t>
        </is>
      </c>
      <c r="G962" t="n">
        <v>20.2</v>
      </c>
      <c r="H962" t="n">
        <v>0</v>
      </c>
      <c r="I962" t="n">
        <v>0</v>
      </c>
      <c r="J962" t="n">
        <v>0</v>
      </c>
      <c r="K962" t="n">
        <v>0</v>
      </c>
      <c r="L962" t="n">
        <v>0</v>
      </c>
      <c r="M962" t="n">
        <v>0</v>
      </c>
      <c r="N962" t="n">
        <v>0</v>
      </c>
      <c r="O962" t="n">
        <v>0</v>
      </c>
      <c r="P962" t="n">
        <v>0</v>
      </c>
      <c r="Q962" t="n">
        <v>0</v>
      </c>
      <c r="R962" s="2" t="inlineStr"/>
    </row>
    <row r="963" ht="15" customHeight="1">
      <c r="A963" t="inlineStr">
        <is>
          <t>A 52483-2024</t>
        </is>
      </c>
      <c r="B963" s="1" t="n">
        <v>45609</v>
      </c>
      <c r="C963" s="1" t="n">
        <v>45807</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52481-2024</t>
        </is>
      </c>
      <c r="B964" s="1" t="n">
        <v>45609</v>
      </c>
      <c r="C964" s="1" t="n">
        <v>45807</v>
      </c>
      <c r="D964" t="inlineStr">
        <is>
          <t>JÄMTLANDS LÄN</t>
        </is>
      </c>
      <c r="E964" t="inlineStr">
        <is>
          <t>ÖSTERSUND</t>
        </is>
      </c>
      <c r="G964" t="n">
        <v>1.9</v>
      </c>
      <c r="H964" t="n">
        <v>0</v>
      </c>
      <c r="I964" t="n">
        <v>0</v>
      </c>
      <c r="J964" t="n">
        <v>0</v>
      </c>
      <c r="K964" t="n">
        <v>0</v>
      </c>
      <c r="L964" t="n">
        <v>0</v>
      </c>
      <c r="M964" t="n">
        <v>0</v>
      </c>
      <c r="N964" t="n">
        <v>0</v>
      </c>
      <c r="O964" t="n">
        <v>0</v>
      </c>
      <c r="P964" t="n">
        <v>0</v>
      </c>
      <c r="Q964" t="n">
        <v>0</v>
      </c>
      <c r="R964" s="2" t="inlineStr"/>
    </row>
    <row r="965" ht="15" customHeight="1">
      <c r="A965" t="inlineStr">
        <is>
          <t>A 52482-2024</t>
        </is>
      </c>
      <c r="B965" s="1" t="n">
        <v>45609</v>
      </c>
      <c r="C965" s="1" t="n">
        <v>45807</v>
      </c>
      <c r="D965" t="inlineStr">
        <is>
          <t>JÄMTLANDS LÄN</t>
        </is>
      </c>
      <c r="E965" t="inlineStr">
        <is>
          <t>ÖSTERSUND</t>
        </is>
      </c>
      <c r="G965" t="n">
        <v>7.3</v>
      </c>
      <c r="H965" t="n">
        <v>0</v>
      </c>
      <c r="I965" t="n">
        <v>0</v>
      </c>
      <c r="J965" t="n">
        <v>0</v>
      </c>
      <c r="K965" t="n">
        <v>0</v>
      </c>
      <c r="L965" t="n">
        <v>0</v>
      </c>
      <c r="M965" t="n">
        <v>0</v>
      </c>
      <c r="N965" t="n">
        <v>0</v>
      </c>
      <c r="O965" t="n">
        <v>0</v>
      </c>
      <c r="P965" t="n">
        <v>0</v>
      </c>
      <c r="Q965" t="n">
        <v>0</v>
      </c>
      <c r="R965" s="2" t="inlineStr"/>
    </row>
    <row r="966" ht="15" customHeight="1">
      <c r="A966" t="inlineStr">
        <is>
          <t>A 52854-2024</t>
        </is>
      </c>
      <c r="B966" s="1" t="n">
        <v>45610</v>
      </c>
      <c r="C966" s="1" t="n">
        <v>45807</v>
      </c>
      <c r="D966" t="inlineStr">
        <is>
          <t>JÄMTLANDS LÄN</t>
        </is>
      </c>
      <c r="E966" t="inlineStr">
        <is>
          <t>ÖSTERSUND</t>
        </is>
      </c>
      <c r="G966" t="n">
        <v>2.5</v>
      </c>
      <c r="H966" t="n">
        <v>0</v>
      </c>
      <c r="I966" t="n">
        <v>0</v>
      </c>
      <c r="J966" t="n">
        <v>0</v>
      </c>
      <c r="K966" t="n">
        <v>0</v>
      </c>
      <c r="L966" t="n">
        <v>0</v>
      </c>
      <c r="M966" t="n">
        <v>0</v>
      </c>
      <c r="N966" t="n">
        <v>0</v>
      </c>
      <c r="O966" t="n">
        <v>0</v>
      </c>
      <c r="P966" t="n">
        <v>0</v>
      </c>
      <c r="Q966" t="n">
        <v>0</v>
      </c>
      <c r="R966" s="2" t="inlineStr"/>
    </row>
    <row r="967" ht="15" customHeight="1">
      <c r="A967" t="inlineStr">
        <is>
          <t>A 53060-2024</t>
        </is>
      </c>
      <c r="B967" s="1" t="n">
        <v>45611</v>
      </c>
      <c r="C967" s="1" t="n">
        <v>45807</v>
      </c>
      <c r="D967" t="inlineStr">
        <is>
          <t>JÄMTLANDS LÄN</t>
        </is>
      </c>
      <c r="E967" t="inlineStr">
        <is>
          <t>ÖSTERSUND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53176-2024</t>
        </is>
      </c>
      <c r="B968" s="1" t="n">
        <v>45611</v>
      </c>
      <c r="C968" s="1" t="n">
        <v>45807</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53130-2024</t>
        </is>
      </c>
      <c r="B969" s="1" t="n">
        <v>45611</v>
      </c>
      <c r="C969" s="1" t="n">
        <v>45807</v>
      </c>
      <c r="D969" t="inlineStr">
        <is>
          <t>JÄMTLANDS LÄN</t>
        </is>
      </c>
      <c r="E969" t="inlineStr">
        <is>
          <t>ÖSTERSUND</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53516-2024</t>
        </is>
      </c>
      <c r="B970" s="1" t="n">
        <v>45614</v>
      </c>
      <c r="C970" s="1" t="n">
        <v>45807</v>
      </c>
      <c r="D970" t="inlineStr">
        <is>
          <t>JÄMTLANDS LÄN</t>
        </is>
      </c>
      <c r="E970" t="inlineStr">
        <is>
          <t>ÖSTERSUND</t>
        </is>
      </c>
      <c r="G970" t="n">
        <v>4.5</v>
      </c>
      <c r="H970" t="n">
        <v>0</v>
      </c>
      <c r="I970" t="n">
        <v>0</v>
      </c>
      <c r="J970" t="n">
        <v>0</v>
      </c>
      <c r="K970" t="n">
        <v>0</v>
      </c>
      <c r="L970" t="n">
        <v>0</v>
      </c>
      <c r="M970" t="n">
        <v>0</v>
      </c>
      <c r="N970" t="n">
        <v>0</v>
      </c>
      <c r="O970" t="n">
        <v>0</v>
      </c>
      <c r="P970" t="n">
        <v>0</v>
      </c>
      <c r="Q970" t="n">
        <v>0</v>
      </c>
      <c r="R970" s="2" t="inlineStr"/>
    </row>
    <row r="971" ht="15" customHeight="1">
      <c r="A971" t="inlineStr">
        <is>
          <t>A 53520-2024</t>
        </is>
      </c>
      <c r="B971" s="1" t="n">
        <v>45614</v>
      </c>
      <c r="C971" s="1" t="n">
        <v>45807</v>
      </c>
      <c r="D971" t="inlineStr">
        <is>
          <t>JÄMTLANDS LÄN</t>
        </is>
      </c>
      <c r="E971" t="inlineStr">
        <is>
          <t>ÖSTERSUND</t>
        </is>
      </c>
      <c r="G971" t="n">
        <v>3</v>
      </c>
      <c r="H971" t="n">
        <v>0</v>
      </c>
      <c r="I971" t="n">
        <v>0</v>
      </c>
      <c r="J971" t="n">
        <v>0</v>
      </c>
      <c r="K971" t="n">
        <v>0</v>
      </c>
      <c r="L971" t="n">
        <v>0</v>
      </c>
      <c r="M971" t="n">
        <v>0</v>
      </c>
      <c r="N971" t="n">
        <v>0</v>
      </c>
      <c r="O971" t="n">
        <v>0</v>
      </c>
      <c r="P971" t="n">
        <v>0</v>
      </c>
      <c r="Q971" t="n">
        <v>0</v>
      </c>
      <c r="R971" s="2" t="inlineStr"/>
    </row>
    <row r="972" ht="15" customHeight="1">
      <c r="A972" t="inlineStr">
        <is>
          <t>A 53536-2024</t>
        </is>
      </c>
      <c r="B972" s="1" t="n">
        <v>45614</v>
      </c>
      <c r="C972" s="1" t="n">
        <v>45807</v>
      </c>
      <c r="D972" t="inlineStr">
        <is>
          <t>JÄMTLANDS LÄN</t>
        </is>
      </c>
      <c r="E972" t="inlineStr">
        <is>
          <t>ÖSTERSUND</t>
        </is>
      </c>
      <c r="G972" t="n">
        <v>4.1</v>
      </c>
      <c r="H972" t="n">
        <v>0</v>
      </c>
      <c r="I972" t="n">
        <v>0</v>
      </c>
      <c r="J972" t="n">
        <v>0</v>
      </c>
      <c r="K972" t="n">
        <v>0</v>
      </c>
      <c r="L972" t="n">
        <v>0</v>
      </c>
      <c r="M972" t="n">
        <v>0</v>
      </c>
      <c r="N972" t="n">
        <v>0</v>
      </c>
      <c r="O972" t="n">
        <v>0</v>
      </c>
      <c r="P972" t="n">
        <v>0</v>
      </c>
      <c r="Q972" t="n">
        <v>0</v>
      </c>
      <c r="R972" s="2" t="inlineStr"/>
    </row>
    <row r="973" ht="15" customHeight="1">
      <c r="A973" t="inlineStr">
        <is>
          <t>A 53745-2024</t>
        </is>
      </c>
      <c r="B973" s="1" t="n">
        <v>45615</v>
      </c>
      <c r="C973" s="1" t="n">
        <v>45807</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53864-2024</t>
        </is>
      </c>
      <c r="B974" s="1" t="n">
        <v>45615</v>
      </c>
      <c r="C974" s="1" t="n">
        <v>45807</v>
      </c>
      <c r="D974" t="inlineStr">
        <is>
          <t>JÄMTLANDS LÄN</t>
        </is>
      </c>
      <c r="E974" t="inlineStr">
        <is>
          <t>ÖSTERSUND</t>
        </is>
      </c>
      <c r="G974" t="n">
        <v>5.5</v>
      </c>
      <c r="H974" t="n">
        <v>0</v>
      </c>
      <c r="I974" t="n">
        <v>0</v>
      </c>
      <c r="J974" t="n">
        <v>0</v>
      </c>
      <c r="K974" t="n">
        <v>0</v>
      </c>
      <c r="L974" t="n">
        <v>0</v>
      </c>
      <c r="M974" t="n">
        <v>0</v>
      </c>
      <c r="N974" t="n">
        <v>0</v>
      </c>
      <c r="O974" t="n">
        <v>0</v>
      </c>
      <c r="P974" t="n">
        <v>0</v>
      </c>
      <c r="Q974" t="n">
        <v>0</v>
      </c>
      <c r="R974" s="2" t="inlineStr"/>
    </row>
    <row r="975" ht="15" customHeight="1">
      <c r="A975" t="inlineStr">
        <is>
          <t>A 53660-2024</t>
        </is>
      </c>
      <c r="B975" s="1" t="n">
        <v>45615</v>
      </c>
      <c r="C975" s="1" t="n">
        <v>45807</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54237-2024</t>
        </is>
      </c>
      <c r="B976" s="1" t="n">
        <v>45616</v>
      </c>
      <c r="C976" s="1" t="n">
        <v>45807</v>
      </c>
      <c r="D976" t="inlineStr">
        <is>
          <t>JÄMTLANDS LÄN</t>
        </is>
      </c>
      <c r="E976" t="inlineStr">
        <is>
          <t>ÖSTERSUND</t>
        </is>
      </c>
      <c r="F976" t="inlineStr">
        <is>
          <t>SCA</t>
        </is>
      </c>
      <c r="G976" t="n">
        <v>8.9</v>
      </c>
      <c r="H976" t="n">
        <v>0</v>
      </c>
      <c r="I976" t="n">
        <v>0</v>
      </c>
      <c r="J976" t="n">
        <v>0</v>
      </c>
      <c r="K976" t="n">
        <v>0</v>
      </c>
      <c r="L976" t="n">
        <v>0</v>
      </c>
      <c r="M976" t="n">
        <v>0</v>
      </c>
      <c r="N976" t="n">
        <v>0</v>
      </c>
      <c r="O976" t="n">
        <v>0</v>
      </c>
      <c r="P976" t="n">
        <v>0</v>
      </c>
      <c r="Q976" t="n">
        <v>0</v>
      </c>
      <c r="R976" s="2" t="inlineStr"/>
    </row>
    <row r="977" ht="15" customHeight="1">
      <c r="A977" t="inlineStr">
        <is>
          <t>A 54317-2024</t>
        </is>
      </c>
      <c r="B977" s="1" t="n">
        <v>45617</v>
      </c>
      <c r="C977" s="1" t="n">
        <v>45807</v>
      </c>
      <c r="D977" t="inlineStr">
        <is>
          <t>JÄMTLANDS LÄN</t>
        </is>
      </c>
      <c r="E977" t="inlineStr">
        <is>
          <t>ÖSTERSUND</t>
        </is>
      </c>
      <c r="G977" t="n">
        <v>4.3</v>
      </c>
      <c r="H977" t="n">
        <v>0</v>
      </c>
      <c r="I977" t="n">
        <v>0</v>
      </c>
      <c r="J977" t="n">
        <v>0</v>
      </c>
      <c r="K977" t="n">
        <v>0</v>
      </c>
      <c r="L977" t="n">
        <v>0</v>
      </c>
      <c r="M977" t="n">
        <v>0</v>
      </c>
      <c r="N977" t="n">
        <v>0</v>
      </c>
      <c r="O977" t="n">
        <v>0</v>
      </c>
      <c r="P977" t="n">
        <v>0</v>
      </c>
      <c r="Q977" t="n">
        <v>0</v>
      </c>
      <c r="R977" s="2" t="inlineStr"/>
    </row>
    <row r="978" ht="15" customHeight="1">
      <c r="A978" t="inlineStr">
        <is>
          <t>A 54359-2024</t>
        </is>
      </c>
      <c r="B978" s="1" t="n">
        <v>45617</v>
      </c>
      <c r="C978" s="1" t="n">
        <v>45807</v>
      </c>
      <c r="D978" t="inlineStr">
        <is>
          <t>JÄMTLANDS LÄN</t>
        </is>
      </c>
      <c r="E978" t="inlineStr">
        <is>
          <t>ÖSTERSUND</t>
        </is>
      </c>
      <c r="G978" t="n">
        <v>3.2</v>
      </c>
      <c r="H978" t="n">
        <v>0</v>
      </c>
      <c r="I978" t="n">
        <v>0</v>
      </c>
      <c r="J978" t="n">
        <v>0</v>
      </c>
      <c r="K978" t="n">
        <v>0</v>
      </c>
      <c r="L978" t="n">
        <v>0</v>
      </c>
      <c r="M978" t="n">
        <v>0</v>
      </c>
      <c r="N978" t="n">
        <v>0</v>
      </c>
      <c r="O978" t="n">
        <v>0</v>
      </c>
      <c r="P978" t="n">
        <v>0</v>
      </c>
      <c r="Q978" t="n">
        <v>0</v>
      </c>
      <c r="R978" s="2" t="inlineStr"/>
    </row>
    <row r="979" ht="15" customHeight="1">
      <c r="A979" t="inlineStr">
        <is>
          <t>A 54587-2024</t>
        </is>
      </c>
      <c r="B979" s="1" t="n">
        <v>45617</v>
      </c>
      <c r="C979" s="1" t="n">
        <v>45807</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54913-2024</t>
        </is>
      </c>
      <c r="B980" s="1" t="n">
        <v>45618</v>
      </c>
      <c r="C980" s="1" t="n">
        <v>45807</v>
      </c>
      <c r="D980" t="inlineStr">
        <is>
          <t>JÄMTLANDS LÄN</t>
        </is>
      </c>
      <c r="E980" t="inlineStr">
        <is>
          <t>ÖSTERSUND</t>
        </is>
      </c>
      <c r="G980" t="n">
        <v>4.7</v>
      </c>
      <c r="H980" t="n">
        <v>0</v>
      </c>
      <c r="I980" t="n">
        <v>0</v>
      </c>
      <c r="J980" t="n">
        <v>0</v>
      </c>
      <c r="K980" t="n">
        <v>0</v>
      </c>
      <c r="L980" t="n">
        <v>0</v>
      </c>
      <c r="M980" t="n">
        <v>0</v>
      </c>
      <c r="N980" t="n">
        <v>0</v>
      </c>
      <c r="O980" t="n">
        <v>0</v>
      </c>
      <c r="P980" t="n">
        <v>0</v>
      </c>
      <c r="Q980" t="n">
        <v>0</v>
      </c>
      <c r="R980" s="2" t="inlineStr"/>
    </row>
    <row r="981" ht="15" customHeight="1">
      <c r="A981" t="inlineStr">
        <is>
          <t>A 55064-2024</t>
        </is>
      </c>
      <c r="B981" s="1" t="n">
        <v>45621</v>
      </c>
      <c r="C981" s="1" t="n">
        <v>45807</v>
      </c>
      <c r="D981" t="inlineStr">
        <is>
          <t>JÄMTLANDS LÄN</t>
        </is>
      </c>
      <c r="E981" t="inlineStr">
        <is>
          <t>ÖSTERSUND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55002-2024</t>
        </is>
      </c>
      <c r="B982" s="1" t="n">
        <v>45621</v>
      </c>
      <c r="C982" s="1" t="n">
        <v>45807</v>
      </c>
      <c r="D982" t="inlineStr">
        <is>
          <t>JÄMTLANDS LÄN</t>
        </is>
      </c>
      <c r="E982" t="inlineStr">
        <is>
          <t>ÖSTERSUND</t>
        </is>
      </c>
      <c r="F982" t="inlineStr">
        <is>
          <t>Övriga Aktiebolag</t>
        </is>
      </c>
      <c r="G982" t="n">
        <v>0.3</v>
      </c>
      <c r="H982" t="n">
        <v>0</v>
      </c>
      <c r="I982" t="n">
        <v>0</v>
      </c>
      <c r="J982" t="n">
        <v>0</v>
      </c>
      <c r="K982" t="n">
        <v>0</v>
      </c>
      <c r="L982" t="n">
        <v>0</v>
      </c>
      <c r="M982" t="n">
        <v>0</v>
      </c>
      <c r="N982" t="n">
        <v>0</v>
      </c>
      <c r="O982" t="n">
        <v>0</v>
      </c>
      <c r="P982" t="n">
        <v>0</v>
      </c>
      <c r="Q982" t="n">
        <v>0</v>
      </c>
      <c r="R982" s="2" t="inlineStr"/>
    </row>
    <row r="983" ht="15" customHeight="1">
      <c r="A983" t="inlineStr">
        <is>
          <t>A 55294-2024</t>
        </is>
      </c>
      <c r="B983" s="1" t="n">
        <v>45621</v>
      </c>
      <c r="C983" s="1" t="n">
        <v>45807</v>
      </c>
      <c r="D983" t="inlineStr">
        <is>
          <t>JÄMTLANDS LÄN</t>
        </is>
      </c>
      <c r="E983" t="inlineStr">
        <is>
          <t>ÖSTERSUND</t>
        </is>
      </c>
      <c r="G983" t="n">
        <v>3</v>
      </c>
      <c r="H983" t="n">
        <v>0</v>
      </c>
      <c r="I983" t="n">
        <v>0</v>
      </c>
      <c r="J983" t="n">
        <v>0</v>
      </c>
      <c r="K983" t="n">
        <v>0</v>
      </c>
      <c r="L983" t="n">
        <v>0</v>
      </c>
      <c r="M983" t="n">
        <v>0</v>
      </c>
      <c r="N983" t="n">
        <v>0</v>
      </c>
      <c r="O983" t="n">
        <v>0</v>
      </c>
      <c r="P983" t="n">
        <v>0</v>
      </c>
      <c r="Q983" t="n">
        <v>0</v>
      </c>
      <c r="R983" s="2" t="inlineStr"/>
    </row>
    <row r="984" ht="15" customHeight="1">
      <c r="A984" t="inlineStr">
        <is>
          <t>A 55302-2024</t>
        </is>
      </c>
      <c r="B984" s="1" t="n">
        <v>45621</v>
      </c>
      <c r="C984" s="1" t="n">
        <v>45807</v>
      </c>
      <c r="D984" t="inlineStr">
        <is>
          <t>JÄMTLANDS LÄN</t>
        </is>
      </c>
      <c r="E984" t="inlineStr">
        <is>
          <t>ÖSTERSUND</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55319-2024</t>
        </is>
      </c>
      <c r="B985" s="1" t="n">
        <v>45621</v>
      </c>
      <c r="C985" s="1" t="n">
        <v>45807</v>
      </c>
      <c r="D985" t="inlineStr">
        <is>
          <t>JÄMTLANDS LÄN</t>
        </is>
      </c>
      <c r="E985" t="inlineStr">
        <is>
          <t>ÖSTERSUND</t>
        </is>
      </c>
      <c r="G985" t="n">
        <v>7.1</v>
      </c>
      <c r="H985" t="n">
        <v>0</v>
      </c>
      <c r="I985" t="n">
        <v>0</v>
      </c>
      <c r="J985" t="n">
        <v>0</v>
      </c>
      <c r="K985" t="n">
        <v>0</v>
      </c>
      <c r="L985" t="n">
        <v>0</v>
      </c>
      <c r="M985" t="n">
        <v>0</v>
      </c>
      <c r="N985" t="n">
        <v>0</v>
      </c>
      <c r="O985" t="n">
        <v>0</v>
      </c>
      <c r="P985" t="n">
        <v>0</v>
      </c>
      <c r="Q985" t="n">
        <v>0</v>
      </c>
      <c r="R985" s="2" t="inlineStr"/>
    </row>
    <row r="986" ht="15" customHeight="1">
      <c r="A986" t="inlineStr">
        <is>
          <t>A 55323-2024</t>
        </is>
      </c>
      <c r="B986" s="1" t="n">
        <v>45621</v>
      </c>
      <c r="C986" s="1" t="n">
        <v>45807</v>
      </c>
      <c r="D986" t="inlineStr">
        <is>
          <t>JÄMTLANDS LÄN</t>
        </is>
      </c>
      <c r="E986" t="inlineStr">
        <is>
          <t>ÖSTERSUND</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55061-2024</t>
        </is>
      </c>
      <c r="B987" s="1" t="n">
        <v>45621</v>
      </c>
      <c r="C987" s="1" t="n">
        <v>45807</v>
      </c>
      <c r="D987" t="inlineStr">
        <is>
          <t>JÄMTLANDS LÄN</t>
        </is>
      </c>
      <c r="E987" t="inlineStr">
        <is>
          <t>ÖSTERSUND</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55365-2024</t>
        </is>
      </c>
      <c r="B988" s="1" t="n">
        <v>45621</v>
      </c>
      <c r="C988" s="1" t="n">
        <v>45807</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55572-2024</t>
        </is>
      </c>
      <c r="B989" s="1" t="n">
        <v>45622</v>
      </c>
      <c r="C989" s="1" t="n">
        <v>45807</v>
      </c>
      <c r="D989" t="inlineStr">
        <is>
          <t>JÄMTLANDS LÄN</t>
        </is>
      </c>
      <c r="E989" t="inlineStr">
        <is>
          <t>ÖSTERSUND</t>
        </is>
      </c>
      <c r="F989" t="inlineStr">
        <is>
          <t>SCA</t>
        </is>
      </c>
      <c r="G989" t="n">
        <v>11.2</v>
      </c>
      <c r="H989" t="n">
        <v>0</v>
      </c>
      <c r="I989" t="n">
        <v>0</v>
      </c>
      <c r="J989" t="n">
        <v>0</v>
      </c>
      <c r="K989" t="n">
        <v>0</v>
      </c>
      <c r="L989" t="n">
        <v>0</v>
      </c>
      <c r="M989" t="n">
        <v>0</v>
      </c>
      <c r="N989" t="n">
        <v>0</v>
      </c>
      <c r="O989" t="n">
        <v>0</v>
      </c>
      <c r="P989" t="n">
        <v>0</v>
      </c>
      <c r="Q989" t="n">
        <v>0</v>
      </c>
      <c r="R989" s="2" t="inlineStr"/>
    </row>
    <row r="990" ht="15" customHeight="1">
      <c r="A990" t="inlineStr">
        <is>
          <t>A 55600-2024</t>
        </is>
      </c>
      <c r="B990" s="1" t="n">
        <v>45622</v>
      </c>
      <c r="C990" s="1" t="n">
        <v>45807</v>
      </c>
      <c r="D990" t="inlineStr">
        <is>
          <t>JÄMTLANDS LÄN</t>
        </is>
      </c>
      <c r="E990" t="inlineStr">
        <is>
          <t>ÖSTERSUND</t>
        </is>
      </c>
      <c r="G990" t="n">
        <v>6.5</v>
      </c>
      <c r="H990" t="n">
        <v>0</v>
      </c>
      <c r="I990" t="n">
        <v>0</v>
      </c>
      <c r="J990" t="n">
        <v>0</v>
      </c>
      <c r="K990" t="n">
        <v>0</v>
      </c>
      <c r="L990" t="n">
        <v>0</v>
      </c>
      <c r="M990" t="n">
        <v>0</v>
      </c>
      <c r="N990" t="n">
        <v>0</v>
      </c>
      <c r="O990" t="n">
        <v>0</v>
      </c>
      <c r="P990" t="n">
        <v>0</v>
      </c>
      <c r="Q990" t="n">
        <v>0</v>
      </c>
      <c r="R990" s="2" t="inlineStr"/>
    </row>
    <row r="991" ht="15" customHeight="1">
      <c r="A991" t="inlineStr">
        <is>
          <t>A 55700-2024</t>
        </is>
      </c>
      <c r="B991" s="1" t="n">
        <v>45622</v>
      </c>
      <c r="C991" s="1" t="n">
        <v>45807</v>
      </c>
      <c r="D991" t="inlineStr">
        <is>
          <t>JÄMTLANDS LÄN</t>
        </is>
      </c>
      <c r="E991" t="inlineStr">
        <is>
          <t>ÖSTERSUND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56649-2024</t>
        </is>
      </c>
      <c r="B992" s="1" t="n">
        <v>45625</v>
      </c>
      <c r="C992" s="1" t="n">
        <v>45807</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56646-2024</t>
        </is>
      </c>
      <c r="B993" s="1" t="n">
        <v>45625</v>
      </c>
      <c r="C993" s="1" t="n">
        <v>45807</v>
      </c>
      <c r="D993" t="inlineStr">
        <is>
          <t>JÄMTLANDS LÄN</t>
        </is>
      </c>
      <c r="E993" t="inlineStr">
        <is>
          <t>ÖSTERSUND</t>
        </is>
      </c>
      <c r="G993" t="n">
        <v>18.9</v>
      </c>
      <c r="H993" t="n">
        <v>0</v>
      </c>
      <c r="I993" t="n">
        <v>0</v>
      </c>
      <c r="J993" t="n">
        <v>0</v>
      </c>
      <c r="K993" t="n">
        <v>0</v>
      </c>
      <c r="L993" t="n">
        <v>0</v>
      </c>
      <c r="M993" t="n">
        <v>0</v>
      </c>
      <c r="N993" t="n">
        <v>0</v>
      </c>
      <c r="O993" t="n">
        <v>0</v>
      </c>
      <c r="P993" t="n">
        <v>0</v>
      </c>
      <c r="Q993" t="n">
        <v>0</v>
      </c>
      <c r="R993" s="2" t="inlineStr"/>
    </row>
    <row r="994" ht="15" customHeight="1">
      <c r="A994" t="inlineStr">
        <is>
          <t>A 56847-2024</t>
        </is>
      </c>
      <c r="B994" s="1" t="n">
        <v>45628</v>
      </c>
      <c r="C994" s="1" t="n">
        <v>45807</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57702-2024</t>
        </is>
      </c>
      <c r="B995" s="1" t="n">
        <v>45628</v>
      </c>
      <c r="C995" s="1" t="n">
        <v>45807</v>
      </c>
      <c r="D995" t="inlineStr">
        <is>
          <t>JÄMTLANDS LÄN</t>
        </is>
      </c>
      <c r="E995" t="inlineStr">
        <is>
          <t>ÖSTERSUND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57397-2024</t>
        </is>
      </c>
      <c r="B996" s="1" t="n">
        <v>45629</v>
      </c>
      <c r="C996" s="1" t="n">
        <v>45807</v>
      </c>
      <c r="D996" t="inlineStr">
        <is>
          <t>JÄMTLANDS LÄN</t>
        </is>
      </c>
      <c r="E996" t="inlineStr">
        <is>
          <t>ÖSTERSUND</t>
        </is>
      </c>
      <c r="G996" t="n">
        <v>3.8</v>
      </c>
      <c r="H996" t="n">
        <v>0</v>
      </c>
      <c r="I996" t="n">
        <v>0</v>
      </c>
      <c r="J996" t="n">
        <v>0</v>
      </c>
      <c r="K996" t="n">
        <v>0</v>
      </c>
      <c r="L996" t="n">
        <v>0</v>
      </c>
      <c r="M996" t="n">
        <v>0</v>
      </c>
      <c r="N996" t="n">
        <v>0</v>
      </c>
      <c r="O996" t="n">
        <v>0</v>
      </c>
      <c r="P996" t="n">
        <v>0</v>
      </c>
      <c r="Q996" t="n">
        <v>0</v>
      </c>
      <c r="R996" s="2" t="inlineStr"/>
    </row>
    <row r="997" ht="15" customHeight="1">
      <c r="A997" t="inlineStr">
        <is>
          <t>A 57589-2024</t>
        </is>
      </c>
      <c r="B997" s="1" t="n">
        <v>45630</v>
      </c>
      <c r="C997" s="1" t="n">
        <v>45807</v>
      </c>
      <c r="D997" t="inlineStr">
        <is>
          <t>JÄMTLANDS LÄN</t>
        </is>
      </c>
      <c r="E997" t="inlineStr">
        <is>
          <t>ÖSTERSUND</t>
        </is>
      </c>
      <c r="G997" t="n">
        <v>1.8</v>
      </c>
      <c r="H997" t="n">
        <v>0</v>
      </c>
      <c r="I997" t="n">
        <v>0</v>
      </c>
      <c r="J997" t="n">
        <v>0</v>
      </c>
      <c r="K997" t="n">
        <v>0</v>
      </c>
      <c r="L997" t="n">
        <v>0</v>
      </c>
      <c r="M997" t="n">
        <v>0</v>
      </c>
      <c r="N997" t="n">
        <v>0</v>
      </c>
      <c r="O997" t="n">
        <v>0</v>
      </c>
      <c r="P997" t="n">
        <v>0</v>
      </c>
      <c r="Q997" t="n">
        <v>0</v>
      </c>
      <c r="R997" s="2" t="inlineStr"/>
    </row>
    <row r="998" ht="15" customHeight="1">
      <c r="A998" t="inlineStr">
        <is>
          <t>A 57706-2024</t>
        </is>
      </c>
      <c r="B998" s="1" t="n">
        <v>45630</v>
      </c>
      <c r="C998" s="1" t="n">
        <v>45807</v>
      </c>
      <c r="D998" t="inlineStr">
        <is>
          <t>JÄMTLANDS LÄN</t>
        </is>
      </c>
      <c r="E998" t="inlineStr">
        <is>
          <t>ÖSTERSUND</t>
        </is>
      </c>
      <c r="G998" t="n">
        <v>13.2</v>
      </c>
      <c r="H998" t="n">
        <v>0</v>
      </c>
      <c r="I998" t="n">
        <v>0</v>
      </c>
      <c r="J998" t="n">
        <v>0</v>
      </c>
      <c r="K998" t="n">
        <v>0</v>
      </c>
      <c r="L998" t="n">
        <v>0</v>
      </c>
      <c r="M998" t="n">
        <v>0</v>
      </c>
      <c r="N998" t="n">
        <v>0</v>
      </c>
      <c r="O998" t="n">
        <v>0</v>
      </c>
      <c r="P998" t="n">
        <v>0</v>
      </c>
      <c r="Q998" t="n">
        <v>0</v>
      </c>
      <c r="R998" s="2" t="inlineStr"/>
    </row>
    <row r="999" ht="15" customHeight="1">
      <c r="A999" t="inlineStr">
        <is>
          <t>A 57556-2024</t>
        </is>
      </c>
      <c r="B999" s="1" t="n">
        <v>45630</v>
      </c>
      <c r="C999" s="1" t="n">
        <v>45807</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57547-2024</t>
        </is>
      </c>
      <c r="B1000" s="1" t="n">
        <v>45630</v>
      </c>
      <c r="C1000" s="1" t="n">
        <v>45807</v>
      </c>
      <c r="D1000" t="inlineStr">
        <is>
          <t>JÄMTLANDS LÄN</t>
        </is>
      </c>
      <c r="E1000" t="inlineStr">
        <is>
          <t>ÖSTERSUND</t>
        </is>
      </c>
      <c r="G1000" t="n">
        <v>16.8</v>
      </c>
      <c r="H1000" t="n">
        <v>0</v>
      </c>
      <c r="I1000" t="n">
        <v>0</v>
      </c>
      <c r="J1000" t="n">
        <v>0</v>
      </c>
      <c r="K1000" t="n">
        <v>0</v>
      </c>
      <c r="L1000" t="n">
        <v>0</v>
      </c>
      <c r="M1000" t="n">
        <v>0</v>
      </c>
      <c r="N1000" t="n">
        <v>0</v>
      </c>
      <c r="O1000" t="n">
        <v>0</v>
      </c>
      <c r="P1000" t="n">
        <v>0</v>
      </c>
      <c r="Q1000" t="n">
        <v>0</v>
      </c>
      <c r="R1000" s="2" t="inlineStr"/>
    </row>
    <row r="1001" ht="15" customHeight="1">
      <c r="A1001" t="inlineStr">
        <is>
          <t>A 57917-2024</t>
        </is>
      </c>
      <c r="B1001" s="1" t="n">
        <v>45630</v>
      </c>
      <c r="C1001" s="1" t="n">
        <v>45807</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58286-2024</t>
        </is>
      </c>
      <c r="B1002" s="1" t="n">
        <v>45632</v>
      </c>
      <c r="C1002" s="1" t="n">
        <v>45807</v>
      </c>
      <c r="D1002" t="inlineStr">
        <is>
          <t>JÄMTLANDS LÄN</t>
        </is>
      </c>
      <c r="E1002" t="inlineStr">
        <is>
          <t>ÖSTERSUND</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58364-2024</t>
        </is>
      </c>
      <c r="B1003" s="1" t="n">
        <v>45632</v>
      </c>
      <c r="C1003" s="1" t="n">
        <v>45807</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58407-2024</t>
        </is>
      </c>
      <c r="B1004" s="1" t="n">
        <v>45634</v>
      </c>
      <c r="C1004" s="1" t="n">
        <v>45807</v>
      </c>
      <c r="D1004" t="inlineStr">
        <is>
          <t>JÄMTLANDS LÄN</t>
        </is>
      </c>
      <c r="E1004" t="inlineStr">
        <is>
          <t>ÖSTERSUND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58406-2024</t>
        </is>
      </c>
      <c r="B1005" s="1" t="n">
        <v>45634</v>
      </c>
      <c r="C1005" s="1" t="n">
        <v>45807</v>
      </c>
      <c r="D1005" t="inlineStr">
        <is>
          <t>JÄMTLANDS LÄN</t>
        </is>
      </c>
      <c r="E1005" t="inlineStr">
        <is>
          <t>ÖSTERSUND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58952-2024</t>
        </is>
      </c>
      <c r="B1006" s="1" t="n">
        <v>45636</v>
      </c>
      <c r="C1006" s="1" t="n">
        <v>45807</v>
      </c>
      <c r="D1006" t="inlineStr">
        <is>
          <t>JÄMTLANDS LÄN</t>
        </is>
      </c>
      <c r="E1006" t="inlineStr">
        <is>
          <t>ÖSTERSUND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59107-2024</t>
        </is>
      </c>
      <c r="B1007" s="1" t="n">
        <v>45637</v>
      </c>
      <c r="C1007" s="1" t="n">
        <v>45807</v>
      </c>
      <c r="D1007" t="inlineStr">
        <is>
          <t>JÄMTLANDS LÄN</t>
        </is>
      </c>
      <c r="E1007" t="inlineStr">
        <is>
          <t>ÖSTERSUND</t>
        </is>
      </c>
      <c r="F1007" t="inlineStr">
        <is>
          <t>SCA</t>
        </is>
      </c>
      <c r="G1007" t="n">
        <v>34.8</v>
      </c>
      <c r="H1007" t="n">
        <v>0</v>
      </c>
      <c r="I1007" t="n">
        <v>0</v>
      </c>
      <c r="J1007" t="n">
        <v>0</v>
      </c>
      <c r="K1007" t="n">
        <v>0</v>
      </c>
      <c r="L1007" t="n">
        <v>0</v>
      </c>
      <c r="M1007" t="n">
        <v>0</v>
      </c>
      <c r="N1007" t="n">
        <v>0</v>
      </c>
      <c r="O1007" t="n">
        <v>0</v>
      </c>
      <c r="P1007" t="n">
        <v>0</v>
      </c>
      <c r="Q1007" t="n">
        <v>0</v>
      </c>
      <c r="R1007" s="2" t="inlineStr"/>
    </row>
    <row r="1008" ht="15" customHeight="1">
      <c r="A1008" t="inlineStr">
        <is>
          <t>A 59487-2024</t>
        </is>
      </c>
      <c r="B1008" s="1" t="n">
        <v>45638</v>
      </c>
      <c r="C1008" s="1" t="n">
        <v>45807</v>
      </c>
      <c r="D1008" t="inlineStr">
        <is>
          <t>JÄMTLANDS LÄN</t>
        </is>
      </c>
      <c r="E1008" t="inlineStr">
        <is>
          <t>ÖSTERSUND</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59574-2024</t>
        </is>
      </c>
      <c r="B1009" s="1" t="n">
        <v>45638</v>
      </c>
      <c r="C1009" s="1" t="n">
        <v>45807</v>
      </c>
      <c r="D1009" t="inlineStr">
        <is>
          <t>JÄMTLANDS LÄN</t>
        </is>
      </c>
      <c r="E1009" t="inlineStr">
        <is>
          <t>ÖSTERSUND</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59691-2024</t>
        </is>
      </c>
      <c r="B1010" s="1" t="n">
        <v>45639</v>
      </c>
      <c r="C1010" s="1" t="n">
        <v>45807</v>
      </c>
      <c r="D1010" t="inlineStr">
        <is>
          <t>JÄMTLANDS LÄN</t>
        </is>
      </c>
      <c r="E1010" t="inlineStr">
        <is>
          <t>ÖSTERSUND</t>
        </is>
      </c>
      <c r="F1010" t="inlineStr">
        <is>
          <t>SCA</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60499-2024</t>
        </is>
      </c>
      <c r="B1011" s="1" t="n">
        <v>45642</v>
      </c>
      <c r="C1011" s="1" t="n">
        <v>45807</v>
      </c>
      <c r="D1011" t="inlineStr">
        <is>
          <t>JÄMTLANDS LÄN</t>
        </is>
      </c>
      <c r="E1011" t="inlineStr">
        <is>
          <t>ÖSTERSUND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60088-2024</t>
        </is>
      </c>
      <c r="B1012" s="1" t="n">
        <v>45642</v>
      </c>
      <c r="C1012" s="1" t="n">
        <v>45807</v>
      </c>
      <c r="D1012" t="inlineStr">
        <is>
          <t>JÄMTLANDS LÄN</t>
        </is>
      </c>
      <c r="E1012" t="inlineStr">
        <is>
          <t>ÖSTERSUND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60349-2024</t>
        </is>
      </c>
      <c r="B1013" s="1" t="n">
        <v>45643</v>
      </c>
      <c r="C1013" s="1" t="n">
        <v>45807</v>
      </c>
      <c r="D1013" t="inlineStr">
        <is>
          <t>JÄMTLANDS LÄN</t>
        </is>
      </c>
      <c r="E1013" t="inlineStr">
        <is>
          <t>ÖSTERSUND</t>
        </is>
      </c>
      <c r="F1013" t="inlineStr">
        <is>
          <t>Sveaskog</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60836-2024</t>
        </is>
      </c>
      <c r="B1014" s="1" t="n">
        <v>45644</v>
      </c>
      <c r="C1014" s="1" t="n">
        <v>45807</v>
      </c>
      <c r="D1014" t="inlineStr">
        <is>
          <t>JÄMTLANDS LÄN</t>
        </is>
      </c>
      <c r="E1014" t="inlineStr">
        <is>
          <t>ÖSTERSUND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61002-2024</t>
        </is>
      </c>
      <c r="B1015" s="1" t="n">
        <v>45645</v>
      </c>
      <c r="C1015" s="1" t="n">
        <v>45807</v>
      </c>
      <c r="D1015" t="inlineStr">
        <is>
          <t>JÄMTLANDS LÄN</t>
        </is>
      </c>
      <c r="E1015" t="inlineStr">
        <is>
          <t>ÖSTERSUND</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61040-2024</t>
        </is>
      </c>
      <c r="B1016" s="1" t="n">
        <v>45645</v>
      </c>
      <c r="C1016" s="1" t="n">
        <v>45807</v>
      </c>
      <c r="D1016" t="inlineStr">
        <is>
          <t>JÄMTLANDS LÄN</t>
        </is>
      </c>
      <c r="E1016" t="inlineStr">
        <is>
          <t>ÖSTERSUND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61332-2024</t>
        </is>
      </c>
      <c r="B1017" s="1" t="n">
        <v>45646</v>
      </c>
      <c r="C1017" s="1" t="n">
        <v>45807</v>
      </c>
      <c r="D1017" t="inlineStr">
        <is>
          <t>JÄMTLANDS LÄN</t>
        </is>
      </c>
      <c r="E1017" t="inlineStr">
        <is>
          <t>ÖSTERSUND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61349-2024</t>
        </is>
      </c>
      <c r="B1018" s="1" t="n">
        <v>45646</v>
      </c>
      <c r="C1018" s="1" t="n">
        <v>45807</v>
      </c>
      <c r="D1018" t="inlineStr">
        <is>
          <t>JÄMTLANDS LÄN</t>
        </is>
      </c>
      <c r="E1018" t="inlineStr">
        <is>
          <t>ÖSTERSUND</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61451-2024</t>
        </is>
      </c>
      <c r="B1019" s="1" t="n">
        <v>45646</v>
      </c>
      <c r="C1019" s="1" t="n">
        <v>45807</v>
      </c>
      <c r="D1019" t="inlineStr">
        <is>
          <t>JÄMTLANDS LÄN</t>
        </is>
      </c>
      <c r="E1019" t="inlineStr">
        <is>
          <t>ÖSTERSUND</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61449-2024</t>
        </is>
      </c>
      <c r="B1020" s="1" t="n">
        <v>45646</v>
      </c>
      <c r="C1020" s="1" t="n">
        <v>45807</v>
      </c>
      <c r="D1020" t="inlineStr">
        <is>
          <t>JÄMTLANDS LÄN</t>
        </is>
      </c>
      <c r="E1020" t="inlineStr">
        <is>
          <t>ÖSTERSUND</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61376-2024</t>
        </is>
      </c>
      <c r="B1021" s="1" t="n">
        <v>45646</v>
      </c>
      <c r="C1021" s="1" t="n">
        <v>45807</v>
      </c>
      <c r="D1021" t="inlineStr">
        <is>
          <t>JÄMTLANDS LÄN</t>
        </is>
      </c>
      <c r="E1021" t="inlineStr">
        <is>
          <t>ÖSTERSUND</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61450-2024</t>
        </is>
      </c>
      <c r="B1022" s="1" t="n">
        <v>45646</v>
      </c>
      <c r="C1022" s="1" t="n">
        <v>45807</v>
      </c>
      <c r="D1022" t="inlineStr">
        <is>
          <t>JÄMTLANDS LÄN</t>
        </is>
      </c>
      <c r="E1022" t="inlineStr">
        <is>
          <t>ÖSTERSUND</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62111-2024</t>
        </is>
      </c>
      <c r="B1023" s="1" t="n">
        <v>45656</v>
      </c>
      <c r="C1023" s="1" t="n">
        <v>45807</v>
      </c>
      <c r="D1023" t="inlineStr">
        <is>
          <t>JÄMTLANDS LÄN</t>
        </is>
      </c>
      <c r="E1023" t="inlineStr">
        <is>
          <t>ÖSTERSUND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79-2025</t>
        </is>
      </c>
      <c r="B1024" s="1" t="n">
        <v>45659</v>
      </c>
      <c r="C1024" s="1" t="n">
        <v>45807</v>
      </c>
      <c r="D1024" t="inlineStr">
        <is>
          <t>JÄMTLANDS LÄN</t>
        </is>
      </c>
      <c r="E1024" t="inlineStr">
        <is>
          <t>ÖSTERSUND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207-2025</t>
        </is>
      </c>
      <c r="B1025" s="1" t="n">
        <v>45660</v>
      </c>
      <c r="C1025" s="1" t="n">
        <v>45807</v>
      </c>
      <c r="D1025" t="inlineStr">
        <is>
          <t>JÄMTLANDS LÄN</t>
        </is>
      </c>
      <c r="E1025" t="inlineStr">
        <is>
          <t>ÖSTERSUND</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582-2025</t>
        </is>
      </c>
      <c r="B1026" s="1" t="n">
        <v>45664</v>
      </c>
      <c r="C1026" s="1" t="n">
        <v>45807</v>
      </c>
      <c r="D1026" t="inlineStr">
        <is>
          <t>JÄMTLANDS LÄN</t>
        </is>
      </c>
      <c r="E1026" t="inlineStr">
        <is>
          <t>ÖSTERSUND</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1179-2025</t>
        </is>
      </c>
      <c r="B1027" s="1" t="n">
        <v>45667</v>
      </c>
      <c r="C1027" s="1" t="n">
        <v>45807</v>
      </c>
      <c r="D1027" t="inlineStr">
        <is>
          <t>JÄMTLANDS LÄN</t>
        </is>
      </c>
      <c r="E1027" t="inlineStr">
        <is>
          <t>ÖSTERSUND</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1211-2025</t>
        </is>
      </c>
      <c r="B1028" s="1" t="n">
        <v>45667</v>
      </c>
      <c r="C1028" s="1" t="n">
        <v>45807</v>
      </c>
      <c r="D1028" t="inlineStr">
        <is>
          <t>JÄMTLANDS LÄN</t>
        </is>
      </c>
      <c r="E1028" t="inlineStr">
        <is>
          <t>ÖSTERSUND</t>
        </is>
      </c>
      <c r="F1028" t="inlineStr">
        <is>
          <t>SCA</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1255-2025</t>
        </is>
      </c>
      <c r="B1029" s="1" t="n">
        <v>45667</v>
      </c>
      <c r="C1029" s="1" t="n">
        <v>45807</v>
      </c>
      <c r="D1029" t="inlineStr">
        <is>
          <t>JÄMTLANDS LÄN</t>
        </is>
      </c>
      <c r="E1029" t="inlineStr">
        <is>
          <t>ÖSTERSUND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1762-2025</t>
        </is>
      </c>
      <c r="B1030" s="1" t="n">
        <v>45671</v>
      </c>
      <c r="C1030" s="1" t="n">
        <v>45807</v>
      </c>
      <c r="D1030" t="inlineStr">
        <is>
          <t>JÄMTLANDS LÄN</t>
        </is>
      </c>
      <c r="E1030" t="inlineStr">
        <is>
          <t>ÖSTERSUND</t>
        </is>
      </c>
      <c r="F1030" t="inlineStr">
        <is>
          <t>SCA</t>
        </is>
      </c>
      <c r="G1030" t="n">
        <v>51.9</v>
      </c>
      <c r="H1030" t="n">
        <v>0</v>
      </c>
      <c r="I1030" t="n">
        <v>0</v>
      </c>
      <c r="J1030" t="n">
        <v>0</v>
      </c>
      <c r="K1030" t="n">
        <v>0</v>
      </c>
      <c r="L1030" t="n">
        <v>0</v>
      </c>
      <c r="M1030" t="n">
        <v>0</v>
      </c>
      <c r="N1030" t="n">
        <v>0</v>
      </c>
      <c r="O1030" t="n">
        <v>0</v>
      </c>
      <c r="P1030" t="n">
        <v>0</v>
      </c>
      <c r="Q1030" t="n">
        <v>0</v>
      </c>
      <c r="R1030" s="2" t="inlineStr"/>
    </row>
    <row r="1031" ht="15" customHeight="1">
      <c r="A1031" t="inlineStr">
        <is>
          <t>A 2730-2025</t>
        </is>
      </c>
      <c r="B1031" s="1" t="n">
        <v>45677</v>
      </c>
      <c r="C1031" s="1" t="n">
        <v>45807</v>
      </c>
      <c r="D1031" t="inlineStr">
        <is>
          <t>JÄMTLANDS LÄN</t>
        </is>
      </c>
      <c r="E1031" t="inlineStr">
        <is>
          <t>ÖSTERSUND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2747-2025</t>
        </is>
      </c>
      <c r="B1032" s="1" t="n">
        <v>45677</v>
      </c>
      <c r="C1032" s="1" t="n">
        <v>45807</v>
      </c>
      <c r="D1032" t="inlineStr">
        <is>
          <t>JÄMTLANDS LÄN</t>
        </is>
      </c>
      <c r="E1032" t="inlineStr">
        <is>
          <t>ÖSTERSUND</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2753-2025</t>
        </is>
      </c>
      <c r="B1033" s="1" t="n">
        <v>45677</v>
      </c>
      <c r="C1033" s="1" t="n">
        <v>45807</v>
      </c>
      <c r="D1033" t="inlineStr">
        <is>
          <t>JÄMTLANDS LÄN</t>
        </is>
      </c>
      <c r="E1033" t="inlineStr">
        <is>
          <t>ÖSTERSUND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2706-2025</t>
        </is>
      </c>
      <c r="B1034" s="1" t="n">
        <v>45677</v>
      </c>
      <c r="C1034" s="1" t="n">
        <v>45807</v>
      </c>
      <c r="D1034" t="inlineStr">
        <is>
          <t>JÄMTLANDS LÄN</t>
        </is>
      </c>
      <c r="E1034" t="inlineStr">
        <is>
          <t>ÖSTERSUND</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3122-2025</t>
        </is>
      </c>
      <c r="B1035" s="1" t="n">
        <v>45678</v>
      </c>
      <c r="C1035" s="1" t="n">
        <v>45807</v>
      </c>
      <c r="D1035" t="inlineStr">
        <is>
          <t>JÄMTLANDS LÄN</t>
        </is>
      </c>
      <c r="E1035" t="inlineStr">
        <is>
          <t>ÖSTERSUND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3053-2025</t>
        </is>
      </c>
      <c r="B1036" s="1" t="n">
        <v>45678</v>
      </c>
      <c r="C1036" s="1" t="n">
        <v>45807</v>
      </c>
      <c r="D1036" t="inlineStr">
        <is>
          <t>JÄMTLANDS LÄN</t>
        </is>
      </c>
      <c r="E1036" t="inlineStr">
        <is>
          <t>ÖSTERSUND</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3255-2025</t>
        </is>
      </c>
      <c r="B1037" s="1" t="n">
        <v>45679</v>
      </c>
      <c r="C1037" s="1" t="n">
        <v>45807</v>
      </c>
      <c r="D1037" t="inlineStr">
        <is>
          <t>JÄMTLANDS LÄN</t>
        </is>
      </c>
      <c r="E1037" t="inlineStr">
        <is>
          <t>ÖSTERSUND</t>
        </is>
      </c>
      <c r="F1037" t="inlineStr">
        <is>
          <t>SCA</t>
        </is>
      </c>
      <c r="G1037" t="n">
        <v>16.7</v>
      </c>
      <c r="H1037" t="n">
        <v>0</v>
      </c>
      <c r="I1037" t="n">
        <v>0</v>
      </c>
      <c r="J1037" t="n">
        <v>0</v>
      </c>
      <c r="K1037" t="n">
        <v>0</v>
      </c>
      <c r="L1037" t="n">
        <v>0</v>
      </c>
      <c r="M1037" t="n">
        <v>0</v>
      </c>
      <c r="N1037" t="n">
        <v>0</v>
      </c>
      <c r="O1037" t="n">
        <v>0</v>
      </c>
      <c r="P1037" t="n">
        <v>0</v>
      </c>
      <c r="Q1037" t="n">
        <v>0</v>
      </c>
      <c r="R1037" s="2" t="inlineStr"/>
    </row>
    <row r="1038" ht="15" customHeight="1">
      <c r="A1038" t="inlineStr">
        <is>
          <t>A 3204-2025</t>
        </is>
      </c>
      <c r="B1038" s="1" t="n">
        <v>45679</v>
      </c>
      <c r="C1038" s="1" t="n">
        <v>45807</v>
      </c>
      <c r="D1038" t="inlineStr">
        <is>
          <t>JÄMTLANDS LÄN</t>
        </is>
      </c>
      <c r="E1038" t="inlineStr">
        <is>
          <t>ÖSTERSUND</t>
        </is>
      </c>
      <c r="F1038" t="inlineStr">
        <is>
          <t>SCA</t>
        </is>
      </c>
      <c r="G1038" t="n">
        <v>18.2</v>
      </c>
      <c r="H1038" t="n">
        <v>0</v>
      </c>
      <c r="I1038" t="n">
        <v>0</v>
      </c>
      <c r="J1038" t="n">
        <v>0</v>
      </c>
      <c r="K1038" t="n">
        <v>0</v>
      </c>
      <c r="L1038" t="n">
        <v>0</v>
      </c>
      <c r="M1038" t="n">
        <v>0</v>
      </c>
      <c r="N1038" t="n">
        <v>0</v>
      </c>
      <c r="O1038" t="n">
        <v>0</v>
      </c>
      <c r="P1038" t="n">
        <v>0</v>
      </c>
      <c r="Q1038" t="n">
        <v>0</v>
      </c>
      <c r="R1038" s="2" t="inlineStr"/>
    </row>
    <row r="1039" ht="15" customHeight="1">
      <c r="A1039" t="inlineStr">
        <is>
          <t>A 3265-2025</t>
        </is>
      </c>
      <c r="B1039" s="1" t="n">
        <v>45679</v>
      </c>
      <c r="C1039" s="1" t="n">
        <v>45807</v>
      </c>
      <c r="D1039" t="inlineStr">
        <is>
          <t>JÄMTLANDS LÄN</t>
        </is>
      </c>
      <c r="E1039" t="inlineStr">
        <is>
          <t>ÖSTERSUND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3615-2025</t>
        </is>
      </c>
      <c r="B1040" s="1" t="n">
        <v>45681</v>
      </c>
      <c r="C1040" s="1" t="n">
        <v>45807</v>
      </c>
      <c r="D1040" t="inlineStr">
        <is>
          <t>JÄMTLANDS LÄN</t>
        </is>
      </c>
      <c r="E1040" t="inlineStr">
        <is>
          <t>ÖSTERSUND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3651-2025</t>
        </is>
      </c>
      <c r="B1041" s="1" t="n">
        <v>45681</v>
      </c>
      <c r="C1041" s="1" t="n">
        <v>45807</v>
      </c>
      <c r="D1041" t="inlineStr">
        <is>
          <t>JÄMTLANDS LÄN</t>
        </is>
      </c>
      <c r="E1041" t="inlineStr">
        <is>
          <t>ÖSTERSUND</t>
        </is>
      </c>
      <c r="F1041" t="inlineStr">
        <is>
          <t>SCA</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3664-2025</t>
        </is>
      </c>
      <c r="B1042" s="1" t="n">
        <v>45681</v>
      </c>
      <c r="C1042" s="1" t="n">
        <v>45807</v>
      </c>
      <c r="D1042" t="inlineStr">
        <is>
          <t>JÄMTLANDS LÄN</t>
        </is>
      </c>
      <c r="E1042" t="inlineStr">
        <is>
          <t>ÖSTERSUND</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4063-2025</t>
        </is>
      </c>
      <c r="B1043" s="1" t="n">
        <v>45684</v>
      </c>
      <c r="C1043" s="1" t="n">
        <v>45807</v>
      </c>
      <c r="D1043" t="inlineStr">
        <is>
          <t>JÄMTLANDS LÄN</t>
        </is>
      </c>
      <c r="E1043" t="inlineStr">
        <is>
          <t>ÖSTERSUND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3914-2025</t>
        </is>
      </c>
      <c r="B1044" s="1" t="n">
        <v>45684</v>
      </c>
      <c r="C1044" s="1" t="n">
        <v>45807</v>
      </c>
      <c r="D1044" t="inlineStr">
        <is>
          <t>JÄMTLANDS LÄN</t>
        </is>
      </c>
      <c r="E1044" t="inlineStr">
        <is>
          <t>ÖSTERSUND</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3985-2025</t>
        </is>
      </c>
      <c r="B1045" s="1" t="n">
        <v>45684</v>
      </c>
      <c r="C1045" s="1" t="n">
        <v>45807</v>
      </c>
      <c r="D1045" t="inlineStr">
        <is>
          <t>JÄMTLANDS LÄN</t>
        </is>
      </c>
      <c r="E1045" t="inlineStr">
        <is>
          <t>ÖSTERSUND</t>
        </is>
      </c>
      <c r="F1045" t="inlineStr">
        <is>
          <t>SCA</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3997-2025</t>
        </is>
      </c>
      <c r="B1046" s="1" t="n">
        <v>45684</v>
      </c>
      <c r="C1046" s="1" t="n">
        <v>45807</v>
      </c>
      <c r="D1046" t="inlineStr">
        <is>
          <t>JÄMTLANDS LÄN</t>
        </is>
      </c>
      <c r="E1046" t="inlineStr">
        <is>
          <t>ÖSTERSUND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4143-2025</t>
        </is>
      </c>
      <c r="B1047" s="1" t="n">
        <v>45685</v>
      </c>
      <c r="C1047" s="1" t="n">
        <v>45807</v>
      </c>
      <c r="D1047" t="inlineStr">
        <is>
          <t>JÄMTLANDS LÄN</t>
        </is>
      </c>
      <c r="E1047" t="inlineStr">
        <is>
          <t>ÖSTERSUND</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4311-2025</t>
        </is>
      </c>
      <c r="B1048" s="1" t="n">
        <v>45685</v>
      </c>
      <c r="C1048" s="1" t="n">
        <v>45807</v>
      </c>
      <c r="D1048" t="inlineStr">
        <is>
          <t>JÄMTLANDS LÄN</t>
        </is>
      </c>
      <c r="E1048" t="inlineStr">
        <is>
          <t>ÖSTERSUND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4500-2025</t>
        </is>
      </c>
      <c r="B1049" s="1" t="n">
        <v>45686</v>
      </c>
      <c r="C1049" s="1" t="n">
        <v>45807</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4480-2025</t>
        </is>
      </c>
      <c r="B1050" s="1" t="n">
        <v>45686</v>
      </c>
      <c r="C1050" s="1" t="n">
        <v>45807</v>
      </c>
      <c r="D1050" t="inlineStr">
        <is>
          <t>JÄMTLANDS LÄN</t>
        </is>
      </c>
      <c r="E1050" t="inlineStr">
        <is>
          <t>ÖSTERSUND</t>
        </is>
      </c>
      <c r="G1050" t="n">
        <v>27.7</v>
      </c>
      <c r="H1050" t="n">
        <v>0</v>
      </c>
      <c r="I1050" t="n">
        <v>0</v>
      </c>
      <c r="J1050" t="n">
        <v>0</v>
      </c>
      <c r="K1050" t="n">
        <v>0</v>
      </c>
      <c r="L1050" t="n">
        <v>0</v>
      </c>
      <c r="M1050" t="n">
        <v>0</v>
      </c>
      <c r="N1050" t="n">
        <v>0</v>
      </c>
      <c r="O1050" t="n">
        <v>0</v>
      </c>
      <c r="P1050" t="n">
        <v>0</v>
      </c>
      <c r="Q1050" t="n">
        <v>0</v>
      </c>
      <c r="R1050" s="2" t="inlineStr"/>
    </row>
    <row r="1051" ht="15" customHeight="1">
      <c r="A1051" t="inlineStr">
        <is>
          <t>A 4491-2025</t>
        </is>
      </c>
      <c r="B1051" s="1" t="n">
        <v>45686</v>
      </c>
      <c r="C1051" s="1" t="n">
        <v>45807</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4520-2025</t>
        </is>
      </c>
      <c r="B1052" s="1" t="n">
        <v>45686</v>
      </c>
      <c r="C1052" s="1" t="n">
        <v>45807</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4522-2025</t>
        </is>
      </c>
      <c r="B1053" s="1" t="n">
        <v>45686</v>
      </c>
      <c r="C1053" s="1" t="n">
        <v>45807</v>
      </c>
      <c r="D1053" t="inlineStr">
        <is>
          <t>JÄMTLANDS LÄN</t>
        </is>
      </c>
      <c r="E1053" t="inlineStr">
        <is>
          <t>ÖSTERSUND</t>
        </is>
      </c>
      <c r="G1053" t="n">
        <v>27.7</v>
      </c>
      <c r="H1053" t="n">
        <v>0</v>
      </c>
      <c r="I1053" t="n">
        <v>0</v>
      </c>
      <c r="J1053" t="n">
        <v>0</v>
      </c>
      <c r="K1053" t="n">
        <v>0</v>
      </c>
      <c r="L1053" t="n">
        <v>0</v>
      </c>
      <c r="M1053" t="n">
        <v>0</v>
      </c>
      <c r="N1053" t="n">
        <v>0</v>
      </c>
      <c r="O1053" t="n">
        <v>0</v>
      </c>
      <c r="P1053" t="n">
        <v>0</v>
      </c>
      <c r="Q1053" t="n">
        <v>0</v>
      </c>
      <c r="R1053" s="2" t="inlineStr"/>
    </row>
    <row r="1054" ht="15" customHeight="1">
      <c r="A1054" t="inlineStr">
        <is>
          <t>A 4384-2025</t>
        </is>
      </c>
      <c r="B1054" s="1" t="n">
        <v>45686</v>
      </c>
      <c r="C1054" s="1" t="n">
        <v>45807</v>
      </c>
      <c r="D1054" t="inlineStr">
        <is>
          <t>JÄMTLANDS LÄN</t>
        </is>
      </c>
      <c r="E1054" t="inlineStr">
        <is>
          <t>ÖSTERSUND</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4523-2025</t>
        </is>
      </c>
      <c r="B1055" s="1" t="n">
        <v>45686</v>
      </c>
      <c r="C1055" s="1" t="n">
        <v>45807</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4521-2025</t>
        </is>
      </c>
      <c r="B1056" s="1" t="n">
        <v>45686</v>
      </c>
      <c r="C1056" s="1" t="n">
        <v>45807</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4892-2025</t>
        </is>
      </c>
      <c r="B1057" s="1" t="n">
        <v>45688</v>
      </c>
      <c r="C1057" s="1" t="n">
        <v>45807</v>
      </c>
      <c r="D1057" t="inlineStr">
        <is>
          <t>JÄMTLANDS LÄN</t>
        </is>
      </c>
      <c r="E1057" t="inlineStr">
        <is>
          <t>ÖSTERSUND</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4901-2025</t>
        </is>
      </c>
      <c r="B1058" s="1" t="n">
        <v>45688</v>
      </c>
      <c r="C1058" s="1" t="n">
        <v>45807</v>
      </c>
      <c r="D1058" t="inlineStr">
        <is>
          <t>JÄMTLANDS LÄN</t>
        </is>
      </c>
      <c r="E1058" t="inlineStr">
        <is>
          <t>ÖSTERSUND</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4936-2025</t>
        </is>
      </c>
      <c r="B1059" s="1" t="n">
        <v>45688</v>
      </c>
      <c r="C1059" s="1" t="n">
        <v>45807</v>
      </c>
      <c r="D1059" t="inlineStr">
        <is>
          <t>JÄMTLANDS LÄN</t>
        </is>
      </c>
      <c r="E1059" t="inlineStr">
        <is>
          <t>ÖSTERSUND</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4864-2025</t>
        </is>
      </c>
      <c r="B1060" s="1" t="n">
        <v>45688</v>
      </c>
      <c r="C1060" s="1" t="n">
        <v>45807</v>
      </c>
      <c r="D1060" t="inlineStr">
        <is>
          <t>JÄMTLANDS LÄN</t>
        </is>
      </c>
      <c r="E1060" t="inlineStr">
        <is>
          <t>ÖSTERSUND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4966-2025</t>
        </is>
      </c>
      <c r="B1061" s="1" t="n">
        <v>45690</v>
      </c>
      <c r="C1061" s="1" t="n">
        <v>45807</v>
      </c>
      <c r="D1061" t="inlineStr">
        <is>
          <t>JÄMTLANDS LÄN</t>
        </is>
      </c>
      <c r="E1061" t="inlineStr">
        <is>
          <t>ÖSTERSUND</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5140-2025</t>
        </is>
      </c>
      <c r="B1062" s="1" t="n">
        <v>45691</v>
      </c>
      <c r="C1062" s="1" t="n">
        <v>45807</v>
      </c>
      <c r="D1062" t="inlineStr">
        <is>
          <t>JÄMTLANDS LÄN</t>
        </is>
      </c>
      <c r="E1062" t="inlineStr">
        <is>
          <t>ÖSTERSUND</t>
        </is>
      </c>
      <c r="F1062" t="inlineStr">
        <is>
          <t>Övriga Aktiebolag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5138-2025</t>
        </is>
      </c>
      <c r="B1063" s="1" t="n">
        <v>45691</v>
      </c>
      <c r="C1063" s="1" t="n">
        <v>45807</v>
      </c>
      <c r="D1063" t="inlineStr">
        <is>
          <t>JÄMTLANDS LÄN</t>
        </is>
      </c>
      <c r="E1063" t="inlineStr">
        <is>
          <t>ÖSTERSUND</t>
        </is>
      </c>
      <c r="F1063" t="inlineStr">
        <is>
          <t>Övriga Aktiebolag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5135-2025</t>
        </is>
      </c>
      <c r="B1064" s="1" t="n">
        <v>45691</v>
      </c>
      <c r="C1064" s="1" t="n">
        <v>45807</v>
      </c>
      <c r="D1064" t="inlineStr">
        <is>
          <t>JÄMTLANDS LÄN</t>
        </is>
      </c>
      <c r="E1064" t="inlineStr">
        <is>
          <t>ÖSTERSUND</t>
        </is>
      </c>
      <c r="F1064" t="inlineStr">
        <is>
          <t>Övriga Aktiebolag</t>
        </is>
      </c>
      <c r="G1064" t="n">
        <v>126.9</v>
      </c>
      <c r="H1064" t="n">
        <v>0</v>
      </c>
      <c r="I1064" t="n">
        <v>0</v>
      </c>
      <c r="J1064" t="n">
        <v>0</v>
      </c>
      <c r="K1064" t="n">
        <v>0</v>
      </c>
      <c r="L1064" t="n">
        <v>0</v>
      </c>
      <c r="M1064" t="n">
        <v>0</v>
      </c>
      <c r="N1064" t="n">
        <v>0</v>
      </c>
      <c r="O1064" t="n">
        <v>0</v>
      </c>
      <c r="P1064" t="n">
        <v>0</v>
      </c>
      <c r="Q1064" t="n">
        <v>0</v>
      </c>
      <c r="R1064" s="2" t="inlineStr"/>
    </row>
    <row r="1065" ht="15" customHeight="1">
      <c r="A1065" t="inlineStr">
        <is>
          <t>A 5025-2025</t>
        </is>
      </c>
      <c r="B1065" s="1" t="n">
        <v>45691</v>
      </c>
      <c r="C1065" s="1" t="n">
        <v>45807</v>
      </c>
      <c r="D1065" t="inlineStr">
        <is>
          <t>JÄMTLANDS LÄN</t>
        </is>
      </c>
      <c r="E1065" t="inlineStr">
        <is>
          <t>ÖSTERSUND</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5024-2025</t>
        </is>
      </c>
      <c r="B1066" s="1" t="n">
        <v>45691</v>
      </c>
      <c r="C1066" s="1" t="n">
        <v>45807</v>
      </c>
      <c r="D1066" t="inlineStr">
        <is>
          <t>JÄMTLANDS LÄN</t>
        </is>
      </c>
      <c r="E1066" t="inlineStr">
        <is>
          <t>ÖSTERSUND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5341-2025</t>
        </is>
      </c>
      <c r="B1067" s="1" t="n">
        <v>45692</v>
      </c>
      <c r="C1067" s="1" t="n">
        <v>45807</v>
      </c>
      <c r="D1067" t="inlineStr">
        <is>
          <t>JÄMTLANDS LÄN</t>
        </is>
      </c>
      <c r="E1067" t="inlineStr">
        <is>
          <t>ÖSTERSUND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5564-2025</t>
        </is>
      </c>
      <c r="B1068" s="1" t="n">
        <v>45693</v>
      </c>
      <c r="C1068" s="1" t="n">
        <v>45807</v>
      </c>
      <c r="D1068" t="inlineStr">
        <is>
          <t>JÄMTLANDS LÄN</t>
        </is>
      </c>
      <c r="E1068" t="inlineStr">
        <is>
          <t>ÖSTERSUND</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5544-2025</t>
        </is>
      </c>
      <c r="B1069" s="1" t="n">
        <v>45693</v>
      </c>
      <c r="C1069" s="1" t="n">
        <v>45807</v>
      </c>
      <c r="D1069" t="inlineStr">
        <is>
          <t>JÄMTLANDS LÄN</t>
        </is>
      </c>
      <c r="E1069" t="inlineStr">
        <is>
          <t>ÖSTERSUND</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5553-2025</t>
        </is>
      </c>
      <c r="B1070" s="1" t="n">
        <v>45693</v>
      </c>
      <c r="C1070" s="1" t="n">
        <v>45807</v>
      </c>
      <c r="D1070" t="inlineStr">
        <is>
          <t>JÄMTLANDS LÄN</t>
        </is>
      </c>
      <c r="E1070" t="inlineStr">
        <is>
          <t>ÖSTERSUND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5549-2025</t>
        </is>
      </c>
      <c r="B1071" s="1" t="n">
        <v>45693</v>
      </c>
      <c r="C1071" s="1" t="n">
        <v>45807</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6067-2025</t>
        </is>
      </c>
      <c r="B1072" s="1" t="n">
        <v>45696</v>
      </c>
      <c r="C1072" s="1" t="n">
        <v>45807</v>
      </c>
      <c r="D1072" t="inlineStr">
        <is>
          <t>JÄMTLANDS LÄN</t>
        </is>
      </c>
      <c r="E1072" t="inlineStr">
        <is>
          <t>ÖSTERSUND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7030-2025</t>
        </is>
      </c>
      <c r="B1073" s="1" t="n">
        <v>45701</v>
      </c>
      <c r="C1073" s="1" t="n">
        <v>45807</v>
      </c>
      <c r="D1073" t="inlineStr">
        <is>
          <t>JÄMTLANDS LÄN</t>
        </is>
      </c>
      <c r="E1073" t="inlineStr">
        <is>
          <t>ÖSTERSUND</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7005-2025</t>
        </is>
      </c>
      <c r="B1074" s="1" t="n">
        <v>45701</v>
      </c>
      <c r="C1074" s="1" t="n">
        <v>45807</v>
      </c>
      <c r="D1074" t="inlineStr">
        <is>
          <t>JÄMTLANDS LÄN</t>
        </is>
      </c>
      <c r="E1074" t="inlineStr">
        <is>
          <t>ÖSTERSUND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7022-2025</t>
        </is>
      </c>
      <c r="B1075" s="1" t="n">
        <v>45701</v>
      </c>
      <c r="C1075" s="1" t="n">
        <v>45807</v>
      </c>
      <c r="D1075" t="inlineStr">
        <is>
          <t>JÄMTLANDS LÄN</t>
        </is>
      </c>
      <c r="E1075" t="inlineStr">
        <is>
          <t>ÖSTERSUND</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7300-2025</t>
        </is>
      </c>
      <c r="B1076" s="1" t="n">
        <v>45702</v>
      </c>
      <c r="C1076" s="1" t="n">
        <v>45807</v>
      </c>
      <c r="D1076" t="inlineStr">
        <is>
          <t>JÄMTLANDS LÄN</t>
        </is>
      </c>
      <c r="E1076" t="inlineStr">
        <is>
          <t>ÖSTERSUND</t>
        </is>
      </c>
      <c r="F1076" t="inlineStr">
        <is>
          <t>SCA</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7233-2025</t>
        </is>
      </c>
      <c r="B1077" s="1" t="n">
        <v>45702</v>
      </c>
      <c r="C1077" s="1" t="n">
        <v>45807</v>
      </c>
      <c r="D1077" t="inlineStr">
        <is>
          <t>JÄMTLANDS LÄN</t>
        </is>
      </c>
      <c r="E1077" t="inlineStr">
        <is>
          <t>ÖSTERSUND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7289-2025</t>
        </is>
      </c>
      <c r="B1078" s="1" t="n">
        <v>45702</v>
      </c>
      <c r="C1078" s="1" t="n">
        <v>45807</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7549-2025</t>
        </is>
      </c>
      <c r="B1079" s="1" t="n">
        <v>45705</v>
      </c>
      <c r="C1079" s="1" t="n">
        <v>45807</v>
      </c>
      <c r="D1079" t="inlineStr">
        <is>
          <t>JÄMTLANDS LÄN</t>
        </is>
      </c>
      <c r="E1079" t="inlineStr">
        <is>
          <t>ÖSTERSUND</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7940-2025</t>
        </is>
      </c>
      <c r="B1080" s="1" t="n">
        <v>45707</v>
      </c>
      <c r="C1080" s="1" t="n">
        <v>45807</v>
      </c>
      <c r="D1080" t="inlineStr">
        <is>
          <t>JÄMTLANDS LÄN</t>
        </is>
      </c>
      <c r="E1080" t="inlineStr">
        <is>
          <t>ÖSTERSUND</t>
        </is>
      </c>
      <c r="F1080" t="inlineStr">
        <is>
          <t>Övriga Aktiebolag</t>
        </is>
      </c>
      <c r="G1080" t="n">
        <v>48.1</v>
      </c>
      <c r="H1080" t="n">
        <v>0</v>
      </c>
      <c r="I1080" t="n">
        <v>0</v>
      </c>
      <c r="J1080" t="n">
        <v>0</v>
      </c>
      <c r="K1080" t="n">
        <v>0</v>
      </c>
      <c r="L1080" t="n">
        <v>0</v>
      </c>
      <c r="M1080" t="n">
        <v>0</v>
      </c>
      <c r="N1080" t="n">
        <v>0</v>
      </c>
      <c r="O1080" t="n">
        <v>0</v>
      </c>
      <c r="P1080" t="n">
        <v>0</v>
      </c>
      <c r="Q1080" t="n">
        <v>0</v>
      </c>
      <c r="R1080" s="2" t="inlineStr"/>
    </row>
    <row r="1081" ht="15" customHeight="1">
      <c r="A1081" t="inlineStr">
        <is>
          <t>A 7956-2025</t>
        </is>
      </c>
      <c r="B1081" s="1" t="n">
        <v>45707</v>
      </c>
      <c r="C1081" s="1" t="n">
        <v>45807</v>
      </c>
      <c r="D1081" t="inlineStr">
        <is>
          <t>JÄMTLANDS LÄN</t>
        </is>
      </c>
      <c r="E1081" t="inlineStr">
        <is>
          <t>ÖSTERSUND</t>
        </is>
      </c>
      <c r="F1081" t="inlineStr">
        <is>
          <t>Övriga Aktiebolag</t>
        </is>
      </c>
      <c r="G1081" t="n">
        <v>111.2</v>
      </c>
      <c r="H1081" t="n">
        <v>0</v>
      </c>
      <c r="I1081" t="n">
        <v>0</v>
      </c>
      <c r="J1081" t="n">
        <v>0</v>
      </c>
      <c r="K1081" t="n">
        <v>0</v>
      </c>
      <c r="L1081" t="n">
        <v>0</v>
      </c>
      <c r="M1081" t="n">
        <v>0</v>
      </c>
      <c r="N1081" t="n">
        <v>0</v>
      </c>
      <c r="O1081" t="n">
        <v>0</v>
      </c>
      <c r="P1081" t="n">
        <v>0</v>
      </c>
      <c r="Q1081" t="n">
        <v>0</v>
      </c>
      <c r="R1081" s="2" t="inlineStr"/>
    </row>
    <row r="1082" ht="15" customHeight="1">
      <c r="A1082" t="inlineStr">
        <is>
          <t>A 8003-2025</t>
        </is>
      </c>
      <c r="B1082" s="1" t="n">
        <v>45707</v>
      </c>
      <c r="C1082" s="1" t="n">
        <v>45807</v>
      </c>
      <c r="D1082" t="inlineStr">
        <is>
          <t>JÄMTLANDS LÄN</t>
        </is>
      </c>
      <c r="E1082" t="inlineStr">
        <is>
          <t>ÖSTERSUND</t>
        </is>
      </c>
      <c r="F1082" t="inlineStr">
        <is>
          <t>Övriga Aktiebolag</t>
        </is>
      </c>
      <c r="G1082" t="n">
        <v>35.1</v>
      </c>
      <c r="H1082" t="n">
        <v>0</v>
      </c>
      <c r="I1082" t="n">
        <v>0</v>
      </c>
      <c r="J1082" t="n">
        <v>0</v>
      </c>
      <c r="K1082" t="n">
        <v>0</v>
      </c>
      <c r="L1082" t="n">
        <v>0</v>
      </c>
      <c r="M1082" t="n">
        <v>0</v>
      </c>
      <c r="N1082" t="n">
        <v>0</v>
      </c>
      <c r="O1082" t="n">
        <v>0</v>
      </c>
      <c r="P1082" t="n">
        <v>0</v>
      </c>
      <c r="Q1082" t="n">
        <v>0</v>
      </c>
      <c r="R1082" s="2" t="inlineStr"/>
    </row>
    <row r="1083" ht="15" customHeight="1">
      <c r="A1083" t="inlineStr">
        <is>
          <t>A 8028-2025</t>
        </is>
      </c>
      <c r="B1083" s="1" t="n">
        <v>45707</v>
      </c>
      <c r="C1083" s="1" t="n">
        <v>45807</v>
      </c>
      <c r="D1083" t="inlineStr">
        <is>
          <t>JÄMTLANDS LÄN</t>
        </is>
      </c>
      <c r="E1083" t="inlineStr">
        <is>
          <t>ÖSTERSUND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7938-2025</t>
        </is>
      </c>
      <c r="B1084" s="1" t="n">
        <v>45707</v>
      </c>
      <c r="C1084" s="1" t="n">
        <v>45807</v>
      </c>
      <c r="D1084" t="inlineStr">
        <is>
          <t>JÄMTLANDS LÄN</t>
        </is>
      </c>
      <c r="E1084" t="inlineStr">
        <is>
          <t>ÖSTERSUND</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7953-2025</t>
        </is>
      </c>
      <c r="B1085" s="1" t="n">
        <v>45707</v>
      </c>
      <c r="C1085" s="1" t="n">
        <v>45807</v>
      </c>
      <c r="D1085" t="inlineStr">
        <is>
          <t>JÄMTLANDS LÄN</t>
        </is>
      </c>
      <c r="E1085" t="inlineStr">
        <is>
          <t>ÖSTERSUND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7949-2025</t>
        </is>
      </c>
      <c r="B1086" s="1" t="n">
        <v>45707</v>
      </c>
      <c r="C1086" s="1" t="n">
        <v>45807</v>
      </c>
      <c r="D1086" t="inlineStr">
        <is>
          <t>JÄMTLANDS LÄN</t>
        </is>
      </c>
      <c r="E1086" t="inlineStr">
        <is>
          <t>ÖSTERSUND</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7941-2025</t>
        </is>
      </c>
      <c r="B1087" s="1" t="n">
        <v>45707</v>
      </c>
      <c r="C1087" s="1" t="n">
        <v>45807</v>
      </c>
      <c r="D1087" t="inlineStr">
        <is>
          <t>JÄMTLANDS LÄN</t>
        </is>
      </c>
      <c r="E1087" t="inlineStr">
        <is>
          <t>ÖSTERSUND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7911-2025</t>
        </is>
      </c>
      <c r="B1088" s="1" t="n">
        <v>45707</v>
      </c>
      <c r="C1088" s="1" t="n">
        <v>45807</v>
      </c>
      <c r="D1088" t="inlineStr">
        <is>
          <t>JÄMTLANDS LÄN</t>
        </is>
      </c>
      <c r="E1088" t="inlineStr">
        <is>
          <t>ÖSTERSUND</t>
        </is>
      </c>
      <c r="F1088" t="inlineStr">
        <is>
          <t>SCA</t>
        </is>
      </c>
      <c r="G1088" t="n">
        <v>17.9</v>
      </c>
      <c r="H1088" t="n">
        <v>0</v>
      </c>
      <c r="I1088" t="n">
        <v>0</v>
      </c>
      <c r="J1088" t="n">
        <v>0</v>
      </c>
      <c r="K1088" t="n">
        <v>0</v>
      </c>
      <c r="L1088" t="n">
        <v>0</v>
      </c>
      <c r="M1088" t="n">
        <v>0</v>
      </c>
      <c r="N1088" t="n">
        <v>0</v>
      </c>
      <c r="O1088" t="n">
        <v>0</v>
      </c>
      <c r="P1088" t="n">
        <v>0</v>
      </c>
      <c r="Q1088" t="n">
        <v>0</v>
      </c>
      <c r="R1088" s="2" t="inlineStr"/>
    </row>
    <row r="1089" ht="15" customHeight="1">
      <c r="A1089" t="inlineStr">
        <is>
          <t>A 7936-2025</t>
        </is>
      </c>
      <c r="B1089" s="1" t="n">
        <v>45707</v>
      </c>
      <c r="C1089" s="1" t="n">
        <v>45807</v>
      </c>
      <c r="D1089" t="inlineStr">
        <is>
          <t>JÄMTLANDS LÄN</t>
        </is>
      </c>
      <c r="E1089" t="inlineStr">
        <is>
          <t>ÖSTERSUND</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8216-2025</t>
        </is>
      </c>
      <c r="B1090" s="1" t="n">
        <v>45708</v>
      </c>
      <c r="C1090" s="1" t="n">
        <v>45807</v>
      </c>
      <c r="D1090" t="inlineStr">
        <is>
          <t>JÄMTLANDS LÄN</t>
        </is>
      </c>
      <c r="E1090" t="inlineStr">
        <is>
          <t>ÖSTERSUND</t>
        </is>
      </c>
      <c r="F1090" t="inlineStr">
        <is>
          <t>Övriga Aktiebolag</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8261-2025</t>
        </is>
      </c>
      <c r="B1091" s="1" t="n">
        <v>45708</v>
      </c>
      <c r="C1091" s="1" t="n">
        <v>45807</v>
      </c>
      <c r="D1091" t="inlineStr">
        <is>
          <t>JÄMTLANDS LÄN</t>
        </is>
      </c>
      <c r="E1091" t="inlineStr">
        <is>
          <t>ÖSTERSUND</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8401-2025</t>
        </is>
      </c>
      <c r="B1092" s="1" t="n">
        <v>45709</v>
      </c>
      <c r="C1092" s="1" t="n">
        <v>45807</v>
      </c>
      <c r="D1092" t="inlineStr">
        <is>
          <t>JÄMTLANDS LÄN</t>
        </is>
      </c>
      <c r="E1092" t="inlineStr">
        <is>
          <t>ÖSTERSUND</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8389-2025</t>
        </is>
      </c>
      <c r="B1093" s="1" t="n">
        <v>45709</v>
      </c>
      <c r="C1093" s="1" t="n">
        <v>45807</v>
      </c>
      <c r="D1093" t="inlineStr">
        <is>
          <t>JÄMTLANDS LÄN</t>
        </is>
      </c>
      <c r="E1093" t="inlineStr">
        <is>
          <t>ÖSTERSUND</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9246-2025</t>
        </is>
      </c>
      <c r="B1094" s="1" t="n">
        <v>45714</v>
      </c>
      <c r="C1094" s="1" t="n">
        <v>45807</v>
      </c>
      <c r="D1094" t="inlineStr">
        <is>
          <t>JÄMTLANDS LÄN</t>
        </is>
      </c>
      <c r="E1094" t="inlineStr">
        <is>
          <t>ÖSTERSUND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9552-2025</t>
        </is>
      </c>
      <c r="B1095" s="1" t="n">
        <v>45715</v>
      </c>
      <c r="C1095" s="1" t="n">
        <v>45807</v>
      </c>
      <c r="D1095" t="inlineStr">
        <is>
          <t>JÄMTLANDS LÄN</t>
        </is>
      </c>
      <c r="E1095" t="inlineStr">
        <is>
          <t>ÖSTERSUND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9744-2025</t>
        </is>
      </c>
      <c r="B1096" s="1" t="n">
        <v>45716</v>
      </c>
      <c r="C1096" s="1" t="n">
        <v>45807</v>
      </c>
      <c r="D1096" t="inlineStr">
        <is>
          <t>JÄMTLANDS LÄN</t>
        </is>
      </c>
      <c r="E1096" t="inlineStr">
        <is>
          <t>ÖSTERSUND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9971-2025</t>
        </is>
      </c>
      <c r="B1097" s="1" t="n">
        <v>45719</v>
      </c>
      <c r="C1097" s="1" t="n">
        <v>45807</v>
      </c>
      <c r="D1097" t="inlineStr">
        <is>
          <t>JÄMTLANDS LÄN</t>
        </is>
      </c>
      <c r="E1097" t="inlineStr">
        <is>
          <t>ÖSTERSUND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10116-2025</t>
        </is>
      </c>
      <c r="B1098" s="1" t="n">
        <v>45719</v>
      </c>
      <c r="C1098" s="1" t="n">
        <v>45807</v>
      </c>
      <c r="D1098" t="inlineStr">
        <is>
          <t>JÄMTLANDS LÄN</t>
        </is>
      </c>
      <c r="E1098" t="inlineStr">
        <is>
          <t>ÖSTERSUND</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10266-2025</t>
        </is>
      </c>
      <c r="B1099" s="1" t="n">
        <v>45720</v>
      </c>
      <c r="C1099" s="1" t="n">
        <v>45807</v>
      </c>
      <c r="D1099" t="inlineStr">
        <is>
          <t>JÄMTLANDS LÄN</t>
        </is>
      </c>
      <c r="E1099" t="inlineStr">
        <is>
          <t>ÖSTERSUND</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10267-2025</t>
        </is>
      </c>
      <c r="B1100" s="1" t="n">
        <v>45720</v>
      </c>
      <c r="C1100" s="1" t="n">
        <v>45807</v>
      </c>
      <c r="D1100" t="inlineStr">
        <is>
          <t>JÄMTLANDS LÄN</t>
        </is>
      </c>
      <c r="E1100" t="inlineStr">
        <is>
          <t>ÖSTERSUND</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10530-2025</t>
        </is>
      </c>
      <c r="B1101" s="1" t="n">
        <v>45721</v>
      </c>
      <c r="C1101" s="1" t="n">
        <v>45807</v>
      </c>
      <c r="D1101" t="inlineStr">
        <is>
          <t>JÄMTLANDS LÄN</t>
        </is>
      </c>
      <c r="E1101" t="inlineStr">
        <is>
          <t>ÖSTERSUND</t>
        </is>
      </c>
      <c r="F1101" t="inlineStr">
        <is>
          <t>SCA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10493-2025</t>
        </is>
      </c>
      <c r="B1102" s="1" t="n">
        <v>45721</v>
      </c>
      <c r="C1102" s="1" t="n">
        <v>45807</v>
      </c>
      <c r="D1102" t="inlineStr">
        <is>
          <t>JÄMTLANDS LÄN</t>
        </is>
      </c>
      <c r="E1102" t="inlineStr">
        <is>
          <t>ÖSTERSUND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10756-2025</t>
        </is>
      </c>
      <c r="B1103" s="1" t="n">
        <v>45722</v>
      </c>
      <c r="C1103" s="1" t="n">
        <v>45807</v>
      </c>
      <c r="D1103" t="inlineStr">
        <is>
          <t>JÄMTLANDS LÄN</t>
        </is>
      </c>
      <c r="E1103" t="inlineStr">
        <is>
          <t>ÖSTERSUND</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11181-2025</t>
        </is>
      </c>
      <c r="B1104" s="1" t="n">
        <v>45725</v>
      </c>
      <c r="C1104" s="1" t="n">
        <v>45807</v>
      </c>
      <c r="D1104" t="inlineStr">
        <is>
          <t>JÄMTLANDS LÄN</t>
        </is>
      </c>
      <c r="E1104" t="inlineStr">
        <is>
          <t>ÖSTERSUND</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11182-2025</t>
        </is>
      </c>
      <c r="B1105" s="1" t="n">
        <v>45725</v>
      </c>
      <c r="C1105" s="1" t="n">
        <v>45807</v>
      </c>
      <c r="D1105" t="inlineStr">
        <is>
          <t>JÄMTLANDS LÄN</t>
        </is>
      </c>
      <c r="E1105" t="inlineStr">
        <is>
          <t>ÖSTERSUND</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12102-2025</t>
        </is>
      </c>
      <c r="B1106" s="1" t="n">
        <v>45729</v>
      </c>
      <c r="C1106" s="1" t="n">
        <v>45807</v>
      </c>
      <c r="D1106" t="inlineStr">
        <is>
          <t>JÄMTLANDS LÄN</t>
        </is>
      </c>
      <c r="E1106" t="inlineStr">
        <is>
          <t>ÖSTERSUND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12509-2025</t>
        </is>
      </c>
      <c r="B1107" s="1" t="n">
        <v>45730</v>
      </c>
      <c r="C1107" s="1" t="n">
        <v>45807</v>
      </c>
      <c r="D1107" t="inlineStr">
        <is>
          <t>JÄMTLANDS LÄN</t>
        </is>
      </c>
      <c r="E1107" t="inlineStr">
        <is>
          <t>ÖSTERSUND</t>
        </is>
      </c>
      <c r="F1107" t="inlineStr">
        <is>
          <t>SCA</t>
        </is>
      </c>
      <c r="G1107" t="n">
        <v>2</v>
      </c>
      <c r="H1107" t="n">
        <v>0</v>
      </c>
      <c r="I1107" t="n">
        <v>0</v>
      </c>
      <c r="J1107" t="n">
        <v>0</v>
      </c>
      <c r="K1107" t="n">
        <v>0</v>
      </c>
      <c r="L1107" t="n">
        <v>0</v>
      </c>
      <c r="M1107" t="n">
        <v>0</v>
      </c>
      <c r="N1107" t="n">
        <v>0</v>
      </c>
      <c r="O1107" t="n">
        <v>0</v>
      </c>
      <c r="P1107" t="n">
        <v>0</v>
      </c>
      <c r="Q1107" t="n">
        <v>0</v>
      </c>
      <c r="R1107" s="2" t="inlineStr"/>
      <c r="U1107">
        <f>HYPERLINK("https://klasma.github.io/Logging_232380/knärot/A 12509-2025 karta knärot.png", "A 12509-2025")</f>
        <v/>
      </c>
      <c r="V1107">
        <f>HYPERLINK("https://klasma.github.io/Logging_232380/klagomål/A 12509-2025 FSC-klagomål.docx", "A 12509-2025")</f>
        <v/>
      </c>
      <c r="W1107">
        <f>HYPERLINK("https://klasma.github.io/Logging_232380/klagomålsmail/A 12509-2025 FSC-klagomål mail.docx", "A 12509-2025")</f>
        <v/>
      </c>
      <c r="X1107">
        <f>HYPERLINK("https://klasma.github.io/Logging_232380/tillsyn/A 12509-2025 tillsynsbegäran.docx", "A 12509-2025")</f>
        <v/>
      </c>
      <c r="Y1107">
        <f>HYPERLINK("https://klasma.github.io/Logging_232380/tillsynsmail/A 12509-2025 tillsynsbegäran mail.docx", "A 12509-2025")</f>
        <v/>
      </c>
    </row>
    <row r="1108" ht="15" customHeight="1">
      <c r="A1108" t="inlineStr">
        <is>
          <t>A 12352-2025</t>
        </is>
      </c>
      <c r="B1108" s="1" t="n">
        <v>45730</v>
      </c>
      <c r="C1108" s="1" t="n">
        <v>45807</v>
      </c>
      <c r="D1108" t="inlineStr">
        <is>
          <t>JÄMTLANDS LÄN</t>
        </is>
      </c>
      <c r="E1108" t="inlineStr">
        <is>
          <t>ÖSTERSUND</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12429-2025</t>
        </is>
      </c>
      <c r="B1109" s="1" t="n">
        <v>45730</v>
      </c>
      <c r="C1109" s="1" t="n">
        <v>45807</v>
      </c>
      <c r="D1109" t="inlineStr">
        <is>
          <t>JÄMTLANDS LÄN</t>
        </is>
      </c>
      <c r="E1109" t="inlineStr">
        <is>
          <t>ÖSTERSUND</t>
        </is>
      </c>
      <c r="F1109" t="inlineStr">
        <is>
          <t>Övriga Aktiebolag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12492-2025</t>
        </is>
      </c>
      <c r="B1110" s="1" t="n">
        <v>45730</v>
      </c>
      <c r="C1110" s="1" t="n">
        <v>45807</v>
      </c>
      <c r="D1110" t="inlineStr">
        <is>
          <t>JÄMTLANDS LÄN</t>
        </is>
      </c>
      <c r="E1110" t="inlineStr">
        <is>
          <t>ÖSTERSUND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12998-2025</t>
        </is>
      </c>
      <c r="B1111" s="1" t="n">
        <v>45734</v>
      </c>
      <c r="C1111" s="1" t="n">
        <v>45807</v>
      </c>
      <c r="D1111" t="inlineStr">
        <is>
          <t>JÄMTLANDS LÄN</t>
        </is>
      </c>
      <c r="E1111" t="inlineStr">
        <is>
          <t>ÖSTERSUND</t>
        </is>
      </c>
      <c r="F1111" t="inlineStr">
        <is>
          <t>SCA</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13651-2025</t>
        </is>
      </c>
      <c r="B1112" s="1" t="n">
        <v>45736</v>
      </c>
      <c r="C1112" s="1" t="n">
        <v>45807</v>
      </c>
      <c r="D1112" t="inlineStr">
        <is>
          <t>JÄMTLANDS LÄN</t>
        </is>
      </c>
      <c r="E1112" t="inlineStr">
        <is>
          <t>ÖSTERSUND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13655-2025</t>
        </is>
      </c>
      <c r="B1113" s="1" t="n">
        <v>45736</v>
      </c>
      <c r="C1113" s="1" t="n">
        <v>45807</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13738-2025</t>
        </is>
      </c>
      <c r="B1114" s="1" t="n">
        <v>45737</v>
      </c>
      <c r="C1114" s="1" t="n">
        <v>45807</v>
      </c>
      <c r="D1114" t="inlineStr">
        <is>
          <t>JÄMTLANDS LÄN</t>
        </is>
      </c>
      <c r="E1114" t="inlineStr">
        <is>
          <t>ÖSTERSUND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14182-2025</t>
        </is>
      </c>
      <c r="B1115" s="1" t="n">
        <v>45740</v>
      </c>
      <c r="C1115" s="1" t="n">
        <v>45807</v>
      </c>
      <c r="D1115" t="inlineStr">
        <is>
          <t>JÄMTLANDS LÄN</t>
        </is>
      </c>
      <c r="E1115" t="inlineStr">
        <is>
          <t>ÖSTERSUND</t>
        </is>
      </c>
      <c r="F1115" t="inlineStr">
        <is>
          <t>Övriga Aktiebolag</t>
        </is>
      </c>
      <c r="G1115" t="n">
        <v>20.1</v>
      </c>
      <c r="H1115" t="n">
        <v>0</v>
      </c>
      <c r="I1115" t="n">
        <v>0</v>
      </c>
      <c r="J1115" t="n">
        <v>0</v>
      </c>
      <c r="K1115" t="n">
        <v>0</v>
      </c>
      <c r="L1115" t="n">
        <v>0</v>
      </c>
      <c r="M1115" t="n">
        <v>0</v>
      </c>
      <c r="N1115" t="n">
        <v>0</v>
      </c>
      <c r="O1115" t="n">
        <v>0</v>
      </c>
      <c r="P1115" t="n">
        <v>0</v>
      </c>
      <c r="Q1115" t="n">
        <v>0</v>
      </c>
      <c r="R1115" s="2" t="inlineStr"/>
    </row>
    <row r="1116" ht="15" customHeight="1">
      <c r="A1116" t="inlineStr">
        <is>
          <t>A 14118-2025</t>
        </is>
      </c>
      <c r="B1116" s="1" t="n">
        <v>45740</v>
      </c>
      <c r="C1116" s="1" t="n">
        <v>45807</v>
      </c>
      <c r="D1116" t="inlineStr">
        <is>
          <t>JÄMTLANDS LÄN</t>
        </is>
      </c>
      <c r="E1116" t="inlineStr">
        <is>
          <t>ÖSTERSUND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14263-2025</t>
        </is>
      </c>
      <c r="B1117" s="1" t="n">
        <v>45740</v>
      </c>
      <c r="C1117" s="1" t="n">
        <v>45807</v>
      </c>
      <c r="D1117" t="inlineStr">
        <is>
          <t>JÄMTLANDS LÄN</t>
        </is>
      </c>
      <c r="E1117" t="inlineStr">
        <is>
          <t>ÖSTERSUND</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14514-2025</t>
        </is>
      </c>
      <c r="B1118" s="1" t="n">
        <v>45741</v>
      </c>
      <c r="C1118" s="1" t="n">
        <v>45807</v>
      </c>
      <c r="D1118" t="inlineStr">
        <is>
          <t>JÄMTLANDS LÄN</t>
        </is>
      </c>
      <c r="E1118" t="inlineStr">
        <is>
          <t>ÖSTERSUND</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14529-2025</t>
        </is>
      </c>
      <c r="B1119" s="1" t="n">
        <v>45741</v>
      </c>
      <c r="C1119" s="1" t="n">
        <v>45807</v>
      </c>
      <c r="D1119" t="inlineStr">
        <is>
          <t>JÄMTLANDS LÄN</t>
        </is>
      </c>
      <c r="E1119" t="inlineStr">
        <is>
          <t>ÖSTERSUND</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14542-2025</t>
        </is>
      </c>
      <c r="B1120" s="1" t="n">
        <v>45741</v>
      </c>
      <c r="C1120" s="1" t="n">
        <v>45807</v>
      </c>
      <c r="D1120" t="inlineStr">
        <is>
          <t>JÄMTLANDS LÄN</t>
        </is>
      </c>
      <c r="E1120" t="inlineStr">
        <is>
          <t>ÖSTERSUND</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14662-2025</t>
        </is>
      </c>
      <c r="B1121" s="1" t="n">
        <v>45742</v>
      </c>
      <c r="C1121" s="1" t="n">
        <v>45807</v>
      </c>
      <c r="D1121" t="inlineStr">
        <is>
          <t>JÄMTLANDS LÄN</t>
        </is>
      </c>
      <c r="E1121" t="inlineStr">
        <is>
          <t>ÖSTERSUND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14946-2025</t>
        </is>
      </c>
      <c r="B1122" s="1" t="n">
        <v>45743</v>
      </c>
      <c r="C1122" s="1" t="n">
        <v>45807</v>
      </c>
      <c r="D1122" t="inlineStr">
        <is>
          <t>JÄMTLANDS LÄN</t>
        </is>
      </c>
      <c r="E1122" t="inlineStr">
        <is>
          <t>ÖSTERSUND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14947-2025</t>
        </is>
      </c>
      <c r="B1123" s="1" t="n">
        <v>45743</v>
      </c>
      <c r="C1123" s="1" t="n">
        <v>45807</v>
      </c>
      <c r="D1123" t="inlineStr">
        <is>
          <t>JÄMTLANDS LÄN</t>
        </is>
      </c>
      <c r="E1123" t="inlineStr">
        <is>
          <t>ÖSTERSUND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14848-2025</t>
        </is>
      </c>
      <c r="B1124" s="1" t="n">
        <v>45743</v>
      </c>
      <c r="C1124" s="1" t="n">
        <v>45807</v>
      </c>
      <c r="D1124" t="inlineStr">
        <is>
          <t>JÄMTLANDS LÄN</t>
        </is>
      </c>
      <c r="E1124" t="inlineStr">
        <is>
          <t>ÖSTERSUND</t>
        </is>
      </c>
      <c r="G1124" t="n">
        <v>12.1</v>
      </c>
      <c r="H1124" t="n">
        <v>0</v>
      </c>
      <c r="I1124" t="n">
        <v>0</v>
      </c>
      <c r="J1124" t="n">
        <v>0</v>
      </c>
      <c r="K1124" t="n">
        <v>0</v>
      </c>
      <c r="L1124" t="n">
        <v>0</v>
      </c>
      <c r="M1124" t="n">
        <v>0</v>
      </c>
      <c r="N1124" t="n">
        <v>0</v>
      </c>
      <c r="O1124" t="n">
        <v>0</v>
      </c>
      <c r="P1124" t="n">
        <v>0</v>
      </c>
      <c r="Q1124" t="n">
        <v>0</v>
      </c>
      <c r="R1124" s="2" t="inlineStr"/>
    </row>
    <row r="1125" ht="15" customHeight="1">
      <c r="A1125" t="inlineStr">
        <is>
          <t>A 14831-2025</t>
        </is>
      </c>
      <c r="B1125" s="1" t="n">
        <v>45743</v>
      </c>
      <c r="C1125" s="1" t="n">
        <v>45807</v>
      </c>
      <c r="D1125" t="inlineStr">
        <is>
          <t>JÄMTLANDS LÄN</t>
        </is>
      </c>
      <c r="E1125" t="inlineStr">
        <is>
          <t>ÖSTERSUND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14867-2025</t>
        </is>
      </c>
      <c r="B1126" s="1" t="n">
        <v>45743</v>
      </c>
      <c r="C1126" s="1" t="n">
        <v>45807</v>
      </c>
      <c r="D1126" t="inlineStr">
        <is>
          <t>JÄMTLANDS LÄN</t>
        </is>
      </c>
      <c r="E1126" t="inlineStr">
        <is>
          <t>ÖSTERSUND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15196-2025</t>
        </is>
      </c>
      <c r="B1127" s="1" t="n">
        <v>45744</v>
      </c>
      <c r="C1127" s="1" t="n">
        <v>45807</v>
      </c>
      <c r="D1127" t="inlineStr">
        <is>
          <t>JÄMTLANDS LÄN</t>
        </is>
      </c>
      <c r="E1127" t="inlineStr">
        <is>
          <t>ÖSTERSUND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15669-2025</t>
        </is>
      </c>
      <c r="B1128" s="1" t="n">
        <v>45748</v>
      </c>
      <c r="C1128" s="1" t="n">
        <v>45807</v>
      </c>
      <c r="D1128" t="inlineStr">
        <is>
          <t>JÄMTLANDS LÄN</t>
        </is>
      </c>
      <c r="E1128" t="inlineStr">
        <is>
          <t>ÖSTERSUND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15686-2025</t>
        </is>
      </c>
      <c r="B1129" s="1" t="n">
        <v>45748</v>
      </c>
      <c r="C1129" s="1" t="n">
        <v>45807</v>
      </c>
      <c r="D1129" t="inlineStr">
        <is>
          <t>JÄMTLANDS LÄN</t>
        </is>
      </c>
      <c r="E1129" t="inlineStr">
        <is>
          <t>ÖSTERSUND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15694-2025</t>
        </is>
      </c>
      <c r="B1130" s="1" t="n">
        <v>45748</v>
      </c>
      <c r="C1130" s="1" t="n">
        <v>45807</v>
      </c>
      <c r="D1130" t="inlineStr">
        <is>
          <t>JÄMTLANDS LÄN</t>
        </is>
      </c>
      <c r="E1130" t="inlineStr">
        <is>
          <t>ÖSTERSUND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15651-2025</t>
        </is>
      </c>
      <c r="B1131" s="1" t="n">
        <v>45748</v>
      </c>
      <c r="C1131" s="1" t="n">
        <v>45807</v>
      </c>
      <c r="D1131" t="inlineStr">
        <is>
          <t>JÄMTLANDS LÄN</t>
        </is>
      </c>
      <c r="E1131" t="inlineStr">
        <is>
          <t>ÖSTERSUND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15649-2025</t>
        </is>
      </c>
      <c r="B1132" s="1" t="n">
        <v>45748</v>
      </c>
      <c r="C1132" s="1" t="n">
        <v>45807</v>
      </c>
      <c r="D1132" t="inlineStr">
        <is>
          <t>JÄMTLANDS LÄN</t>
        </is>
      </c>
      <c r="E1132" t="inlineStr">
        <is>
          <t>ÖSTERSUND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15715-2025</t>
        </is>
      </c>
      <c r="B1133" s="1" t="n">
        <v>45748</v>
      </c>
      <c r="C1133" s="1" t="n">
        <v>45807</v>
      </c>
      <c r="D1133" t="inlineStr">
        <is>
          <t>JÄMTLANDS LÄN</t>
        </is>
      </c>
      <c r="E1133" t="inlineStr">
        <is>
          <t>ÖSTERSUND</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16138-2025</t>
        </is>
      </c>
      <c r="B1134" s="1" t="n">
        <v>45750</v>
      </c>
      <c r="C1134" s="1" t="n">
        <v>45807</v>
      </c>
      <c r="D1134" t="inlineStr">
        <is>
          <t>JÄMTLANDS LÄN</t>
        </is>
      </c>
      <c r="E1134" t="inlineStr">
        <is>
          <t>ÖSTERSUND</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16131-2025</t>
        </is>
      </c>
      <c r="B1135" s="1" t="n">
        <v>45750</v>
      </c>
      <c r="C1135" s="1" t="n">
        <v>45807</v>
      </c>
      <c r="D1135" t="inlineStr">
        <is>
          <t>JÄMTLANDS LÄN</t>
        </is>
      </c>
      <c r="E1135" t="inlineStr">
        <is>
          <t>ÖSTERSUND</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16306-2025</t>
        </is>
      </c>
      <c r="B1136" s="1" t="n">
        <v>45751</v>
      </c>
      <c r="C1136" s="1" t="n">
        <v>45807</v>
      </c>
      <c r="D1136" t="inlineStr">
        <is>
          <t>JÄMTLANDS LÄN</t>
        </is>
      </c>
      <c r="E1136" t="inlineStr">
        <is>
          <t>ÖSTERSUND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16336-2025</t>
        </is>
      </c>
      <c r="B1137" s="1" t="n">
        <v>45751</v>
      </c>
      <c r="C1137" s="1" t="n">
        <v>45807</v>
      </c>
      <c r="D1137" t="inlineStr">
        <is>
          <t>JÄMTLANDS LÄN</t>
        </is>
      </c>
      <c r="E1137" t="inlineStr">
        <is>
          <t>ÖSTERSUND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16335-2025</t>
        </is>
      </c>
      <c r="B1138" s="1" t="n">
        <v>45751</v>
      </c>
      <c r="C1138" s="1" t="n">
        <v>45807</v>
      </c>
      <c r="D1138" t="inlineStr">
        <is>
          <t>JÄMTLANDS LÄN</t>
        </is>
      </c>
      <c r="E1138" t="inlineStr">
        <is>
          <t>ÖSTERSUND</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16297-2025</t>
        </is>
      </c>
      <c r="B1139" s="1" t="n">
        <v>45751</v>
      </c>
      <c r="C1139" s="1" t="n">
        <v>45807</v>
      </c>
      <c r="D1139" t="inlineStr">
        <is>
          <t>JÄMTLANDS LÄN</t>
        </is>
      </c>
      <c r="E1139" t="inlineStr">
        <is>
          <t>ÖSTERSUND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16753-2025</t>
        </is>
      </c>
      <c r="B1140" s="1" t="n">
        <v>45754</v>
      </c>
      <c r="C1140" s="1" t="n">
        <v>45807</v>
      </c>
      <c r="D1140" t="inlineStr">
        <is>
          <t>JÄMTLANDS LÄN</t>
        </is>
      </c>
      <c r="E1140" t="inlineStr">
        <is>
          <t>ÖSTERSUND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16812-2025</t>
        </is>
      </c>
      <c r="B1141" s="1" t="n">
        <v>45754</v>
      </c>
      <c r="C1141" s="1" t="n">
        <v>45807</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16725-2025</t>
        </is>
      </c>
      <c r="B1142" s="1" t="n">
        <v>45754</v>
      </c>
      <c r="C1142" s="1" t="n">
        <v>45807</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16908-2025</t>
        </is>
      </c>
      <c r="B1143" s="1" t="n">
        <v>45755</v>
      </c>
      <c r="C1143" s="1" t="n">
        <v>45807</v>
      </c>
      <c r="D1143" t="inlineStr">
        <is>
          <t>JÄMTLANDS LÄN</t>
        </is>
      </c>
      <c r="E1143" t="inlineStr">
        <is>
          <t>ÖSTERSUND</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17570-2025</t>
        </is>
      </c>
      <c r="B1144" s="1" t="n">
        <v>45757</v>
      </c>
      <c r="C1144" s="1" t="n">
        <v>45807</v>
      </c>
      <c r="D1144" t="inlineStr">
        <is>
          <t>JÄMTLANDS LÄN</t>
        </is>
      </c>
      <c r="E1144" t="inlineStr">
        <is>
          <t>ÖSTERSUND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17948-2025</t>
        </is>
      </c>
      <c r="B1145" s="1" t="n">
        <v>45760</v>
      </c>
      <c r="C1145" s="1" t="n">
        <v>45807</v>
      </c>
      <c r="D1145" t="inlineStr">
        <is>
          <t>JÄMTLANDS LÄN</t>
        </is>
      </c>
      <c r="E1145" t="inlineStr">
        <is>
          <t>ÖSTERSUND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17947-2025</t>
        </is>
      </c>
      <c r="B1146" s="1" t="n">
        <v>45760</v>
      </c>
      <c r="C1146" s="1" t="n">
        <v>45807</v>
      </c>
      <c r="D1146" t="inlineStr">
        <is>
          <t>JÄMTLANDS LÄN</t>
        </is>
      </c>
      <c r="E1146" t="inlineStr">
        <is>
          <t>ÖSTERSUND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18429-2025</t>
        </is>
      </c>
      <c r="B1147" s="1" t="n">
        <v>45762</v>
      </c>
      <c r="C1147" s="1" t="n">
        <v>45807</v>
      </c>
      <c r="D1147" t="inlineStr">
        <is>
          <t>JÄMTLANDS LÄN</t>
        </is>
      </c>
      <c r="E1147" t="inlineStr">
        <is>
          <t>ÖSTERSUND</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18577-2025</t>
        </is>
      </c>
      <c r="B1148" s="1" t="n">
        <v>45763</v>
      </c>
      <c r="C1148" s="1" t="n">
        <v>45807</v>
      </c>
      <c r="D1148" t="inlineStr">
        <is>
          <t>JÄMTLANDS LÄN</t>
        </is>
      </c>
      <c r="E1148" t="inlineStr">
        <is>
          <t>ÖSTERSUND</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18578-2025</t>
        </is>
      </c>
      <c r="B1149" s="1" t="n">
        <v>45763</v>
      </c>
      <c r="C1149" s="1" t="n">
        <v>45807</v>
      </c>
      <c r="D1149" t="inlineStr">
        <is>
          <t>JÄMTLANDS LÄN</t>
        </is>
      </c>
      <c r="E1149" t="inlineStr">
        <is>
          <t>ÖSTERSUND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18897-2025</t>
        </is>
      </c>
      <c r="B1150" s="1" t="n">
        <v>45764</v>
      </c>
      <c r="C1150" s="1" t="n">
        <v>45807</v>
      </c>
      <c r="D1150" t="inlineStr">
        <is>
          <t>JÄMTLANDS LÄN</t>
        </is>
      </c>
      <c r="E1150" t="inlineStr">
        <is>
          <t>ÖSTERSUND</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45807</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19581-2025</t>
        </is>
      </c>
      <c r="B1152" s="1" t="n">
        <v>45770</v>
      </c>
      <c r="C1152" s="1" t="n">
        <v>45807</v>
      </c>
      <c r="D1152" t="inlineStr">
        <is>
          <t>JÄMTLANDS LÄN</t>
        </is>
      </c>
      <c r="E1152" t="inlineStr">
        <is>
          <t>ÖSTERSUND</t>
        </is>
      </c>
      <c r="G1152" t="n">
        <v>17.2</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45807</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19783-2025</t>
        </is>
      </c>
      <c r="B1154" s="1" t="n">
        <v>45771</v>
      </c>
      <c r="C1154" s="1" t="n">
        <v>45807</v>
      </c>
      <c r="D1154" t="inlineStr">
        <is>
          <t>JÄMTLANDS LÄN</t>
        </is>
      </c>
      <c r="E1154" t="inlineStr">
        <is>
          <t>ÖSTERSUND</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20691-2025</t>
        </is>
      </c>
      <c r="B1155" s="1" t="n">
        <v>45776</v>
      </c>
      <c r="C1155" s="1" t="n">
        <v>45807</v>
      </c>
      <c r="D1155" t="inlineStr">
        <is>
          <t>JÄMTLANDS LÄN</t>
        </is>
      </c>
      <c r="E1155" t="inlineStr">
        <is>
          <t>ÖSTERSUND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20674-2025</t>
        </is>
      </c>
      <c r="B1156" s="1" t="n">
        <v>45776</v>
      </c>
      <c r="C1156" s="1" t="n">
        <v>45807</v>
      </c>
      <c r="D1156" t="inlineStr">
        <is>
          <t>JÄMTLANDS LÄN</t>
        </is>
      </c>
      <c r="E1156" t="inlineStr">
        <is>
          <t>ÖSTERSUND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45807</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21094-2025</t>
        </is>
      </c>
      <c r="B1158" s="1" t="n">
        <v>45777</v>
      </c>
      <c r="C1158" s="1" t="n">
        <v>45807</v>
      </c>
      <c r="D1158" t="inlineStr">
        <is>
          <t>JÄMTLANDS LÄN</t>
        </is>
      </c>
      <c r="E1158" t="inlineStr">
        <is>
          <t>ÖSTERSUND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21232-2025</t>
        </is>
      </c>
      <c r="B1159" s="1" t="n">
        <v>45779</v>
      </c>
      <c r="C1159" s="1" t="n">
        <v>45807</v>
      </c>
      <c r="D1159" t="inlineStr">
        <is>
          <t>JÄMTLANDS LÄN</t>
        </is>
      </c>
      <c r="E1159" t="inlineStr">
        <is>
          <t>ÖSTERSUND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21236-2025</t>
        </is>
      </c>
      <c r="B1160" s="1" t="n">
        <v>45779</v>
      </c>
      <c r="C1160" s="1" t="n">
        <v>45807</v>
      </c>
      <c r="D1160" t="inlineStr">
        <is>
          <t>JÄMTLANDS LÄN</t>
        </is>
      </c>
      <c r="E1160" t="inlineStr">
        <is>
          <t>ÖSTERSUND</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21237-2025</t>
        </is>
      </c>
      <c r="B1161" s="1" t="n">
        <v>45779</v>
      </c>
      <c r="C1161" s="1" t="n">
        <v>45807</v>
      </c>
      <c r="D1161" t="inlineStr">
        <is>
          <t>JÄMTLANDS LÄN</t>
        </is>
      </c>
      <c r="E1161" t="inlineStr">
        <is>
          <t>ÖSTERSUND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21704-2025</t>
        </is>
      </c>
      <c r="B1162" s="1" t="n">
        <v>45783</v>
      </c>
      <c r="C1162" s="1" t="n">
        <v>45807</v>
      </c>
      <c r="D1162" t="inlineStr">
        <is>
          <t>JÄMTLANDS LÄN</t>
        </is>
      </c>
      <c r="E1162" t="inlineStr">
        <is>
          <t>ÖSTERSUND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22384-2025</t>
        </is>
      </c>
      <c r="B1163" s="1" t="n">
        <v>45786</v>
      </c>
      <c r="C1163" s="1" t="n">
        <v>45807</v>
      </c>
      <c r="D1163" t="inlineStr">
        <is>
          <t>JÄMTLANDS LÄN</t>
        </is>
      </c>
      <c r="E1163" t="inlineStr">
        <is>
          <t>ÖSTERSUND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22822-2025</t>
        </is>
      </c>
      <c r="B1164" s="1" t="n">
        <v>45789</v>
      </c>
      <c r="C1164" s="1" t="n">
        <v>45807</v>
      </c>
      <c r="D1164" t="inlineStr">
        <is>
          <t>JÄMTLANDS LÄN</t>
        </is>
      </c>
      <c r="E1164" t="inlineStr">
        <is>
          <t>ÖSTERSUND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22713-2025</t>
        </is>
      </c>
      <c r="B1165" s="1" t="n">
        <v>45789</v>
      </c>
      <c r="C1165" s="1" t="n">
        <v>45807</v>
      </c>
      <c r="D1165" t="inlineStr">
        <is>
          <t>JÄMTLANDS LÄN</t>
        </is>
      </c>
      <c r="E1165" t="inlineStr">
        <is>
          <t>ÖSTERSUND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45807</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45807</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45807</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22920-2025</t>
        </is>
      </c>
      <c r="B1169" s="1" t="n">
        <v>45790</v>
      </c>
      <c r="C1169" s="1" t="n">
        <v>45807</v>
      </c>
      <c r="D1169" t="inlineStr">
        <is>
          <t>JÄMTLANDS LÄN</t>
        </is>
      </c>
      <c r="E1169" t="inlineStr">
        <is>
          <t>ÖSTERSUND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23078-2025</t>
        </is>
      </c>
      <c r="B1170" s="1" t="n">
        <v>45791</v>
      </c>
      <c r="C1170" s="1" t="n">
        <v>45807</v>
      </c>
      <c r="D1170" t="inlineStr">
        <is>
          <t>JÄMTLANDS LÄN</t>
        </is>
      </c>
      <c r="E1170" t="inlineStr">
        <is>
          <t>ÖSTERSUND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23110-2025</t>
        </is>
      </c>
      <c r="B1171" s="1" t="n">
        <v>45791</v>
      </c>
      <c r="C1171" s="1" t="n">
        <v>45807</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23249-2025</t>
        </is>
      </c>
      <c r="B1172" s="1" t="n">
        <v>45791</v>
      </c>
      <c r="C1172" s="1" t="n">
        <v>45807</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23100-2025</t>
        </is>
      </c>
      <c r="B1173" s="1" t="n">
        <v>45791</v>
      </c>
      <c r="C1173" s="1" t="n">
        <v>45807</v>
      </c>
      <c r="D1173" t="inlineStr">
        <is>
          <t>JÄMTLANDS LÄN</t>
        </is>
      </c>
      <c r="E1173" t="inlineStr">
        <is>
          <t>ÖSTERSUND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23877-2025</t>
        </is>
      </c>
      <c r="B1174" s="1" t="n">
        <v>45793</v>
      </c>
      <c r="C1174" s="1" t="n">
        <v>45807</v>
      </c>
      <c r="D1174" t="inlineStr">
        <is>
          <t>JÄMTLANDS LÄN</t>
        </is>
      </c>
      <c r="E1174" t="inlineStr">
        <is>
          <t>ÖSTERSUND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24091-2025</t>
        </is>
      </c>
      <c r="B1175" s="1" t="n">
        <v>45796</v>
      </c>
      <c r="C1175" s="1" t="n">
        <v>45807</v>
      </c>
      <c r="D1175" t="inlineStr">
        <is>
          <t>JÄMTLANDS LÄN</t>
        </is>
      </c>
      <c r="E1175" t="inlineStr">
        <is>
          <t>ÖSTERSUND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24403-2025</t>
        </is>
      </c>
      <c r="B1176" s="1" t="n">
        <v>45797</v>
      </c>
      <c r="C1176" s="1" t="n">
        <v>45807</v>
      </c>
      <c r="D1176" t="inlineStr">
        <is>
          <t>JÄMTLANDS LÄN</t>
        </is>
      </c>
      <c r="E1176" t="inlineStr">
        <is>
          <t>ÖSTERSUND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24368-2025</t>
        </is>
      </c>
      <c r="B1177" s="1" t="n">
        <v>45797</v>
      </c>
      <c r="C1177" s="1" t="n">
        <v>45807</v>
      </c>
      <c r="D1177" t="inlineStr">
        <is>
          <t>JÄMTLANDS LÄN</t>
        </is>
      </c>
      <c r="E1177" t="inlineStr">
        <is>
          <t>ÖSTERSUND</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24568-2025</t>
        </is>
      </c>
      <c r="B1178" s="1" t="n">
        <v>45798</v>
      </c>
      <c r="C1178" s="1" t="n">
        <v>45807</v>
      </c>
      <c r="D1178" t="inlineStr">
        <is>
          <t>JÄMTLANDS LÄN</t>
        </is>
      </c>
      <c r="E1178" t="inlineStr">
        <is>
          <t>ÖSTERSUND</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24523-2025</t>
        </is>
      </c>
      <c r="B1179" s="1" t="n">
        <v>45798</v>
      </c>
      <c r="C1179" s="1" t="n">
        <v>45807</v>
      </c>
      <c r="D1179" t="inlineStr">
        <is>
          <t>JÄMTLANDS LÄN</t>
        </is>
      </c>
      <c r="E1179" t="inlineStr">
        <is>
          <t>ÖSTERSUND</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25059-2025</t>
        </is>
      </c>
      <c r="B1180" s="1" t="n">
        <v>45799</v>
      </c>
      <c r="C1180" s="1" t="n">
        <v>45807</v>
      </c>
      <c r="D1180" t="inlineStr">
        <is>
          <t>JÄMTLANDS LÄN</t>
        </is>
      </c>
      <c r="E1180" t="inlineStr">
        <is>
          <t>ÖSTERSUND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24725-2025</t>
        </is>
      </c>
      <c r="B1181" s="1" t="n">
        <v>45799</v>
      </c>
      <c r="C1181" s="1" t="n">
        <v>45807</v>
      </c>
      <c r="D1181" t="inlineStr">
        <is>
          <t>JÄMTLANDS LÄN</t>
        </is>
      </c>
      <c r="E1181" t="inlineStr">
        <is>
          <t>ÖSTERSUND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25058-2025</t>
        </is>
      </c>
      <c r="B1182" s="1" t="n">
        <v>45799</v>
      </c>
      <c r="C1182" s="1" t="n">
        <v>45807</v>
      </c>
      <c r="D1182" t="inlineStr">
        <is>
          <t>JÄMTLANDS LÄN</t>
        </is>
      </c>
      <c r="E1182" t="inlineStr">
        <is>
          <t>ÖSTERSUND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45807</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45807</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25228-2025</t>
        </is>
      </c>
      <c r="B1185" s="1" t="n">
        <v>45800</v>
      </c>
      <c r="C1185" s="1" t="n">
        <v>45807</v>
      </c>
      <c r="D1185" t="inlineStr">
        <is>
          <t>JÄMTLANDS LÄN</t>
        </is>
      </c>
      <c r="E1185" t="inlineStr">
        <is>
          <t>ÖSTERSUND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25210-2025</t>
        </is>
      </c>
      <c r="B1186" s="1" t="n">
        <v>45800</v>
      </c>
      <c r="C1186" s="1" t="n">
        <v>45807</v>
      </c>
      <c r="D1186" t="inlineStr">
        <is>
          <t>JÄMTLANDS LÄN</t>
        </is>
      </c>
      <c r="E1186" t="inlineStr">
        <is>
          <t>ÖSTERSUND</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25221-2025</t>
        </is>
      </c>
      <c r="B1187" s="1" t="n">
        <v>45800</v>
      </c>
      <c r="C1187" s="1" t="n">
        <v>45807</v>
      </c>
      <c r="D1187" t="inlineStr">
        <is>
          <t>JÄMTLANDS LÄN</t>
        </is>
      </c>
      <c r="E1187" t="inlineStr">
        <is>
          <t>ÖSTERSUND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25244-2025</t>
        </is>
      </c>
      <c r="B1188" s="1" t="n">
        <v>45800</v>
      </c>
      <c r="C1188" s="1" t="n">
        <v>45807</v>
      </c>
      <c r="D1188" t="inlineStr">
        <is>
          <t>JÄMTLANDS LÄN</t>
        </is>
      </c>
      <c r="E1188" t="inlineStr">
        <is>
          <t>ÖSTERSUND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45807</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25572-2025</t>
        </is>
      </c>
      <c r="B1190" s="1" t="n">
        <v>45803</v>
      </c>
      <c r="C1190" s="1" t="n">
        <v>45807</v>
      </c>
      <c r="D1190" t="inlineStr">
        <is>
          <t>JÄMTLANDS LÄN</t>
        </is>
      </c>
      <c r="E1190" t="inlineStr">
        <is>
          <t>ÖSTERSUND</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25978-2025</t>
        </is>
      </c>
      <c r="B1191" s="1" t="n">
        <v>45804</v>
      </c>
      <c r="C1191" s="1" t="n">
        <v>45807</v>
      </c>
      <c r="D1191" t="inlineStr">
        <is>
          <t>JÄMTLANDS LÄN</t>
        </is>
      </c>
      <c r="E1191" t="inlineStr">
        <is>
          <t>ÖSTERSUND</t>
        </is>
      </c>
      <c r="F1191" t="inlineStr">
        <is>
          <t>SCA</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25995-2025</t>
        </is>
      </c>
      <c r="B1192" s="1" t="n">
        <v>45804</v>
      </c>
      <c r="C1192" s="1" t="n">
        <v>45807</v>
      </c>
      <c r="D1192" t="inlineStr">
        <is>
          <t>JÄMTLANDS LÄN</t>
        </is>
      </c>
      <c r="E1192" t="inlineStr">
        <is>
          <t>ÖSTERSUND</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25992-2025</t>
        </is>
      </c>
      <c r="B1193" s="1" t="n">
        <v>45804</v>
      </c>
      <c r="C1193" s="1" t="n">
        <v>45807</v>
      </c>
      <c r="D1193" t="inlineStr">
        <is>
          <t>JÄMTLANDS LÄN</t>
        </is>
      </c>
      <c r="E1193" t="inlineStr">
        <is>
          <t>ÖSTERSUND</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26144-2025</t>
        </is>
      </c>
      <c r="B1194" s="1" t="n">
        <v>45805</v>
      </c>
      <c r="C1194" s="1" t="n">
        <v>45807</v>
      </c>
      <c r="D1194" t="inlineStr">
        <is>
          <t>JÄMTLANDS LÄN</t>
        </is>
      </c>
      <c r="E1194" t="inlineStr">
        <is>
          <t>ÖSTERSUND</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26372-2025</t>
        </is>
      </c>
      <c r="B1195" s="1" t="n">
        <v>45806</v>
      </c>
      <c r="C1195" s="1" t="n">
        <v>45807</v>
      </c>
      <c r="D1195" t="inlineStr">
        <is>
          <t>JÄMTLANDS LÄN</t>
        </is>
      </c>
      <c r="E1195" t="inlineStr">
        <is>
          <t>ÖSTERSUND</t>
        </is>
      </c>
      <c r="G1195" t="n">
        <v>4.3</v>
      </c>
      <c r="H1195" t="n">
        <v>0</v>
      </c>
      <c r="I1195" t="n">
        <v>0</v>
      </c>
      <c r="J1195" t="n">
        <v>0</v>
      </c>
      <c r="K1195" t="n">
        <v>0</v>
      </c>
      <c r="L1195" t="n">
        <v>0</v>
      </c>
      <c r="M1195" t="n">
        <v>0</v>
      </c>
      <c r="N1195" t="n">
        <v>0</v>
      </c>
      <c r="O1195" t="n">
        <v>0</v>
      </c>
      <c r="P1195" t="n">
        <v>0</v>
      </c>
      <c r="Q1195" t="n">
        <v>0</v>
      </c>
      <c r="R1195" s="2" t="inlineStr"/>
    </row>
    <row r="1196">
      <c r="A1196" t="inlineStr">
        <is>
          <t>A 26373-2025</t>
        </is>
      </c>
      <c r="B1196" s="1" t="n">
        <v>45806</v>
      </c>
      <c r="C1196" s="1" t="n">
        <v>45807</v>
      </c>
      <c r="D1196" t="inlineStr">
        <is>
          <t>JÄMTLANDS LÄN</t>
        </is>
      </c>
      <c r="E1196" t="inlineStr">
        <is>
          <t>ÖSTERSUND</t>
        </is>
      </c>
      <c r="G1196" t="n">
        <v>3.6</v>
      </c>
      <c r="H1196" t="n">
        <v>0</v>
      </c>
      <c r="I1196" t="n">
        <v>0</v>
      </c>
      <c r="J1196" t="n">
        <v>0</v>
      </c>
      <c r="K1196" t="n">
        <v>0</v>
      </c>
      <c r="L1196" t="n">
        <v>0</v>
      </c>
      <c r="M1196" t="n">
        <v>0</v>
      </c>
      <c r="N1196" t="n">
        <v>0</v>
      </c>
      <c r="O1196" t="n">
        <v>0</v>
      </c>
      <c r="P1196" t="n">
        <v>0</v>
      </c>
      <c r="Q1196" t="n">
        <v>0</v>
      </c>
      <c r="R1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2025-05-30T17:55:25Z</dcterms:created>
  <dcterms:modified xmlns:dcterms="http://purl.org/dc/terms/" xmlns:xsi="http://www.w3.org/2001/XMLSchema-instance" xsi:type="dcterms:W3CDTF">2025-05-30T17:55:26Z</dcterms:modified>
</cp:coreProperties>
</file>