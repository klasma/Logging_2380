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46020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46020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46020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46020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46020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46020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46020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46020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46020</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46020</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46020</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46020</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46020</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45932.58673611111</v>
      </c>
      <c r="C16" s="1" t="n">
        <v>46020</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46020</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46020</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46020</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46020</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47128-2025</t>
        </is>
      </c>
      <c r="B21" s="1" t="n">
        <v>45929</v>
      </c>
      <c r="C21" s="1" t="n">
        <v>46020</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46020</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46020</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46020</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46020</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46020</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46020</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46020</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46020</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7457-2023</t>
        </is>
      </c>
      <c r="B30" s="1" t="n">
        <v>44971</v>
      </c>
      <c r="C30" s="1" t="n">
        <v>46020</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46020</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46020</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46020</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46020</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27907-2024</t>
        </is>
      </c>
      <c r="B35" s="1" t="n">
        <v>45475.94597222222</v>
      </c>
      <c r="C35" s="1" t="n">
        <v>46020</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46020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46020</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34816-2024</t>
        </is>
      </c>
      <c r="B38" s="1" t="n">
        <v>45526</v>
      </c>
      <c r="C38" s="1" t="n">
        <v>46020</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21753-2023</t>
        </is>
      </c>
      <c r="B39" s="1" t="n">
        <v>45063</v>
      </c>
      <c r="C39" s="1" t="n">
        <v>46020</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17716-2024</t>
        </is>
      </c>
      <c r="B40" s="1" t="n">
        <v>45415</v>
      </c>
      <c r="C40" s="1" t="n">
        <v>46020</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55039-2025</t>
        </is>
      </c>
      <c r="B41" s="1" t="n">
        <v>45967.65594907408</v>
      </c>
      <c r="C41" s="1" t="n">
        <v>46020</v>
      </c>
      <c r="D41" t="inlineStr">
        <is>
          <t>JÄMTLANDS LÄN</t>
        </is>
      </c>
      <c r="E41" t="inlineStr">
        <is>
          <t>ÖSTERSUND</t>
        </is>
      </c>
      <c r="G41" t="n">
        <v>19.6</v>
      </c>
      <c r="H41" t="n">
        <v>5</v>
      </c>
      <c r="I41" t="n">
        <v>1</v>
      </c>
      <c r="J41" t="n">
        <v>5</v>
      </c>
      <c r="K41" t="n">
        <v>0</v>
      </c>
      <c r="L41" t="n">
        <v>0</v>
      </c>
      <c r="M41" t="n">
        <v>0</v>
      </c>
      <c r="N41" t="n">
        <v>0</v>
      </c>
      <c r="O41" t="n">
        <v>5</v>
      </c>
      <c r="P41" t="n">
        <v>0</v>
      </c>
      <c r="Q41" t="n">
        <v>8</v>
      </c>
      <c r="R41" s="2" t="inlineStr">
        <is>
          <t>Garnlav
Granticka
Harticka
Järpe
Spillkråka
Guckusko
Lavskrika
Revlummer</t>
        </is>
      </c>
      <c r="S41">
        <f>HYPERLINK("https://klasma.github.io/Logging_2380/artfynd/A 55039-2025 artfynd.xlsx", "A 55039-2025")</f>
        <v/>
      </c>
      <c r="T41">
        <f>HYPERLINK("https://klasma.github.io/Logging_2380/kartor/A 55039-2025 karta.png", "A 55039-2025")</f>
        <v/>
      </c>
      <c r="V41">
        <f>HYPERLINK("https://klasma.github.io/Logging_2380/klagomål/A 55039-2025 FSC-klagomål.docx", "A 55039-2025")</f>
        <v/>
      </c>
      <c r="W41">
        <f>HYPERLINK("https://klasma.github.io/Logging_2380/klagomålsmail/A 55039-2025 FSC-klagomål mail.docx", "A 55039-2025")</f>
        <v/>
      </c>
      <c r="X41">
        <f>HYPERLINK("https://klasma.github.io/Logging_2380/tillsyn/A 55039-2025 tillsynsbegäran.docx", "A 55039-2025")</f>
        <v/>
      </c>
      <c r="Y41">
        <f>HYPERLINK("https://klasma.github.io/Logging_2380/tillsynsmail/A 55039-2025 tillsynsbegäran mail.docx", "A 55039-2025")</f>
        <v/>
      </c>
      <c r="Z41">
        <f>HYPERLINK("https://klasma.github.io/Logging_2380/fåglar/A 55039-2025 prioriterade fågelarter.docx", "A 55039-2025")</f>
        <v/>
      </c>
    </row>
    <row r="42" ht="15" customHeight="1">
      <c r="A42" t="inlineStr">
        <is>
          <t>A 56648-2025</t>
        </is>
      </c>
      <c r="B42" s="1" t="n">
        <v>45975.63604166666</v>
      </c>
      <c r="C42" s="1" t="n">
        <v>46020</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10744-2024</t>
        </is>
      </c>
      <c r="B43" s="1" t="n">
        <v>45369</v>
      </c>
      <c r="C43" s="1" t="n">
        <v>46020</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46020</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46020</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46020</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46020</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46020</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50529-2025</t>
        </is>
      </c>
      <c r="B49" s="1" t="n">
        <v>45945.47331018518</v>
      </c>
      <c r="C49" s="1" t="n">
        <v>46020</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48736-2025</t>
        </is>
      </c>
      <c r="B50" s="1" t="n">
        <v>45936.66547453704</v>
      </c>
      <c r="C50" s="1" t="n">
        <v>46020</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52297-2025</t>
        </is>
      </c>
      <c r="B51" s="1" t="n">
        <v>45953.61092592592</v>
      </c>
      <c r="C51" s="1" t="n">
        <v>46020</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53292-2025</t>
        </is>
      </c>
      <c r="B52" s="1" t="n">
        <v>45958</v>
      </c>
      <c r="C52" s="1" t="n">
        <v>46020</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46020</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46020</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46020</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16369-2023</t>
        </is>
      </c>
      <c r="B56" s="1" t="n">
        <v>45028</v>
      </c>
      <c r="C56" s="1" t="n">
        <v>46020</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46020</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46020</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46020</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46020</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46020</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46020</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24523-2021</t>
        </is>
      </c>
      <c r="B63" s="1" t="n">
        <v>44337</v>
      </c>
      <c r="C63" s="1" t="n">
        <v>46020</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61212-2025</t>
        </is>
      </c>
      <c r="B64" s="1" t="n">
        <v>46000.61640046296</v>
      </c>
      <c r="C64" s="1" t="n">
        <v>46020</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3995-2025</t>
        </is>
      </c>
      <c r="B65" s="1" t="n">
        <v>45684</v>
      </c>
      <c r="C65" s="1" t="n">
        <v>46020</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46020</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46020</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46020</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46020</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46020</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46020</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54731-2024</t>
        </is>
      </c>
      <c r="B72" s="1" t="n">
        <v>45618.43853009259</v>
      </c>
      <c r="C72" s="1" t="n">
        <v>46020</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62060-2025</t>
        </is>
      </c>
      <c r="B73" s="1" t="n">
        <v>46006.34435185185</v>
      </c>
      <c r="C73" s="1" t="n">
        <v>46020</v>
      </c>
      <c r="D73" t="inlineStr">
        <is>
          <t>JÄMTLANDS LÄN</t>
        </is>
      </c>
      <c r="E73" t="inlineStr">
        <is>
          <t>ÖSTERSUND</t>
        </is>
      </c>
      <c r="F73" t="inlineStr">
        <is>
          <t>SCA</t>
        </is>
      </c>
      <c r="G73" t="n">
        <v>6</v>
      </c>
      <c r="H73" t="n">
        <v>1</v>
      </c>
      <c r="I73" t="n">
        <v>3</v>
      </c>
      <c r="J73" t="n">
        <v>2</v>
      </c>
      <c r="K73" t="n">
        <v>0</v>
      </c>
      <c r="L73" t="n">
        <v>0</v>
      </c>
      <c r="M73" t="n">
        <v>0</v>
      </c>
      <c r="N73" t="n">
        <v>0</v>
      </c>
      <c r="O73" t="n">
        <v>2</v>
      </c>
      <c r="P73" t="n">
        <v>0</v>
      </c>
      <c r="Q73" t="n">
        <v>5</v>
      </c>
      <c r="R73" s="2" t="inlineStr">
        <is>
          <t>Skrovlig taggsvamp
Tretåig hackspett
Dropptaggsvamp
Fjällig taggsvamp s.str.
Skarp dropptaggsvamp</t>
        </is>
      </c>
      <c r="S73">
        <f>HYPERLINK("https://klasma.github.io/Logging_2380/artfynd/A 62060-2025 artfynd.xlsx", "A 62060-2025")</f>
        <v/>
      </c>
      <c r="T73">
        <f>HYPERLINK("https://klasma.github.io/Logging_2380/kartor/A 62060-2025 karta.png", "A 62060-2025")</f>
        <v/>
      </c>
      <c r="V73">
        <f>HYPERLINK("https://klasma.github.io/Logging_2380/klagomål/A 62060-2025 FSC-klagomål.docx", "A 62060-2025")</f>
        <v/>
      </c>
      <c r="W73">
        <f>HYPERLINK("https://klasma.github.io/Logging_2380/klagomålsmail/A 62060-2025 FSC-klagomål mail.docx", "A 62060-2025")</f>
        <v/>
      </c>
      <c r="X73">
        <f>HYPERLINK("https://klasma.github.io/Logging_2380/tillsyn/A 62060-2025 tillsynsbegäran.docx", "A 62060-2025")</f>
        <v/>
      </c>
      <c r="Y73">
        <f>HYPERLINK("https://klasma.github.io/Logging_2380/tillsynsmail/A 62060-2025 tillsynsbegäran mail.docx", "A 62060-2025")</f>
        <v/>
      </c>
      <c r="Z73">
        <f>HYPERLINK("https://klasma.github.io/Logging_2380/fåglar/A 62060-2025 prioriterade fågelarter.docx", "A 62060-2025")</f>
        <v/>
      </c>
    </row>
    <row r="74" ht="15" customHeight="1">
      <c r="A74" t="inlineStr">
        <is>
          <t>A 56934-2025</t>
        </is>
      </c>
      <c r="B74" s="1" t="n">
        <v>45978.61351851852</v>
      </c>
      <c r="C74" s="1" t="n">
        <v>46020</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56499-2025</t>
        </is>
      </c>
      <c r="B75" s="1" t="n">
        <v>45975.43427083334</v>
      </c>
      <c r="C75" s="1" t="n">
        <v>46020</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7717-2024</t>
        </is>
      </c>
      <c r="B76" s="1" t="n">
        <v>45349</v>
      </c>
      <c r="C76" s="1" t="n">
        <v>46020</v>
      </c>
      <c r="D76" t="inlineStr">
        <is>
          <t>JÄMTLANDS LÄN</t>
        </is>
      </c>
      <c r="E76" t="inlineStr">
        <is>
          <t>ÖSTERSUND</t>
        </is>
      </c>
      <c r="F76" t="inlineStr">
        <is>
          <t>Övriga Aktiebolag</t>
        </is>
      </c>
      <c r="G76" t="n">
        <v>2.5</v>
      </c>
      <c r="H76" t="n">
        <v>1</v>
      </c>
      <c r="I76" t="n">
        <v>1</v>
      </c>
      <c r="J76" t="n">
        <v>4</v>
      </c>
      <c r="K76" t="n">
        <v>0</v>
      </c>
      <c r="L76" t="n">
        <v>0</v>
      </c>
      <c r="M76" t="n">
        <v>0</v>
      </c>
      <c r="N76" t="n">
        <v>0</v>
      </c>
      <c r="O76" t="n">
        <v>4</v>
      </c>
      <c r="P76" t="n">
        <v>0</v>
      </c>
      <c r="Q76" t="n">
        <v>5</v>
      </c>
      <c r="R76" s="2" t="inlineStr">
        <is>
          <t>Garnlav
Lunglav
Skrovellav
Talltita
Stuplav</t>
        </is>
      </c>
      <c r="S76">
        <f>HYPERLINK("https://klasma.github.io/Logging_2380/artfynd/A 7717-2024 artfynd.xlsx", "A 7717-2024")</f>
        <v/>
      </c>
      <c r="T76">
        <f>HYPERLINK("https://klasma.github.io/Logging_2380/kartor/A 7717-2024 karta.png", "A 7717-2024")</f>
        <v/>
      </c>
      <c r="V76">
        <f>HYPERLINK("https://klasma.github.io/Logging_2380/klagomål/A 7717-2024 FSC-klagomål.docx", "A 7717-2024")</f>
        <v/>
      </c>
      <c r="W76">
        <f>HYPERLINK("https://klasma.github.io/Logging_2380/klagomålsmail/A 7717-2024 FSC-klagomål mail.docx", "A 7717-2024")</f>
        <v/>
      </c>
      <c r="X76">
        <f>HYPERLINK("https://klasma.github.io/Logging_2380/tillsyn/A 7717-2024 tillsynsbegäran.docx", "A 7717-2024")</f>
        <v/>
      </c>
      <c r="Y76">
        <f>HYPERLINK("https://klasma.github.io/Logging_2380/tillsynsmail/A 7717-2024 tillsynsbegäran mail.docx", "A 7717-2024")</f>
        <v/>
      </c>
      <c r="Z76">
        <f>HYPERLINK("https://klasma.github.io/Logging_2380/fåglar/A 7717-2024 prioriterade fågelarter.docx", "A 7717-2024")</f>
        <v/>
      </c>
    </row>
    <row r="77" ht="15" customHeight="1">
      <c r="A77" t="inlineStr">
        <is>
          <t>A 10747-2024</t>
        </is>
      </c>
      <c r="B77" s="1" t="n">
        <v>45369</v>
      </c>
      <c r="C77" s="1" t="n">
        <v>46020</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38334-2023</t>
        </is>
      </c>
      <c r="B78" s="1" t="n">
        <v>45161</v>
      </c>
      <c r="C78" s="1" t="n">
        <v>46020</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45979-2023</t>
        </is>
      </c>
      <c r="B79" s="1" t="n">
        <v>45189</v>
      </c>
      <c r="C79" s="1" t="n">
        <v>46020</v>
      </c>
      <c r="D79" t="inlineStr">
        <is>
          <t>JÄMTLANDS LÄN</t>
        </is>
      </c>
      <c r="E79" t="inlineStr">
        <is>
          <t>ÖSTERSUND</t>
        </is>
      </c>
      <c r="G79" t="n">
        <v>3.3</v>
      </c>
      <c r="H79" t="n">
        <v>3</v>
      </c>
      <c r="I79" t="n">
        <v>2</v>
      </c>
      <c r="J79" t="n">
        <v>0</v>
      </c>
      <c r="K79" t="n">
        <v>0</v>
      </c>
      <c r="L79" t="n">
        <v>1</v>
      </c>
      <c r="M79" t="n">
        <v>0</v>
      </c>
      <c r="N79" t="n">
        <v>0</v>
      </c>
      <c r="O79" t="n">
        <v>1</v>
      </c>
      <c r="P79" t="n">
        <v>1</v>
      </c>
      <c r="Q79" t="n">
        <v>5</v>
      </c>
      <c r="R79" s="2" t="inlineStr">
        <is>
          <t>Trolldruvemätare
Svart trolldruva
Tvåblad
Dactylorhiza incarnata subsp. incarnata
Ängsnycklar</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39941-2024</t>
        </is>
      </c>
      <c r="B80" s="1" t="n">
        <v>45553</v>
      </c>
      <c r="C80" s="1" t="n">
        <v>46020</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55344-2023</t>
        </is>
      </c>
      <c r="B81" s="1" t="n">
        <v>45237</v>
      </c>
      <c r="C81" s="1" t="n">
        <v>46020</v>
      </c>
      <c r="D81" t="inlineStr">
        <is>
          <t>JÄMTLANDS LÄN</t>
        </is>
      </c>
      <c r="E81" t="inlineStr">
        <is>
          <t>ÖSTERSUND</t>
        </is>
      </c>
      <c r="F81" t="inlineStr">
        <is>
          <t>SCA</t>
        </is>
      </c>
      <c r="G81" t="n">
        <v>1.5</v>
      </c>
      <c r="H81" t="n">
        <v>1</v>
      </c>
      <c r="I81" t="n">
        <v>1</v>
      </c>
      <c r="J81" t="n">
        <v>2</v>
      </c>
      <c r="K81" t="n">
        <v>1</v>
      </c>
      <c r="L81" t="n">
        <v>0</v>
      </c>
      <c r="M81" t="n">
        <v>0</v>
      </c>
      <c r="N81" t="n">
        <v>0</v>
      </c>
      <c r="O81" t="n">
        <v>3</v>
      </c>
      <c r="P81" t="n">
        <v>1</v>
      </c>
      <c r="Q81" t="n">
        <v>4</v>
      </c>
      <c r="R81" s="2" t="inlineStr">
        <is>
          <t>Lappuggla
Garnlav
Lunglav
Stuplav</t>
        </is>
      </c>
      <c r="S81">
        <f>HYPERLINK("https://klasma.github.io/Logging_2380/artfynd/A 55344-2023 artfynd.xlsx", "A 55344-2023")</f>
        <v/>
      </c>
      <c r="T81">
        <f>HYPERLINK("https://klasma.github.io/Logging_2380/kartor/A 55344-2023 karta.png", "A 55344-2023")</f>
        <v/>
      </c>
      <c r="V81">
        <f>HYPERLINK("https://klasma.github.io/Logging_2380/klagomål/A 55344-2023 FSC-klagomål.docx", "A 55344-2023")</f>
        <v/>
      </c>
      <c r="W81">
        <f>HYPERLINK("https://klasma.github.io/Logging_2380/klagomålsmail/A 55344-2023 FSC-klagomål mail.docx", "A 55344-2023")</f>
        <v/>
      </c>
      <c r="X81">
        <f>HYPERLINK("https://klasma.github.io/Logging_2380/tillsyn/A 55344-2023 tillsynsbegäran.docx", "A 55344-2023")</f>
        <v/>
      </c>
      <c r="Y81">
        <f>HYPERLINK("https://klasma.github.io/Logging_2380/tillsynsmail/A 55344-2023 tillsynsbegäran mail.docx", "A 55344-2023")</f>
        <v/>
      </c>
      <c r="Z81">
        <f>HYPERLINK("https://klasma.github.io/Logging_2380/fåglar/A 55344-2023 prioriterade fågelarter.docx", "A 55344-2023")</f>
        <v/>
      </c>
    </row>
    <row r="82" ht="15" customHeight="1">
      <c r="A82" t="inlineStr">
        <is>
          <t>A 25369-2024</t>
        </is>
      </c>
      <c r="B82" s="1" t="n">
        <v>45462.95982638889</v>
      </c>
      <c r="C82" s="1" t="n">
        <v>46020</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46020</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41493-2025</t>
        </is>
      </c>
      <c r="B84" s="1" t="n">
        <v>45901.49171296296</v>
      </c>
      <c r="C84" s="1" t="n">
        <v>46020</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46020</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57711-2025</t>
        </is>
      </c>
      <c r="B86" s="1" t="n">
        <v>45981.47217592593</v>
      </c>
      <c r="C86" s="1" t="n">
        <v>46020</v>
      </c>
      <c r="D86" t="inlineStr">
        <is>
          <t>JÄMTLANDS LÄN</t>
        </is>
      </c>
      <c r="E86" t="inlineStr">
        <is>
          <t>ÖSTERSUND</t>
        </is>
      </c>
      <c r="F86" t="inlineStr">
        <is>
          <t>Övriga Aktiebolag</t>
        </is>
      </c>
      <c r="G86" t="n">
        <v>2.6</v>
      </c>
      <c r="H86" t="n">
        <v>0</v>
      </c>
      <c r="I86" t="n">
        <v>4</v>
      </c>
      <c r="J86" t="n">
        <v>0</v>
      </c>
      <c r="K86" t="n">
        <v>0</v>
      </c>
      <c r="L86" t="n">
        <v>0</v>
      </c>
      <c r="M86" t="n">
        <v>0</v>
      </c>
      <c r="N86" t="n">
        <v>0</v>
      </c>
      <c r="O86" t="n">
        <v>0</v>
      </c>
      <c r="P86" t="n">
        <v>0</v>
      </c>
      <c r="Q86" t="n">
        <v>4</v>
      </c>
      <c r="R86" s="2" t="inlineStr">
        <is>
          <t>Diskvaxskivling
Fjällig taggsvamp s.str.
Kransrams
Kryddspindling</t>
        </is>
      </c>
      <c r="S86">
        <f>HYPERLINK("https://klasma.github.io/Logging_2380/artfynd/A 57711-2025 artfynd.xlsx", "A 57711-2025")</f>
        <v/>
      </c>
      <c r="T86">
        <f>HYPERLINK("https://klasma.github.io/Logging_2380/kartor/A 57711-2025 karta.png", "A 57711-2025")</f>
        <v/>
      </c>
      <c r="V86">
        <f>HYPERLINK("https://klasma.github.io/Logging_2380/klagomål/A 57711-2025 FSC-klagomål.docx", "A 57711-2025")</f>
        <v/>
      </c>
      <c r="W86">
        <f>HYPERLINK("https://klasma.github.io/Logging_2380/klagomålsmail/A 57711-2025 FSC-klagomål mail.docx", "A 57711-2025")</f>
        <v/>
      </c>
      <c r="X86">
        <f>HYPERLINK("https://klasma.github.io/Logging_2380/tillsyn/A 57711-2025 tillsynsbegäran.docx", "A 57711-2025")</f>
        <v/>
      </c>
      <c r="Y86">
        <f>HYPERLINK("https://klasma.github.io/Logging_2380/tillsynsmail/A 57711-2025 tillsynsbegäran mail.docx", "A 57711-2025")</f>
        <v/>
      </c>
    </row>
    <row r="87" ht="15" customHeight="1">
      <c r="A87" t="inlineStr">
        <is>
          <t>A 49192-2025</t>
        </is>
      </c>
      <c r="B87" s="1" t="n">
        <v>45938.40790509259</v>
      </c>
      <c r="C87" s="1" t="n">
        <v>46020</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46020</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59291-2022</t>
        </is>
      </c>
      <c r="B89" s="1" t="n">
        <v>44904</v>
      </c>
      <c r="C89" s="1" t="n">
        <v>46020</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55258-2025</t>
        </is>
      </c>
      <c r="B90" s="1" t="n">
        <v>45968.6444212963</v>
      </c>
      <c r="C90" s="1" t="n">
        <v>46020</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56539-2025</t>
        </is>
      </c>
      <c r="B91" s="1" t="n">
        <v>45975.47357638889</v>
      </c>
      <c r="C91" s="1" t="n">
        <v>46020</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60580-2024</t>
        </is>
      </c>
      <c r="B92" s="1" t="n">
        <v>45644</v>
      </c>
      <c r="C92" s="1" t="n">
        <v>46020</v>
      </c>
      <c r="D92" t="inlineStr">
        <is>
          <t>JÄMTLANDS LÄN</t>
        </is>
      </c>
      <c r="E92" t="inlineStr">
        <is>
          <t>ÖSTERSUND</t>
        </is>
      </c>
      <c r="G92" t="n">
        <v>13.5</v>
      </c>
      <c r="H92" t="n">
        <v>2</v>
      </c>
      <c r="I92" t="n">
        <v>0</v>
      </c>
      <c r="J92" t="n">
        <v>4</v>
      </c>
      <c r="K92" t="n">
        <v>0</v>
      </c>
      <c r="L92" t="n">
        <v>0</v>
      </c>
      <c r="M92" t="n">
        <v>0</v>
      </c>
      <c r="N92" t="n">
        <v>0</v>
      </c>
      <c r="O92" t="n">
        <v>4</v>
      </c>
      <c r="P92" t="n">
        <v>0</v>
      </c>
      <c r="Q92" t="n">
        <v>4</v>
      </c>
      <c r="R92" s="2" t="inlineStr">
        <is>
          <t>Granticka
Lunglav
Spillkråka
Tretåig hackspett</t>
        </is>
      </c>
      <c r="S92">
        <f>HYPERLINK("https://klasma.github.io/Logging_2380/artfynd/A 60580-2024 artfynd.xlsx", "A 60580-2024")</f>
        <v/>
      </c>
      <c r="T92">
        <f>HYPERLINK("https://klasma.github.io/Logging_2380/kartor/A 60580-2024 karta.png", "A 60580-2024")</f>
        <v/>
      </c>
      <c r="V92">
        <f>HYPERLINK("https://klasma.github.io/Logging_2380/klagomål/A 60580-2024 FSC-klagomål.docx", "A 60580-2024")</f>
        <v/>
      </c>
      <c r="W92">
        <f>HYPERLINK("https://klasma.github.io/Logging_2380/klagomålsmail/A 60580-2024 FSC-klagomål mail.docx", "A 60580-2024")</f>
        <v/>
      </c>
      <c r="X92">
        <f>HYPERLINK("https://klasma.github.io/Logging_2380/tillsyn/A 60580-2024 tillsynsbegäran.docx", "A 60580-2024")</f>
        <v/>
      </c>
      <c r="Y92">
        <f>HYPERLINK("https://klasma.github.io/Logging_2380/tillsynsmail/A 60580-2024 tillsynsbegäran mail.docx", "A 60580-2024")</f>
        <v/>
      </c>
      <c r="Z92">
        <f>HYPERLINK("https://klasma.github.io/Logging_2380/fåglar/A 60580-2024 prioriterade fågelarter.docx", "A 60580-2024")</f>
        <v/>
      </c>
    </row>
    <row r="93" ht="15" customHeight="1">
      <c r="A93" t="inlineStr">
        <is>
          <t>A 29135-2022</t>
        </is>
      </c>
      <c r="B93" s="1" t="n">
        <v>44750</v>
      </c>
      <c r="C93" s="1" t="n">
        <v>46020</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38335-2023</t>
        </is>
      </c>
      <c r="B94" s="1" t="n">
        <v>45161</v>
      </c>
      <c r="C94" s="1" t="n">
        <v>46020</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54421-2021</t>
        </is>
      </c>
      <c r="B95" s="1" t="n">
        <v>44473.43114583333</v>
      </c>
      <c r="C95" s="1" t="n">
        <v>46020</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50895-2024</t>
        </is>
      </c>
      <c r="B96" s="1" t="n">
        <v>45602</v>
      </c>
      <c r="C96" s="1" t="n">
        <v>46020</v>
      </c>
      <c r="D96" t="inlineStr">
        <is>
          <t>JÄMTLANDS LÄN</t>
        </is>
      </c>
      <c r="E96" t="inlineStr">
        <is>
          <t>ÖSTERSUND</t>
        </is>
      </c>
      <c r="F96" t="inlineStr">
        <is>
          <t>Kommuner</t>
        </is>
      </c>
      <c r="G96" t="n">
        <v>6</v>
      </c>
      <c r="H96" t="n">
        <v>2</v>
      </c>
      <c r="I96" t="n">
        <v>0</v>
      </c>
      <c r="J96" t="n">
        <v>2</v>
      </c>
      <c r="K96" t="n">
        <v>1</v>
      </c>
      <c r="L96" t="n">
        <v>0</v>
      </c>
      <c r="M96" t="n">
        <v>0</v>
      </c>
      <c r="N96" t="n">
        <v>0</v>
      </c>
      <c r="O96" t="n">
        <v>3</v>
      </c>
      <c r="P96" t="n">
        <v>1</v>
      </c>
      <c r="Q96" t="n">
        <v>3</v>
      </c>
      <c r="R96" s="2" t="inlineStr">
        <is>
          <t>Knärot
Garnlav
Tretåig hackspett</t>
        </is>
      </c>
      <c r="S96">
        <f>HYPERLINK("https://klasma.github.io/Logging_2380/artfynd/A 50895-2024 artfynd.xlsx", "A 50895-2024")</f>
        <v/>
      </c>
      <c r="T96">
        <f>HYPERLINK("https://klasma.github.io/Logging_2380/kartor/A 50895-2024 karta.png", "A 50895-2024")</f>
        <v/>
      </c>
      <c r="U96">
        <f>HYPERLINK("https://klasma.github.io/Logging_2380/knärot/A 50895-2024 karta knärot.png", "A 50895-2024")</f>
        <v/>
      </c>
      <c r="V96">
        <f>HYPERLINK("https://klasma.github.io/Logging_2380/klagomål/A 50895-2024 FSC-klagomål.docx", "A 50895-2024")</f>
        <v/>
      </c>
      <c r="W96">
        <f>HYPERLINK("https://klasma.github.io/Logging_2380/klagomålsmail/A 50895-2024 FSC-klagomål mail.docx", "A 50895-2024")</f>
        <v/>
      </c>
      <c r="X96">
        <f>HYPERLINK("https://klasma.github.io/Logging_2380/tillsyn/A 50895-2024 tillsynsbegäran.docx", "A 50895-2024")</f>
        <v/>
      </c>
      <c r="Y96">
        <f>HYPERLINK("https://klasma.github.io/Logging_2380/tillsynsmail/A 50895-2024 tillsynsbegäran mail.docx", "A 50895-2024")</f>
        <v/>
      </c>
      <c r="Z96">
        <f>HYPERLINK("https://klasma.github.io/Logging_2380/fåglar/A 50895-2024 prioriterade fågelarter.docx", "A 50895-2024")</f>
        <v/>
      </c>
    </row>
    <row r="97" ht="15" customHeight="1">
      <c r="A97" t="inlineStr">
        <is>
          <t>A 43981-2023</t>
        </is>
      </c>
      <c r="B97" s="1" t="n">
        <v>45187</v>
      </c>
      <c r="C97" s="1" t="n">
        <v>46020</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7965-2025</t>
        </is>
      </c>
      <c r="B98" s="1" t="n">
        <v>45707.45219907408</v>
      </c>
      <c r="C98" s="1" t="n">
        <v>46020</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36742-2024</t>
        </is>
      </c>
      <c r="B99" s="1" t="n">
        <v>45538.33584490741</v>
      </c>
      <c r="C99" s="1" t="n">
        <v>46020</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3846-2024</t>
        </is>
      </c>
      <c r="B100" s="1" t="n">
        <v>45321</v>
      </c>
      <c r="C100" s="1" t="n">
        <v>46020</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36806-2025</t>
        </is>
      </c>
      <c r="B101" s="1" t="n">
        <v>45873.69988425926</v>
      </c>
      <c r="C101" s="1" t="n">
        <v>46020</v>
      </c>
      <c r="D101" t="inlineStr">
        <is>
          <t>JÄMTLANDS LÄN</t>
        </is>
      </c>
      <c r="E101" t="inlineStr">
        <is>
          <t>ÖSTERSUND</t>
        </is>
      </c>
      <c r="G101" t="n">
        <v>9.800000000000001</v>
      </c>
      <c r="H101" t="n">
        <v>2</v>
      </c>
      <c r="I101" t="n">
        <v>2</v>
      </c>
      <c r="J101" t="n">
        <v>0</v>
      </c>
      <c r="K101" t="n">
        <v>0</v>
      </c>
      <c r="L101" t="n">
        <v>0</v>
      </c>
      <c r="M101" t="n">
        <v>0</v>
      </c>
      <c r="N101" t="n">
        <v>0</v>
      </c>
      <c r="O101" t="n">
        <v>0</v>
      </c>
      <c r="P101" t="n">
        <v>0</v>
      </c>
      <c r="Q101" t="n">
        <v>3</v>
      </c>
      <c r="R101" s="2" t="inlineStr">
        <is>
          <t>Grönkulla
Vårärt
Blåsippa</t>
        </is>
      </c>
      <c r="S101">
        <f>HYPERLINK("https://klasma.github.io/Logging_2380/artfynd/A 36806-2025 artfynd.xlsx", "A 36806-2025")</f>
        <v/>
      </c>
      <c r="T101">
        <f>HYPERLINK("https://klasma.github.io/Logging_2380/kartor/A 36806-2025 karta.png", "A 36806-2025")</f>
        <v/>
      </c>
      <c r="V101">
        <f>HYPERLINK("https://klasma.github.io/Logging_2380/klagomål/A 36806-2025 FSC-klagomål.docx", "A 36806-2025")</f>
        <v/>
      </c>
      <c r="W101">
        <f>HYPERLINK("https://klasma.github.io/Logging_2380/klagomålsmail/A 36806-2025 FSC-klagomål mail.docx", "A 36806-2025")</f>
        <v/>
      </c>
      <c r="X101">
        <f>HYPERLINK("https://klasma.github.io/Logging_2380/tillsyn/A 36806-2025 tillsynsbegäran.docx", "A 36806-2025")</f>
        <v/>
      </c>
      <c r="Y101">
        <f>HYPERLINK("https://klasma.github.io/Logging_2380/tillsynsmail/A 36806-2025 tillsynsbegäran mail.docx", "A 36806-2025")</f>
        <v/>
      </c>
    </row>
    <row r="102" ht="15" customHeight="1">
      <c r="A102" t="inlineStr">
        <is>
          <t>A 5100-2023</t>
        </is>
      </c>
      <c r="B102" s="1" t="n">
        <v>44956</v>
      </c>
      <c r="C102" s="1" t="n">
        <v>46020</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46020</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60565-2022</t>
        </is>
      </c>
      <c r="B104" s="1" t="n">
        <v>44904</v>
      </c>
      <c r="C104" s="1" t="n">
        <v>46020</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46705-2023</t>
        </is>
      </c>
      <c r="B105" s="1" t="n">
        <v>45198</v>
      </c>
      <c r="C105" s="1" t="n">
        <v>46020</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56647-2025</t>
        </is>
      </c>
      <c r="B106" s="1" t="n">
        <v>45975.63585648148</v>
      </c>
      <c r="C106" s="1" t="n">
        <v>46020</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60565-2022</t>
        </is>
      </c>
      <c r="B107" s="1" t="n">
        <v>44904</v>
      </c>
      <c r="C107" s="1" t="n">
        <v>46020</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40695-2024</t>
        </is>
      </c>
      <c r="B108" s="1" t="n">
        <v>45558</v>
      </c>
      <c r="C108" s="1" t="n">
        <v>46020</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53652-2024</t>
        </is>
      </c>
      <c r="B109" s="1" t="n">
        <v>45615.29761574074</v>
      </c>
      <c r="C109" s="1" t="n">
        <v>46020</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50125-2024</t>
        </is>
      </c>
      <c r="B110" s="1" t="n">
        <v>45600.42737268518</v>
      </c>
      <c r="C110" s="1" t="n">
        <v>46020</v>
      </c>
      <c r="D110" t="inlineStr">
        <is>
          <t>JÄMTLANDS LÄN</t>
        </is>
      </c>
      <c r="E110" t="inlineStr">
        <is>
          <t>ÖSTERSUND</t>
        </is>
      </c>
      <c r="F110" t="inlineStr">
        <is>
          <t>SCA</t>
        </is>
      </c>
      <c r="G110" t="n">
        <v>2.4</v>
      </c>
      <c r="H110" t="n">
        <v>0</v>
      </c>
      <c r="I110" t="n">
        <v>1</v>
      </c>
      <c r="J110" t="n">
        <v>1</v>
      </c>
      <c r="K110" t="n">
        <v>0</v>
      </c>
      <c r="L110" t="n">
        <v>0</v>
      </c>
      <c r="M110" t="n">
        <v>0</v>
      </c>
      <c r="N110" t="n">
        <v>0</v>
      </c>
      <c r="O110" t="n">
        <v>1</v>
      </c>
      <c r="P110" t="n">
        <v>0</v>
      </c>
      <c r="Q110" t="n">
        <v>2</v>
      </c>
      <c r="R110" s="2" t="inlineStr">
        <is>
          <t>Dvärgbägarlav
Skinnlav</t>
        </is>
      </c>
      <c r="S110">
        <f>HYPERLINK("https://klasma.github.io/Logging_2380/artfynd/A 50125-2024 artfynd.xlsx", "A 50125-2024")</f>
        <v/>
      </c>
      <c r="T110">
        <f>HYPERLINK("https://klasma.github.io/Logging_2380/kartor/A 50125-2024 karta.png", "A 50125-2024")</f>
        <v/>
      </c>
      <c r="V110">
        <f>HYPERLINK("https://klasma.github.io/Logging_2380/klagomål/A 50125-2024 FSC-klagomål.docx", "A 50125-2024")</f>
        <v/>
      </c>
      <c r="W110">
        <f>HYPERLINK("https://klasma.github.io/Logging_2380/klagomålsmail/A 50125-2024 FSC-klagomål mail.docx", "A 50125-2024")</f>
        <v/>
      </c>
      <c r="X110">
        <f>HYPERLINK("https://klasma.github.io/Logging_2380/tillsyn/A 50125-2024 tillsynsbegäran.docx", "A 50125-2024")</f>
        <v/>
      </c>
      <c r="Y110">
        <f>HYPERLINK("https://klasma.github.io/Logging_2380/tillsynsmail/A 50125-2024 tillsynsbegäran mail.docx", "A 50125-2024")</f>
        <v/>
      </c>
    </row>
    <row r="111" ht="15" customHeight="1">
      <c r="A111" t="inlineStr">
        <is>
          <t>A 60446-2024</t>
        </is>
      </c>
      <c r="B111" s="1" t="n">
        <v>45643.59420138889</v>
      </c>
      <c r="C111" s="1" t="n">
        <v>46020</v>
      </c>
      <c r="D111" t="inlineStr">
        <is>
          <t>JÄMTLANDS LÄN</t>
        </is>
      </c>
      <c r="E111" t="inlineStr">
        <is>
          <t>ÖSTERSUND</t>
        </is>
      </c>
      <c r="F111" t="inlineStr">
        <is>
          <t>SCA</t>
        </is>
      </c>
      <c r="G111" t="n">
        <v>3.6</v>
      </c>
      <c r="H111" t="n">
        <v>0</v>
      </c>
      <c r="I111" t="n">
        <v>1</v>
      </c>
      <c r="J111" t="n">
        <v>1</v>
      </c>
      <c r="K111" t="n">
        <v>0</v>
      </c>
      <c r="L111" t="n">
        <v>0</v>
      </c>
      <c r="M111" t="n">
        <v>0</v>
      </c>
      <c r="N111" t="n">
        <v>0</v>
      </c>
      <c r="O111" t="n">
        <v>1</v>
      </c>
      <c r="P111" t="n">
        <v>0</v>
      </c>
      <c r="Q111" t="n">
        <v>2</v>
      </c>
      <c r="R111" s="2" t="inlineStr">
        <is>
          <t>Ullticka
Vedticka</t>
        </is>
      </c>
      <c r="S111">
        <f>HYPERLINK("https://klasma.github.io/Logging_2380/artfynd/A 60446-2024 artfynd.xlsx", "A 60446-2024")</f>
        <v/>
      </c>
      <c r="T111">
        <f>HYPERLINK("https://klasma.github.io/Logging_2380/kartor/A 60446-2024 karta.png", "A 60446-2024")</f>
        <v/>
      </c>
      <c r="V111">
        <f>HYPERLINK("https://klasma.github.io/Logging_2380/klagomål/A 60446-2024 FSC-klagomål.docx", "A 60446-2024")</f>
        <v/>
      </c>
      <c r="W111">
        <f>HYPERLINK("https://klasma.github.io/Logging_2380/klagomålsmail/A 60446-2024 FSC-klagomål mail.docx", "A 60446-2024")</f>
        <v/>
      </c>
      <c r="X111">
        <f>HYPERLINK("https://klasma.github.io/Logging_2380/tillsyn/A 60446-2024 tillsynsbegäran.docx", "A 60446-2024")</f>
        <v/>
      </c>
      <c r="Y111">
        <f>HYPERLINK("https://klasma.github.io/Logging_2380/tillsynsmail/A 60446-2024 tillsynsbegäran mail.docx", "A 60446-2024")</f>
        <v/>
      </c>
    </row>
    <row r="112" ht="15" customHeight="1">
      <c r="A112" t="inlineStr">
        <is>
          <t>A 10529-2025</t>
        </is>
      </c>
      <c r="B112" s="1" t="n">
        <v>45721.44840277778</v>
      </c>
      <c r="C112" s="1" t="n">
        <v>46020</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40207-2025</t>
        </is>
      </c>
      <c r="B113" s="1" t="n">
        <v>45894.67988425926</v>
      </c>
      <c r="C113" s="1" t="n">
        <v>46020</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15700-2025</t>
        </is>
      </c>
      <c r="B114" s="1" t="n">
        <v>45748.47314814815</v>
      </c>
      <c r="C114" s="1" t="n">
        <v>46020</v>
      </c>
      <c r="D114" t="inlineStr">
        <is>
          <t>JÄMTLANDS LÄN</t>
        </is>
      </c>
      <c r="E114" t="inlineStr">
        <is>
          <t>ÖSTERSUND</t>
        </is>
      </c>
      <c r="G114" t="n">
        <v>0.9</v>
      </c>
      <c r="H114" t="n">
        <v>0</v>
      </c>
      <c r="I114" t="n">
        <v>2</v>
      </c>
      <c r="J114" t="n">
        <v>0</v>
      </c>
      <c r="K114" t="n">
        <v>0</v>
      </c>
      <c r="L114" t="n">
        <v>0</v>
      </c>
      <c r="M114" t="n">
        <v>0</v>
      </c>
      <c r="N114" t="n">
        <v>0</v>
      </c>
      <c r="O114" t="n">
        <v>0</v>
      </c>
      <c r="P114" t="n">
        <v>0</v>
      </c>
      <c r="Q114" t="n">
        <v>2</v>
      </c>
      <c r="R114" s="2" t="inlineStr">
        <is>
          <t>Brun klibbskivling
Droppklibbskivling</t>
        </is>
      </c>
      <c r="S114">
        <f>HYPERLINK("https://klasma.github.io/Logging_2380/artfynd/A 15700-2025 artfynd.xlsx", "A 15700-2025")</f>
        <v/>
      </c>
      <c r="T114">
        <f>HYPERLINK("https://klasma.github.io/Logging_2380/kartor/A 15700-2025 karta.png", "A 15700-2025")</f>
        <v/>
      </c>
      <c r="V114">
        <f>HYPERLINK("https://klasma.github.io/Logging_2380/klagomål/A 15700-2025 FSC-klagomål.docx", "A 15700-2025")</f>
        <v/>
      </c>
      <c r="W114">
        <f>HYPERLINK("https://klasma.github.io/Logging_2380/klagomålsmail/A 15700-2025 FSC-klagomål mail.docx", "A 15700-2025")</f>
        <v/>
      </c>
      <c r="X114">
        <f>HYPERLINK("https://klasma.github.io/Logging_2380/tillsyn/A 15700-2025 tillsynsbegäran.docx", "A 15700-2025")</f>
        <v/>
      </c>
      <c r="Y114">
        <f>HYPERLINK("https://klasma.github.io/Logging_2380/tillsynsmail/A 15700-2025 tillsynsbegäran mail.docx", "A 15700-2025")</f>
        <v/>
      </c>
    </row>
    <row r="115" ht="15" customHeight="1">
      <c r="A115" t="inlineStr">
        <is>
          <t>A 26612-2025</t>
        </is>
      </c>
      <c r="B115" s="1" t="n">
        <v>45810</v>
      </c>
      <c r="C115" s="1" t="n">
        <v>46020</v>
      </c>
      <c r="D115" t="inlineStr">
        <is>
          <t>JÄMTLANDS LÄN</t>
        </is>
      </c>
      <c r="E115" t="inlineStr">
        <is>
          <t>ÖSTERSUND</t>
        </is>
      </c>
      <c r="G115" t="n">
        <v>20.6</v>
      </c>
      <c r="H115" t="n">
        <v>1</v>
      </c>
      <c r="I115" t="n">
        <v>0</v>
      </c>
      <c r="J115" t="n">
        <v>0</v>
      </c>
      <c r="K115" t="n">
        <v>1</v>
      </c>
      <c r="L115" t="n">
        <v>1</v>
      </c>
      <c r="M115" t="n">
        <v>0</v>
      </c>
      <c r="N115" t="n">
        <v>0</v>
      </c>
      <c r="O115" t="n">
        <v>2</v>
      </c>
      <c r="P115" t="n">
        <v>2</v>
      </c>
      <c r="Q115" t="n">
        <v>2</v>
      </c>
      <c r="R115" s="2" t="inlineStr">
        <is>
          <t>Violett guldvinge
Turkos blåvinge</t>
        </is>
      </c>
      <c r="S115">
        <f>HYPERLINK("https://klasma.github.io/Logging_2380/artfynd/A 26612-2025 artfynd.xlsx", "A 26612-2025")</f>
        <v/>
      </c>
      <c r="T115">
        <f>HYPERLINK("https://klasma.github.io/Logging_2380/kartor/A 26612-2025 karta.png", "A 26612-2025")</f>
        <v/>
      </c>
      <c r="V115">
        <f>HYPERLINK("https://klasma.github.io/Logging_2380/klagomål/A 26612-2025 FSC-klagomål.docx", "A 26612-2025")</f>
        <v/>
      </c>
      <c r="W115">
        <f>HYPERLINK("https://klasma.github.io/Logging_2380/klagomålsmail/A 26612-2025 FSC-klagomål mail.docx", "A 26612-2025")</f>
        <v/>
      </c>
      <c r="X115">
        <f>HYPERLINK("https://klasma.github.io/Logging_2380/tillsyn/A 26612-2025 tillsynsbegäran.docx", "A 26612-2025")</f>
        <v/>
      </c>
      <c r="Y115">
        <f>HYPERLINK("https://klasma.github.io/Logging_2380/tillsynsmail/A 26612-2025 tillsynsbegäran mail.docx", "A 26612-2025")</f>
        <v/>
      </c>
    </row>
    <row r="116" ht="15" customHeight="1">
      <c r="A116" t="inlineStr">
        <is>
          <t>A 45237-2025</t>
        </is>
      </c>
      <c r="B116" s="1" t="n">
        <v>45919.59467592592</v>
      </c>
      <c r="C116" s="1" t="n">
        <v>46020</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58931-2025</t>
        </is>
      </c>
      <c r="B117" s="1" t="n">
        <v>45987.55831018519</v>
      </c>
      <c r="C117" s="1" t="n">
        <v>46020</v>
      </c>
      <c r="D117" t="inlineStr">
        <is>
          <t>JÄMTLANDS LÄN</t>
        </is>
      </c>
      <c r="E117" t="inlineStr">
        <is>
          <t>ÖSTERSUND</t>
        </is>
      </c>
      <c r="G117" t="n">
        <v>3.9</v>
      </c>
      <c r="H117" t="n">
        <v>2</v>
      </c>
      <c r="I117" t="n">
        <v>0</v>
      </c>
      <c r="J117" t="n">
        <v>0</v>
      </c>
      <c r="K117" t="n">
        <v>0</v>
      </c>
      <c r="L117" t="n">
        <v>0</v>
      </c>
      <c r="M117" t="n">
        <v>0</v>
      </c>
      <c r="N117" t="n">
        <v>0</v>
      </c>
      <c r="O117" t="n">
        <v>0</v>
      </c>
      <c r="P117" t="n">
        <v>0</v>
      </c>
      <c r="Q117" t="n">
        <v>2</v>
      </c>
      <c r="R117" s="2" t="inlineStr">
        <is>
          <t>Blåsippa
Revlummer</t>
        </is>
      </c>
      <c r="S117">
        <f>HYPERLINK("https://klasma.github.io/Logging_2380/artfynd/A 58931-2025 artfynd.xlsx", "A 58931-2025")</f>
        <v/>
      </c>
      <c r="T117">
        <f>HYPERLINK("https://klasma.github.io/Logging_2380/kartor/A 58931-2025 karta.png", "A 58931-2025")</f>
        <v/>
      </c>
      <c r="V117">
        <f>HYPERLINK("https://klasma.github.io/Logging_2380/klagomål/A 58931-2025 FSC-klagomål.docx", "A 58931-2025")</f>
        <v/>
      </c>
      <c r="W117">
        <f>HYPERLINK("https://klasma.github.io/Logging_2380/klagomålsmail/A 58931-2025 FSC-klagomål mail.docx", "A 58931-2025")</f>
        <v/>
      </c>
      <c r="X117">
        <f>HYPERLINK("https://klasma.github.io/Logging_2380/tillsyn/A 58931-2025 tillsynsbegäran.docx", "A 58931-2025")</f>
        <v/>
      </c>
      <c r="Y117">
        <f>HYPERLINK("https://klasma.github.io/Logging_2380/tillsynsmail/A 58931-2025 tillsynsbegäran mail.docx", "A 58931-2025")</f>
        <v/>
      </c>
    </row>
    <row r="118" ht="15" customHeight="1">
      <c r="A118" t="inlineStr">
        <is>
          <t>A 35977-2024</t>
        </is>
      </c>
      <c r="B118" s="1" t="n">
        <v>45533.49601851852</v>
      </c>
      <c r="C118" s="1" t="n">
        <v>46020</v>
      </c>
      <c r="D118" t="inlineStr">
        <is>
          <t>JÄMTLANDS LÄN</t>
        </is>
      </c>
      <c r="E118" t="inlineStr">
        <is>
          <t>ÖSTERSUND</t>
        </is>
      </c>
      <c r="G118" t="n">
        <v>0.7</v>
      </c>
      <c r="H118" t="n">
        <v>0</v>
      </c>
      <c r="I118" t="n">
        <v>2</v>
      </c>
      <c r="J118" t="n">
        <v>0</v>
      </c>
      <c r="K118" t="n">
        <v>0</v>
      </c>
      <c r="L118" t="n">
        <v>0</v>
      </c>
      <c r="M118" t="n">
        <v>0</v>
      </c>
      <c r="N118" t="n">
        <v>0</v>
      </c>
      <c r="O118" t="n">
        <v>0</v>
      </c>
      <c r="P118" t="n">
        <v>0</v>
      </c>
      <c r="Q118" t="n">
        <v>2</v>
      </c>
      <c r="R118" s="2" t="inlineStr">
        <is>
          <t>Tibast
Trådticka</t>
        </is>
      </c>
      <c r="S118">
        <f>HYPERLINK("https://klasma.github.io/Logging_2380/artfynd/A 35977-2024 artfynd.xlsx", "A 35977-2024")</f>
        <v/>
      </c>
      <c r="T118">
        <f>HYPERLINK("https://klasma.github.io/Logging_2380/kartor/A 35977-2024 karta.png", "A 35977-2024")</f>
        <v/>
      </c>
      <c r="V118">
        <f>HYPERLINK("https://klasma.github.io/Logging_2380/klagomål/A 35977-2024 FSC-klagomål.docx", "A 35977-2024")</f>
        <v/>
      </c>
      <c r="W118">
        <f>HYPERLINK("https://klasma.github.io/Logging_2380/klagomålsmail/A 35977-2024 FSC-klagomål mail.docx", "A 35977-2024")</f>
        <v/>
      </c>
      <c r="X118">
        <f>HYPERLINK("https://klasma.github.io/Logging_2380/tillsyn/A 35977-2024 tillsynsbegäran.docx", "A 35977-2024")</f>
        <v/>
      </c>
      <c r="Y118">
        <f>HYPERLINK("https://klasma.github.io/Logging_2380/tillsynsmail/A 35977-2024 tillsynsbegäran mail.docx", "A 35977-2024")</f>
        <v/>
      </c>
    </row>
    <row r="119" ht="15" customHeight="1">
      <c r="A119" t="inlineStr">
        <is>
          <t>A 54872-2025</t>
        </is>
      </c>
      <c r="B119" s="1" t="n">
        <v>45966.94104166667</v>
      </c>
      <c r="C119" s="1" t="n">
        <v>46020</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56750-2025</t>
        </is>
      </c>
      <c r="B120" s="1" t="n">
        <v>45975</v>
      </c>
      <c r="C120" s="1" t="n">
        <v>46020</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63930-2023</t>
        </is>
      </c>
      <c r="B121" s="1" t="n">
        <v>45278</v>
      </c>
      <c r="C121" s="1" t="n">
        <v>46020</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59793-2022</t>
        </is>
      </c>
      <c r="B122" s="1" t="n">
        <v>44908</v>
      </c>
      <c r="C122" s="1" t="n">
        <v>46020</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46105-2021</t>
        </is>
      </c>
      <c r="B123" s="1" t="n">
        <v>44441</v>
      </c>
      <c r="C123" s="1" t="n">
        <v>46020</v>
      </c>
      <c r="D123" t="inlineStr">
        <is>
          <t>JÄMTLANDS LÄN</t>
        </is>
      </c>
      <c r="E123" t="inlineStr">
        <is>
          <t>ÖSTERSUND</t>
        </is>
      </c>
      <c r="G123" t="n">
        <v>4.4</v>
      </c>
      <c r="H123" t="n">
        <v>2</v>
      </c>
      <c r="I123" t="n">
        <v>0</v>
      </c>
      <c r="J123" t="n">
        <v>1</v>
      </c>
      <c r="K123" t="n">
        <v>1</v>
      </c>
      <c r="L123" t="n">
        <v>0</v>
      </c>
      <c r="M123" t="n">
        <v>0</v>
      </c>
      <c r="N123" t="n">
        <v>0</v>
      </c>
      <c r="O123" t="n">
        <v>2</v>
      </c>
      <c r="P123" t="n">
        <v>1</v>
      </c>
      <c r="Q123" t="n">
        <v>2</v>
      </c>
      <c r="R123" s="2" t="inlineStr">
        <is>
          <t>Tallbit
Tretåig hackspett</t>
        </is>
      </c>
      <c r="S123">
        <f>HYPERLINK("https://klasma.github.io/Logging_2380/artfynd/A 46105-2021 artfynd.xlsx", "A 46105-2021")</f>
        <v/>
      </c>
      <c r="T123">
        <f>HYPERLINK("https://klasma.github.io/Logging_2380/kartor/A 46105-2021 karta.png", "A 46105-2021")</f>
        <v/>
      </c>
      <c r="V123">
        <f>HYPERLINK("https://klasma.github.io/Logging_2380/klagomål/A 46105-2021 FSC-klagomål.docx", "A 46105-2021")</f>
        <v/>
      </c>
      <c r="W123">
        <f>HYPERLINK("https://klasma.github.io/Logging_2380/klagomålsmail/A 46105-2021 FSC-klagomål mail.docx", "A 46105-2021")</f>
        <v/>
      </c>
      <c r="X123">
        <f>HYPERLINK("https://klasma.github.io/Logging_2380/tillsyn/A 46105-2021 tillsynsbegäran.docx", "A 46105-2021")</f>
        <v/>
      </c>
      <c r="Y123">
        <f>HYPERLINK("https://klasma.github.io/Logging_2380/tillsynsmail/A 46105-2021 tillsynsbegäran mail.docx", "A 46105-2021")</f>
        <v/>
      </c>
      <c r="Z123">
        <f>HYPERLINK("https://klasma.github.io/Logging_2380/fåglar/A 46105-2021 prioriterade fågelarter.docx", "A 46105-2021")</f>
        <v/>
      </c>
    </row>
    <row r="124" ht="15" customHeight="1">
      <c r="A124" t="inlineStr">
        <is>
          <t>A 47385-2022</t>
        </is>
      </c>
      <c r="B124" s="1" t="n">
        <v>44853</v>
      </c>
      <c r="C124" s="1" t="n">
        <v>46020</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60614-2022</t>
        </is>
      </c>
      <c r="B125" s="1" t="n">
        <v>44911</v>
      </c>
      <c r="C125" s="1" t="n">
        <v>46020</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52129-2023</t>
        </is>
      </c>
      <c r="B126" s="1" t="n">
        <v>45223</v>
      </c>
      <c r="C126" s="1" t="n">
        <v>46020</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4916-2023</t>
        </is>
      </c>
      <c r="B127" s="1" t="n">
        <v>44956</v>
      </c>
      <c r="C127" s="1" t="n">
        <v>46020</v>
      </c>
      <c r="D127" t="inlineStr">
        <is>
          <t>JÄMTLANDS LÄN</t>
        </is>
      </c>
      <c r="E127" t="inlineStr">
        <is>
          <t>ÖSTERSUND</t>
        </is>
      </c>
      <c r="G127" t="n">
        <v>1.2</v>
      </c>
      <c r="H127" t="n">
        <v>0</v>
      </c>
      <c r="I127" t="n">
        <v>1</v>
      </c>
      <c r="J127" t="n">
        <v>0</v>
      </c>
      <c r="K127" t="n">
        <v>0</v>
      </c>
      <c r="L127" t="n">
        <v>1</v>
      </c>
      <c r="M127" t="n">
        <v>0</v>
      </c>
      <c r="N127" t="n">
        <v>0</v>
      </c>
      <c r="O127" t="n">
        <v>1</v>
      </c>
      <c r="P127" t="n">
        <v>1</v>
      </c>
      <c r="Q127" t="n">
        <v>2</v>
      </c>
      <c r="R127" s="2" t="inlineStr">
        <is>
          <t>Trolldruvemätare
Svart trolldruva</t>
        </is>
      </c>
      <c r="S127">
        <f>HYPERLINK("https://klasma.github.io/Logging_2380/artfynd/A 4916-2023 artfynd.xlsx", "A 4916-2023")</f>
        <v/>
      </c>
      <c r="T127">
        <f>HYPERLINK("https://klasma.github.io/Logging_2380/kartor/A 4916-2023 karta.png", "A 4916-2023")</f>
        <v/>
      </c>
      <c r="V127">
        <f>HYPERLINK("https://klasma.github.io/Logging_2380/klagomål/A 4916-2023 FSC-klagomål.docx", "A 4916-2023")</f>
        <v/>
      </c>
      <c r="W127">
        <f>HYPERLINK("https://klasma.github.io/Logging_2380/klagomålsmail/A 4916-2023 FSC-klagomål mail.docx", "A 4916-2023")</f>
        <v/>
      </c>
      <c r="X127">
        <f>HYPERLINK("https://klasma.github.io/Logging_2380/tillsyn/A 4916-2023 tillsynsbegäran.docx", "A 4916-2023")</f>
        <v/>
      </c>
      <c r="Y127">
        <f>HYPERLINK("https://klasma.github.io/Logging_2380/tillsynsmail/A 4916-2023 tillsynsbegäran mail.docx", "A 4916-2023")</f>
        <v/>
      </c>
    </row>
    <row r="128" ht="15" customHeight="1">
      <c r="A128" t="inlineStr">
        <is>
          <t>A 21615-2024</t>
        </is>
      </c>
      <c r="B128" s="1" t="n">
        <v>45441.95357638889</v>
      </c>
      <c r="C128" s="1" t="n">
        <v>46020</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39968-2024</t>
        </is>
      </c>
      <c r="B129" s="1" t="n">
        <v>45553.59296296296</v>
      </c>
      <c r="C129" s="1" t="n">
        <v>46020</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56006-2023</t>
        </is>
      </c>
      <c r="B130" s="1" t="n">
        <v>45233</v>
      </c>
      <c r="C130" s="1" t="n">
        <v>46020</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13795-2025</t>
        </is>
      </c>
      <c r="B131" s="1" t="n">
        <v>45737</v>
      </c>
      <c r="C131" s="1" t="n">
        <v>46020</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60534-2022</t>
        </is>
      </c>
      <c r="B132" s="1" t="n">
        <v>44904</v>
      </c>
      <c r="C132" s="1" t="n">
        <v>46020</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33137-2021</t>
        </is>
      </c>
      <c r="B133" s="1" t="n">
        <v>44376</v>
      </c>
      <c r="C133" s="1" t="n">
        <v>46020</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46020</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46020</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46163-2021</t>
        </is>
      </c>
      <c r="B136" s="1" t="n">
        <v>44441</v>
      </c>
      <c r="C136" s="1" t="n">
        <v>46020</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27578-2022</t>
        </is>
      </c>
      <c r="B137" s="1" t="n">
        <v>44742</v>
      </c>
      <c r="C137" s="1" t="n">
        <v>46020</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59108-2024</t>
        </is>
      </c>
      <c r="B138" s="1" t="n">
        <v>45637.34469907408</v>
      </c>
      <c r="C138" s="1" t="n">
        <v>46020</v>
      </c>
      <c r="D138" t="inlineStr">
        <is>
          <t>JÄMTLANDS LÄN</t>
        </is>
      </c>
      <c r="E138" t="inlineStr">
        <is>
          <t>ÖSTERSUND</t>
        </is>
      </c>
      <c r="F138" t="inlineStr">
        <is>
          <t>SCA</t>
        </is>
      </c>
      <c r="G138" t="n">
        <v>10.6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59108-2024 artfynd.xlsx", "A 59108-2024")</f>
        <v/>
      </c>
      <c r="T138">
        <f>HYPERLINK("https://klasma.github.io/Logging_2380/kartor/A 59108-2024 karta.png", "A 59108-2024")</f>
        <v/>
      </c>
      <c r="V138">
        <f>HYPERLINK("https://klasma.github.io/Logging_2380/klagomål/A 59108-2024 FSC-klagomål.docx", "A 59108-2024")</f>
        <v/>
      </c>
      <c r="W138">
        <f>HYPERLINK("https://klasma.github.io/Logging_2380/klagomålsmail/A 59108-2024 FSC-klagomål mail.docx", "A 59108-2024")</f>
        <v/>
      </c>
      <c r="X138">
        <f>HYPERLINK("https://klasma.github.io/Logging_2380/tillsyn/A 59108-2024 tillsynsbegäran.docx", "A 59108-2024")</f>
        <v/>
      </c>
      <c r="Y138">
        <f>HYPERLINK("https://klasma.github.io/Logging_2380/tillsynsmail/A 59108-2024 tillsynsbegäran mail.docx", "A 59108-2024")</f>
        <v/>
      </c>
      <c r="Z138">
        <f>HYPERLINK("https://klasma.github.io/Logging_2380/fåglar/A 59108-2024 prioriterade fågelarter.docx", "A 59108-2024")</f>
        <v/>
      </c>
    </row>
    <row r="139" ht="15" customHeight="1">
      <c r="A139" t="inlineStr">
        <is>
          <t>A 40694-2024</t>
        </is>
      </c>
      <c r="B139" s="1" t="n">
        <v>45558</v>
      </c>
      <c r="C139" s="1" t="n">
        <v>46020</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64380-2023</t>
        </is>
      </c>
      <c r="B140" s="1" t="n">
        <v>45280.56451388889</v>
      </c>
      <c r="C140" s="1" t="n">
        <v>46020</v>
      </c>
      <c r="D140" t="inlineStr">
        <is>
          <t>JÄMTLANDS LÄN</t>
        </is>
      </c>
      <c r="E140" t="inlineStr">
        <is>
          <t>ÖSTERSUND</t>
        </is>
      </c>
      <c r="G140" t="n">
        <v>12.4</v>
      </c>
      <c r="H140" t="n">
        <v>0</v>
      </c>
      <c r="I140" t="n">
        <v>0</v>
      </c>
      <c r="J140" t="n">
        <v>1</v>
      </c>
      <c r="K140" t="n">
        <v>0</v>
      </c>
      <c r="L140" t="n">
        <v>0</v>
      </c>
      <c r="M140" t="n">
        <v>0</v>
      </c>
      <c r="N140" t="n">
        <v>0</v>
      </c>
      <c r="O140" t="n">
        <v>1</v>
      </c>
      <c r="P140" t="n">
        <v>0</v>
      </c>
      <c r="Q140" t="n">
        <v>1</v>
      </c>
      <c r="R140" s="2" t="inlineStr">
        <is>
          <t>Luddfingersvamp</t>
        </is>
      </c>
      <c r="S140">
        <f>HYPERLINK("https://klasma.github.io/Logging_2380/artfynd/A 64380-2023 artfynd.xlsx", "A 64380-2023")</f>
        <v/>
      </c>
      <c r="T140">
        <f>HYPERLINK("https://klasma.github.io/Logging_2380/kartor/A 64380-2023 karta.png", "A 64380-2023")</f>
        <v/>
      </c>
      <c r="V140">
        <f>HYPERLINK("https://klasma.github.io/Logging_2380/klagomål/A 64380-2023 FSC-klagomål.docx", "A 64380-2023")</f>
        <v/>
      </c>
      <c r="W140">
        <f>HYPERLINK("https://klasma.github.io/Logging_2380/klagomålsmail/A 64380-2023 FSC-klagomål mail.docx", "A 64380-2023")</f>
        <v/>
      </c>
      <c r="X140">
        <f>HYPERLINK("https://klasma.github.io/Logging_2380/tillsyn/A 64380-2023 tillsynsbegäran.docx", "A 64380-2023")</f>
        <v/>
      </c>
      <c r="Y140">
        <f>HYPERLINK("https://klasma.github.io/Logging_2380/tillsynsmail/A 64380-2023 tillsynsbegäran mail.docx", "A 64380-2023")</f>
        <v/>
      </c>
    </row>
    <row r="141" ht="15" customHeight="1">
      <c r="A141" t="inlineStr">
        <is>
          <t>A 40781-2025</t>
        </is>
      </c>
      <c r="B141" s="1" t="n">
        <v>45897</v>
      </c>
      <c r="C141" s="1" t="n">
        <v>46020</v>
      </c>
      <c r="D141" t="inlineStr">
        <is>
          <t>JÄMTLANDS LÄN</t>
        </is>
      </c>
      <c r="E141" t="inlineStr">
        <is>
          <t>ÖSTERSUND</t>
        </is>
      </c>
      <c r="F141" t="inlineStr">
        <is>
          <t>Övriga Aktiebolag</t>
        </is>
      </c>
      <c r="G141" t="n">
        <v>2.2</v>
      </c>
      <c r="H141" t="n">
        <v>1</v>
      </c>
      <c r="I141" t="n">
        <v>0</v>
      </c>
      <c r="J141" t="n">
        <v>0</v>
      </c>
      <c r="K141" t="n">
        <v>0</v>
      </c>
      <c r="L141" t="n">
        <v>0</v>
      </c>
      <c r="M141" t="n">
        <v>0</v>
      </c>
      <c r="N141" t="n">
        <v>0</v>
      </c>
      <c r="O141" t="n">
        <v>0</v>
      </c>
      <c r="P141" t="n">
        <v>0</v>
      </c>
      <c r="Q141" t="n">
        <v>1</v>
      </c>
      <c r="R141" s="2" t="inlineStr">
        <is>
          <t>Blåsippa</t>
        </is>
      </c>
      <c r="S141">
        <f>HYPERLINK("https://klasma.github.io/Logging_2380/artfynd/A 40781-2025 artfynd.xlsx", "A 40781-2025")</f>
        <v/>
      </c>
      <c r="T141">
        <f>HYPERLINK("https://klasma.github.io/Logging_2380/kartor/A 40781-2025 karta.png", "A 40781-2025")</f>
        <v/>
      </c>
      <c r="V141">
        <f>HYPERLINK("https://klasma.github.io/Logging_2380/klagomål/A 40781-2025 FSC-klagomål.docx", "A 40781-2025")</f>
        <v/>
      </c>
      <c r="W141">
        <f>HYPERLINK("https://klasma.github.io/Logging_2380/klagomålsmail/A 40781-2025 FSC-klagomål mail.docx", "A 40781-2025")</f>
        <v/>
      </c>
      <c r="X141">
        <f>HYPERLINK("https://klasma.github.io/Logging_2380/tillsyn/A 40781-2025 tillsynsbegäran.docx", "A 40781-2025")</f>
        <v/>
      </c>
      <c r="Y141">
        <f>HYPERLINK("https://klasma.github.io/Logging_2380/tillsynsmail/A 40781-2025 tillsynsbegäran mail.docx", "A 40781-2025")</f>
        <v/>
      </c>
    </row>
    <row r="142" ht="15" customHeight="1">
      <c r="A142" t="inlineStr">
        <is>
          <t>A 26605-2025</t>
        </is>
      </c>
      <c r="B142" s="1" t="n">
        <v>45809.86790509259</v>
      </c>
      <c r="C142" s="1" t="n">
        <v>46020</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55821-2021</t>
        </is>
      </c>
      <c r="B143" s="1" t="n">
        <v>44476</v>
      </c>
      <c r="C143" s="1" t="n">
        <v>46020</v>
      </c>
      <c r="D143" t="inlineStr">
        <is>
          <t>JÄMTLANDS LÄN</t>
        </is>
      </c>
      <c r="E143" t="inlineStr">
        <is>
          <t>ÖSTERSUND</t>
        </is>
      </c>
      <c r="G143" t="n">
        <v>7.2</v>
      </c>
      <c r="H143" t="n">
        <v>0</v>
      </c>
      <c r="I143" t="n">
        <v>0</v>
      </c>
      <c r="J143" t="n">
        <v>1</v>
      </c>
      <c r="K143" t="n">
        <v>0</v>
      </c>
      <c r="L143" t="n">
        <v>0</v>
      </c>
      <c r="M143" t="n">
        <v>0</v>
      </c>
      <c r="N143" t="n">
        <v>0</v>
      </c>
      <c r="O143" t="n">
        <v>1</v>
      </c>
      <c r="P143" t="n">
        <v>0</v>
      </c>
      <c r="Q143" t="n">
        <v>1</v>
      </c>
      <c r="R143" s="2" t="inlineStr">
        <is>
          <t>Harticka</t>
        </is>
      </c>
      <c r="S143">
        <f>HYPERLINK("https://klasma.github.io/Logging_2380/artfynd/A 55821-2021 artfynd.xlsx", "A 55821-2021")</f>
        <v/>
      </c>
      <c r="T143">
        <f>HYPERLINK("https://klasma.github.io/Logging_2380/kartor/A 55821-2021 karta.png", "A 55821-2021")</f>
        <v/>
      </c>
      <c r="V143">
        <f>HYPERLINK("https://klasma.github.io/Logging_2380/klagomål/A 55821-2021 FSC-klagomål.docx", "A 55821-2021")</f>
        <v/>
      </c>
      <c r="W143">
        <f>HYPERLINK("https://klasma.github.io/Logging_2380/klagomålsmail/A 55821-2021 FSC-klagomål mail.docx", "A 55821-2021")</f>
        <v/>
      </c>
      <c r="X143">
        <f>HYPERLINK("https://klasma.github.io/Logging_2380/tillsyn/A 55821-2021 tillsynsbegäran.docx", "A 55821-2021")</f>
        <v/>
      </c>
      <c r="Y143">
        <f>HYPERLINK("https://klasma.github.io/Logging_2380/tillsynsmail/A 55821-2021 tillsynsbegäran mail.docx", "A 55821-2021")</f>
        <v/>
      </c>
    </row>
    <row r="144" ht="15" customHeight="1">
      <c r="A144" t="inlineStr">
        <is>
          <t>A 17217-2021</t>
        </is>
      </c>
      <c r="B144" s="1" t="n">
        <v>44298</v>
      </c>
      <c r="C144" s="1" t="n">
        <v>46020</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43188-2025</t>
        </is>
      </c>
      <c r="B145" s="1" t="n">
        <v>45910.41201388889</v>
      </c>
      <c r="C145" s="1" t="n">
        <v>46020</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31883-2024</t>
        </is>
      </c>
      <c r="B146" s="1" t="n">
        <v>45509.9572800926</v>
      </c>
      <c r="C146" s="1" t="n">
        <v>46020</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46020</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46020</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33550-2025</t>
        </is>
      </c>
      <c r="B149" s="1" t="n">
        <v>45841.57331018519</v>
      </c>
      <c r="C149" s="1" t="n">
        <v>46020</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36225-2025</t>
        </is>
      </c>
      <c r="B150" s="1" t="n">
        <v>45867.51128472222</v>
      </c>
      <c r="C150" s="1" t="n">
        <v>46020</v>
      </c>
      <c r="D150" t="inlineStr">
        <is>
          <t>JÄMTLANDS LÄN</t>
        </is>
      </c>
      <c r="E150" t="inlineStr">
        <is>
          <t>ÖSTERSUND</t>
        </is>
      </c>
      <c r="F150" t="inlineStr">
        <is>
          <t>SCA</t>
        </is>
      </c>
      <c r="G150" t="n">
        <v>1.8</v>
      </c>
      <c r="H150" t="n">
        <v>0</v>
      </c>
      <c r="I150" t="n">
        <v>0</v>
      </c>
      <c r="J150" t="n">
        <v>1</v>
      </c>
      <c r="K150" t="n">
        <v>0</v>
      </c>
      <c r="L150" t="n">
        <v>0</v>
      </c>
      <c r="M150" t="n">
        <v>0</v>
      </c>
      <c r="N150" t="n">
        <v>0</v>
      </c>
      <c r="O150" t="n">
        <v>1</v>
      </c>
      <c r="P150" t="n">
        <v>0</v>
      </c>
      <c r="Q150" t="n">
        <v>1</v>
      </c>
      <c r="R150" s="2" t="inlineStr">
        <is>
          <t>Kolflarnlav</t>
        </is>
      </c>
      <c r="S150">
        <f>HYPERLINK("https://klasma.github.io/Logging_2380/artfynd/A 36225-2025 artfynd.xlsx", "A 36225-2025")</f>
        <v/>
      </c>
      <c r="T150">
        <f>HYPERLINK("https://klasma.github.io/Logging_2380/kartor/A 36225-2025 karta.png", "A 36225-2025")</f>
        <v/>
      </c>
      <c r="V150">
        <f>HYPERLINK("https://klasma.github.io/Logging_2380/klagomål/A 36225-2025 FSC-klagomål.docx", "A 36225-2025")</f>
        <v/>
      </c>
      <c r="W150">
        <f>HYPERLINK("https://klasma.github.io/Logging_2380/klagomålsmail/A 36225-2025 FSC-klagomål mail.docx", "A 36225-2025")</f>
        <v/>
      </c>
      <c r="X150">
        <f>HYPERLINK("https://klasma.github.io/Logging_2380/tillsyn/A 36225-2025 tillsynsbegäran.docx", "A 36225-2025")</f>
        <v/>
      </c>
      <c r="Y150">
        <f>HYPERLINK("https://klasma.github.io/Logging_2380/tillsynsmail/A 36225-2025 tillsynsbegäran mail.docx", "A 36225-2025")</f>
        <v/>
      </c>
    </row>
    <row r="151" ht="15" customHeight="1">
      <c r="A151" t="inlineStr">
        <is>
          <t>A 58274-2025</t>
        </is>
      </c>
      <c r="B151" s="1" t="n">
        <v>45985.43086805556</v>
      </c>
      <c r="C151" s="1" t="n">
        <v>46020</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24368-2025</t>
        </is>
      </c>
      <c r="B152" s="1" t="n">
        <v>45797.60623842593</v>
      </c>
      <c r="C152" s="1" t="n">
        <v>46020</v>
      </c>
      <c r="D152" t="inlineStr">
        <is>
          <t>JÄMTLANDS LÄN</t>
        </is>
      </c>
      <c r="E152" t="inlineStr">
        <is>
          <t>ÖSTERSUND</t>
        </is>
      </c>
      <c r="G152" t="n">
        <v>2.9</v>
      </c>
      <c r="H152" t="n">
        <v>0</v>
      </c>
      <c r="I152" t="n">
        <v>0</v>
      </c>
      <c r="J152" t="n">
        <v>0</v>
      </c>
      <c r="K152" t="n">
        <v>1</v>
      </c>
      <c r="L152" t="n">
        <v>0</v>
      </c>
      <c r="M152" t="n">
        <v>0</v>
      </c>
      <c r="N152" t="n">
        <v>0</v>
      </c>
      <c r="O152" t="n">
        <v>1</v>
      </c>
      <c r="P152" t="n">
        <v>1</v>
      </c>
      <c r="Q152" t="n">
        <v>1</v>
      </c>
      <c r="R152" s="2" t="inlineStr">
        <is>
          <t>Fjällfotad fingersvamp</t>
        </is>
      </c>
      <c r="S152">
        <f>HYPERLINK("https://klasma.github.io/Logging_2380/artfynd/A 24368-2025 artfynd.xlsx", "A 24368-2025")</f>
        <v/>
      </c>
      <c r="T152">
        <f>HYPERLINK("https://klasma.github.io/Logging_2380/kartor/A 24368-2025 karta.png", "A 24368-2025")</f>
        <v/>
      </c>
      <c r="V152">
        <f>HYPERLINK("https://klasma.github.io/Logging_2380/klagomål/A 24368-2025 FSC-klagomål.docx", "A 24368-2025")</f>
        <v/>
      </c>
      <c r="W152">
        <f>HYPERLINK("https://klasma.github.io/Logging_2380/klagomålsmail/A 24368-2025 FSC-klagomål mail.docx", "A 24368-2025")</f>
        <v/>
      </c>
      <c r="X152">
        <f>HYPERLINK("https://klasma.github.io/Logging_2380/tillsyn/A 24368-2025 tillsynsbegäran.docx", "A 24368-2025")</f>
        <v/>
      </c>
      <c r="Y152">
        <f>HYPERLINK("https://klasma.github.io/Logging_2380/tillsynsmail/A 24368-2025 tillsynsbegäran mail.docx", "A 24368-2025")</f>
        <v/>
      </c>
    </row>
    <row r="153" ht="15" customHeight="1">
      <c r="A153" t="inlineStr">
        <is>
          <t>A 28980-2023</t>
        </is>
      </c>
      <c r="B153" s="1" t="n">
        <v>45096</v>
      </c>
      <c r="C153" s="1" t="n">
        <v>46020</v>
      </c>
      <c r="D153" t="inlineStr">
        <is>
          <t>JÄMTLANDS LÄN</t>
        </is>
      </c>
      <c r="E153" t="inlineStr">
        <is>
          <t>ÖSTERSUND</t>
        </is>
      </c>
      <c r="G153" t="n">
        <v>2.7</v>
      </c>
      <c r="H153" t="n">
        <v>0</v>
      </c>
      <c r="I153" t="n">
        <v>1</v>
      </c>
      <c r="J153" t="n">
        <v>0</v>
      </c>
      <c r="K153" t="n">
        <v>0</v>
      </c>
      <c r="L153" t="n">
        <v>0</v>
      </c>
      <c r="M153" t="n">
        <v>0</v>
      </c>
      <c r="N153" t="n">
        <v>0</v>
      </c>
      <c r="O153" t="n">
        <v>0</v>
      </c>
      <c r="P153" t="n">
        <v>0</v>
      </c>
      <c r="Q153" t="n">
        <v>1</v>
      </c>
      <c r="R153" s="2" t="inlineStr">
        <is>
          <t>Finbräken</t>
        </is>
      </c>
      <c r="S153">
        <f>HYPERLINK("https://klasma.github.io/Logging_2380/artfynd/A 28980-2023 artfynd.xlsx", "A 28980-2023")</f>
        <v/>
      </c>
      <c r="T153">
        <f>HYPERLINK("https://klasma.github.io/Logging_2380/kartor/A 28980-2023 karta.png", "A 28980-2023")</f>
        <v/>
      </c>
      <c r="V153">
        <f>HYPERLINK("https://klasma.github.io/Logging_2380/klagomål/A 28980-2023 FSC-klagomål.docx", "A 28980-2023")</f>
        <v/>
      </c>
      <c r="W153">
        <f>HYPERLINK("https://klasma.github.io/Logging_2380/klagomålsmail/A 28980-2023 FSC-klagomål mail.docx", "A 28980-2023")</f>
        <v/>
      </c>
      <c r="X153">
        <f>HYPERLINK("https://klasma.github.io/Logging_2380/tillsyn/A 28980-2023 tillsynsbegäran.docx", "A 28980-2023")</f>
        <v/>
      </c>
      <c r="Y153">
        <f>HYPERLINK("https://klasma.github.io/Logging_2380/tillsynsmail/A 28980-2023 tillsynsbegäran mail.docx", "A 28980-2023")</f>
        <v/>
      </c>
    </row>
    <row r="154" ht="15" customHeight="1">
      <c r="A154" t="inlineStr">
        <is>
          <t>A 44049-2024</t>
        </is>
      </c>
      <c r="B154" s="1" t="n">
        <v>45572.59462962963</v>
      </c>
      <c r="C154" s="1" t="n">
        <v>46020</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60966-2025</t>
        </is>
      </c>
      <c r="B155" s="1" t="n">
        <v>45999.67758101852</v>
      </c>
      <c r="C155" s="1" t="n">
        <v>46020</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54354-2024</t>
        </is>
      </c>
      <c r="B156" s="1" t="n">
        <v>45617.40244212963</v>
      </c>
      <c r="C156" s="1" t="n">
        <v>46020</v>
      </c>
      <c r="D156" t="inlineStr">
        <is>
          <t>JÄMTLANDS LÄN</t>
        </is>
      </c>
      <c r="E156" t="inlineStr">
        <is>
          <t>ÖSTERSUND</t>
        </is>
      </c>
      <c r="G156" t="n">
        <v>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54354-2024 artfynd.xlsx", "A 54354-2024")</f>
        <v/>
      </c>
      <c r="T156">
        <f>HYPERLINK("https://klasma.github.io/Logging_2380/kartor/A 54354-2024 karta.png", "A 54354-2024")</f>
        <v/>
      </c>
      <c r="V156">
        <f>HYPERLINK("https://klasma.github.io/Logging_2380/klagomål/A 54354-2024 FSC-klagomål.docx", "A 54354-2024")</f>
        <v/>
      </c>
      <c r="W156">
        <f>HYPERLINK("https://klasma.github.io/Logging_2380/klagomålsmail/A 54354-2024 FSC-klagomål mail.docx", "A 54354-2024")</f>
        <v/>
      </c>
      <c r="X156">
        <f>HYPERLINK("https://klasma.github.io/Logging_2380/tillsyn/A 54354-2024 tillsynsbegäran.docx", "A 54354-2024")</f>
        <v/>
      </c>
      <c r="Y156">
        <f>HYPERLINK("https://klasma.github.io/Logging_2380/tillsynsmail/A 54354-2024 tillsynsbegäran mail.docx", "A 54354-2024")</f>
        <v/>
      </c>
      <c r="Z156">
        <f>HYPERLINK("https://klasma.github.io/Logging_2380/fåglar/A 54354-2024 prioriterade fågelarter.docx", "A 54354-2024")</f>
        <v/>
      </c>
    </row>
    <row r="157" ht="15" customHeight="1">
      <c r="A157" t="inlineStr">
        <is>
          <t>A 53300-2025</t>
        </is>
      </c>
      <c r="B157" s="1" t="n">
        <v>45959.32394675926</v>
      </c>
      <c r="C157" s="1" t="n">
        <v>46020</v>
      </c>
      <c r="D157" t="inlineStr">
        <is>
          <t>JÄMTLANDS LÄN</t>
        </is>
      </c>
      <c r="E157" t="inlineStr">
        <is>
          <t>ÖSTERSUND</t>
        </is>
      </c>
      <c r="F157" t="inlineStr">
        <is>
          <t>Sveaskog</t>
        </is>
      </c>
      <c r="G157" t="n">
        <v>12.2</v>
      </c>
      <c r="H157" t="n">
        <v>0</v>
      </c>
      <c r="I157" t="n">
        <v>1</v>
      </c>
      <c r="J157" t="n">
        <v>0</v>
      </c>
      <c r="K157" t="n">
        <v>0</v>
      </c>
      <c r="L157" t="n">
        <v>0</v>
      </c>
      <c r="M157" t="n">
        <v>0</v>
      </c>
      <c r="N157" t="n">
        <v>0</v>
      </c>
      <c r="O157" t="n">
        <v>0</v>
      </c>
      <c r="P157" t="n">
        <v>0</v>
      </c>
      <c r="Q157" t="n">
        <v>1</v>
      </c>
      <c r="R157" s="2" t="inlineStr">
        <is>
          <t>Rödgul trumpetsvamp</t>
        </is>
      </c>
      <c r="S157">
        <f>HYPERLINK("https://klasma.github.io/Logging_2380/artfynd/A 53300-2025 artfynd.xlsx", "A 53300-2025")</f>
        <v/>
      </c>
      <c r="T157">
        <f>HYPERLINK("https://klasma.github.io/Logging_2380/kartor/A 53300-2025 karta.png", "A 53300-2025")</f>
        <v/>
      </c>
      <c r="V157">
        <f>HYPERLINK("https://klasma.github.io/Logging_2380/klagomål/A 53300-2025 FSC-klagomål.docx", "A 53300-2025")</f>
        <v/>
      </c>
      <c r="W157">
        <f>HYPERLINK("https://klasma.github.io/Logging_2380/klagomålsmail/A 53300-2025 FSC-klagomål mail.docx", "A 53300-2025")</f>
        <v/>
      </c>
      <c r="X157">
        <f>HYPERLINK("https://klasma.github.io/Logging_2380/tillsyn/A 53300-2025 tillsynsbegäran.docx", "A 53300-2025")</f>
        <v/>
      </c>
      <c r="Y157">
        <f>HYPERLINK("https://klasma.github.io/Logging_2380/tillsynsmail/A 53300-2025 tillsynsbegäran mail.docx", "A 53300-2025")</f>
        <v/>
      </c>
    </row>
    <row r="158" ht="15" customHeight="1">
      <c r="A158" t="inlineStr">
        <is>
          <t>A 58181-2022</t>
        </is>
      </c>
      <c r="B158" s="1" t="n">
        <v>44900</v>
      </c>
      <c r="C158" s="1" t="n">
        <v>46020</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62835-2025</t>
        </is>
      </c>
      <c r="B159" s="1" t="n">
        <v>46008.67969907408</v>
      </c>
      <c r="C159" s="1" t="n">
        <v>46020</v>
      </c>
      <c r="D159" t="inlineStr">
        <is>
          <t>JÄMTLANDS LÄN</t>
        </is>
      </c>
      <c r="E159" t="inlineStr">
        <is>
          <t>ÖSTERSUND</t>
        </is>
      </c>
      <c r="G159" t="n">
        <v>2.2</v>
      </c>
      <c r="H159" t="n">
        <v>0</v>
      </c>
      <c r="I159" t="n">
        <v>0</v>
      </c>
      <c r="J159" t="n">
        <v>1</v>
      </c>
      <c r="K159" t="n">
        <v>0</v>
      </c>
      <c r="L159" t="n">
        <v>0</v>
      </c>
      <c r="M159" t="n">
        <v>0</v>
      </c>
      <c r="N159" t="n">
        <v>0</v>
      </c>
      <c r="O159" t="n">
        <v>1</v>
      </c>
      <c r="P159" t="n">
        <v>0</v>
      </c>
      <c r="Q159" t="n">
        <v>1</v>
      </c>
      <c r="R159" s="2" t="inlineStr">
        <is>
          <t>Åkerkål</t>
        </is>
      </c>
      <c r="S159">
        <f>HYPERLINK("https://klasma.github.io/Logging_2380/artfynd/A 62835-2025 artfynd.xlsx", "A 62835-2025")</f>
        <v/>
      </c>
      <c r="T159">
        <f>HYPERLINK("https://klasma.github.io/Logging_2380/kartor/A 62835-2025 karta.png", "A 62835-2025")</f>
        <v/>
      </c>
      <c r="V159">
        <f>HYPERLINK("https://klasma.github.io/Logging_2380/klagomål/A 62835-2025 FSC-klagomål.docx", "A 62835-2025")</f>
        <v/>
      </c>
      <c r="W159">
        <f>HYPERLINK("https://klasma.github.io/Logging_2380/klagomålsmail/A 62835-2025 FSC-klagomål mail.docx", "A 62835-2025")</f>
        <v/>
      </c>
      <c r="X159">
        <f>HYPERLINK("https://klasma.github.io/Logging_2380/tillsyn/A 62835-2025 tillsynsbegäran.docx", "A 62835-2025")</f>
        <v/>
      </c>
      <c r="Y159">
        <f>HYPERLINK("https://klasma.github.io/Logging_2380/tillsynsmail/A 62835-2025 tillsynsbegäran mail.docx", "A 62835-2025")</f>
        <v/>
      </c>
    </row>
    <row r="160" ht="15" customHeight="1">
      <c r="A160" t="inlineStr">
        <is>
          <t>A 63201-2025</t>
        </is>
      </c>
      <c r="B160" s="1" t="n">
        <v>46010.46366898148</v>
      </c>
      <c r="C160" s="1" t="n">
        <v>46020</v>
      </c>
      <c r="D160" t="inlineStr">
        <is>
          <t>JÄMTLANDS LÄN</t>
        </is>
      </c>
      <c r="E160" t="inlineStr">
        <is>
          <t>ÖSTERSUND</t>
        </is>
      </c>
      <c r="G160" t="n">
        <v>5.8</v>
      </c>
      <c r="H160" t="n">
        <v>1</v>
      </c>
      <c r="I160" t="n">
        <v>0</v>
      </c>
      <c r="J160" t="n">
        <v>0</v>
      </c>
      <c r="K160" t="n">
        <v>0</v>
      </c>
      <c r="L160" t="n">
        <v>0</v>
      </c>
      <c r="M160" t="n">
        <v>0</v>
      </c>
      <c r="N160" t="n">
        <v>0</v>
      </c>
      <c r="O160" t="n">
        <v>0</v>
      </c>
      <c r="P160" t="n">
        <v>0</v>
      </c>
      <c r="Q160" t="n">
        <v>1</v>
      </c>
      <c r="R160" s="2" t="inlineStr">
        <is>
          <t>Lavskrika</t>
        </is>
      </c>
      <c r="S160">
        <f>HYPERLINK("https://klasma.github.io/Logging_2380/artfynd/A 63201-2025 artfynd.xlsx", "A 63201-2025")</f>
        <v/>
      </c>
      <c r="T160">
        <f>HYPERLINK("https://klasma.github.io/Logging_2380/kartor/A 63201-2025 karta.png", "A 63201-2025")</f>
        <v/>
      </c>
      <c r="V160">
        <f>HYPERLINK("https://klasma.github.io/Logging_2380/klagomål/A 63201-2025 FSC-klagomål.docx", "A 63201-2025")</f>
        <v/>
      </c>
      <c r="W160">
        <f>HYPERLINK("https://klasma.github.io/Logging_2380/klagomålsmail/A 63201-2025 FSC-klagomål mail.docx", "A 63201-2025")</f>
        <v/>
      </c>
      <c r="X160">
        <f>HYPERLINK("https://klasma.github.io/Logging_2380/tillsyn/A 63201-2025 tillsynsbegäran.docx", "A 63201-2025")</f>
        <v/>
      </c>
      <c r="Y160">
        <f>HYPERLINK("https://klasma.github.io/Logging_2380/tillsynsmail/A 63201-2025 tillsynsbegäran mail.docx", "A 63201-2025")</f>
        <v/>
      </c>
      <c r="Z160">
        <f>HYPERLINK("https://klasma.github.io/Logging_2380/fåglar/A 63201-2025 prioriterade fågelarter.docx", "A 63201-2025")</f>
        <v/>
      </c>
    </row>
    <row r="161" ht="15" customHeight="1">
      <c r="A161" t="inlineStr">
        <is>
          <t>A 41312-2024</t>
        </is>
      </c>
      <c r="B161" s="1" t="n">
        <v>45559.63584490741</v>
      </c>
      <c r="C161" s="1" t="n">
        <v>46020</v>
      </c>
      <c r="D161" t="inlineStr">
        <is>
          <t>JÄMTLANDS LÄN</t>
        </is>
      </c>
      <c r="E161" t="inlineStr">
        <is>
          <t>ÖSTERSUND</t>
        </is>
      </c>
      <c r="F161" t="inlineStr">
        <is>
          <t>SCA</t>
        </is>
      </c>
      <c r="G161" t="n">
        <v>2.6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41312-2024 artfynd.xlsx", "A 41312-2024")</f>
        <v/>
      </c>
      <c r="T161">
        <f>HYPERLINK("https://klasma.github.io/Logging_2380/kartor/A 41312-2024 karta.png", "A 41312-2024")</f>
        <v/>
      </c>
      <c r="V161">
        <f>HYPERLINK("https://klasma.github.io/Logging_2380/klagomål/A 41312-2024 FSC-klagomål.docx", "A 41312-2024")</f>
        <v/>
      </c>
      <c r="W161">
        <f>HYPERLINK("https://klasma.github.io/Logging_2380/klagomålsmail/A 41312-2024 FSC-klagomål mail.docx", "A 41312-2024")</f>
        <v/>
      </c>
      <c r="X161">
        <f>HYPERLINK("https://klasma.github.io/Logging_2380/tillsyn/A 41312-2024 tillsynsbegäran.docx", "A 41312-2024")</f>
        <v/>
      </c>
      <c r="Y161">
        <f>HYPERLINK("https://klasma.github.io/Logging_2380/tillsynsmail/A 41312-2024 tillsynsbegäran mail.docx", "A 41312-2024")</f>
        <v/>
      </c>
    </row>
    <row r="162" ht="15" customHeight="1">
      <c r="A162" t="inlineStr">
        <is>
          <t>A 33267-2022</t>
        </is>
      </c>
      <c r="B162" s="1" t="n">
        <v>44785</v>
      </c>
      <c r="C162" s="1" t="n">
        <v>46020</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57065-2024</t>
        </is>
      </c>
      <c r="B163" s="1" t="n">
        <v>45629.35344907407</v>
      </c>
      <c r="C163" s="1" t="n">
        <v>46020</v>
      </c>
      <c r="D163" t="inlineStr">
        <is>
          <t>JÄMTLANDS LÄN</t>
        </is>
      </c>
      <c r="E163" t="inlineStr">
        <is>
          <t>ÖSTERSUND</t>
        </is>
      </c>
      <c r="F163" t="inlineStr">
        <is>
          <t>SCA</t>
        </is>
      </c>
      <c r="G163" t="n">
        <v>6.3</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57065-2024 artfynd.xlsx", "A 57065-2024")</f>
        <v/>
      </c>
      <c r="T163">
        <f>HYPERLINK("https://klasma.github.io/Logging_2380/kartor/A 57065-2024 karta.png", "A 57065-2024")</f>
        <v/>
      </c>
      <c r="V163">
        <f>HYPERLINK("https://klasma.github.io/Logging_2380/klagomål/A 57065-2024 FSC-klagomål.docx", "A 57065-2024")</f>
        <v/>
      </c>
      <c r="W163">
        <f>HYPERLINK("https://klasma.github.io/Logging_2380/klagomålsmail/A 57065-2024 FSC-klagomål mail.docx", "A 57065-2024")</f>
        <v/>
      </c>
      <c r="X163">
        <f>HYPERLINK("https://klasma.github.io/Logging_2380/tillsyn/A 57065-2024 tillsynsbegäran.docx", "A 57065-2024")</f>
        <v/>
      </c>
      <c r="Y163">
        <f>HYPERLINK("https://klasma.github.io/Logging_2380/tillsynsmail/A 57065-2024 tillsynsbegäran mail.docx", "A 57065-2024")</f>
        <v/>
      </c>
      <c r="Z163">
        <f>HYPERLINK("https://klasma.github.io/Logging_2380/fåglar/A 57065-2024 prioriterade fågelarter.docx", "A 57065-2024")</f>
        <v/>
      </c>
    </row>
    <row r="164" ht="15" customHeight="1">
      <c r="A164" t="inlineStr">
        <is>
          <t>A 56201-2024</t>
        </is>
      </c>
      <c r="B164" s="1" t="n">
        <v>45624.59462962963</v>
      </c>
      <c r="C164" s="1" t="n">
        <v>46020</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11513-2024</t>
        </is>
      </c>
      <c r="B165" s="1" t="n">
        <v>45372</v>
      </c>
      <c r="C165" s="1" t="n">
        <v>46020</v>
      </c>
      <c r="D165" t="inlineStr">
        <is>
          <t>JÄMTLANDS LÄN</t>
        </is>
      </c>
      <c r="E165" t="inlineStr">
        <is>
          <t>ÖSTERSUND</t>
        </is>
      </c>
      <c r="G165" t="n">
        <v>21.2</v>
      </c>
      <c r="H165" t="n">
        <v>0</v>
      </c>
      <c r="I165" t="n">
        <v>1</v>
      </c>
      <c r="J165" t="n">
        <v>0</v>
      </c>
      <c r="K165" t="n">
        <v>0</v>
      </c>
      <c r="L165" t="n">
        <v>0</v>
      </c>
      <c r="M165" t="n">
        <v>0</v>
      </c>
      <c r="N165" t="n">
        <v>0</v>
      </c>
      <c r="O165" t="n">
        <v>0</v>
      </c>
      <c r="P165" t="n">
        <v>0</v>
      </c>
      <c r="Q165" t="n">
        <v>1</v>
      </c>
      <c r="R165" s="2" t="inlineStr">
        <is>
          <t>Tibast</t>
        </is>
      </c>
      <c r="S165">
        <f>HYPERLINK("https://klasma.github.io/Logging_2380/artfynd/A 11513-2024 artfynd.xlsx", "A 11513-2024")</f>
        <v/>
      </c>
      <c r="T165">
        <f>HYPERLINK("https://klasma.github.io/Logging_2380/kartor/A 11513-2024 karta.png", "A 11513-2024")</f>
        <v/>
      </c>
      <c r="V165">
        <f>HYPERLINK("https://klasma.github.io/Logging_2380/klagomål/A 11513-2024 FSC-klagomål.docx", "A 11513-2024")</f>
        <v/>
      </c>
      <c r="W165">
        <f>HYPERLINK("https://klasma.github.io/Logging_2380/klagomålsmail/A 11513-2024 FSC-klagomål mail.docx", "A 11513-2024")</f>
        <v/>
      </c>
      <c r="X165">
        <f>HYPERLINK("https://klasma.github.io/Logging_2380/tillsyn/A 11513-2024 tillsynsbegäran.docx", "A 11513-2024")</f>
        <v/>
      </c>
      <c r="Y165">
        <f>HYPERLINK("https://klasma.github.io/Logging_2380/tillsynsmail/A 11513-2024 tillsynsbegäran mail.docx", "A 11513-2024")</f>
        <v/>
      </c>
    </row>
    <row r="166" ht="15" customHeight="1">
      <c r="A166" t="inlineStr">
        <is>
          <t>A 41279-2024</t>
        </is>
      </c>
      <c r="B166" s="1" t="n">
        <v>45559</v>
      </c>
      <c r="C166" s="1" t="n">
        <v>46020</v>
      </c>
      <c r="D166" t="inlineStr">
        <is>
          <t>JÄMTLANDS LÄN</t>
        </is>
      </c>
      <c r="E166" t="inlineStr">
        <is>
          <t>ÖSTERSUND</t>
        </is>
      </c>
      <c r="F166" t="inlineStr">
        <is>
          <t>SCA</t>
        </is>
      </c>
      <c r="G166" t="n">
        <v>1.6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41279-2024 artfynd.xlsx", "A 41279-2024")</f>
        <v/>
      </c>
      <c r="T166">
        <f>HYPERLINK("https://klasma.github.io/Logging_2380/kartor/A 41279-2024 karta.png", "A 41279-2024")</f>
        <v/>
      </c>
      <c r="V166">
        <f>HYPERLINK("https://klasma.github.io/Logging_2380/klagomål/A 41279-2024 FSC-klagomål.docx", "A 41279-2024")</f>
        <v/>
      </c>
      <c r="W166">
        <f>HYPERLINK("https://klasma.github.io/Logging_2380/klagomålsmail/A 41279-2024 FSC-klagomål mail.docx", "A 41279-2024")</f>
        <v/>
      </c>
      <c r="X166">
        <f>HYPERLINK("https://klasma.github.io/Logging_2380/tillsyn/A 41279-2024 tillsynsbegäran.docx", "A 41279-2024")</f>
        <v/>
      </c>
      <c r="Y166">
        <f>HYPERLINK("https://klasma.github.io/Logging_2380/tillsynsmail/A 41279-2024 tillsynsbegäran mail.docx", "A 41279-2024")</f>
        <v/>
      </c>
    </row>
    <row r="167" ht="15" customHeight="1">
      <c r="A167" t="inlineStr">
        <is>
          <t>A 40692-2024</t>
        </is>
      </c>
      <c r="B167" s="1" t="n">
        <v>45558</v>
      </c>
      <c r="C167" s="1" t="n">
        <v>46020</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41770-2024</t>
        </is>
      </c>
      <c r="B168" s="1" t="n">
        <v>45561.34641203703</v>
      </c>
      <c r="C168" s="1" t="n">
        <v>46020</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59433-2021</t>
        </is>
      </c>
      <c r="B169" s="1" t="n">
        <v>44491</v>
      </c>
      <c r="C169" s="1" t="n">
        <v>46020</v>
      </c>
      <c r="D169" t="inlineStr">
        <is>
          <t>JÄMTLANDS LÄN</t>
        </is>
      </c>
      <c r="E169" t="inlineStr">
        <is>
          <t>ÖSTERSUND</t>
        </is>
      </c>
      <c r="F169" t="inlineStr">
        <is>
          <t>Övriga statliga verk och myndigheter</t>
        </is>
      </c>
      <c r="G169" t="n">
        <v>1.6</v>
      </c>
      <c r="H169" t="n">
        <v>0</v>
      </c>
      <c r="I169" t="n">
        <v>0</v>
      </c>
      <c r="J169" t="n">
        <v>1</v>
      </c>
      <c r="K169" t="n">
        <v>0</v>
      </c>
      <c r="L169" t="n">
        <v>0</v>
      </c>
      <c r="M169" t="n">
        <v>0</v>
      </c>
      <c r="N169" t="n">
        <v>0</v>
      </c>
      <c r="O169" t="n">
        <v>1</v>
      </c>
      <c r="P169" t="n">
        <v>0</v>
      </c>
      <c r="Q169" t="n">
        <v>1</v>
      </c>
      <c r="R169" s="2" t="inlineStr">
        <is>
          <t>Brunpudrad nållav</t>
        </is>
      </c>
      <c r="S169">
        <f>HYPERLINK("https://klasma.github.io/Logging_2380/artfynd/A 59433-2021 artfynd.xlsx", "A 59433-2021")</f>
        <v/>
      </c>
      <c r="T169">
        <f>HYPERLINK("https://klasma.github.io/Logging_2380/kartor/A 59433-2021 karta.png", "A 59433-2021")</f>
        <v/>
      </c>
      <c r="V169">
        <f>HYPERLINK("https://klasma.github.io/Logging_2380/klagomål/A 59433-2021 FSC-klagomål.docx", "A 59433-2021")</f>
        <v/>
      </c>
      <c r="W169">
        <f>HYPERLINK("https://klasma.github.io/Logging_2380/klagomålsmail/A 59433-2021 FSC-klagomål mail.docx", "A 59433-2021")</f>
        <v/>
      </c>
      <c r="X169">
        <f>HYPERLINK("https://klasma.github.io/Logging_2380/tillsyn/A 59433-2021 tillsynsbegäran.docx", "A 59433-2021")</f>
        <v/>
      </c>
      <c r="Y169">
        <f>HYPERLINK("https://klasma.github.io/Logging_2380/tillsynsmail/A 59433-2021 tillsynsbegäran mail.docx", "A 59433-2021")</f>
        <v/>
      </c>
    </row>
    <row r="170" ht="15" customHeight="1">
      <c r="A170" t="inlineStr">
        <is>
          <t>A 55-2023</t>
        </is>
      </c>
      <c r="B170" s="1" t="n">
        <v>44928</v>
      </c>
      <c r="C170" s="1" t="n">
        <v>46020</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40696-2024</t>
        </is>
      </c>
      <c r="B171" s="1" t="n">
        <v>45558</v>
      </c>
      <c r="C171" s="1" t="n">
        <v>46020</v>
      </c>
      <c r="D171" t="inlineStr">
        <is>
          <t>JÄMTLANDS LÄN</t>
        </is>
      </c>
      <c r="E171" t="inlineStr">
        <is>
          <t>ÖSTERSUND</t>
        </is>
      </c>
      <c r="F171" t="inlineStr">
        <is>
          <t>SCA</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HYPERLINK("https://klasma.github.io/Logging_2380/artfynd/A 40696-2024 artfynd.xlsx", "A 40696-2024")</f>
        <v/>
      </c>
      <c r="T171">
        <f>HYPERLINK("https://klasma.github.io/Logging_2380/kartor/A 40696-2024 karta.png", "A 40696-2024")</f>
        <v/>
      </c>
      <c r="V171">
        <f>HYPERLINK("https://klasma.github.io/Logging_2380/klagomål/A 40696-2024 FSC-klagomål.docx", "A 40696-2024")</f>
        <v/>
      </c>
      <c r="W171">
        <f>HYPERLINK("https://klasma.github.io/Logging_2380/klagomålsmail/A 40696-2024 FSC-klagomål mail.docx", "A 40696-2024")</f>
        <v/>
      </c>
      <c r="X171">
        <f>HYPERLINK("https://klasma.github.io/Logging_2380/tillsyn/A 40696-2024 tillsynsbegäran.docx", "A 40696-2024")</f>
        <v/>
      </c>
      <c r="Y171">
        <f>HYPERLINK("https://klasma.github.io/Logging_2380/tillsynsmail/A 40696-2024 tillsynsbegäran mail.docx", "A 40696-2024")</f>
        <v/>
      </c>
    </row>
    <row r="172" ht="15" customHeight="1">
      <c r="A172" t="inlineStr">
        <is>
          <t>A 43883-2024</t>
        </is>
      </c>
      <c r="B172" s="1" t="n">
        <v>45570</v>
      </c>
      <c r="C172" s="1" t="n">
        <v>46020</v>
      </c>
      <c r="D172" t="inlineStr">
        <is>
          <t>JÄMTLANDS LÄN</t>
        </is>
      </c>
      <c r="E172" t="inlineStr">
        <is>
          <t>ÖSTERSUND</t>
        </is>
      </c>
      <c r="G172" t="n">
        <v>3.8</v>
      </c>
      <c r="H172" t="n">
        <v>0</v>
      </c>
      <c r="I172" t="n">
        <v>0</v>
      </c>
      <c r="J172" t="n">
        <v>0</v>
      </c>
      <c r="K172" t="n">
        <v>1</v>
      </c>
      <c r="L172" t="n">
        <v>0</v>
      </c>
      <c r="M172" t="n">
        <v>0</v>
      </c>
      <c r="N172" t="n">
        <v>0</v>
      </c>
      <c r="O172" t="n">
        <v>1</v>
      </c>
      <c r="P172" t="n">
        <v>1</v>
      </c>
      <c r="Q172" t="n">
        <v>1</v>
      </c>
      <c r="R172" s="2" t="inlineStr">
        <is>
          <t>Frösöstarr</t>
        </is>
      </c>
      <c r="S172">
        <f>HYPERLINK("https://klasma.github.io/Logging_2380/artfynd/A 43883-2024 artfynd.xlsx", "A 43883-2024")</f>
        <v/>
      </c>
      <c r="T172">
        <f>HYPERLINK("https://klasma.github.io/Logging_2380/kartor/A 43883-2024 karta.png", "A 43883-2024")</f>
        <v/>
      </c>
      <c r="V172">
        <f>HYPERLINK("https://klasma.github.io/Logging_2380/klagomål/A 43883-2024 FSC-klagomål.docx", "A 43883-2024")</f>
        <v/>
      </c>
      <c r="W172">
        <f>HYPERLINK("https://klasma.github.io/Logging_2380/klagomålsmail/A 43883-2024 FSC-klagomål mail.docx", "A 43883-2024")</f>
        <v/>
      </c>
      <c r="X172">
        <f>HYPERLINK("https://klasma.github.io/Logging_2380/tillsyn/A 43883-2024 tillsynsbegäran.docx", "A 43883-2024")</f>
        <v/>
      </c>
      <c r="Y172">
        <f>HYPERLINK("https://klasma.github.io/Logging_2380/tillsynsmail/A 43883-2024 tillsynsbegäran mail.docx", "A 43883-2024")</f>
        <v/>
      </c>
    </row>
    <row r="173" ht="15" customHeight="1">
      <c r="A173" t="inlineStr">
        <is>
          <t>A 20620-2021</t>
        </is>
      </c>
      <c r="B173" s="1" t="n">
        <v>44316</v>
      </c>
      <c r="C173" s="1" t="n">
        <v>46020</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46020</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46020</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46020</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46020</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46020</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46020</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46020</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46020</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46020</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46020</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46020</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46020</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46020</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46020</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46020</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46020</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46020</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46020</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46020</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46020</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46020</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46020</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46020</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46020</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46020</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46020</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46020</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46020</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17362-2021</t>
        </is>
      </c>
      <c r="B202" s="1" t="n">
        <v>44298</v>
      </c>
      <c r="C202" s="1" t="n">
        <v>46020</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46020</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46020</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46020</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46020</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72041-2021</t>
        </is>
      </c>
      <c r="B207" s="1" t="n">
        <v>44540</v>
      </c>
      <c r="C207" s="1" t="n">
        <v>46020</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46020</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46020</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17596-2021</t>
        </is>
      </c>
      <c r="B210" s="1" t="n">
        <v>44299</v>
      </c>
      <c r="C210" s="1" t="n">
        <v>46020</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46020</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46020</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46020</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46020</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46020</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52898-2022</t>
        </is>
      </c>
      <c r="B216" s="1" t="n">
        <v>44875</v>
      </c>
      <c r="C216" s="1" t="n">
        <v>46020</v>
      </c>
      <c r="D216" t="inlineStr">
        <is>
          <t>JÄMTLANDS LÄN</t>
        </is>
      </c>
      <c r="E216" t="inlineStr">
        <is>
          <t>ÖSTERSUND</t>
        </is>
      </c>
      <c r="F216" t="inlineStr">
        <is>
          <t>Övriga Aktiebolag</t>
        </is>
      </c>
      <c r="G216" t="n">
        <v>12.1</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46020</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65428-2021</t>
        </is>
      </c>
      <c r="B218" s="1" t="n">
        <v>44515</v>
      </c>
      <c r="C218" s="1" t="n">
        <v>46020</v>
      </c>
      <c r="D218" t="inlineStr">
        <is>
          <t>JÄMTLANDS LÄN</t>
        </is>
      </c>
      <c r="E218" t="inlineStr">
        <is>
          <t>ÖSTERSUND</t>
        </is>
      </c>
      <c r="F218" t="inlineStr">
        <is>
          <t>SCA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46020</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46020</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46020</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46020</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46020</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23992-2022</t>
        </is>
      </c>
      <c r="B224" s="1" t="n">
        <v>44722</v>
      </c>
      <c r="C224" s="1" t="n">
        <v>46020</v>
      </c>
      <c r="D224" t="inlineStr">
        <is>
          <t>JÄMTLANDS LÄN</t>
        </is>
      </c>
      <c r="E224" t="inlineStr">
        <is>
          <t>ÖSTERSUND</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23993-2022</t>
        </is>
      </c>
      <c r="B225" s="1" t="n">
        <v>44722.94023148148</v>
      </c>
      <c r="C225" s="1" t="n">
        <v>46020</v>
      </c>
      <c r="D225" t="inlineStr">
        <is>
          <t>JÄMTLANDS LÄN</t>
        </is>
      </c>
      <c r="E225" t="inlineStr">
        <is>
          <t>ÖSTERSUND</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23551-2022</t>
        </is>
      </c>
      <c r="B226" s="1" t="n">
        <v>44721</v>
      </c>
      <c r="C226" s="1" t="n">
        <v>46020</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45654-2022</t>
        </is>
      </c>
      <c r="B227" s="1" t="n">
        <v>44845.67710648148</v>
      </c>
      <c r="C227" s="1" t="n">
        <v>46020</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42832-2021</t>
        </is>
      </c>
      <c r="B228" s="1" t="n">
        <v>44430</v>
      </c>
      <c r="C228" s="1" t="n">
        <v>46020</v>
      </c>
      <c r="D228" t="inlineStr">
        <is>
          <t>JÄMTLANDS LÄN</t>
        </is>
      </c>
      <c r="E228" t="inlineStr">
        <is>
          <t>ÖSTERSUND</t>
        </is>
      </c>
      <c r="G228" t="n">
        <v>9</v>
      </c>
      <c r="H228" t="n">
        <v>0</v>
      </c>
      <c r="I228" t="n">
        <v>0</v>
      </c>
      <c r="J228" t="n">
        <v>0</v>
      </c>
      <c r="K228" t="n">
        <v>0</v>
      </c>
      <c r="L228" t="n">
        <v>0</v>
      </c>
      <c r="M228" t="n">
        <v>0</v>
      </c>
      <c r="N228" t="n">
        <v>0</v>
      </c>
      <c r="O228" t="n">
        <v>0</v>
      </c>
      <c r="P228" t="n">
        <v>0</v>
      </c>
      <c r="Q228" t="n">
        <v>0</v>
      </c>
      <c r="R228" s="2" t="inlineStr"/>
    </row>
    <row r="229" ht="15" customHeight="1">
      <c r="A229" t="inlineStr">
        <is>
          <t>A 35755-2021</t>
        </is>
      </c>
      <c r="B229" s="1" t="n">
        <v>44385</v>
      </c>
      <c r="C229" s="1" t="n">
        <v>46020</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46020</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10590-2021</t>
        </is>
      </c>
      <c r="B231" s="1" t="n">
        <v>44258</v>
      </c>
      <c r="C231" s="1" t="n">
        <v>46020</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32990-2021</t>
        </is>
      </c>
      <c r="B232" s="1" t="n">
        <v>44375</v>
      </c>
      <c r="C232" s="1" t="n">
        <v>46020</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24721-2021</t>
        </is>
      </c>
      <c r="B233" s="1" t="n">
        <v>44340</v>
      </c>
      <c r="C233" s="1" t="n">
        <v>46020</v>
      </c>
      <c r="D233" t="inlineStr">
        <is>
          <t>JÄMTLANDS LÄN</t>
        </is>
      </c>
      <c r="E233" t="inlineStr">
        <is>
          <t>ÖSTERSUND</t>
        </is>
      </c>
      <c r="G233" t="n">
        <v>2.7</v>
      </c>
      <c r="H233" t="n">
        <v>0</v>
      </c>
      <c r="I233" t="n">
        <v>0</v>
      </c>
      <c r="J233" t="n">
        <v>0</v>
      </c>
      <c r="K233" t="n">
        <v>0</v>
      </c>
      <c r="L233" t="n">
        <v>0</v>
      </c>
      <c r="M233" t="n">
        <v>0</v>
      </c>
      <c r="N233" t="n">
        <v>0</v>
      </c>
      <c r="O233" t="n">
        <v>0</v>
      </c>
      <c r="P233" t="n">
        <v>0</v>
      </c>
      <c r="Q233" t="n">
        <v>0</v>
      </c>
      <c r="R233" s="2" t="inlineStr"/>
    </row>
    <row r="234" ht="15" customHeight="1">
      <c r="A234" t="inlineStr">
        <is>
          <t>A 21849-2021</t>
        </is>
      </c>
      <c r="B234" s="1" t="n">
        <v>44322</v>
      </c>
      <c r="C234" s="1" t="n">
        <v>46020</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46020</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14657-2022</t>
        </is>
      </c>
      <c r="B236" s="1" t="n">
        <v>44655</v>
      </c>
      <c r="C236" s="1" t="n">
        <v>46020</v>
      </c>
      <c r="D236" t="inlineStr">
        <is>
          <t>JÄMTLANDS LÄN</t>
        </is>
      </c>
      <c r="E236" t="inlineStr">
        <is>
          <t>ÖSTERSUND</t>
        </is>
      </c>
      <c r="G236" t="n">
        <v>1.1</v>
      </c>
      <c r="H236" t="n">
        <v>0</v>
      </c>
      <c r="I236" t="n">
        <v>0</v>
      </c>
      <c r="J236" t="n">
        <v>0</v>
      </c>
      <c r="K236" t="n">
        <v>0</v>
      </c>
      <c r="L236" t="n">
        <v>0</v>
      </c>
      <c r="M236" t="n">
        <v>0</v>
      </c>
      <c r="N236" t="n">
        <v>0</v>
      </c>
      <c r="O236" t="n">
        <v>0</v>
      </c>
      <c r="P236" t="n">
        <v>0</v>
      </c>
      <c r="Q236" t="n">
        <v>0</v>
      </c>
      <c r="R236" s="2" t="inlineStr"/>
    </row>
    <row r="237" ht="15" customHeight="1">
      <c r="A237" t="inlineStr">
        <is>
          <t>A 5145-2022</t>
        </is>
      </c>
      <c r="B237" s="1" t="n">
        <v>44594</v>
      </c>
      <c r="C237" s="1" t="n">
        <v>46020</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46020</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63099-2023</t>
        </is>
      </c>
      <c r="B239" s="1" t="n">
        <v>45273</v>
      </c>
      <c r="C239" s="1" t="n">
        <v>46020</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49592-2024</t>
        </is>
      </c>
      <c r="B240" s="1" t="n">
        <v>45596.55266203704</v>
      </c>
      <c r="C240" s="1" t="n">
        <v>46020</v>
      </c>
      <c r="D240" t="inlineStr">
        <is>
          <t>JÄMTLANDS LÄN</t>
        </is>
      </c>
      <c r="E240" t="inlineStr">
        <is>
          <t>ÖSTERSUND</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58407-2024</t>
        </is>
      </c>
      <c r="B241" s="1" t="n">
        <v>45634.72633101852</v>
      </c>
      <c r="C241" s="1" t="n">
        <v>46020</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35556-2022</t>
        </is>
      </c>
      <c r="B242" s="1" t="n">
        <v>44799</v>
      </c>
      <c r="C242" s="1" t="n">
        <v>46020</v>
      </c>
      <c r="D242" t="inlineStr">
        <is>
          <t>JÄMTLANDS LÄN</t>
        </is>
      </c>
      <c r="E242" t="inlineStr">
        <is>
          <t>ÖSTERSUND</t>
        </is>
      </c>
      <c r="G242" t="n">
        <v>3.6</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46020</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46020</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46020</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12946-2022</t>
        </is>
      </c>
      <c r="B246" s="1" t="n">
        <v>44642.93471064815</v>
      </c>
      <c r="C246" s="1" t="n">
        <v>46020</v>
      </c>
      <c r="D246" t="inlineStr">
        <is>
          <t>JÄMTLANDS LÄN</t>
        </is>
      </c>
      <c r="E246" t="inlineStr">
        <is>
          <t>ÖSTERSUND</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6578-2021</t>
        </is>
      </c>
      <c r="B247" s="1" t="n">
        <v>44236</v>
      </c>
      <c r="C247" s="1" t="n">
        <v>46020</v>
      </c>
      <c r="D247" t="inlineStr">
        <is>
          <t>JÄMTLANDS LÄN</t>
        </is>
      </c>
      <c r="E247" t="inlineStr">
        <is>
          <t>ÖSTERSUND</t>
        </is>
      </c>
      <c r="G247" t="n">
        <v>1.4</v>
      </c>
      <c r="H247" t="n">
        <v>0</v>
      </c>
      <c r="I247" t="n">
        <v>0</v>
      </c>
      <c r="J247" t="n">
        <v>0</v>
      </c>
      <c r="K247" t="n">
        <v>0</v>
      </c>
      <c r="L247" t="n">
        <v>0</v>
      </c>
      <c r="M247" t="n">
        <v>0</v>
      </c>
      <c r="N247" t="n">
        <v>0</v>
      </c>
      <c r="O247" t="n">
        <v>0</v>
      </c>
      <c r="P247" t="n">
        <v>0</v>
      </c>
      <c r="Q247" t="n">
        <v>0</v>
      </c>
      <c r="R247" s="2" t="inlineStr"/>
    </row>
    <row r="248" ht="15" customHeight="1">
      <c r="A248" t="inlineStr">
        <is>
          <t>A 6013-2022</t>
        </is>
      </c>
      <c r="B248" s="1" t="n">
        <v>44599.45850694444</v>
      </c>
      <c r="C248" s="1" t="n">
        <v>46020</v>
      </c>
      <c r="D248" t="inlineStr">
        <is>
          <t>JÄMTLANDS LÄN</t>
        </is>
      </c>
      <c r="E248" t="inlineStr">
        <is>
          <t>ÖSTERSUND</t>
        </is>
      </c>
      <c r="G248" t="n">
        <v>2.5</v>
      </c>
      <c r="H248" t="n">
        <v>0</v>
      </c>
      <c r="I248" t="n">
        <v>0</v>
      </c>
      <c r="J248" t="n">
        <v>0</v>
      </c>
      <c r="K248" t="n">
        <v>0</v>
      </c>
      <c r="L248" t="n">
        <v>0</v>
      </c>
      <c r="M248" t="n">
        <v>0</v>
      </c>
      <c r="N248" t="n">
        <v>0</v>
      </c>
      <c r="O248" t="n">
        <v>0</v>
      </c>
      <c r="P248" t="n">
        <v>0</v>
      </c>
      <c r="Q248" t="n">
        <v>0</v>
      </c>
      <c r="R248" s="2" t="inlineStr"/>
    </row>
    <row r="249" ht="15" customHeight="1">
      <c r="A249" t="inlineStr">
        <is>
          <t>A 4872-2023</t>
        </is>
      </c>
      <c r="B249" s="1" t="n">
        <v>44957</v>
      </c>
      <c r="C249" s="1" t="n">
        <v>46020</v>
      </c>
      <c r="D249" t="inlineStr">
        <is>
          <t>JÄMTLANDS LÄN</t>
        </is>
      </c>
      <c r="E249" t="inlineStr">
        <is>
          <t>ÖSTERSUND</t>
        </is>
      </c>
      <c r="G249" t="n">
        <v>10.7</v>
      </c>
      <c r="H249" t="n">
        <v>0</v>
      </c>
      <c r="I249" t="n">
        <v>0</v>
      </c>
      <c r="J249" t="n">
        <v>0</v>
      </c>
      <c r="K249" t="n">
        <v>0</v>
      </c>
      <c r="L249" t="n">
        <v>0</v>
      </c>
      <c r="M249" t="n">
        <v>0</v>
      </c>
      <c r="N249" t="n">
        <v>0</v>
      </c>
      <c r="O249" t="n">
        <v>0</v>
      </c>
      <c r="P249" t="n">
        <v>0</v>
      </c>
      <c r="Q249" t="n">
        <v>0</v>
      </c>
      <c r="R249" s="2" t="inlineStr"/>
    </row>
    <row r="250" ht="15" customHeight="1">
      <c r="A250" t="inlineStr">
        <is>
          <t>A 60681-2022</t>
        </is>
      </c>
      <c r="B250" s="1" t="n">
        <v>44911.93994212963</v>
      </c>
      <c r="C250" s="1" t="n">
        <v>46020</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45980-2023</t>
        </is>
      </c>
      <c r="B251" s="1" t="n">
        <v>45189</v>
      </c>
      <c r="C251" s="1" t="n">
        <v>46020</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21495-2022</t>
        </is>
      </c>
      <c r="B252" s="1" t="n">
        <v>44706</v>
      </c>
      <c r="C252" s="1" t="n">
        <v>46020</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10493-2025</t>
        </is>
      </c>
      <c r="B253" s="1" t="n">
        <v>45721.36320601852</v>
      </c>
      <c r="C253" s="1" t="n">
        <v>46020</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1255-2025</t>
        </is>
      </c>
      <c r="B254" s="1" t="n">
        <v>45667.46922453704</v>
      </c>
      <c r="C254" s="1" t="n">
        <v>46020</v>
      </c>
      <c r="D254" t="inlineStr">
        <is>
          <t>JÄMTLANDS LÄN</t>
        </is>
      </c>
      <c r="E254" t="inlineStr">
        <is>
          <t>ÖSTERSUND</t>
        </is>
      </c>
      <c r="F254" t="inlineStr">
        <is>
          <t>SCA</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48106-2024</t>
        </is>
      </c>
      <c r="B255" s="1" t="n">
        <v>45589.62625</v>
      </c>
      <c r="C255" s="1" t="n">
        <v>46020</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47627-2024</t>
        </is>
      </c>
      <c r="B256" s="1" t="n">
        <v>45588.3440625</v>
      </c>
      <c r="C256" s="1" t="n">
        <v>46020</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47628-2024</t>
        </is>
      </c>
      <c r="B257" s="1" t="n">
        <v>45588.34418981482</v>
      </c>
      <c r="C257" s="1" t="n">
        <v>46020</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4521-2025</t>
        </is>
      </c>
      <c r="B258" s="1" t="n">
        <v>45686</v>
      </c>
      <c r="C258" s="1" t="n">
        <v>46020</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43557-2024</t>
        </is>
      </c>
      <c r="B259" s="1" t="n">
        <v>45569.39229166666</v>
      </c>
      <c r="C259" s="1" t="n">
        <v>46020</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24246-2024</t>
        </is>
      </c>
      <c r="B260" s="1" t="n">
        <v>45457.37893518519</v>
      </c>
      <c r="C260" s="1" t="n">
        <v>46020</v>
      </c>
      <c r="D260" t="inlineStr">
        <is>
          <t>JÄMTLANDS LÄN</t>
        </is>
      </c>
      <c r="E260" t="inlineStr">
        <is>
          <t>ÖSTERSUND</t>
        </is>
      </c>
      <c r="G260" t="n">
        <v>5.3</v>
      </c>
      <c r="H260" t="n">
        <v>0</v>
      </c>
      <c r="I260" t="n">
        <v>0</v>
      </c>
      <c r="J260" t="n">
        <v>0</v>
      </c>
      <c r="K260" t="n">
        <v>0</v>
      </c>
      <c r="L260" t="n">
        <v>0</v>
      </c>
      <c r="M260" t="n">
        <v>0</v>
      </c>
      <c r="N260" t="n">
        <v>0</v>
      </c>
      <c r="O260" t="n">
        <v>0</v>
      </c>
      <c r="P260" t="n">
        <v>0</v>
      </c>
      <c r="Q260" t="n">
        <v>0</v>
      </c>
      <c r="R260" s="2" t="inlineStr"/>
    </row>
    <row r="261" ht="15" customHeight="1">
      <c r="A261" t="inlineStr">
        <is>
          <t>A 55666-2023</t>
        </is>
      </c>
      <c r="B261" s="1" t="n">
        <v>45238.96770833333</v>
      </c>
      <c r="C261" s="1" t="n">
        <v>46020</v>
      </c>
      <c r="D261" t="inlineStr">
        <is>
          <t>JÄMTLANDS LÄN</t>
        </is>
      </c>
      <c r="E261" t="inlineStr">
        <is>
          <t>ÖSTERSUND</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9109-2024</t>
        </is>
      </c>
      <c r="B262" s="1" t="n">
        <v>45357.96106481482</v>
      </c>
      <c r="C262" s="1" t="n">
        <v>46020</v>
      </c>
      <c r="D262" t="inlineStr">
        <is>
          <t>JÄMTLANDS LÄN</t>
        </is>
      </c>
      <c r="E262" t="inlineStr">
        <is>
          <t>ÖSTERSUND</t>
        </is>
      </c>
      <c r="G262" t="n">
        <v>17.1</v>
      </c>
      <c r="H262" t="n">
        <v>0</v>
      </c>
      <c r="I262" t="n">
        <v>0</v>
      </c>
      <c r="J262" t="n">
        <v>0</v>
      </c>
      <c r="K262" t="n">
        <v>0</v>
      </c>
      <c r="L262" t="n">
        <v>0</v>
      </c>
      <c r="M262" t="n">
        <v>0</v>
      </c>
      <c r="N262" t="n">
        <v>0</v>
      </c>
      <c r="O262" t="n">
        <v>0</v>
      </c>
      <c r="P262" t="n">
        <v>0</v>
      </c>
      <c r="Q262" t="n">
        <v>0</v>
      </c>
      <c r="R262" s="2" t="inlineStr"/>
    </row>
    <row r="263" ht="15" customHeight="1">
      <c r="A263" t="inlineStr">
        <is>
          <t>A 2984-2024</t>
        </is>
      </c>
      <c r="B263" s="1" t="n">
        <v>45315</v>
      </c>
      <c r="C263" s="1" t="n">
        <v>46020</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19664-2025</t>
        </is>
      </c>
      <c r="B264" s="1" t="n">
        <v>45770.6925462963</v>
      </c>
      <c r="C264" s="1" t="n">
        <v>46020</v>
      </c>
      <c r="D264" t="inlineStr">
        <is>
          <t>JÄMTLANDS LÄN</t>
        </is>
      </c>
      <c r="E264" t="inlineStr">
        <is>
          <t>ÖSTERSUND</t>
        </is>
      </c>
      <c r="G264" t="n">
        <v>8.6</v>
      </c>
      <c r="H264" t="n">
        <v>0</v>
      </c>
      <c r="I264" t="n">
        <v>0</v>
      </c>
      <c r="J264" t="n">
        <v>0</v>
      </c>
      <c r="K264" t="n">
        <v>0</v>
      </c>
      <c r="L264" t="n">
        <v>0</v>
      </c>
      <c r="M264" t="n">
        <v>0</v>
      </c>
      <c r="N264" t="n">
        <v>0</v>
      </c>
      <c r="O264" t="n">
        <v>0</v>
      </c>
      <c r="P264" t="n">
        <v>0</v>
      </c>
      <c r="Q264" t="n">
        <v>0</v>
      </c>
      <c r="R264" s="2" t="inlineStr"/>
    </row>
    <row r="265" ht="15" customHeight="1">
      <c r="A265" t="inlineStr">
        <is>
          <t>A 55002-2024</t>
        </is>
      </c>
      <c r="B265" s="1" t="n">
        <v>45621</v>
      </c>
      <c r="C265" s="1" t="n">
        <v>46020</v>
      </c>
      <c r="D265" t="inlineStr">
        <is>
          <t>JÄMTLANDS LÄN</t>
        </is>
      </c>
      <c r="E265" t="inlineStr">
        <is>
          <t>ÖSTERSUND</t>
        </is>
      </c>
      <c r="F265" t="inlineStr">
        <is>
          <t>Övriga Aktiebolag</t>
        </is>
      </c>
      <c r="G265" t="n">
        <v>0.3</v>
      </c>
      <c r="H265" t="n">
        <v>0</v>
      </c>
      <c r="I265" t="n">
        <v>0</v>
      </c>
      <c r="J265" t="n">
        <v>0</v>
      </c>
      <c r="K265" t="n">
        <v>0</v>
      </c>
      <c r="L265" t="n">
        <v>0</v>
      </c>
      <c r="M265" t="n">
        <v>0</v>
      </c>
      <c r="N265" t="n">
        <v>0</v>
      </c>
      <c r="O265" t="n">
        <v>0</v>
      </c>
      <c r="P265" t="n">
        <v>0</v>
      </c>
      <c r="Q265" t="n">
        <v>0</v>
      </c>
      <c r="R265" s="2" t="inlineStr"/>
    </row>
    <row r="266" ht="15" customHeight="1">
      <c r="A266" t="inlineStr">
        <is>
          <t>A 50088-2024</t>
        </is>
      </c>
      <c r="B266" s="1" t="n">
        <v>45600.38585648148</v>
      </c>
      <c r="C266" s="1" t="n">
        <v>46020</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23249-2025</t>
        </is>
      </c>
      <c r="B267" s="1" t="n">
        <v>45791</v>
      </c>
      <c r="C267" s="1" t="n">
        <v>46020</v>
      </c>
      <c r="D267" t="inlineStr">
        <is>
          <t>JÄMTLANDS LÄN</t>
        </is>
      </c>
      <c r="E267" t="inlineStr">
        <is>
          <t>ÖSTERSUND</t>
        </is>
      </c>
      <c r="G267" t="n">
        <v>10</v>
      </c>
      <c r="H267" t="n">
        <v>0</v>
      </c>
      <c r="I267" t="n">
        <v>0</v>
      </c>
      <c r="J267" t="n">
        <v>0</v>
      </c>
      <c r="K267" t="n">
        <v>0</v>
      </c>
      <c r="L267" t="n">
        <v>0</v>
      </c>
      <c r="M267" t="n">
        <v>0</v>
      </c>
      <c r="N267" t="n">
        <v>0</v>
      </c>
      <c r="O267" t="n">
        <v>0</v>
      </c>
      <c r="P267" t="n">
        <v>0</v>
      </c>
      <c r="Q267" t="n">
        <v>0</v>
      </c>
      <c r="R267" s="2" t="inlineStr"/>
    </row>
    <row r="268" ht="15" customHeight="1">
      <c r="A268" t="inlineStr">
        <is>
          <t>A 7938-2025</t>
        </is>
      </c>
      <c r="B268" s="1" t="n">
        <v>45707</v>
      </c>
      <c r="C268" s="1" t="n">
        <v>46020</v>
      </c>
      <c r="D268" t="inlineStr">
        <is>
          <t>JÄMTLANDS LÄN</t>
        </is>
      </c>
      <c r="E268" t="inlineStr">
        <is>
          <t>ÖSTERSUND</t>
        </is>
      </c>
      <c r="G268" t="n">
        <v>3</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46020</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23100-2025</t>
        </is>
      </c>
      <c r="B270" s="1" t="n">
        <v>45791.35212962963</v>
      </c>
      <c r="C270" s="1" t="n">
        <v>46020</v>
      </c>
      <c r="D270" t="inlineStr">
        <is>
          <t>JÄMTLANDS LÄN</t>
        </is>
      </c>
      <c r="E270" t="inlineStr">
        <is>
          <t>ÖSTERSUND</t>
        </is>
      </c>
      <c r="G270" t="n">
        <v>4.5</v>
      </c>
      <c r="H270" t="n">
        <v>0</v>
      </c>
      <c r="I270" t="n">
        <v>0</v>
      </c>
      <c r="J270" t="n">
        <v>0</v>
      </c>
      <c r="K270" t="n">
        <v>0</v>
      </c>
      <c r="L270" t="n">
        <v>0</v>
      </c>
      <c r="M270" t="n">
        <v>0</v>
      </c>
      <c r="N270" t="n">
        <v>0</v>
      </c>
      <c r="O270" t="n">
        <v>0</v>
      </c>
      <c r="P270" t="n">
        <v>0</v>
      </c>
      <c r="Q270" t="n">
        <v>0</v>
      </c>
      <c r="R270" s="2" t="inlineStr"/>
    </row>
    <row r="271" ht="15" customHeight="1">
      <c r="A271" t="inlineStr">
        <is>
          <t>A 23110-2025</t>
        </is>
      </c>
      <c r="B271" s="1" t="n">
        <v>45791.36526620371</v>
      </c>
      <c r="C271" s="1" t="n">
        <v>46020</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22920-2025</t>
        </is>
      </c>
      <c r="B272" s="1" t="n">
        <v>45790.43905092592</v>
      </c>
      <c r="C272" s="1" t="n">
        <v>46020</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23078-2025</t>
        </is>
      </c>
      <c r="B273" s="1" t="n">
        <v>45791.27984953704</v>
      </c>
      <c r="C273" s="1" t="n">
        <v>46020</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46020</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5549-2025</t>
        </is>
      </c>
      <c r="B275" s="1" t="n">
        <v>45693</v>
      </c>
      <c r="C275" s="1" t="n">
        <v>46020</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5553-2025</t>
        </is>
      </c>
      <c r="B276" s="1" t="n">
        <v>45693</v>
      </c>
      <c r="C276" s="1" t="n">
        <v>46020</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60560-2022</t>
        </is>
      </c>
      <c r="B277" s="1" t="n">
        <v>44911.54984953703</v>
      </c>
      <c r="C277" s="1" t="n">
        <v>46020</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23877-2025</t>
        </is>
      </c>
      <c r="B278" s="1" t="n">
        <v>45793.68469907407</v>
      </c>
      <c r="C278" s="1" t="n">
        <v>46020</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46139-2021</t>
        </is>
      </c>
      <c r="B279" s="1" t="n">
        <v>44441</v>
      </c>
      <c r="C279" s="1" t="n">
        <v>46020</v>
      </c>
      <c r="D279" t="inlineStr">
        <is>
          <t>JÄMTLANDS LÄN</t>
        </is>
      </c>
      <c r="E279" t="inlineStr">
        <is>
          <t>ÖSTERSUND</t>
        </is>
      </c>
      <c r="G279" t="n">
        <v>12.8</v>
      </c>
      <c r="H279" t="n">
        <v>0</v>
      </c>
      <c r="I279" t="n">
        <v>0</v>
      </c>
      <c r="J279" t="n">
        <v>0</v>
      </c>
      <c r="K279" t="n">
        <v>0</v>
      </c>
      <c r="L279" t="n">
        <v>0</v>
      </c>
      <c r="M279" t="n">
        <v>0</v>
      </c>
      <c r="N279" t="n">
        <v>0</v>
      </c>
      <c r="O279" t="n">
        <v>0</v>
      </c>
      <c r="P279" t="n">
        <v>0</v>
      </c>
      <c r="Q279" t="n">
        <v>0</v>
      </c>
      <c r="R279" s="2" t="inlineStr"/>
    </row>
    <row r="280" ht="15" customHeight="1">
      <c r="A280" t="inlineStr">
        <is>
          <t>A 5140-2025</t>
        </is>
      </c>
      <c r="B280" s="1" t="n">
        <v>45691</v>
      </c>
      <c r="C280" s="1" t="n">
        <v>46020</v>
      </c>
      <c r="D280" t="inlineStr">
        <is>
          <t>JÄMTLANDS LÄN</t>
        </is>
      </c>
      <c r="E280" t="inlineStr">
        <is>
          <t>ÖSTERSUND</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38853-2025</t>
        </is>
      </c>
      <c r="B281" s="1" t="n">
        <v>45887.55666666666</v>
      </c>
      <c r="C281" s="1" t="n">
        <v>46020</v>
      </c>
      <c r="D281" t="inlineStr">
        <is>
          <t>JÄMTLANDS LÄN</t>
        </is>
      </c>
      <c r="E281" t="inlineStr">
        <is>
          <t>ÖSTERSUND</t>
        </is>
      </c>
      <c r="G281" t="n">
        <v>2.5</v>
      </c>
      <c r="H281" t="n">
        <v>0</v>
      </c>
      <c r="I281" t="n">
        <v>0</v>
      </c>
      <c r="J281" t="n">
        <v>0</v>
      </c>
      <c r="K281" t="n">
        <v>0</v>
      </c>
      <c r="L281" t="n">
        <v>0</v>
      </c>
      <c r="M281" t="n">
        <v>0</v>
      </c>
      <c r="N281" t="n">
        <v>0</v>
      </c>
      <c r="O281" t="n">
        <v>0</v>
      </c>
      <c r="P281" t="n">
        <v>0</v>
      </c>
      <c r="Q281" t="n">
        <v>0</v>
      </c>
      <c r="R281" s="2" t="inlineStr"/>
    </row>
    <row r="282" ht="15" customHeight="1">
      <c r="A282" t="inlineStr">
        <is>
          <t>A 43511-2022</t>
        </is>
      </c>
      <c r="B282" s="1" t="n">
        <v>44837.36724537037</v>
      </c>
      <c r="C282" s="1" t="n">
        <v>46020</v>
      </c>
      <c r="D282" t="inlineStr">
        <is>
          <t>JÄMTLANDS LÄN</t>
        </is>
      </c>
      <c r="E282" t="inlineStr">
        <is>
          <t>ÖSTERSUND</t>
        </is>
      </c>
      <c r="G282" t="n">
        <v>3.7</v>
      </c>
      <c r="H282" t="n">
        <v>0</v>
      </c>
      <c r="I282" t="n">
        <v>0</v>
      </c>
      <c r="J282" t="n">
        <v>0</v>
      </c>
      <c r="K282" t="n">
        <v>0</v>
      </c>
      <c r="L282" t="n">
        <v>0</v>
      </c>
      <c r="M282" t="n">
        <v>0</v>
      </c>
      <c r="N282" t="n">
        <v>0</v>
      </c>
      <c r="O282" t="n">
        <v>0</v>
      </c>
      <c r="P282" t="n">
        <v>0</v>
      </c>
      <c r="Q282" t="n">
        <v>0</v>
      </c>
      <c r="R282" s="2" t="inlineStr"/>
    </row>
    <row r="283" ht="15" customHeight="1">
      <c r="A283" t="inlineStr">
        <is>
          <t>A 60174-2022</t>
        </is>
      </c>
      <c r="B283" s="1" t="n">
        <v>44909.9640162037</v>
      </c>
      <c r="C283" s="1" t="n">
        <v>46020</v>
      </c>
      <c r="D283" t="inlineStr">
        <is>
          <t>JÄMTLANDS LÄN</t>
        </is>
      </c>
      <c r="E283" t="inlineStr">
        <is>
          <t>ÖSTERSUND</t>
        </is>
      </c>
      <c r="F283" t="inlineStr">
        <is>
          <t>SCA</t>
        </is>
      </c>
      <c r="G283" t="n">
        <v>0.5</v>
      </c>
      <c r="H283" t="n">
        <v>0</v>
      </c>
      <c r="I283" t="n">
        <v>0</v>
      </c>
      <c r="J283" t="n">
        <v>0</v>
      </c>
      <c r="K283" t="n">
        <v>0</v>
      </c>
      <c r="L283" t="n">
        <v>0</v>
      </c>
      <c r="M283" t="n">
        <v>0</v>
      </c>
      <c r="N283" t="n">
        <v>0</v>
      </c>
      <c r="O283" t="n">
        <v>0</v>
      </c>
      <c r="P283" t="n">
        <v>0</v>
      </c>
      <c r="Q283" t="n">
        <v>0</v>
      </c>
      <c r="R283" s="2" t="inlineStr"/>
    </row>
    <row r="284" ht="15" customHeight="1">
      <c r="A284" t="inlineStr">
        <is>
          <t>A 43016-2024</t>
        </is>
      </c>
      <c r="B284" s="1" t="n">
        <v>45567.39192129629</v>
      </c>
      <c r="C284" s="1" t="n">
        <v>46020</v>
      </c>
      <c r="D284" t="inlineStr">
        <is>
          <t>JÄMTLANDS LÄN</t>
        </is>
      </c>
      <c r="E284" t="inlineStr">
        <is>
          <t>ÖSTERSUND</t>
        </is>
      </c>
      <c r="G284" t="n">
        <v>5.3</v>
      </c>
      <c r="H284" t="n">
        <v>0</v>
      </c>
      <c r="I284" t="n">
        <v>0</v>
      </c>
      <c r="J284" t="n">
        <v>0</v>
      </c>
      <c r="K284" t="n">
        <v>0</v>
      </c>
      <c r="L284" t="n">
        <v>0</v>
      </c>
      <c r="M284" t="n">
        <v>0</v>
      </c>
      <c r="N284" t="n">
        <v>0</v>
      </c>
      <c r="O284" t="n">
        <v>0</v>
      </c>
      <c r="P284" t="n">
        <v>0</v>
      </c>
      <c r="Q284" t="n">
        <v>0</v>
      </c>
      <c r="R284" s="2" t="inlineStr"/>
    </row>
    <row r="285" ht="15" customHeight="1">
      <c r="A285" t="inlineStr">
        <is>
          <t>A 51481-2023</t>
        </is>
      </c>
      <c r="B285" s="1" t="n">
        <v>45221.92440972223</v>
      </c>
      <c r="C285" s="1" t="n">
        <v>46020</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24403-2025</t>
        </is>
      </c>
      <c r="B286" s="1" t="n">
        <v>45797.65025462963</v>
      </c>
      <c r="C286" s="1" t="n">
        <v>46020</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41780-2024</t>
        </is>
      </c>
      <c r="B287" s="1" t="n">
        <v>45561.34908564815</v>
      </c>
      <c r="C287" s="1" t="n">
        <v>46020</v>
      </c>
      <c r="D287" t="inlineStr">
        <is>
          <t>JÄMTLANDS LÄN</t>
        </is>
      </c>
      <c r="E287" t="inlineStr">
        <is>
          <t>ÖSTERSUND</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24568-2025</t>
        </is>
      </c>
      <c r="B288" s="1" t="n">
        <v>45798.46913194445</v>
      </c>
      <c r="C288" s="1" t="n">
        <v>46020</v>
      </c>
      <c r="D288" t="inlineStr">
        <is>
          <t>JÄMTLANDS LÄN</t>
        </is>
      </c>
      <c r="E288" t="inlineStr">
        <is>
          <t>ÖSTERSUND</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8675-2023</t>
        </is>
      </c>
      <c r="B289" s="1" t="n">
        <v>44977.98629629629</v>
      </c>
      <c r="C289" s="1" t="n">
        <v>46020</v>
      </c>
      <c r="D289" t="inlineStr">
        <is>
          <t>JÄMTLANDS LÄN</t>
        </is>
      </c>
      <c r="E289" t="inlineStr">
        <is>
          <t>ÖSTERSUND</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24523-2025</t>
        </is>
      </c>
      <c r="B290" s="1" t="n">
        <v>45798.42108796296</v>
      </c>
      <c r="C290" s="1" t="n">
        <v>46020</v>
      </c>
      <c r="D290" t="inlineStr">
        <is>
          <t>JÄMTLANDS LÄN</t>
        </is>
      </c>
      <c r="E290" t="inlineStr">
        <is>
          <t>ÖSTERSUND</t>
        </is>
      </c>
      <c r="G290" t="n">
        <v>13.7</v>
      </c>
      <c r="H290" t="n">
        <v>0</v>
      </c>
      <c r="I290" t="n">
        <v>0</v>
      </c>
      <c r="J290" t="n">
        <v>0</v>
      </c>
      <c r="K290" t="n">
        <v>0</v>
      </c>
      <c r="L290" t="n">
        <v>0</v>
      </c>
      <c r="M290" t="n">
        <v>0</v>
      </c>
      <c r="N290" t="n">
        <v>0</v>
      </c>
      <c r="O290" t="n">
        <v>0</v>
      </c>
      <c r="P290" t="n">
        <v>0</v>
      </c>
      <c r="Q290" t="n">
        <v>0</v>
      </c>
      <c r="R290" s="2" t="inlineStr"/>
    </row>
    <row r="291" ht="15" customHeight="1">
      <c r="A291" t="inlineStr">
        <is>
          <t>A 25058-2025</t>
        </is>
      </c>
      <c r="B291" s="1" t="n">
        <v>45799.68418981481</v>
      </c>
      <c r="C291" s="1" t="n">
        <v>46020</v>
      </c>
      <c r="D291" t="inlineStr">
        <is>
          <t>JÄMTLANDS LÄN</t>
        </is>
      </c>
      <c r="E291" t="inlineStr">
        <is>
          <t>ÖSTERSUND</t>
        </is>
      </c>
      <c r="G291" t="n">
        <v>0.8</v>
      </c>
      <c r="H291" t="n">
        <v>0</v>
      </c>
      <c r="I291" t="n">
        <v>0</v>
      </c>
      <c r="J291" t="n">
        <v>0</v>
      </c>
      <c r="K291" t="n">
        <v>0</v>
      </c>
      <c r="L291" t="n">
        <v>0</v>
      </c>
      <c r="M291" t="n">
        <v>0</v>
      </c>
      <c r="N291" t="n">
        <v>0</v>
      </c>
      <c r="O291" t="n">
        <v>0</v>
      </c>
      <c r="P291" t="n">
        <v>0</v>
      </c>
      <c r="Q291" t="n">
        <v>0</v>
      </c>
      <c r="R291" s="2" t="inlineStr"/>
    </row>
    <row r="292" ht="15" customHeight="1">
      <c r="A292" t="inlineStr">
        <is>
          <t>A 53176-2024</t>
        </is>
      </c>
      <c r="B292" s="1" t="n">
        <v>45611.66655092593</v>
      </c>
      <c r="C292" s="1" t="n">
        <v>46020</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56646-2024</t>
        </is>
      </c>
      <c r="B293" s="1" t="n">
        <v>45625</v>
      </c>
      <c r="C293" s="1" t="n">
        <v>46020</v>
      </c>
      <c r="D293" t="inlineStr">
        <is>
          <t>JÄMTLANDS LÄN</t>
        </is>
      </c>
      <c r="E293" t="inlineStr">
        <is>
          <t>ÖSTERSUND</t>
        </is>
      </c>
      <c r="G293" t="n">
        <v>18.9</v>
      </c>
      <c r="H293" t="n">
        <v>0</v>
      </c>
      <c r="I293" t="n">
        <v>0</v>
      </c>
      <c r="J293" t="n">
        <v>0</v>
      </c>
      <c r="K293" t="n">
        <v>0</v>
      </c>
      <c r="L293" t="n">
        <v>0</v>
      </c>
      <c r="M293" t="n">
        <v>0</v>
      </c>
      <c r="N293" t="n">
        <v>0</v>
      </c>
      <c r="O293" t="n">
        <v>0</v>
      </c>
      <c r="P293" t="n">
        <v>0</v>
      </c>
      <c r="Q293" t="n">
        <v>0</v>
      </c>
      <c r="R293" s="2" t="inlineStr"/>
    </row>
    <row r="294" ht="15" customHeight="1">
      <c r="A294" t="inlineStr">
        <is>
          <t>A 25069-2025</t>
        </is>
      </c>
      <c r="B294" s="1" t="n">
        <v>45799.7372337963</v>
      </c>
      <c r="C294" s="1" t="n">
        <v>46020</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24946-2025</t>
        </is>
      </c>
      <c r="B295" s="1" t="n">
        <v>45799.56515046296</v>
      </c>
      <c r="C295" s="1" t="n">
        <v>46020</v>
      </c>
      <c r="D295" t="inlineStr">
        <is>
          <t>JÄMTLANDS LÄN</t>
        </is>
      </c>
      <c r="E295" t="inlineStr">
        <is>
          <t>ÖSTERSUND</t>
        </is>
      </c>
      <c r="G295" t="n">
        <v>4.8</v>
      </c>
      <c r="H295" t="n">
        <v>0</v>
      </c>
      <c r="I295" t="n">
        <v>0</v>
      </c>
      <c r="J295" t="n">
        <v>0</v>
      </c>
      <c r="K295" t="n">
        <v>0</v>
      </c>
      <c r="L295" t="n">
        <v>0</v>
      </c>
      <c r="M295" t="n">
        <v>0</v>
      </c>
      <c r="N295" t="n">
        <v>0</v>
      </c>
      <c r="O295" t="n">
        <v>0</v>
      </c>
      <c r="P295" t="n">
        <v>0</v>
      </c>
      <c r="Q295" t="n">
        <v>0</v>
      </c>
      <c r="R295" s="2" t="inlineStr"/>
    </row>
    <row r="296" ht="15" customHeight="1">
      <c r="A296" t="inlineStr">
        <is>
          <t>A 39030-2025</t>
        </is>
      </c>
      <c r="B296" s="1" t="n">
        <v>45888.40700231482</v>
      </c>
      <c r="C296" s="1" t="n">
        <v>46020</v>
      </c>
      <c r="D296" t="inlineStr">
        <is>
          <t>JÄMTLANDS LÄN</t>
        </is>
      </c>
      <c r="E296" t="inlineStr">
        <is>
          <t>ÖSTERSUND</t>
        </is>
      </c>
      <c r="G296" t="n">
        <v>1.8</v>
      </c>
      <c r="H296" t="n">
        <v>0</v>
      </c>
      <c r="I296" t="n">
        <v>0</v>
      </c>
      <c r="J296" t="n">
        <v>0</v>
      </c>
      <c r="K296" t="n">
        <v>0</v>
      </c>
      <c r="L296" t="n">
        <v>0</v>
      </c>
      <c r="M296" t="n">
        <v>0</v>
      </c>
      <c r="N296" t="n">
        <v>0</v>
      </c>
      <c r="O296" t="n">
        <v>0</v>
      </c>
      <c r="P296" t="n">
        <v>0</v>
      </c>
      <c r="Q296" t="n">
        <v>0</v>
      </c>
      <c r="R296" s="2" t="inlineStr"/>
    </row>
    <row r="297" ht="15" customHeight="1">
      <c r="A297" t="inlineStr">
        <is>
          <t>A 25059-2025</t>
        </is>
      </c>
      <c r="B297" s="1" t="n">
        <v>45799.69116898148</v>
      </c>
      <c r="C297" s="1" t="n">
        <v>46020</v>
      </c>
      <c r="D297" t="inlineStr">
        <is>
          <t>JÄMTLANDS LÄN</t>
        </is>
      </c>
      <c r="E297" t="inlineStr">
        <is>
          <t>ÖSTERSUND</t>
        </is>
      </c>
      <c r="G297" t="n">
        <v>2.7</v>
      </c>
      <c r="H297" t="n">
        <v>0</v>
      </c>
      <c r="I297" t="n">
        <v>0</v>
      </c>
      <c r="J297" t="n">
        <v>0</v>
      </c>
      <c r="K297" t="n">
        <v>0</v>
      </c>
      <c r="L297" t="n">
        <v>0</v>
      </c>
      <c r="M297" t="n">
        <v>0</v>
      </c>
      <c r="N297" t="n">
        <v>0</v>
      </c>
      <c r="O297" t="n">
        <v>0</v>
      </c>
      <c r="P297" t="n">
        <v>0</v>
      </c>
      <c r="Q297" t="n">
        <v>0</v>
      </c>
      <c r="R297" s="2" t="inlineStr"/>
    </row>
    <row r="298" ht="15" customHeight="1">
      <c r="A298" t="inlineStr">
        <is>
          <t>A 6048-2024</t>
        </is>
      </c>
      <c r="B298" s="1" t="n">
        <v>45336</v>
      </c>
      <c r="C298" s="1" t="n">
        <v>46020</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16335-2025</t>
        </is>
      </c>
      <c r="B299" s="1" t="n">
        <v>45751.36518518518</v>
      </c>
      <c r="C299" s="1" t="n">
        <v>46020</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15686-2025</t>
        </is>
      </c>
      <c r="B300" s="1" t="n">
        <v>45748.46021990741</v>
      </c>
      <c r="C300" s="1" t="n">
        <v>46020</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2747-2025</t>
        </is>
      </c>
      <c r="B301" s="1" t="n">
        <v>45677.4649537037</v>
      </c>
      <c r="C301" s="1" t="n">
        <v>46020</v>
      </c>
      <c r="D301" t="inlineStr">
        <is>
          <t>JÄMTLANDS LÄN</t>
        </is>
      </c>
      <c r="E301" t="inlineStr">
        <is>
          <t>ÖSTERSUND</t>
        </is>
      </c>
      <c r="F301" t="inlineStr">
        <is>
          <t>Sveaskog</t>
        </is>
      </c>
      <c r="G301" t="n">
        <v>6.4</v>
      </c>
      <c r="H301" t="n">
        <v>0</v>
      </c>
      <c r="I301" t="n">
        <v>0</v>
      </c>
      <c r="J301" t="n">
        <v>0</v>
      </c>
      <c r="K301" t="n">
        <v>0</v>
      </c>
      <c r="L301" t="n">
        <v>0</v>
      </c>
      <c r="M301" t="n">
        <v>0</v>
      </c>
      <c r="N301" t="n">
        <v>0</v>
      </c>
      <c r="O301" t="n">
        <v>0</v>
      </c>
      <c r="P301" t="n">
        <v>0</v>
      </c>
      <c r="Q301" t="n">
        <v>0</v>
      </c>
      <c r="R301" s="2" t="inlineStr"/>
    </row>
    <row r="302" ht="15" customHeight="1">
      <c r="A302" t="inlineStr">
        <is>
          <t>A 39103-2025</t>
        </is>
      </c>
      <c r="B302" s="1" t="n">
        <v>45888.52440972222</v>
      </c>
      <c r="C302" s="1" t="n">
        <v>46020</v>
      </c>
      <c r="D302" t="inlineStr">
        <is>
          <t>JÄMTLANDS LÄN</t>
        </is>
      </c>
      <c r="E302" t="inlineStr">
        <is>
          <t>ÖSTERSUND</t>
        </is>
      </c>
      <c r="G302" t="n">
        <v>23.9</v>
      </c>
      <c r="H302" t="n">
        <v>0</v>
      </c>
      <c r="I302" t="n">
        <v>0</v>
      </c>
      <c r="J302" t="n">
        <v>0</v>
      </c>
      <c r="K302" t="n">
        <v>0</v>
      </c>
      <c r="L302" t="n">
        <v>0</v>
      </c>
      <c r="M302" t="n">
        <v>0</v>
      </c>
      <c r="N302" t="n">
        <v>0</v>
      </c>
      <c r="O302" t="n">
        <v>0</v>
      </c>
      <c r="P302" t="n">
        <v>0</v>
      </c>
      <c r="Q302" t="n">
        <v>0</v>
      </c>
      <c r="R302" s="2" t="inlineStr"/>
    </row>
    <row r="303" ht="15" customHeight="1">
      <c r="A303" t="inlineStr">
        <is>
          <t>A 25572-2025</t>
        </is>
      </c>
      <c r="B303" s="1" t="n">
        <v>45803</v>
      </c>
      <c r="C303" s="1" t="n">
        <v>46020</v>
      </c>
      <c r="D303" t="inlineStr">
        <is>
          <t>JÄMTLANDS LÄN</t>
        </is>
      </c>
      <c r="E303" t="inlineStr">
        <is>
          <t>ÖSTERSUND</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11181-2025</t>
        </is>
      </c>
      <c r="B304" s="1" t="n">
        <v>45725.44039351852</v>
      </c>
      <c r="C304" s="1" t="n">
        <v>46020</v>
      </c>
      <c r="D304" t="inlineStr">
        <is>
          <t>JÄMTLANDS LÄN</t>
        </is>
      </c>
      <c r="E304" t="inlineStr">
        <is>
          <t>ÖSTERSUND</t>
        </is>
      </c>
      <c r="G304" t="n">
        <v>15.4</v>
      </c>
      <c r="H304" t="n">
        <v>0</v>
      </c>
      <c r="I304" t="n">
        <v>0</v>
      </c>
      <c r="J304" t="n">
        <v>0</v>
      </c>
      <c r="K304" t="n">
        <v>0</v>
      </c>
      <c r="L304" t="n">
        <v>0</v>
      </c>
      <c r="M304" t="n">
        <v>0</v>
      </c>
      <c r="N304" t="n">
        <v>0</v>
      </c>
      <c r="O304" t="n">
        <v>0</v>
      </c>
      <c r="P304" t="n">
        <v>0</v>
      </c>
      <c r="Q304" t="n">
        <v>0</v>
      </c>
      <c r="R304" s="2" t="inlineStr"/>
    </row>
    <row r="305" ht="15" customHeight="1">
      <c r="A305" t="inlineStr">
        <is>
          <t>A 25252-2025</t>
        </is>
      </c>
      <c r="B305" s="1" t="n">
        <v>45800.50355324074</v>
      </c>
      <c r="C305" s="1" t="n">
        <v>46020</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25221-2025</t>
        </is>
      </c>
      <c r="B306" s="1" t="n">
        <v>45800.47802083333</v>
      </c>
      <c r="C306" s="1" t="n">
        <v>46020</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40325-2025</t>
        </is>
      </c>
      <c r="B307" s="1" t="n">
        <v>45895.4484837963</v>
      </c>
      <c r="C307" s="1" t="n">
        <v>46020</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40361-2025</t>
        </is>
      </c>
      <c r="B308" s="1" t="n">
        <v>45895.49026620371</v>
      </c>
      <c r="C308" s="1" t="n">
        <v>46020</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40360-2025</t>
        </is>
      </c>
      <c r="B309" s="1" t="n">
        <v>45895.49024305555</v>
      </c>
      <c r="C309" s="1" t="n">
        <v>46020</v>
      </c>
      <c r="D309" t="inlineStr">
        <is>
          <t>JÄMTLANDS LÄN</t>
        </is>
      </c>
      <c r="E309" t="inlineStr">
        <is>
          <t>ÖSTERSUND</t>
        </is>
      </c>
      <c r="G309" t="n">
        <v>3.7</v>
      </c>
      <c r="H309" t="n">
        <v>0</v>
      </c>
      <c r="I309" t="n">
        <v>0</v>
      </c>
      <c r="J309" t="n">
        <v>0</v>
      </c>
      <c r="K309" t="n">
        <v>0</v>
      </c>
      <c r="L309" t="n">
        <v>0</v>
      </c>
      <c r="M309" t="n">
        <v>0</v>
      </c>
      <c r="N309" t="n">
        <v>0</v>
      </c>
      <c r="O309" t="n">
        <v>0</v>
      </c>
      <c r="P309" t="n">
        <v>0</v>
      </c>
      <c r="Q309" t="n">
        <v>0</v>
      </c>
      <c r="R309" s="2" t="inlineStr"/>
    </row>
    <row r="310" ht="15" customHeight="1">
      <c r="A310" t="inlineStr">
        <is>
          <t>A 25210-2025</t>
        </is>
      </c>
      <c r="B310" s="1" t="n">
        <v>45800.46960648148</v>
      </c>
      <c r="C310" s="1" t="n">
        <v>46020</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26144-2025</t>
        </is>
      </c>
      <c r="B311" s="1" t="n">
        <v>45805.42827546296</v>
      </c>
      <c r="C311" s="1" t="n">
        <v>46020</v>
      </c>
      <c r="D311" t="inlineStr">
        <is>
          <t>JÄMTLANDS LÄN</t>
        </is>
      </c>
      <c r="E311" t="inlineStr">
        <is>
          <t>ÖSTERSUND</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22082-2022</t>
        </is>
      </c>
      <c r="B312" s="1" t="n">
        <v>44711.9403587963</v>
      </c>
      <c r="C312" s="1" t="n">
        <v>46020</v>
      </c>
      <c r="D312" t="inlineStr">
        <is>
          <t>JÄMTLANDS LÄN</t>
        </is>
      </c>
      <c r="E312" t="inlineStr">
        <is>
          <t>ÖSTERSUND</t>
        </is>
      </c>
      <c r="G312" t="n">
        <v>2.6</v>
      </c>
      <c r="H312" t="n">
        <v>0</v>
      </c>
      <c r="I312" t="n">
        <v>0</v>
      </c>
      <c r="J312" t="n">
        <v>0</v>
      </c>
      <c r="K312" t="n">
        <v>0</v>
      </c>
      <c r="L312" t="n">
        <v>0</v>
      </c>
      <c r="M312" t="n">
        <v>0</v>
      </c>
      <c r="N312" t="n">
        <v>0</v>
      </c>
      <c r="O312" t="n">
        <v>0</v>
      </c>
      <c r="P312" t="n">
        <v>0</v>
      </c>
      <c r="Q312" t="n">
        <v>0</v>
      </c>
      <c r="R312" s="2" t="inlineStr"/>
    </row>
    <row r="313" ht="15" customHeight="1">
      <c r="A313" t="inlineStr">
        <is>
          <t>A 40326-2025</t>
        </is>
      </c>
      <c r="B313" s="1" t="n">
        <v>45895.44856481482</v>
      </c>
      <c r="C313" s="1" t="n">
        <v>46020</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47357-2024</t>
        </is>
      </c>
      <c r="B314" s="1" t="n">
        <v>45587.42835648148</v>
      </c>
      <c r="C314" s="1" t="n">
        <v>46020</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38142-2021</t>
        </is>
      </c>
      <c r="B315" s="1" t="n">
        <v>44405</v>
      </c>
      <c r="C315" s="1" t="n">
        <v>46020</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26492-2025</t>
        </is>
      </c>
      <c r="B316" s="1" t="n">
        <v>45807</v>
      </c>
      <c r="C316" s="1" t="n">
        <v>46020</v>
      </c>
      <c r="D316" t="inlineStr">
        <is>
          <t>JÄMTLANDS LÄN</t>
        </is>
      </c>
      <c r="E316" t="inlineStr">
        <is>
          <t>ÖSTERSUND</t>
        </is>
      </c>
      <c r="G316" t="n">
        <v>7</v>
      </c>
      <c r="H316" t="n">
        <v>0</v>
      </c>
      <c r="I316" t="n">
        <v>0</v>
      </c>
      <c r="J316" t="n">
        <v>0</v>
      </c>
      <c r="K316" t="n">
        <v>0</v>
      </c>
      <c r="L316" t="n">
        <v>0</v>
      </c>
      <c r="M316" t="n">
        <v>0</v>
      </c>
      <c r="N316" t="n">
        <v>0</v>
      </c>
      <c r="O316" t="n">
        <v>0</v>
      </c>
      <c r="P316" t="n">
        <v>0</v>
      </c>
      <c r="Q316" t="n">
        <v>0</v>
      </c>
      <c r="R316" s="2" t="inlineStr"/>
    </row>
    <row r="317" ht="15" customHeight="1">
      <c r="A317" t="inlineStr">
        <is>
          <t>A 26500-2025</t>
        </is>
      </c>
      <c r="B317" s="1" t="n">
        <v>45807</v>
      </c>
      <c r="C317" s="1" t="n">
        <v>46020</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61256-2022</t>
        </is>
      </c>
      <c r="B318" s="1" t="n">
        <v>44909</v>
      </c>
      <c r="C318" s="1" t="n">
        <v>46020</v>
      </c>
      <c r="D318" t="inlineStr">
        <is>
          <t>JÄMTLANDS LÄN</t>
        </is>
      </c>
      <c r="E318" t="inlineStr">
        <is>
          <t>ÖSTERSUND</t>
        </is>
      </c>
      <c r="G318" t="n">
        <v>3.9</v>
      </c>
      <c r="H318" t="n">
        <v>0</v>
      </c>
      <c r="I318" t="n">
        <v>0</v>
      </c>
      <c r="J318" t="n">
        <v>0</v>
      </c>
      <c r="K318" t="n">
        <v>0</v>
      </c>
      <c r="L318" t="n">
        <v>0</v>
      </c>
      <c r="M318" t="n">
        <v>0</v>
      </c>
      <c r="N318" t="n">
        <v>0</v>
      </c>
      <c r="O318" t="n">
        <v>0</v>
      </c>
      <c r="P318" t="n">
        <v>0</v>
      </c>
      <c r="Q318" t="n">
        <v>0</v>
      </c>
      <c r="R318" s="2" t="inlineStr"/>
    </row>
    <row r="319" ht="15" customHeight="1">
      <c r="A319" t="inlineStr">
        <is>
          <t>A 5135-2025</t>
        </is>
      </c>
      <c r="B319" s="1" t="n">
        <v>45691</v>
      </c>
      <c r="C319" s="1" t="n">
        <v>46020</v>
      </c>
      <c r="D319" t="inlineStr">
        <is>
          <t>JÄMTLANDS LÄN</t>
        </is>
      </c>
      <c r="E319" t="inlineStr">
        <is>
          <t>ÖSTERSUND</t>
        </is>
      </c>
      <c r="F319" t="inlineStr">
        <is>
          <t>Övriga Aktiebolag</t>
        </is>
      </c>
      <c r="G319" t="n">
        <v>126.9</v>
      </c>
      <c r="H319" t="n">
        <v>0</v>
      </c>
      <c r="I319" t="n">
        <v>0</v>
      </c>
      <c r="J319" t="n">
        <v>0</v>
      </c>
      <c r="K319" t="n">
        <v>0</v>
      </c>
      <c r="L319" t="n">
        <v>0</v>
      </c>
      <c r="M319" t="n">
        <v>0</v>
      </c>
      <c r="N319" t="n">
        <v>0</v>
      </c>
      <c r="O319" t="n">
        <v>0</v>
      </c>
      <c r="P319" t="n">
        <v>0</v>
      </c>
      <c r="Q319" t="n">
        <v>0</v>
      </c>
      <c r="R319" s="2" t="inlineStr"/>
    </row>
    <row r="320" ht="15" customHeight="1">
      <c r="A320" t="inlineStr">
        <is>
          <t>A 3610-2024</t>
        </is>
      </c>
      <c r="B320" s="1" t="n">
        <v>45320.92060185185</v>
      </c>
      <c r="C320" s="1" t="n">
        <v>46020</v>
      </c>
      <c r="D320" t="inlineStr">
        <is>
          <t>JÄMTLANDS LÄN</t>
        </is>
      </c>
      <c r="E320" t="inlineStr">
        <is>
          <t>ÖSTERSUND</t>
        </is>
      </c>
      <c r="G320" t="n">
        <v>6.2</v>
      </c>
      <c r="H320" t="n">
        <v>0</v>
      </c>
      <c r="I320" t="n">
        <v>0</v>
      </c>
      <c r="J320" t="n">
        <v>0</v>
      </c>
      <c r="K320" t="n">
        <v>0</v>
      </c>
      <c r="L320" t="n">
        <v>0</v>
      </c>
      <c r="M320" t="n">
        <v>0</v>
      </c>
      <c r="N320" t="n">
        <v>0</v>
      </c>
      <c r="O320" t="n">
        <v>0</v>
      </c>
      <c r="P320" t="n">
        <v>0</v>
      </c>
      <c r="Q320" t="n">
        <v>0</v>
      </c>
      <c r="R320" s="2" t="inlineStr"/>
    </row>
    <row r="321" ht="15" customHeight="1">
      <c r="A321" t="inlineStr">
        <is>
          <t>A 27034-2025</t>
        </is>
      </c>
      <c r="B321" s="1" t="n">
        <v>45811.59258101852</v>
      </c>
      <c r="C321" s="1" t="n">
        <v>46020</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46020</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26587-2025</t>
        </is>
      </c>
      <c r="B323" s="1" t="n">
        <v>45807.75076388889</v>
      </c>
      <c r="C323" s="1" t="n">
        <v>46020</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10064-2024</t>
        </is>
      </c>
      <c r="B324" s="1" t="n">
        <v>45364.3874074074</v>
      </c>
      <c r="C324" s="1" t="n">
        <v>46020</v>
      </c>
      <c r="D324" t="inlineStr">
        <is>
          <t>JÄMTLANDS LÄN</t>
        </is>
      </c>
      <c r="E324" t="inlineStr">
        <is>
          <t>ÖSTERSUND</t>
        </is>
      </c>
      <c r="G324" t="n">
        <v>13.9</v>
      </c>
      <c r="H324" t="n">
        <v>0</v>
      </c>
      <c r="I324" t="n">
        <v>0</v>
      </c>
      <c r="J324" t="n">
        <v>0</v>
      </c>
      <c r="K324" t="n">
        <v>0</v>
      </c>
      <c r="L324" t="n">
        <v>0</v>
      </c>
      <c r="M324" t="n">
        <v>0</v>
      </c>
      <c r="N324" t="n">
        <v>0</v>
      </c>
      <c r="O324" t="n">
        <v>0</v>
      </c>
      <c r="P324" t="n">
        <v>0</v>
      </c>
      <c r="Q324" t="n">
        <v>0</v>
      </c>
      <c r="R324" s="2" t="inlineStr"/>
    </row>
    <row r="325" ht="15" customHeight="1">
      <c r="A325" t="inlineStr">
        <is>
          <t>A 55302-2021</t>
        </is>
      </c>
      <c r="B325" s="1" t="n">
        <v>44475</v>
      </c>
      <c r="C325" s="1" t="n">
        <v>46020</v>
      </c>
      <c r="D325" t="inlineStr">
        <is>
          <t>JÄMTLANDS LÄN</t>
        </is>
      </c>
      <c r="E325" t="inlineStr">
        <is>
          <t>ÖSTERSUND</t>
        </is>
      </c>
      <c r="G325" t="n">
        <v>0.3</v>
      </c>
      <c r="H325" t="n">
        <v>0</v>
      </c>
      <c r="I325" t="n">
        <v>0</v>
      </c>
      <c r="J325" t="n">
        <v>0</v>
      </c>
      <c r="K325" t="n">
        <v>0</v>
      </c>
      <c r="L325" t="n">
        <v>0</v>
      </c>
      <c r="M325" t="n">
        <v>0</v>
      </c>
      <c r="N325" t="n">
        <v>0</v>
      </c>
      <c r="O325" t="n">
        <v>0</v>
      </c>
      <c r="P325" t="n">
        <v>0</v>
      </c>
      <c r="Q325" t="n">
        <v>0</v>
      </c>
      <c r="R325" s="2" t="inlineStr"/>
    </row>
    <row r="326" ht="15" customHeight="1">
      <c r="A326" t="inlineStr">
        <is>
          <t>A 61376-2024</t>
        </is>
      </c>
      <c r="B326" s="1" t="n">
        <v>45646.39434027778</v>
      </c>
      <c r="C326" s="1" t="n">
        <v>46020</v>
      </c>
      <c r="D326" t="inlineStr">
        <is>
          <t>JÄMTLANDS LÄN</t>
        </is>
      </c>
      <c r="E326" t="inlineStr">
        <is>
          <t>ÖSTERSUND</t>
        </is>
      </c>
      <c r="G326" t="n">
        <v>4.6</v>
      </c>
      <c r="H326" t="n">
        <v>0</v>
      </c>
      <c r="I326" t="n">
        <v>0</v>
      </c>
      <c r="J326" t="n">
        <v>0</v>
      </c>
      <c r="K326" t="n">
        <v>0</v>
      </c>
      <c r="L326" t="n">
        <v>0</v>
      </c>
      <c r="M326" t="n">
        <v>0</v>
      </c>
      <c r="N326" t="n">
        <v>0</v>
      </c>
      <c r="O326" t="n">
        <v>0</v>
      </c>
      <c r="P326" t="n">
        <v>0</v>
      </c>
      <c r="Q326" t="n">
        <v>0</v>
      </c>
      <c r="R326" s="2" t="inlineStr"/>
    </row>
    <row r="327" ht="15" customHeight="1">
      <c r="A327" t="inlineStr">
        <is>
          <t>A 13651-2025</t>
        </is>
      </c>
      <c r="B327" s="1" t="n">
        <v>45736.71818287037</v>
      </c>
      <c r="C327" s="1" t="n">
        <v>46020</v>
      </c>
      <c r="D327" t="inlineStr">
        <is>
          <t>JÄMTLANDS LÄN</t>
        </is>
      </c>
      <c r="E327" t="inlineStr">
        <is>
          <t>ÖSTERSUND</t>
        </is>
      </c>
      <c r="G327" t="n">
        <v>3.7</v>
      </c>
      <c r="H327" t="n">
        <v>0</v>
      </c>
      <c r="I327" t="n">
        <v>0</v>
      </c>
      <c r="J327" t="n">
        <v>0</v>
      </c>
      <c r="K327" t="n">
        <v>0</v>
      </c>
      <c r="L327" t="n">
        <v>0</v>
      </c>
      <c r="M327" t="n">
        <v>0</v>
      </c>
      <c r="N327" t="n">
        <v>0</v>
      </c>
      <c r="O327" t="n">
        <v>0</v>
      </c>
      <c r="P327" t="n">
        <v>0</v>
      </c>
      <c r="Q327" t="n">
        <v>0</v>
      </c>
      <c r="R327" s="2" t="inlineStr"/>
    </row>
    <row r="328" ht="15" customHeight="1">
      <c r="A328" t="inlineStr">
        <is>
          <t>A 39510-2024</t>
        </is>
      </c>
      <c r="B328" s="1" t="n">
        <v>45551.67761574074</v>
      </c>
      <c r="C328" s="1" t="n">
        <v>46020</v>
      </c>
      <c r="D328" t="inlineStr">
        <is>
          <t>JÄMTLANDS LÄN</t>
        </is>
      </c>
      <c r="E328" t="inlineStr">
        <is>
          <t>ÖSTERSUND</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27035-2025</t>
        </is>
      </c>
      <c r="B329" s="1" t="n">
        <v>45811.5928587963</v>
      </c>
      <c r="C329" s="1" t="n">
        <v>46020</v>
      </c>
      <c r="D329" t="inlineStr">
        <is>
          <t>JÄMTLANDS LÄN</t>
        </is>
      </c>
      <c r="E329" t="inlineStr">
        <is>
          <t>ÖSTERSUND</t>
        </is>
      </c>
      <c r="G329" t="n">
        <v>2.8</v>
      </c>
      <c r="H329" t="n">
        <v>0</v>
      </c>
      <c r="I329" t="n">
        <v>0</v>
      </c>
      <c r="J329" t="n">
        <v>0</v>
      </c>
      <c r="K329" t="n">
        <v>0</v>
      </c>
      <c r="L329" t="n">
        <v>0</v>
      </c>
      <c r="M329" t="n">
        <v>0</v>
      </c>
      <c r="N329" t="n">
        <v>0</v>
      </c>
      <c r="O329" t="n">
        <v>0</v>
      </c>
      <c r="P329" t="n">
        <v>0</v>
      </c>
      <c r="Q329" t="n">
        <v>0</v>
      </c>
      <c r="R329" s="2" t="inlineStr"/>
    </row>
    <row r="330" ht="15" customHeight="1">
      <c r="A330" t="inlineStr">
        <is>
          <t>A 41582-2025</t>
        </is>
      </c>
      <c r="B330" s="1" t="n">
        <v>45901</v>
      </c>
      <c r="C330" s="1" t="n">
        <v>46020</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69190-2021</t>
        </is>
      </c>
      <c r="B331" s="1" t="n">
        <v>44529</v>
      </c>
      <c r="C331" s="1" t="n">
        <v>46020</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11182-2025</t>
        </is>
      </c>
      <c r="B332" s="1" t="n">
        <v>45725.44297453704</v>
      </c>
      <c r="C332" s="1" t="n">
        <v>46020</v>
      </c>
      <c r="D332" t="inlineStr">
        <is>
          <t>JÄMTLANDS LÄN</t>
        </is>
      </c>
      <c r="E332" t="inlineStr">
        <is>
          <t>ÖSTERSUND</t>
        </is>
      </c>
      <c r="G332" t="n">
        <v>3.3</v>
      </c>
      <c r="H332" t="n">
        <v>0</v>
      </c>
      <c r="I332" t="n">
        <v>0</v>
      </c>
      <c r="J332" t="n">
        <v>0</v>
      </c>
      <c r="K332" t="n">
        <v>0</v>
      </c>
      <c r="L332" t="n">
        <v>0</v>
      </c>
      <c r="M332" t="n">
        <v>0</v>
      </c>
      <c r="N332" t="n">
        <v>0</v>
      </c>
      <c r="O332" t="n">
        <v>0</v>
      </c>
      <c r="P332" t="n">
        <v>0</v>
      </c>
      <c r="Q332" t="n">
        <v>0</v>
      </c>
      <c r="R332" s="2" t="inlineStr"/>
    </row>
    <row r="333" ht="15" customHeight="1">
      <c r="A333" t="inlineStr">
        <is>
          <t>A 10266-2025</t>
        </is>
      </c>
      <c r="B333" s="1" t="n">
        <v>45720.38576388889</v>
      </c>
      <c r="C333" s="1" t="n">
        <v>46020</v>
      </c>
      <c r="D333" t="inlineStr">
        <is>
          <t>JÄMTLANDS LÄN</t>
        </is>
      </c>
      <c r="E333" t="inlineStr">
        <is>
          <t>ÖSTERSUND</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27517-2025</t>
        </is>
      </c>
      <c r="B334" s="1" t="n">
        <v>45813.43966435185</v>
      </c>
      <c r="C334" s="1" t="n">
        <v>46020</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41675-2025</t>
        </is>
      </c>
      <c r="B335" s="1" t="n">
        <v>45902.36641203704</v>
      </c>
      <c r="C335" s="1" t="n">
        <v>46020</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41708-2025</t>
        </is>
      </c>
      <c r="B336" s="1" t="n">
        <v>45902.42280092592</v>
      </c>
      <c r="C336" s="1" t="n">
        <v>46020</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53378-2023</t>
        </is>
      </c>
      <c r="B337" s="1" t="n">
        <v>45223</v>
      </c>
      <c r="C337" s="1" t="n">
        <v>46020</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7956-2025</t>
        </is>
      </c>
      <c r="B338" s="1" t="n">
        <v>45707.42825231481</v>
      </c>
      <c r="C338" s="1" t="n">
        <v>46020</v>
      </c>
      <c r="D338" t="inlineStr">
        <is>
          <t>JÄMTLANDS LÄN</t>
        </is>
      </c>
      <c r="E338" t="inlineStr">
        <is>
          <t>ÖSTERSUND</t>
        </is>
      </c>
      <c r="F338" t="inlineStr">
        <is>
          <t>Övriga Aktiebolag</t>
        </is>
      </c>
      <c r="G338" t="n">
        <v>111.2</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46020</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28025-2025</t>
        </is>
      </c>
      <c r="B340" s="1" t="n">
        <v>45817</v>
      </c>
      <c r="C340" s="1" t="n">
        <v>46020</v>
      </c>
      <c r="D340" t="inlineStr">
        <is>
          <t>JÄMTLANDS LÄN</t>
        </is>
      </c>
      <c r="E340" t="inlineStr">
        <is>
          <t>ÖSTERSUND</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28595-2025</t>
        </is>
      </c>
      <c r="B341" s="1" t="n">
        <v>45819.59429398148</v>
      </c>
      <c r="C341" s="1" t="n">
        <v>46020</v>
      </c>
      <c r="D341" t="inlineStr">
        <is>
          <t>JÄMTLANDS LÄN</t>
        </is>
      </c>
      <c r="E341" t="inlineStr">
        <is>
          <t>ÖSTERSUND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28185-2025</t>
        </is>
      </c>
      <c r="B342" s="1" t="n">
        <v>45818.40337962963</v>
      </c>
      <c r="C342" s="1" t="n">
        <v>46020</v>
      </c>
      <c r="D342" t="inlineStr">
        <is>
          <t>JÄMTLANDS LÄN</t>
        </is>
      </c>
      <c r="E342" t="inlineStr">
        <is>
          <t>ÖSTERSUND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36099-2025</t>
        </is>
      </c>
      <c r="B343" s="1" t="n">
        <v>45866.51630787037</v>
      </c>
      <c r="C343" s="1" t="n">
        <v>46020</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25995-2025</t>
        </is>
      </c>
      <c r="B344" s="1" t="n">
        <v>45804.656875</v>
      </c>
      <c r="C344" s="1" t="n">
        <v>46020</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18627-2024</t>
        </is>
      </c>
      <c r="B345" s="1" t="n">
        <v>45425.96443287037</v>
      </c>
      <c r="C345" s="1" t="n">
        <v>46020</v>
      </c>
      <c r="D345" t="inlineStr">
        <is>
          <t>JÄMTLANDS LÄN</t>
        </is>
      </c>
      <c r="E345" t="inlineStr">
        <is>
          <t>ÖSTERSUND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42989-2025</t>
        </is>
      </c>
      <c r="B346" s="1" t="n">
        <v>45909.44971064815</v>
      </c>
      <c r="C346" s="1" t="n">
        <v>46020</v>
      </c>
      <c r="D346" t="inlineStr">
        <is>
          <t>JÄMTLANDS LÄN</t>
        </is>
      </c>
      <c r="E346" t="inlineStr">
        <is>
          <t>ÖSTERSUND</t>
        </is>
      </c>
      <c r="G346" t="n">
        <v>3</v>
      </c>
      <c r="H346" t="n">
        <v>0</v>
      </c>
      <c r="I346" t="n">
        <v>0</v>
      </c>
      <c r="J346" t="n">
        <v>0</v>
      </c>
      <c r="K346" t="n">
        <v>0</v>
      </c>
      <c r="L346" t="n">
        <v>0</v>
      </c>
      <c r="M346" t="n">
        <v>0</v>
      </c>
      <c r="N346" t="n">
        <v>0</v>
      </c>
      <c r="O346" t="n">
        <v>0</v>
      </c>
      <c r="P346" t="n">
        <v>0</v>
      </c>
      <c r="Q346" t="n">
        <v>0</v>
      </c>
      <c r="R346" s="2" t="inlineStr"/>
    </row>
    <row r="347" ht="15" customHeight="1">
      <c r="A347" t="inlineStr">
        <is>
          <t>A 24781-2024</t>
        </is>
      </c>
      <c r="B347" s="1" t="n">
        <v>45460.7772800926</v>
      </c>
      <c r="C347" s="1" t="n">
        <v>46020</v>
      </c>
      <c r="D347" t="inlineStr">
        <is>
          <t>JÄMTLANDS LÄN</t>
        </is>
      </c>
      <c r="E347" t="inlineStr">
        <is>
          <t>ÖSTERSUND</t>
        </is>
      </c>
      <c r="G347" t="n">
        <v>2.2</v>
      </c>
      <c r="H347" t="n">
        <v>0</v>
      </c>
      <c r="I347" t="n">
        <v>0</v>
      </c>
      <c r="J347" t="n">
        <v>0</v>
      </c>
      <c r="K347" t="n">
        <v>0</v>
      </c>
      <c r="L347" t="n">
        <v>0</v>
      </c>
      <c r="M347" t="n">
        <v>0</v>
      </c>
      <c r="N347" t="n">
        <v>0</v>
      </c>
      <c r="O347" t="n">
        <v>0</v>
      </c>
      <c r="P347" t="n">
        <v>0</v>
      </c>
      <c r="Q347" t="n">
        <v>0</v>
      </c>
      <c r="R347" s="2" t="inlineStr"/>
    </row>
    <row r="348" ht="15" customHeight="1">
      <c r="A348" t="inlineStr">
        <is>
          <t>A 27343-2022</t>
        </is>
      </c>
      <c r="B348" s="1" t="n">
        <v>44742</v>
      </c>
      <c r="C348" s="1" t="n">
        <v>46020</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43225-2025</t>
        </is>
      </c>
      <c r="B349" s="1" t="n">
        <v>45910.4900462963</v>
      </c>
      <c r="C349" s="1" t="n">
        <v>46020</v>
      </c>
      <c r="D349" t="inlineStr">
        <is>
          <t>JÄMTLANDS LÄN</t>
        </is>
      </c>
      <c r="E349" t="inlineStr">
        <is>
          <t>ÖSTERSUND</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43548-2025</t>
        </is>
      </c>
      <c r="B350" s="1" t="n">
        <v>45911.61579861111</v>
      </c>
      <c r="C350" s="1" t="n">
        <v>46020</v>
      </c>
      <c r="D350" t="inlineStr">
        <is>
          <t>JÄMTLANDS LÄN</t>
        </is>
      </c>
      <c r="E350" t="inlineStr">
        <is>
          <t>ÖSTERSUND</t>
        </is>
      </c>
      <c r="F350" t="inlineStr">
        <is>
          <t>SCA</t>
        </is>
      </c>
      <c r="G350" t="n">
        <v>17.3</v>
      </c>
      <c r="H350" t="n">
        <v>0</v>
      </c>
      <c r="I350" t="n">
        <v>0</v>
      </c>
      <c r="J350" t="n">
        <v>0</v>
      </c>
      <c r="K350" t="n">
        <v>0</v>
      </c>
      <c r="L350" t="n">
        <v>0</v>
      </c>
      <c r="M350" t="n">
        <v>0</v>
      </c>
      <c r="N350" t="n">
        <v>0</v>
      </c>
      <c r="O350" t="n">
        <v>0</v>
      </c>
      <c r="P350" t="n">
        <v>0</v>
      </c>
      <c r="Q350" t="n">
        <v>0</v>
      </c>
      <c r="R350" s="2" t="inlineStr"/>
    </row>
    <row r="351" ht="15" customHeight="1">
      <c r="A351" t="inlineStr">
        <is>
          <t>A 43411-2025</t>
        </is>
      </c>
      <c r="B351" s="1" t="n">
        <v>45911.40074074074</v>
      </c>
      <c r="C351" s="1" t="n">
        <v>46020</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43519-2025</t>
        </is>
      </c>
      <c r="B352" s="1" t="n">
        <v>45911.57349537037</v>
      </c>
      <c r="C352" s="1" t="n">
        <v>46020</v>
      </c>
      <c r="D352" t="inlineStr">
        <is>
          <t>JÄMTLANDS LÄN</t>
        </is>
      </c>
      <c r="E352" t="inlineStr">
        <is>
          <t>ÖSTERSUND</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7022-2025</t>
        </is>
      </c>
      <c r="B353" s="1" t="n">
        <v>45701.61899305556</v>
      </c>
      <c r="C353" s="1" t="n">
        <v>46020</v>
      </c>
      <c r="D353" t="inlineStr">
        <is>
          <t>JÄMTLANDS LÄN</t>
        </is>
      </c>
      <c r="E353" t="inlineStr">
        <is>
          <t>ÖSTERSUND</t>
        </is>
      </c>
      <c r="G353" t="n">
        <v>4.8</v>
      </c>
      <c r="H353" t="n">
        <v>0</v>
      </c>
      <c r="I353" t="n">
        <v>0</v>
      </c>
      <c r="J353" t="n">
        <v>0</v>
      </c>
      <c r="K353" t="n">
        <v>0</v>
      </c>
      <c r="L353" t="n">
        <v>0</v>
      </c>
      <c r="M353" t="n">
        <v>0</v>
      </c>
      <c r="N353" t="n">
        <v>0</v>
      </c>
      <c r="O353" t="n">
        <v>0</v>
      </c>
      <c r="P353" t="n">
        <v>0</v>
      </c>
      <c r="Q353" t="n">
        <v>0</v>
      </c>
      <c r="R353" s="2" t="inlineStr"/>
    </row>
    <row r="354" ht="15" customHeight="1">
      <c r="A354" t="inlineStr">
        <is>
          <t>A 62111-2024</t>
        </is>
      </c>
      <c r="B354" s="1" t="n">
        <v>45656.53215277778</v>
      </c>
      <c r="C354" s="1" t="n">
        <v>46020</v>
      </c>
      <c r="D354" t="inlineStr">
        <is>
          <t>JÄMTLANDS LÄN</t>
        </is>
      </c>
      <c r="E354" t="inlineStr">
        <is>
          <t>ÖSTERSUND</t>
        </is>
      </c>
      <c r="G354" t="n">
        <v>3.4</v>
      </c>
      <c r="H354" t="n">
        <v>0</v>
      </c>
      <c r="I354" t="n">
        <v>0</v>
      </c>
      <c r="J354" t="n">
        <v>0</v>
      </c>
      <c r="K354" t="n">
        <v>0</v>
      </c>
      <c r="L354" t="n">
        <v>0</v>
      </c>
      <c r="M354" t="n">
        <v>0</v>
      </c>
      <c r="N354" t="n">
        <v>0</v>
      </c>
      <c r="O354" t="n">
        <v>0</v>
      </c>
      <c r="P354" t="n">
        <v>0</v>
      </c>
      <c r="Q354" t="n">
        <v>0</v>
      </c>
      <c r="R354" s="2" t="inlineStr"/>
    </row>
    <row r="355" ht="15" customHeight="1">
      <c r="A355" t="inlineStr">
        <is>
          <t>A 30320-2025</t>
        </is>
      </c>
      <c r="B355" s="1" t="n">
        <v>45827.49415509259</v>
      </c>
      <c r="C355" s="1" t="n">
        <v>46020</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30210-2025</t>
        </is>
      </c>
      <c r="B356" s="1" t="n">
        <v>45827.36590277778</v>
      </c>
      <c r="C356" s="1" t="n">
        <v>46020</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14653-2022</t>
        </is>
      </c>
      <c r="B357" s="1" t="n">
        <v>44655.69303240741</v>
      </c>
      <c r="C357" s="1" t="n">
        <v>46020</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44446-2025</t>
        </is>
      </c>
      <c r="B358" s="1" t="n">
        <v>45916.59773148148</v>
      </c>
      <c r="C358" s="1" t="n">
        <v>46020</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44429-2025</t>
        </is>
      </c>
      <c r="B359" s="1" t="n">
        <v>45916.57010416667</v>
      </c>
      <c r="C359" s="1" t="n">
        <v>46020</v>
      </c>
      <c r="D359" t="inlineStr">
        <is>
          <t>JÄMTLANDS LÄN</t>
        </is>
      </c>
      <c r="E359" t="inlineStr">
        <is>
          <t>ÖSTERSUND</t>
        </is>
      </c>
      <c r="G359" t="n">
        <v>1.2</v>
      </c>
      <c r="H359" t="n">
        <v>0</v>
      </c>
      <c r="I359" t="n">
        <v>0</v>
      </c>
      <c r="J359" t="n">
        <v>0</v>
      </c>
      <c r="K359" t="n">
        <v>0</v>
      </c>
      <c r="L359" t="n">
        <v>0</v>
      </c>
      <c r="M359" t="n">
        <v>0</v>
      </c>
      <c r="N359" t="n">
        <v>0</v>
      </c>
      <c r="O359" t="n">
        <v>0</v>
      </c>
      <c r="P359" t="n">
        <v>0</v>
      </c>
      <c r="Q359" t="n">
        <v>0</v>
      </c>
      <c r="R359" s="2" t="inlineStr"/>
    </row>
    <row r="360" ht="15" customHeight="1">
      <c r="A360" t="inlineStr">
        <is>
          <t>A 3844-2024</t>
        </is>
      </c>
      <c r="B360" s="1" t="n">
        <v>45321</v>
      </c>
      <c r="C360" s="1" t="n">
        <v>46020</v>
      </c>
      <c r="D360" t="inlineStr">
        <is>
          <t>JÄMTLANDS LÄN</t>
        </is>
      </c>
      <c r="E360" t="inlineStr">
        <is>
          <t>ÖSTERSUND</t>
        </is>
      </c>
      <c r="G360" t="n">
        <v>2.2</v>
      </c>
      <c r="H360" t="n">
        <v>0</v>
      </c>
      <c r="I360" t="n">
        <v>0</v>
      </c>
      <c r="J360" t="n">
        <v>0</v>
      </c>
      <c r="K360" t="n">
        <v>0</v>
      </c>
      <c r="L360" t="n">
        <v>0</v>
      </c>
      <c r="M360" t="n">
        <v>0</v>
      </c>
      <c r="N360" t="n">
        <v>0</v>
      </c>
      <c r="O360" t="n">
        <v>0</v>
      </c>
      <c r="P360" t="n">
        <v>0</v>
      </c>
      <c r="Q360" t="n">
        <v>0</v>
      </c>
      <c r="R360" s="2" t="inlineStr"/>
    </row>
    <row r="361" ht="15" customHeight="1">
      <c r="A361" t="inlineStr">
        <is>
          <t>A 7327-2023</t>
        </is>
      </c>
      <c r="B361" s="1" t="n">
        <v>44970.97871527778</v>
      </c>
      <c r="C361" s="1" t="n">
        <v>46020</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49192-2024</t>
        </is>
      </c>
      <c r="B362" s="1" t="n">
        <v>45595.34762731481</v>
      </c>
      <c r="C362" s="1" t="n">
        <v>46020</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45389-2025</t>
        </is>
      </c>
      <c r="B363" s="1" t="n">
        <v>45922.4075</v>
      </c>
      <c r="C363" s="1" t="n">
        <v>46020</v>
      </c>
      <c r="D363" t="inlineStr">
        <is>
          <t>JÄMTLANDS LÄN</t>
        </is>
      </c>
      <c r="E363" t="inlineStr">
        <is>
          <t>ÖSTERSUND</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45391-2025</t>
        </is>
      </c>
      <c r="B364" s="1" t="n">
        <v>45922.4077662037</v>
      </c>
      <c r="C364" s="1" t="n">
        <v>46020</v>
      </c>
      <c r="D364" t="inlineStr">
        <is>
          <t>JÄMTLANDS LÄN</t>
        </is>
      </c>
      <c r="E364" t="inlineStr">
        <is>
          <t>ÖSTERSUND</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45297-2025</t>
        </is>
      </c>
      <c r="B365" s="1" t="n">
        <v>45920.8446412037</v>
      </c>
      <c r="C365" s="1" t="n">
        <v>46020</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45385-2025</t>
        </is>
      </c>
      <c r="B366" s="1" t="n">
        <v>45922.40680555555</v>
      </c>
      <c r="C366" s="1" t="n">
        <v>46020</v>
      </c>
      <c r="D366" t="inlineStr">
        <is>
          <t>JÄMTLANDS LÄN</t>
        </is>
      </c>
      <c r="E366" t="inlineStr">
        <is>
          <t>ÖSTERSUND</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45386-2025</t>
        </is>
      </c>
      <c r="B367" s="1" t="n">
        <v>45922.40697916667</v>
      </c>
      <c r="C367" s="1" t="n">
        <v>46020</v>
      </c>
      <c r="D367" t="inlineStr">
        <is>
          <t>JÄMTLANDS LÄN</t>
        </is>
      </c>
      <c r="E367" t="inlineStr">
        <is>
          <t>ÖSTERSUND</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45388-2025</t>
        </is>
      </c>
      <c r="B368" s="1" t="n">
        <v>45922.4074537037</v>
      </c>
      <c r="C368" s="1" t="n">
        <v>46020</v>
      </c>
      <c r="D368" t="inlineStr">
        <is>
          <t>JÄMTLANDS LÄN</t>
        </is>
      </c>
      <c r="E368" t="inlineStr">
        <is>
          <t>ÖSTERSUND</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45558-2025</t>
        </is>
      </c>
      <c r="B369" s="1" t="n">
        <v>45922</v>
      </c>
      <c r="C369" s="1" t="n">
        <v>46020</v>
      </c>
      <c r="D369" t="inlineStr">
        <is>
          <t>JÄMTLANDS LÄN</t>
        </is>
      </c>
      <c r="E369" t="inlineStr">
        <is>
          <t>ÖSTERSUND</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45481-2025</t>
        </is>
      </c>
      <c r="B370" s="1" t="n">
        <v>45922.53217592592</v>
      </c>
      <c r="C370" s="1" t="n">
        <v>46020</v>
      </c>
      <c r="D370" t="inlineStr">
        <is>
          <t>JÄMTLANDS LÄN</t>
        </is>
      </c>
      <c r="E370" t="inlineStr">
        <is>
          <t>ÖSTERSUND</t>
        </is>
      </c>
      <c r="G370" t="n">
        <v>3</v>
      </c>
      <c r="H370" t="n">
        <v>0</v>
      </c>
      <c r="I370" t="n">
        <v>0</v>
      </c>
      <c r="J370" t="n">
        <v>0</v>
      </c>
      <c r="K370" t="n">
        <v>0</v>
      </c>
      <c r="L370" t="n">
        <v>0</v>
      </c>
      <c r="M370" t="n">
        <v>0</v>
      </c>
      <c r="N370" t="n">
        <v>0</v>
      </c>
      <c r="O370" t="n">
        <v>0</v>
      </c>
      <c r="P370" t="n">
        <v>0</v>
      </c>
      <c r="Q370" t="n">
        <v>0</v>
      </c>
      <c r="R370" s="2" t="inlineStr"/>
    </row>
    <row r="371" ht="15" customHeight="1">
      <c r="A371" t="inlineStr">
        <is>
          <t>A 46132-2025</t>
        </is>
      </c>
      <c r="B371" s="1" t="n">
        <v>45924.59484953704</v>
      </c>
      <c r="C371" s="1" t="n">
        <v>46020</v>
      </c>
      <c r="D371" t="inlineStr">
        <is>
          <t>JÄMTLANDS LÄN</t>
        </is>
      </c>
      <c r="E371" t="inlineStr">
        <is>
          <t>ÖSTERSUND</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46152-2025</t>
        </is>
      </c>
      <c r="B372" s="1" t="n">
        <v>45924.61512731481</v>
      </c>
      <c r="C372" s="1" t="n">
        <v>46020</v>
      </c>
      <c r="D372" t="inlineStr">
        <is>
          <t>JÄMTLANDS LÄN</t>
        </is>
      </c>
      <c r="E372" t="inlineStr">
        <is>
          <t>ÖSTERSUND</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79-2025</t>
        </is>
      </c>
      <c r="B373" s="1" t="n">
        <v>45659.44413194444</v>
      </c>
      <c r="C373" s="1" t="n">
        <v>46020</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44327-2023</t>
        </is>
      </c>
      <c r="B374" s="1" t="n">
        <v>45188</v>
      </c>
      <c r="C374" s="1" t="n">
        <v>46020</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32071-2025</t>
        </is>
      </c>
      <c r="B375" s="1" t="n">
        <v>45835.4491087963</v>
      </c>
      <c r="C375" s="1" t="n">
        <v>46020</v>
      </c>
      <c r="D375" t="inlineStr">
        <is>
          <t>JÄMTLANDS LÄN</t>
        </is>
      </c>
      <c r="E375" t="inlineStr">
        <is>
          <t>ÖSTERSUND</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21667-2024</t>
        </is>
      </c>
      <c r="B376" s="1" t="n">
        <v>45442.38511574074</v>
      </c>
      <c r="C376" s="1" t="n">
        <v>46020</v>
      </c>
      <c r="D376" t="inlineStr">
        <is>
          <t>JÄMTLANDS LÄN</t>
        </is>
      </c>
      <c r="E376" t="inlineStr">
        <is>
          <t>ÖSTERSUND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46202-2025</t>
        </is>
      </c>
      <c r="B377" s="1" t="n">
        <v>45924.70346064815</v>
      </c>
      <c r="C377" s="1" t="n">
        <v>46020</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32279-2025</t>
        </is>
      </c>
      <c r="B378" s="1" t="n">
        <v>45835.67109953704</v>
      </c>
      <c r="C378" s="1" t="n">
        <v>46020</v>
      </c>
      <c r="D378" t="inlineStr">
        <is>
          <t>JÄMTLANDS LÄN</t>
        </is>
      </c>
      <c r="E378" t="inlineStr">
        <is>
          <t>ÖSTERSUND</t>
        </is>
      </c>
      <c r="G378" t="n">
        <v>3.5</v>
      </c>
      <c r="H378" t="n">
        <v>0</v>
      </c>
      <c r="I378" t="n">
        <v>0</v>
      </c>
      <c r="J378" t="n">
        <v>0</v>
      </c>
      <c r="K378" t="n">
        <v>0</v>
      </c>
      <c r="L378" t="n">
        <v>0</v>
      </c>
      <c r="M378" t="n">
        <v>0</v>
      </c>
      <c r="N378" t="n">
        <v>0</v>
      </c>
      <c r="O378" t="n">
        <v>0</v>
      </c>
      <c r="P378" t="n">
        <v>0</v>
      </c>
      <c r="Q378" t="n">
        <v>0</v>
      </c>
      <c r="R378" s="2" t="inlineStr"/>
    </row>
    <row r="379" ht="15" customHeight="1">
      <c r="A379" t="inlineStr">
        <is>
          <t>A 25187-2024</t>
        </is>
      </c>
      <c r="B379" s="1" t="n">
        <v>45462.56172453704</v>
      </c>
      <c r="C379" s="1" t="n">
        <v>46020</v>
      </c>
      <c r="D379" t="inlineStr">
        <is>
          <t>JÄMTLANDS LÄN</t>
        </is>
      </c>
      <c r="E379" t="inlineStr">
        <is>
          <t>ÖSTERSUND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32358-2025</t>
        </is>
      </c>
      <c r="B380" s="1" t="n">
        <v>45837.57481481481</v>
      </c>
      <c r="C380" s="1" t="n">
        <v>46020</v>
      </c>
      <c r="D380" t="inlineStr">
        <is>
          <t>JÄMTLANDS LÄN</t>
        </is>
      </c>
      <c r="E380" t="inlineStr">
        <is>
          <t>ÖSTERSUND</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32353-2025</t>
        </is>
      </c>
      <c r="B381" s="1" t="n">
        <v>45837.51741898148</v>
      </c>
      <c r="C381" s="1" t="n">
        <v>46020</v>
      </c>
      <c r="D381" t="inlineStr">
        <is>
          <t>JÄMTLANDS LÄN</t>
        </is>
      </c>
      <c r="E381" t="inlineStr">
        <is>
          <t>ÖSTERSUND</t>
        </is>
      </c>
      <c r="F381" t="inlineStr">
        <is>
          <t>Övriga Aktiebolag</t>
        </is>
      </c>
      <c r="G381" t="n">
        <v>4.8</v>
      </c>
      <c r="H381" t="n">
        <v>0</v>
      </c>
      <c r="I381" t="n">
        <v>0</v>
      </c>
      <c r="J381" t="n">
        <v>0</v>
      </c>
      <c r="K381" t="n">
        <v>0</v>
      </c>
      <c r="L381" t="n">
        <v>0</v>
      </c>
      <c r="M381" t="n">
        <v>0</v>
      </c>
      <c r="N381" t="n">
        <v>0</v>
      </c>
      <c r="O381" t="n">
        <v>0</v>
      </c>
      <c r="P381" t="n">
        <v>0</v>
      </c>
      <c r="Q381" t="n">
        <v>0</v>
      </c>
      <c r="R381" s="2" t="inlineStr"/>
    </row>
    <row r="382" ht="15" customHeight="1">
      <c r="A382" t="inlineStr">
        <is>
          <t>A 47563-2025</t>
        </is>
      </c>
      <c r="B382" s="1" t="n">
        <v>45931.38956018518</v>
      </c>
      <c r="C382" s="1" t="n">
        <v>46020</v>
      </c>
      <c r="D382" t="inlineStr">
        <is>
          <t>JÄMTLANDS LÄN</t>
        </is>
      </c>
      <c r="E382" t="inlineStr">
        <is>
          <t>ÖSTERSUND</t>
        </is>
      </c>
      <c r="G382" t="n">
        <v>2.3</v>
      </c>
      <c r="H382" t="n">
        <v>0</v>
      </c>
      <c r="I382" t="n">
        <v>0</v>
      </c>
      <c r="J382" t="n">
        <v>0</v>
      </c>
      <c r="K382" t="n">
        <v>0</v>
      </c>
      <c r="L382" t="n">
        <v>0</v>
      </c>
      <c r="M382" t="n">
        <v>0</v>
      </c>
      <c r="N382" t="n">
        <v>0</v>
      </c>
      <c r="O382" t="n">
        <v>0</v>
      </c>
      <c r="P382" t="n">
        <v>0</v>
      </c>
      <c r="Q382" t="n">
        <v>0</v>
      </c>
      <c r="R382" s="2" t="inlineStr"/>
    </row>
    <row r="383" ht="15" customHeight="1">
      <c r="A383" t="inlineStr">
        <is>
          <t>A 47805-2024</t>
        </is>
      </c>
      <c r="B383" s="1" t="n">
        <v>45588.61512731481</v>
      </c>
      <c r="C383" s="1" t="n">
        <v>46020</v>
      </c>
      <c r="D383" t="inlineStr">
        <is>
          <t>JÄMTLANDS LÄN</t>
        </is>
      </c>
      <c r="E383" t="inlineStr">
        <is>
          <t>ÖSTERSUND</t>
        </is>
      </c>
      <c r="G383" t="n">
        <v>7.4</v>
      </c>
      <c r="H383" t="n">
        <v>0</v>
      </c>
      <c r="I383" t="n">
        <v>0</v>
      </c>
      <c r="J383" t="n">
        <v>0</v>
      </c>
      <c r="K383" t="n">
        <v>0</v>
      </c>
      <c r="L383" t="n">
        <v>0</v>
      </c>
      <c r="M383" t="n">
        <v>0</v>
      </c>
      <c r="N383" t="n">
        <v>0</v>
      </c>
      <c r="O383" t="n">
        <v>0</v>
      </c>
      <c r="P383" t="n">
        <v>0</v>
      </c>
      <c r="Q383" t="n">
        <v>0</v>
      </c>
      <c r="R383" s="2" t="inlineStr"/>
    </row>
    <row r="384" ht="15" customHeight="1">
      <c r="A384" t="inlineStr">
        <is>
          <t>A 32369-2025</t>
        </is>
      </c>
      <c r="B384" s="1" t="n">
        <v>45837.67381944445</v>
      </c>
      <c r="C384" s="1" t="n">
        <v>46020</v>
      </c>
      <c r="D384" t="inlineStr">
        <is>
          <t>JÄMTLANDS LÄN</t>
        </is>
      </c>
      <c r="E384" t="inlineStr">
        <is>
          <t>ÖSTERSUND</t>
        </is>
      </c>
      <c r="F384" t="inlineStr">
        <is>
          <t>Övriga Aktiebolag</t>
        </is>
      </c>
      <c r="G384" t="n">
        <v>5.7</v>
      </c>
      <c r="H384" t="n">
        <v>0</v>
      </c>
      <c r="I384" t="n">
        <v>0</v>
      </c>
      <c r="J384" t="n">
        <v>0</v>
      </c>
      <c r="K384" t="n">
        <v>0</v>
      </c>
      <c r="L384" t="n">
        <v>0</v>
      </c>
      <c r="M384" t="n">
        <v>0</v>
      </c>
      <c r="N384" t="n">
        <v>0</v>
      </c>
      <c r="O384" t="n">
        <v>0</v>
      </c>
      <c r="P384" t="n">
        <v>0</v>
      </c>
      <c r="Q384" t="n">
        <v>0</v>
      </c>
      <c r="R384" s="2" t="inlineStr"/>
    </row>
    <row r="385" ht="15" customHeight="1">
      <c r="A385" t="inlineStr">
        <is>
          <t>A 45338-2024</t>
        </is>
      </c>
      <c r="B385" s="1" t="n">
        <v>45576.46905092592</v>
      </c>
      <c r="C385" s="1" t="n">
        <v>46020</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45895-2024</t>
        </is>
      </c>
      <c r="B386" s="1" t="n">
        <v>45580.42736111111</v>
      </c>
      <c r="C386" s="1" t="n">
        <v>46020</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47575-2025</t>
        </is>
      </c>
      <c r="B387" s="1" t="n">
        <v>45931.40100694444</v>
      </c>
      <c r="C387" s="1" t="n">
        <v>46020</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13282-2023</t>
        </is>
      </c>
      <c r="B388" s="1" t="n">
        <v>45004</v>
      </c>
      <c r="C388" s="1" t="n">
        <v>46020</v>
      </c>
      <c r="D388" t="inlineStr">
        <is>
          <t>JÄMTLANDS LÄN</t>
        </is>
      </c>
      <c r="E388" t="inlineStr">
        <is>
          <t>ÖSTERSUND</t>
        </is>
      </c>
      <c r="G388" t="n">
        <v>28.5</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46020</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32368-2025</t>
        </is>
      </c>
      <c r="B390" s="1" t="n">
        <v>45837.66230324074</v>
      </c>
      <c r="C390" s="1" t="n">
        <v>46020</v>
      </c>
      <c r="D390" t="inlineStr">
        <is>
          <t>JÄMTLANDS LÄN</t>
        </is>
      </c>
      <c r="E390" t="inlineStr">
        <is>
          <t>ÖSTERSUND</t>
        </is>
      </c>
      <c r="F390" t="inlineStr">
        <is>
          <t>Övriga Aktiebolag</t>
        </is>
      </c>
      <c r="G390" t="n">
        <v>19.5</v>
      </c>
      <c r="H390" t="n">
        <v>0</v>
      </c>
      <c r="I390" t="n">
        <v>0</v>
      </c>
      <c r="J390" t="n">
        <v>0</v>
      </c>
      <c r="K390" t="n">
        <v>0</v>
      </c>
      <c r="L390" t="n">
        <v>0</v>
      </c>
      <c r="M390" t="n">
        <v>0</v>
      </c>
      <c r="N390" t="n">
        <v>0</v>
      </c>
      <c r="O390" t="n">
        <v>0</v>
      </c>
      <c r="P390" t="n">
        <v>0</v>
      </c>
      <c r="Q390" t="n">
        <v>0</v>
      </c>
      <c r="R390" s="2" t="inlineStr"/>
    </row>
    <row r="391" ht="15" customHeight="1">
      <c r="A391" t="inlineStr">
        <is>
          <t>A 46732-2024</t>
        </is>
      </c>
      <c r="B391" s="1" t="n">
        <v>45583.46936342592</v>
      </c>
      <c r="C391" s="1" t="n">
        <v>46020</v>
      </c>
      <c r="D391" t="inlineStr">
        <is>
          <t>JÄMTLANDS LÄN</t>
        </is>
      </c>
      <c r="E391" t="inlineStr">
        <is>
          <t>ÖSTERSUND</t>
        </is>
      </c>
      <c r="G391" t="n">
        <v>3.3</v>
      </c>
      <c r="H391" t="n">
        <v>0</v>
      </c>
      <c r="I391" t="n">
        <v>0</v>
      </c>
      <c r="J391" t="n">
        <v>0</v>
      </c>
      <c r="K391" t="n">
        <v>0</v>
      </c>
      <c r="L391" t="n">
        <v>0</v>
      </c>
      <c r="M391" t="n">
        <v>0</v>
      </c>
      <c r="N391" t="n">
        <v>0</v>
      </c>
      <c r="O391" t="n">
        <v>0</v>
      </c>
      <c r="P391" t="n">
        <v>0</v>
      </c>
      <c r="Q391" t="n">
        <v>0</v>
      </c>
      <c r="R391" s="2" t="inlineStr"/>
    </row>
    <row r="392" ht="15" customHeight="1">
      <c r="A392" t="inlineStr">
        <is>
          <t>A 26373-2025</t>
        </is>
      </c>
      <c r="B392" s="1" t="n">
        <v>45806.40677083333</v>
      </c>
      <c r="C392" s="1" t="n">
        <v>46020</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47759-2025</t>
        </is>
      </c>
      <c r="B393" s="1" t="n">
        <v>45931.67381944445</v>
      </c>
      <c r="C393" s="1" t="n">
        <v>46020</v>
      </c>
      <c r="D393" t="inlineStr">
        <is>
          <t>JÄMTLANDS LÄN</t>
        </is>
      </c>
      <c r="E393" t="inlineStr">
        <is>
          <t>ÖSTERSUND</t>
        </is>
      </c>
      <c r="G393" t="n">
        <v>1.9</v>
      </c>
      <c r="H393" t="n">
        <v>0</v>
      </c>
      <c r="I393" t="n">
        <v>0</v>
      </c>
      <c r="J393" t="n">
        <v>0</v>
      </c>
      <c r="K393" t="n">
        <v>0</v>
      </c>
      <c r="L393" t="n">
        <v>0</v>
      </c>
      <c r="M393" t="n">
        <v>0</v>
      </c>
      <c r="N393" t="n">
        <v>0</v>
      </c>
      <c r="O393" t="n">
        <v>0</v>
      </c>
      <c r="P393" t="n">
        <v>0</v>
      </c>
      <c r="Q393" t="n">
        <v>0</v>
      </c>
      <c r="R393" s="2" t="inlineStr"/>
    </row>
    <row r="394" ht="15" customHeight="1">
      <c r="A394" t="inlineStr">
        <is>
          <t>A 2763-2022</t>
        </is>
      </c>
      <c r="B394" s="1" t="n">
        <v>44580</v>
      </c>
      <c r="C394" s="1" t="n">
        <v>46020</v>
      </c>
      <c r="D394" t="inlineStr">
        <is>
          <t>JÄMTLANDS LÄN</t>
        </is>
      </c>
      <c r="E394" t="inlineStr">
        <is>
          <t>ÖSTERSUND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10267-2025</t>
        </is>
      </c>
      <c r="B395" s="1" t="n">
        <v>45720.3859375</v>
      </c>
      <c r="C395" s="1" t="n">
        <v>46020</v>
      </c>
      <c r="D395" t="inlineStr">
        <is>
          <t>JÄMTLANDS LÄN</t>
        </is>
      </c>
      <c r="E395" t="inlineStr">
        <is>
          <t>ÖSTERSUND</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33358-2025</t>
        </is>
      </c>
      <c r="B396" s="1" t="n">
        <v>45841.38054398148</v>
      </c>
      <c r="C396" s="1" t="n">
        <v>46020</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27780-2022</t>
        </is>
      </c>
      <c r="B397" s="1" t="n">
        <v>44743</v>
      </c>
      <c r="C397" s="1" t="n">
        <v>46020</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43082-2024</t>
        </is>
      </c>
      <c r="B398" s="1" t="n">
        <v>45567.51068287037</v>
      </c>
      <c r="C398" s="1" t="n">
        <v>46020</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61653-2022</t>
        </is>
      </c>
      <c r="B399" s="1" t="n">
        <v>44916</v>
      </c>
      <c r="C399" s="1" t="n">
        <v>46020</v>
      </c>
      <c r="D399" t="inlineStr">
        <is>
          <t>JÄMTLANDS LÄN</t>
        </is>
      </c>
      <c r="E399" t="inlineStr">
        <is>
          <t>ÖSTERSUND</t>
        </is>
      </c>
      <c r="G399" t="n">
        <v>7.6</v>
      </c>
      <c r="H399" t="n">
        <v>0</v>
      </c>
      <c r="I399" t="n">
        <v>0</v>
      </c>
      <c r="J399" t="n">
        <v>0</v>
      </c>
      <c r="K399" t="n">
        <v>0</v>
      </c>
      <c r="L399" t="n">
        <v>0</v>
      </c>
      <c r="M399" t="n">
        <v>0</v>
      </c>
      <c r="N399" t="n">
        <v>0</v>
      </c>
      <c r="O399" t="n">
        <v>0</v>
      </c>
      <c r="P399" t="n">
        <v>0</v>
      </c>
      <c r="Q399" t="n">
        <v>0</v>
      </c>
      <c r="R399" s="2" t="inlineStr"/>
    </row>
    <row r="400" ht="15" customHeight="1">
      <c r="A400" t="inlineStr">
        <is>
          <t>A 52854-2024</t>
        </is>
      </c>
      <c r="B400" s="1" t="n">
        <v>45610.61030092592</v>
      </c>
      <c r="C400" s="1" t="n">
        <v>46020</v>
      </c>
      <c r="D400" t="inlineStr">
        <is>
          <t>JÄMTLANDS LÄN</t>
        </is>
      </c>
      <c r="E400" t="inlineStr">
        <is>
          <t>ÖSTERSUND</t>
        </is>
      </c>
      <c r="G400" t="n">
        <v>2.5</v>
      </c>
      <c r="H400" t="n">
        <v>0</v>
      </c>
      <c r="I400" t="n">
        <v>0</v>
      </c>
      <c r="J400" t="n">
        <v>0</v>
      </c>
      <c r="K400" t="n">
        <v>0</v>
      </c>
      <c r="L400" t="n">
        <v>0</v>
      </c>
      <c r="M400" t="n">
        <v>0</v>
      </c>
      <c r="N400" t="n">
        <v>0</v>
      </c>
      <c r="O400" t="n">
        <v>0</v>
      </c>
      <c r="P400" t="n">
        <v>0</v>
      </c>
      <c r="Q400" t="n">
        <v>0</v>
      </c>
      <c r="R400" s="2" t="inlineStr"/>
    </row>
    <row r="401" ht="15" customHeight="1">
      <c r="A401" t="inlineStr">
        <is>
          <t>A 2686-2021</t>
        </is>
      </c>
      <c r="B401" s="1" t="n">
        <v>44214</v>
      </c>
      <c r="C401" s="1" t="n">
        <v>46020</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2228-2024</t>
        </is>
      </c>
      <c r="B402" s="1" t="n">
        <v>45309</v>
      </c>
      <c r="C402" s="1" t="n">
        <v>46020</v>
      </c>
      <c r="D402" t="inlineStr">
        <is>
          <t>JÄMTLANDS LÄN</t>
        </is>
      </c>
      <c r="E402" t="inlineStr">
        <is>
          <t>ÖSTERSUND</t>
        </is>
      </c>
      <c r="G402" t="n">
        <v>2.5</v>
      </c>
      <c r="H402" t="n">
        <v>0</v>
      </c>
      <c r="I402" t="n">
        <v>0</v>
      </c>
      <c r="J402" t="n">
        <v>0</v>
      </c>
      <c r="K402" t="n">
        <v>0</v>
      </c>
      <c r="L402" t="n">
        <v>0</v>
      </c>
      <c r="M402" t="n">
        <v>0</v>
      </c>
      <c r="N402" t="n">
        <v>0</v>
      </c>
      <c r="O402" t="n">
        <v>0</v>
      </c>
      <c r="P402" t="n">
        <v>0</v>
      </c>
      <c r="Q402" t="n">
        <v>0</v>
      </c>
      <c r="R402" s="2" t="inlineStr"/>
    </row>
    <row r="403" ht="15" customHeight="1">
      <c r="A403" t="inlineStr">
        <is>
          <t>A 29703-2023</t>
        </is>
      </c>
      <c r="B403" s="1" t="n">
        <v>45107</v>
      </c>
      <c r="C403" s="1" t="n">
        <v>46020</v>
      </c>
      <c r="D403" t="inlineStr">
        <is>
          <t>JÄMTLANDS LÄN</t>
        </is>
      </c>
      <c r="E403" t="inlineStr">
        <is>
          <t>ÖSTERSUND</t>
        </is>
      </c>
      <c r="G403" t="n">
        <v>0.3</v>
      </c>
      <c r="H403" t="n">
        <v>0</v>
      </c>
      <c r="I403" t="n">
        <v>0</v>
      </c>
      <c r="J403" t="n">
        <v>0</v>
      </c>
      <c r="K403" t="n">
        <v>0</v>
      </c>
      <c r="L403" t="n">
        <v>0</v>
      </c>
      <c r="M403" t="n">
        <v>0</v>
      </c>
      <c r="N403" t="n">
        <v>0</v>
      </c>
      <c r="O403" t="n">
        <v>0</v>
      </c>
      <c r="P403" t="n">
        <v>0</v>
      </c>
      <c r="Q403" t="n">
        <v>0</v>
      </c>
      <c r="R403" s="2" t="inlineStr"/>
    </row>
    <row r="404" ht="15" customHeight="1">
      <c r="A404" t="inlineStr">
        <is>
          <t>A 56690-2025</t>
        </is>
      </c>
      <c r="B404" s="1" t="n">
        <v>45976.58684027778</v>
      </c>
      <c r="C404" s="1" t="n">
        <v>46020</v>
      </c>
      <c r="D404" t="inlineStr">
        <is>
          <t>JÄMTLANDS LÄN</t>
        </is>
      </c>
      <c r="E404" t="inlineStr">
        <is>
          <t>ÖSTERSUND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34490-2025</t>
        </is>
      </c>
      <c r="B405" s="1" t="n">
        <v>45847.40722222222</v>
      </c>
      <c r="C405" s="1" t="n">
        <v>46020</v>
      </c>
      <c r="D405" t="inlineStr">
        <is>
          <t>JÄMTLANDS LÄN</t>
        </is>
      </c>
      <c r="E405" t="inlineStr">
        <is>
          <t>ÖSTERSUND</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56811-2025</t>
        </is>
      </c>
      <c r="B406" s="1" t="n">
        <v>45978.45540509259</v>
      </c>
      <c r="C406" s="1" t="n">
        <v>46020</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34331-2025</t>
        </is>
      </c>
      <c r="B407" s="1" t="n">
        <v>45846.44827546296</v>
      </c>
      <c r="C407" s="1" t="n">
        <v>46020</v>
      </c>
      <c r="D407" t="inlineStr">
        <is>
          <t>JÄMTLANDS LÄN</t>
        </is>
      </c>
      <c r="E407" t="inlineStr">
        <is>
          <t>ÖSTERSUND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34589-2025</t>
        </is>
      </c>
      <c r="B408" s="1" t="n">
        <v>45847.61561342593</v>
      </c>
      <c r="C408" s="1" t="n">
        <v>46020</v>
      </c>
      <c r="D408" t="inlineStr">
        <is>
          <t>JÄMTLANDS LÄN</t>
        </is>
      </c>
      <c r="E408" t="inlineStr">
        <is>
          <t>ÖSTERSUND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34587-2025</t>
        </is>
      </c>
      <c r="B409" s="1" t="n">
        <v>45847.61533564814</v>
      </c>
      <c r="C409" s="1" t="n">
        <v>46020</v>
      </c>
      <c r="D409" t="inlineStr">
        <is>
          <t>JÄMTLANDS LÄN</t>
        </is>
      </c>
      <c r="E409" t="inlineStr">
        <is>
          <t>ÖSTERSUND</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56903-2025</t>
        </is>
      </c>
      <c r="B410" s="1" t="n">
        <v>45978.57414351852</v>
      </c>
      <c r="C410" s="1" t="n">
        <v>46020</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61530-2023</t>
        </is>
      </c>
      <c r="B411" s="1" t="n">
        <v>45261</v>
      </c>
      <c r="C411" s="1" t="n">
        <v>46020</v>
      </c>
      <c r="D411" t="inlineStr">
        <is>
          <t>JÄMTLANDS LÄN</t>
        </is>
      </c>
      <c r="E411" t="inlineStr">
        <is>
          <t>ÖSTERSUND</t>
        </is>
      </c>
      <c r="F411" t="inlineStr">
        <is>
          <t>Övriga statliga verk och myndigheter</t>
        </is>
      </c>
      <c r="G411" t="n">
        <v>1</v>
      </c>
      <c r="H411" t="n">
        <v>0</v>
      </c>
      <c r="I411" t="n">
        <v>0</v>
      </c>
      <c r="J411" t="n">
        <v>0</v>
      </c>
      <c r="K411" t="n">
        <v>0</v>
      </c>
      <c r="L411" t="n">
        <v>0</v>
      </c>
      <c r="M411" t="n">
        <v>0</v>
      </c>
      <c r="N411" t="n">
        <v>0</v>
      </c>
      <c r="O411" t="n">
        <v>0</v>
      </c>
      <c r="P411" t="n">
        <v>0</v>
      </c>
      <c r="Q411" t="n">
        <v>0</v>
      </c>
      <c r="R411" s="2" t="inlineStr"/>
    </row>
    <row r="412" ht="15" customHeight="1">
      <c r="A412" t="inlineStr">
        <is>
          <t>A 57268-2025</t>
        </is>
      </c>
      <c r="B412" s="1" t="n">
        <v>45979.6756712963</v>
      </c>
      <c r="C412" s="1" t="n">
        <v>46020</v>
      </c>
      <c r="D412" t="inlineStr">
        <is>
          <t>JÄMTLANDS LÄN</t>
        </is>
      </c>
      <c r="E412" t="inlineStr">
        <is>
          <t>ÖSTERSUND</t>
        </is>
      </c>
      <c r="F412" t="inlineStr">
        <is>
          <t>Kommuner</t>
        </is>
      </c>
      <c r="G412" t="n">
        <v>0.7</v>
      </c>
      <c r="H412" t="n">
        <v>0</v>
      </c>
      <c r="I412" t="n">
        <v>0</v>
      </c>
      <c r="J412" t="n">
        <v>0</v>
      </c>
      <c r="K412" t="n">
        <v>0</v>
      </c>
      <c r="L412" t="n">
        <v>0</v>
      </c>
      <c r="M412" t="n">
        <v>0</v>
      </c>
      <c r="N412" t="n">
        <v>0</v>
      </c>
      <c r="O412" t="n">
        <v>0</v>
      </c>
      <c r="P412" t="n">
        <v>0</v>
      </c>
      <c r="Q412" t="n">
        <v>0</v>
      </c>
      <c r="R412" s="2" t="inlineStr"/>
    </row>
    <row r="413" ht="15" customHeight="1">
      <c r="A413" t="inlineStr">
        <is>
          <t>A 48893-2025</t>
        </is>
      </c>
      <c r="B413" s="1" t="n">
        <v>45937.47302083333</v>
      </c>
      <c r="C413" s="1" t="n">
        <v>46020</v>
      </c>
      <c r="D413" t="inlineStr">
        <is>
          <t>JÄMTLANDS LÄN</t>
        </is>
      </c>
      <c r="E413" t="inlineStr">
        <is>
          <t>ÖSTERSUND</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25535-2023</t>
        </is>
      </c>
      <c r="B414" s="1" t="n">
        <v>45089.54944444444</v>
      </c>
      <c r="C414" s="1" t="n">
        <v>46020</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57513-2025</t>
        </is>
      </c>
      <c r="B415" s="1" t="n">
        <v>45980.61142361111</v>
      </c>
      <c r="C415" s="1" t="n">
        <v>46020</v>
      </c>
      <c r="D415" t="inlineStr">
        <is>
          <t>JÄMTLANDS LÄN</t>
        </is>
      </c>
      <c r="E415" t="inlineStr">
        <is>
          <t>ÖSTERSUND</t>
        </is>
      </c>
      <c r="G415" t="n">
        <v>3.8</v>
      </c>
      <c r="H415" t="n">
        <v>0</v>
      </c>
      <c r="I415" t="n">
        <v>0</v>
      </c>
      <c r="J415" t="n">
        <v>0</v>
      </c>
      <c r="K415" t="n">
        <v>0</v>
      </c>
      <c r="L415" t="n">
        <v>0</v>
      </c>
      <c r="M415" t="n">
        <v>0</v>
      </c>
      <c r="N415" t="n">
        <v>0</v>
      </c>
      <c r="O415" t="n">
        <v>0</v>
      </c>
      <c r="P415" t="n">
        <v>0</v>
      </c>
      <c r="Q415" t="n">
        <v>0</v>
      </c>
      <c r="R415" s="2" t="inlineStr"/>
    </row>
    <row r="416" ht="15" customHeight="1">
      <c r="A416" t="inlineStr">
        <is>
          <t>A 32225-2024</t>
        </is>
      </c>
      <c r="B416" s="1" t="n">
        <v>45511.92825231481</v>
      </c>
      <c r="C416" s="1" t="n">
        <v>46020</v>
      </c>
      <c r="D416" t="inlineStr">
        <is>
          <t>JÄMTLANDS LÄN</t>
        </is>
      </c>
      <c r="E416" t="inlineStr">
        <is>
          <t>ÖSTERSUND</t>
        </is>
      </c>
      <c r="G416" t="n">
        <v>2</v>
      </c>
      <c r="H416" t="n">
        <v>0</v>
      </c>
      <c r="I416" t="n">
        <v>0</v>
      </c>
      <c r="J416" t="n">
        <v>0</v>
      </c>
      <c r="K416" t="n">
        <v>0</v>
      </c>
      <c r="L416" t="n">
        <v>0</v>
      </c>
      <c r="M416" t="n">
        <v>0</v>
      </c>
      <c r="N416" t="n">
        <v>0</v>
      </c>
      <c r="O416" t="n">
        <v>0</v>
      </c>
      <c r="P416" t="n">
        <v>0</v>
      </c>
      <c r="Q416" t="n">
        <v>0</v>
      </c>
      <c r="R416" s="2" t="inlineStr"/>
    </row>
    <row r="417" ht="15" customHeight="1">
      <c r="A417" t="inlineStr">
        <is>
          <t>A 4311-2025</t>
        </is>
      </c>
      <c r="B417" s="1" t="n">
        <v>45685.69267361111</v>
      </c>
      <c r="C417" s="1" t="n">
        <v>46020</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25228-2025</t>
        </is>
      </c>
      <c r="B418" s="1" t="n">
        <v>45800.48368055555</v>
      </c>
      <c r="C418" s="1" t="n">
        <v>46020</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12998-2025</t>
        </is>
      </c>
      <c r="B419" s="1" t="n">
        <v>45734.48991898148</v>
      </c>
      <c r="C419" s="1" t="n">
        <v>46020</v>
      </c>
      <c r="D419" t="inlineStr">
        <is>
          <t>JÄMTLANDS LÄN</t>
        </is>
      </c>
      <c r="E419" t="inlineStr">
        <is>
          <t>ÖSTERSUND</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46020</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54913-2024</t>
        </is>
      </c>
      <c r="B421" s="1" t="n">
        <v>45618.6917824074</v>
      </c>
      <c r="C421" s="1" t="n">
        <v>46020</v>
      </c>
      <c r="D421" t="inlineStr">
        <is>
          <t>JÄMTLANDS LÄN</t>
        </is>
      </c>
      <c r="E421" t="inlineStr">
        <is>
          <t>ÖSTERSUND</t>
        </is>
      </c>
      <c r="G421" t="n">
        <v>4.7</v>
      </c>
      <c r="H421" t="n">
        <v>0</v>
      </c>
      <c r="I421" t="n">
        <v>0</v>
      </c>
      <c r="J421" t="n">
        <v>0</v>
      </c>
      <c r="K421" t="n">
        <v>0</v>
      </c>
      <c r="L421" t="n">
        <v>0</v>
      </c>
      <c r="M421" t="n">
        <v>0</v>
      </c>
      <c r="N421" t="n">
        <v>0</v>
      </c>
      <c r="O421" t="n">
        <v>0</v>
      </c>
      <c r="P421" t="n">
        <v>0</v>
      </c>
      <c r="Q421" t="n">
        <v>0</v>
      </c>
      <c r="R421" s="2" t="inlineStr"/>
    </row>
    <row r="422" ht="15" customHeight="1">
      <c r="A422" t="inlineStr">
        <is>
          <t>A 49572-2025</t>
        </is>
      </c>
      <c r="B422" s="1" t="n">
        <v>45939.49018518518</v>
      </c>
      <c r="C422" s="1" t="n">
        <v>46020</v>
      </c>
      <c r="D422" t="inlineStr">
        <is>
          <t>JÄMTLANDS LÄN</t>
        </is>
      </c>
      <c r="E422" t="inlineStr">
        <is>
          <t>ÖSTERSUND</t>
        </is>
      </c>
      <c r="G422" t="n">
        <v>1.4</v>
      </c>
      <c r="H422" t="n">
        <v>0</v>
      </c>
      <c r="I422" t="n">
        <v>0</v>
      </c>
      <c r="J422" t="n">
        <v>0</v>
      </c>
      <c r="K422" t="n">
        <v>0</v>
      </c>
      <c r="L422" t="n">
        <v>0</v>
      </c>
      <c r="M422" t="n">
        <v>0</v>
      </c>
      <c r="N422" t="n">
        <v>0</v>
      </c>
      <c r="O422" t="n">
        <v>0</v>
      </c>
      <c r="P422" t="n">
        <v>0</v>
      </c>
      <c r="Q422" t="n">
        <v>0</v>
      </c>
      <c r="R422" s="2" t="inlineStr"/>
    </row>
    <row r="423" ht="15" customHeight="1">
      <c r="A423" t="inlineStr">
        <is>
          <t>A 49576-2025</t>
        </is>
      </c>
      <c r="B423" s="1" t="n">
        <v>45939</v>
      </c>
      <c r="C423" s="1" t="n">
        <v>46020</v>
      </c>
      <c r="D423" t="inlineStr">
        <is>
          <t>JÄMTLANDS LÄN</t>
        </is>
      </c>
      <c r="E423" t="inlineStr">
        <is>
          <t>ÖSTERSUND</t>
        </is>
      </c>
      <c r="F423" t="inlineStr">
        <is>
          <t>SCA</t>
        </is>
      </c>
      <c r="G423" t="n">
        <v>17.1</v>
      </c>
      <c r="H423" t="n">
        <v>0</v>
      </c>
      <c r="I423" t="n">
        <v>0</v>
      </c>
      <c r="J423" t="n">
        <v>0</v>
      </c>
      <c r="K423" t="n">
        <v>0</v>
      </c>
      <c r="L423" t="n">
        <v>0</v>
      </c>
      <c r="M423" t="n">
        <v>0</v>
      </c>
      <c r="N423" t="n">
        <v>0</v>
      </c>
      <c r="O423" t="n">
        <v>0</v>
      </c>
      <c r="P423" t="n">
        <v>0</v>
      </c>
      <c r="Q423" t="n">
        <v>0</v>
      </c>
      <c r="R423" s="2" t="inlineStr"/>
    </row>
    <row r="424" ht="15" customHeight="1">
      <c r="A424" t="inlineStr">
        <is>
          <t>A 57398-2023</t>
        </is>
      </c>
      <c r="B424" s="1" t="n">
        <v>45245</v>
      </c>
      <c r="C424" s="1" t="n">
        <v>46020</v>
      </c>
      <c r="D424" t="inlineStr">
        <is>
          <t>JÄMTLANDS LÄN</t>
        </is>
      </c>
      <c r="E424" t="inlineStr">
        <is>
          <t>ÖSTERSUND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44051-2021</t>
        </is>
      </c>
      <c r="B425" s="1" t="n">
        <v>44434</v>
      </c>
      <c r="C425" s="1" t="n">
        <v>46020</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55235-2023</t>
        </is>
      </c>
      <c r="B426" s="1" t="n">
        <v>45231</v>
      </c>
      <c r="C426" s="1" t="n">
        <v>46020</v>
      </c>
      <c r="D426" t="inlineStr">
        <is>
          <t>JÄMTLANDS LÄN</t>
        </is>
      </c>
      <c r="E426" t="inlineStr">
        <is>
          <t>ÖSTERSUND</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26586-2025</t>
        </is>
      </c>
      <c r="B427" s="1" t="n">
        <v>45807.74140046296</v>
      </c>
      <c r="C427" s="1" t="n">
        <v>46020</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36211-2025</t>
        </is>
      </c>
      <c r="B428" s="1" t="n">
        <v>45867.46946759259</v>
      </c>
      <c r="C428" s="1" t="n">
        <v>46020</v>
      </c>
      <c r="D428" t="inlineStr">
        <is>
          <t>JÄMTLANDS LÄN</t>
        </is>
      </c>
      <c r="E428" t="inlineStr">
        <is>
          <t>ÖSTERSUND</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58372-2025</t>
        </is>
      </c>
      <c r="B429" s="1" t="n">
        <v>45985.53155092592</v>
      </c>
      <c r="C429" s="1" t="n">
        <v>46020</v>
      </c>
      <c r="D429" t="inlineStr">
        <is>
          <t>JÄMTLANDS LÄN</t>
        </is>
      </c>
      <c r="E429" t="inlineStr">
        <is>
          <t>ÖSTERSUND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58122-2025</t>
        </is>
      </c>
      <c r="B430" s="1" t="n">
        <v>45982.61043981482</v>
      </c>
      <c r="C430" s="1" t="n">
        <v>46020</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34923-2025</t>
        </is>
      </c>
      <c r="B431" s="1" t="n">
        <v>45849.55601851852</v>
      </c>
      <c r="C431" s="1" t="n">
        <v>46020</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58354-2025</t>
        </is>
      </c>
      <c r="B432" s="1" t="n">
        <v>45985.51131944444</v>
      </c>
      <c r="C432" s="1" t="n">
        <v>46020</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54587-2024</t>
        </is>
      </c>
      <c r="B433" s="1" t="n">
        <v>45617.65800925926</v>
      </c>
      <c r="C433" s="1" t="n">
        <v>46020</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36098-2025</t>
        </is>
      </c>
      <c r="B434" s="1" t="n">
        <v>45866.50549768518</v>
      </c>
      <c r="C434" s="1" t="n">
        <v>46020</v>
      </c>
      <c r="D434" t="inlineStr">
        <is>
          <t>JÄMTLANDS LÄN</t>
        </is>
      </c>
      <c r="E434" t="inlineStr">
        <is>
          <t>ÖSTERSUND</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58099-2025</t>
        </is>
      </c>
      <c r="B435" s="1" t="n">
        <v>45982.5862037037</v>
      </c>
      <c r="C435" s="1" t="n">
        <v>46020</v>
      </c>
      <c r="D435" t="inlineStr">
        <is>
          <t>JÄMTLANDS LÄN</t>
        </is>
      </c>
      <c r="E435" t="inlineStr">
        <is>
          <t>ÖSTERSUND</t>
        </is>
      </c>
      <c r="G435" t="n">
        <v>6.1</v>
      </c>
      <c r="H435" t="n">
        <v>0</v>
      </c>
      <c r="I435" t="n">
        <v>0</v>
      </c>
      <c r="J435" t="n">
        <v>0</v>
      </c>
      <c r="K435" t="n">
        <v>0</v>
      </c>
      <c r="L435" t="n">
        <v>0</v>
      </c>
      <c r="M435" t="n">
        <v>0</v>
      </c>
      <c r="N435" t="n">
        <v>0</v>
      </c>
      <c r="O435" t="n">
        <v>0</v>
      </c>
      <c r="P435" t="n">
        <v>0</v>
      </c>
      <c r="Q435" t="n">
        <v>0</v>
      </c>
      <c r="R435" s="2" t="inlineStr"/>
    </row>
    <row r="436" ht="15" customHeight="1">
      <c r="A436" t="inlineStr">
        <is>
          <t>A 38644-2021</t>
        </is>
      </c>
      <c r="B436" s="1" t="n">
        <v>44410.35376157407</v>
      </c>
      <c r="C436" s="1" t="n">
        <v>46020</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58353-2025</t>
        </is>
      </c>
      <c r="B437" s="1" t="n">
        <v>45985.51128472222</v>
      </c>
      <c r="C437" s="1" t="n">
        <v>46020</v>
      </c>
      <c r="D437" t="inlineStr">
        <is>
          <t>JÄMTLANDS LÄN</t>
        </is>
      </c>
      <c r="E437" t="inlineStr">
        <is>
          <t>ÖSTERSUND</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36566-2025</t>
        </is>
      </c>
      <c r="B438" s="1" t="n">
        <v>45869</v>
      </c>
      <c r="C438" s="1" t="n">
        <v>46020</v>
      </c>
      <c r="D438" t="inlineStr">
        <is>
          <t>JÄMTLANDS LÄN</t>
        </is>
      </c>
      <c r="E438" t="inlineStr">
        <is>
          <t>ÖSTERSUND</t>
        </is>
      </c>
      <c r="F438" t="inlineStr">
        <is>
          <t>Sveaskog</t>
        </is>
      </c>
      <c r="G438" t="n">
        <v>6.9</v>
      </c>
      <c r="H438" t="n">
        <v>0</v>
      </c>
      <c r="I438" t="n">
        <v>0</v>
      </c>
      <c r="J438" t="n">
        <v>0</v>
      </c>
      <c r="K438" t="n">
        <v>0</v>
      </c>
      <c r="L438" t="n">
        <v>0</v>
      </c>
      <c r="M438" t="n">
        <v>0</v>
      </c>
      <c r="N438" t="n">
        <v>0</v>
      </c>
      <c r="O438" t="n">
        <v>0</v>
      </c>
      <c r="P438" t="n">
        <v>0</v>
      </c>
      <c r="Q438" t="n">
        <v>0</v>
      </c>
      <c r="R438" s="2" t="inlineStr"/>
    </row>
    <row r="439" ht="15" customHeight="1">
      <c r="A439" t="inlineStr">
        <is>
          <t>A 50168-2025</t>
        </is>
      </c>
      <c r="B439" s="1" t="n">
        <v>45943.59442129629</v>
      </c>
      <c r="C439" s="1" t="n">
        <v>46020</v>
      </c>
      <c r="D439" t="inlineStr">
        <is>
          <t>JÄMTLANDS LÄN</t>
        </is>
      </c>
      <c r="E439" t="inlineStr">
        <is>
          <t>ÖSTERSUND</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52913-2021</t>
        </is>
      </c>
      <c r="B440" s="1" t="n">
        <v>44466</v>
      </c>
      <c r="C440" s="1" t="n">
        <v>46020</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20960-2022</t>
        </is>
      </c>
      <c r="B441" s="1" t="n">
        <v>44701.94034722223</v>
      </c>
      <c r="C441" s="1" t="n">
        <v>46020</v>
      </c>
      <c r="D441" t="inlineStr">
        <is>
          <t>JÄMTLANDS LÄN</t>
        </is>
      </c>
      <c r="E441" t="inlineStr">
        <is>
          <t>ÖSTERSUND</t>
        </is>
      </c>
      <c r="G441" t="n">
        <v>3.6</v>
      </c>
      <c r="H441" t="n">
        <v>0</v>
      </c>
      <c r="I441" t="n">
        <v>0</v>
      </c>
      <c r="J441" t="n">
        <v>0</v>
      </c>
      <c r="K441" t="n">
        <v>0</v>
      </c>
      <c r="L441" t="n">
        <v>0</v>
      </c>
      <c r="M441" t="n">
        <v>0</v>
      </c>
      <c r="N441" t="n">
        <v>0</v>
      </c>
      <c r="O441" t="n">
        <v>0</v>
      </c>
      <c r="P441" t="n">
        <v>0</v>
      </c>
      <c r="Q441" t="n">
        <v>0</v>
      </c>
      <c r="R441" s="2" t="inlineStr"/>
    </row>
    <row r="442" ht="15" customHeight="1">
      <c r="A442" t="inlineStr">
        <is>
          <t>A 10756-2025</t>
        </is>
      </c>
      <c r="B442" s="1" t="n">
        <v>45722.44892361111</v>
      </c>
      <c r="C442" s="1" t="n">
        <v>46020</v>
      </c>
      <c r="D442" t="inlineStr">
        <is>
          <t>JÄMTLANDS LÄN</t>
        </is>
      </c>
      <c r="E442" t="inlineStr">
        <is>
          <t>ÖSTERSUND</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7936-2025</t>
        </is>
      </c>
      <c r="B443" s="1" t="n">
        <v>45707</v>
      </c>
      <c r="C443" s="1" t="n">
        <v>46020</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7940-2025</t>
        </is>
      </c>
      <c r="B444" s="1" t="n">
        <v>45707.40493055555</v>
      </c>
      <c r="C444" s="1" t="n">
        <v>46020</v>
      </c>
      <c r="D444" t="inlineStr">
        <is>
          <t>JÄMTLANDS LÄN</t>
        </is>
      </c>
      <c r="E444" t="inlineStr">
        <is>
          <t>ÖSTERSUND</t>
        </is>
      </c>
      <c r="F444" t="inlineStr">
        <is>
          <t>Övriga Aktiebolag</t>
        </is>
      </c>
      <c r="G444" t="n">
        <v>48.1</v>
      </c>
      <c r="H444" t="n">
        <v>0</v>
      </c>
      <c r="I444" t="n">
        <v>0</v>
      </c>
      <c r="J444" t="n">
        <v>0</v>
      </c>
      <c r="K444" t="n">
        <v>0</v>
      </c>
      <c r="L444" t="n">
        <v>0</v>
      </c>
      <c r="M444" t="n">
        <v>0</v>
      </c>
      <c r="N444" t="n">
        <v>0</v>
      </c>
      <c r="O444" t="n">
        <v>0</v>
      </c>
      <c r="P444" t="n">
        <v>0</v>
      </c>
      <c r="Q444" t="n">
        <v>0</v>
      </c>
      <c r="R444" s="2" t="inlineStr"/>
    </row>
    <row r="445" ht="15" customHeight="1">
      <c r="A445" t="inlineStr">
        <is>
          <t>A 58440-2025</t>
        </is>
      </c>
      <c r="B445" s="1" t="n">
        <v>45985.61524305555</v>
      </c>
      <c r="C445" s="1" t="n">
        <v>46020</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58373-2025</t>
        </is>
      </c>
      <c r="B446" s="1" t="n">
        <v>45985.53162037037</v>
      </c>
      <c r="C446" s="1" t="n">
        <v>46020</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5024-2025</t>
        </is>
      </c>
      <c r="B447" s="1" t="n">
        <v>45691.40832175926</v>
      </c>
      <c r="C447" s="1" t="n">
        <v>46020</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5025-2025</t>
        </is>
      </c>
      <c r="B448" s="1" t="n">
        <v>45691.40836805556</v>
      </c>
      <c r="C448" s="1" t="n">
        <v>46020</v>
      </c>
      <c r="D448" t="inlineStr">
        <is>
          <t>JÄMTLANDS LÄN</t>
        </is>
      </c>
      <c r="E448" t="inlineStr">
        <is>
          <t>ÖSTERSUND</t>
        </is>
      </c>
      <c r="G448" t="n">
        <v>0.1</v>
      </c>
      <c r="H448" t="n">
        <v>0</v>
      </c>
      <c r="I448" t="n">
        <v>0</v>
      </c>
      <c r="J448" t="n">
        <v>0</v>
      </c>
      <c r="K448" t="n">
        <v>0</v>
      </c>
      <c r="L448" t="n">
        <v>0</v>
      </c>
      <c r="M448" t="n">
        <v>0</v>
      </c>
      <c r="N448" t="n">
        <v>0</v>
      </c>
      <c r="O448" t="n">
        <v>0</v>
      </c>
      <c r="P448" t="n">
        <v>0</v>
      </c>
      <c r="Q448" t="n">
        <v>0</v>
      </c>
      <c r="R448" s="2" t="inlineStr"/>
    </row>
    <row r="449" ht="15" customHeight="1">
      <c r="A449" t="inlineStr">
        <is>
          <t>A 58583-2025</t>
        </is>
      </c>
      <c r="B449" s="1" t="n">
        <v>45986.39024305555</v>
      </c>
      <c r="C449" s="1" t="n">
        <v>46020</v>
      </c>
      <c r="D449" t="inlineStr">
        <is>
          <t>JÄMTLANDS LÄN</t>
        </is>
      </c>
      <c r="E449" t="inlineStr">
        <is>
          <t>ÖSTERSUND</t>
        </is>
      </c>
      <c r="G449" t="n">
        <v>43.1</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46020</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58818-2025</t>
        </is>
      </c>
      <c r="B451" s="1" t="n">
        <v>45987.33479166667</v>
      </c>
      <c r="C451" s="1" t="n">
        <v>46020</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47727-2023</t>
        </is>
      </c>
      <c r="B452" s="1" t="n">
        <v>45203</v>
      </c>
      <c r="C452" s="1" t="n">
        <v>46020</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60767-2022</t>
        </is>
      </c>
      <c r="B453" s="1" t="n">
        <v>44914.35599537037</v>
      </c>
      <c r="C453" s="1" t="n">
        <v>46020</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58917-2025</t>
        </is>
      </c>
      <c r="B454" s="1" t="n">
        <v>45987.52949074074</v>
      </c>
      <c r="C454" s="1" t="n">
        <v>46020</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37085-2025</t>
        </is>
      </c>
      <c r="B455" s="1" t="n">
        <v>45875.44840277778</v>
      </c>
      <c r="C455" s="1" t="n">
        <v>46020</v>
      </c>
      <c r="D455" t="inlineStr">
        <is>
          <t>JÄMTLANDS LÄN</t>
        </is>
      </c>
      <c r="E455" t="inlineStr">
        <is>
          <t>ÖSTERSUND</t>
        </is>
      </c>
      <c r="G455" t="n">
        <v>5.5</v>
      </c>
      <c r="H455" t="n">
        <v>0</v>
      </c>
      <c r="I455" t="n">
        <v>0</v>
      </c>
      <c r="J455" t="n">
        <v>0</v>
      </c>
      <c r="K455" t="n">
        <v>0</v>
      </c>
      <c r="L455" t="n">
        <v>0</v>
      </c>
      <c r="M455" t="n">
        <v>0</v>
      </c>
      <c r="N455" t="n">
        <v>0</v>
      </c>
      <c r="O455" t="n">
        <v>0</v>
      </c>
      <c r="P455" t="n">
        <v>0</v>
      </c>
      <c r="Q455" t="n">
        <v>0</v>
      </c>
      <c r="R455" s="2" t="inlineStr"/>
    </row>
    <row r="456" ht="15" customHeight="1">
      <c r="A456" t="inlineStr">
        <is>
          <t>A 58824-2025</t>
        </is>
      </c>
      <c r="B456" s="1" t="n">
        <v>45987.34543981482</v>
      </c>
      <c r="C456" s="1" t="n">
        <v>46020</v>
      </c>
      <c r="D456" t="inlineStr">
        <is>
          <t>JÄMTLANDS LÄN</t>
        </is>
      </c>
      <c r="E456" t="inlineStr">
        <is>
          <t>ÖSTERSUND</t>
        </is>
      </c>
      <c r="G456" t="n">
        <v>3.2</v>
      </c>
      <c r="H456" t="n">
        <v>0</v>
      </c>
      <c r="I456" t="n">
        <v>0</v>
      </c>
      <c r="J456" t="n">
        <v>0</v>
      </c>
      <c r="K456" t="n">
        <v>0</v>
      </c>
      <c r="L456" t="n">
        <v>0</v>
      </c>
      <c r="M456" t="n">
        <v>0</v>
      </c>
      <c r="N456" t="n">
        <v>0</v>
      </c>
      <c r="O456" t="n">
        <v>0</v>
      </c>
      <c r="P456" t="n">
        <v>0</v>
      </c>
      <c r="Q456" t="n">
        <v>0</v>
      </c>
      <c r="R456" s="2" t="inlineStr"/>
    </row>
    <row r="457" ht="15" customHeight="1">
      <c r="A457" t="inlineStr">
        <is>
          <t>A 50428-2025</t>
        </is>
      </c>
      <c r="B457" s="1" t="n">
        <v>45944.67787037037</v>
      </c>
      <c r="C457" s="1" t="n">
        <v>46020</v>
      </c>
      <c r="D457" t="inlineStr">
        <is>
          <t>JÄMTLANDS LÄN</t>
        </is>
      </c>
      <c r="E457" t="inlineStr">
        <is>
          <t>ÖSTERSUND</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58996-2025</t>
        </is>
      </c>
      <c r="B458" s="1" t="n">
        <v>45987.67032407408</v>
      </c>
      <c r="C458" s="1" t="n">
        <v>46020</v>
      </c>
      <c r="D458" t="inlineStr">
        <is>
          <t>JÄMTLANDS LÄN</t>
        </is>
      </c>
      <c r="E458" t="inlineStr">
        <is>
          <t>ÖSTERSUND</t>
        </is>
      </c>
      <c r="G458" t="n">
        <v>4.3</v>
      </c>
      <c r="H458" t="n">
        <v>0</v>
      </c>
      <c r="I458" t="n">
        <v>0</v>
      </c>
      <c r="J458" t="n">
        <v>0</v>
      </c>
      <c r="K458" t="n">
        <v>0</v>
      </c>
      <c r="L458" t="n">
        <v>0</v>
      </c>
      <c r="M458" t="n">
        <v>0</v>
      </c>
      <c r="N458" t="n">
        <v>0</v>
      </c>
      <c r="O458" t="n">
        <v>0</v>
      </c>
      <c r="P458" t="n">
        <v>0</v>
      </c>
      <c r="Q458" t="n">
        <v>0</v>
      </c>
      <c r="R458" s="2" t="inlineStr"/>
    </row>
    <row r="459" ht="15" customHeight="1">
      <c r="A459" t="inlineStr">
        <is>
          <t>A 60623-2022</t>
        </is>
      </c>
      <c r="B459" s="1" t="n">
        <v>44911.6459837963</v>
      </c>
      <c r="C459" s="1" t="n">
        <v>46020</v>
      </c>
      <c r="D459" t="inlineStr">
        <is>
          <t>JÄMTLANDS LÄN</t>
        </is>
      </c>
      <c r="E459" t="inlineStr">
        <is>
          <t>ÖSTERSUND</t>
        </is>
      </c>
      <c r="G459" t="n">
        <v>10.9</v>
      </c>
      <c r="H459" t="n">
        <v>0</v>
      </c>
      <c r="I459" t="n">
        <v>0</v>
      </c>
      <c r="J459" t="n">
        <v>0</v>
      </c>
      <c r="K459" t="n">
        <v>0</v>
      </c>
      <c r="L459" t="n">
        <v>0</v>
      </c>
      <c r="M459" t="n">
        <v>0</v>
      </c>
      <c r="N459" t="n">
        <v>0</v>
      </c>
      <c r="O459" t="n">
        <v>0</v>
      </c>
      <c r="P459" t="n">
        <v>0</v>
      </c>
      <c r="Q459" t="n">
        <v>0</v>
      </c>
      <c r="R459" s="2" t="inlineStr"/>
    </row>
    <row r="460" ht="15" customHeight="1">
      <c r="A460" t="inlineStr">
        <is>
          <t>A 3615-2025</t>
        </is>
      </c>
      <c r="B460" s="1" t="n">
        <v>45681.36493055556</v>
      </c>
      <c r="C460" s="1" t="n">
        <v>46020</v>
      </c>
      <c r="D460" t="inlineStr">
        <is>
          <t>JÄMTLANDS LÄN</t>
        </is>
      </c>
      <c r="E460" t="inlineStr">
        <is>
          <t>ÖSTERSUND</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3651-2025</t>
        </is>
      </c>
      <c r="B461" s="1" t="n">
        <v>45681.40689814815</v>
      </c>
      <c r="C461" s="1" t="n">
        <v>46020</v>
      </c>
      <c r="D461" t="inlineStr">
        <is>
          <t>JÄMTLANDS LÄN</t>
        </is>
      </c>
      <c r="E461" t="inlineStr">
        <is>
          <t>ÖSTERSUND</t>
        </is>
      </c>
      <c r="F461" t="inlineStr">
        <is>
          <t>SCA</t>
        </is>
      </c>
      <c r="G461" t="n">
        <v>9.6</v>
      </c>
      <c r="H461" t="n">
        <v>0</v>
      </c>
      <c r="I461" t="n">
        <v>0</v>
      </c>
      <c r="J461" t="n">
        <v>0</v>
      </c>
      <c r="K461" t="n">
        <v>0</v>
      </c>
      <c r="L461" t="n">
        <v>0</v>
      </c>
      <c r="M461" t="n">
        <v>0</v>
      </c>
      <c r="N461" t="n">
        <v>0</v>
      </c>
      <c r="O461" t="n">
        <v>0</v>
      </c>
      <c r="P461" t="n">
        <v>0</v>
      </c>
      <c r="Q461" t="n">
        <v>0</v>
      </c>
      <c r="R461" s="2" t="inlineStr"/>
    </row>
    <row r="462" ht="15" customHeight="1">
      <c r="A462" t="inlineStr">
        <is>
          <t>A 3664-2025</t>
        </is>
      </c>
      <c r="B462" s="1" t="n">
        <v>45681.4275462963</v>
      </c>
      <c r="C462" s="1" t="n">
        <v>46020</v>
      </c>
      <c r="D462" t="inlineStr">
        <is>
          <t>JÄMTLANDS LÄN</t>
        </is>
      </c>
      <c r="E462" t="inlineStr">
        <is>
          <t>ÖSTERSUND</t>
        </is>
      </c>
      <c r="F462" t="inlineStr">
        <is>
          <t>SCA</t>
        </is>
      </c>
      <c r="G462" t="n">
        <v>10.9</v>
      </c>
      <c r="H462" t="n">
        <v>0</v>
      </c>
      <c r="I462" t="n">
        <v>0</v>
      </c>
      <c r="J462" t="n">
        <v>0</v>
      </c>
      <c r="K462" t="n">
        <v>0</v>
      </c>
      <c r="L462" t="n">
        <v>0</v>
      </c>
      <c r="M462" t="n">
        <v>0</v>
      </c>
      <c r="N462" t="n">
        <v>0</v>
      </c>
      <c r="O462" t="n">
        <v>0</v>
      </c>
      <c r="P462" t="n">
        <v>0</v>
      </c>
      <c r="Q462" t="n">
        <v>0</v>
      </c>
      <c r="R462" s="2" t="inlineStr"/>
    </row>
    <row r="463" ht="15" customHeight="1">
      <c r="A463" t="inlineStr">
        <is>
          <t>A 12821-2023</t>
        </is>
      </c>
      <c r="B463" s="1" t="n">
        <v>45000</v>
      </c>
      <c r="C463" s="1" t="n">
        <v>46020</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44798-2023</t>
        </is>
      </c>
      <c r="B464" s="1" t="n">
        <v>45190</v>
      </c>
      <c r="C464" s="1" t="n">
        <v>46020</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4936-2025</t>
        </is>
      </c>
      <c r="B465" s="1" t="n">
        <v>45688.69356481481</v>
      </c>
      <c r="C465" s="1" t="n">
        <v>46020</v>
      </c>
      <c r="D465" t="inlineStr">
        <is>
          <t>JÄMTLANDS LÄN</t>
        </is>
      </c>
      <c r="E465" t="inlineStr">
        <is>
          <t>ÖSTERSUND</t>
        </is>
      </c>
      <c r="G465" t="n">
        <v>8.1</v>
      </c>
      <c r="H465" t="n">
        <v>0</v>
      </c>
      <c r="I465" t="n">
        <v>0</v>
      </c>
      <c r="J465" t="n">
        <v>0</v>
      </c>
      <c r="K465" t="n">
        <v>0</v>
      </c>
      <c r="L465" t="n">
        <v>0</v>
      </c>
      <c r="M465" t="n">
        <v>0</v>
      </c>
      <c r="N465" t="n">
        <v>0</v>
      </c>
      <c r="O465" t="n">
        <v>0</v>
      </c>
      <c r="P465" t="n">
        <v>0</v>
      </c>
      <c r="Q465" t="n">
        <v>0</v>
      </c>
      <c r="R465" s="2" t="inlineStr"/>
    </row>
    <row r="466" ht="15" customHeight="1">
      <c r="A466" t="inlineStr">
        <is>
          <t>A 59015-2025</t>
        </is>
      </c>
      <c r="B466" s="1" t="n">
        <v>45987.83457175926</v>
      </c>
      <c r="C466" s="1" t="n">
        <v>46020</v>
      </c>
      <c r="D466" t="inlineStr">
        <is>
          <t>JÄMTLANDS LÄN</t>
        </is>
      </c>
      <c r="E466" t="inlineStr">
        <is>
          <t>ÖSTERSUND</t>
        </is>
      </c>
      <c r="G466" t="n">
        <v>2.4</v>
      </c>
      <c r="H466" t="n">
        <v>0</v>
      </c>
      <c r="I466" t="n">
        <v>0</v>
      </c>
      <c r="J466" t="n">
        <v>0</v>
      </c>
      <c r="K466" t="n">
        <v>0</v>
      </c>
      <c r="L466" t="n">
        <v>0</v>
      </c>
      <c r="M466" t="n">
        <v>0</v>
      </c>
      <c r="N466" t="n">
        <v>0</v>
      </c>
      <c r="O466" t="n">
        <v>0</v>
      </c>
      <c r="P466" t="n">
        <v>0</v>
      </c>
      <c r="Q466" t="n">
        <v>0</v>
      </c>
      <c r="R466" s="2" t="inlineStr"/>
    </row>
    <row r="467" ht="15" customHeight="1">
      <c r="A467" t="inlineStr">
        <is>
          <t>A 59007-2025</t>
        </is>
      </c>
      <c r="B467" s="1" t="n">
        <v>45987.69552083333</v>
      </c>
      <c r="C467" s="1" t="n">
        <v>46020</v>
      </c>
      <c r="D467" t="inlineStr">
        <is>
          <t>JÄMTLANDS LÄN</t>
        </is>
      </c>
      <c r="E467" t="inlineStr">
        <is>
          <t>ÖSTERSUND</t>
        </is>
      </c>
      <c r="G467" t="n">
        <v>4</v>
      </c>
      <c r="H467" t="n">
        <v>0</v>
      </c>
      <c r="I467" t="n">
        <v>0</v>
      </c>
      <c r="J467" t="n">
        <v>0</v>
      </c>
      <c r="K467" t="n">
        <v>0</v>
      </c>
      <c r="L467" t="n">
        <v>0</v>
      </c>
      <c r="M467" t="n">
        <v>0</v>
      </c>
      <c r="N467" t="n">
        <v>0</v>
      </c>
      <c r="O467" t="n">
        <v>0</v>
      </c>
      <c r="P467" t="n">
        <v>0</v>
      </c>
      <c r="Q467" t="n">
        <v>0</v>
      </c>
      <c r="R467" s="2" t="inlineStr"/>
    </row>
    <row r="468" ht="15" customHeight="1">
      <c r="A468" t="inlineStr">
        <is>
          <t>A 59188-2025</t>
        </is>
      </c>
      <c r="B468" s="1" t="n">
        <v>45988.58856481482</v>
      </c>
      <c r="C468" s="1" t="n">
        <v>46020</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6877-2024</t>
        </is>
      </c>
      <c r="B469" s="1" t="n">
        <v>45342</v>
      </c>
      <c r="C469" s="1" t="n">
        <v>46020</v>
      </c>
      <c r="D469" t="inlineStr">
        <is>
          <t>JÄMTLANDS LÄN</t>
        </is>
      </c>
      <c r="E469" t="inlineStr">
        <is>
          <t>ÖSTERSUND</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59687-2025</t>
        </is>
      </c>
      <c r="B470" s="1" t="n">
        <v>45992.47729166667</v>
      </c>
      <c r="C470" s="1" t="n">
        <v>46020</v>
      </c>
      <c r="D470" t="inlineStr">
        <is>
          <t>JÄMTLANDS LÄN</t>
        </is>
      </c>
      <c r="E470" t="inlineStr">
        <is>
          <t>ÖSTERSUND</t>
        </is>
      </c>
      <c r="G470" t="n">
        <v>5</v>
      </c>
      <c r="H470" t="n">
        <v>0</v>
      </c>
      <c r="I470" t="n">
        <v>0</v>
      </c>
      <c r="J470" t="n">
        <v>0</v>
      </c>
      <c r="K470" t="n">
        <v>0</v>
      </c>
      <c r="L470" t="n">
        <v>0</v>
      </c>
      <c r="M470" t="n">
        <v>0</v>
      </c>
      <c r="N470" t="n">
        <v>0</v>
      </c>
      <c r="O470" t="n">
        <v>0</v>
      </c>
      <c r="P470" t="n">
        <v>0</v>
      </c>
      <c r="Q470" t="n">
        <v>0</v>
      </c>
      <c r="R470" s="2" t="inlineStr"/>
    </row>
    <row r="471" ht="15" customHeight="1">
      <c r="A471" t="inlineStr">
        <is>
          <t>A 9971-2025</t>
        </is>
      </c>
      <c r="B471" s="1" t="n">
        <v>45719.38630787037</v>
      </c>
      <c r="C471" s="1" t="n">
        <v>46020</v>
      </c>
      <c r="D471" t="inlineStr">
        <is>
          <t>JÄMTLANDS LÄN</t>
        </is>
      </c>
      <c r="E471" t="inlineStr">
        <is>
          <t>ÖSTERSUND</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59619-2025</t>
        </is>
      </c>
      <c r="B472" s="1" t="n">
        <v>45992.38109953704</v>
      </c>
      <c r="C472" s="1" t="n">
        <v>46020</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7941-2025</t>
        </is>
      </c>
      <c r="B473" s="1" t="n">
        <v>45707</v>
      </c>
      <c r="C473" s="1" t="n">
        <v>46020</v>
      </c>
      <c r="D473" t="inlineStr">
        <is>
          <t>JÄMTLANDS LÄN</t>
        </is>
      </c>
      <c r="E473" t="inlineStr">
        <is>
          <t>ÖSTERSUND</t>
        </is>
      </c>
      <c r="G473" t="n">
        <v>2</v>
      </c>
      <c r="H473" t="n">
        <v>0</v>
      </c>
      <c r="I473" t="n">
        <v>0</v>
      </c>
      <c r="J473" t="n">
        <v>0</v>
      </c>
      <c r="K473" t="n">
        <v>0</v>
      </c>
      <c r="L473" t="n">
        <v>0</v>
      </c>
      <c r="M473" t="n">
        <v>0</v>
      </c>
      <c r="N473" t="n">
        <v>0</v>
      </c>
      <c r="O473" t="n">
        <v>0</v>
      </c>
      <c r="P473" t="n">
        <v>0</v>
      </c>
      <c r="Q473" t="n">
        <v>0</v>
      </c>
      <c r="R473" s="2" t="inlineStr"/>
    </row>
    <row r="474" ht="15" customHeight="1">
      <c r="A474" t="inlineStr">
        <is>
          <t>A 60048-2025</t>
        </is>
      </c>
      <c r="B474" s="1" t="n">
        <v>45993.62974537037</v>
      </c>
      <c r="C474" s="1" t="n">
        <v>46020</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59612-2025</t>
        </is>
      </c>
      <c r="B475" s="1" t="n">
        <v>45992.3706712963</v>
      </c>
      <c r="C475" s="1" t="n">
        <v>46020</v>
      </c>
      <c r="D475" t="inlineStr">
        <is>
          <t>JÄMTLANDS LÄN</t>
        </is>
      </c>
      <c r="E475" t="inlineStr">
        <is>
          <t>ÖSTERSUND</t>
        </is>
      </c>
      <c r="G475" t="n">
        <v>2.3</v>
      </c>
      <c r="H475" t="n">
        <v>0</v>
      </c>
      <c r="I475" t="n">
        <v>0</v>
      </c>
      <c r="J475" t="n">
        <v>0</v>
      </c>
      <c r="K475" t="n">
        <v>0</v>
      </c>
      <c r="L475" t="n">
        <v>0</v>
      </c>
      <c r="M475" t="n">
        <v>0</v>
      </c>
      <c r="N475" t="n">
        <v>0</v>
      </c>
      <c r="O475" t="n">
        <v>0</v>
      </c>
      <c r="P475" t="n">
        <v>0</v>
      </c>
      <c r="Q475" t="n">
        <v>0</v>
      </c>
      <c r="R475" s="2" t="inlineStr"/>
    </row>
    <row r="476" ht="15" customHeight="1">
      <c r="A476" t="inlineStr">
        <is>
          <t>A 1322-2021</t>
        </is>
      </c>
      <c r="B476" s="1" t="n">
        <v>44208</v>
      </c>
      <c r="C476" s="1" t="n">
        <v>46020</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6351-2024</t>
        </is>
      </c>
      <c r="B477" s="1" t="n">
        <v>45338</v>
      </c>
      <c r="C477" s="1" t="n">
        <v>46020</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59613-2025</t>
        </is>
      </c>
      <c r="B478" s="1" t="n">
        <v>45992.37172453704</v>
      </c>
      <c r="C478" s="1" t="n">
        <v>46020</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52247-2025</t>
        </is>
      </c>
      <c r="B479" s="1" t="n">
        <v>45953.47575231481</v>
      </c>
      <c r="C479" s="1" t="n">
        <v>46020</v>
      </c>
      <c r="D479" t="inlineStr">
        <is>
          <t>JÄMTLANDS LÄN</t>
        </is>
      </c>
      <c r="E479" t="inlineStr">
        <is>
          <t>ÖSTERSUND</t>
        </is>
      </c>
      <c r="G479" t="n">
        <v>8.4</v>
      </c>
      <c r="H479" t="n">
        <v>0</v>
      </c>
      <c r="I479" t="n">
        <v>0</v>
      </c>
      <c r="J479" t="n">
        <v>0</v>
      </c>
      <c r="K479" t="n">
        <v>0</v>
      </c>
      <c r="L479" t="n">
        <v>0</v>
      </c>
      <c r="M479" t="n">
        <v>0</v>
      </c>
      <c r="N479" t="n">
        <v>0</v>
      </c>
      <c r="O479" t="n">
        <v>0</v>
      </c>
      <c r="P479" t="n">
        <v>0</v>
      </c>
      <c r="Q479" t="n">
        <v>0</v>
      </c>
      <c r="R479" s="2" t="inlineStr"/>
    </row>
    <row r="480" ht="15" customHeight="1">
      <c r="A480" t="inlineStr">
        <is>
          <t>A 52286-2025</t>
        </is>
      </c>
      <c r="B480" s="1" t="n">
        <v>45953.58497685185</v>
      </c>
      <c r="C480" s="1" t="n">
        <v>46020</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3749-2023</t>
        </is>
      </c>
      <c r="B481" s="1" t="n">
        <v>44949</v>
      </c>
      <c r="C481" s="1" t="n">
        <v>46020</v>
      </c>
      <c r="D481" t="inlineStr">
        <is>
          <t>JÄMTLANDS LÄN</t>
        </is>
      </c>
      <c r="E481" t="inlineStr">
        <is>
          <t>ÖSTERSUND</t>
        </is>
      </c>
      <c r="G481" t="n">
        <v>0.2</v>
      </c>
      <c r="H481" t="n">
        <v>0</v>
      </c>
      <c r="I481" t="n">
        <v>0</v>
      </c>
      <c r="J481" t="n">
        <v>0</v>
      </c>
      <c r="K481" t="n">
        <v>0</v>
      </c>
      <c r="L481" t="n">
        <v>0</v>
      </c>
      <c r="M481" t="n">
        <v>0</v>
      </c>
      <c r="N481" t="n">
        <v>0</v>
      </c>
      <c r="O481" t="n">
        <v>0</v>
      </c>
      <c r="P481" t="n">
        <v>0</v>
      </c>
      <c r="Q481" t="n">
        <v>0</v>
      </c>
      <c r="R481" s="2" t="inlineStr"/>
    </row>
    <row r="482" ht="15" customHeight="1">
      <c r="A482" t="inlineStr">
        <is>
          <t>A 3255-2025</t>
        </is>
      </c>
      <c r="B482" s="1" t="n">
        <v>45679.55256944444</v>
      </c>
      <c r="C482" s="1" t="n">
        <v>46020</v>
      </c>
      <c r="D482" t="inlineStr">
        <is>
          <t>JÄMTLANDS LÄN</t>
        </is>
      </c>
      <c r="E482" t="inlineStr">
        <is>
          <t>ÖSTERSUND</t>
        </is>
      </c>
      <c r="F482" t="inlineStr">
        <is>
          <t>SCA</t>
        </is>
      </c>
      <c r="G482" t="n">
        <v>16.7</v>
      </c>
      <c r="H482" t="n">
        <v>0</v>
      </c>
      <c r="I482" t="n">
        <v>0</v>
      </c>
      <c r="J482" t="n">
        <v>0</v>
      </c>
      <c r="K482" t="n">
        <v>0</v>
      </c>
      <c r="L482" t="n">
        <v>0</v>
      </c>
      <c r="M482" t="n">
        <v>0</v>
      </c>
      <c r="N482" t="n">
        <v>0</v>
      </c>
      <c r="O482" t="n">
        <v>0</v>
      </c>
      <c r="P482" t="n">
        <v>0</v>
      </c>
      <c r="Q482" t="n">
        <v>0</v>
      </c>
      <c r="R482" s="2" t="inlineStr"/>
    </row>
    <row r="483" ht="15" customHeight="1">
      <c r="A483" t="inlineStr">
        <is>
          <t>A 58364-2024</t>
        </is>
      </c>
      <c r="B483" s="1" t="n">
        <v>45632.68814814815</v>
      </c>
      <c r="C483" s="1" t="n">
        <v>46020</v>
      </c>
      <c r="D483" t="inlineStr">
        <is>
          <t>JÄMTLANDS LÄN</t>
        </is>
      </c>
      <c r="E483" t="inlineStr">
        <is>
          <t>ÖSTERSUND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52280-2025</t>
        </is>
      </c>
      <c r="B484" s="1" t="n">
        <v>45953.56976851852</v>
      </c>
      <c r="C484" s="1" t="n">
        <v>46020</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33801-2022</t>
        </is>
      </c>
      <c r="B485" s="1" t="n">
        <v>44790</v>
      </c>
      <c r="C485" s="1" t="n">
        <v>46020</v>
      </c>
      <c r="D485" t="inlineStr">
        <is>
          <t>JÄMTLANDS LÄN</t>
        </is>
      </c>
      <c r="E485" t="inlineStr">
        <is>
          <t>ÖSTERSUND</t>
        </is>
      </c>
      <c r="G485" t="n">
        <v>7.6</v>
      </c>
      <c r="H485" t="n">
        <v>0</v>
      </c>
      <c r="I485" t="n">
        <v>0</v>
      </c>
      <c r="J485" t="n">
        <v>0</v>
      </c>
      <c r="K485" t="n">
        <v>0</v>
      </c>
      <c r="L485" t="n">
        <v>0</v>
      </c>
      <c r="M485" t="n">
        <v>0</v>
      </c>
      <c r="N485" t="n">
        <v>0</v>
      </c>
      <c r="O485" t="n">
        <v>0</v>
      </c>
      <c r="P485" t="n">
        <v>0</v>
      </c>
      <c r="Q485" t="n">
        <v>0</v>
      </c>
      <c r="R485" s="2" t="inlineStr"/>
    </row>
    <row r="486" ht="15" customHeight="1">
      <c r="A486" t="inlineStr">
        <is>
          <t>A 3997-2025</t>
        </is>
      </c>
      <c r="B486" s="1" t="n">
        <v>45684.56725694444</v>
      </c>
      <c r="C486" s="1" t="n">
        <v>46020</v>
      </c>
      <c r="D486" t="inlineStr">
        <is>
          <t>JÄMTLANDS LÄN</t>
        </is>
      </c>
      <c r="E486" t="inlineStr">
        <is>
          <t>ÖSTERSUND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64645-2021</t>
        </is>
      </c>
      <c r="B487" s="1" t="n">
        <v>44511.94629629629</v>
      </c>
      <c r="C487" s="1" t="n">
        <v>46020</v>
      </c>
      <c r="D487" t="inlineStr">
        <is>
          <t>JÄMTLANDS LÄN</t>
        </is>
      </c>
      <c r="E487" t="inlineStr">
        <is>
          <t>ÖSTERSUND</t>
        </is>
      </c>
      <c r="G487" t="n">
        <v>3.2</v>
      </c>
      <c r="H487" t="n">
        <v>0</v>
      </c>
      <c r="I487" t="n">
        <v>0</v>
      </c>
      <c r="J487" t="n">
        <v>0</v>
      </c>
      <c r="K487" t="n">
        <v>0</v>
      </c>
      <c r="L487" t="n">
        <v>0</v>
      </c>
      <c r="M487" t="n">
        <v>0</v>
      </c>
      <c r="N487" t="n">
        <v>0</v>
      </c>
      <c r="O487" t="n">
        <v>0</v>
      </c>
      <c r="P487" t="n">
        <v>0</v>
      </c>
      <c r="Q487" t="n">
        <v>0</v>
      </c>
      <c r="R487" s="2" t="inlineStr"/>
    </row>
    <row r="488" ht="15" customHeight="1">
      <c r="A488" t="inlineStr">
        <is>
          <t>A 52003-2025</t>
        </is>
      </c>
      <c r="B488" s="1" t="n">
        <v>45952.5909375</v>
      </c>
      <c r="C488" s="1" t="n">
        <v>46020</v>
      </c>
      <c r="D488" t="inlineStr">
        <is>
          <t>JÄMTLANDS LÄN</t>
        </is>
      </c>
      <c r="E488" t="inlineStr">
        <is>
          <t>ÖSTERSUND</t>
        </is>
      </c>
      <c r="G488" t="n">
        <v>5.7</v>
      </c>
      <c r="H488" t="n">
        <v>0</v>
      </c>
      <c r="I488" t="n">
        <v>0</v>
      </c>
      <c r="J488" t="n">
        <v>0</v>
      </c>
      <c r="K488" t="n">
        <v>0</v>
      </c>
      <c r="L488" t="n">
        <v>0</v>
      </c>
      <c r="M488" t="n">
        <v>0</v>
      </c>
      <c r="N488" t="n">
        <v>0</v>
      </c>
      <c r="O488" t="n">
        <v>0</v>
      </c>
      <c r="P488" t="n">
        <v>0</v>
      </c>
      <c r="Q488" t="n">
        <v>0</v>
      </c>
      <c r="R488" s="2" t="inlineStr"/>
    </row>
    <row r="489" ht="15" customHeight="1">
      <c r="A489" t="inlineStr">
        <is>
          <t>A 52935-2025</t>
        </is>
      </c>
      <c r="B489" s="1" t="n">
        <v>45957.62978009259</v>
      </c>
      <c r="C489" s="1" t="n">
        <v>46020</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846-2024</t>
        </is>
      </c>
      <c r="B490" s="1" t="n">
        <v>45300</v>
      </c>
      <c r="C490" s="1" t="n">
        <v>46020</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12102-2025</t>
        </is>
      </c>
      <c r="B491" s="1" t="n">
        <v>45729.3425</v>
      </c>
      <c r="C491" s="1" t="n">
        <v>46020</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52620-2025</t>
        </is>
      </c>
      <c r="B492" s="1" t="n">
        <v>45954.68207175926</v>
      </c>
      <c r="C492" s="1" t="n">
        <v>46020</v>
      </c>
      <c r="D492" t="inlineStr">
        <is>
          <t>JÄMTLANDS LÄN</t>
        </is>
      </c>
      <c r="E492" t="inlineStr">
        <is>
          <t>ÖSTERSUND</t>
        </is>
      </c>
      <c r="G492" t="n">
        <v>4.6</v>
      </c>
      <c r="H492" t="n">
        <v>0</v>
      </c>
      <c r="I492" t="n">
        <v>0</v>
      </c>
      <c r="J492" t="n">
        <v>0</v>
      </c>
      <c r="K492" t="n">
        <v>0</v>
      </c>
      <c r="L492" t="n">
        <v>0</v>
      </c>
      <c r="M492" t="n">
        <v>0</v>
      </c>
      <c r="N492" t="n">
        <v>0</v>
      </c>
      <c r="O492" t="n">
        <v>0</v>
      </c>
      <c r="P492" t="n">
        <v>0</v>
      </c>
      <c r="Q492" t="n">
        <v>0</v>
      </c>
      <c r="R492" s="2" t="inlineStr"/>
    </row>
    <row r="493" ht="15" customHeight="1">
      <c r="A493" t="inlineStr">
        <is>
          <t>A 52975-2025</t>
        </is>
      </c>
      <c r="B493" s="1" t="n">
        <v>45957.67876157408</v>
      </c>
      <c r="C493" s="1" t="n">
        <v>46020</v>
      </c>
      <c r="D493" t="inlineStr">
        <is>
          <t>JÄMTLANDS LÄN</t>
        </is>
      </c>
      <c r="E493" t="inlineStr">
        <is>
          <t>ÖSTERSUND</t>
        </is>
      </c>
      <c r="F493" t="inlineStr">
        <is>
          <t>SCA</t>
        </is>
      </c>
      <c r="G493" t="n">
        <v>7.5</v>
      </c>
      <c r="H493" t="n">
        <v>0</v>
      </c>
      <c r="I493" t="n">
        <v>0</v>
      </c>
      <c r="J493" t="n">
        <v>0</v>
      </c>
      <c r="K493" t="n">
        <v>0</v>
      </c>
      <c r="L493" t="n">
        <v>0</v>
      </c>
      <c r="M493" t="n">
        <v>0</v>
      </c>
      <c r="N493" t="n">
        <v>0</v>
      </c>
      <c r="O493" t="n">
        <v>0</v>
      </c>
      <c r="P493" t="n">
        <v>0</v>
      </c>
      <c r="Q493" t="n">
        <v>0</v>
      </c>
      <c r="R493" s="2" t="inlineStr"/>
    </row>
    <row r="494" ht="15" customHeight="1">
      <c r="A494" t="inlineStr">
        <is>
          <t>A 7233-2024</t>
        </is>
      </c>
      <c r="B494" s="1" t="n">
        <v>45344</v>
      </c>
      <c r="C494" s="1" t="n">
        <v>46020</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61427-2025</t>
        </is>
      </c>
      <c r="B495" s="1" t="n">
        <v>46000</v>
      </c>
      <c r="C495" s="1" t="n">
        <v>46020</v>
      </c>
      <c r="D495" t="inlineStr">
        <is>
          <t>JÄMTLANDS LÄN</t>
        </is>
      </c>
      <c r="E495" t="inlineStr">
        <is>
          <t>ÖSTERSUND</t>
        </is>
      </c>
      <c r="G495" t="n">
        <v>0.3</v>
      </c>
      <c r="H495" t="n">
        <v>0</v>
      </c>
      <c r="I495" t="n">
        <v>0</v>
      </c>
      <c r="J495" t="n">
        <v>0</v>
      </c>
      <c r="K495" t="n">
        <v>0</v>
      </c>
      <c r="L495" t="n">
        <v>0</v>
      </c>
      <c r="M495" t="n">
        <v>0</v>
      </c>
      <c r="N495" t="n">
        <v>0</v>
      </c>
      <c r="O495" t="n">
        <v>0</v>
      </c>
      <c r="P495" t="n">
        <v>0</v>
      </c>
      <c r="Q495" t="n">
        <v>0</v>
      </c>
      <c r="R495" s="2" t="inlineStr"/>
    </row>
    <row r="496" ht="15" customHeight="1">
      <c r="A496" t="inlineStr">
        <is>
          <t>A 61791-2023</t>
        </is>
      </c>
      <c r="B496" s="1" t="n">
        <v>45265.95795138889</v>
      </c>
      <c r="C496" s="1" t="n">
        <v>46020</v>
      </c>
      <c r="D496" t="inlineStr">
        <is>
          <t>JÄMTLANDS LÄN</t>
        </is>
      </c>
      <c r="E496" t="inlineStr">
        <is>
          <t>ÖSTERSUND</t>
        </is>
      </c>
      <c r="F496" t="inlineStr">
        <is>
          <t>SCA</t>
        </is>
      </c>
      <c r="G496" t="n">
        <v>11.4</v>
      </c>
      <c r="H496" t="n">
        <v>0</v>
      </c>
      <c r="I496" t="n">
        <v>0</v>
      </c>
      <c r="J496" t="n">
        <v>0</v>
      </c>
      <c r="K496" t="n">
        <v>0</v>
      </c>
      <c r="L496" t="n">
        <v>0</v>
      </c>
      <c r="M496" t="n">
        <v>0</v>
      </c>
      <c r="N496" t="n">
        <v>0</v>
      </c>
      <c r="O496" t="n">
        <v>0</v>
      </c>
      <c r="P496" t="n">
        <v>0</v>
      </c>
      <c r="Q496" t="n">
        <v>0</v>
      </c>
      <c r="R496" s="2" t="inlineStr"/>
    </row>
    <row r="497" ht="15" customHeight="1">
      <c r="A497" t="inlineStr">
        <is>
          <t>A 47022-2024</t>
        </is>
      </c>
      <c r="B497" s="1" t="n">
        <v>45586.40660879629</v>
      </c>
      <c r="C497" s="1" t="n">
        <v>46020</v>
      </c>
      <c r="D497" t="inlineStr">
        <is>
          <t>JÄMTLANDS LÄN</t>
        </is>
      </c>
      <c r="E497" t="inlineStr">
        <is>
          <t>ÖSTERSUND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53054-2025</t>
        </is>
      </c>
      <c r="B498" s="1" t="n">
        <v>45958.36498842593</v>
      </c>
      <c r="C498" s="1" t="n">
        <v>46020</v>
      </c>
      <c r="D498" t="inlineStr">
        <is>
          <t>JÄMTLANDS LÄN</t>
        </is>
      </c>
      <c r="E498" t="inlineStr">
        <is>
          <t>ÖSTERSUND</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12-2023</t>
        </is>
      </c>
      <c r="B499" s="1" t="n">
        <v>44927.88021990741</v>
      </c>
      <c r="C499" s="1" t="n">
        <v>46020</v>
      </c>
      <c r="D499" t="inlineStr">
        <is>
          <t>JÄMTLANDS LÄN</t>
        </is>
      </c>
      <c r="E499" t="inlineStr">
        <is>
          <t>ÖSTERSUND</t>
        </is>
      </c>
      <c r="G499" t="n">
        <v>4.7</v>
      </c>
      <c r="H499" t="n">
        <v>0</v>
      </c>
      <c r="I499" t="n">
        <v>0</v>
      </c>
      <c r="J499" t="n">
        <v>0</v>
      </c>
      <c r="K499" t="n">
        <v>0</v>
      </c>
      <c r="L499" t="n">
        <v>0</v>
      </c>
      <c r="M499" t="n">
        <v>0</v>
      </c>
      <c r="N499" t="n">
        <v>0</v>
      </c>
      <c r="O499" t="n">
        <v>0</v>
      </c>
      <c r="P499" t="n">
        <v>0</v>
      </c>
      <c r="Q499" t="n">
        <v>0</v>
      </c>
      <c r="R499" s="2" t="inlineStr"/>
    </row>
    <row r="500" ht="15" customHeight="1">
      <c r="A500" t="inlineStr">
        <is>
          <t>A 61222-2025</t>
        </is>
      </c>
      <c r="B500" s="1" t="n">
        <v>46000.62851851852</v>
      </c>
      <c r="C500" s="1" t="n">
        <v>46020</v>
      </c>
      <c r="D500" t="inlineStr">
        <is>
          <t>JÄMTLANDS LÄN</t>
        </is>
      </c>
      <c r="E500" t="inlineStr">
        <is>
          <t>ÖSTERSUND</t>
        </is>
      </c>
      <c r="G500" t="n">
        <v>9.1</v>
      </c>
      <c r="H500" t="n">
        <v>0</v>
      </c>
      <c r="I500" t="n">
        <v>0</v>
      </c>
      <c r="J500" t="n">
        <v>0</v>
      </c>
      <c r="K500" t="n">
        <v>0</v>
      </c>
      <c r="L500" t="n">
        <v>0</v>
      </c>
      <c r="M500" t="n">
        <v>0</v>
      </c>
      <c r="N500" t="n">
        <v>0</v>
      </c>
      <c r="O500" t="n">
        <v>0</v>
      </c>
      <c r="P500" t="n">
        <v>0</v>
      </c>
      <c r="Q500" t="n">
        <v>0</v>
      </c>
      <c r="R500" s="2" t="inlineStr"/>
    </row>
    <row r="501" ht="15" customHeight="1">
      <c r="A501" t="inlineStr">
        <is>
          <t>A 53057-2025</t>
        </is>
      </c>
      <c r="B501" s="1" t="n">
        <v>45958.36537037037</v>
      </c>
      <c r="C501" s="1" t="n">
        <v>46020</v>
      </c>
      <c r="D501" t="inlineStr">
        <is>
          <t>JÄMTLANDS LÄN</t>
        </is>
      </c>
      <c r="E501" t="inlineStr">
        <is>
          <t>ÖSTERSUND</t>
        </is>
      </c>
      <c r="F501" t="inlineStr">
        <is>
          <t>SCA</t>
        </is>
      </c>
      <c r="G501" t="n">
        <v>47.8</v>
      </c>
      <c r="H501" t="n">
        <v>0</v>
      </c>
      <c r="I501" t="n">
        <v>0</v>
      </c>
      <c r="J501" t="n">
        <v>0</v>
      </c>
      <c r="K501" t="n">
        <v>0</v>
      </c>
      <c r="L501" t="n">
        <v>0</v>
      </c>
      <c r="M501" t="n">
        <v>0</v>
      </c>
      <c r="N501" t="n">
        <v>0</v>
      </c>
      <c r="O501" t="n">
        <v>0</v>
      </c>
      <c r="P501" t="n">
        <v>0</v>
      </c>
      <c r="Q501" t="n">
        <v>0</v>
      </c>
      <c r="R501" s="2" t="inlineStr"/>
    </row>
    <row r="502" ht="15" customHeight="1">
      <c r="A502" t="inlineStr">
        <is>
          <t>A 64309-2023</t>
        </is>
      </c>
      <c r="B502" s="1" t="n">
        <v>45280</v>
      </c>
      <c r="C502" s="1" t="n">
        <v>46020</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64314-2023</t>
        </is>
      </c>
      <c r="B503" s="1" t="n">
        <v>45280</v>
      </c>
      <c r="C503" s="1" t="n">
        <v>46020</v>
      </c>
      <c r="D503" t="inlineStr">
        <is>
          <t>JÄMTLANDS LÄN</t>
        </is>
      </c>
      <c r="E503" t="inlineStr">
        <is>
          <t>ÖSTERSUND</t>
        </is>
      </c>
      <c r="G503" t="n">
        <v>0.6</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46020</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16336-2025</t>
        </is>
      </c>
      <c r="B505" s="1" t="n">
        <v>45751.36519675926</v>
      </c>
      <c r="C505" s="1" t="n">
        <v>46020</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61235-2025</t>
        </is>
      </c>
      <c r="B506" s="1" t="n">
        <v>46000.63969907408</v>
      </c>
      <c r="C506" s="1" t="n">
        <v>46020</v>
      </c>
      <c r="D506" t="inlineStr">
        <is>
          <t>JÄMTLANDS LÄN</t>
        </is>
      </c>
      <c r="E506" t="inlineStr">
        <is>
          <t>ÖSTERSUND</t>
        </is>
      </c>
      <c r="G506" t="n">
        <v>0.8</v>
      </c>
      <c r="H506" t="n">
        <v>0</v>
      </c>
      <c r="I506" t="n">
        <v>0</v>
      </c>
      <c r="J506" t="n">
        <v>0</v>
      </c>
      <c r="K506" t="n">
        <v>0</v>
      </c>
      <c r="L506" t="n">
        <v>0</v>
      </c>
      <c r="M506" t="n">
        <v>0</v>
      </c>
      <c r="N506" t="n">
        <v>0</v>
      </c>
      <c r="O506" t="n">
        <v>0</v>
      </c>
      <c r="P506" t="n">
        <v>0</v>
      </c>
      <c r="Q506" t="n">
        <v>0</v>
      </c>
      <c r="R506" s="2" t="inlineStr"/>
    </row>
    <row r="507" ht="15" customHeight="1">
      <c r="A507" t="inlineStr">
        <is>
          <t>A 61267-2025</t>
        </is>
      </c>
      <c r="B507" s="1" t="n">
        <v>46000.67793981481</v>
      </c>
      <c r="C507" s="1" t="n">
        <v>46020</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17066-2024</t>
        </is>
      </c>
      <c r="B508" s="1" t="n">
        <v>45412.46636574074</v>
      </c>
      <c r="C508" s="1" t="n">
        <v>46020</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45533-2025</t>
        </is>
      </c>
      <c r="B509" s="1" t="n">
        <v>45922</v>
      </c>
      <c r="C509" s="1" t="n">
        <v>46020</v>
      </c>
      <c r="D509" t="inlineStr">
        <is>
          <t>JÄMTLANDS LÄN</t>
        </is>
      </c>
      <c r="E509" t="inlineStr">
        <is>
          <t>ÖSTERSUND</t>
        </is>
      </c>
      <c r="F509" t="inlineStr">
        <is>
          <t>Övriga statliga verk och myndigheter</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61449-2024</t>
        </is>
      </c>
      <c r="B510" s="1" t="n">
        <v>45646.48988425926</v>
      </c>
      <c r="C510" s="1" t="n">
        <v>46020</v>
      </c>
      <c r="D510" t="inlineStr">
        <is>
          <t>JÄMTLANDS LÄN</t>
        </is>
      </c>
      <c r="E510" t="inlineStr">
        <is>
          <t>ÖSTERSUND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61450-2024</t>
        </is>
      </c>
      <c r="B511" s="1" t="n">
        <v>45646.49012731481</v>
      </c>
      <c r="C511" s="1" t="n">
        <v>46020</v>
      </c>
      <c r="D511" t="inlineStr">
        <is>
          <t>JÄMTLANDS LÄN</t>
        </is>
      </c>
      <c r="E511" t="inlineStr">
        <is>
          <t>ÖSTERSUND</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61451-2024</t>
        </is>
      </c>
      <c r="B512" s="1" t="n">
        <v>45646.49017361111</v>
      </c>
      <c r="C512" s="1" t="n">
        <v>46020</v>
      </c>
      <c r="D512" t="inlineStr">
        <is>
          <t>JÄMTLANDS LÄN</t>
        </is>
      </c>
      <c r="E512" t="inlineStr">
        <is>
          <t>ÖSTERSUND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8261-2025</t>
        </is>
      </c>
      <c r="B513" s="1" t="n">
        <v>45708.50256944444</v>
      </c>
      <c r="C513" s="1" t="n">
        <v>46020</v>
      </c>
      <c r="D513" t="inlineStr">
        <is>
          <t>JÄMTLANDS LÄN</t>
        </is>
      </c>
      <c r="E513" t="inlineStr">
        <is>
          <t>ÖSTERSUND</t>
        </is>
      </c>
      <c r="G513" t="n">
        <v>5.4</v>
      </c>
      <c r="H513" t="n">
        <v>0</v>
      </c>
      <c r="I513" t="n">
        <v>0</v>
      </c>
      <c r="J513" t="n">
        <v>0</v>
      </c>
      <c r="K513" t="n">
        <v>0</v>
      </c>
      <c r="L513" t="n">
        <v>0</v>
      </c>
      <c r="M513" t="n">
        <v>0</v>
      </c>
      <c r="N513" t="n">
        <v>0</v>
      </c>
      <c r="O513" t="n">
        <v>0</v>
      </c>
      <c r="P513" t="n">
        <v>0</v>
      </c>
      <c r="Q513" t="n">
        <v>0</v>
      </c>
      <c r="R513" s="2" t="inlineStr"/>
    </row>
    <row r="514" ht="15" customHeight="1">
      <c r="A514" t="inlineStr">
        <is>
          <t>A 61982-2025</t>
        </is>
      </c>
      <c r="B514" s="1" t="n">
        <v>46003.6159375</v>
      </c>
      <c r="C514" s="1" t="n">
        <v>46020</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61985-2025</t>
        </is>
      </c>
      <c r="B515" s="1" t="n">
        <v>46003.62509259259</v>
      </c>
      <c r="C515" s="1" t="n">
        <v>46020</v>
      </c>
      <c r="D515" t="inlineStr">
        <is>
          <t>JÄMTLANDS LÄN</t>
        </is>
      </c>
      <c r="E515" t="inlineStr">
        <is>
          <t>ÖSTERSUND</t>
        </is>
      </c>
      <c r="G515" t="n">
        <v>4.2</v>
      </c>
      <c r="H515" t="n">
        <v>0</v>
      </c>
      <c r="I515" t="n">
        <v>0</v>
      </c>
      <c r="J515" t="n">
        <v>0</v>
      </c>
      <c r="K515" t="n">
        <v>0</v>
      </c>
      <c r="L515" t="n">
        <v>0</v>
      </c>
      <c r="M515" t="n">
        <v>0</v>
      </c>
      <c r="N515" t="n">
        <v>0</v>
      </c>
      <c r="O515" t="n">
        <v>0</v>
      </c>
      <c r="P515" t="n">
        <v>0</v>
      </c>
      <c r="Q515" t="n">
        <v>0</v>
      </c>
      <c r="R515" s="2" t="inlineStr"/>
    </row>
    <row r="516" ht="15" customHeight="1">
      <c r="A516" t="inlineStr">
        <is>
          <t>A 39975-2024</t>
        </is>
      </c>
      <c r="B516" s="1" t="n">
        <v>45553.60474537037</v>
      </c>
      <c r="C516" s="1" t="n">
        <v>46020</v>
      </c>
      <c r="D516" t="inlineStr">
        <is>
          <t>JÄMTLANDS LÄN</t>
        </is>
      </c>
      <c r="E516" t="inlineStr">
        <is>
          <t>ÖSTERSUND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61849-2025</t>
        </is>
      </c>
      <c r="B517" s="1" t="n">
        <v>46003.38026620371</v>
      </c>
      <c r="C517" s="1" t="n">
        <v>46020</v>
      </c>
      <c r="D517" t="inlineStr">
        <is>
          <t>JÄMTLANDS LÄN</t>
        </is>
      </c>
      <c r="E517" t="inlineStr">
        <is>
          <t>ÖSTERSUND</t>
        </is>
      </c>
      <c r="G517" t="n">
        <v>5.5</v>
      </c>
      <c r="H517" t="n">
        <v>0</v>
      </c>
      <c r="I517" t="n">
        <v>0</v>
      </c>
      <c r="J517" t="n">
        <v>0</v>
      </c>
      <c r="K517" t="n">
        <v>0</v>
      </c>
      <c r="L517" t="n">
        <v>0</v>
      </c>
      <c r="M517" t="n">
        <v>0</v>
      </c>
      <c r="N517" t="n">
        <v>0</v>
      </c>
      <c r="O517" t="n">
        <v>0</v>
      </c>
      <c r="P517" t="n">
        <v>0</v>
      </c>
      <c r="Q517" t="n">
        <v>0</v>
      </c>
      <c r="R517" s="2" t="inlineStr"/>
    </row>
    <row r="518" ht="15" customHeight="1">
      <c r="A518" t="inlineStr">
        <is>
          <t>A 61944-2025</t>
        </is>
      </c>
      <c r="B518" s="1" t="n">
        <v>46003.56467592593</v>
      </c>
      <c r="C518" s="1" t="n">
        <v>46020</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61506-2023</t>
        </is>
      </c>
      <c r="B519" s="1" t="n">
        <v>45264</v>
      </c>
      <c r="C519" s="1" t="n">
        <v>46020</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16753-2025</t>
        </is>
      </c>
      <c r="B520" s="1" t="n">
        <v>45754.56839120371</v>
      </c>
      <c r="C520" s="1" t="n">
        <v>46020</v>
      </c>
      <c r="D520" t="inlineStr">
        <is>
          <t>JÄMTLANDS LÄN</t>
        </is>
      </c>
      <c r="E520" t="inlineStr">
        <is>
          <t>ÖSTERSUND</t>
        </is>
      </c>
      <c r="G520" t="n">
        <v>0.5</v>
      </c>
      <c r="H520" t="n">
        <v>0</v>
      </c>
      <c r="I520" t="n">
        <v>0</v>
      </c>
      <c r="J520" t="n">
        <v>0</v>
      </c>
      <c r="K520" t="n">
        <v>0</v>
      </c>
      <c r="L520" t="n">
        <v>0</v>
      </c>
      <c r="M520" t="n">
        <v>0</v>
      </c>
      <c r="N520" t="n">
        <v>0</v>
      </c>
      <c r="O520" t="n">
        <v>0</v>
      </c>
      <c r="P520" t="n">
        <v>0</v>
      </c>
      <c r="Q520" t="n">
        <v>0</v>
      </c>
      <c r="R520" s="2" t="inlineStr"/>
    </row>
    <row r="521" ht="15" customHeight="1">
      <c r="A521" t="inlineStr">
        <is>
          <t>A 61964-2025</t>
        </is>
      </c>
      <c r="B521" s="1" t="n">
        <v>46003</v>
      </c>
      <c r="C521" s="1" t="n">
        <v>46020</v>
      </c>
      <c r="D521" t="inlineStr">
        <is>
          <t>JÄMTLANDS LÄN</t>
        </is>
      </c>
      <c r="E521" t="inlineStr">
        <is>
          <t>ÖSTERSUND</t>
        </is>
      </c>
      <c r="G521" t="n">
        <v>16.5</v>
      </c>
      <c r="H521" t="n">
        <v>0</v>
      </c>
      <c r="I521" t="n">
        <v>0</v>
      </c>
      <c r="J521" t="n">
        <v>0</v>
      </c>
      <c r="K521" t="n">
        <v>0</v>
      </c>
      <c r="L521" t="n">
        <v>0</v>
      </c>
      <c r="M521" t="n">
        <v>0</v>
      </c>
      <c r="N521" t="n">
        <v>0</v>
      </c>
      <c r="O521" t="n">
        <v>0</v>
      </c>
      <c r="P521" t="n">
        <v>0</v>
      </c>
      <c r="Q521" t="n">
        <v>0</v>
      </c>
      <c r="R521" s="2" t="inlineStr"/>
    </row>
    <row r="522" ht="15" customHeight="1">
      <c r="A522" t="inlineStr">
        <is>
          <t>A 56067-2022</t>
        </is>
      </c>
      <c r="B522" s="1" t="n">
        <v>44889.59378472222</v>
      </c>
      <c r="C522" s="1" t="n">
        <v>46020</v>
      </c>
      <c r="D522" t="inlineStr">
        <is>
          <t>JÄMTLANDS LÄN</t>
        </is>
      </c>
      <c r="E522" t="inlineStr">
        <is>
          <t>ÖSTERSUND</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62175-2025</t>
        </is>
      </c>
      <c r="B523" s="1" t="n">
        <v>46006.51155092593</v>
      </c>
      <c r="C523" s="1" t="n">
        <v>46020</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54133-2025</t>
        </is>
      </c>
      <c r="B524" s="1" t="n">
        <v>45964.46944444445</v>
      </c>
      <c r="C524" s="1" t="n">
        <v>46020</v>
      </c>
      <c r="D524" t="inlineStr">
        <is>
          <t>JÄMTLANDS LÄN</t>
        </is>
      </c>
      <c r="E524" t="inlineStr">
        <is>
          <t>ÖSTERSUND</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62509-2025</t>
        </is>
      </c>
      <c r="B525" s="1" t="n">
        <v>46007.5958912037</v>
      </c>
      <c r="C525" s="1" t="n">
        <v>46020</v>
      </c>
      <c r="D525" t="inlineStr">
        <is>
          <t>JÄMTLANDS LÄN</t>
        </is>
      </c>
      <c r="E525" t="inlineStr">
        <is>
          <t>ÖSTERSUND</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62176-2025</t>
        </is>
      </c>
      <c r="B526" s="1" t="n">
        <v>46006.51157407407</v>
      </c>
      <c r="C526" s="1" t="n">
        <v>46020</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6067-2025</t>
        </is>
      </c>
      <c r="B527" s="1" t="n">
        <v>45696.34405092592</v>
      </c>
      <c r="C527" s="1" t="n">
        <v>46020</v>
      </c>
      <c r="D527" t="inlineStr">
        <is>
          <t>JÄMTLANDS LÄN</t>
        </is>
      </c>
      <c r="E527" t="inlineStr">
        <is>
          <t>ÖSTERSUND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14518-2023</t>
        </is>
      </c>
      <c r="B528" s="1" t="n">
        <v>45012</v>
      </c>
      <c r="C528" s="1" t="n">
        <v>46020</v>
      </c>
      <c r="D528" t="inlineStr">
        <is>
          <t>JÄMTLANDS LÄN</t>
        </is>
      </c>
      <c r="E528" t="inlineStr">
        <is>
          <t>ÖSTERSUND</t>
        </is>
      </c>
      <c r="G528" t="n">
        <v>14.4</v>
      </c>
      <c r="H528" t="n">
        <v>0</v>
      </c>
      <c r="I528" t="n">
        <v>0</v>
      </c>
      <c r="J528" t="n">
        <v>0</v>
      </c>
      <c r="K528" t="n">
        <v>0</v>
      </c>
      <c r="L528" t="n">
        <v>0</v>
      </c>
      <c r="M528" t="n">
        <v>0</v>
      </c>
      <c r="N528" t="n">
        <v>0</v>
      </c>
      <c r="O528" t="n">
        <v>0</v>
      </c>
      <c r="P528" t="n">
        <v>0</v>
      </c>
      <c r="Q528" t="n">
        <v>0</v>
      </c>
      <c r="R528" s="2" t="inlineStr"/>
    </row>
    <row r="529" ht="15" customHeight="1">
      <c r="A529" t="inlineStr">
        <is>
          <t>A 62452-2025</t>
        </is>
      </c>
      <c r="B529" s="1" t="n">
        <v>46007.49001157407</v>
      </c>
      <c r="C529" s="1" t="n">
        <v>46020</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54528-2025</t>
        </is>
      </c>
      <c r="B530" s="1" t="n">
        <v>45965.63496527778</v>
      </c>
      <c r="C530" s="1" t="n">
        <v>46020</v>
      </c>
      <c r="D530" t="inlineStr">
        <is>
          <t>JÄMTLANDS LÄN</t>
        </is>
      </c>
      <c r="E530" t="inlineStr">
        <is>
          <t>ÖSTERSUND</t>
        </is>
      </c>
      <c r="G530" t="n">
        <v>1.7</v>
      </c>
      <c r="H530" t="n">
        <v>0</v>
      </c>
      <c r="I530" t="n">
        <v>0</v>
      </c>
      <c r="J530" t="n">
        <v>0</v>
      </c>
      <c r="K530" t="n">
        <v>0</v>
      </c>
      <c r="L530" t="n">
        <v>0</v>
      </c>
      <c r="M530" t="n">
        <v>0</v>
      </c>
      <c r="N530" t="n">
        <v>0</v>
      </c>
      <c r="O530" t="n">
        <v>0</v>
      </c>
      <c r="P530" t="n">
        <v>0</v>
      </c>
      <c r="Q530" t="n">
        <v>0</v>
      </c>
      <c r="R530" s="2" t="inlineStr"/>
    </row>
    <row r="531" ht="15" customHeight="1">
      <c r="A531" t="inlineStr">
        <is>
          <t>A 62437-2025</t>
        </is>
      </c>
      <c r="B531" s="1" t="n">
        <v>46007.46907407408</v>
      </c>
      <c r="C531" s="1" t="n">
        <v>46020</v>
      </c>
      <c r="D531" t="inlineStr">
        <is>
          <t>JÄMTLANDS LÄN</t>
        </is>
      </c>
      <c r="E531" t="inlineStr">
        <is>
          <t>ÖSTERSUND</t>
        </is>
      </c>
      <c r="G531" t="n">
        <v>6.3</v>
      </c>
      <c r="H531" t="n">
        <v>0</v>
      </c>
      <c r="I531" t="n">
        <v>0</v>
      </c>
      <c r="J531" t="n">
        <v>0</v>
      </c>
      <c r="K531" t="n">
        <v>0</v>
      </c>
      <c r="L531" t="n">
        <v>0</v>
      </c>
      <c r="M531" t="n">
        <v>0</v>
      </c>
      <c r="N531" t="n">
        <v>0</v>
      </c>
      <c r="O531" t="n">
        <v>0</v>
      </c>
      <c r="P531" t="n">
        <v>0</v>
      </c>
      <c r="Q531" t="n">
        <v>0</v>
      </c>
      <c r="R531" s="2" t="inlineStr"/>
    </row>
    <row r="532" ht="15" customHeight="1">
      <c r="A532" t="inlineStr">
        <is>
          <t>A 30602-2023</t>
        </is>
      </c>
      <c r="B532" s="1" t="n">
        <v>45112</v>
      </c>
      <c r="C532" s="1" t="n">
        <v>46020</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1211-2025</t>
        </is>
      </c>
      <c r="B533" s="1" t="n">
        <v>45667.40662037037</v>
      </c>
      <c r="C533" s="1" t="n">
        <v>46020</v>
      </c>
      <c r="D533" t="inlineStr">
        <is>
          <t>JÄMTLANDS LÄN</t>
        </is>
      </c>
      <c r="E533" t="inlineStr">
        <is>
          <t>ÖSTERSUND</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62369-2025</t>
        </is>
      </c>
      <c r="B534" s="1" t="n">
        <v>46007.33719907407</v>
      </c>
      <c r="C534" s="1" t="n">
        <v>46020</v>
      </c>
      <c r="D534" t="inlineStr">
        <is>
          <t>JÄMTLANDS LÄN</t>
        </is>
      </c>
      <c r="E534" t="inlineStr">
        <is>
          <t>ÖSTERSUND</t>
        </is>
      </c>
      <c r="F534" t="inlineStr">
        <is>
          <t>Sveaskog</t>
        </is>
      </c>
      <c r="G534" t="n">
        <v>20.3</v>
      </c>
      <c r="H534" t="n">
        <v>0</v>
      </c>
      <c r="I534" t="n">
        <v>0</v>
      </c>
      <c r="J534" t="n">
        <v>0</v>
      </c>
      <c r="K534" t="n">
        <v>0</v>
      </c>
      <c r="L534" t="n">
        <v>0</v>
      </c>
      <c r="M534" t="n">
        <v>0</v>
      </c>
      <c r="N534" t="n">
        <v>0</v>
      </c>
      <c r="O534" t="n">
        <v>0</v>
      </c>
      <c r="P534" t="n">
        <v>0</v>
      </c>
      <c r="Q534" t="n">
        <v>0</v>
      </c>
      <c r="R534" s="2" t="inlineStr"/>
    </row>
    <row r="535" ht="15" customHeight="1">
      <c r="A535" t="inlineStr">
        <is>
          <t>A 45004-2022</t>
        </is>
      </c>
      <c r="B535" s="1" t="n">
        <v>44840</v>
      </c>
      <c r="C535" s="1" t="n">
        <v>46020</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12352-2025</t>
        </is>
      </c>
      <c r="B536" s="1" t="n">
        <v>45730.36263888889</v>
      </c>
      <c r="C536" s="1" t="n">
        <v>46020</v>
      </c>
      <c r="D536" t="inlineStr">
        <is>
          <t>JÄMTLANDS LÄN</t>
        </is>
      </c>
      <c r="E536" t="inlineStr">
        <is>
          <t>ÖSTERSUND</t>
        </is>
      </c>
      <c r="G536" t="n">
        <v>7.8</v>
      </c>
      <c r="H536" t="n">
        <v>0</v>
      </c>
      <c r="I536" t="n">
        <v>0</v>
      </c>
      <c r="J536" t="n">
        <v>0</v>
      </c>
      <c r="K536" t="n">
        <v>0</v>
      </c>
      <c r="L536" t="n">
        <v>0</v>
      </c>
      <c r="M536" t="n">
        <v>0</v>
      </c>
      <c r="N536" t="n">
        <v>0</v>
      </c>
      <c r="O536" t="n">
        <v>0</v>
      </c>
      <c r="P536" t="n">
        <v>0</v>
      </c>
      <c r="Q536" t="n">
        <v>0</v>
      </c>
      <c r="R536" s="2" t="inlineStr"/>
    </row>
    <row r="537" ht="15" customHeight="1">
      <c r="A537" t="inlineStr">
        <is>
          <t>A 27906-2024</t>
        </is>
      </c>
      <c r="B537" s="1" t="n">
        <v>45475.94585648148</v>
      </c>
      <c r="C537" s="1" t="n">
        <v>46020</v>
      </c>
      <c r="D537" t="inlineStr">
        <is>
          <t>JÄMTLANDS LÄN</t>
        </is>
      </c>
      <c r="E537" t="inlineStr">
        <is>
          <t>ÖSTERSUND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53380-2023</t>
        </is>
      </c>
      <c r="B538" s="1" t="n">
        <v>45223</v>
      </c>
      <c r="C538" s="1" t="n">
        <v>46020</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54965-2025</t>
        </is>
      </c>
      <c r="B539" s="1" t="n">
        <v>45967.49037037037</v>
      </c>
      <c r="C539" s="1" t="n">
        <v>46020</v>
      </c>
      <c r="D539" t="inlineStr">
        <is>
          <t>JÄMTLANDS LÄN</t>
        </is>
      </c>
      <c r="E539" t="inlineStr">
        <is>
          <t>ÖSTERSUND</t>
        </is>
      </c>
      <c r="G539" t="n">
        <v>4.3</v>
      </c>
      <c r="H539" t="n">
        <v>0</v>
      </c>
      <c r="I539" t="n">
        <v>0</v>
      </c>
      <c r="J539" t="n">
        <v>0</v>
      </c>
      <c r="K539" t="n">
        <v>0</v>
      </c>
      <c r="L539" t="n">
        <v>0</v>
      </c>
      <c r="M539" t="n">
        <v>0</v>
      </c>
      <c r="N539" t="n">
        <v>0</v>
      </c>
      <c r="O539" t="n">
        <v>0</v>
      </c>
      <c r="P539" t="n">
        <v>0</v>
      </c>
      <c r="Q539" t="n">
        <v>0</v>
      </c>
      <c r="R539" s="2" t="inlineStr"/>
    </row>
    <row r="540" ht="15" customHeight="1">
      <c r="A540" t="inlineStr">
        <is>
          <t>A 10116-2025</t>
        </is>
      </c>
      <c r="B540" s="1" t="n">
        <v>45719.59836805556</v>
      </c>
      <c r="C540" s="1" t="n">
        <v>46020</v>
      </c>
      <c r="D540" t="inlineStr">
        <is>
          <t>JÄMTLANDS LÄN</t>
        </is>
      </c>
      <c r="E540" t="inlineStr">
        <is>
          <t>ÖSTERSUND</t>
        </is>
      </c>
      <c r="G540" t="n">
        <v>11.1</v>
      </c>
      <c r="H540" t="n">
        <v>0</v>
      </c>
      <c r="I540" t="n">
        <v>0</v>
      </c>
      <c r="J540" t="n">
        <v>0</v>
      </c>
      <c r="K540" t="n">
        <v>0</v>
      </c>
      <c r="L540" t="n">
        <v>0</v>
      </c>
      <c r="M540" t="n">
        <v>0</v>
      </c>
      <c r="N540" t="n">
        <v>0</v>
      </c>
      <c r="O540" t="n">
        <v>0</v>
      </c>
      <c r="P540" t="n">
        <v>0</v>
      </c>
      <c r="Q540" t="n">
        <v>0</v>
      </c>
      <c r="R540" s="2" t="inlineStr"/>
    </row>
    <row r="541" ht="15" customHeight="1">
      <c r="A541" t="inlineStr">
        <is>
          <t>A 48696-2024</t>
        </is>
      </c>
      <c r="B541" s="1" t="n">
        <v>45593.51123842593</v>
      </c>
      <c r="C541" s="1" t="n">
        <v>46020</v>
      </c>
      <c r="D541" t="inlineStr">
        <is>
          <t>JÄMTLANDS LÄN</t>
        </is>
      </c>
      <c r="E541" t="inlineStr">
        <is>
          <t>ÖSTERSUND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48737-2024</t>
        </is>
      </c>
      <c r="B542" s="1" t="n">
        <v>45593.57327546296</v>
      </c>
      <c r="C542" s="1" t="n">
        <v>46020</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62622-2025</t>
        </is>
      </c>
      <c r="B543" s="1" t="n">
        <v>46008.34438657408</v>
      </c>
      <c r="C543" s="1" t="n">
        <v>46020</v>
      </c>
      <c r="D543" t="inlineStr">
        <is>
          <t>JÄMTLANDS LÄN</t>
        </is>
      </c>
      <c r="E543" t="inlineStr">
        <is>
          <t>ÖSTERSUND</t>
        </is>
      </c>
      <c r="G543" t="n">
        <v>7.4</v>
      </c>
      <c r="H543" t="n">
        <v>0</v>
      </c>
      <c r="I543" t="n">
        <v>0</v>
      </c>
      <c r="J543" t="n">
        <v>0</v>
      </c>
      <c r="K543" t="n">
        <v>0</v>
      </c>
      <c r="L543" t="n">
        <v>0</v>
      </c>
      <c r="M543" t="n">
        <v>0</v>
      </c>
      <c r="N543" t="n">
        <v>0</v>
      </c>
      <c r="O543" t="n">
        <v>0</v>
      </c>
      <c r="P543" t="n">
        <v>0</v>
      </c>
      <c r="Q543" t="n">
        <v>0</v>
      </c>
      <c r="R543" s="2" t="inlineStr"/>
    </row>
    <row r="544" ht="15" customHeight="1">
      <c r="A544" t="inlineStr">
        <is>
          <t>A 62623-2025</t>
        </is>
      </c>
      <c r="B544" s="1" t="n">
        <v>46008.34443287037</v>
      </c>
      <c r="C544" s="1" t="n">
        <v>46020</v>
      </c>
      <c r="D544" t="inlineStr">
        <is>
          <t>JÄMTLANDS LÄN</t>
        </is>
      </c>
      <c r="E544" t="inlineStr">
        <is>
          <t>ÖSTERSUND</t>
        </is>
      </c>
      <c r="G544" t="n">
        <v>7.9</v>
      </c>
      <c r="H544" t="n">
        <v>0</v>
      </c>
      <c r="I544" t="n">
        <v>0</v>
      </c>
      <c r="J544" t="n">
        <v>0</v>
      </c>
      <c r="K544" t="n">
        <v>0</v>
      </c>
      <c r="L544" t="n">
        <v>0</v>
      </c>
      <c r="M544" t="n">
        <v>0</v>
      </c>
      <c r="N544" t="n">
        <v>0</v>
      </c>
      <c r="O544" t="n">
        <v>0</v>
      </c>
      <c r="P544" t="n">
        <v>0</v>
      </c>
      <c r="Q544" t="n">
        <v>0</v>
      </c>
      <c r="R544" s="2" t="inlineStr"/>
    </row>
    <row r="545" ht="15" customHeight="1">
      <c r="A545" t="inlineStr">
        <is>
          <t>A 33501-2023</t>
        </is>
      </c>
      <c r="B545" s="1" t="n">
        <v>45118</v>
      </c>
      <c r="C545" s="1" t="n">
        <v>46020</v>
      </c>
      <c r="D545" t="inlineStr">
        <is>
          <t>JÄMTLANDS LÄN</t>
        </is>
      </c>
      <c r="E545" t="inlineStr">
        <is>
          <t>ÖSTERSUND</t>
        </is>
      </c>
      <c r="G545" t="n">
        <v>5.8</v>
      </c>
      <c r="H545" t="n">
        <v>0</v>
      </c>
      <c r="I545" t="n">
        <v>0</v>
      </c>
      <c r="J545" t="n">
        <v>0</v>
      </c>
      <c r="K545" t="n">
        <v>0</v>
      </c>
      <c r="L545" t="n">
        <v>0</v>
      </c>
      <c r="M545" t="n">
        <v>0</v>
      </c>
      <c r="N545" t="n">
        <v>0</v>
      </c>
      <c r="O545" t="n">
        <v>0</v>
      </c>
      <c r="P545" t="n">
        <v>0</v>
      </c>
      <c r="Q545" t="n">
        <v>0</v>
      </c>
      <c r="R545" s="2" t="inlineStr"/>
    </row>
    <row r="546" ht="15" customHeight="1">
      <c r="A546" t="inlineStr">
        <is>
          <t>A 60088-2024</t>
        </is>
      </c>
      <c r="B546" s="1" t="n">
        <v>45642.54847222222</v>
      </c>
      <c r="C546" s="1" t="n">
        <v>46020</v>
      </c>
      <c r="D546" t="inlineStr">
        <is>
          <t>JÄMTLANDS LÄN</t>
        </is>
      </c>
      <c r="E546" t="inlineStr">
        <is>
          <t>ÖSTERSUND</t>
        </is>
      </c>
      <c r="G546" t="n">
        <v>5</v>
      </c>
      <c r="H546" t="n">
        <v>0</v>
      </c>
      <c r="I546" t="n">
        <v>0</v>
      </c>
      <c r="J546" t="n">
        <v>0</v>
      </c>
      <c r="K546" t="n">
        <v>0</v>
      </c>
      <c r="L546" t="n">
        <v>0</v>
      </c>
      <c r="M546" t="n">
        <v>0</v>
      </c>
      <c r="N546" t="n">
        <v>0</v>
      </c>
      <c r="O546" t="n">
        <v>0</v>
      </c>
      <c r="P546" t="n">
        <v>0</v>
      </c>
      <c r="Q546" t="n">
        <v>0</v>
      </c>
      <c r="R546" s="2" t="inlineStr"/>
    </row>
    <row r="547" ht="15" customHeight="1">
      <c r="A547" t="inlineStr">
        <is>
          <t>A 49788-2024</t>
        </is>
      </c>
      <c r="B547" s="1" t="n">
        <v>45597.36623842592</v>
      </c>
      <c r="C547" s="1" t="n">
        <v>46020</v>
      </c>
      <c r="D547" t="inlineStr">
        <is>
          <t>JÄMTLANDS LÄN</t>
        </is>
      </c>
      <c r="E547" t="inlineStr">
        <is>
          <t>ÖSTERSUND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54667-2025</t>
        </is>
      </c>
      <c r="B548" s="1" t="n">
        <v>45966.4077662037</v>
      </c>
      <c r="C548" s="1" t="n">
        <v>46020</v>
      </c>
      <c r="D548" t="inlineStr">
        <is>
          <t>JÄMTLANDS LÄN</t>
        </is>
      </c>
      <c r="E548" t="inlineStr">
        <is>
          <t>ÖSTERSUND</t>
        </is>
      </c>
      <c r="G548" t="n">
        <v>6.8</v>
      </c>
      <c r="H548" t="n">
        <v>0</v>
      </c>
      <c r="I548" t="n">
        <v>0</v>
      </c>
      <c r="J548" t="n">
        <v>0</v>
      </c>
      <c r="K548" t="n">
        <v>0</v>
      </c>
      <c r="L548" t="n">
        <v>0</v>
      </c>
      <c r="M548" t="n">
        <v>0</v>
      </c>
      <c r="N548" t="n">
        <v>0</v>
      </c>
      <c r="O548" t="n">
        <v>0</v>
      </c>
      <c r="P548" t="n">
        <v>0</v>
      </c>
      <c r="Q548" t="n">
        <v>0</v>
      </c>
      <c r="R548" s="2" t="inlineStr"/>
    </row>
    <row r="549" ht="15" customHeight="1">
      <c r="A549" t="inlineStr">
        <is>
          <t>A 54931-2025</t>
        </is>
      </c>
      <c r="B549" s="1" t="n">
        <v>45967.42462962963</v>
      </c>
      <c r="C549" s="1" t="n">
        <v>46020</v>
      </c>
      <c r="D549" t="inlineStr">
        <is>
          <t>JÄMTLANDS LÄN</t>
        </is>
      </c>
      <c r="E549" t="inlineStr">
        <is>
          <t>ÖSTERSUND</t>
        </is>
      </c>
      <c r="G549" t="n">
        <v>7.1</v>
      </c>
      <c r="H549" t="n">
        <v>0</v>
      </c>
      <c r="I549" t="n">
        <v>0</v>
      </c>
      <c r="J549" t="n">
        <v>0</v>
      </c>
      <c r="K549" t="n">
        <v>0</v>
      </c>
      <c r="L549" t="n">
        <v>0</v>
      </c>
      <c r="M549" t="n">
        <v>0</v>
      </c>
      <c r="N549" t="n">
        <v>0</v>
      </c>
      <c r="O549" t="n">
        <v>0</v>
      </c>
      <c r="P549" t="n">
        <v>0</v>
      </c>
      <c r="Q549" t="n">
        <v>0</v>
      </c>
      <c r="R549" s="2" t="inlineStr"/>
    </row>
    <row r="550" ht="15" customHeight="1">
      <c r="A550" t="inlineStr">
        <is>
          <t>A 4901-2025</t>
        </is>
      </c>
      <c r="B550" s="1" t="n">
        <v>45688.67965277778</v>
      </c>
      <c r="C550" s="1" t="n">
        <v>46020</v>
      </c>
      <c r="D550" t="inlineStr">
        <is>
          <t>JÄMTLANDS LÄN</t>
        </is>
      </c>
      <c r="E550" t="inlineStr">
        <is>
          <t>ÖSTERSUND</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62696-2025</t>
        </is>
      </c>
      <c r="B551" s="1" t="n">
        <v>46008.48708333333</v>
      </c>
      <c r="C551" s="1" t="n">
        <v>46020</v>
      </c>
      <c r="D551" t="inlineStr">
        <is>
          <t>JÄMTLANDS LÄN</t>
        </is>
      </c>
      <c r="E551" t="inlineStr">
        <is>
          <t>ÖSTERSUND</t>
        </is>
      </c>
      <c r="G551" t="n">
        <v>11.3</v>
      </c>
      <c r="H551" t="n">
        <v>0</v>
      </c>
      <c r="I551" t="n">
        <v>0</v>
      </c>
      <c r="J551" t="n">
        <v>0</v>
      </c>
      <c r="K551" t="n">
        <v>0</v>
      </c>
      <c r="L551" t="n">
        <v>0</v>
      </c>
      <c r="M551" t="n">
        <v>0</v>
      </c>
      <c r="N551" t="n">
        <v>0</v>
      </c>
      <c r="O551" t="n">
        <v>0</v>
      </c>
      <c r="P551" t="n">
        <v>0</v>
      </c>
      <c r="Q551" t="n">
        <v>0</v>
      </c>
      <c r="R551" s="2" t="inlineStr"/>
    </row>
    <row r="552" ht="15" customHeight="1">
      <c r="A552" t="inlineStr">
        <is>
          <t>A 63195-2025</t>
        </is>
      </c>
      <c r="B552" s="1" t="n">
        <v>46010.45680555556</v>
      </c>
      <c r="C552" s="1" t="n">
        <v>46020</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17709-2024</t>
        </is>
      </c>
      <c r="B553" s="1" t="n">
        <v>45418.4843287037</v>
      </c>
      <c r="C553" s="1" t="n">
        <v>46020</v>
      </c>
      <c r="D553" t="inlineStr">
        <is>
          <t>JÄMTLANDS LÄN</t>
        </is>
      </c>
      <c r="E553" t="inlineStr">
        <is>
          <t>ÖSTERSUND</t>
        </is>
      </c>
      <c r="G553" t="n">
        <v>2.9</v>
      </c>
      <c r="H553" t="n">
        <v>0</v>
      </c>
      <c r="I553" t="n">
        <v>0</v>
      </c>
      <c r="J553" t="n">
        <v>0</v>
      </c>
      <c r="K553" t="n">
        <v>0</v>
      </c>
      <c r="L553" t="n">
        <v>0</v>
      </c>
      <c r="M553" t="n">
        <v>0</v>
      </c>
      <c r="N553" t="n">
        <v>0</v>
      </c>
      <c r="O553" t="n">
        <v>0</v>
      </c>
      <c r="P553" t="n">
        <v>0</v>
      </c>
      <c r="Q553" t="n">
        <v>0</v>
      </c>
      <c r="R553" s="2" t="inlineStr"/>
    </row>
    <row r="554" ht="15" customHeight="1">
      <c r="A554" t="inlineStr">
        <is>
          <t>A 63516-2025</t>
        </is>
      </c>
      <c r="B554" s="1" t="n">
        <v>46013.50993055556</v>
      </c>
      <c r="C554" s="1" t="n">
        <v>46020</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58406-2024</t>
        </is>
      </c>
      <c r="B555" s="1" t="n">
        <v>45634.70898148148</v>
      </c>
      <c r="C555" s="1" t="n">
        <v>46020</v>
      </c>
      <c r="D555" t="inlineStr">
        <is>
          <t>JÄMTLANDS LÄN</t>
        </is>
      </c>
      <c r="E555" t="inlineStr">
        <is>
          <t>ÖSTERSUND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51826-2024</t>
        </is>
      </c>
      <c r="B556" s="1" t="n">
        <v>45607.50137731482</v>
      </c>
      <c r="C556" s="1" t="n">
        <v>46020</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46020</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63245-2025</t>
        </is>
      </c>
      <c r="B558" s="1" t="n">
        <v>46010.53825231481</v>
      </c>
      <c r="C558" s="1" t="n">
        <v>46020</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55179-2025</t>
        </is>
      </c>
      <c r="B559" s="1" t="n">
        <v>45968.53167824074</v>
      </c>
      <c r="C559" s="1" t="n">
        <v>46020</v>
      </c>
      <c r="D559" t="inlineStr">
        <is>
          <t>JÄMTLANDS LÄN</t>
        </is>
      </c>
      <c r="E559" t="inlineStr">
        <is>
          <t>ÖSTERSUND</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63475-2025</t>
        </is>
      </c>
      <c r="B560" s="1" t="n">
        <v>46013.4459375</v>
      </c>
      <c r="C560" s="1" t="n">
        <v>46020</v>
      </c>
      <c r="D560" t="inlineStr">
        <is>
          <t>JÄMTLANDS LÄN</t>
        </is>
      </c>
      <c r="E560" t="inlineStr">
        <is>
          <t>ÖSTERSUND</t>
        </is>
      </c>
      <c r="G560" t="n">
        <v>4.4</v>
      </c>
      <c r="H560" t="n">
        <v>0</v>
      </c>
      <c r="I560" t="n">
        <v>0</v>
      </c>
      <c r="J560" t="n">
        <v>0</v>
      </c>
      <c r="K560" t="n">
        <v>0</v>
      </c>
      <c r="L560" t="n">
        <v>0</v>
      </c>
      <c r="M560" t="n">
        <v>0</v>
      </c>
      <c r="N560" t="n">
        <v>0</v>
      </c>
      <c r="O560" t="n">
        <v>0</v>
      </c>
      <c r="P560" t="n">
        <v>0</v>
      </c>
      <c r="Q560" t="n">
        <v>0</v>
      </c>
      <c r="R560" s="2" t="inlineStr"/>
    </row>
    <row r="561" ht="15" customHeight="1">
      <c r="A561" t="inlineStr">
        <is>
          <t>A 63193-2025</t>
        </is>
      </c>
      <c r="B561" s="1" t="n">
        <v>46010.45428240741</v>
      </c>
      <c r="C561" s="1" t="n">
        <v>46020</v>
      </c>
      <c r="D561" t="inlineStr">
        <is>
          <t>JÄMTLANDS LÄN</t>
        </is>
      </c>
      <c r="E561" t="inlineStr">
        <is>
          <t>ÖSTERSUND</t>
        </is>
      </c>
      <c r="G561" t="n">
        <v>9</v>
      </c>
      <c r="H561" t="n">
        <v>0</v>
      </c>
      <c r="I561" t="n">
        <v>0</v>
      </c>
      <c r="J561" t="n">
        <v>0</v>
      </c>
      <c r="K561" t="n">
        <v>0</v>
      </c>
      <c r="L561" t="n">
        <v>0</v>
      </c>
      <c r="M561" t="n">
        <v>0</v>
      </c>
      <c r="N561" t="n">
        <v>0</v>
      </c>
      <c r="O561" t="n">
        <v>0</v>
      </c>
      <c r="P561" t="n">
        <v>0</v>
      </c>
      <c r="Q561" t="n">
        <v>0</v>
      </c>
      <c r="R561" s="2" t="inlineStr"/>
      <c r="U561">
        <f>HYPERLINK("https://klasma.github.io/Logging_2380/knärot/A 63193-2025 karta knärot.png", "A 63193-2025")</f>
        <v/>
      </c>
      <c r="V561">
        <f>HYPERLINK("https://klasma.github.io/Logging_2380/klagomål/A 63193-2025 FSC-klagomål.docx", "A 63193-2025")</f>
        <v/>
      </c>
      <c r="W561">
        <f>HYPERLINK("https://klasma.github.io/Logging_2380/klagomålsmail/A 63193-2025 FSC-klagomål mail.docx", "A 63193-2025")</f>
        <v/>
      </c>
      <c r="X561">
        <f>HYPERLINK("https://klasma.github.io/Logging_2380/tillsyn/A 63193-2025 tillsynsbegäran.docx", "A 63193-2025")</f>
        <v/>
      </c>
      <c r="Y561">
        <f>HYPERLINK("https://klasma.github.io/Logging_2380/tillsynsmail/A 63193-2025 tillsynsbegäran mail.docx", "A 63193-2025")</f>
        <v/>
      </c>
    </row>
    <row r="562" ht="15" customHeight="1">
      <c r="A562" t="inlineStr">
        <is>
          <t>A 8423-2023</t>
        </is>
      </c>
      <c r="B562" s="1" t="n">
        <v>44977</v>
      </c>
      <c r="C562" s="1" t="n">
        <v>46020</v>
      </c>
      <c r="D562" t="inlineStr">
        <is>
          <t>JÄMTLANDS LÄN</t>
        </is>
      </c>
      <c r="E562" t="inlineStr">
        <is>
          <t>ÖSTERSUND</t>
        </is>
      </c>
      <c r="F562" t="inlineStr">
        <is>
          <t>Övriga Aktiebolag</t>
        </is>
      </c>
      <c r="G562" t="n">
        <v>53.1</v>
      </c>
      <c r="H562" t="n">
        <v>0</v>
      </c>
      <c r="I562" t="n">
        <v>0</v>
      </c>
      <c r="J562" t="n">
        <v>0</v>
      </c>
      <c r="K562" t="n">
        <v>0</v>
      </c>
      <c r="L562" t="n">
        <v>0</v>
      </c>
      <c r="M562" t="n">
        <v>0</v>
      </c>
      <c r="N562" t="n">
        <v>0</v>
      </c>
      <c r="O562" t="n">
        <v>0</v>
      </c>
      <c r="P562" t="n">
        <v>0</v>
      </c>
      <c r="Q562" t="n">
        <v>0</v>
      </c>
      <c r="R562" s="2" t="inlineStr"/>
    </row>
    <row r="563" ht="15" customHeight="1">
      <c r="A563" t="inlineStr">
        <is>
          <t>A 63693-2025</t>
        </is>
      </c>
      <c r="B563" s="1" t="n">
        <v>46014.5496875</v>
      </c>
      <c r="C563" s="1" t="n">
        <v>46020</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14831-2025</t>
        </is>
      </c>
      <c r="B564" s="1" t="n">
        <v>45743.37109953703</v>
      </c>
      <c r="C564" s="1" t="n">
        <v>46020</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56165-2025</t>
        </is>
      </c>
      <c r="B565" s="1" t="n">
        <v>45974.38310185185</v>
      </c>
      <c r="C565" s="1" t="n">
        <v>46020</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4500-2025</t>
        </is>
      </c>
      <c r="B566" s="1" t="n">
        <v>45686.6859375</v>
      </c>
      <c r="C566" s="1" t="n">
        <v>46020</v>
      </c>
      <c r="D566" t="inlineStr">
        <is>
          <t>JÄMTLANDS LÄN</t>
        </is>
      </c>
      <c r="E566" t="inlineStr">
        <is>
          <t>ÖSTERSUND</t>
        </is>
      </c>
      <c r="G566" t="n">
        <v>28.4</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46020</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42151-2023</t>
        </is>
      </c>
      <c r="B568" s="1" t="n">
        <v>45177.93612268518</v>
      </c>
      <c r="C568" s="1" t="n">
        <v>46020</v>
      </c>
      <c r="D568" t="inlineStr">
        <is>
          <t>JÄMTLANDS LÄN</t>
        </is>
      </c>
      <c r="E568" t="inlineStr">
        <is>
          <t>ÖSTERSUND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59648-2022</t>
        </is>
      </c>
      <c r="B569" s="1" t="n">
        <v>44907</v>
      </c>
      <c r="C569" s="1" t="n">
        <v>46020</v>
      </c>
      <c r="D569" t="inlineStr">
        <is>
          <t>JÄMTLANDS LÄN</t>
        </is>
      </c>
      <c r="E569" t="inlineStr">
        <is>
          <t>ÖSTERSUND</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29128-2022</t>
        </is>
      </c>
      <c r="B570" s="1" t="n">
        <v>44750</v>
      </c>
      <c r="C570" s="1" t="n">
        <v>46020</v>
      </c>
      <c r="D570" t="inlineStr">
        <is>
          <t>JÄMTLANDS LÄN</t>
        </is>
      </c>
      <c r="E570" t="inlineStr">
        <is>
          <t>ÖSTERSUND</t>
        </is>
      </c>
      <c r="G570" t="n">
        <v>3</v>
      </c>
      <c r="H570" t="n">
        <v>0</v>
      </c>
      <c r="I570" t="n">
        <v>0</v>
      </c>
      <c r="J570" t="n">
        <v>0</v>
      </c>
      <c r="K570" t="n">
        <v>0</v>
      </c>
      <c r="L570" t="n">
        <v>0</v>
      </c>
      <c r="M570" t="n">
        <v>0</v>
      </c>
      <c r="N570" t="n">
        <v>0</v>
      </c>
      <c r="O570" t="n">
        <v>0</v>
      </c>
      <c r="P570" t="n">
        <v>0</v>
      </c>
      <c r="Q570" t="n">
        <v>0</v>
      </c>
      <c r="R570" s="2" t="inlineStr"/>
    </row>
    <row r="571" ht="15" customHeight="1">
      <c r="A571" t="inlineStr">
        <is>
          <t>A 14118-2025</t>
        </is>
      </c>
      <c r="B571" s="1" t="n">
        <v>45740.46325231482</v>
      </c>
      <c r="C571" s="1" t="n">
        <v>46020</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44489-2024</t>
        </is>
      </c>
      <c r="B572" s="1" t="n">
        <v>45574.38943287037</v>
      </c>
      <c r="C572" s="1" t="n">
        <v>46020</v>
      </c>
      <c r="D572" t="inlineStr">
        <is>
          <t>JÄMTLANDS LÄN</t>
        </is>
      </c>
      <c r="E572" t="inlineStr">
        <is>
          <t>ÖSTERSUND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7549-2025</t>
        </is>
      </c>
      <c r="B573" s="1" t="n">
        <v>45705.57454861111</v>
      </c>
      <c r="C573" s="1" t="n">
        <v>46020</v>
      </c>
      <c r="D573" t="inlineStr">
        <is>
          <t>JÄMTLANDS LÄN</t>
        </is>
      </c>
      <c r="E573" t="inlineStr">
        <is>
          <t>ÖSTERSUND</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46020</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1159-2024</t>
        </is>
      </c>
      <c r="B575" s="1" t="n">
        <v>45302.52006944444</v>
      </c>
      <c r="C575" s="1" t="n">
        <v>46020</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15669-2025</t>
        </is>
      </c>
      <c r="B576" s="1" t="n">
        <v>45748.4396412037</v>
      </c>
      <c r="C576" s="1" t="n">
        <v>46020</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3122-2025</t>
        </is>
      </c>
      <c r="B577" s="1" t="n">
        <v>45678</v>
      </c>
      <c r="C577" s="1" t="n">
        <v>46020</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60575-2022</t>
        </is>
      </c>
      <c r="B578" s="1" t="n">
        <v>44911.5662037037</v>
      </c>
      <c r="C578" s="1" t="n">
        <v>46020</v>
      </c>
      <c r="D578" t="inlineStr">
        <is>
          <t>JÄMTLANDS LÄN</t>
        </is>
      </c>
      <c r="E578" t="inlineStr">
        <is>
          <t>ÖSTERSUND</t>
        </is>
      </c>
      <c r="G578" t="n">
        <v>1</v>
      </c>
      <c r="H578" t="n">
        <v>0</v>
      </c>
      <c r="I578" t="n">
        <v>0</v>
      </c>
      <c r="J578" t="n">
        <v>0</v>
      </c>
      <c r="K578" t="n">
        <v>0</v>
      </c>
      <c r="L578" t="n">
        <v>0</v>
      </c>
      <c r="M578" t="n">
        <v>0</v>
      </c>
      <c r="N578" t="n">
        <v>0</v>
      </c>
      <c r="O578" t="n">
        <v>0</v>
      </c>
      <c r="P578" t="n">
        <v>0</v>
      </c>
      <c r="Q578" t="n">
        <v>0</v>
      </c>
      <c r="R578" s="2" t="inlineStr"/>
    </row>
    <row r="579" ht="15" customHeight="1">
      <c r="A579" t="inlineStr">
        <is>
          <t>A 53060-2024</t>
        </is>
      </c>
      <c r="B579" s="1" t="n">
        <v>45611.46912037037</v>
      </c>
      <c r="C579" s="1" t="n">
        <v>46020</v>
      </c>
      <c r="D579" t="inlineStr">
        <is>
          <t>JÄMTLANDS LÄN</t>
        </is>
      </c>
      <c r="E579" t="inlineStr">
        <is>
          <t>ÖSTERSUND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23555-2022</t>
        </is>
      </c>
      <c r="B580" s="1" t="n">
        <v>44721</v>
      </c>
      <c r="C580" s="1" t="n">
        <v>46020</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54237-2024</t>
        </is>
      </c>
      <c r="B581" s="1" t="n">
        <v>45616.67833333334</v>
      </c>
      <c r="C581" s="1" t="n">
        <v>46020</v>
      </c>
      <c r="D581" t="inlineStr">
        <is>
          <t>JÄMTLANDS LÄN</t>
        </is>
      </c>
      <c r="E581" t="inlineStr">
        <is>
          <t>ÖSTERSUND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296-2023</t>
        </is>
      </c>
      <c r="B582" s="1" t="n">
        <v>44922</v>
      </c>
      <c r="C582" s="1" t="n">
        <v>46020</v>
      </c>
      <c r="D582" t="inlineStr">
        <is>
          <t>JÄMTLANDS LÄN</t>
        </is>
      </c>
      <c r="E582" t="inlineStr">
        <is>
          <t>ÖSTERSUND</t>
        </is>
      </c>
      <c r="G582" t="n">
        <v>0.8</v>
      </c>
      <c r="H582" t="n">
        <v>0</v>
      </c>
      <c r="I582" t="n">
        <v>0</v>
      </c>
      <c r="J582" t="n">
        <v>0</v>
      </c>
      <c r="K582" t="n">
        <v>0</v>
      </c>
      <c r="L582" t="n">
        <v>0</v>
      </c>
      <c r="M582" t="n">
        <v>0</v>
      </c>
      <c r="N582" t="n">
        <v>0</v>
      </c>
      <c r="O582" t="n">
        <v>0</v>
      </c>
      <c r="P582" t="n">
        <v>0</v>
      </c>
      <c r="Q582" t="n">
        <v>0</v>
      </c>
      <c r="R582" s="2" t="inlineStr"/>
    </row>
    <row r="583" ht="15" customHeight="1">
      <c r="A583" t="inlineStr">
        <is>
          <t>A 17732-2022</t>
        </is>
      </c>
      <c r="B583" s="1" t="n">
        <v>44680.92873842592</v>
      </c>
      <c r="C583" s="1" t="n">
        <v>46020</v>
      </c>
      <c r="D583" t="inlineStr">
        <is>
          <t>JÄMTLANDS LÄN</t>
        </is>
      </c>
      <c r="E583" t="inlineStr">
        <is>
          <t>ÖSTERSUND</t>
        </is>
      </c>
      <c r="G583" t="n">
        <v>5.4</v>
      </c>
      <c r="H583" t="n">
        <v>0</v>
      </c>
      <c r="I583" t="n">
        <v>0</v>
      </c>
      <c r="J583" t="n">
        <v>0</v>
      </c>
      <c r="K583" t="n">
        <v>0</v>
      </c>
      <c r="L583" t="n">
        <v>0</v>
      </c>
      <c r="M583" t="n">
        <v>0</v>
      </c>
      <c r="N583" t="n">
        <v>0</v>
      </c>
      <c r="O583" t="n">
        <v>0</v>
      </c>
      <c r="P583" t="n">
        <v>0</v>
      </c>
      <c r="Q583" t="n">
        <v>0</v>
      </c>
      <c r="R583" s="2" t="inlineStr"/>
    </row>
    <row r="584" ht="15" customHeight="1">
      <c r="A584" t="inlineStr">
        <is>
          <t>A 57589-2024</t>
        </is>
      </c>
      <c r="B584" s="1" t="n">
        <v>45630.49710648148</v>
      </c>
      <c r="C584" s="1" t="n">
        <v>46020</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31040-2021</t>
        </is>
      </c>
      <c r="B585" s="1" t="n">
        <v>44368</v>
      </c>
      <c r="C585" s="1" t="n">
        <v>46020</v>
      </c>
      <c r="D585" t="inlineStr">
        <is>
          <t>JÄMTLANDS LÄN</t>
        </is>
      </c>
      <c r="E585" t="inlineStr">
        <is>
          <t>ÖSTERSUND</t>
        </is>
      </c>
      <c r="G585" t="n">
        <v>4.3</v>
      </c>
      <c r="H585" t="n">
        <v>0</v>
      </c>
      <c r="I585" t="n">
        <v>0</v>
      </c>
      <c r="J585" t="n">
        <v>0</v>
      </c>
      <c r="K585" t="n">
        <v>0</v>
      </c>
      <c r="L585" t="n">
        <v>0</v>
      </c>
      <c r="M585" t="n">
        <v>0</v>
      </c>
      <c r="N585" t="n">
        <v>0</v>
      </c>
      <c r="O585" t="n">
        <v>0</v>
      </c>
      <c r="P585" t="n">
        <v>0</v>
      </c>
      <c r="Q585" t="n">
        <v>0</v>
      </c>
      <c r="R585" s="2" t="inlineStr"/>
    </row>
    <row r="586" ht="15" customHeight="1">
      <c r="A586" t="inlineStr">
        <is>
          <t>A 55678-2023</t>
        </is>
      </c>
      <c r="B586" s="1" t="n">
        <v>45239.33032407407</v>
      </c>
      <c r="C586" s="1" t="n">
        <v>46020</v>
      </c>
      <c r="D586" t="inlineStr">
        <is>
          <t>JÄMTLANDS LÄN</t>
        </is>
      </c>
      <c r="E586" t="inlineStr">
        <is>
          <t>ÖSTERSUND</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15659-2021</t>
        </is>
      </c>
      <c r="B587" s="1" t="n">
        <v>44298</v>
      </c>
      <c r="C587" s="1" t="n">
        <v>46020</v>
      </c>
      <c r="D587" t="inlineStr">
        <is>
          <t>JÄMTLANDS LÄN</t>
        </is>
      </c>
      <c r="E587" t="inlineStr">
        <is>
          <t>ÖSTERSUND</t>
        </is>
      </c>
      <c r="G587" t="n">
        <v>13.3</v>
      </c>
      <c r="H587" t="n">
        <v>0</v>
      </c>
      <c r="I587" t="n">
        <v>0</v>
      </c>
      <c r="J587" t="n">
        <v>0</v>
      </c>
      <c r="K587" t="n">
        <v>0</v>
      </c>
      <c r="L587" t="n">
        <v>0</v>
      </c>
      <c r="M587" t="n">
        <v>0</v>
      </c>
      <c r="N587" t="n">
        <v>0</v>
      </c>
      <c r="O587" t="n">
        <v>0</v>
      </c>
      <c r="P587" t="n">
        <v>0</v>
      </c>
      <c r="Q587" t="n">
        <v>0</v>
      </c>
      <c r="R587" s="2" t="inlineStr"/>
    </row>
    <row r="588" ht="15" customHeight="1">
      <c r="A588" t="inlineStr">
        <is>
          <t>A 56847-2024</t>
        </is>
      </c>
      <c r="B588" s="1" t="n">
        <v>45628.53381944444</v>
      </c>
      <c r="C588" s="1" t="n">
        <v>46020</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19323-2024</t>
        </is>
      </c>
      <c r="B589" s="1" t="n">
        <v>45428.92486111111</v>
      </c>
      <c r="C589" s="1" t="n">
        <v>46020</v>
      </c>
      <c r="D589" t="inlineStr">
        <is>
          <t>JÄMTLANDS LÄN</t>
        </is>
      </c>
      <c r="E589" t="inlineStr">
        <is>
          <t>ÖSTERSUND</t>
        </is>
      </c>
      <c r="F589" t="inlineStr">
        <is>
          <t>Kommuner</t>
        </is>
      </c>
      <c r="G589" t="n">
        <v>0.2</v>
      </c>
      <c r="H589" t="n">
        <v>0</v>
      </c>
      <c r="I589" t="n">
        <v>0</v>
      </c>
      <c r="J589" t="n">
        <v>0</v>
      </c>
      <c r="K589" t="n">
        <v>0</v>
      </c>
      <c r="L589" t="n">
        <v>0</v>
      </c>
      <c r="M589" t="n">
        <v>0</v>
      </c>
      <c r="N589" t="n">
        <v>0</v>
      </c>
      <c r="O589" t="n">
        <v>0</v>
      </c>
      <c r="P589" t="n">
        <v>0</v>
      </c>
      <c r="Q589" t="n">
        <v>0</v>
      </c>
      <c r="R589" s="2" t="inlineStr"/>
    </row>
    <row r="590" ht="15" customHeight="1">
      <c r="A590" t="inlineStr">
        <is>
          <t>A 7005-2025</t>
        </is>
      </c>
      <c r="B590" s="1" t="n">
        <v>45701.60046296296</v>
      </c>
      <c r="C590" s="1" t="n">
        <v>46020</v>
      </c>
      <c r="D590" t="inlineStr">
        <is>
          <t>JÄMTLANDS LÄN</t>
        </is>
      </c>
      <c r="E590" t="inlineStr">
        <is>
          <t>ÖSTERSUND</t>
        </is>
      </c>
      <c r="G590" t="n">
        <v>3.3</v>
      </c>
      <c r="H590" t="n">
        <v>0</v>
      </c>
      <c r="I590" t="n">
        <v>0</v>
      </c>
      <c r="J590" t="n">
        <v>0</v>
      </c>
      <c r="K590" t="n">
        <v>0</v>
      </c>
      <c r="L590" t="n">
        <v>0</v>
      </c>
      <c r="M590" t="n">
        <v>0</v>
      </c>
      <c r="N590" t="n">
        <v>0</v>
      </c>
      <c r="O590" t="n">
        <v>0</v>
      </c>
      <c r="P590" t="n">
        <v>0</v>
      </c>
      <c r="Q590" t="n">
        <v>0</v>
      </c>
      <c r="R590" s="2" t="inlineStr"/>
    </row>
    <row r="591" ht="15" customHeight="1">
      <c r="A591" t="inlineStr">
        <is>
          <t>A 27294-2023</t>
        </is>
      </c>
      <c r="B591" s="1" t="n">
        <v>45092</v>
      </c>
      <c r="C591" s="1" t="n">
        <v>46020</v>
      </c>
      <c r="D591" t="inlineStr">
        <is>
          <t>JÄMTLANDS LÄN</t>
        </is>
      </c>
      <c r="E591" t="inlineStr">
        <is>
          <t>ÖSTERSUND</t>
        </is>
      </c>
      <c r="G591" t="n">
        <v>2.8</v>
      </c>
      <c r="H591" t="n">
        <v>0</v>
      </c>
      <c r="I591" t="n">
        <v>0</v>
      </c>
      <c r="J591" t="n">
        <v>0</v>
      </c>
      <c r="K591" t="n">
        <v>0</v>
      </c>
      <c r="L591" t="n">
        <v>0</v>
      </c>
      <c r="M591" t="n">
        <v>0</v>
      </c>
      <c r="N591" t="n">
        <v>0</v>
      </c>
      <c r="O591" t="n">
        <v>0</v>
      </c>
      <c r="P591" t="n">
        <v>0</v>
      </c>
      <c r="Q591" t="n">
        <v>0</v>
      </c>
      <c r="R591" s="2" t="inlineStr"/>
    </row>
    <row r="592" ht="15" customHeight="1">
      <c r="A592" t="inlineStr">
        <is>
          <t>A 8389-2025</t>
        </is>
      </c>
      <c r="B592" s="1" t="n">
        <v>45709.36497685185</v>
      </c>
      <c r="C592" s="1" t="n">
        <v>46020</v>
      </c>
      <c r="D592" t="inlineStr">
        <is>
          <t>JÄMTLANDS LÄN</t>
        </is>
      </c>
      <c r="E592" t="inlineStr">
        <is>
          <t>ÖSTERSUND</t>
        </is>
      </c>
      <c r="F592" t="inlineStr">
        <is>
          <t>SCA</t>
        </is>
      </c>
      <c r="G592" t="n">
        <v>6.3</v>
      </c>
      <c r="H592" t="n">
        <v>0</v>
      </c>
      <c r="I592" t="n">
        <v>0</v>
      </c>
      <c r="J592" t="n">
        <v>0</v>
      </c>
      <c r="K592" t="n">
        <v>0</v>
      </c>
      <c r="L592" t="n">
        <v>0</v>
      </c>
      <c r="M592" t="n">
        <v>0</v>
      </c>
      <c r="N592" t="n">
        <v>0</v>
      </c>
      <c r="O592" t="n">
        <v>0</v>
      </c>
      <c r="P592" t="n">
        <v>0</v>
      </c>
      <c r="Q592" t="n">
        <v>0</v>
      </c>
      <c r="R592" s="2" t="inlineStr"/>
    </row>
    <row r="593" ht="15" customHeight="1">
      <c r="A593" t="inlineStr">
        <is>
          <t>A 17570-2025</t>
        </is>
      </c>
      <c r="B593" s="1" t="n">
        <v>45757.64563657407</v>
      </c>
      <c r="C593" s="1" t="n">
        <v>46020</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41280-2024</t>
        </is>
      </c>
      <c r="B594" s="1" t="n">
        <v>45559.59476851852</v>
      </c>
      <c r="C594" s="1" t="n">
        <v>46020</v>
      </c>
      <c r="D594" t="inlineStr">
        <is>
          <t>JÄMTLANDS LÄN</t>
        </is>
      </c>
      <c r="E594" t="inlineStr">
        <is>
          <t>ÖSTERSUND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12429-2025</t>
        </is>
      </c>
      <c r="B595" s="1" t="n">
        <v>45730.45930555555</v>
      </c>
      <c r="C595" s="1" t="n">
        <v>46020</v>
      </c>
      <c r="D595" t="inlineStr">
        <is>
          <t>JÄMTLANDS LÄN</t>
        </is>
      </c>
      <c r="E595" t="inlineStr">
        <is>
          <t>ÖSTERSUND</t>
        </is>
      </c>
      <c r="F595" t="inlineStr">
        <is>
          <t>Övriga Aktiebolag</t>
        </is>
      </c>
      <c r="G595" t="n">
        <v>4.4</v>
      </c>
      <c r="H595" t="n">
        <v>0</v>
      </c>
      <c r="I595" t="n">
        <v>0</v>
      </c>
      <c r="J595" t="n">
        <v>0</v>
      </c>
      <c r="K595" t="n">
        <v>0</v>
      </c>
      <c r="L595" t="n">
        <v>0</v>
      </c>
      <c r="M595" t="n">
        <v>0</v>
      </c>
      <c r="N595" t="n">
        <v>0</v>
      </c>
      <c r="O595" t="n">
        <v>0</v>
      </c>
      <c r="P595" t="n">
        <v>0</v>
      </c>
      <c r="Q595" t="n">
        <v>0</v>
      </c>
      <c r="R595" s="2" t="inlineStr"/>
    </row>
    <row r="596" ht="15" customHeight="1">
      <c r="A596" t="inlineStr">
        <is>
          <t>A 19581-2025</t>
        </is>
      </c>
      <c r="B596" s="1" t="n">
        <v>45770.56363425926</v>
      </c>
      <c r="C596" s="1" t="n">
        <v>46020</v>
      </c>
      <c r="D596" t="inlineStr">
        <is>
          <t>JÄMTLANDS LÄN</t>
        </is>
      </c>
      <c r="E596" t="inlineStr">
        <is>
          <t>ÖSTERSUND</t>
        </is>
      </c>
      <c r="G596" t="n">
        <v>17.2</v>
      </c>
      <c r="H596" t="n">
        <v>0</v>
      </c>
      <c r="I596" t="n">
        <v>0</v>
      </c>
      <c r="J596" t="n">
        <v>0</v>
      </c>
      <c r="K596" t="n">
        <v>0</v>
      </c>
      <c r="L596" t="n">
        <v>0</v>
      </c>
      <c r="M596" t="n">
        <v>0</v>
      </c>
      <c r="N596" t="n">
        <v>0</v>
      </c>
      <c r="O596" t="n">
        <v>0</v>
      </c>
      <c r="P596" t="n">
        <v>0</v>
      </c>
      <c r="Q596" t="n">
        <v>0</v>
      </c>
      <c r="R596" s="2" t="inlineStr"/>
    </row>
    <row r="597" ht="15" customHeight="1">
      <c r="A597" t="inlineStr">
        <is>
          <t>A 24312-2021</t>
        </is>
      </c>
      <c r="B597" s="1" t="n">
        <v>44336</v>
      </c>
      <c r="C597" s="1" t="n">
        <v>46020</v>
      </c>
      <c r="D597" t="inlineStr">
        <is>
          <t>JÄMTLANDS LÄN</t>
        </is>
      </c>
      <c r="E597" t="inlineStr">
        <is>
          <t>ÖSTERSUND</t>
        </is>
      </c>
      <c r="G597" t="n">
        <v>10.6</v>
      </c>
      <c r="H597" t="n">
        <v>0</v>
      </c>
      <c r="I597" t="n">
        <v>0</v>
      </c>
      <c r="J597" t="n">
        <v>0</v>
      </c>
      <c r="K597" t="n">
        <v>0</v>
      </c>
      <c r="L597" t="n">
        <v>0</v>
      </c>
      <c r="M597" t="n">
        <v>0</v>
      </c>
      <c r="N597" t="n">
        <v>0</v>
      </c>
      <c r="O597" t="n">
        <v>0</v>
      </c>
      <c r="P597" t="n">
        <v>0</v>
      </c>
      <c r="Q597" t="n">
        <v>0</v>
      </c>
      <c r="R597" s="2" t="inlineStr"/>
    </row>
    <row r="598" ht="15" customHeight="1">
      <c r="A598" t="inlineStr">
        <is>
          <t>A 38926-2024</t>
        </is>
      </c>
      <c r="B598" s="1" t="n">
        <v>45547.90777777778</v>
      </c>
      <c r="C598" s="1" t="n">
        <v>46020</v>
      </c>
      <c r="D598" t="inlineStr">
        <is>
          <t>JÄMTLANDS LÄN</t>
        </is>
      </c>
      <c r="E598" t="inlineStr">
        <is>
          <t>ÖSTERSUND</t>
        </is>
      </c>
      <c r="G598" t="n">
        <v>0.4</v>
      </c>
      <c r="H598" t="n">
        <v>0</v>
      </c>
      <c r="I598" t="n">
        <v>0</v>
      </c>
      <c r="J598" t="n">
        <v>0</v>
      </c>
      <c r="K598" t="n">
        <v>0</v>
      </c>
      <c r="L598" t="n">
        <v>0</v>
      </c>
      <c r="M598" t="n">
        <v>0</v>
      </c>
      <c r="N598" t="n">
        <v>0</v>
      </c>
      <c r="O598" t="n">
        <v>0</v>
      </c>
      <c r="P598" t="n">
        <v>0</v>
      </c>
      <c r="Q598" t="n">
        <v>0</v>
      </c>
      <c r="R598" s="2" t="inlineStr"/>
    </row>
    <row r="599" ht="15" customHeight="1">
      <c r="A599" t="inlineStr">
        <is>
          <t>A 55064-2024</t>
        </is>
      </c>
      <c r="B599" s="1" t="n">
        <v>45621.41050925926</v>
      </c>
      <c r="C599" s="1" t="n">
        <v>46020</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41802-2021</t>
        </is>
      </c>
      <c r="B600" s="1" t="n">
        <v>44425</v>
      </c>
      <c r="C600" s="1" t="n">
        <v>46020</v>
      </c>
      <c r="D600" t="inlineStr">
        <is>
          <t>JÄMTLANDS LÄN</t>
        </is>
      </c>
      <c r="E600" t="inlineStr">
        <is>
          <t>ÖSTERSUND</t>
        </is>
      </c>
      <c r="G600" t="n">
        <v>1.7</v>
      </c>
      <c r="H600" t="n">
        <v>0</v>
      </c>
      <c r="I600" t="n">
        <v>0</v>
      </c>
      <c r="J600" t="n">
        <v>0</v>
      </c>
      <c r="K600" t="n">
        <v>0</v>
      </c>
      <c r="L600" t="n">
        <v>0</v>
      </c>
      <c r="M600" t="n">
        <v>0</v>
      </c>
      <c r="N600" t="n">
        <v>0</v>
      </c>
      <c r="O600" t="n">
        <v>0</v>
      </c>
      <c r="P600" t="n">
        <v>0</v>
      </c>
      <c r="Q600" t="n">
        <v>0</v>
      </c>
      <c r="R600" s="2" t="inlineStr"/>
    </row>
    <row r="601" ht="15" customHeight="1">
      <c r="A601" t="inlineStr">
        <is>
          <t>A 4063-2025</t>
        </is>
      </c>
      <c r="B601" s="1" t="n">
        <v>45684</v>
      </c>
      <c r="C601" s="1" t="n">
        <v>46020</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7224-2024</t>
        </is>
      </c>
      <c r="B602" s="1" t="n">
        <v>45344</v>
      </c>
      <c r="C602" s="1" t="n">
        <v>46020</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62222-2022</t>
        </is>
      </c>
      <c r="B603" s="1" t="n">
        <v>44922</v>
      </c>
      <c r="C603" s="1" t="n">
        <v>46020</v>
      </c>
      <c r="D603" t="inlineStr">
        <is>
          <t>JÄMTLANDS LÄN</t>
        </is>
      </c>
      <c r="E603" t="inlineStr">
        <is>
          <t>ÖSTERSUND</t>
        </is>
      </c>
      <c r="G603" t="n">
        <v>4.1</v>
      </c>
      <c r="H603" t="n">
        <v>0</v>
      </c>
      <c r="I603" t="n">
        <v>0</v>
      </c>
      <c r="J603" t="n">
        <v>0</v>
      </c>
      <c r="K603" t="n">
        <v>0</v>
      </c>
      <c r="L603" t="n">
        <v>0</v>
      </c>
      <c r="M603" t="n">
        <v>0</v>
      </c>
      <c r="N603" t="n">
        <v>0</v>
      </c>
      <c r="O603" t="n">
        <v>0</v>
      </c>
      <c r="P603" t="n">
        <v>0</v>
      </c>
      <c r="Q603" t="n">
        <v>0</v>
      </c>
      <c r="R603" s="2" t="inlineStr"/>
    </row>
    <row r="604" ht="15" customHeight="1">
      <c r="A604" t="inlineStr">
        <is>
          <t>A 47804-2024</t>
        </is>
      </c>
      <c r="B604" s="1" t="n">
        <v>45588.61498842593</v>
      </c>
      <c r="C604" s="1" t="n">
        <v>46020</v>
      </c>
      <c r="D604" t="inlineStr">
        <is>
          <t>JÄMTLANDS LÄN</t>
        </is>
      </c>
      <c r="E604" t="inlineStr">
        <is>
          <t>ÖSTERSUND</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50218-2024</t>
        </is>
      </c>
      <c r="B605" s="1" t="n">
        <v>45600.53160879629</v>
      </c>
      <c r="C605" s="1" t="n">
        <v>46020</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60780-2023</t>
        </is>
      </c>
      <c r="B606" s="1" t="n">
        <v>45260</v>
      </c>
      <c r="C606" s="1" t="n">
        <v>46020</v>
      </c>
      <c r="D606" t="inlineStr">
        <is>
          <t>JÄMTLANDS LÄN</t>
        </is>
      </c>
      <c r="E606" t="inlineStr">
        <is>
          <t>ÖSTERSUND</t>
        </is>
      </c>
      <c r="G606" t="n">
        <v>3.7</v>
      </c>
      <c r="H606" t="n">
        <v>0</v>
      </c>
      <c r="I606" t="n">
        <v>0</v>
      </c>
      <c r="J606" t="n">
        <v>0</v>
      </c>
      <c r="K606" t="n">
        <v>0</v>
      </c>
      <c r="L606" t="n">
        <v>0</v>
      </c>
      <c r="M606" t="n">
        <v>0</v>
      </c>
      <c r="N606" t="n">
        <v>0</v>
      </c>
      <c r="O606" t="n">
        <v>0</v>
      </c>
      <c r="P606" t="n">
        <v>0</v>
      </c>
      <c r="Q606" t="n">
        <v>0</v>
      </c>
      <c r="R606" s="2" t="inlineStr"/>
    </row>
    <row r="607" ht="15" customHeight="1">
      <c r="A607" t="inlineStr">
        <is>
          <t>A 60794-2023</t>
        </is>
      </c>
      <c r="B607" s="1" t="n">
        <v>45260</v>
      </c>
      <c r="C607" s="1" t="n">
        <v>46020</v>
      </c>
      <c r="D607" t="inlineStr">
        <is>
          <t>JÄMTLANDS LÄN</t>
        </is>
      </c>
      <c r="E607" t="inlineStr">
        <is>
          <t>ÖSTERSUND</t>
        </is>
      </c>
      <c r="G607" t="n">
        <v>3.6</v>
      </c>
      <c r="H607" t="n">
        <v>0</v>
      </c>
      <c r="I607" t="n">
        <v>0</v>
      </c>
      <c r="J607" t="n">
        <v>0</v>
      </c>
      <c r="K607" t="n">
        <v>0</v>
      </c>
      <c r="L607" t="n">
        <v>0</v>
      </c>
      <c r="M607" t="n">
        <v>0</v>
      </c>
      <c r="N607" t="n">
        <v>0</v>
      </c>
      <c r="O607" t="n">
        <v>0</v>
      </c>
      <c r="P607" t="n">
        <v>0</v>
      </c>
      <c r="Q607" t="n">
        <v>0</v>
      </c>
      <c r="R607" s="2" t="inlineStr"/>
    </row>
    <row r="608" ht="15" customHeight="1">
      <c r="A608" t="inlineStr">
        <is>
          <t>A 11877-2024</t>
        </is>
      </c>
      <c r="B608" s="1" t="n">
        <v>45376</v>
      </c>
      <c r="C608" s="1" t="n">
        <v>46020</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53714-2022</t>
        </is>
      </c>
      <c r="B609" s="1" t="n">
        <v>44880</v>
      </c>
      <c r="C609" s="1" t="n">
        <v>46020</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52128-2023</t>
        </is>
      </c>
      <c r="B610" s="1" t="n">
        <v>45223</v>
      </c>
      <c r="C610" s="1" t="n">
        <v>46020</v>
      </c>
      <c r="D610" t="inlineStr">
        <is>
          <t>JÄMTLANDS LÄN</t>
        </is>
      </c>
      <c r="E610" t="inlineStr">
        <is>
          <t>ÖSTERSUND</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44013-2021</t>
        </is>
      </c>
      <c r="B611" s="1" t="n">
        <v>44434</v>
      </c>
      <c r="C611" s="1" t="n">
        <v>46020</v>
      </c>
      <c r="D611" t="inlineStr">
        <is>
          <t>JÄMTLANDS LÄN</t>
        </is>
      </c>
      <c r="E611" t="inlineStr">
        <is>
          <t>ÖSTERSUND</t>
        </is>
      </c>
      <c r="G611" t="n">
        <v>1.9</v>
      </c>
      <c r="H611" t="n">
        <v>0</v>
      </c>
      <c r="I611" t="n">
        <v>0</v>
      </c>
      <c r="J611" t="n">
        <v>0</v>
      </c>
      <c r="K611" t="n">
        <v>0</v>
      </c>
      <c r="L611" t="n">
        <v>0</v>
      </c>
      <c r="M611" t="n">
        <v>0</v>
      </c>
      <c r="N611" t="n">
        <v>0</v>
      </c>
      <c r="O611" t="n">
        <v>0</v>
      </c>
      <c r="P611" t="n">
        <v>0</v>
      </c>
      <c r="Q611" t="n">
        <v>0</v>
      </c>
      <c r="R611" s="2" t="inlineStr"/>
    </row>
    <row r="612" ht="15" customHeight="1">
      <c r="A612" t="inlineStr">
        <is>
          <t>A 8003-2025</t>
        </is>
      </c>
      <c r="B612" s="1" t="n">
        <v>45707</v>
      </c>
      <c r="C612" s="1" t="n">
        <v>46020</v>
      </c>
      <c r="D612" t="inlineStr">
        <is>
          <t>JÄMTLANDS LÄN</t>
        </is>
      </c>
      <c r="E612" t="inlineStr">
        <is>
          <t>ÖSTERSUND</t>
        </is>
      </c>
      <c r="F612" t="inlineStr">
        <is>
          <t>Övriga Aktiebolag</t>
        </is>
      </c>
      <c r="G612" t="n">
        <v>35.1</v>
      </c>
      <c r="H612" t="n">
        <v>0</v>
      </c>
      <c r="I612" t="n">
        <v>0</v>
      </c>
      <c r="J612" t="n">
        <v>0</v>
      </c>
      <c r="K612" t="n">
        <v>0</v>
      </c>
      <c r="L612" t="n">
        <v>0</v>
      </c>
      <c r="M612" t="n">
        <v>0</v>
      </c>
      <c r="N612" t="n">
        <v>0</v>
      </c>
      <c r="O612" t="n">
        <v>0</v>
      </c>
      <c r="P612" t="n">
        <v>0</v>
      </c>
      <c r="Q612" t="n">
        <v>0</v>
      </c>
      <c r="R612" s="2" t="inlineStr"/>
    </row>
    <row r="613" ht="15" customHeight="1">
      <c r="A613" t="inlineStr">
        <is>
          <t>A 12285-2022</t>
        </is>
      </c>
      <c r="B613" s="1" t="n">
        <v>44637</v>
      </c>
      <c r="C613" s="1" t="n">
        <v>46020</v>
      </c>
      <c r="D613" t="inlineStr">
        <is>
          <t>JÄMTLANDS LÄN</t>
        </is>
      </c>
      <c r="E613" t="inlineStr">
        <is>
          <t>ÖSTERSUND</t>
        </is>
      </c>
      <c r="G613" t="n">
        <v>1.4</v>
      </c>
      <c r="H613" t="n">
        <v>0</v>
      </c>
      <c r="I613" t="n">
        <v>0</v>
      </c>
      <c r="J613" t="n">
        <v>0</v>
      </c>
      <c r="K613" t="n">
        <v>0</v>
      </c>
      <c r="L613" t="n">
        <v>0</v>
      </c>
      <c r="M613" t="n">
        <v>0</v>
      </c>
      <c r="N613" t="n">
        <v>0</v>
      </c>
      <c r="O613" t="n">
        <v>0</v>
      </c>
      <c r="P613" t="n">
        <v>0</v>
      </c>
      <c r="Q613" t="n">
        <v>0</v>
      </c>
      <c r="R613" s="2" t="inlineStr"/>
    </row>
    <row r="614" ht="15" customHeight="1">
      <c r="A614" t="inlineStr">
        <is>
          <t>A 25385-2024</t>
        </is>
      </c>
      <c r="B614" s="1" t="n">
        <v>45462.96347222223</v>
      </c>
      <c r="C614" s="1" t="n">
        <v>46020</v>
      </c>
      <c r="D614" t="inlineStr">
        <is>
          <t>JÄMTLANDS LÄN</t>
        </is>
      </c>
      <c r="E614" t="inlineStr">
        <is>
          <t>ÖSTERSUND</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8027-2022</t>
        </is>
      </c>
      <c r="B615" s="1" t="n">
        <v>44609</v>
      </c>
      <c r="C615" s="1" t="n">
        <v>46020</v>
      </c>
      <c r="D615" t="inlineStr">
        <is>
          <t>JÄMTLANDS LÄN</t>
        </is>
      </c>
      <c r="E615" t="inlineStr">
        <is>
          <t>ÖSTERSUND</t>
        </is>
      </c>
      <c r="G615" t="n">
        <v>1.6</v>
      </c>
      <c r="H615" t="n">
        <v>0</v>
      </c>
      <c r="I615" t="n">
        <v>0</v>
      </c>
      <c r="J615" t="n">
        <v>0</v>
      </c>
      <c r="K615" t="n">
        <v>0</v>
      </c>
      <c r="L615" t="n">
        <v>0</v>
      </c>
      <c r="M615" t="n">
        <v>0</v>
      </c>
      <c r="N615" t="n">
        <v>0</v>
      </c>
      <c r="O615" t="n">
        <v>0</v>
      </c>
      <c r="P615" t="n">
        <v>0</v>
      </c>
      <c r="Q615" t="n">
        <v>0</v>
      </c>
      <c r="R615" s="2" t="inlineStr"/>
    </row>
    <row r="616" ht="15" customHeight="1">
      <c r="A616" t="inlineStr">
        <is>
          <t>A 11933-2022</t>
        </is>
      </c>
      <c r="B616" s="1" t="n">
        <v>44635</v>
      </c>
      <c r="C616" s="1" t="n">
        <v>46020</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14947-2025</t>
        </is>
      </c>
      <c r="B617" s="1" t="n">
        <v>45743.57336805556</v>
      </c>
      <c r="C617" s="1" t="n">
        <v>46020</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2753-2025</t>
        </is>
      </c>
      <c r="B618" s="1" t="n">
        <v>45677.47302083333</v>
      </c>
      <c r="C618" s="1" t="n">
        <v>46020</v>
      </c>
      <c r="D618" t="inlineStr">
        <is>
          <t>JÄMTLANDS LÄN</t>
        </is>
      </c>
      <c r="E618" t="inlineStr">
        <is>
          <t>ÖSTERSUND</t>
        </is>
      </c>
      <c r="G618" t="n">
        <v>6.4</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46020</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20400-2024</t>
        </is>
      </c>
      <c r="B620" s="1" t="n">
        <v>45435.55372685185</v>
      </c>
      <c r="C620" s="1" t="n">
        <v>46020</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20588-2023</t>
        </is>
      </c>
      <c r="B621" s="1" t="n">
        <v>45057</v>
      </c>
      <c r="C621" s="1" t="n">
        <v>46020</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27689-2024</t>
        </is>
      </c>
      <c r="B622" s="1" t="n">
        <v>45475.3378125</v>
      </c>
      <c r="C622" s="1" t="n">
        <v>46020</v>
      </c>
      <c r="D622" t="inlineStr">
        <is>
          <t>JÄMTLANDS LÄN</t>
        </is>
      </c>
      <c r="E622" t="inlineStr">
        <is>
          <t>ÖSTERSUND</t>
        </is>
      </c>
      <c r="G622" t="n">
        <v>0.6</v>
      </c>
      <c r="H622" t="n">
        <v>0</v>
      </c>
      <c r="I622" t="n">
        <v>0</v>
      </c>
      <c r="J622" t="n">
        <v>0</v>
      </c>
      <c r="K622" t="n">
        <v>0</v>
      </c>
      <c r="L622" t="n">
        <v>0</v>
      </c>
      <c r="M622" t="n">
        <v>0</v>
      </c>
      <c r="N622" t="n">
        <v>0</v>
      </c>
      <c r="O622" t="n">
        <v>0</v>
      </c>
      <c r="P622" t="n">
        <v>0</v>
      </c>
      <c r="Q622" t="n">
        <v>0</v>
      </c>
      <c r="R622" s="2" t="inlineStr"/>
    </row>
    <row r="623" ht="15" customHeight="1">
      <c r="A623" t="inlineStr">
        <is>
          <t>A 51818-2024</t>
        </is>
      </c>
      <c r="B623" s="1" t="n">
        <v>45607.49265046296</v>
      </c>
      <c r="C623" s="1" t="n">
        <v>46020</v>
      </c>
      <c r="D623" t="inlineStr">
        <is>
          <t>JÄMTLANDS LÄN</t>
        </is>
      </c>
      <c r="E623" t="inlineStr">
        <is>
          <t>ÖSTERSUND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51479-2023</t>
        </is>
      </c>
      <c r="B624" s="1" t="n">
        <v>45221.92429398148</v>
      </c>
      <c r="C624" s="1" t="n">
        <v>46020</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2978-2024</t>
        </is>
      </c>
      <c r="B625" s="1" t="n">
        <v>45315</v>
      </c>
      <c r="C625" s="1" t="n">
        <v>46020</v>
      </c>
      <c r="D625" t="inlineStr">
        <is>
          <t>JÄMTLANDS LÄN</t>
        </is>
      </c>
      <c r="E625" t="inlineStr">
        <is>
          <t>ÖSTERSUND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28181-2024</t>
        </is>
      </c>
      <c r="B626" s="1" t="n">
        <v>45477.28482638889</v>
      </c>
      <c r="C626" s="1" t="n">
        <v>46020</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61002-2024</t>
        </is>
      </c>
      <c r="B627" s="1" t="n">
        <v>45645.44158564815</v>
      </c>
      <c r="C627" s="1" t="n">
        <v>46020</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45166.9569675926</v>
      </c>
      <c r="C628" s="1" t="n">
        <v>46020</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54883-2023</t>
        </is>
      </c>
      <c r="B629" s="1" t="n">
        <v>45236.62300925926</v>
      </c>
      <c r="C629" s="1" t="n">
        <v>46020</v>
      </c>
      <c r="D629" t="inlineStr">
        <is>
          <t>JÄMTLANDS LÄN</t>
        </is>
      </c>
      <c r="E629" t="inlineStr">
        <is>
          <t>ÖSTERSUND</t>
        </is>
      </c>
      <c r="F629" t="inlineStr">
        <is>
          <t>Övriga Aktiebolag</t>
        </is>
      </c>
      <c r="G629" t="n">
        <v>3.2</v>
      </c>
      <c r="H629" t="n">
        <v>0</v>
      </c>
      <c r="I629" t="n">
        <v>0</v>
      </c>
      <c r="J629" t="n">
        <v>0</v>
      </c>
      <c r="K629" t="n">
        <v>0</v>
      </c>
      <c r="L629" t="n">
        <v>0</v>
      </c>
      <c r="M629" t="n">
        <v>0</v>
      </c>
      <c r="N629" t="n">
        <v>0</v>
      </c>
      <c r="O629" t="n">
        <v>0</v>
      </c>
      <c r="P629" t="n">
        <v>0</v>
      </c>
      <c r="Q629" t="n">
        <v>0</v>
      </c>
      <c r="R629" s="2" t="inlineStr"/>
    </row>
    <row r="630" ht="15" customHeight="1">
      <c r="A630" t="inlineStr">
        <is>
          <t>A 2730-2025</t>
        </is>
      </c>
      <c r="B630" s="1" t="n">
        <v>45677.44393518518</v>
      </c>
      <c r="C630" s="1" t="n">
        <v>46020</v>
      </c>
      <c r="D630" t="inlineStr">
        <is>
          <t>JÄMTLANDS LÄN</t>
        </is>
      </c>
      <c r="E630" t="inlineStr">
        <is>
          <t>ÖSTERSUND</t>
        </is>
      </c>
      <c r="G630" t="n">
        <v>2.5</v>
      </c>
      <c r="H630" t="n">
        <v>0</v>
      </c>
      <c r="I630" t="n">
        <v>0</v>
      </c>
      <c r="J630" t="n">
        <v>0</v>
      </c>
      <c r="K630" t="n">
        <v>0</v>
      </c>
      <c r="L630" t="n">
        <v>0</v>
      </c>
      <c r="M630" t="n">
        <v>0</v>
      </c>
      <c r="N630" t="n">
        <v>0</v>
      </c>
      <c r="O630" t="n">
        <v>0</v>
      </c>
      <c r="P630" t="n">
        <v>0</v>
      </c>
      <c r="Q630" t="n">
        <v>0</v>
      </c>
      <c r="R630" s="2" t="inlineStr"/>
    </row>
    <row r="631" ht="15" customHeight="1">
      <c r="A631" t="inlineStr">
        <is>
          <t>A 62225-2022</t>
        </is>
      </c>
      <c r="B631" s="1" t="n">
        <v>44922</v>
      </c>
      <c r="C631" s="1" t="n">
        <v>46020</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8216-2025</t>
        </is>
      </c>
      <c r="B632" s="1" t="n">
        <v>45708.44947916667</v>
      </c>
      <c r="C632" s="1" t="n">
        <v>46020</v>
      </c>
      <c r="D632" t="inlineStr">
        <is>
          <t>JÄMTLANDS LÄN</t>
        </is>
      </c>
      <c r="E632" t="inlineStr">
        <is>
          <t>ÖSTERSUND</t>
        </is>
      </c>
      <c r="F632" t="inlineStr">
        <is>
          <t>Övriga Aktiebolag</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20634-2023</t>
        </is>
      </c>
      <c r="B633" s="1" t="n">
        <v>45057.9441087963</v>
      </c>
      <c r="C633" s="1" t="n">
        <v>46020</v>
      </c>
      <c r="D633" t="inlineStr">
        <is>
          <t>JÄMTLANDS LÄN</t>
        </is>
      </c>
      <c r="E633" t="inlineStr">
        <is>
          <t>ÖSTERSUND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10306-2023</t>
        </is>
      </c>
      <c r="B634" s="1" t="n">
        <v>44986.94196759259</v>
      </c>
      <c r="C634" s="1" t="n">
        <v>46020</v>
      </c>
      <c r="D634" t="inlineStr">
        <is>
          <t>JÄMTLANDS LÄN</t>
        </is>
      </c>
      <c r="E634" t="inlineStr">
        <is>
          <t>ÖSTERSUND</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16306-2025</t>
        </is>
      </c>
      <c r="B635" s="1" t="n">
        <v>45751.34664351852</v>
      </c>
      <c r="C635" s="1" t="n">
        <v>46020</v>
      </c>
      <c r="D635" t="inlineStr">
        <is>
          <t>JÄMTLANDS LÄN</t>
        </is>
      </c>
      <c r="E635" t="inlineStr">
        <is>
          <t>ÖSTERSUND</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26321-2022</t>
        </is>
      </c>
      <c r="B636" s="1" t="n">
        <v>44735</v>
      </c>
      <c r="C636" s="1" t="n">
        <v>46020</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43252-2023</t>
        </is>
      </c>
      <c r="B637" s="1" t="n">
        <v>45183</v>
      </c>
      <c r="C637" s="1" t="n">
        <v>46020</v>
      </c>
      <c r="D637" t="inlineStr">
        <is>
          <t>JÄMTLANDS LÄN</t>
        </is>
      </c>
      <c r="E637" t="inlineStr">
        <is>
          <t>ÖSTERSUND</t>
        </is>
      </c>
      <c r="G637" t="n">
        <v>2.9</v>
      </c>
      <c r="H637" t="n">
        <v>0</v>
      </c>
      <c r="I637" t="n">
        <v>0</v>
      </c>
      <c r="J637" t="n">
        <v>0</v>
      </c>
      <c r="K637" t="n">
        <v>0</v>
      </c>
      <c r="L637" t="n">
        <v>0</v>
      </c>
      <c r="M637" t="n">
        <v>0</v>
      </c>
      <c r="N637" t="n">
        <v>0</v>
      </c>
      <c r="O637" t="n">
        <v>0</v>
      </c>
      <c r="P637" t="n">
        <v>0</v>
      </c>
      <c r="Q637" t="n">
        <v>0</v>
      </c>
      <c r="R637" s="2" t="inlineStr"/>
    </row>
    <row r="638" ht="15" customHeight="1">
      <c r="A638" t="inlineStr">
        <is>
          <t>A 22126-2021</t>
        </is>
      </c>
      <c r="B638" s="1" t="n">
        <v>44323</v>
      </c>
      <c r="C638" s="1" t="n">
        <v>46020</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30217-2022</t>
        </is>
      </c>
      <c r="B639" s="1" t="n">
        <v>44757.92671296297</v>
      </c>
      <c r="C639" s="1" t="n">
        <v>46020</v>
      </c>
      <c r="D639" t="inlineStr">
        <is>
          <t>JÄMTLANDS LÄN</t>
        </is>
      </c>
      <c r="E639" t="inlineStr">
        <is>
          <t>ÖSTERSUND</t>
        </is>
      </c>
      <c r="G639" t="n">
        <v>2.9</v>
      </c>
      <c r="H639" t="n">
        <v>0</v>
      </c>
      <c r="I639" t="n">
        <v>0</v>
      </c>
      <c r="J639" t="n">
        <v>0</v>
      </c>
      <c r="K639" t="n">
        <v>0</v>
      </c>
      <c r="L639" t="n">
        <v>0</v>
      </c>
      <c r="M639" t="n">
        <v>0</v>
      </c>
      <c r="N639" t="n">
        <v>0</v>
      </c>
      <c r="O639" t="n">
        <v>0</v>
      </c>
      <c r="P639" t="n">
        <v>0</v>
      </c>
      <c r="Q639" t="n">
        <v>0</v>
      </c>
      <c r="R639" s="2" t="inlineStr"/>
    </row>
    <row r="640" ht="15" customHeight="1">
      <c r="A640" t="inlineStr">
        <is>
          <t>A 55140-2023</t>
        </is>
      </c>
      <c r="B640" s="1" t="n">
        <v>45237.50966435186</v>
      </c>
      <c r="C640" s="1" t="n">
        <v>46020</v>
      </c>
      <c r="D640" t="inlineStr">
        <is>
          <t>JÄMTLANDS LÄN</t>
        </is>
      </c>
      <c r="E640" t="inlineStr">
        <is>
          <t>ÖSTERSUND</t>
        </is>
      </c>
      <c r="G640" t="n">
        <v>1.8</v>
      </c>
      <c r="H640" t="n">
        <v>0</v>
      </c>
      <c r="I640" t="n">
        <v>0</v>
      </c>
      <c r="J640" t="n">
        <v>0</v>
      </c>
      <c r="K640" t="n">
        <v>0</v>
      </c>
      <c r="L640" t="n">
        <v>0</v>
      </c>
      <c r="M640" t="n">
        <v>0</v>
      </c>
      <c r="N640" t="n">
        <v>0</v>
      </c>
      <c r="O640" t="n">
        <v>0</v>
      </c>
      <c r="P640" t="n">
        <v>0</v>
      </c>
      <c r="Q640" t="n">
        <v>0</v>
      </c>
      <c r="R640" s="2" t="inlineStr"/>
    </row>
    <row r="641" ht="15" customHeight="1">
      <c r="A641" t="inlineStr">
        <is>
          <t>A 54663-2022</t>
        </is>
      </c>
      <c r="B641" s="1" t="n">
        <v>44883.44737268519</v>
      </c>
      <c r="C641" s="1" t="n">
        <v>46020</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11052-2024</t>
        </is>
      </c>
      <c r="B642" s="1" t="n">
        <v>45370</v>
      </c>
      <c r="C642" s="1" t="n">
        <v>46020</v>
      </c>
      <c r="D642" t="inlineStr">
        <is>
          <t>JÄMTLANDS LÄN</t>
        </is>
      </c>
      <c r="E642" t="inlineStr">
        <is>
          <t>ÖSTERSUND</t>
        </is>
      </c>
      <c r="G642" t="n">
        <v>2.3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45159.42180555555</v>
      </c>
      <c r="C643" s="1" t="n">
        <v>46020</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55365-2024</t>
        </is>
      </c>
      <c r="B644" s="1" t="n">
        <v>45621.86827546296</v>
      </c>
      <c r="C644" s="1" t="n">
        <v>46020</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44048-2024</t>
        </is>
      </c>
      <c r="B645" s="1" t="n">
        <v>45572.59430555555</v>
      </c>
      <c r="C645" s="1" t="n">
        <v>46020</v>
      </c>
      <c r="D645" t="inlineStr">
        <is>
          <t>JÄMTLANDS LÄN</t>
        </is>
      </c>
      <c r="E645" t="inlineStr">
        <is>
          <t>ÖSTERSUND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18429-2025</t>
        </is>
      </c>
      <c r="B646" s="1" t="n">
        <v>45762.63375</v>
      </c>
      <c r="C646" s="1" t="n">
        <v>46020</v>
      </c>
      <c r="D646" t="inlineStr">
        <is>
          <t>JÄMTLANDS LÄN</t>
        </is>
      </c>
      <c r="E646" t="inlineStr">
        <is>
          <t>ÖSTERSUND</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60349-2024</t>
        </is>
      </c>
      <c r="B647" s="1" t="n">
        <v>45643.42986111111</v>
      </c>
      <c r="C647" s="1" t="n">
        <v>46020</v>
      </c>
      <c r="D647" t="inlineStr">
        <is>
          <t>JÄMTLANDS LÄN</t>
        </is>
      </c>
      <c r="E647" t="inlineStr">
        <is>
          <t>ÖSTERSUND</t>
        </is>
      </c>
      <c r="F647" t="inlineStr">
        <is>
          <t>Sveaskog</t>
        </is>
      </c>
      <c r="G647" t="n">
        <v>16.6</v>
      </c>
      <c r="H647" t="n">
        <v>0</v>
      </c>
      <c r="I647" t="n">
        <v>0</v>
      </c>
      <c r="J647" t="n">
        <v>0</v>
      </c>
      <c r="K647" t="n">
        <v>0</v>
      </c>
      <c r="L647" t="n">
        <v>0</v>
      </c>
      <c r="M647" t="n">
        <v>0</v>
      </c>
      <c r="N647" t="n">
        <v>0</v>
      </c>
      <c r="O647" t="n">
        <v>0</v>
      </c>
      <c r="P647" t="n">
        <v>0</v>
      </c>
      <c r="Q647" t="n">
        <v>0</v>
      </c>
      <c r="R647" s="2" t="inlineStr"/>
    </row>
    <row r="648" ht="15" customHeight="1">
      <c r="A648" t="inlineStr">
        <is>
          <t>A 17574-2022</t>
        </is>
      </c>
      <c r="B648" s="1" t="n">
        <v>44679.92574074074</v>
      </c>
      <c r="C648" s="1" t="n">
        <v>46020</v>
      </c>
      <c r="D648" t="inlineStr">
        <is>
          <t>JÄMTLANDS LÄN</t>
        </is>
      </c>
      <c r="E648" t="inlineStr">
        <is>
          <t>ÖSTERSUND</t>
        </is>
      </c>
      <c r="G648" t="n">
        <v>0.8</v>
      </c>
      <c r="H648" t="n">
        <v>0</v>
      </c>
      <c r="I648" t="n">
        <v>0</v>
      </c>
      <c r="J648" t="n">
        <v>0</v>
      </c>
      <c r="K648" t="n">
        <v>0</v>
      </c>
      <c r="L648" t="n">
        <v>0</v>
      </c>
      <c r="M648" t="n">
        <v>0</v>
      </c>
      <c r="N648" t="n">
        <v>0</v>
      </c>
      <c r="O648" t="n">
        <v>0</v>
      </c>
      <c r="P648" t="n">
        <v>0</v>
      </c>
      <c r="Q648" t="n">
        <v>0</v>
      </c>
      <c r="R648" s="2" t="inlineStr"/>
    </row>
    <row r="649" ht="15" customHeight="1">
      <c r="A649" t="inlineStr">
        <is>
          <t>A 61332-2024</t>
        </is>
      </c>
      <c r="B649" s="1" t="n">
        <v>45646.35685185185</v>
      </c>
      <c r="C649" s="1" t="n">
        <v>46020</v>
      </c>
      <c r="D649" t="inlineStr">
        <is>
          <t>JÄMTLANDS LÄN</t>
        </is>
      </c>
      <c r="E649" t="inlineStr">
        <is>
          <t>ÖSTERSUND</t>
        </is>
      </c>
      <c r="G649" t="n">
        <v>3.2</v>
      </c>
      <c r="H649" t="n">
        <v>0</v>
      </c>
      <c r="I649" t="n">
        <v>0</v>
      </c>
      <c r="J649" t="n">
        <v>0</v>
      </c>
      <c r="K649" t="n">
        <v>0</v>
      </c>
      <c r="L649" t="n">
        <v>0</v>
      </c>
      <c r="M649" t="n">
        <v>0</v>
      </c>
      <c r="N649" t="n">
        <v>0</v>
      </c>
      <c r="O649" t="n">
        <v>0</v>
      </c>
      <c r="P649" t="n">
        <v>0</v>
      </c>
      <c r="Q649" t="n">
        <v>0</v>
      </c>
      <c r="R649" s="2" t="inlineStr"/>
    </row>
    <row r="650" ht="15" customHeight="1">
      <c r="A650" t="inlineStr">
        <is>
          <t>A 32998-2021</t>
        </is>
      </c>
      <c r="B650" s="1" t="n">
        <v>44375</v>
      </c>
      <c r="C650" s="1" t="n">
        <v>46020</v>
      </c>
      <c r="D650" t="inlineStr">
        <is>
          <t>JÄMTLANDS LÄN</t>
        </is>
      </c>
      <c r="E650" t="inlineStr">
        <is>
          <t>ÖSTERSUND</t>
        </is>
      </c>
      <c r="G650" t="n">
        <v>0.1</v>
      </c>
      <c r="H650" t="n">
        <v>0</v>
      </c>
      <c r="I650" t="n">
        <v>0</v>
      </c>
      <c r="J650" t="n">
        <v>0</v>
      </c>
      <c r="K650" t="n">
        <v>0</v>
      </c>
      <c r="L650" t="n">
        <v>0</v>
      </c>
      <c r="M650" t="n">
        <v>0</v>
      </c>
      <c r="N650" t="n">
        <v>0</v>
      </c>
      <c r="O650" t="n">
        <v>0</v>
      </c>
      <c r="P650" t="n">
        <v>0</v>
      </c>
      <c r="Q650" t="n">
        <v>0</v>
      </c>
      <c r="R650" s="2" t="inlineStr"/>
    </row>
    <row r="651" ht="15" customHeight="1">
      <c r="A651" t="inlineStr">
        <is>
          <t>A 51941-2023</t>
        </is>
      </c>
      <c r="B651" s="1" t="n">
        <v>45223</v>
      </c>
      <c r="C651" s="1" t="n">
        <v>46020</v>
      </c>
      <c r="D651" t="inlineStr">
        <is>
          <t>JÄMTLANDS LÄN</t>
        </is>
      </c>
      <c r="E651" t="inlineStr">
        <is>
          <t>ÖSTERSUND</t>
        </is>
      </c>
      <c r="G651" t="n">
        <v>4.6</v>
      </c>
      <c r="H651" t="n">
        <v>0</v>
      </c>
      <c r="I651" t="n">
        <v>0</v>
      </c>
      <c r="J651" t="n">
        <v>0</v>
      </c>
      <c r="K651" t="n">
        <v>0</v>
      </c>
      <c r="L651" t="n">
        <v>0</v>
      </c>
      <c r="M651" t="n">
        <v>0</v>
      </c>
      <c r="N651" t="n">
        <v>0</v>
      </c>
      <c r="O651" t="n">
        <v>0</v>
      </c>
      <c r="P651" t="n">
        <v>0</v>
      </c>
      <c r="Q651" t="n">
        <v>0</v>
      </c>
      <c r="R651" s="2" t="inlineStr"/>
    </row>
    <row r="652" ht="15" customHeight="1">
      <c r="A652" t="inlineStr">
        <is>
          <t>A 33831-2021</t>
        </is>
      </c>
      <c r="B652" s="1" t="n">
        <v>44378</v>
      </c>
      <c r="C652" s="1" t="n">
        <v>46020</v>
      </c>
      <c r="D652" t="inlineStr">
        <is>
          <t>JÄMTLANDS LÄN</t>
        </is>
      </c>
      <c r="E652" t="inlineStr">
        <is>
          <t>ÖSTERSUND</t>
        </is>
      </c>
      <c r="G652" t="n">
        <v>2.5</v>
      </c>
      <c r="H652" t="n">
        <v>0</v>
      </c>
      <c r="I652" t="n">
        <v>0</v>
      </c>
      <c r="J652" t="n">
        <v>0</v>
      </c>
      <c r="K652" t="n">
        <v>0</v>
      </c>
      <c r="L652" t="n">
        <v>0</v>
      </c>
      <c r="M652" t="n">
        <v>0</v>
      </c>
      <c r="N652" t="n">
        <v>0</v>
      </c>
      <c r="O652" t="n">
        <v>0</v>
      </c>
      <c r="P652" t="n">
        <v>0</v>
      </c>
      <c r="Q652" t="n">
        <v>0</v>
      </c>
      <c r="R652" s="2" t="inlineStr"/>
    </row>
    <row r="653" ht="15" customHeight="1">
      <c r="A653" t="inlineStr">
        <is>
          <t>A 51936-2023</t>
        </is>
      </c>
      <c r="B653" s="1" t="n">
        <v>45223.5036574074</v>
      </c>
      <c r="C653" s="1" t="n">
        <v>46020</v>
      </c>
      <c r="D653" t="inlineStr">
        <is>
          <t>JÄMTLANDS LÄN</t>
        </is>
      </c>
      <c r="E653" t="inlineStr">
        <is>
          <t>ÖSTERSUND</t>
        </is>
      </c>
      <c r="G653" t="n">
        <v>8.4</v>
      </c>
      <c r="H653" t="n">
        <v>0</v>
      </c>
      <c r="I653" t="n">
        <v>0</v>
      </c>
      <c r="J653" t="n">
        <v>0</v>
      </c>
      <c r="K653" t="n">
        <v>0</v>
      </c>
      <c r="L653" t="n">
        <v>0</v>
      </c>
      <c r="M653" t="n">
        <v>0</v>
      </c>
      <c r="N653" t="n">
        <v>0</v>
      </c>
      <c r="O653" t="n">
        <v>0</v>
      </c>
      <c r="P653" t="n">
        <v>0</v>
      </c>
      <c r="Q653" t="n">
        <v>0</v>
      </c>
      <c r="R653" s="2" t="inlineStr"/>
    </row>
    <row r="654" ht="15" customHeight="1">
      <c r="A654" t="inlineStr">
        <is>
          <t>A 54973-2023</t>
        </is>
      </c>
      <c r="B654" s="1" t="n">
        <v>45236.92776620371</v>
      </c>
      <c r="C654" s="1" t="n">
        <v>46020</v>
      </c>
      <c r="D654" t="inlineStr">
        <is>
          <t>JÄMTLANDS LÄN</t>
        </is>
      </c>
      <c r="E654" t="inlineStr">
        <is>
          <t>ÖSTERSUND</t>
        </is>
      </c>
      <c r="G654" t="n">
        <v>15.4</v>
      </c>
      <c r="H654" t="n">
        <v>0</v>
      </c>
      <c r="I654" t="n">
        <v>0</v>
      </c>
      <c r="J654" t="n">
        <v>0</v>
      </c>
      <c r="K654" t="n">
        <v>0</v>
      </c>
      <c r="L654" t="n">
        <v>0</v>
      </c>
      <c r="M654" t="n">
        <v>0</v>
      </c>
      <c r="N654" t="n">
        <v>0</v>
      </c>
      <c r="O654" t="n">
        <v>0</v>
      </c>
      <c r="P654" t="n">
        <v>0</v>
      </c>
      <c r="Q654" t="n">
        <v>0</v>
      </c>
      <c r="R654" s="2" t="inlineStr"/>
    </row>
    <row r="655" ht="15" customHeight="1">
      <c r="A655" t="inlineStr">
        <is>
          <t>A 28179-2024</t>
        </is>
      </c>
      <c r="B655" s="1" t="n">
        <v>45477.26746527778</v>
      </c>
      <c r="C655" s="1" t="n">
        <v>46020</v>
      </c>
      <c r="D655" t="inlineStr">
        <is>
          <t>JÄMTLANDS LÄN</t>
        </is>
      </c>
      <c r="E655" t="inlineStr">
        <is>
          <t>ÖSTERSUND</t>
        </is>
      </c>
      <c r="G655" t="n">
        <v>2.2</v>
      </c>
      <c r="H655" t="n">
        <v>0</v>
      </c>
      <c r="I655" t="n">
        <v>0</v>
      </c>
      <c r="J655" t="n">
        <v>0</v>
      </c>
      <c r="K655" t="n">
        <v>0</v>
      </c>
      <c r="L655" t="n">
        <v>0</v>
      </c>
      <c r="M655" t="n">
        <v>0</v>
      </c>
      <c r="N655" t="n">
        <v>0</v>
      </c>
      <c r="O655" t="n">
        <v>0</v>
      </c>
      <c r="P655" t="n">
        <v>0</v>
      </c>
      <c r="Q655" t="n">
        <v>0</v>
      </c>
      <c r="R655" s="2" t="inlineStr"/>
    </row>
    <row r="656" ht="15" customHeight="1">
      <c r="A656" t="inlineStr">
        <is>
          <t>A 13921-2023</t>
        </is>
      </c>
      <c r="B656" s="1" t="n">
        <v>45008</v>
      </c>
      <c r="C656" s="1" t="n">
        <v>46020</v>
      </c>
      <c r="D656" t="inlineStr">
        <is>
          <t>JÄMTLANDS LÄN</t>
        </is>
      </c>
      <c r="E656" t="inlineStr">
        <is>
          <t>ÖSTERSUND</t>
        </is>
      </c>
      <c r="G656" t="n">
        <v>0.3</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46020</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13738-2025</t>
        </is>
      </c>
      <c r="B658" s="1" t="n">
        <v>45737.40131944444</v>
      </c>
      <c r="C658" s="1" t="n">
        <v>46020</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18577-2025</t>
        </is>
      </c>
      <c r="B659" s="1" t="n">
        <v>45763</v>
      </c>
      <c r="C659" s="1" t="n">
        <v>46020</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18578-2025</t>
        </is>
      </c>
      <c r="B660" s="1" t="n">
        <v>45763</v>
      </c>
      <c r="C660" s="1" t="n">
        <v>46020</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59691-2024</t>
        </is>
      </c>
      <c r="B661" s="1" t="n">
        <v>45639.40684027778</v>
      </c>
      <c r="C661" s="1" t="n">
        <v>46020</v>
      </c>
      <c r="D661" t="inlineStr">
        <is>
          <t>JÄMTLANDS LÄN</t>
        </is>
      </c>
      <c r="E661" t="inlineStr">
        <is>
          <t>ÖSTERSUND</t>
        </is>
      </c>
      <c r="F661" t="inlineStr">
        <is>
          <t>SCA</t>
        </is>
      </c>
      <c r="G661" t="n">
        <v>15.9</v>
      </c>
      <c r="H661" t="n">
        <v>0</v>
      </c>
      <c r="I661" t="n">
        <v>0</v>
      </c>
      <c r="J661" t="n">
        <v>0</v>
      </c>
      <c r="K661" t="n">
        <v>0</v>
      </c>
      <c r="L661" t="n">
        <v>0</v>
      </c>
      <c r="M661" t="n">
        <v>0</v>
      </c>
      <c r="N661" t="n">
        <v>0</v>
      </c>
      <c r="O661" t="n">
        <v>0</v>
      </c>
      <c r="P661" t="n">
        <v>0</v>
      </c>
      <c r="Q661" t="n">
        <v>0</v>
      </c>
      <c r="R661" s="2" t="inlineStr"/>
    </row>
    <row r="662" ht="15" customHeight="1">
      <c r="A662" t="inlineStr">
        <is>
          <t>A 13655-2025</t>
        </is>
      </c>
      <c r="B662" s="1" t="n">
        <v>45736.71956018519</v>
      </c>
      <c r="C662" s="1" t="n">
        <v>46020</v>
      </c>
      <c r="D662" t="inlineStr">
        <is>
          <t>JÄMTLANDS LÄN</t>
        </is>
      </c>
      <c r="E662" t="inlineStr">
        <is>
          <t>ÖSTERSUND</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23563-2022</t>
        </is>
      </c>
      <c r="B663" s="1" t="n">
        <v>44721.47241898148</v>
      </c>
      <c r="C663" s="1" t="n">
        <v>46020</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27118-2023</t>
        </is>
      </c>
      <c r="B664" s="1" t="n">
        <v>45096</v>
      </c>
      <c r="C664" s="1" t="n">
        <v>46020</v>
      </c>
      <c r="D664" t="inlineStr">
        <is>
          <t>JÄMTLANDS LÄN</t>
        </is>
      </c>
      <c r="E664" t="inlineStr">
        <is>
          <t>ÖSTERSUND</t>
        </is>
      </c>
      <c r="G664" t="n">
        <v>1.2</v>
      </c>
      <c r="H664" t="n">
        <v>0</v>
      </c>
      <c r="I664" t="n">
        <v>0</v>
      </c>
      <c r="J664" t="n">
        <v>0</v>
      </c>
      <c r="K664" t="n">
        <v>0</v>
      </c>
      <c r="L664" t="n">
        <v>0</v>
      </c>
      <c r="M664" t="n">
        <v>0</v>
      </c>
      <c r="N664" t="n">
        <v>0</v>
      </c>
      <c r="O664" t="n">
        <v>0</v>
      </c>
      <c r="P664" t="n">
        <v>0</v>
      </c>
      <c r="Q664" t="n">
        <v>0</v>
      </c>
      <c r="R664" s="2" t="inlineStr"/>
    </row>
    <row r="665" ht="15" customHeight="1">
      <c r="A665" t="inlineStr">
        <is>
          <t>A 8972-2022</t>
        </is>
      </c>
      <c r="B665" s="1" t="n">
        <v>44614.91989583334</v>
      </c>
      <c r="C665" s="1" t="n">
        <v>46020</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10305-2023</t>
        </is>
      </c>
      <c r="B666" s="1" t="n">
        <v>44986</v>
      </c>
      <c r="C666" s="1" t="n">
        <v>46020</v>
      </c>
      <c r="D666" t="inlineStr">
        <is>
          <t>JÄMTLANDS LÄN</t>
        </is>
      </c>
      <c r="E666" t="inlineStr">
        <is>
          <t>ÖSTERSUND</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51865-2024</t>
        </is>
      </c>
      <c r="B667" s="1" t="n">
        <v>45607.55260416667</v>
      </c>
      <c r="C667" s="1" t="n">
        <v>46020</v>
      </c>
      <c r="D667" t="inlineStr">
        <is>
          <t>JÄMTLANDS LÄN</t>
        </is>
      </c>
      <c r="E667" t="inlineStr">
        <is>
          <t>ÖSTERSUND</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55235-2023</t>
        </is>
      </c>
      <c r="B668" s="1" t="n">
        <v>45231</v>
      </c>
      <c r="C668" s="1" t="n">
        <v>46020</v>
      </c>
      <c r="D668" t="inlineStr">
        <is>
          <t>JÄMTLANDS LÄN</t>
        </is>
      </c>
      <c r="E668" t="inlineStr">
        <is>
          <t>ÖSTERSUND</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7953-2025</t>
        </is>
      </c>
      <c r="B669" s="1" t="n">
        <v>45707.42392361111</v>
      </c>
      <c r="C669" s="1" t="n">
        <v>46020</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4350-2024</t>
        </is>
      </c>
      <c r="B670" s="1" t="n">
        <v>45324.93804398148</v>
      </c>
      <c r="C670" s="1" t="n">
        <v>46020</v>
      </c>
      <c r="D670" t="inlineStr">
        <is>
          <t>JÄMTLANDS LÄN</t>
        </is>
      </c>
      <c r="E670" t="inlineStr">
        <is>
          <t>ÖSTERSUND</t>
        </is>
      </c>
      <c r="F670" t="inlineStr">
        <is>
          <t>SCA</t>
        </is>
      </c>
      <c r="G670" t="n">
        <v>6</v>
      </c>
      <c r="H670" t="n">
        <v>0</v>
      </c>
      <c r="I670" t="n">
        <v>0</v>
      </c>
      <c r="J670" t="n">
        <v>0</v>
      </c>
      <c r="K670" t="n">
        <v>0</v>
      </c>
      <c r="L670" t="n">
        <v>0</v>
      </c>
      <c r="M670" t="n">
        <v>0</v>
      </c>
      <c r="N670" t="n">
        <v>0</v>
      </c>
      <c r="O670" t="n">
        <v>0</v>
      </c>
      <c r="P670" t="n">
        <v>0</v>
      </c>
      <c r="Q670" t="n">
        <v>0</v>
      </c>
      <c r="R670" s="2" t="inlineStr"/>
    </row>
    <row r="671" ht="15" customHeight="1">
      <c r="A671" t="inlineStr">
        <is>
          <t>A 2756-2024</t>
        </is>
      </c>
      <c r="B671" s="1" t="n">
        <v>45314.58785879629</v>
      </c>
      <c r="C671" s="1" t="n">
        <v>46020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70256-2021</t>
        </is>
      </c>
      <c r="B672" s="1" t="n">
        <v>44533</v>
      </c>
      <c r="C672" s="1" t="n">
        <v>46020</v>
      </c>
      <c r="D672" t="inlineStr">
        <is>
          <t>JÄMTLANDS LÄN</t>
        </is>
      </c>
      <c r="E672" t="inlineStr">
        <is>
          <t>ÖSTERSUND</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4136-2023</t>
        </is>
      </c>
      <c r="B673" s="1" t="n">
        <v>44952</v>
      </c>
      <c r="C673" s="1" t="n">
        <v>46020</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1893-2023</t>
        </is>
      </c>
      <c r="B674" s="1" t="n">
        <v>44937</v>
      </c>
      <c r="C674" s="1" t="n">
        <v>46020</v>
      </c>
      <c r="D674" t="inlineStr">
        <is>
          <t>JÄMTLANDS LÄN</t>
        </is>
      </c>
      <c r="E674" t="inlineStr">
        <is>
          <t>ÖSTERSUND</t>
        </is>
      </c>
      <c r="G674" t="n">
        <v>11</v>
      </c>
      <c r="H674" t="n">
        <v>0</v>
      </c>
      <c r="I674" t="n">
        <v>0</v>
      </c>
      <c r="J674" t="n">
        <v>0</v>
      </c>
      <c r="K674" t="n">
        <v>0</v>
      </c>
      <c r="L674" t="n">
        <v>0</v>
      </c>
      <c r="M674" t="n">
        <v>0</v>
      </c>
      <c r="N674" t="n">
        <v>0</v>
      </c>
      <c r="O674" t="n">
        <v>0</v>
      </c>
      <c r="P674" t="n">
        <v>0</v>
      </c>
      <c r="Q674" t="n">
        <v>0</v>
      </c>
      <c r="R674" s="2" t="inlineStr"/>
    </row>
    <row r="675" ht="15" customHeight="1">
      <c r="A675" t="inlineStr">
        <is>
          <t>A 57556-2024</t>
        </is>
      </c>
      <c r="B675" s="1" t="n">
        <v>45630</v>
      </c>
      <c r="C675" s="1" t="n">
        <v>46020</v>
      </c>
      <c r="D675" t="inlineStr">
        <is>
          <t>JÄMTLANDS LÄN</t>
        </is>
      </c>
      <c r="E675" t="inlineStr">
        <is>
          <t>ÖSTERSUND</t>
        </is>
      </c>
      <c r="G675" t="n">
        <v>5.5</v>
      </c>
      <c r="H675" t="n">
        <v>0</v>
      </c>
      <c r="I675" t="n">
        <v>0</v>
      </c>
      <c r="J675" t="n">
        <v>0</v>
      </c>
      <c r="K675" t="n">
        <v>0</v>
      </c>
      <c r="L675" t="n">
        <v>0</v>
      </c>
      <c r="M675" t="n">
        <v>0</v>
      </c>
      <c r="N675" t="n">
        <v>0</v>
      </c>
      <c r="O675" t="n">
        <v>0</v>
      </c>
      <c r="P675" t="n">
        <v>0</v>
      </c>
      <c r="Q675" t="n">
        <v>0</v>
      </c>
      <c r="R675" s="2" t="inlineStr"/>
    </row>
    <row r="676" ht="15" customHeight="1">
      <c r="A676" t="inlineStr">
        <is>
          <t>A 19566-2024</t>
        </is>
      </c>
      <c r="B676" s="1" t="n">
        <v>45429.92313657407</v>
      </c>
      <c r="C676" s="1" t="n">
        <v>46020</v>
      </c>
      <c r="D676" t="inlineStr">
        <is>
          <t>JÄMTLANDS LÄN</t>
        </is>
      </c>
      <c r="E676" t="inlineStr">
        <is>
          <t>ÖSTERSUND</t>
        </is>
      </c>
      <c r="G676" t="n">
        <v>0</v>
      </c>
      <c r="H676" t="n">
        <v>0</v>
      </c>
      <c r="I676" t="n">
        <v>0</v>
      </c>
      <c r="J676" t="n">
        <v>0</v>
      </c>
      <c r="K676" t="n">
        <v>0</v>
      </c>
      <c r="L676" t="n">
        <v>0</v>
      </c>
      <c r="M676" t="n">
        <v>0</v>
      </c>
      <c r="N676" t="n">
        <v>0</v>
      </c>
      <c r="O676" t="n">
        <v>0</v>
      </c>
      <c r="P676" t="n">
        <v>0</v>
      </c>
      <c r="Q676" t="n">
        <v>0</v>
      </c>
      <c r="R676" s="2" t="inlineStr"/>
    </row>
    <row r="677" ht="15" customHeight="1">
      <c r="A677" t="inlineStr">
        <is>
          <t>A 9552-2025</t>
        </is>
      </c>
      <c r="B677" s="1" t="n">
        <v>45715.59545138889</v>
      </c>
      <c r="C677" s="1" t="n">
        <v>46020</v>
      </c>
      <c r="D677" t="inlineStr">
        <is>
          <t>JÄMTLANDS LÄN</t>
        </is>
      </c>
      <c r="E677" t="inlineStr">
        <is>
          <t>ÖSTERSUND</t>
        </is>
      </c>
      <c r="G677" t="n">
        <v>1.6</v>
      </c>
      <c r="H677" t="n">
        <v>0</v>
      </c>
      <c r="I677" t="n">
        <v>0</v>
      </c>
      <c r="J677" t="n">
        <v>0</v>
      </c>
      <c r="K677" t="n">
        <v>0</v>
      </c>
      <c r="L677" t="n">
        <v>0</v>
      </c>
      <c r="M677" t="n">
        <v>0</v>
      </c>
      <c r="N677" t="n">
        <v>0</v>
      </c>
      <c r="O677" t="n">
        <v>0</v>
      </c>
      <c r="P677" t="n">
        <v>0</v>
      </c>
      <c r="Q677" t="n">
        <v>0</v>
      </c>
      <c r="R677" s="2" t="inlineStr"/>
    </row>
    <row r="678" ht="15" customHeight="1">
      <c r="A678" t="inlineStr">
        <is>
          <t>A 13024-2022</t>
        </is>
      </c>
      <c r="B678" s="1" t="n">
        <v>44643</v>
      </c>
      <c r="C678" s="1" t="n">
        <v>46020</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7233-2025</t>
        </is>
      </c>
      <c r="B679" s="1" t="n">
        <v>45702.51765046296</v>
      </c>
      <c r="C679" s="1" t="n">
        <v>46020</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4966-2025</t>
        </is>
      </c>
      <c r="B680" s="1" t="n">
        <v>45690.63628472222</v>
      </c>
      <c r="C680" s="1" t="n">
        <v>46020</v>
      </c>
      <c r="D680" t="inlineStr">
        <is>
          <t>JÄMTLANDS LÄN</t>
        </is>
      </c>
      <c r="E680" t="inlineStr">
        <is>
          <t>ÖSTERSUND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2615-2024</t>
        </is>
      </c>
      <c r="B681" s="1" t="n">
        <v>45313</v>
      </c>
      <c r="C681" s="1" t="n">
        <v>46020</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33002-2021</t>
        </is>
      </c>
      <c r="B682" s="1" t="n">
        <v>44375</v>
      </c>
      <c r="C682" s="1" t="n">
        <v>46020</v>
      </c>
      <c r="D682" t="inlineStr">
        <is>
          <t>JÄMTLANDS LÄN</t>
        </is>
      </c>
      <c r="E682" t="inlineStr">
        <is>
          <t>ÖSTERSUND</t>
        </is>
      </c>
      <c r="G682" t="n">
        <v>0.2</v>
      </c>
      <c r="H682" t="n">
        <v>0</v>
      </c>
      <c r="I682" t="n">
        <v>0</v>
      </c>
      <c r="J682" t="n">
        <v>0</v>
      </c>
      <c r="K682" t="n">
        <v>0</v>
      </c>
      <c r="L682" t="n">
        <v>0</v>
      </c>
      <c r="M682" t="n">
        <v>0</v>
      </c>
      <c r="N682" t="n">
        <v>0</v>
      </c>
      <c r="O682" t="n">
        <v>0</v>
      </c>
      <c r="P682" t="n">
        <v>0</v>
      </c>
      <c r="Q682" t="n">
        <v>0</v>
      </c>
      <c r="R682" s="2" t="inlineStr"/>
    </row>
    <row r="683" ht="15" customHeight="1">
      <c r="A683" t="inlineStr">
        <is>
          <t>A 14542-2025</t>
        </is>
      </c>
      <c r="B683" s="1" t="n">
        <v>45741.68631944444</v>
      </c>
      <c r="C683" s="1" t="n">
        <v>46020</v>
      </c>
      <c r="D683" t="inlineStr">
        <is>
          <t>JÄMTLANDS LÄN</t>
        </is>
      </c>
      <c r="E683" t="inlineStr">
        <is>
          <t>ÖSTERSUND</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24786-2024</t>
        </is>
      </c>
      <c r="B684" s="1" t="n">
        <v>45460.81277777778</v>
      </c>
      <c r="C684" s="1" t="n">
        <v>46020</v>
      </c>
      <c r="D684" t="inlineStr">
        <is>
          <t>JÄMTLANDS LÄN</t>
        </is>
      </c>
      <c r="E684" t="inlineStr">
        <is>
          <t>ÖSTERSUND</t>
        </is>
      </c>
      <c r="G684" t="n">
        <v>0.1</v>
      </c>
      <c r="H684" t="n">
        <v>0</v>
      </c>
      <c r="I684" t="n">
        <v>0</v>
      </c>
      <c r="J684" t="n">
        <v>0</v>
      </c>
      <c r="K684" t="n">
        <v>0</v>
      </c>
      <c r="L684" t="n">
        <v>0</v>
      </c>
      <c r="M684" t="n">
        <v>0</v>
      </c>
      <c r="N684" t="n">
        <v>0</v>
      </c>
      <c r="O684" t="n">
        <v>0</v>
      </c>
      <c r="P684" t="n">
        <v>0</v>
      </c>
      <c r="Q684" t="n">
        <v>0</v>
      </c>
      <c r="R684" s="2" t="inlineStr"/>
    </row>
    <row r="685" ht="15" customHeight="1">
      <c r="A685" t="inlineStr">
        <is>
          <t>A 53660-2024</t>
        </is>
      </c>
      <c r="B685" s="1" t="n">
        <v>45615.31297453704</v>
      </c>
      <c r="C685" s="1" t="n">
        <v>46020</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16682-2023</t>
        </is>
      </c>
      <c r="B686" s="1" t="n">
        <v>45028</v>
      </c>
      <c r="C686" s="1" t="n">
        <v>46020</v>
      </c>
      <c r="D686" t="inlineStr">
        <is>
          <t>JÄMTLANDS LÄN</t>
        </is>
      </c>
      <c r="E686" t="inlineStr">
        <is>
          <t>ÖSTERSUND</t>
        </is>
      </c>
      <c r="G686" t="n">
        <v>7.9</v>
      </c>
      <c r="H686" t="n">
        <v>0</v>
      </c>
      <c r="I686" t="n">
        <v>0</v>
      </c>
      <c r="J686" t="n">
        <v>0</v>
      </c>
      <c r="K686" t="n">
        <v>0</v>
      </c>
      <c r="L686" t="n">
        <v>0</v>
      </c>
      <c r="M686" t="n">
        <v>0</v>
      </c>
      <c r="N686" t="n">
        <v>0</v>
      </c>
      <c r="O686" t="n">
        <v>0</v>
      </c>
      <c r="P686" t="n">
        <v>0</v>
      </c>
      <c r="Q686" t="n">
        <v>0</v>
      </c>
      <c r="R686" s="2" t="inlineStr"/>
    </row>
    <row r="687" ht="15" customHeight="1">
      <c r="A687" t="inlineStr">
        <is>
          <t>A 1670-2024</t>
        </is>
      </c>
      <c r="B687" s="1" t="n">
        <v>45306</v>
      </c>
      <c r="C687" s="1" t="n">
        <v>46020</v>
      </c>
      <c r="D687" t="inlineStr">
        <is>
          <t>JÄMTLANDS LÄN</t>
        </is>
      </c>
      <c r="E687" t="inlineStr">
        <is>
          <t>ÖSTERSUND</t>
        </is>
      </c>
      <c r="G687" t="n">
        <v>1.2</v>
      </c>
      <c r="H687" t="n">
        <v>0</v>
      </c>
      <c r="I687" t="n">
        <v>0</v>
      </c>
      <c r="J687" t="n">
        <v>0</v>
      </c>
      <c r="K687" t="n">
        <v>0</v>
      </c>
      <c r="L687" t="n">
        <v>0</v>
      </c>
      <c r="M687" t="n">
        <v>0</v>
      </c>
      <c r="N687" t="n">
        <v>0</v>
      </c>
      <c r="O687" t="n">
        <v>0</v>
      </c>
      <c r="P687" t="n">
        <v>0</v>
      </c>
      <c r="Q687" t="n">
        <v>0</v>
      </c>
      <c r="R687" s="2" t="inlineStr"/>
    </row>
    <row r="688" ht="15" customHeight="1">
      <c r="A688" t="inlineStr">
        <is>
          <t>A 56111-2022</t>
        </is>
      </c>
      <c r="B688" s="1" t="n">
        <v>44889</v>
      </c>
      <c r="C688" s="1" t="n">
        <v>46020</v>
      </c>
      <c r="D688" t="inlineStr">
        <is>
          <t>JÄMTLANDS LÄN</t>
        </is>
      </c>
      <c r="E688" t="inlineStr">
        <is>
          <t>ÖSTERSUND</t>
        </is>
      </c>
      <c r="G688" t="n">
        <v>2.5</v>
      </c>
      <c r="H688" t="n">
        <v>0</v>
      </c>
      <c r="I688" t="n">
        <v>0</v>
      </c>
      <c r="J688" t="n">
        <v>0</v>
      </c>
      <c r="K688" t="n">
        <v>0</v>
      </c>
      <c r="L688" t="n">
        <v>0</v>
      </c>
      <c r="M688" t="n">
        <v>0</v>
      </c>
      <c r="N688" t="n">
        <v>0</v>
      </c>
      <c r="O688" t="n">
        <v>0</v>
      </c>
      <c r="P688" t="n">
        <v>0</v>
      </c>
      <c r="Q688" t="n">
        <v>0</v>
      </c>
      <c r="R688" s="2" t="inlineStr"/>
    </row>
    <row r="689" ht="15" customHeight="1">
      <c r="A689" t="inlineStr">
        <is>
          <t>A 14867-2025</t>
        </is>
      </c>
      <c r="B689" s="1" t="n">
        <v>45743.44207175926</v>
      </c>
      <c r="C689" s="1" t="n">
        <v>46020</v>
      </c>
      <c r="D689" t="inlineStr">
        <is>
          <t>JÄMTLANDS LÄN</t>
        </is>
      </c>
      <c r="E689" t="inlineStr">
        <is>
          <t>ÖSTERSUND</t>
        </is>
      </c>
      <c r="G689" t="n">
        <v>3.3</v>
      </c>
      <c r="H689" t="n">
        <v>0</v>
      </c>
      <c r="I689" t="n">
        <v>0</v>
      </c>
      <c r="J689" t="n">
        <v>0</v>
      </c>
      <c r="K689" t="n">
        <v>0</v>
      </c>
      <c r="L689" t="n">
        <v>0</v>
      </c>
      <c r="M689" t="n">
        <v>0</v>
      </c>
      <c r="N689" t="n">
        <v>0</v>
      </c>
      <c r="O689" t="n">
        <v>0</v>
      </c>
      <c r="P689" t="n">
        <v>0</v>
      </c>
      <c r="Q689" t="n">
        <v>0</v>
      </c>
      <c r="R689" s="2" t="inlineStr"/>
    </row>
    <row r="690" ht="15" customHeight="1">
      <c r="A690" t="inlineStr">
        <is>
          <t>A 5544-2025</t>
        </is>
      </c>
      <c r="B690" s="1" t="n">
        <v>45693</v>
      </c>
      <c r="C690" s="1" t="n">
        <v>46020</v>
      </c>
      <c r="D690" t="inlineStr">
        <is>
          <t>JÄMTLANDS LÄN</t>
        </is>
      </c>
      <c r="E690" t="inlineStr">
        <is>
          <t>ÖSTERSUND</t>
        </is>
      </c>
      <c r="G690" t="n">
        <v>5.8</v>
      </c>
      <c r="H690" t="n">
        <v>0</v>
      </c>
      <c r="I690" t="n">
        <v>0</v>
      </c>
      <c r="J690" t="n">
        <v>0</v>
      </c>
      <c r="K690" t="n">
        <v>0</v>
      </c>
      <c r="L690" t="n">
        <v>0</v>
      </c>
      <c r="M690" t="n">
        <v>0</v>
      </c>
      <c r="N690" t="n">
        <v>0</v>
      </c>
      <c r="O690" t="n">
        <v>0</v>
      </c>
      <c r="P690" t="n">
        <v>0</v>
      </c>
      <c r="Q690" t="n">
        <v>0</v>
      </c>
      <c r="R690" s="2" t="inlineStr"/>
    </row>
    <row r="691" ht="15" customHeight="1">
      <c r="A691" t="inlineStr">
        <is>
          <t>A 4707-2024</t>
        </is>
      </c>
      <c r="B691" s="1" t="n">
        <v>45328</v>
      </c>
      <c r="C691" s="1" t="n">
        <v>46020</v>
      </c>
      <c r="D691" t="inlineStr">
        <is>
          <t>JÄMTLANDS LÄN</t>
        </is>
      </c>
      <c r="E691" t="inlineStr">
        <is>
          <t>ÖSTERSUND</t>
        </is>
      </c>
      <c r="G691" t="n">
        <v>0.7</v>
      </c>
      <c r="H691" t="n">
        <v>0</v>
      </c>
      <c r="I691" t="n">
        <v>0</v>
      </c>
      <c r="J691" t="n">
        <v>0</v>
      </c>
      <c r="K691" t="n">
        <v>0</v>
      </c>
      <c r="L691" t="n">
        <v>0</v>
      </c>
      <c r="M691" t="n">
        <v>0</v>
      </c>
      <c r="N691" t="n">
        <v>0</v>
      </c>
      <c r="O691" t="n">
        <v>0</v>
      </c>
      <c r="P691" t="n">
        <v>0</v>
      </c>
      <c r="Q691" t="n">
        <v>0</v>
      </c>
      <c r="R691" s="2" t="inlineStr"/>
    </row>
    <row r="692" ht="15" customHeight="1">
      <c r="A692" t="inlineStr">
        <is>
          <t>A 231-2022</t>
        </is>
      </c>
      <c r="B692" s="1" t="n">
        <v>44564.93909722222</v>
      </c>
      <c r="C692" s="1" t="n">
        <v>46020</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58952-2024</t>
        </is>
      </c>
      <c r="B693" s="1" t="n">
        <v>45636.5674537037</v>
      </c>
      <c r="C693" s="1" t="n">
        <v>46020</v>
      </c>
      <c r="D693" t="inlineStr">
        <is>
          <t>JÄMTLANDS LÄN</t>
        </is>
      </c>
      <c r="E693" t="inlineStr">
        <is>
          <t>ÖSTERSUND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46748-2023</t>
        </is>
      </c>
      <c r="B694" s="1" t="n">
        <v>45198</v>
      </c>
      <c r="C694" s="1" t="n">
        <v>46020</v>
      </c>
      <c r="D694" t="inlineStr">
        <is>
          <t>JÄMTLANDS LÄN</t>
        </is>
      </c>
      <c r="E694" t="inlineStr">
        <is>
          <t>ÖSTERSUND</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46020</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5341-2025</t>
        </is>
      </c>
      <c r="B696" s="1" t="n">
        <v>45692.55256944444</v>
      </c>
      <c r="C696" s="1" t="n">
        <v>46020</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21060-2025</t>
        </is>
      </c>
      <c r="B697" s="1" t="n">
        <v>45777.58025462963</v>
      </c>
      <c r="C697" s="1" t="n">
        <v>46020</v>
      </c>
      <c r="D697" t="inlineStr">
        <is>
          <t>JÄMTLANDS LÄN</t>
        </is>
      </c>
      <c r="E697" t="inlineStr">
        <is>
          <t>ÖSTERSUND</t>
        </is>
      </c>
      <c r="G697" t="n">
        <v>2.9</v>
      </c>
      <c r="H697" t="n">
        <v>0</v>
      </c>
      <c r="I697" t="n">
        <v>0</v>
      </c>
      <c r="J697" t="n">
        <v>0</v>
      </c>
      <c r="K697" t="n">
        <v>0</v>
      </c>
      <c r="L697" t="n">
        <v>0</v>
      </c>
      <c r="M697" t="n">
        <v>0</v>
      </c>
      <c r="N697" t="n">
        <v>0</v>
      </c>
      <c r="O697" t="n">
        <v>0</v>
      </c>
      <c r="P697" t="n">
        <v>0</v>
      </c>
      <c r="Q697" t="n">
        <v>0</v>
      </c>
      <c r="R697" s="2" t="inlineStr"/>
    </row>
    <row r="698" ht="15" customHeight="1">
      <c r="A698" t="inlineStr">
        <is>
          <t>A 21094-2025</t>
        </is>
      </c>
      <c r="B698" s="1" t="n">
        <v>45777.62665509259</v>
      </c>
      <c r="C698" s="1" t="n">
        <v>46020</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21237-2025</t>
        </is>
      </c>
      <c r="B699" s="1" t="n">
        <v>45779</v>
      </c>
      <c r="C699" s="1" t="n">
        <v>46020</v>
      </c>
      <c r="D699" t="inlineStr">
        <is>
          <t>JÄMTLANDS LÄN</t>
        </is>
      </c>
      <c r="E699" t="inlineStr">
        <is>
          <t>ÖSTERSUND</t>
        </is>
      </c>
      <c r="G699" t="n">
        <v>0.4</v>
      </c>
      <c r="H699" t="n">
        <v>0</v>
      </c>
      <c r="I699" t="n">
        <v>0</v>
      </c>
      <c r="J699" t="n">
        <v>0</v>
      </c>
      <c r="K699" t="n">
        <v>0</v>
      </c>
      <c r="L699" t="n">
        <v>0</v>
      </c>
      <c r="M699" t="n">
        <v>0</v>
      </c>
      <c r="N699" t="n">
        <v>0</v>
      </c>
      <c r="O699" t="n">
        <v>0</v>
      </c>
      <c r="P699" t="n">
        <v>0</v>
      </c>
      <c r="Q699" t="n">
        <v>0</v>
      </c>
      <c r="R699" s="2" t="inlineStr"/>
    </row>
    <row r="700" ht="15" customHeight="1">
      <c r="A700" t="inlineStr">
        <is>
          <t>A 16812-2025</t>
        </is>
      </c>
      <c r="B700" s="1" t="n">
        <v>45754</v>
      </c>
      <c r="C700" s="1" t="n">
        <v>46020</v>
      </c>
      <c r="D700" t="inlineStr">
        <is>
          <t>JÄMTLANDS LÄN</t>
        </is>
      </c>
      <c r="E700" t="inlineStr">
        <is>
          <t>ÖSTERSUND</t>
        </is>
      </c>
      <c r="F700" t="inlineStr">
        <is>
          <t>Övriga statliga verk och myndigheter</t>
        </is>
      </c>
      <c r="G700" t="n">
        <v>3.7</v>
      </c>
      <c r="H700" t="n">
        <v>0</v>
      </c>
      <c r="I700" t="n">
        <v>0</v>
      </c>
      <c r="J700" t="n">
        <v>0</v>
      </c>
      <c r="K700" t="n">
        <v>0</v>
      </c>
      <c r="L700" t="n">
        <v>0</v>
      </c>
      <c r="M700" t="n">
        <v>0</v>
      </c>
      <c r="N700" t="n">
        <v>0</v>
      </c>
      <c r="O700" t="n">
        <v>0</v>
      </c>
      <c r="P700" t="n">
        <v>0</v>
      </c>
      <c r="Q700" t="n">
        <v>0</v>
      </c>
      <c r="R700" s="2" t="inlineStr"/>
    </row>
    <row r="701" ht="15" customHeight="1">
      <c r="A701" t="inlineStr">
        <is>
          <t>A 14848-2025</t>
        </is>
      </c>
      <c r="B701" s="1" t="n">
        <v>45743.39528935185</v>
      </c>
      <c r="C701" s="1" t="n">
        <v>46020</v>
      </c>
      <c r="D701" t="inlineStr">
        <is>
          <t>JÄMTLANDS LÄN</t>
        </is>
      </c>
      <c r="E701" t="inlineStr">
        <is>
          <t>ÖSTERSUND</t>
        </is>
      </c>
      <c r="G701" t="n">
        <v>12.1</v>
      </c>
      <c r="H701" t="n">
        <v>0</v>
      </c>
      <c r="I701" t="n">
        <v>0</v>
      </c>
      <c r="J701" t="n">
        <v>0</v>
      </c>
      <c r="K701" t="n">
        <v>0</v>
      </c>
      <c r="L701" t="n">
        <v>0</v>
      </c>
      <c r="M701" t="n">
        <v>0</v>
      </c>
      <c r="N701" t="n">
        <v>0</v>
      </c>
      <c r="O701" t="n">
        <v>0</v>
      </c>
      <c r="P701" t="n">
        <v>0</v>
      </c>
      <c r="Q701" t="n">
        <v>0</v>
      </c>
      <c r="R701" s="2" t="inlineStr"/>
    </row>
    <row r="702" ht="15" customHeight="1">
      <c r="A702" t="inlineStr">
        <is>
          <t>A 16725-2025</t>
        </is>
      </c>
      <c r="B702" s="1" t="n">
        <v>45754</v>
      </c>
      <c r="C702" s="1" t="n">
        <v>46020</v>
      </c>
      <c r="D702" t="inlineStr">
        <is>
          <t>JÄMTLANDS LÄN</t>
        </is>
      </c>
      <c r="E702" t="inlineStr">
        <is>
          <t>ÖSTERSUND</t>
        </is>
      </c>
      <c r="F702" t="inlineStr">
        <is>
          <t>Övriga statliga verk och myndigheter</t>
        </is>
      </c>
      <c r="G702" t="n">
        <v>3.7</v>
      </c>
      <c r="H702" t="n">
        <v>0</v>
      </c>
      <c r="I702" t="n">
        <v>0</v>
      </c>
      <c r="J702" t="n">
        <v>0</v>
      </c>
      <c r="K702" t="n">
        <v>0</v>
      </c>
      <c r="L702" t="n">
        <v>0</v>
      </c>
      <c r="M702" t="n">
        <v>0</v>
      </c>
      <c r="N702" t="n">
        <v>0</v>
      </c>
      <c r="O702" t="n">
        <v>0</v>
      </c>
      <c r="P702" t="n">
        <v>0</v>
      </c>
      <c r="Q702" t="n">
        <v>0</v>
      </c>
      <c r="R702" s="2" t="inlineStr"/>
    </row>
    <row r="703" ht="15" customHeight="1">
      <c r="A703" t="inlineStr">
        <is>
          <t>A 4480-2025</t>
        </is>
      </c>
      <c r="B703" s="1" t="n">
        <v>45686.64175925926</v>
      </c>
      <c r="C703" s="1" t="n">
        <v>46020</v>
      </c>
      <c r="D703" t="inlineStr">
        <is>
          <t>JÄMTLANDS LÄN</t>
        </is>
      </c>
      <c r="E703" t="inlineStr">
        <is>
          <t>ÖSTERSUND</t>
        </is>
      </c>
      <c r="G703" t="n">
        <v>27.7</v>
      </c>
      <c r="H703" t="n">
        <v>0</v>
      </c>
      <c r="I703" t="n">
        <v>0</v>
      </c>
      <c r="J703" t="n">
        <v>0</v>
      </c>
      <c r="K703" t="n">
        <v>0</v>
      </c>
      <c r="L703" t="n">
        <v>0</v>
      </c>
      <c r="M703" t="n">
        <v>0</v>
      </c>
      <c r="N703" t="n">
        <v>0</v>
      </c>
      <c r="O703" t="n">
        <v>0</v>
      </c>
      <c r="P703" t="n">
        <v>0</v>
      </c>
      <c r="Q703" t="n">
        <v>0</v>
      </c>
      <c r="R703" s="2" t="inlineStr"/>
    </row>
    <row r="704" ht="15" customHeight="1">
      <c r="A704" t="inlineStr">
        <is>
          <t>A 22612-2025</t>
        </is>
      </c>
      <c r="B704" s="1" t="n">
        <v>45789.42538194444</v>
      </c>
      <c r="C704" s="1" t="n">
        <v>46020</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17948-2025</t>
        </is>
      </c>
      <c r="B705" s="1" t="n">
        <v>45760.66995370371</v>
      </c>
      <c r="C705" s="1" t="n">
        <v>46020</v>
      </c>
      <c r="D705" t="inlineStr">
        <is>
          <t>JÄMTLANDS LÄN</t>
        </is>
      </c>
      <c r="E705" t="inlineStr">
        <is>
          <t>ÖSTERSUND</t>
        </is>
      </c>
      <c r="G705" t="n">
        <v>3.9</v>
      </c>
      <c r="H705" t="n">
        <v>0</v>
      </c>
      <c r="I705" t="n">
        <v>0</v>
      </c>
      <c r="J705" t="n">
        <v>0</v>
      </c>
      <c r="K705" t="n">
        <v>0</v>
      </c>
      <c r="L705" t="n">
        <v>0</v>
      </c>
      <c r="M705" t="n">
        <v>0</v>
      </c>
      <c r="N705" t="n">
        <v>0</v>
      </c>
      <c r="O705" t="n">
        <v>0</v>
      </c>
      <c r="P705" t="n">
        <v>0</v>
      </c>
      <c r="Q705" t="n">
        <v>0</v>
      </c>
      <c r="R705" s="2" t="inlineStr"/>
    </row>
    <row r="706" ht="15" customHeight="1">
      <c r="A706" t="inlineStr">
        <is>
          <t>A 4520-2025</t>
        </is>
      </c>
      <c r="B706" s="1" t="n">
        <v>45686.92384259259</v>
      </c>
      <c r="C706" s="1" t="n">
        <v>46020</v>
      </c>
      <c r="D706" t="inlineStr">
        <is>
          <t>JÄMTLANDS LÄN</t>
        </is>
      </c>
      <c r="E706" t="inlineStr">
        <is>
          <t>ÖSTERSUND</t>
        </is>
      </c>
      <c r="G706" t="n">
        <v>15.2</v>
      </c>
      <c r="H706" t="n">
        <v>0</v>
      </c>
      <c r="I706" t="n">
        <v>0</v>
      </c>
      <c r="J706" t="n">
        <v>0</v>
      </c>
      <c r="K706" t="n">
        <v>0</v>
      </c>
      <c r="L706" t="n">
        <v>0</v>
      </c>
      <c r="M706" t="n">
        <v>0</v>
      </c>
      <c r="N706" t="n">
        <v>0</v>
      </c>
      <c r="O706" t="n">
        <v>0</v>
      </c>
      <c r="P706" t="n">
        <v>0</v>
      </c>
      <c r="Q706" t="n">
        <v>0</v>
      </c>
      <c r="R706" s="2" t="inlineStr"/>
    </row>
    <row r="707" ht="15" customHeight="1">
      <c r="A707" t="inlineStr">
        <is>
          <t>A 4523-2025</t>
        </is>
      </c>
      <c r="B707" s="1" t="n">
        <v>45686.92864583333</v>
      </c>
      <c r="C707" s="1" t="n">
        <v>46020</v>
      </c>
      <c r="D707" t="inlineStr">
        <is>
          <t>JÄMTLANDS LÄN</t>
        </is>
      </c>
      <c r="E707" t="inlineStr">
        <is>
          <t>ÖSTERSUND</t>
        </is>
      </c>
      <c r="G707" t="n">
        <v>15.2</v>
      </c>
      <c r="H707" t="n">
        <v>0</v>
      </c>
      <c r="I707" t="n">
        <v>0</v>
      </c>
      <c r="J707" t="n">
        <v>0</v>
      </c>
      <c r="K707" t="n">
        <v>0</v>
      </c>
      <c r="L707" t="n">
        <v>0</v>
      </c>
      <c r="M707" t="n">
        <v>0</v>
      </c>
      <c r="N707" t="n">
        <v>0</v>
      </c>
      <c r="O707" t="n">
        <v>0</v>
      </c>
      <c r="P707" t="n">
        <v>0</v>
      </c>
      <c r="Q707" t="n">
        <v>0</v>
      </c>
      <c r="R707" s="2" t="inlineStr"/>
    </row>
    <row r="708" ht="15" customHeight="1">
      <c r="A708" t="inlineStr">
        <is>
          <t>A 22713-2025</t>
        </is>
      </c>
      <c r="B708" s="1" t="n">
        <v>45789.56414351852</v>
      </c>
      <c r="C708" s="1" t="n">
        <v>46020</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22822-2025</t>
        </is>
      </c>
      <c r="B709" s="1" t="n">
        <v>45789</v>
      </c>
      <c r="C709" s="1" t="n">
        <v>46020</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c r="A710" t="inlineStr">
        <is>
          <t>A 22384-2025</t>
        </is>
      </c>
      <c r="B710" s="1" t="n">
        <v>45786</v>
      </c>
      <c r="C710" s="1" t="n">
        <v>46020</v>
      </c>
      <c r="D710" t="inlineStr">
        <is>
          <t>JÄMTLANDS LÄN</t>
        </is>
      </c>
      <c r="E710" t="inlineStr">
        <is>
          <t>ÖSTERSUND</t>
        </is>
      </c>
      <c r="G710" t="n">
        <v>1.4</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2025-12-29T09:31:30Z</dcterms:created>
  <dcterms:modified xmlns:dcterms="http://purl.org/dc/terms/" xmlns:xsi="http://www.w3.org/2001/XMLSchema-instance" xsi:type="dcterms:W3CDTF">2025-12-29T09:31:30Z</dcterms:modified>
</cp:coreProperties>
</file>