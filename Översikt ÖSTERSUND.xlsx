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45357</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45357</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45357</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45357</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45357</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45357</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45357</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45357</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45357</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45357</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45357</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45357</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45357</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45357</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45357</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45357</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45357</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45357</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45357</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45357</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45357</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45357</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45357</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45357</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60881-2023</t>
        </is>
      </c>
      <c r="B26" s="1" t="n">
        <v>45259</v>
      </c>
      <c r="C26" s="1" t="n">
        <v>45357</v>
      </c>
      <c r="D26" t="inlineStr">
        <is>
          <t>JÄMTLANDS LÄN</t>
        </is>
      </c>
      <c r="E26" t="inlineStr">
        <is>
          <t>ÖSTERSUND</t>
        </is>
      </c>
      <c r="G26" t="n">
        <v>6</v>
      </c>
      <c r="H26" t="n">
        <v>8</v>
      </c>
      <c r="I26" t="n">
        <v>0</v>
      </c>
      <c r="J26" t="n">
        <v>5</v>
      </c>
      <c r="K26" t="n">
        <v>1</v>
      </c>
      <c r="L26" t="n">
        <v>1</v>
      </c>
      <c r="M26" t="n">
        <v>0</v>
      </c>
      <c r="N26" t="n">
        <v>0</v>
      </c>
      <c r="O26" t="n">
        <v>7</v>
      </c>
      <c r="P26" t="n">
        <v>2</v>
      </c>
      <c r="Q26" t="n">
        <v>8</v>
      </c>
      <c r="R26" s="2" t="inlineStr">
        <is>
          <t>Storspov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50716-2018</t>
        </is>
      </c>
      <c r="B27" s="1" t="n">
        <v>43381</v>
      </c>
      <c r="C27" s="1" t="n">
        <v>45357</v>
      </c>
      <c r="D27" t="inlineStr">
        <is>
          <t>JÄMTLANDS LÄN</t>
        </is>
      </c>
      <c r="E27" t="inlineStr">
        <is>
          <t>ÖSTERSUND</t>
        </is>
      </c>
      <c r="G27" t="n">
        <v>25</v>
      </c>
      <c r="H27" t="n">
        <v>0</v>
      </c>
      <c r="I27" t="n">
        <v>1</v>
      </c>
      <c r="J27" t="n">
        <v>5</v>
      </c>
      <c r="K27" t="n">
        <v>1</v>
      </c>
      <c r="L27" t="n">
        <v>0</v>
      </c>
      <c r="M27" t="n">
        <v>0</v>
      </c>
      <c r="N27" t="n">
        <v>0</v>
      </c>
      <c r="O27" t="n">
        <v>6</v>
      </c>
      <c r="P27" t="n">
        <v>1</v>
      </c>
      <c r="Q27" t="n">
        <v>7</v>
      </c>
      <c r="R27" s="2" t="inlineStr">
        <is>
          <t>Liten aspgelélav
Harticka
Lunglav
Skrovellav
Stiftgelélav
Ullticka
Stor aspticka</t>
        </is>
      </c>
      <c r="S27">
        <f>HYPERLINK("https://klasma.github.io/Logging_2380/artfynd/A 50716-2018 artfynd.xlsx", "A 50716-2018")</f>
        <v/>
      </c>
      <c r="T27">
        <f>HYPERLINK("https://klasma.github.io/Logging_2380/kartor/A 50716-2018 karta.png", "A 50716-2018")</f>
        <v/>
      </c>
      <c r="V27">
        <f>HYPERLINK("https://klasma.github.io/Logging_2380/klagomål/A 50716-2018 FSC-klagomål.docx", "A 50716-2018")</f>
        <v/>
      </c>
      <c r="W27">
        <f>HYPERLINK("https://klasma.github.io/Logging_2380/klagomålsmail/A 50716-2018 FSC-klagomål mail.docx", "A 50716-2018")</f>
        <v/>
      </c>
      <c r="X27">
        <f>HYPERLINK("https://klasma.github.io/Logging_2380/tillsyn/A 50716-2018 tillsynsbegäran.docx", "A 50716-2018")</f>
        <v/>
      </c>
      <c r="Y27">
        <f>HYPERLINK("https://klasma.github.io/Logging_2380/tillsynsmail/A 50716-2018 tillsynsbegäran mail.docx", "A 50716-2018")</f>
        <v/>
      </c>
    </row>
    <row r="28" ht="15" customHeight="1">
      <c r="A28" t="inlineStr">
        <is>
          <t>A 8023-2019</t>
        </is>
      </c>
      <c r="B28" s="1" t="n">
        <v>43501</v>
      </c>
      <c r="C28" s="1" t="n">
        <v>45357</v>
      </c>
      <c r="D28" t="inlineStr">
        <is>
          <t>JÄMTLANDS LÄN</t>
        </is>
      </c>
      <c r="E28" t="inlineStr">
        <is>
          <t>ÖSTERSUND</t>
        </is>
      </c>
      <c r="G28" t="n">
        <v>1.7</v>
      </c>
      <c r="H28" t="n">
        <v>2</v>
      </c>
      <c r="I28" t="n">
        <v>2</v>
      </c>
      <c r="J28" t="n">
        <v>3</v>
      </c>
      <c r="K28" t="n">
        <v>1</v>
      </c>
      <c r="L28" t="n">
        <v>0</v>
      </c>
      <c r="M28" t="n">
        <v>0</v>
      </c>
      <c r="N28" t="n">
        <v>0</v>
      </c>
      <c r="O28" t="n">
        <v>4</v>
      </c>
      <c r="P28" t="n">
        <v>1</v>
      </c>
      <c r="Q28" t="n">
        <v>7</v>
      </c>
      <c r="R28" s="2" t="inlineStr">
        <is>
          <t>Knärot
Garnlav
Ullticka
Vedtrappmossa
Kransrams
Svavelriska
Blåsippa</t>
        </is>
      </c>
      <c r="S28">
        <f>HYPERLINK("https://klasma.github.io/Logging_2380/artfynd/A 8023-2019 artfynd.xlsx", "A 8023-2019")</f>
        <v/>
      </c>
      <c r="T28">
        <f>HYPERLINK("https://klasma.github.io/Logging_2380/kartor/A 8023-2019 karta.png", "A 8023-2019")</f>
        <v/>
      </c>
      <c r="U28">
        <f>HYPERLINK("https://klasma.github.io/Logging_2380/knärot/A 8023-2019 karta knärot.png", "A 8023-2019")</f>
        <v/>
      </c>
      <c r="V28">
        <f>HYPERLINK("https://klasma.github.io/Logging_2380/klagomål/A 8023-2019 FSC-klagomål.docx", "A 8023-2019")</f>
        <v/>
      </c>
      <c r="W28">
        <f>HYPERLINK("https://klasma.github.io/Logging_2380/klagomålsmail/A 8023-2019 FSC-klagomål mail.docx", "A 8023-2019")</f>
        <v/>
      </c>
      <c r="X28">
        <f>HYPERLINK("https://klasma.github.io/Logging_2380/tillsyn/A 8023-2019 tillsynsbegäran.docx", "A 8023-2019")</f>
        <v/>
      </c>
      <c r="Y28">
        <f>HYPERLINK("https://klasma.github.io/Logging_2380/tillsynsmail/A 8023-2019 tillsynsbegäran mail.docx", "A 8023-2019")</f>
        <v/>
      </c>
    </row>
    <row r="29" ht="15" customHeight="1">
      <c r="A29" t="inlineStr">
        <is>
          <t>A 65938-2021</t>
        </is>
      </c>
      <c r="B29" s="1" t="n">
        <v>44517</v>
      </c>
      <c r="C29" s="1" t="n">
        <v>45357</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45357</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45357</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45357</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45357</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45357</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45357</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45357</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45357</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45357</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45357</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45357</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45357</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45357</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45357</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45357</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45357</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45357</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45357</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45357</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45357</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45357</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45357</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45357</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45357</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45357</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45357</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45357</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45357</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45357</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45357</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45357</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45357</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45357</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45357</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45357</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45357</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45357</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45357</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45357</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45357</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45357</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47385-2022</t>
        </is>
      </c>
      <c r="B71" s="1" t="n">
        <v>44853</v>
      </c>
      <c r="C71" s="1" t="n">
        <v>45357</v>
      </c>
      <c r="D71" t="inlineStr">
        <is>
          <t>JÄMTLANDS LÄN</t>
        </is>
      </c>
      <c r="E71" t="inlineStr">
        <is>
          <t>ÖSTERSUND</t>
        </is>
      </c>
      <c r="G71" t="n">
        <v>0.9</v>
      </c>
      <c r="H71" t="n">
        <v>0</v>
      </c>
      <c r="I71" t="n">
        <v>0</v>
      </c>
      <c r="J71" t="n">
        <v>2</v>
      </c>
      <c r="K71" t="n">
        <v>0</v>
      </c>
      <c r="L71" t="n">
        <v>0</v>
      </c>
      <c r="M71" t="n">
        <v>0</v>
      </c>
      <c r="N71" t="n">
        <v>0</v>
      </c>
      <c r="O71" t="n">
        <v>2</v>
      </c>
      <c r="P71" t="n">
        <v>0</v>
      </c>
      <c r="Q71" t="n">
        <v>2</v>
      </c>
      <c r="R71" s="2" t="inlineStr">
        <is>
          <t>Garnlav
Ullticka</t>
        </is>
      </c>
      <c r="S71">
        <f>HYPERLINK("https://klasma.github.io/Logging_2380/artfynd/A 47385-2022 artfynd.xlsx", "A 47385-2022")</f>
        <v/>
      </c>
      <c r="T71">
        <f>HYPERLINK("https://klasma.github.io/Logging_2380/kartor/A 47385-2022 karta.png", "A 47385-2022")</f>
        <v/>
      </c>
      <c r="U71">
        <f>HYPERLINK("https://klasma.github.io/Logging_2380/knärot/A 47385-2022 karta knärot.png", "A 47385-2022")</f>
        <v/>
      </c>
      <c r="V71">
        <f>HYPERLINK("https://klasma.github.io/Logging_2380/klagomål/A 47385-2022 FSC-klagomål.docx", "A 47385-2022")</f>
        <v/>
      </c>
      <c r="W71">
        <f>HYPERLINK("https://klasma.github.io/Logging_2380/klagomålsmail/A 47385-2022 FSC-klagomål mail.docx", "A 47385-2022")</f>
        <v/>
      </c>
      <c r="X71">
        <f>HYPERLINK("https://klasma.github.io/Logging_2380/tillsyn/A 47385-2022 tillsynsbegäran.docx", "A 47385-2022")</f>
        <v/>
      </c>
      <c r="Y71">
        <f>HYPERLINK("https://klasma.github.io/Logging_2380/tillsynsmail/A 47385-2022 tillsynsbegäran mail.docx", "A 47385-2022")</f>
        <v/>
      </c>
    </row>
    <row r="72" ht="15" customHeight="1">
      <c r="A72" t="inlineStr">
        <is>
          <t>A 60534-2022</t>
        </is>
      </c>
      <c r="B72" s="1" t="n">
        <v>44904</v>
      </c>
      <c r="C72" s="1" t="n">
        <v>45357</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45357</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60614-2022</t>
        </is>
      </c>
      <c r="B74" s="1" t="n">
        <v>44911</v>
      </c>
      <c r="C74" s="1" t="n">
        <v>45357</v>
      </c>
      <c r="D74" t="inlineStr">
        <is>
          <t>JÄMTLANDS LÄN</t>
        </is>
      </c>
      <c r="E74" t="inlineStr">
        <is>
          <t>ÖSTERSUND</t>
        </is>
      </c>
      <c r="G74" t="n">
        <v>17.6</v>
      </c>
      <c r="H74" t="n">
        <v>1</v>
      </c>
      <c r="I74" t="n">
        <v>1</v>
      </c>
      <c r="J74" t="n">
        <v>0</v>
      </c>
      <c r="K74" t="n">
        <v>0</v>
      </c>
      <c r="L74" t="n">
        <v>0</v>
      </c>
      <c r="M74" t="n">
        <v>0</v>
      </c>
      <c r="N74" t="n">
        <v>0</v>
      </c>
      <c r="O74" t="n">
        <v>0</v>
      </c>
      <c r="P74" t="n">
        <v>0</v>
      </c>
      <c r="Q74" t="n">
        <v>2</v>
      </c>
      <c r="R74" s="2" t="inlineStr">
        <is>
          <t>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row>
    <row r="75" ht="15" customHeight="1">
      <c r="A75" t="inlineStr">
        <is>
          <t>A 19147-2023</t>
        </is>
      </c>
      <c r="B75" s="1" t="n">
        <v>45044</v>
      </c>
      <c r="C75" s="1" t="n">
        <v>45357</v>
      </c>
      <c r="D75" t="inlineStr">
        <is>
          <t>JÄMTLANDS LÄN</t>
        </is>
      </c>
      <c r="E75" t="inlineStr">
        <is>
          <t>ÖSTERSUND</t>
        </is>
      </c>
      <c r="G75" t="n">
        <v>5</v>
      </c>
      <c r="H75" t="n">
        <v>0</v>
      </c>
      <c r="I75" t="n">
        <v>0</v>
      </c>
      <c r="J75" t="n">
        <v>1</v>
      </c>
      <c r="K75" t="n">
        <v>0</v>
      </c>
      <c r="L75" t="n">
        <v>1</v>
      </c>
      <c r="M75" t="n">
        <v>0</v>
      </c>
      <c r="N75" t="n">
        <v>0</v>
      </c>
      <c r="O75" t="n">
        <v>2</v>
      </c>
      <c r="P75" t="n">
        <v>1</v>
      </c>
      <c r="Q75" t="n">
        <v>2</v>
      </c>
      <c r="R75" s="2" t="inlineStr">
        <is>
          <t>Bredgentiana
Scharlakansvaxskivling</t>
        </is>
      </c>
      <c r="S75">
        <f>HYPERLINK("https://klasma.github.io/Logging_2380/artfynd/A 19147-2023 artfynd.xlsx", "A 19147-2023")</f>
        <v/>
      </c>
      <c r="T75">
        <f>HYPERLINK("https://klasma.github.io/Logging_2380/kartor/A 19147-2023 karta.png", "A 19147-2023")</f>
        <v/>
      </c>
      <c r="V75">
        <f>HYPERLINK("https://klasma.github.io/Logging_2380/klagomål/A 19147-2023 FSC-klagomål.docx", "A 19147-2023")</f>
        <v/>
      </c>
      <c r="W75">
        <f>HYPERLINK("https://klasma.github.io/Logging_2380/klagomålsmail/A 19147-2023 FSC-klagomål mail.docx", "A 19147-2023")</f>
        <v/>
      </c>
      <c r="X75">
        <f>HYPERLINK("https://klasma.github.io/Logging_2380/tillsyn/A 19147-2023 tillsynsbegäran.docx", "A 19147-2023")</f>
        <v/>
      </c>
      <c r="Y75">
        <f>HYPERLINK("https://klasma.github.io/Logging_2380/tillsynsmail/A 19147-2023 tillsynsbegäran mail.docx", "A 19147-2023")</f>
        <v/>
      </c>
    </row>
    <row r="76" ht="15" customHeight="1">
      <c r="A76" t="inlineStr">
        <is>
          <t>A 38334-2023</t>
        </is>
      </c>
      <c r="B76" s="1" t="n">
        <v>45161</v>
      </c>
      <c r="C76" s="1" t="n">
        <v>45357</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45979-2023</t>
        </is>
      </c>
      <c r="B77" s="1" t="n">
        <v>45189</v>
      </c>
      <c r="C77" s="1" t="n">
        <v>45357</v>
      </c>
      <c r="D77" t="inlineStr">
        <is>
          <t>JÄMTLANDS LÄN</t>
        </is>
      </c>
      <c r="E77" t="inlineStr">
        <is>
          <t>ÖSTERSUND</t>
        </is>
      </c>
      <c r="G77" t="n">
        <v>3.3</v>
      </c>
      <c r="H77" t="n">
        <v>0</v>
      </c>
      <c r="I77" t="n">
        <v>1</v>
      </c>
      <c r="J77" t="n">
        <v>0</v>
      </c>
      <c r="K77" t="n">
        <v>0</v>
      </c>
      <c r="L77" t="n">
        <v>1</v>
      </c>
      <c r="M77" t="n">
        <v>0</v>
      </c>
      <c r="N77" t="n">
        <v>0</v>
      </c>
      <c r="O77" t="n">
        <v>1</v>
      </c>
      <c r="P77" t="n">
        <v>1</v>
      </c>
      <c r="Q77" t="n">
        <v>2</v>
      </c>
      <c r="R77" s="2" t="inlineStr">
        <is>
          <t>Trolldruvemätare
Svart trolldruva</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52129-2023</t>
        </is>
      </c>
      <c r="B78" s="1" t="n">
        <v>45223</v>
      </c>
      <c r="C78" s="1" t="n">
        <v>45357</v>
      </c>
      <c r="D78" t="inlineStr">
        <is>
          <t>JÄMTLANDS LÄN</t>
        </is>
      </c>
      <c r="E78" t="inlineStr">
        <is>
          <t>ÖSTERSUND</t>
        </is>
      </c>
      <c r="F78" t="inlineStr">
        <is>
          <t>SCA</t>
        </is>
      </c>
      <c r="G78" t="n">
        <v>2</v>
      </c>
      <c r="H78" t="n">
        <v>0</v>
      </c>
      <c r="I78" t="n">
        <v>0</v>
      </c>
      <c r="J78" t="n">
        <v>2</v>
      </c>
      <c r="K78" t="n">
        <v>0</v>
      </c>
      <c r="L78" t="n">
        <v>0</v>
      </c>
      <c r="M78" t="n">
        <v>0</v>
      </c>
      <c r="N78" t="n">
        <v>0</v>
      </c>
      <c r="O78" t="n">
        <v>2</v>
      </c>
      <c r="P78" t="n">
        <v>0</v>
      </c>
      <c r="Q78" t="n">
        <v>2</v>
      </c>
      <c r="R78" s="2" t="inlineStr">
        <is>
          <t>Dvärgbägarlav
Kolflarnlav</t>
        </is>
      </c>
      <c r="S78">
        <f>HYPERLINK("https://klasma.github.io/Logging_2380/artfynd/A 52129-2023 artfynd.xlsx", "A 52129-2023")</f>
        <v/>
      </c>
      <c r="T78">
        <f>HYPERLINK("https://klasma.github.io/Logging_2380/kartor/A 52129-2023 karta.png", "A 52129-2023")</f>
        <v/>
      </c>
      <c r="V78">
        <f>HYPERLINK("https://klasma.github.io/Logging_2380/klagomål/A 52129-2023 FSC-klagomål.docx", "A 52129-2023")</f>
        <v/>
      </c>
      <c r="W78">
        <f>HYPERLINK("https://klasma.github.io/Logging_2380/klagomålsmail/A 52129-2023 FSC-klagomål mail.docx", "A 52129-2023")</f>
        <v/>
      </c>
      <c r="X78">
        <f>HYPERLINK("https://klasma.github.io/Logging_2380/tillsyn/A 52129-2023 tillsynsbegäran.docx", "A 52129-2023")</f>
        <v/>
      </c>
      <c r="Y78">
        <f>HYPERLINK("https://klasma.github.io/Logging_2380/tillsynsmail/A 52129-2023 tillsynsbegäran mail.docx", "A 52129-2023")</f>
        <v/>
      </c>
    </row>
    <row r="79" ht="15" customHeight="1">
      <c r="A79" t="inlineStr">
        <is>
          <t>A 56006-2023</t>
        </is>
      </c>
      <c r="B79" s="1" t="n">
        <v>45233</v>
      </c>
      <c r="C79" s="1" t="n">
        <v>45357</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55648-2023</t>
        </is>
      </c>
      <c r="B80" s="1" t="n">
        <v>45238</v>
      </c>
      <c r="C80" s="1" t="n">
        <v>45357</v>
      </c>
      <c r="D80" t="inlineStr">
        <is>
          <t>JÄMTLANDS LÄN</t>
        </is>
      </c>
      <c r="E80" t="inlineStr">
        <is>
          <t>ÖSTERSUND</t>
        </is>
      </c>
      <c r="G80" t="n">
        <v>10.9</v>
      </c>
      <c r="H80" t="n">
        <v>1</v>
      </c>
      <c r="I80" t="n">
        <v>0</v>
      </c>
      <c r="J80" t="n">
        <v>2</v>
      </c>
      <c r="K80" t="n">
        <v>0</v>
      </c>
      <c r="L80" t="n">
        <v>0</v>
      </c>
      <c r="M80" t="n">
        <v>0</v>
      </c>
      <c r="N80" t="n">
        <v>0</v>
      </c>
      <c r="O80" t="n">
        <v>2</v>
      </c>
      <c r="P80" t="n">
        <v>0</v>
      </c>
      <c r="Q80" t="n">
        <v>2</v>
      </c>
      <c r="R80" s="2" t="inlineStr">
        <is>
          <t>Granticka
Tretåig hackspett</t>
        </is>
      </c>
      <c r="S80">
        <f>HYPERLINK("https://klasma.github.io/Logging_2380/artfynd/A 55648-2023 artfynd.xlsx", "A 55648-2023")</f>
        <v/>
      </c>
      <c r="T80">
        <f>HYPERLINK("https://klasma.github.io/Logging_2380/kartor/A 55648-2023 karta.png", "A 55648-2023")</f>
        <v/>
      </c>
      <c r="V80">
        <f>HYPERLINK("https://klasma.github.io/Logging_2380/klagomål/A 55648-2023 FSC-klagomål.docx", "A 55648-2023")</f>
        <v/>
      </c>
      <c r="W80">
        <f>HYPERLINK("https://klasma.github.io/Logging_2380/klagomålsmail/A 55648-2023 FSC-klagomål mail.docx", "A 55648-2023")</f>
        <v/>
      </c>
      <c r="X80">
        <f>HYPERLINK("https://klasma.github.io/Logging_2380/tillsyn/A 55648-2023 tillsynsbegäran.docx", "A 55648-2023")</f>
        <v/>
      </c>
      <c r="Y80">
        <f>HYPERLINK("https://klasma.github.io/Logging_2380/tillsynsmail/A 55648-2023 tillsynsbegäran mail.docx", "A 55648-2023")</f>
        <v/>
      </c>
      <c r="Z80">
        <f>HYPERLINK("https://klasma.github.io/Logging_2380/fåglar/A 55648-2023 prioriterade fågelarter.docx", "A 55648-2023")</f>
        <v/>
      </c>
    </row>
    <row r="81" ht="15" customHeight="1">
      <c r="A81" t="inlineStr">
        <is>
          <t>A 57491-2023</t>
        </is>
      </c>
      <c r="B81" s="1" t="n">
        <v>45246</v>
      </c>
      <c r="C81" s="1" t="n">
        <v>45357</v>
      </c>
      <c r="D81" t="inlineStr">
        <is>
          <t>JÄMTLANDS LÄN</t>
        </is>
      </c>
      <c r="E81" t="inlineStr">
        <is>
          <t>ÖSTERSUND</t>
        </is>
      </c>
      <c r="G81" t="n">
        <v>9.699999999999999</v>
      </c>
      <c r="H81" t="n">
        <v>1</v>
      </c>
      <c r="I81" t="n">
        <v>0</v>
      </c>
      <c r="J81" t="n">
        <v>1</v>
      </c>
      <c r="K81" t="n">
        <v>1</v>
      </c>
      <c r="L81" t="n">
        <v>0</v>
      </c>
      <c r="M81" t="n">
        <v>0</v>
      </c>
      <c r="N81" t="n">
        <v>0</v>
      </c>
      <c r="O81" t="n">
        <v>2</v>
      </c>
      <c r="P81" t="n">
        <v>1</v>
      </c>
      <c r="Q81" t="n">
        <v>2</v>
      </c>
      <c r="R81" s="2" t="inlineStr">
        <is>
          <t>Doftticka
Lunglav</t>
        </is>
      </c>
      <c r="S81">
        <f>HYPERLINK("https://klasma.github.io/Logging_2380/artfynd/A 57491-2023 artfynd.xlsx", "A 57491-2023")</f>
        <v/>
      </c>
      <c r="T81">
        <f>HYPERLINK("https://klasma.github.io/Logging_2380/kartor/A 57491-2023 karta.png", "A 57491-2023")</f>
        <v/>
      </c>
      <c r="V81">
        <f>HYPERLINK("https://klasma.github.io/Logging_2380/klagomål/A 57491-2023 FSC-klagomål.docx", "A 57491-2023")</f>
        <v/>
      </c>
      <c r="W81">
        <f>HYPERLINK("https://klasma.github.io/Logging_2380/klagomålsmail/A 57491-2023 FSC-klagomål mail.docx", "A 57491-2023")</f>
        <v/>
      </c>
      <c r="X81">
        <f>HYPERLINK("https://klasma.github.io/Logging_2380/tillsyn/A 57491-2023 tillsynsbegäran.docx", "A 57491-2023")</f>
        <v/>
      </c>
      <c r="Y81">
        <f>HYPERLINK("https://klasma.github.io/Logging_2380/tillsynsmail/A 57491-2023 tillsynsbegäran mail.docx", "A 57491-2023")</f>
        <v/>
      </c>
    </row>
    <row r="82" ht="15" customHeight="1">
      <c r="A82" t="inlineStr">
        <is>
          <t>A 63930-2023</t>
        </is>
      </c>
      <c r="B82" s="1" t="n">
        <v>45278</v>
      </c>
      <c r="C82" s="1" t="n">
        <v>45357</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3846-2024</t>
        </is>
      </c>
      <c r="B83" s="1" t="n">
        <v>45321</v>
      </c>
      <c r="C83" s="1" t="n">
        <v>45357</v>
      </c>
      <c r="D83" t="inlineStr">
        <is>
          <t>JÄMTLANDS LÄN</t>
        </is>
      </c>
      <c r="E83" t="inlineStr">
        <is>
          <t>ÖSTERSUND</t>
        </is>
      </c>
      <c r="G83" t="n">
        <v>2.2</v>
      </c>
      <c r="H83" t="n">
        <v>0</v>
      </c>
      <c r="I83" t="n">
        <v>2</v>
      </c>
      <c r="J83" t="n">
        <v>0</v>
      </c>
      <c r="K83" t="n">
        <v>0</v>
      </c>
      <c r="L83" t="n">
        <v>0</v>
      </c>
      <c r="M83" t="n">
        <v>0</v>
      </c>
      <c r="N83" t="n">
        <v>0</v>
      </c>
      <c r="O83" t="n">
        <v>0</v>
      </c>
      <c r="P83" t="n">
        <v>0</v>
      </c>
      <c r="Q83" t="n">
        <v>2</v>
      </c>
      <c r="R83" s="2" t="inlineStr">
        <is>
          <t>Olivspindling
Svavelriska</t>
        </is>
      </c>
      <c r="S83">
        <f>HYPERLINK("https://klasma.github.io/Logging_2380/artfynd/A 3846-2024 artfynd.xlsx", "A 3846-2024")</f>
        <v/>
      </c>
      <c r="T83">
        <f>HYPERLINK("https://klasma.github.io/Logging_2380/kartor/A 3846-2024 karta.png", "A 3846-2024")</f>
        <v/>
      </c>
      <c r="V83">
        <f>HYPERLINK("https://klasma.github.io/Logging_2380/klagomål/A 3846-2024 FSC-klagomål.docx", "A 3846-2024")</f>
        <v/>
      </c>
      <c r="W83">
        <f>HYPERLINK("https://klasma.github.io/Logging_2380/klagomålsmail/A 3846-2024 FSC-klagomål mail.docx", "A 3846-2024")</f>
        <v/>
      </c>
      <c r="X83">
        <f>HYPERLINK("https://klasma.github.io/Logging_2380/tillsyn/A 3846-2024 tillsynsbegäran.docx", "A 3846-2024")</f>
        <v/>
      </c>
      <c r="Y83">
        <f>HYPERLINK("https://klasma.github.io/Logging_2380/tillsynsmail/A 3846-2024 tillsynsbegäran mail.docx", "A 3846-2024")</f>
        <v/>
      </c>
    </row>
    <row r="84" ht="15" customHeight="1">
      <c r="A84" t="inlineStr">
        <is>
          <t>A 30941-2019</t>
        </is>
      </c>
      <c r="B84" s="1" t="n">
        <v>43636</v>
      </c>
      <c r="C84" s="1" t="n">
        <v>45357</v>
      </c>
      <c r="D84" t="inlineStr">
        <is>
          <t>JÄMTLANDS LÄN</t>
        </is>
      </c>
      <c r="E84" t="inlineStr">
        <is>
          <t>ÖSTERSUND</t>
        </is>
      </c>
      <c r="F84" t="inlineStr">
        <is>
          <t>SCA</t>
        </is>
      </c>
      <c r="G84" t="n">
        <v>1.9</v>
      </c>
      <c r="H84" t="n">
        <v>1</v>
      </c>
      <c r="I84" t="n">
        <v>1</v>
      </c>
      <c r="J84" t="n">
        <v>0</v>
      </c>
      <c r="K84" t="n">
        <v>0</v>
      </c>
      <c r="L84" t="n">
        <v>0</v>
      </c>
      <c r="M84" t="n">
        <v>0</v>
      </c>
      <c r="N84" t="n">
        <v>0</v>
      </c>
      <c r="O84" t="n">
        <v>0</v>
      </c>
      <c r="P84" t="n">
        <v>0</v>
      </c>
      <c r="Q84" t="n">
        <v>1</v>
      </c>
      <c r="R84" s="2" t="inlineStr">
        <is>
          <t>Tvåblad</t>
        </is>
      </c>
      <c r="S84">
        <f>HYPERLINK("https://klasma.github.io/Logging_2380/artfynd/A 30941-2019 artfynd.xlsx", "A 30941-2019")</f>
        <v/>
      </c>
      <c r="T84">
        <f>HYPERLINK("https://klasma.github.io/Logging_2380/kartor/A 30941-2019 karta.png", "A 30941-2019")</f>
        <v/>
      </c>
      <c r="V84">
        <f>HYPERLINK("https://klasma.github.io/Logging_2380/klagomål/A 30941-2019 FSC-klagomål.docx", "A 30941-2019")</f>
        <v/>
      </c>
      <c r="W84">
        <f>HYPERLINK("https://klasma.github.io/Logging_2380/klagomålsmail/A 30941-2019 FSC-klagomål mail.docx", "A 30941-2019")</f>
        <v/>
      </c>
      <c r="X84">
        <f>HYPERLINK("https://klasma.github.io/Logging_2380/tillsyn/A 30941-2019 tillsynsbegäran.docx", "A 30941-2019")</f>
        <v/>
      </c>
      <c r="Y84">
        <f>HYPERLINK("https://klasma.github.io/Logging_2380/tillsynsmail/A 30941-2019 tillsynsbegäran mail.docx", "A 30941-2019")</f>
        <v/>
      </c>
    </row>
    <row r="85" ht="15" customHeight="1">
      <c r="A85" t="inlineStr">
        <is>
          <t>A 57757-2019</t>
        </is>
      </c>
      <c r="B85" s="1" t="n">
        <v>43768</v>
      </c>
      <c r="C85" s="1" t="n">
        <v>45357</v>
      </c>
      <c r="D85" t="inlineStr">
        <is>
          <t>JÄMTLANDS LÄN</t>
        </is>
      </c>
      <c r="E85" t="inlineStr">
        <is>
          <t>ÖSTERSUND</t>
        </is>
      </c>
      <c r="G85" t="n">
        <v>1.3</v>
      </c>
      <c r="H85" t="n">
        <v>1</v>
      </c>
      <c r="I85" t="n">
        <v>0</v>
      </c>
      <c r="J85" t="n">
        <v>0</v>
      </c>
      <c r="K85" t="n">
        <v>0</v>
      </c>
      <c r="L85" t="n">
        <v>0</v>
      </c>
      <c r="M85" t="n">
        <v>0</v>
      </c>
      <c r="N85" t="n">
        <v>0</v>
      </c>
      <c r="O85" t="n">
        <v>0</v>
      </c>
      <c r="P85" t="n">
        <v>0</v>
      </c>
      <c r="Q85" t="n">
        <v>1</v>
      </c>
      <c r="R85" s="2" t="inlineStr">
        <is>
          <t>Revlummer</t>
        </is>
      </c>
      <c r="S85">
        <f>HYPERLINK("https://klasma.github.io/Logging_2380/artfynd/A 57757-2019 artfynd.xlsx", "A 57757-2019")</f>
        <v/>
      </c>
      <c r="T85">
        <f>HYPERLINK("https://klasma.github.io/Logging_2380/kartor/A 57757-2019 karta.png", "A 57757-2019")</f>
        <v/>
      </c>
      <c r="V85">
        <f>HYPERLINK("https://klasma.github.io/Logging_2380/klagomål/A 57757-2019 FSC-klagomål.docx", "A 57757-2019")</f>
        <v/>
      </c>
      <c r="W85">
        <f>HYPERLINK("https://klasma.github.io/Logging_2380/klagomålsmail/A 57757-2019 FSC-klagomål mail.docx", "A 57757-2019")</f>
        <v/>
      </c>
      <c r="X85">
        <f>HYPERLINK("https://klasma.github.io/Logging_2380/tillsyn/A 57757-2019 tillsynsbegäran.docx", "A 57757-2019")</f>
        <v/>
      </c>
      <c r="Y85">
        <f>HYPERLINK("https://klasma.github.io/Logging_2380/tillsynsmail/A 57757-2019 tillsynsbegäran mail.docx", "A 57757-2019")</f>
        <v/>
      </c>
    </row>
    <row r="86" ht="15" customHeight="1">
      <c r="A86" t="inlineStr">
        <is>
          <t>A 61628-2019</t>
        </is>
      </c>
      <c r="B86" s="1" t="n">
        <v>43784</v>
      </c>
      <c r="C86" s="1" t="n">
        <v>45357</v>
      </c>
      <c r="D86" t="inlineStr">
        <is>
          <t>JÄMTLANDS LÄN</t>
        </is>
      </c>
      <c r="E86" t="inlineStr">
        <is>
          <t>ÖSTERSUND</t>
        </is>
      </c>
      <c r="G86" t="n">
        <v>5.6</v>
      </c>
      <c r="H86" t="n">
        <v>0</v>
      </c>
      <c r="I86" t="n">
        <v>1</v>
      </c>
      <c r="J86" t="n">
        <v>0</v>
      </c>
      <c r="K86" t="n">
        <v>0</v>
      </c>
      <c r="L86" t="n">
        <v>0</v>
      </c>
      <c r="M86" t="n">
        <v>0</v>
      </c>
      <c r="N86" t="n">
        <v>0</v>
      </c>
      <c r="O86" t="n">
        <v>0</v>
      </c>
      <c r="P86" t="n">
        <v>0</v>
      </c>
      <c r="Q86" t="n">
        <v>1</v>
      </c>
      <c r="R86" s="2" t="inlineStr">
        <is>
          <t>Tibast</t>
        </is>
      </c>
      <c r="S86">
        <f>HYPERLINK("https://klasma.github.io/Logging_2380/artfynd/A 61628-2019 artfynd.xlsx", "A 61628-2019")</f>
        <v/>
      </c>
      <c r="T86">
        <f>HYPERLINK("https://klasma.github.io/Logging_2380/kartor/A 61628-2019 karta.png", "A 61628-2019")</f>
        <v/>
      </c>
      <c r="V86">
        <f>HYPERLINK("https://klasma.github.io/Logging_2380/klagomål/A 61628-2019 FSC-klagomål.docx", "A 61628-2019")</f>
        <v/>
      </c>
      <c r="W86">
        <f>HYPERLINK("https://klasma.github.io/Logging_2380/klagomålsmail/A 61628-2019 FSC-klagomål mail.docx", "A 61628-2019")</f>
        <v/>
      </c>
      <c r="X86">
        <f>HYPERLINK("https://klasma.github.io/Logging_2380/tillsyn/A 61628-2019 tillsynsbegäran.docx", "A 61628-2019")</f>
        <v/>
      </c>
      <c r="Y86">
        <f>HYPERLINK("https://klasma.github.io/Logging_2380/tillsynsmail/A 61628-2019 tillsynsbegäran mail.docx", "A 61628-2019")</f>
        <v/>
      </c>
    </row>
    <row r="87" ht="15" customHeight="1">
      <c r="A87" t="inlineStr">
        <is>
          <t>A 11561-2020</t>
        </is>
      </c>
      <c r="B87" s="1" t="n">
        <v>43893</v>
      </c>
      <c r="C87" s="1" t="n">
        <v>45357</v>
      </c>
      <c r="D87" t="inlineStr">
        <is>
          <t>JÄMTLANDS LÄN</t>
        </is>
      </c>
      <c r="E87" t="inlineStr">
        <is>
          <t>ÖSTERSUND</t>
        </is>
      </c>
      <c r="G87" t="n">
        <v>6.2</v>
      </c>
      <c r="H87" t="n">
        <v>1</v>
      </c>
      <c r="I87" t="n">
        <v>0</v>
      </c>
      <c r="J87" t="n">
        <v>0</v>
      </c>
      <c r="K87" t="n">
        <v>0</v>
      </c>
      <c r="L87" t="n">
        <v>0</v>
      </c>
      <c r="M87" t="n">
        <v>0</v>
      </c>
      <c r="N87" t="n">
        <v>0</v>
      </c>
      <c r="O87" t="n">
        <v>0</v>
      </c>
      <c r="P87" t="n">
        <v>0</v>
      </c>
      <c r="Q87" t="n">
        <v>1</v>
      </c>
      <c r="R87" s="2" t="inlineStr">
        <is>
          <t>Revlummer</t>
        </is>
      </c>
      <c r="S87">
        <f>HYPERLINK("https://klasma.github.io/Logging_2380/artfynd/A 11561-2020 artfynd.xlsx", "A 11561-2020")</f>
        <v/>
      </c>
      <c r="T87">
        <f>HYPERLINK("https://klasma.github.io/Logging_2380/kartor/A 11561-2020 karta.png", "A 11561-2020")</f>
        <v/>
      </c>
      <c r="V87">
        <f>HYPERLINK("https://klasma.github.io/Logging_2380/klagomål/A 11561-2020 FSC-klagomål.docx", "A 11561-2020")</f>
        <v/>
      </c>
      <c r="W87">
        <f>HYPERLINK("https://klasma.github.io/Logging_2380/klagomålsmail/A 11561-2020 FSC-klagomål mail.docx", "A 11561-2020")</f>
        <v/>
      </c>
      <c r="X87">
        <f>HYPERLINK("https://klasma.github.io/Logging_2380/tillsyn/A 11561-2020 tillsynsbegäran.docx", "A 11561-2020")</f>
        <v/>
      </c>
      <c r="Y87">
        <f>HYPERLINK("https://klasma.github.io/Logging_2380/tillsynsmail/A 11561-2020 tillsynsbegäran mail.docx", "A 11561-2020")</f>
        <v/>
      </c>
    </row>
    <row r="88" ht="15" customHeight="1">
      <c r="A88" t="inlineStr">
        <is>
          <t>A 35980-2020</t>
        </is>
      </c>
      <c r="B88" s="1" t="n">
        <v>44047</v>
      </c>
      <c r="C88" s="1" t="n">
        <v>45357</v>
      </c>
      <c r="D88" t="inlineStr">
        <is>
          <t>JÄMTLANDS LÄN</t>
        </is>
      </c>
      <c r="E88" t="inlineStr">
        <is>
          <t>ÖSTERSUND</t>
        </is>
      </c>
      <c r="G88" t="n">
        <v>0.7</v>
      </c>
      <c r="H88" t="n">
        <v>0</v>
      </c>
      <c r="I88" t="n">
        <v>0</v>
      </c>
      <c r="J88" t="n">
        <v>1</v>
      </c>
      <c r="K88" t="n">
        <v>0</v>
      </c>
      <c r="L88" t="n">
        <v>0</v>
      </c>
      <c r="M88" t="n">
        <v>0</v>
      </c>
      <c r="N88" t="n">
        <v>0</v>
      </c>
      <c r="O88" t="n">
        <v>1</v>
      </c>
      <c r="P88" t="n">
        <v>0</v>
      </c>
      <c r="Q88" t="n">
        <v>1</v>
      </c>
      <c r="R88" s="2" t="inlineStr">
        <is>
          <t>Slåtterfibbla</t>
        </is>
      </c>
      <c r="S88">
        <f>HYPERLINK("https://klasma.github.io/Logging_2380/artfynd/A 35980-2020 artfynd.xlsx", "A 35980-2020")</f>
        <v/>
      </c>
      <c r="T88">
        <f>HYPERLINK("https://klasma.github.io/Logging_2380/kartor/A 35980-2020 karta.png", "A 35980-2020")</f>
        <v/>
      </c>
      <c r="U88">
        <f>HYPERLINK("https://klasma.github.io/Logging_2380/knärot/A 35980-2020 karta knärot.png", "A 35980-2020")</f>
        <v/>
      </c>
      <c r="V88">
        <f>HYPERLINK("https://klasma.github.io/Logging_2380/klagomål/A 35980-2020 FSC-klagomål.docx", "A 35980-2020")</f>
        <v/>
      </c>
      <c r="W88">
        <f>HYPERLINK("https://klasma.github.io/Logging_2380/klagomålsmail/A 35980-2020 FSC-klagomål mail.docx", "A 35980-2020")</f>
        <v/>
      </c>
      <c r="X88">
        <f>HYPERLINK("https://klasma.github.io/Logging_2380/tillsyn/A 35980-2020 tillsynsbegäran.docx", "A 35980-2020")</f>
        <v/>
      </c>
      <c r="Y88">
        <f>HYPERLINK("https://klasma.github.io/Logging_2380/tillsynsmail/A 35980-2020 tillsynsbegäran mail.docx", "A 35980-2020")</f>
        <v/>
      </c>
    </row>
    <row r="89" ht="15" customHeight="1">
      <c r="A89" t="inlineStr">
        <is>
          <t>A 63775-2020</t>
        </is>
      </c>
      <c r="B89" s="1" t="n">
        <v>44165</v>
      </c>
      <c r="C89" s="1" t="n">
        <v>45357</v>
      </c>
      <c r="D89" t="inlineStr">
        <is>
          <t>JÄMTLANDS LÄN</t>
        </is>
      </c>
      <c r="E89" t="inlineStr">
        <is>
          <t>ÖSTERSUND</t>
        </is>
      </c>
      <c r="G89" t="n">
        <v>6.2</v>
      </c>
      <c r="H89" t="n">
        <v>1</v>
      </c>
      <c r="I89" t="n">
        <v>0</v>
      </c>
      <c r="J89" t="n">
        <v>0</v>
      </c>
      <c r="K89" t="n">
        <v>0</v>
      </c>
      <c r="L89" t="n">
        <v>0</v>
      </c>
      <c r="M89" t="n">
        <v>0</v>
      </c>
      <c r="N89" t="n">
        <v>0</v>
      </c>
      <c r="O89" t="n">
        <v>0</v>
      </c>
      <c r="P89" t="n">
        <v>0</v>
      </c>
      <c r="Q89" t="n">
        <v>1</v>
      </c>
      <c r="R89" s="2" t="inlineStr">
        <is>
          <t>Fläcknycklar</t>
        </is>
      </c>
      <c r="S89">
        <f>HYPERLINK("https://klasma.github.io/Logging_2380/artfynd/A 63775-2020 artfynd.xlsx", "A 63775-2020")</f>
        <v/>
      </c>
      <c r="T89">
        <f>HYPERLINK("https://klasma.github.io/Logging_2380/kartor/A 63775-2020 karta.png", "A 63775-2020")</f>
        <v/>
      </c>
      <c r="V89">
        <f>HYPERLINK("https://klasma.github.io/Logging_2380/klagomål/A 63775-2020 FSC-klagomål.docx", "A 63775-2020")</f>
        <v/>
      </c>
      <c r="W89">
        <f>HYPERLINK("https://klasma.github.io/Logging_2380/klagomålsmail/A 63775-2020 FSC-klagomål mail.docx", "A 63775-2020")</f>
        <v/>
      </c>
      <c r="X89">
        <f>HYPERLINK("https://klasma.github.io/Logging_2380/tillsyn/A 63775-2020 tillsynsbegäran.docx", "A 63775-2020")</f>
        <v/>
      </c>
      <c r="Y89">
        <f>HYPERLINK("https://klasma.github.io/Logging_2380/tillsynsmail/A 63775-2020 tillsynsbegäran mail.docx", "A 63775-2020")</f>
        <v/>
      </c>
    </row>
    <row r="90" ht="15" customHeight="1">
      <c r="A90" t="inlineStr">
        <is>
          <t>A 13362-2021</t>
        </is>
      </c>
      <c r="B90" s="1" t="n">
        <v>44272</v>
      </c>
      <c r="C90" s="1" t="n">
        <v>45357</v>
      </c>
      <c r="D90" t="inlineStr">
        <is>
          <t>JÄMTLANDS LÄN</t>
        </is>
      </c>
      <c r="E90" t="inlineStr">
        <is>
          <t>ÖSTERSUND</t>
        </is>
      </c>
      <c r="G90" t="n">
        <v>0.8</v>
      </c>
      <c r="H90" t="n">
        <v>1</v>
      </c>
      <c r="I90" t="n">
        <v>0</v>
      </c>
      <c r="J90" t="n">
        <v>0</v>
      </c>
      <c r="K90" t="n">
        <v>0</v>
      </c>
      <c r="L90" t="n">
        <v>0</v>
      </c>
      <c r="M90" t="n">
        <v>0</v>
      </c>
      <c r="N90" t="n">
        <v>0</v>
      </c>
      <c r="O90" t="n">
        <v>0</v>
      </c>
      <c r="P90" t="n">
        <v>0</v>
      </c>
      <c r="Q90" t="n">
        <v>1</v>
      </c>
      <c r="R90" s="2" t="inlineStr">
        <is>
          <t>Blåsippa</t>
        </is>
      </c>
      <c r="S90">
        <f>HYPERLINK("https://klasma.github.io/Logging_2380/artfynd/A 13362-2021 artfynd.xlsx", "A 13362-2021")</f>
        <v/>
      </c>
      <c r="T90">
        <f>HYPERLINK("https://klasma.github.io/Logging_2380/kartor/A 13362-2021 karta.png", "A 13362-2021")</f>
        <v/>
      </c>
      <c r="V90">
        <f>HYPERLINK("https://klasma.github.io/Logging_2380/klagomål/A 13362-2021 FSC-klagomål.docx", "A 13362-2021")</f>
        <v/>
      </c>
      <c r="W90">
        <f>HYPERLINK("https://klasma.github.io/Logging_2380/klagomålsmail/A 13362-2021 FSC-klagomål mail.docx", "A 13362-2021")</f>
        <v/>
      </c>
      <c r="X90">
        <f>HYPERLINK("https://klasma.github.io/Logging_2380/tillsyn/A 13362-2021 tillsynsbegäran.docx", "A 13362-2021")</f>
        <v/>
      </c>
      <c r="Y90">
        <f>HYPERLINK("https://klasma.github.io/Logging_2380/tillsynsmail/A 13362-2021 tillsynsbegäran mail.docx", "A 13362-2021")</f>
        <v/>
      </c>
    </row>
    <row r="91" ht="15" customHeight="1">
      <c r="A91" t="inlineStr">
        <is>
          <t>A 17217-2021</t>
        </is>
      </c>
      <c r="B91" s="1" t="n">
        <v>44298</v>
      </c>
      <c r="C91" s="1" t="n">
        <v>45357</v>
      </c>
      <c r="D91" t="inlineStr">
        <is>
          <t>JÄMTLANDS LÄN</t>
        </is>
      </c>
      <c r="E91" t="inlineStr">
        <is>
          <t>ÖSTERSUND</t>
        </is>
      </c>
      <c r="G91" t="n">
        <v>10.4</v>
      </c>
      <c r="H91" t="n">
        <v>0</v>
      </c>
      <c r="I91" t="n">
        <v>0</v>
      </c>
      <c r="J91" t="n">
        <v>1</v>
      </c>
      <c r="K91" t="n">
        <v>0</v>
      </c>
      <c r="L91" t="n">
        <v>0</v>
      </c>
      <c r="M91" t="n">
        <v>0</v>
      </c>
      <c r="N91" t="n">
        <v>0</v>
      </c>
      <c r="O91" t="n">
        <v>1</v>
      </c>
      <c r="P91" t="n">
        <v>0</v>
      </c>
      <c r="Q91" t="n">
        <v>1</v>
      </c>
      <c r="R91" s="2" t="inlineStr">
        <is>
          <t>Rödbrun klubbdyna</t>
        </is>
      </c>
      <c r="S91">
        <f>HYPERLINK("https://klasma.github.io/Logging_2380/artfynd/A 17217-2021 artfynd.xlsx", "A 17217-2021")</f>
        <v/>
      </c>
      <c r="T91">
        <f>HYPERLINK("https://klasma.github.io/Logging_2380/kartor/A 17217-2021 karta.png", "A 17217-2021")</f>
        <v/>
      </c>
      <c r="V91">
        <f>HYPERLINK("https://klasma.github.io/Logging_2380/klagomål/A 17217-2021 FSC-klagomål.docx", "A 17217-2021")</f>
        <v/>
      </c>
      <c r="W91">
        <f>HYPERLINK("https://klasma.github.io/Logging_2380/klagomålsmail/A 17217-2021 FSC-klagomål mail.docx", "A 17217-2021")</f>
        <v/>
      </c>
      <c r="X91">
        <f>HYPERLINK("https://klasma.github.io/Logging_2380/tillsyn/A 17217-2021 tillsynsbegäran.docx", "A 17217-2021")</f>
        <v/>
      </c>
      <c r="Y91">
        <f>HYPERLINK("https://klasma.github.io/Logging_2380/tillsynsmail/A 17217-2021 tillsynsbegäran mail.docx", "A 17217-2021")</f>
        <v/>
      </c>
    </row>
    <row r="92" ht="15" customHeight="1">
      <c r="A92" t="inlineStr">
        <is>
          <t>A 25839-2021</t>
        </is>
      </c>
      <c r="B92" s="1" t="n">
        <v>44343</v>
      </c>
      <c r="C92" s="1" t="n">
        <v>45357</v>
      </c>
      <c r="D92" t="inlineStr">
        <is>
          <t>JÄMTLANDS LÄN</t>
        </is>
      </c>
      <c r="E92" t="inlineStr">
        <is>
          <t>ÖSTERSUND</t>
        </is>
      </c>
      <c r="G92" t="n">
        <v>13</v>
      </c>
      <c r="H92" t="n">
        <v>1</v>
      </c>
      <c r="I92" t="n">
        <v>0</v>
      </c>
      <c r="J92" t="n">
        <v>0</v>
      </c>
      <c r="K92" t="n">
        <v>0</v>
      </c>
      <c r="L92" t="n">
        <v>1</v>
      </c>
      <c r="M92" t="n">
        <v>0</v>
      </c>
      <c r="N92" t="n">
        <v>0</v>
      </c>
      <c r="O92" t="n">
        <v>1</v>
      </c>
      <c r="P92" t="n">
        <v>1</v>
      </c>
      <c r="Q92" t="n">
        <v>1</v>
      </c>
      <c r="R92" s="2" t="inlineStr">
        <is>
          <t>Violett guldvinge</t>
        </is>
      </c>
      <c r="S92">
        <f>HYPERLINK("https://klasma.github.io/Logging_2380/artfynd/A 25839-2021 artfynd.xlsx", "A 25839-2021")</f>
        <v/>
      </c>
      <c r="T92">
        <f>HYPERLINK("https://klasma.github.io/Logging_2380/kartor/A 25839-2021 karta.png", "A 25839-2021")</f>
        <v/>
      </c>
      <c r="V92">
        <f>HYPERLINK("https://klasma.github.io/Logging_2380/klagomål/A 25839-2021 FSC-klagomål.docx", "A 25839-2021")</f>
        <v/>
      </c>
      <c r="W92">
        <f>HYPERLINK("https://klasma.github.io/Logging_2380/klagomålsmail/A 25839-2021 FSC-klagomål mail.docx", "A 25839-2021")</f>
        <v/>
      </c>
      <c r="X92">
        <f>HYPERLINK("https://klasma.github.io/Logging_2380/tillsyn/A 25839-2021 tillsynsbegäran.docx", "A 25839-2021")</f>
        <v/>
      </c>
      <c r="Y92">
        <f>HYPERLINK("https://klasma.github.io/Logging_2380/tillsynsmail/A 25839-2021 tillsynsbegäran mail.docx", "A 25839-2021")</f>
        <v/>
      </c>
    </row>
    <row r="93" ht="15" customHeight="1">
      <c r="A93" t="inlineStr">
        <is>
          <t>A 31328-2021</t>
        </is>
      </c>
      <c r="B93" s="1" t="n">
        <v>44368</v>
      </c>
      <c r="C93" s="1" t="n">
        <v>45357</v>
      </c>
      <c r="D93" t="inlineStr">
        <is>
          <t>JÄMTLANDS LÄN</t>
        </is>
      </c>
      <c r="E93" t="inlineStr">
        <is>
          <t>ÖSTERSUND</t>
        </is>
      </c>
      <c r="G93" t="n">
        <v>6.3</v>
      </c>
      <c r="H93" t="n">
        <v>1</v>
      </c>
      <c r="I93" t="n">
        <v>0</v>
      </c>
      <c r="J93" t="n">
        <v>0</v>
      </c>
      <c r="K93" t="n">
        <v>0</v>
      </c>
      <c r="L93" t="n">
        <v>0</v>
      </c>
      <c r="M93" t="n">
        <v>0</v>
      </c>
      <c r="N93" t="n">
        <v>0</v>
      </c>
      <c r="O93" t="n">
        <v>0</v>
      </c>
      <c r="P93" t="n">
        <v>0</v>
      </c>
      <c r="Q93" t="n">
        <v>1</v>
      </c>
      <c r="R93" s="2" t="inlineStr">
        <is>
          <t>Fläcknycklar</t>
        </is>
      </c>
      <c r="S93">
        <f>HYPERLINK("https://klasma.github.io/Logging_2380/artfynd/A 31328-2021 artfynd.xlsx", "A 31328-2021")</f>
        <v/>
      </c>
      <c r="T93">
        <f>HYPERLINK("https://klasma.github.io/Logging_2380/kartor/A 31328-2021 karta.png", "A 31328-2021")</f>
        <v/>
      </c>
      <c r="V93">
        <f>HYPERLINK("https://klasma.github.io/Logging_2380/klagomål/A 31328-2021 FSC-klagomål.docx", "A 31328-2021")</f>
        <v/>
      </c>
      <c r="W93">
        <f>HYPERLINK("https://klasma.github.io/Logging_2380/klagomålsmail/A 31328-2021 FSC-klagomål mail.docx", "A 31328-2021")</f>
        <v/>
      </c>
      <c r="X93">
        <f>HYPERLINK("https://klasma.github.io/Logging_2380/tillsyn/A 31328-2021 tillsynsbegäran.docx", "A 31328-2021")</f>
        <v/>
      </c>
      <c r="Y93">
        <f>HYPERLINK("https://klasma.github.io/Logging_2380/tillsynsmail/A 31328-2021 tillsynsbegäran mail.docx", "A 31328-2021")</f>
        <v/>
      </c>
    </row>
    <row r="94" ht="15" customHeight="1">
      <c r="A94" t="inlineStr">
        <is>
          <t>A 33137-2021</t>
        </is>
      </c>
      <c r="B94" s="1" t="n">
        <v>44376</v>
      </c>
      <c r="C94" s="1" t="n">
        <v>45357</v>
      </c>
      <c r="D94" t="inlineStr">
        <is>
          <t>JÄMTLANDS LÄN</t>
        </is>
      </c>
      <c r="E94" t="inlineStr">
        <is>
          <t>ÖSTERSUND</t>
        </is>
      </c>
      <c r="F94" t="inlineStr">
        <is>
          <t>Kommuner</t>
        </is>
      </c>
      <c r="G94" t="n">
        <v>3.7</v>
      </c>
      <c r="H94" t="n">
        <v>1</v>
      </c>
      <c r="I94" t="n">
        <v>1</v>
      </c>
      <c r="J94" t="n">
        <v>0</v>
      </c>
      <c r="K94" t="n">
        <v>0</v>
      </c>
      <c r="L94" t="n">
        <v>0</v>
      </c>
      <c r="M94" t="n">
        <v>0</v>
      </c>
      <c r="N94" t="n">
        <v>0</v>
      </c>
      <c r="O94" t="n">
        <v>0</v>
      </c>
      <c r="P94" t="n">
        <v>0</v>
      </c>
      <c r="Q94" t="n">
        <v>1</v>
      </c>
      <c r="R94" s="2" t="inlineStr">
        <is>
          <t>Guckusko</t>
        </is>
      </c>
      <c r="S94">
        <f>HYPERLINK("https://klasma.github.io/Logging_2380/artfynd/A 33137-2021 artfynd.xlsx", "A 33137-2021")</f>
        <v/>
      </c>
      <c r="T94">
        <f>HYPERLINK("https://klasma.github.io/Logging_2380/kartor/A 33137-2021 karta.png", "A 33137-2021")</f>
        <v/>
      </c>
      <c r="V94">
        <f>HYPERLINK("https://klasma.github.io/Logging_2380/klagomål/A 33137-2021 FSC-klagomål.docx", "A 33137-2021")</f>
        <v/>
      </c>
      <c r="W94">
        <f>HYPERLINK("https://klasma.github.io/Logging_2380/klagomålsmail/A 33137-2021 FSC-klagomål mail.docx", "A 33137-2021")</f>
        <v/>
      </c>
      <c r="X94">
        <f>HYPERLINK("https://klasma.github.io/Logging_2380/tillsyn/A 33137-2021 tillsynsbegäran.docx", "A 33137-2021")</f>
        <v/>
      </c>
      <c r="Y94">
        <f>HYPERLINK("https://klasma.github.io/Logging_2380/tillsynsmail/A 33137-2021 tillsynsbegäran mail.docx", "A 33137-2021")</f>
        <v/>
      </c>
    </row>
    <row r="95" ht="15" customHeight="1">
      <c r="A95" t="inlineStr">
        <is>
          <t>A 46163-2021</t>
        </is>
      </c>
      <c r="B95" s="1" t="n">
        <v>44441</v>
      </c>
      <c r="C95" s="1" t="n">
        <v>45357</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55821-2021</t>
        </is>
      </c>
      <c r="B96" s="1" t="n">
        <v>44476</v>
      </c>
      <c r="C96" s="1" t="n">
        <v>45357</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59433-2021</t>
        </is>
      </c>
      <c r="B97" s="1" t="n">
        <v>44491</v>
      </c>
      <c r="C97" s="1" t="n">
        <v>45357</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9739-2022</t>
        </is>
      </c>
      <c r="B98" s="1" t="n">
        <v>44617</v>
      </c>
      <c r="C98" s="1" t="n">
        <v>45357</v>
      </c>
      <c r="D98" t="inlineStr">
        <is>
          <t>JÄMTLANDS LÄN</t>
        </is>
      </c>
      <c r="E98" t="inlineStr">
        <is>
          <t>ÖSTERSUND</t>
        </is>
      </c>
      <c r="F98" t="inlineStr">
        <is>
          <t>SCA</t>
        </is>
      </c>
      <c r="G98" t="n">
        <v>13.5</v>
      </c>
      <c r="H98" t="n">
        <v>0</v>
      </c>
      <c r="I98" t="n">
        <v>0</v>
      </c>
      <c r="J98" t="n">
        <v>1</v>
      </c>
      <c r="K98" t="n">
        <v>0</v>
      </c>
      <c r="L98" t="n">
        <v>0</v>
      </c>
      <c r="M98" t="n">
        <v>0</v>
      </c>
      <c r="N98" t="n">
        <v>0</v>
      </c>
      <c r="O98" t="n">
        <v>1</v>
      </c>
      <c r="P98" t="n">
        <v>0</v>
      </c>
      <c r="Q98" t="n">
        <v>1</v>
      </c>
      <c r="R98" s="2" t="inlineStr">
        <is>
          <t>Dvärgbägarlav</t>
        </is>
      </c>
      <c r="S98">
        <f>HYPERLINK("https://klasma.github.io/Logging_2380/artfynd/A 9739-2022 artfynd.xlsx", "A 9739-2022")</f>
        <v/>
      </c>
      <c r="T98">
        <f>HYPERLINK("https://klasma.github.io/Logging_2380/kartor/A 9739-2022 karta.png", "A 9739-2022")</f>
        <v/>
      </c>
      <c r="V98">
        <f>HYPERLINK("https://klasma.github.io/Logging_2380/klagomål/A 9739-2022 FSC-klagomål.docx", "A 9739-2022")</f>
        <v/>
      </c>
      <c r="W98">
        <f>HYPERLINK("https://klasma.github.io/Logging_2380/klagomålsmail/A 9739-2022 FSC-klagomål mail.docx", "A 9739-2022")</f>
        <v/>
      </c>
      <c r="X98">
        <f>HYPERLINK("https://klasma.github.io/Logging_2380/tillsyn/A 9739-2022 tillsynsbegäran.docx", "A 9739-2022")</f>
        <v/>
      </c>
      <c r="Y98">
        <f>HYPERLINK("https://klasma.github.io/Logging_2380/tillsynsmail/A 9739-2022 tillsynsbegäran mail.docx", "A 9739-2022")</f>
        <v/>
      </c>
    </row>
    <row r="99" ht="15" customHeight="1">
      <c r="A99" t="inlineStr">
        <is>
          <t>A 10336-2022</t>
        </is>
      </c>
      <c r="B99" s="1" t="n">
        <v>44623</v>
      </c>
      <c r="C99" s="1" t="n">
        <v>45357</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19798-2022</t>
        </is>
      </c>
      <c r="B100" s="1" t="n">
        <v>44694</v>
      </c>
      <c r="C100" s="1" t="n">
        <v>45357</v>
      </c>
      <c r="D100" t="inlineStr">
        <is>
          <t>JÄMTLANDS LÄN</t>
        </is>
      </c>
      <c r="E100" t="inlineStr">
        <is>
          <t>ÖSTERSUND</t>
        </is>
      </c>
      <c r="F100" t="inlineStr">
        <is>
          <t>SCA</t>
        </is>
      </c>
      <c r="G100" t="n">
        <v>1</v>
      </c>
      <c r="H100" t="n">
        <v>1</v>
      </c>
      <c r="I100" t="n">
        <v>1</v>
      </c>
      <c r="J100" t="n">
        <v>0</v>
      </c>
      <c r="K100" t="n">
        <v>0</v>
      </c>
      <c r="L100" t="n">
        <v>0</v>
      </c>
      <c r="M100" t="n">
        <v>0</v>
      </c>
      <c r="N100" t="n">
        <v>0</v>
      </c>
      <c r="O100" t="n">
        <v>0</v>
      </c>
      <c r="P100" t="n">
        <v>0</v>
      </c>
      <c r="Q100" t="n">
        <v>1</v>
      </c>
      <c r="R100" s="2" t="inlineStr">
        <is>
          <t>Guckusko</t>
        </is>
      </c>
      <c r="S100">
        <f>HYPERLINK("https://klasma.github.io/Logging_2380/artfynd/A 19798-2022 artfynd.xlsx", "A 19798-2022")</f>
        <v/>
      </c>
      <c r="T100">
        <f>HYPERLINK("https://klasma.github.io/Logging_2380/kartor/A 19798-2022 karta.png", "A 19798-2022")</f>
        <v/>
      </c>
      <c r="V100">
        <f>HYPERLINK("https://klasma.github.io/Logging_2380/klagomål/A 19798-2022 FSC-klagomål.docx", "A 19798-2022")</f>
        <v/>
      </c>
      <c r="W100">
        <f>HYPERLINK("https://klasma.github.io/Logging_2380/klagomålsmail/A 19798-2022 FSC-klagomål mail.docx", "A 19798-2022")</f>
        <v/>
      </c>
      <c r="X100">
        <f>HYPERLINK("https://klasma.github.io/Logging_2380/tillsyn/A 19798-2022 tillsynsbegäran.docx", "A 19798-2022")</f>
        <v/>
      </c>
      <c r="Y100">
        <f>HYPERLINK("https://klasma.github.io/Logging_2380/tillsynsmail/A 19798-2022 tillsynsbegäran mail.docx", "A 19798-2022")</f>
        <v/>
      </c>
    </row>
    <row r="101" ht="15" customHeight="1">
      <c r="A101" t="inlineStr">
        <is>
          <t>A 27578-2022</t>
        </is>
      </c>
      <c r="B101" s="1" t="n">
        <v>44742</v>
      </c>
      <c r="C101" s="1" t="n">
        <v>45357</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27576-2022</t>
        </is>
      </c>
      <c r="B102" s="1" t="n">
        <v>44742</v>
      </c>
      <c r="C102" s="1" t="n">
        <v>45357</v>
      </c>
      <c r="D102" t="inlineStr">
        <is>
          <t>JÄMTLANDS LÄN</t>
        </is>
      </c>
      <c r="E102" t="inlineStr">
        <is>
          <t>ÖSTERSUND</t>
        </is>
      </c>
      <c r="F102" t="inlineStr">
        <is>
          <t>SCA</t>
        </is>
      </c>
      <c r="G102" t="n">
        <v>0.6</v>
      </c>
      <c r="H102" t="n">
        <v>0</v>
      </c>
      <c r="I102" t="n">
        <v>0</v>
      </c>
      <c r="J102" t="n">
        <v>1</v>
      </c>
      <c r="K102" t="n">
        <v>0</v>
      </c>
      <c r="L102" t="n">
        <v>0</v>
      </c>
      <c r="M102" t="n">
        <v>0</v>
      </c>
      <c r="N102" t="n">
        <v>0</v>
      </c>
      <c r="O102" t="n">
        <v>1</v>
      </c>
      <c r="P102" t="n">
        <v>0</v>
      </c>
      <c r="Q102" t="n">
        <v>1</v>
      </c>
      <c r="R102" s="2" t="inlineStr">
        <is>
          <t>Ullticka</t>
        </is>
      </c>
      <c r="S102">
        <f>HYPERLINK("https://klasma.github.io/Logging_2380/artfynd/A 27576-2022 artfynd.xlsx", "A 27576-2022")</f>
        <v/>
      </c>
      <c r="T102">
        <f>HYPERLINK("https://klasma.github.io/Logging_2380/kartor/A 27576-2022 karta.png", "A 27576-2022")</f>
        <v/>
      </c>
      <c r="U102">
        <f>HYPERLINK("https://klasma.github.io/Logging_2380/knärot/A 27576-2022 karta knärot.png", "A 27576-2022")</f>
        <v/>
      </c>
      <c r="V102">
        <f>HYPERLINK("https://klasma.github.io/Logging_2380/klagomål/A 27576-2022 FSC-klagomål.docx", "A 27576-2022")</f>
        <v/>
      </c>
      <c r="W102">
        <f>HYPERLINK("https://klasma.github.io/Logging_2380/klagomålsmail/A 27576-2022 FSC-klagomål mail.docx", "A 27576-2022")</f>
        <v/>
      </c>
      <c r="X102">
        <f>HYPERLINK("https://klasma.github.io/Logging_2380/tillsyn/A 27576-2022 tillsynsbegäran.docx", "A 27576-2022")</f>
        <v/>
      </c>
      <c r="Y102">
        <f>HYPERLINK("https://klasma.github.io/Logging_2380/tillsynsmail/A 27576-2022 tillsynsbegäran mail.docx", "A 27576-2022")</f>
        <v/>
      </c>
    </row>
    <row r="103" ht="15" customHeight="1">
      <c r="A103" t="inlineStr">
        <is>
          <t>A 33267-2022</t>
        </is>
      </c>
      <c r="B103" s="1" t="n">
        <v>44785</v>
      </c>
      <c r="C103" s="1" t="n">
        <v>45357</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43935-2022</t>
        </is>
      </c>
      <c r="B104" s="1" t="n">
        <v>44838</v>
      </c>
      <c r="C104" s="1" t="n">
        <v>45357</v>
      </c>
      <c r="D104" t="inlineStr">
        <is>
          <t>JÄMTLANDS LÄN</t>
        </is>
      </c>
      <c r="E104" t="inlineStr">
        <is>
          <t>ÖSTERSUND</t>
        </is>
      </c>
      <c r="F104" t="inlineStr">
        <is>
          <t>Övriga Aktiebolag</t>
        </is>
      </c>
      <c r="G104" t="n">
        <v>19.2</v>
      </c>
      <c r="H104" t="n">
        <v>0</v>
      </c>
      <c r="I104" t="n">
        <v>0</v>
      </c>
      <c r="J104" t="n">
        <v>0</v>
      </c>
      <c r="K104" t="n">
        <v>1</v>
      </c>
      <c r="L104" t="n">
        <v>0</v>
      </c>
      <c r="M104" t="n">
        <v>0</v>
      </c>
      <c r="N104" t="n">
        <v>0</v>
      </c>
      <c r="O104" t="n">
        <v>1</v>
      </c>
      <c r="P104" t="n">
        <v>1</v>
      </c>
      <c r="Q104" t="n">
        <v>1</v>
      </c>
      <c r="R104" s="2" t="inlineStr">
        <is>
          <t>Sprickporing</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43947-2022</t>
        </is>
      </c>
      <c r="B105" s="1" t="n">
        <v>44838</v>
      </c>
      <c r="C105" s="1" t="n">
        <v>45357</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45357</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45357</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45357</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45357</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45357</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45357</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45357</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45357</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45357</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45357</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45357</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45357</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33963-2018</t>
        </is>
      </c>
      <c r="B118" s="1" t="n">
        <v>43314</v>
      </c>
      <c r="C118" s="1" t="n">
        <v>45357</v>
      </c>
      <c r="D118" t="inlineStr">
        <is>
          <t>JÄMTLANDS LÄN</t>
        </is>
      </c>
      <c r="E118" t="inlineStr">
        <is>
          <t>ÖSTERSUND</t>
        </is>
      </c>
      <c r="G118" t="n">
        <v>2.8</v>
      </c>
      <c r="H118" t="n">
        <v>0</v>
      </c>
      <c r="I118" t="n">
        <v>0</v>
      </c>
      <c r="J118" t="n">
        <v>0</v>
      </c>
      <c r="K118" t="n">
        <v>0</v>
      </c>
      <c r="L118" t="n">
        <v>0</v>
      </c>
      <c r="M118" t="n">
        <v>0</v>
      </c>
      <c r="N118" t="n">
        <v>0</v>
      </c>
      <c r="O118" t="n">
        <v>0</v>
      </c>
      <c r="P118" t="n">
        <v>0</v>
      </c>
      <c r="Q118" t="n">
        <v>0</v>
      </c>
      <c r="R118" s="2" t="inlineStr"/>
    </row>
    <row r="119" ht="15" customHeight="1">
      <c r="A119" t="inlineStr">
        <is>
          <t>A 33971-2018</t>
        </is>
      </c>
      <c r="B119" s="1" t="n">
        <v>43314</v>
      </c>
      <c r="C119" s="1" t="n">
        <v>45357</v>
      </c>
      <c r="D119" t="inlineStr">
        <is>
          <t>JÄMTLANDS LÄN</t>
        </is>
      </c>
      <c r="E119" t="inlineStr">
        <is>
          <t>ÖSTERSUND</t>
        </is>
      </c>
      <c r="G119" t="n">
        <v>4.3</v>
      </c>
      <c r="H119" t="n">
        <v>0</v>
      </c>
      <c r="I119" t="n">
        <v>0</v>
      </c>
      <c r="J119" t="n">
        <v>0</v>
      </c>
      <c r="K119" t="n">
        <v>0</v>
      </c>
      <c r="L119" t="n">
        <v>0</v>
      </c>
      <c r="M119" t="n">
        <v>0</v>
      </c>
      <c r="N119" t="n">
        <v>0</v>
      </c>
      <c r="O119" t="n">
        <v>0</v>
      </c>
      <c r="P119" t="n">
        <v>0</v>
      </c>
      <c r="Q119" t="n">
        <v>0</v>
      </c>
      <c r="R119" s="2" t="inlineStr"/>
    </row>
    <row r="120" ht="15" customHeight="1">
      <c r="A120" t="inlineStr">
        <is>
          <t>A 34942-2018</t>
        </is>
      </c>
      <c r="B120" s="1" t="n">
        <v>43321</v>
      </c>
      <c r="C120" s="1" t="n">
        <v>45357</v>
      </c>
      <c r="D120" t="inlineStr">
        <is>
          <t>JÄMTLANDS LÄN</t>
        </is>
      </c>
      <c r="E120" t="inlineStr">
        <is>
          <t>ÖSTERSUND</t>
        </is>
      </c>
      <c r="G120" t="n">
        <v>5.1</v>
      </c>
      <c r="H120" t="n">
        <v>0</v>
      </c>
      <c r="I120" t="n">
        <v>0</v>
      </c>
      <c r="J120" t="n">
        <v>0</v>
      </c>
      <c r="K120" t="n">
        <v>0</v>
      </c>
      <c r="L120" t="n">
        <v>0</v>
      </c>
      <c r="M120" t="n">
        <v>0</v>
      </c>
      <c r="N120" t="n">
        <v>0</v>
      </c>
      <c r="O120" t="n">
        <v>0</v>
      </c>
      <c r="P120" t="n">
        <v>0</v>
      </c>
      <c r="Q120" t="n">
        <v>0</v>
      </c>
      <c r="R120" s="2" t="inlineStr"/>
    </row>
    <row r="121" ht="15" customHeight="1">
      <c r="A121" t="inlineStr">
        <is>
          <t>A 34944-2018</t>
        </is>
      </c>
      <c r="B121" s="1" t="n">
        <v>43321</v>
      </c>
      <c r="C121" s="1" t="n">
        <v>45357</v>
      </c>
      <c r="D121" t="inlineStr">
        <is>
          <t>JÄMTLANDS LÄN</t>
        </is>
      </c>
      <c r="E121" t="inlineStr">
        <is>
          <t>ÖSTERSUND</t>
        </is>
      </c>
      <c r="G121" t="n">
        <v>11.7</v>
      </c>
      <c r="H121" t="n">
        <v>0</v>
      </c>
      <c r="I121" t="n">
        <v>0</v>
      </c>
      <c r="J121" t="n">
        <v>0</v>
      </c>
      <c r="K121" t="n">
        <v>0</v>
      </c>
      <c r="L121" t="n">
        <v>0</v>
      </c>
      <c r="M121" t="n">
        <v>0</v>
      </c>
      <c r="N121" t="n">
        <v>0</v>
      </c>
      <c r="O121" t="n">
        <v>0</v>
      </c>
      <c r="P121" t="n">
        <v>0</v>
      </c>
      <c r="Q121" t="n">
        <v>0</v>
      </c>
      <c r="R121" s="2" t="inlineStr"/>
    </row>
    <row r="122" ht="15" customHeight="1">
      <c r="A122" t="inlineStr">
        <is>
          <t>A 37265-2018</t>
        </is>
      </c>
      <c r="B122" s="1" t="n">
        <v>43332</v>
      </c>
      <c r="C122" s="1" t="n">
        <v>45357</v>
      </c>
      <c r="D122" t="inlineStr">
        <is>
          <t>JÄMTLANDS LÄN</t>
        </is>
      </c>
      <c r="E122" t="inlineStr">
        <is>
          <t>ÖSTERSUND</t>
        </is>
      </c>
      <c r="G122" t="n">
        <v>0.7</v>
      </c>
      <c r="H122" t="n">
        <v>0</v>
      </c>
      <c r="I122" t="n">
        <v>0</v>
      </c>
      <c r="J122" t="n">
        <v>0</v>
      </c>
      <c r="K122" t="n">
        <v>0</v>
      </c>
      <c r="L122" t="n">
        <v>0</v>
      </c>
      <c r="M122" t="n">
        <v>0</v>
      </c>
      <c r="N122" t="n">
        <v>0</v>
      </c>
      <c r="O122" t="n">
        <v>0</v>
      </c>
      <c r="P122" t="n">
        <v>0</v>
      </c>
      <c r="Q122" t="n">
        <v>0</v>
      </c>
      <c r="R122" s="2" t="inlineStr"/>
    </row>
    <row r="123" ht="15" customHeight="1">
      <c r="A123" t="inlineStr">
        <is>
          <t>A 37199-2018</t>
        </is>
      </c>
      <c r="B123" s="1" t="n">
        <v>43333</v>
      </c>
      <c r="C123" s="1" t="n">
        <v>45357</v>
      </c>
      <c r="D123" t="inlineStr">
        <is>
          <t>JÄMTLANDS LÄN</t>
        </is>
      </c>
      <c r="E123" t="inlineStr">
        <is>
          <t>ÖSTERSUND</t>
        </is>
      </c>
      <c r="G123" t="n">
        <v>2.6</v>
      </c>
      <c r="H123" t="n">
        <v>0</v>
      </c>
      <c r="I123" t="n">
        <v>0</v>
      </c>
      <c r="J123" t="n">
        <v>0</v>
      </c>
      <c r="K123" t="n">
        <v>0</v>
      </c>
      <c r="L123" t="n">
        <v>0</v>
      </c>
      <c r="M123" t="n">
        <v>0</v>
      </c>
      <c r="N123" t="n">
        <v>0</v>
      </c>
      <c r="O123" t="n">
        <v>0</v>
      </c>
      <c r="P123" t="n">
        <v>0</v>
      </c>
      <c r="Q123" t="n">
        <v>0</v>
      </c>
      <c r="R123" s="2" t="inlineStr"/>
    </row>
    <row r="124" ht="15" customHeight="1">
      <c r="A124" t="inlineStr">
        <is>
          <t>A 38170-2018</t>
        </is>
      </c>
      <c r="B124" s="1" t="n">
        <v>43336</v>
      </c>
      <c r="C124" s="1" t="n">
        <v>45357</v>
      </c>
      <c r="D124" t="inlineStr">
        <is>
          <t>JÄMTLANDS LÄN</t>
        </is>
      </c>
      <c r="E124" t="inlineStr">
        <is>
          <t>ÖSTERSUND</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46335-2018</t>
        </is>
      </c>
      <c r="B125" s="1" t="n">
        <v>43364</v>
      </c>
      <c r="C125" s="1" t="n">
        <v>45357</v>
      </c>
      <c r="D125" t="inlineStr">
        <is>
          <t>JÄMTLANDS LÄN</t>
        </is>
      </c>
      <c r="E125" t="inlineStr">
        <is>
          <t>ÖSTERSUND</t>
        </is>
      </c>
      <c r="G125" t="n">
        <v>0.6</v>
      </c>
      <c r="H125" t="n">
        <v>0</v>
      </c>
      <c r="I125" t="n">
        <v>0</v>
      </c>
      <c r="J125" t="n">
        <v>0</v>
      </c>
      <c r="K125" t="n">
        <v>0</v>
      </c>
      <c r="L125" t="n">
        <v>0</v>
      </c>
      <c r="M125" t="n">
        <v>0</v>
      </c>
      <c r="N125" t="n">
        <v>0</v>
      </c>
      <c r="O125" t="n">
        <v>0</v>
      </c>
      <c r="P125" t="n">
        <v>0</v>
      </c>
      <c r="Q125" t="n">
        <v>0</v>
      </c>
      <c r="R125" s="2" t="inlineStr"/>
    </row>
    <row r="126" ht="15" customHeight="1">
      <c r="A126" t="inlineStr">
        <is>
          <t>A 45747-2018</t>
        </is>
      </c>
      <c r="B126" s="1" t="n">
        <v>43364</v>
      </c>
      <c r="C126" s="1" t="n">
        <v>45357</v>
      </c>
      <c r="D126" t="inlineStr">
        <is>
          <t>JÄMTLANDS LÄN</t>
        </is>
      </c>
      <c r="E126" t="inlineStr">
        <is>
          <t>ÖSTERSUND</t>
        </is>
      </c>
      <c r="G126" t="n">
        <v>1.2</v>
      </c>
      <c r="H126" t="n">
        <v>0</v>
      </c>
      <c r="I126" t="n">
        <v>0</v>
      </c>
      <c r="J126" t="n">
        <v>0</v>
      </c>
      <c r="K126" t="n">
        <v>0</v>
      </c>
      <c r="L126" t="n">
        <v>0</v>
      </c>
      <c r="M126" t="n">
        <v>0</v>
      </c>
      <c r="N126" t="n">
        <v>0</v>
      </c>
      <c r="O126" t="n">
        <v>0</v>
      </c>
      <c r="P126" t="n">
        <v>0</v>
      </c>
      <c r="Q126" t="n">
        <v>0</v>
      </c>
      <c r="R126" s="2" t="inlineStr"/>
    </row>
    <row r="127" ht="15" customHeight="1">
      <c r="A127" t="inlineStr">
        <is>
          <t>A 49046-2018</t>
        </is>
      </c>
      <c r="B127" s="1" t="n">
        <v>43371</v>
      </c>
      <c r="C127" s="1" t="n">
        <v>45357</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49055-2018</t>
        </is>
      </c>
      <c r="B128" s="1" t="n">
        <v>43371</v>
      </c>
      <c r="C128" s="1" t="n">
        <v>45357</v>
      </c>
      <c r="D128" t="inlineStr">
        <is>
          <t>JÄMTLANDS LÄN</t>
        </is>
      </c>
      <c r="E128" t="inlineStr">
        <is>
          <t>ÖSTERSUND</t>
        </is>
      </c>
      <c r="G128" t="n">
        <v>1.6</v>
      </c>
      <c r="H128" t="n">
        <v>0</v>
      </c>
      <c r="I128" t="n">
        <v>0</v>
      </c>
      <c r="J128" t="n">
        <v>0</v>
      </c>
      <c r="K128" t="n">
        <v>0</v>
      </c>
      <c r="L128" t="n">
        <v>0</v>
      </c>
      <c r="M128" t="n">
        <v>0</v>
      </c>
      <c r="N128" t="n">
        <v>0</v>
      </c>
      <c r="O128" t="n">
        <v>0</v>
      </c>
      <c r="P128" t="n">
        <v>0</v>
      </c>
      <c r="Q128" t="n">
        <v>0</v>
      </c>
      <c r="R128" s="2" t="inlineStr"/>
    </row>
    <row r="129" ht="15" customHeight="1">
      <c r="A129" t="inlineStr">
        <is>
          <t>A 49043-2018</t>
        </is>
      </c>
      <c r="B129" s="1" t="n">
        <v>43371</v>
      </c>
      <c r="C129" s="1" t="n">
        <v>45357</v>
      </c>
      <c r="D129" t="inlineStr">
        <is>
          <t>JÄMTLANDS LÄN</t>
        </is>
      </c>
      <c r="E129" t="inlineStr">
        <is>
          <t>ÖSTERSUND</t>
        </is>
      </c>
      <c r="G129" t="n">
        <v>0.9</v>
      </c>
      <c r="H129" t="n">
        <v>0</v>
      </c>
      <c r="I129" t="n">
        <v>0</v>
      </c>
      <c r="J129" t="n">
        <v>0</v>
      </c>
      <c r="K129" t="n">
        <v>0</v>
      </c>
      <c r="L129" t="n">
        <v>0</v>
      </c>
      <c r="M129" t="n">
        <v>0</v>
      </c>
      <c r="N129" t="n">
        <v>0</v>
      </c>
      <c r="O129" t="n">
        <v>0</v>
      </c>
      <c r="P129" t="n">
        <v>0</v>
      </c>
      <c r="Q129" t="n">
        <v>0</v>
      </c>
      <c r="R129" s="2" t="inlineStr"/>
    </row>
    <row r="130" ht="15" customHeight="1">
      <c r="A130" t="inlineStr">
        <is>
          <t>A 49061-2018</t>
        </is>
      </c>
      <c r="B130" s="1" t="n">
        <v>43371</v>
      </c>
      <c r="C130" s="1" t="n">
        <v>45357</v>
      </c>
      <c r="D130" t="inlineStr">
        <is>
          <t>JÄMTLANDS LÄN</t>
        </is>
      </c>
      <c r="E130" t="inlineStr">
        <is>
          <t>ÖSTERSUND</t>
        </is>
      </c>
      <c r="G130" t="n">
        <v>0.8</v>
      </c>
      <c r="H130" t="n">
        <v>0</v>
      </c>
      <c r="I130" t="n">
        <v>0</v>
      </c>
      <c r="J130" t="n">
        <v>0</v>
      </c>
      <c r="K130" t="n">
        <v>0</v>
      </c>
      <c r="L130" t="n">
        <v>0</v>
      </c>
      <c r="M130" t="n">
        <v>0</v>
      </c>
      <c r="N130" t="n">
        <v>0</v>
      </c>
      <c r="O130" t="n">
        <v>0</v>
      </c>
      <c r="P130" t="n">
        <v>0</v>
      </c>
      <c r="Q130" t="n">
        <v>0</v>
      </c>
      <c r="R130" s="2" t="inlineStr"/>
    </row>
    <row r="131" ht="15" customHeight="1">
      <c r="A131" t="inlineStr">
        <is>
          <t>A 51794-2018</t>
        </is>
      </c>
      <c r="B131" s="1" t="n">
        <v>43381</v>
      </c>
      <c r="C131" s="1" t="n">
        <v>45357</v>
      </c>
      <c r="D131" t="inlineStr">
        <is>
          <t>JÄMTLANDS LÄN</t>
        </is>
      </c>
      <c r="E131" t="inlineStr">
        <is>
          <t>ÖSTERSUND</t>
        </is>
      </c>
      <c r="G131" t="n">
        <v>3.2</v>
      </c>
      <c r="H131" t="n">
        <v>0</v>
      </c>
      <c r="I131" t="n">
        <v>0</v>
      </c>
      <c r="J131" t="n">
        <v>0</v>
      </c>
      <c r="K131" t="n">
        <v>0</v>
      </c>
      <c r="L131" t="n">
        <v>0</v>
      </c>
      <c r="M131" t="n">
        <v>0</v>
      </c>
      <c r="N131" t="n">
        <v>0</v>
      </c>
      <c r="O131" t="n">
        <v>0</v>
      </c>
      <c r="P131" t="n">
        <v>0</v>
      </c>
      <c r="Q131" t="n">
        <v>0</v>
      </c>
      <c r="R131" s="2" t="inlineStr"/>
    </row>
    <row r="132" ht="15" customHeight="1">
      <c r="A132" t="inlineStr">
        <is>
          <t>A 54584-2018</t>
        </is>
      </c>
      <c r="B132" s="1" t="n">
        <v>43395</v>
      </c>
      <c r="C132" s="1" t="n">
        <v>45357</v>
      </c>
      <c r="D132" t="inlineStr">
        <is>
          <t>JÄMTLANDS LÄN</t>
        </is>
      </c>
      <c r="E132" t="inlineStr">
        <is>
          <t>ÖSTERSUND</t>
        </is>
      </c>
      <c r="F132" t="inlineStr">
        <is>
          <t>Övriga Aktiebolag</t>
        </is>
      </c>
      <c r="G132" t="n">
        <v>22.8</v>
      </c>
      <c r="H132" t="n">
        <v>0</v>
      </c>
      <c r="I132" t="n">
        <v>0</v>
      </c>
      <c r="J132" t="n">
        <v>0</v>
      </c>
      <c r="K132" t="n">
        <v>0</v>
      </c>
      <c r="L132" t="n">
        <v>0</v>
      </c>
      <c r="M132" t="n">
        <v>0</v>
      </c>
      <c r="N132" t="n">
        <v>0</v>
      </c>
      <c r="O132" t="n">
        <v>0</v>
      </c>
      <c r="P132" t="n">
        <v>0</v>
      </c>
      <c r="Q132" t="n">
        <v>0</v>
      </c>
      <c r="R132" s="2" t="inlineStr"/>
    </row>
    <row r="133" ht="15" customHeight="1">
      <c r="A133" t="inlineStr">
        <is>
          <t>A 55969-2018</t>
        </is>
      </c>
      <c r="B133" s="1" t="n">
        <v>43398</v>
      </c>
      <c r="C133" s="1" t="n">
        <v>45357</v>
      </c>
      <c r="D133" t="inlineStr">
        <is>
          <t>JÄMTLANDS LÄN</t>
        </is>
      </c>
      <c r="E133" t="inlineStr">
        <is>
          <t>ÖSTERSUND</t>
        </is>
      </c>
      <c r="F133" t="inlineStr">
        <is>
          <t>Övriga Aktiebolag</t>
        </is>
      </c>
      <c r="G133" t="n">
        <v>29.2</v>
      </c>
      <c r="H133" t="n">
        <v>0</v>
      </c>
      <c r="I133" t="n">
        <v>0</v>
      </c>
      <c r="J133" t="n">
        <v>0</v>
      </c>
      <c r="K133" t="n">
        <v>0</v>
      </c>
      <c r="L133" t="n">
        <v>0</v>
      </c>
      <c r="M133" t="n">
        <v>0</v>
      </c>
      <c r="N133" t="n">
        <v>0</v>
      </c>
      <c r="O133" t="n">
        <v>0</v>
      </c>
      <c r="P133" t="n">
        <v>0</v>
      </c>
      <c r="Q133" t="n">
        <v>0</v>
      </c>
      <c r="R133" s="2" t="inlineStr"/>
    </row>
    <row r="134" ht="15" customHeight="1">
      <c r="A134" t="inlineStr">
        <is>
          <t>A 58104-2018</t>
        </is>
      </c>
      <c r="B134" s="1" t="n">
        <v>43398</v>
      </c>
      <c r="C134" s="1" t="n">
        <v>45357</v>
      </c>
      <c r="D134" t="inlineStr">
        <is>
          <t>JÄMTLANDS LÄN</t>
        </is>
      </c>
      <c r="E134" t="inlineStr">
        <is>
          <t>ÖSTERSUND</t>
        </is>
      </c>
      <c r="G134" t="n">
        <v>4.9</v>
      </c>
      <c r="H134" t="n">
        <v>0</v>
      </c>
      <c r="I134" t="n">
        <v>0</v>
      </c>
      <c r="J134" t="n">
        <v>0</v>
      </c>
      <c r="K134" t="n">
        <v>0</v>
      </c>
      <c r="L134" t="n">
        <v>0</v>
      </c>
      <c r="M134" t="n">
        <v>0</v>
      </c>
      <c r="N134" t="n">
        <v>0</v>
      </c>
      <c r="O134" t="n">
        <v>0</v>
      </c>
      <c r="P134" t="n">
        <v>0</v>
      </c>
      <c r="Q134" t="n">
        <v>0</v>
      </c>
      <c r="R134" s="2" t="inlineStr"/>
    </row>
    <row r="135" ht="15" customHeight="1">
      <c r="A135" t="inlineStr">
        <is>
          <t>A 58616-2018</t>
        </is>
      </c>
      <c r="B135" s="1" t="n">
        <v>43399</v>
      </c>
      <c r="C135" s="1" t="n">
        <v>45357</v>
      </c>
      <c r="D135" t="inlineStr">
        <is>
          <t>JÄMTLANDS LÄN</t>
        </is>
      </c>
      <c r="E135" t="inlineStr">
        <is>
          <t>ÖSTERSUND</t>
        </is>
      </c>
      <c r="G135" t="n">
        <v>2.8</v>
      </c>
      <c r="H135" t="n">
        <v>0</v>
      </c>
      <c r="I135" t="n">
        <v>0</v>
      </c>
      <c r="J135" t="n">
        <v>0</v>
      </c>
      <c r="K135" t="n">
        <v>0</v>
      </c>
      <c r="L135" t="n">
        <v>0</v>
      </c>
      <c r="M135" t="n">
        <v>0</v>
      </c>
      <c r="N135" t="n">
        <v>0</v>
      </c>
      <c r="O135" t="n">
        <v>0</v>
      </c>
      <c r="P135" t="n">
        <v>0</v>
      </c>
      <c r="Q135" t="n">
        <v>0</v>
      </c>
      <c r="R135" s="2" t="inlineStr"/>
    </row>
    <row r="136" ht="15" customHeight="1">
      <c r="A136" t="inlineStr">
        <is>
          <t>A 59019-2018</t>
        </is>
      </c>
      <c r="B136" s="1" t="n">
        <v>43402</v>
      </c>
      <c r="C136" s="1" t="n">
        <v>45357</v>
      </c>
      <c r="D136" t="inlineStr">
        <is>
          <t>JÄMTLANDS LÄN</t>
        </is>
      </c>
      <c r="E136" t="inlineStr">
        <is>
          <t>ÖSTERSUND</t>
        </is>
      </c>
      <c r="G136" t="n">
        <v>5</v>
      </c>
      <c r="H136" t="n">
        <v>0</v>
      </c>
      <c r="I136" t="n">
        <v>0</v>
      </c>
      <c r="J136" t="n">
        <v>0</v>
      </c>
      <c r="K136" t="n">
        <v>0</v>
      </c>
      <c r="L136" t="n">
        <v>0</v>
      </c>
      <c r="M136" t="n">
        <v>0</v>
      </c>
      <c r="N136" t="n">
        <v>0</v>
      </c>
      <c r="O136" t="n">
        <v>0</v>
      </c>
      <c r="P136" t="n">
        <v>0</v>
      </c>
      <c r="Q136" t="n">
        <v>0</v>
      </c>
      <c r="R136" s="2" t="inlineStr"/>
    </row>
    <row r="137" ht="15" customHeight="1">
      <c r="A137" t="inlineStr">
        <is>
          <t>A 59324-2018</t>
        </is>
      </c>
      <c r="B137" s="1" t="n">
        <v>43411</v>
      </c>
      <c r="C137" s="1" t="n">
        <v>45357</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61055-2018</t>
        </is>
      </c>
      <c r="B138" s="1" t="n">
        <v>43412</v>
      </c>
      <c r="C138" s="1" t="n">
        <v>45357</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64473-2018</t>
        </is>
      </c>
      <c r="B139" s="1" t="n">
        <v>43419</v>
      </c>
      <c r="C139" s="1" t="n">
        <v>45357</v>
      </c>
      <c r="D139" t="inlineStr">
        <is>
          <t>JÄMTLANDS LÄN</t>
        </is>
      </c>
      <c r="E139" t="inlineStr">
        <is>
          <t>ÖSTERSUND</t>
        </is>
      </c>
      <c r="G139" t="n">
        <v>4.4</v>
      </c>
      <c r="H139" t="n">
        <v>0</v>
      </c>
      <c r="I139" t="n">
        <v>0</v>
      </c>
      <c r="J139" t="n">
        <v>0</v>
      </c>
      <c r="K139" t="n">
        <v>0</v>
      </c>
      <c r="L139" t="n">
        <v>0</v>
      </c>
      <c r="M139" t="n">
        <v>0</v>
      </c>
      <c r="N139" t="n">
        <v>0</v>
      </c>
      <c r="O139" t="n">
        <v>0</v>
      </c>
      <c r="P139" t="n">
        <v>0</v>
      </c>
      <c r="Q139" t="n">
        <v>0</v>
      </c>
      <c r="R139" s="2" t="inlineStr"/>
    </row>
    <row r="140" ht="15" customHeight="1">
      <c r="A140" t="inlineStr">
        <is>
          <t>A 65165-2018</t>
        </is>
      </c>
      <c r="B140" s="1" t="n">
        <v>43423</v>
      </c>
      <c r="C140" s="1" t="n">
        <v>45357</v>
      </c>
      <c r="D140" t="inlineStr">
        <is>
          <t>JÄMTLANDS LÄN</t>
        </is>
      </c>
      <c r="E140" t="inlineStr">
        <is>
          <t>ÖSTERSUND</t>
        </is>
      </c>
      <c r="G140" t="n">
        <v>19.9</v>
      </c>
      <c r="H140" t="n">
        <v>0</v>
      </c>
      <c r="I140" t="n">
        <v>0</v>
      </c>
      <c r="J140" t="n">
        <v>0</v>
      </c>
      <c r="K140" t="n">
        <v>0</v>
      </c>
      <c r="L140" t="n">
        <v>0</v>
      </c>
      <c r="M140" t="n">
        <v>0</v>
      </c>
      <c r="N140" t="n">
        <v>0</v>
      </c>
      <c r="O140" t="n">
        <v>0</v>
      </c>
      <c r="P140" t="n">
        <v>0</v>
      </c>
      <c r="Q140" t="n">
        <v>0</v>
      </c>
      <c r="R140" s="2" t="inlineStr"/>
    </row>
    <row r="141" ht="15" customHeight="1">
      <c r="A141" t="inlineStr">
        <is>
          <t>A 61822-2018</t>
        </is>
      </c>
      <c r="B141" s="1" t="n">
        <v>43425</v>
      </c>
      <c r="C141" s="1" t="n">
        <v>45357</v>
      </c>
      <c r="D141" t="inlineStr">
        <is>
          <t>JÄMTLANDS LÄN</t>
        </is>
      </c>
      <c r="E141" t="inlineStr">
        <is>
          <t>ÖSTERSUND</t>
        </is>
      </c>
      <c r="G141" t="n">
        <v>4.7</v>
      </c>
      <c r="H141" t="n">
        <v>0</v>
      </c>
      <c r="I141" t="n">
        <v>0</v>
      </c>
      <c r="J141" t="n">
        <v>0</v>
      </c>
      <c r="K141" t="n">
        <v>0</v>
      </c>
      <c r="L141" t="n">
        <v>0</v>
      </c>
      <c r="M141" t="n">
        <v>0</v>
      </c>
      <c r="N141" t="n">
        <v>0</v>
      </c>
      <c r="O141" t="n">
        <v>0</v>
      </c>
      <c r="P141" t="n">
        <v>0</v>
      </c>
      <c r="Q141" t="n">
        <v>0</v>
      </c>
      <c r="R141" s="2" t="inlineStr"/>
    </row>
    <row r="142" ht="15" customHeight="1">
      <c r="A142" t="inlineStr">
        <is>
          <t>A 62924-2018</t>
        </is>
      </c>
      <c r="B142" s="1" t="n">
        <v>43426</v>
      </c>
      <c r="C142" s="1" t="n">
        <v>45357</v>
      </c>
      <c r="D142" t="inlineStr">
        <is>
          <t>JÄMTLANDS LÄN</t>
        </is>
      </c>
      <c r="E142" t="inlineStr">
        <is>
          <t>ÖSTERSUND</t>
        </is>
      </c>
      <c r="G142" t="n">
        <v>4.8</v>
      </c>
      <c r="H142" t="n">
        <v>0</v>
      </c>
      <c r="I142" t="n">
        <v>0</v>
      </c>
      <c r="J142" t="n">
        <v>0</v>
      </c>
      <c r="K142" t="n">
        <v>0</v>
      </c>
      <c r="L142" t="n">
        <v>0</v>
      </c>
      <c r="M142" t="n">
        <v>0</v>
      </c>
      <c r="N142" t="n">
        <v>0</v>
      </c>
      <c r="O142" t="n">
        <v>0</v>
      </c>
      <c r="P142" t="n">
        <v>0</v>
      </c>
      <c r="Q142" t="n">
        <v>0</v>
      </c>
      <c r="R142" s="2" t="inlineStr"/>
    </row>
    <row r="143" ht="15" customHeight="1">
      <c r="A143" t="inlineStr">
        <is>
          <t>A 68550-2018</t>
        </is>
      </c>
      <c r="B143" s="1" t="n">
        <v>43439</v>
      </c>
      <c r="C143" s="1" t="n">
        <v>45357</v>
      </c>
      <c r="D143" t="inlineStr">
        <is>
          <t>JÄMTLANDS LÄN</t>
        </is>
      </c>
      <c r="E143" t="inlineStr">
        <is>
          <t>ÖSTERSUND</t>
        </is>
      </c>
      <c r="G143" t="n">
        <v>0.8</v>
      </c>
      <c r="H143" t="n">
        <v>0</v>
      </c>
      <c r="I143" t="n">
        <v>0</v>
      </c>
      <c r="J143" t="n">
        <v>0</v>
      </c>
      <c r="K143" t="n">
        <v>0</v>
      </c>
      <c r="L143" t="n">
        <v>0</v>
      </c>
      <c r="M143" t="n">
        <v>0</v>
      </c>
      <c r="N143" t="n">
        <v>0</v>
      </c>
      <c r="O143" t="n">
        <v>0</v>
      </c>
      <c r="P143" t="n">
        <v>0</v>
      </c>
      <c r="Q143" t="n">
        <v>0</v>
      </c>
      <c r="R143" s="2" t="inlineStr"/>
    </row>
    <row r="144" ht="15" customHeight="1">
      <c r="A144" t="inlineStr">
        <is>
          <t>A 69129-2018</t>
        </is>
      </c>
      <c r="B144" s="1" t="n">
        <v>43440</v>
      </c>
      <c r="C144" s="1" t="n">
        <v>45357</v>
      </c>
      <c r="D144" t="inlineStr">
        <is>
          <t>JÄMTLANDS LÄN</t>
        </is>
      </c>
      <c r="E144" t="inlineStr">
        <is>
          <t>ÖSTERSUND</t>
        </is>
      </c>
      <c r="G144" t="n">
        <v>15.1</v>
      </c>
      <c r="H144" t="n">
        <v>0</v>
      </c>
      <c r="I144" t="n">
        <v>0</v>
      </c>
      <c r="J144" t="n">
        <v>0</v>
      </c>
      <c r="K144" t="n">
        <v>0</v>
      </c>
      <c r="L144" t="n">
        <v>0</v>
      </c>
      <c r="M144" t="n">
        <v>0</v>
      </c>
      <c r="N144" t="n">
        <v>0</v>
      </c>
      <c r="O144" t="n">
        <v>0</v>
      </c>
      <c r="P144" t="n">
        <v>0</v>
      </c>
      <c r="Q144" t="n">
        <v>0</v>
      </c>
      <c r="R144" s="2" t="inlineStr"/>
    </row>
    <row r="145" ht="15" customHeight="1">
      <c r="A145" t="inlineStr">
        <is>
          <t>A 70018-2018</t>
        </is>
      </c>
      <c r="B145" s="1" t="n">
        <v>43448</v>
      </c>
      <c r="C145" s="1" t="n">
        <v>45357</v>
      </c>
      <c r="D145" t="inlineStr">
        <is>
          <t>JÄMTLANDS LÄN</t>
        </is>
      </c>
      <c r="E145" t="inlineStr">
        <is>
          <t>ÖSTERSUND</t>
        </is>
      </c>
      <c r="G145" t="n">
        <v>0.1</v>
      </c>
      <c r="H145" t="n">
        <v>0</v>
      </c>
      <c r="I145" t="n">
        <v>0</v>
      </c>
      <c r="J145" t="n">
        <v>0</v>
      </c>
      <c r="K145" t="n">
        <v>0</v>
      </c>
      <c r="L145" t="n">
        <v>0</v>
      </c>
      <c r="M145" t="n">
        <v>0</v>
      </c>
      <c r="N145" t="n">
        <v>0</v>
      </c>
      <c r="O145" t="n">
        <v>0</v>
      </c>
      <c r="P145" t="n">
        <v>0</v>
      </c>
      <c r="Q145" t="n">
        <v>0</v>
      </c>
      <c r="R145" s="2" t="inlineStr"/>
    </row>
    <row r="146" ht="15" customHeight="1">
      <c r="A146" t="inlineStr">
        <is>
          <t>A 70783-2018</t>
        </is>
      </c>
      <c r="B146" s="1" t="n">
        <v>43451</v>
      </c>
      <c r="C146" s="1" t="n">
        <v>45357</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70784-2018</t>
        </is>
      </c>
      <c r="B147" s="1" t="n">
        <v>43451</v>
      </c>
      <c r="C147" s="1" t="n">
        <v>45357</v>
      </c>
      <c r="D147" t="inlineStr">
        <is>
          <t>JÄMTLANDS LÄN</t>
        </is>
      </c>
      <c r="E147" t="inlineStr">
        <is>
          <t>ÖSTERSUND</t>
        </is>
      </c>
      <c r="G147" t="n">
        <v>3.2</v>
      </c>
      <c r="H147" t="n">
        <v>0</v>
      </c>
      <c r="I147" t="n">
        <v>0</v>
      </c>
      <c r="J147" t="n">
        <v>0</v>
      </c>
      <c r="K147" t="n">
        <v>0</v>
      </c>
      <c r="L147" t="n">
        <v>0</v>
      </c>
      <c r="M147" t="n">
        <v>0</v>
      </c>
      <c r="N147" t="n">
        <v>0</v>
      </c>
      <c r="O147" t="n">
        <v>0</v>
      </c>
      <c r="P147" t="n">
        <v>0</v>
      </c>
      <c r="Q147" t="n">
        <v>0</v>
      </c>
      <c r="R147" s="2" t="inlineStr"/>
    </row>
    <row r="148" ht="15" customHeight="1">
      <c r="A148" t="inlineStr">
        <is>
          <t>A 71042-2018</t>
        </is>
      </c>
      <c r="B148" s="1" t="n">
        <v>43452</v>
      </c>
      <c r="C148" s="1" t="n">
        <v>45357</v>
      </c>
      <c r="D148" t="inlineStr">
        <is>
          <t>JÄMTLANDS LÄN</t>
        </is>
      </c>
      <c r="E148" t="inlineStr">
        <is>
          <t>ÖSTERSUND</t>
        </is>
      </c>
      <c r="G148" t="n">
        <v>6.2</v>
      </c>
      <c r="H148" t="n">
        <v>0</v>
      </c>
      <c r="I148" t="n">
        <v>0</v>
      </c>
      <c r="J148" t="n">
        <v>0</v>
      </c>
      <c r="K148" t="n">
        <v>0</v>
      </c>
      <c r="L148" t="n">
        <v>0</v>
      </c>
      <c r="M148" t="n">
        <v>0</v>
      </c>
      <c r="N148" t="n">
        <v>0</v>
      </c>
      <c r="O148" t="n">
        <v>0</v>
      </c>
      <c r="P148" t="n">
        <v>0</v>
      </c>
      <c r="Q148" t="n">
        <v>0</v>
      </c>
      <c r="R148" s="2" t="inlineStr"/>
    </row>
    <row r="149" ht="15" customHeight="1">
      <c r="A149" t="inlineStr">
        <is>
          <t>A 71773-2018</t>
        </is>
      </c>
      <c r="B149" s="1" t="n">
        <v>43454</v>
      </c>
      <c r="C149" s="1" t="n">
        <v>45357</v>
      </c>
      <c r="D149" t="inlineStr">
        <is>
          <t>JÄMTLANDS LÄN</t>
        </is>
      </c>
      <c r="E149" t="inlineStr">
        <is>
          <t>ÖSTERSUND</t>
        </is>
      </c>
      <c r="G149" t="n">
        <v>4.6</v>
      </c>
      <c r="H149" t="n">
        <v>0</v>
      </c>
      <c r="I149" t="n">
        <v>0</v>
      </c>
      <c r="J149" t="n">
        <v>0</v>
      </c>
      <c r="K149" t="n">
        <v>0</v>
      </c>
      <c r="L149" t="n">
        <v>0</v>
      </c>
      <c r="M149" t="n">
        <v>0</v>
      </c>
      <c r="N149" t="n">
        <v>0</v>
      </c>
      <c r="O149" t="n">
        <v>0</v>
      </c>
      <c r="P149" t="n">
        <v>0</v>
      </c>
      <c r="Q149" t="n">
        <v>0</v>
      </c>
      <c r="R149" s="2" t="inlineStr"/>
    </row>
    <row r="150" ht="15" customHeight="1">
      <c r="A150" t="inlineStr">
        <is>
          <t>A 71747-2018</t>
        </is>
      </c>
      <c r="B150" s="1" t="n">
        <v>43454</v>
      </c>
      <c r="C150" s="1" t="n">
        <v>45357</v>
      </c>
      <c r="D150" t="inlineStr">
        <is>
          <t>JÄMTLANDS LÄN</t>
        </is>
      </c>
      <c r="E150" t="inlineStr">
        <is>
          <t>ÖSTERSUND</t>
        </is>
      </c>
      <c r="G150" t="n">
        <v>5.1</v>
      </c>
      <c r="H150" t="n">
        <v>0</v>
      </c>
      <c r="I150" t="n">
        <v>0</v>
      </c>
      <c r="J150" t="n">
        <v>0</v>
      </c>
      <c r="K150" t="n">
        <v>0</v>
      </c>
      <c r="L150" t="n">
        <v>0</v>
      </c>
      <c r="M150" t="n">
        <v>0</v>
      </c>
      <c r="N150" t="n">
        <v>0</v>
      </c>
      <c r="O150" t="n">
        <v>0</v>
      </c>
      <c r="P150" t="n">
        <v>0</v>
      </c>
      <c r="Q150" t="n">
        <v>0</v>
      </c>
      <c r="R150" s="2" t="inlineStr"/>
    </row>
    <row r="151" ht="15" customHeight="1">
      <c r="A151" t="inlineStr">
        <is>
          <t>A 573-2019</t>
        </is>
      </c>
      <c r="B151" s="1" t="n">
        <v>43455</v>
      </c>
      <c r="C151" s="1" t="n">
        <v>45357</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2951-2019</t>
        </is>
      </c>
      <c r="B152" s="1" t="n">
        <v>43472</v>
      </c>
      <c r="C152" s="1" t="n">
        <v>45357</v>
      </c>
      <c r="D152" t="inlineStr">
        <is>
          <t>JÄMTLANDS LÄN</t>
        </is>
      </c>
      <c r="E152" t="inlineStr">
        <is>
          <t>ÖSTERSUND</t>
        </is>
      </c>
      <c r="G152" t="n">
        <v>0.8</v>
      </c>
      <c r="H152" t="n">
        <v>0</v>
      </c>
      <c r="I152" t="n">
        <v>0</v>
      </c>
      <c r="J152" t="n">
        <v>0</v>
      </c>
      <c r="K152" t="n">
        <v>0</v>
      </c>
      <c r="L152" t="n">
        <v>0</v>
      </c>
      <c r="M152" t="n">
        <v>0</v>
      </c>
      <c r="N152" t="n">
        <v>0</v>
      </c>
      <c r="O152" t="n">
        <v>0</v>
      </c>
      <c r="P152" t="n">
        <v>0</v>
      </c>
      <c r="Q152" t="n">
        <v>0</v>
      </c>
      <c r="R152" s="2" t="inlineStr"/>
    </row>
    <row r="153" ht="15" customHeight="1">
      <c r="A153" t="inlineStr">
        <is>
          <t>A 1032-2019</t>
        </is>
      </c>
      <c r="B153" s="1" t="n">
        <v>43472</v>
      </c>
      <c r="C153" s="1" t="n">
        <v>45357</v>
      </c>
      <c r="D153" t="inlineStr">
        <is>
          <t>JÄMTLANDS LÄN</t>
        </is>
      </c>
      <c r="E153" t="inlineStr">
        <is>
          <t>ÖSTERSUND</t>
        </is>
      </c>
      <c r="G153" t="n">
        <v>1.9</v>
      </c>
      <c r="H153" t="n">
        <v>0</v>
      </c>
      <c r="I153" t="n">
        <v>0</v>
      </c>
      <c r="J153" t="n">
        <v>0</v>
      </c>
      <c r="K153" t="n">
        <v>0</v>
      </c>
      <c r="L153" t="n">
        <v>0</v>
      </c>
      <c r="M153" t="n">
        <v>0</v>
      </c>
      <c r="N153" t="n">
        <v>0</v>
      </c>
      <c r="O153" t="n">
        <v>0</v>
      </c>
      <c r="P153" t="n">
        <v>0</v>
      </c>
      <c r="Q153" t="n">
        <v>0</v>
      </c>
      <c r="R153" s="2" t="inlineStr"/>
    </row>
    <row r="154" ht="15" customHeight="1">
      <c r="A154" t="inlineStr">
        <is>
          <t>A 2307-2019</t>
        </is>
      </c>
      <c r="B154" s="1" t="n">
        <v>43475</v>
      </c>
      <c r="C154" s="1" t="n">
        <v>45357</v>
      </c>
      <c r="D154" t="inlineStr">
        <is>
          <t>JÄMTLANDS LÄN</t>
        </is>
      </c>
      <c r="E154" t="inlineStr">
        <is>
          <t>ÖSTERSUND</t>
        </is>
      </c>
      <c r="G154" t="n">
        <v>4.9</v>
      </c>
      <c r="H154" t="n">
        <v>0</v>
      </c>
      <c r="I154" t="n">
        <v>0</v>
      </c>
      <c r="J154" t="n">
        <v>0</v>
      </c>
      <c r="K154" t="n">
        <v>0</v>
      </c>
      <c r="L154" t="n">
        <v>0</v>
      </c>
      <c r="M154" t="n">
        <v>0</v>
      </c>
      <c r="N154" t="n">
        <v>0</v>
      </c>
      <c r="O154" t="n">
        <v>0</v>
      </c>
      <c r="P154" t="n">
        <v>0</v>
      </c>
      <c r="Q154" t="n">
        <v>0</v>
      </c>
      <c r="R154" s="2" t="inlineStr"/>
    </row>
    <row r="155" ht="15" customHeight="1">
      <c r="A155" t="inlineStr">
        <is>
          <t>A 4247-2019</t>
        </is>
      </c>
      <c r="B155" s="1" t="n">
        <v>43476</v>
      </c>
      <c r="C155" s="1" t="n">
        <v>45357</v>
      </c>
      <c r="D155" t="inlineStr">
        <is>
          <t>JÄMTLANDS LÄN</t>
        </is>
      </c>
      <c r="E155" t="inlineStr">
        <is>
          <t>ÖSTERSUND</t>
        </is>
      </c>
      <c r="G155" t="n">
        <v>1.4</v>
      </c>
      <c r="H155" t="n">
        <v>0</v>
      </c>
      <c r="I155" t="n">
        <v>0</v>
      </c>
      <c r="J155" t="n">
        <v>0</v>
      </c>
      <c r="K155" t="n">
        <v>0</v>
      </c>
      <c r="L155" t="n">
        <v>0</v>
      </c>
      <c r="M155" t="n">
        <v>0</v>
      </c>
      <c r="N155" t="n">
        <v>0</v>
      </c>
      <c r="O155" t="n">
        <v>0</v>
      </c>
      <c r="P155" t="n">
        <v>0</v>
      </c>
      <c r="Q155" t="n">
        <v>0</v>
      </c>
      <c r="R155" s="2" t="inlineStr"/>
    </row>
    <row r="156" ht="15" customHeight="1">
      <c r="A156" t="inlineStr">
        <is>
          <t>A 2668-2019</t>
        </is>
      </c>
      <c r="B156" s="1" t="n">
        <v>43478</v>
      </c>
      <c r="C156" s="1" t="n">
        <v>45357</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5024-2019</t>
        </is>
      </c>
      <c r="B157" s="1" t="n">
        <v>43487</v>
      </c>
      <c r="C157" s="1" t="n">
        <v>45357</v>
      </c>
      <c r="D157" t="inlineStr">
        <is>
          <t>JÄMTLANDS LÄN</t>
        </is>
      </c>
      <c r="E157" t="inlineStr">
        <is>
          <t>ÖSTERSUND</t>
        </is>
      </c>
      <c r="G157" t="n">
        <v>2.7</v>
      </c>
      <c r="H157" t="n">
        <v>0</v>
      </c>
      <c r="I157" t="n">
        <v>0</v>
      </c>
      <c r="J157" t="n">
        <v>0</v>
      </c>
      <c r="K157" t="n">
        <v>0</v>
      </c>
      <c r="L157" t="n">
        <v>0</v>
      </c>
      <c r="M157" t="n">
        <v>0</v>
      </c>
      <c r="N157" t="n">
        <v>0</v>
      </c>
      <c r="O157" t="n">
        <v>0</v>
      </c>
      <c r="P157" t="n">
        <v>0</v>
      </c>
      <c r="Q157" t="n">
        <v>0</v>
      </c>
      <c r="R157" s="2" t="inlineStr"/>
    </row>
    <row r="158" ht="15" customHeight="1">
      <c r="A158" t="inlineStr">
        <is>
          <t>A 5619-2019</t>
        </is>
      </c>
      <c r="B158" s="1" t="n">
        <v>43489</v>
      </c>
      <c r="C158" s="1" t="n">
        <v>45357</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5629-2019</t>
        </is>
      </c>
      <c r="B159" s="1" t="n">
        <v>43489</v>
      </c>
      <c r="C159" s="1" t="n">
        <v>45357</v>
      </c>
      <c r="D159" t="inlineStr">
        <is>
          <t>JÄMTLANDS LÄN</t>
        </is>
      </c>
      <c r="E159" t="inlineStr">
        <is>
          <t>ÖSTERSUND</t>
        </is>
      </c>
      <c r="G159" t="n">
        <v>1.2</v>
      </c>
      <c r="H159" t="n">
        <v>0</v>
      </c>
      <c r="I159" t="n">
        <v>0</v>
      </c>
      <c r="J159" t="n">
        <v>0</v>
      </c>
      <c r="K159" t="n">
        <v>0</v>
      </c>
      <c r="L159" t="n">
        <v>0</v>
      </c>
      <c r="M159" t="n">
        <v>0</v>
      </c>
      <c r="N159" t="n">
        <v>0</v>
      </c>
      <c r="O159" t="n">
        <v>0</v>
      </c>
      <c r="P159" t="n">
        <v>0</v>
      </c>
      <c r="Q159" t="n">
        <v>0</v>
      </c>
      <c r="R159" s="2" t="inlineStr"/>
    </row>
    <row r="160" ht="15" customHeight="1">
      <c r="A160" t="inlineStr">
        <is>
          <t>A 6774-2019</t>
        </is>
      </c>
      <c r="B160" s="1" t="n">
        <v>43494</v>
      </c>
      <c r="C160" s="1" t="n">
        <v>45357</v>
      </c>
      <c r="D160" t="inlineStr">
        <is>
          <t>JÄMTLANDS LÄN</t>
        </is>
      </c>
      <c r="E160" t="inlineStr">
        <is>
          <t>ÖSTERSUND</t>
        </is>
      </c>
      <c r="G160" t="n">
        <v>6.2</v>
      </c>
      <c r="H160" t="n">
        <v>0</v>
      </c>
      <c r="I160" t="n">
        <v>0</v>
      </c>
      <c r="J160" t="n">
        <v>0</v>
      </c>
      <c r="K160" t="n">
        <v>0</v>
      </c>
      <c r="L160" t="n">
        <v>0</v>
      </c>
      <c r="M160" t="n">
        <v>0</v>
      </c>
      <c r="N160" t="n">
        <v>0</v>
      </c>
      <c r="O160" t="n">
        <v>0</v>
      </c>
      <c r="P160" t="n">
        <v>0</v>
      </c>
      <c r="Q160" t="n">
        <v>0</v>
      </c>
      <c r="R160" s="2" t="inlineStr"/>
    </row>
    <row r="161" ht="15" customHeight="1">
      <c r="A161" t="inlineStr">
        <is>
          <t>A 6549-2019</t>
        </is>
      </c>
      <c r="B161" s="1" t="n">
        <v>43494</v>
      </c>
      <c r="C161" s="1" t="n">
        <v>45357</v>
      </c>
      <c r="D161" t="inlineStr">
        <is>
          <t>JÄMTLANDS LÄN</t>
        </is>
      </c>
      <c r="E161" t="inlineStr">
        <is>
          <t>ÖSTERSUND</t>
        </is>
      </c>
      <c r="G161" t="n">
        <v>3.1</v>
      </c>
      <c r="H161" t="n">
        <v>0</v>
      </c>
      <c r="I161" t="n">
        <v>0</v>
      </c>
      <c r="J161" t="n">
        <v>0</v>
      </c>
      <c r="K161" t="n">
        <v>0</v>
      </c>
      <c r="L161" t="n">
        <v>0</v>
      </c>
      <c r="M161" t="n">
        <v>0</v>
      </c>
      <c r="N161" t="n">
        <v>0</v>
      </c>
      <c r="O161" t="n">
        <v>0</v>
      </c>
      <c r="P161" t="n">
        <v>0</v>
      </c>
      <c r="Q161" t="n">
        <v>0</v>
      </c>
      <c r="R161" s="2" t="inlineStr"/>
    </row>
    <row r="162" ht="15" customHeight="1">
      <c r="A162" t="inlineStr">
        <is>
          <t>A 6775-2019</t>
        </is>
      </c>
      <c r="B162" s="1" t="n">
        <v>43494</v>
      </c>
      <c r="C162" s="1" t="n">
        <v>45357</v>
      </c>
      <c r="D162" t="inlineStr">
        <is>
          <t>JÄMTLANDS LÄN</t>
        </is>
      </c>
      <c r="E162" t="inlineStr">
        <is>
          <t>ÖSTERSUND</t>
        </is>
      </c>
      <c r="G162" t="n">
        <v>6</v>
      </c>
      <c r="H162" t="n">
        <v>0</v>
      </c>
      <c r="I162" t="n">
        <v>0</v>
      </c>
      <c r="J162" t="n">
        <v>0</v>
      </c>
      <c r="K162" t="n">
        <v>0</v>
      </c>
      <c r="L162" t="n">
        <v>0</v>
      </c>
      <c r="M162" t="n">
        <v>0</v>
      </c>
      <c r="N162" t="n">
        <v>0</v>
      </c>
      <c r="O162" t="n">
        <v>0</v>
      </c>
      <c r="P162" t="n">
        <v>0</v>
      </c>
      <c r="Q162" t="n">
        <v>0</v>
      </c>
      <c r="R162" s="2" t="inlineStr"/>
    </row>
    <row r="163" ht="15" customHeight="1">
      <c r="A163" t="inlineStr">
        <is>
          <t>A 6834-2019</t>
        </is>
      </c>
      <c r="B163" s="1" t="n">
        <v>43495</v>
      </c>
      <c r="C163" s="1" t="n">
        <v>45357</v>
      </c>
      <c r="D163" t="inlineStr">
        <is>
          <t>JÄMTLANDS LÄN</t>
        </is>
      </c>
      <c r="E163" t="inlineStr">
        <is>
          <t>ÖSTERSUND</t>
        </is>
      </c>
      <c r="G163" t="n">
        <v>2.9</v>
      </c>
      <c r="H163" t="n">
        <v>0</v>
      </c>
      <c r="I163" t="n">
        <v>0</v>
      </c>
      <c r="J163" t="n">
        <v>0</v>
      </c>
      <c r="K163" t="n">
        <v>0</v>
      </c>
      <c r="L163" t="n">
        <v>0</v>
      </c>
      <c r="M163" t="n">
        <v>0</v>
      </c>
      <c r="N163" t="n">
        <v>0</v>
      </c>
      <c r="O163" t="n">
        <v>0</v>
      </c>
      <c r="P163" t="n">
        <v>0</v>
      </c>
      <c r="Q163" t="n">
        <v>0</v>
      </c>
      <c r="R163" s="2" t="inlineStr"/>
    </row>
    <row r="164" ht="15" customHeight="1">
      <c r="A164" t="inlineStr">
        <is>
          <t>A 7128-2019</t>
        </is>
      </c>
      <c r="B164" s="1" t="n">
        <v>43495</v>
      </c>
      <c r="C164" s="1" t="n">
        <v>45357</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8920-2019</t>
        </is>
      </c>
      <c r="B165" s="1" t="n">
        <v>43503</v>
      </c>
      <c r="C165" s="1" t="n">
        <v>45357</v>
      </c>
      <c r="D165" t="inlineStr">
        <is>
          <t>JÄMTLANDS LÄN</t>
        </is>
      </c>
      <c r="E165" t="inlineStr">
        <is>
          <t>ÖSTERSUND</t>
        </is>
      </c>
      <c r="G165" t="n">
        <v>3.1</v>
      </c>
      <c r="H165" t="n">
        <v>0</v>
      </c>
      <c r="I165" t="n">
        <v>0</v>
      </c>
      <c r="J165" t="n">
        <v>0</v>
      </c>
      <c r="K165" t="n">
        <v>0</v>
      </c>
      <c r="L165" t="n">
        <v>0</v>
      </c>
      <c r="M165" t="n">
        <v>0</v>
      </c>
      <c r="N165" t="n">
        <v>0</v>
      </c>
      <c r="O165" t="n">
        <v>0</v>
      </c>
      <c r="P165" t="n">
        <v>0</v>
      </c>
      <c r="Q165" t="n">
        <v>0</v>
      </c>
      <c r="R165" s="2" t="inlineStr"/>
    </row>
    <row r="166" ht="15" customHeight="1">
      <c r="A166" t="inlineStr">
        <is>
          <t>A 10527-2019</t>
        </is>
      </c>
      <c r="B166" s="1" t="n">
        <v>43514</v>
      </c>
      <c r="C166" s="1" t="n">
        <v>45357</v>
      </c>
      <c r="D166" t="inlineStr">
        <is>
          <t>JÄMTLANDS LÄN</t>
        </is>
      </c>
      <c r="E166" t="inlineStr">
        <is>
          <t>ÖSTERSUND</t>
        </is>
      </c>
      <c r="G166" t="n">
        <v>1.4</v>
      </c>
      <c r="H166" t="n">
        <v>0</v>
      </c>
      <c r="I166" t="n">
        <v>0</v>
      </c>
      <c r="J166" t="n">
        <v>0</v>
      </c>
      <c r="K166" t="n">
        <v>0</v>
      </c>
      <c r="L166" t="n">
        <v>0</v>
      </c>
      <c r="M166" t="n">
        <v>0</v>
      </c>
      <c r="N166" t="n">
        <v>0</v>
      </c>
      <c r="O166" t="n">
        <v>0</v>
      </c>
      <c r="P166" t="n">
        <v>0</v>
      </c>
      <c r="Q166" t="n">
        <v>0</v>
      </c>
      <c r="R166" s="2" t="inlineStr"/>
    </row>
    <row r="167" ht="15" customHeight="1">
      <c r="A167" t="inlineStr">
        <is>
          <t>A 13622-2019</t>
        </is>
      </c>
      <c r="B167" s="1" t="n">
        <v>43530</v>
      </c>
      <c r="C167" s="1" t="n">
        <v>45357</v>
      </c>
      <c r="D167" t="inlineStr">
        <is>
          <t>JÄMTLANDS LÄN</t>
        </is>
      </c>
      <c r="E167" t="inlineStr">
        <is>
          <t>ÖSTERSUND</t>
        </is>
      </c>
      <c r="G167" t="n">
        <v>7.8</v>
      </c>
      <c r="H167" t="n">
        <v>0</v>
      </c>
      <c r="I167" t="n">
        <v>0</v>
      </c>
      <c r="J167" t="n">
        <v>0</v>
      </c>
      <c r="K167" t="n">
        <v>0</v>
      </c>
      <c r="L167" t="n">
        <v>0</v>
      </c>
      <c r="M167" t="n">
        <v>0</v>
      </c>
      <c r="N167" t="n">
        <v>0</v>
      </c>
      <c r="O167" t="n">
        <v>0</v>
      </c>
      <c r="P167" t="n">
        <v>0</v>
      </c>
      <c r="Q167" t="n">
        <v>0</v>
      </c>
      <c r="R167" s="2" t="inlineStr"/>
    </row>
    <row r="168" ht="15" customHeight="1">
      <c r="A168" t="inlineStr">
        <is>
          <t>A 15945-2019</t>
        </is>
      </c>
      <c r="B168" s="1" t="n">
        <v>43542</v>
      </c>
      <c r="C168" s="1" t="n">
        <v>45357</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16636-2019</t>
        </is>
      </c>
      <c r="B169" s="1" t="n">
        <v>43549</v>
      </c>
      <c r="C169" s="1" t="n">
        <v>45357</v>
      </c>
      <c r="D169" t="inlineStr">
        <is>
          <t>JÄMTLANDS LÄN</t>
        </is>
      </c>
      <c r="E169" t="inlineStr">
        <is>
          <t>ÖSTERSUND</t>
        </is>
      </c>
      <c r="G169" t="n">
        <v>1.2</v>
      </c>
      <c r="H169" t="n">
        <v>0</v>
      </c>
      <c r="I169" t="n">
        <v>0</v>
      </c>
      <c r="J169" t="n">
        <v>0</v>
      </c>
      <c r="K169" t="n">
        <v>0</v>
      </c>
      <c r="L169" t="n">
        <v>0</v>
      </c>
      <c r="M169" t="n">
        <v>0</v>
      </c>
      <c r="N169" t="n">
        <v>0</v>
      </c>
      <c r="O169" t="n">
        <v>0</v>
      </c>
      <c r="P169" t="n">
        <v>0</v>
      </c>
      <c r="Q169" t="n">
        <v>0</v>
      </c>
      <c r="R169" s="2" t="inlineStr"/>
    </row>
    <row r="170" ht="15" customHeight="1">
      <c r="A170" t="inlineStr">
        <is>
          <t>A 17256-2019</t>
        </is>
      </c>
      <c r="B170" s="1" t="n">
        <v>43550</v>
      </c>
      <c r="C170" s="1" t="n">
        <v>45357</v>
      </c>
      <c r="D170" t="inlineStr">
        <is>
          <t>JÄMTLANDS LÄN</t>
        </is>
      </c>
      <c r="E170" t="inlineStr">
        <is>
          <t>ÖSTERSUND</t>
        </is>
      </c>
      <c r="G170" t="n">
        <v>2.2</v>
      </c>
      <c r="H170" t="n">
        <v>0</v>
      </c>
      <c r="I170" t="n">
        <v>0</v>
      </c>
      <c r="J170" t="n">
        <v>0</v>
      </c>
      <c r="K170" t="n">
        <v>0</v>
      </c>
      <c r="L170" t="n">
        <v>0</v>
      </c>
      <c r="M170" t="n">
        <v>0</v>
      </c>
      <c r="N170" t="n">
        <v>0</v>
      </c>
      <c r="O170" t="n">
        <v>0</v>
      </c>
      <c r="P170" t="n">
        <v>0</v>
      </c>
      <c r="Q170" t="n">
        <v>0</v>
      </c>
      <c r="R170" s="2" t="inlineStr"/>
    </row>
    <row r="171" ht="15" customHeight="1">
      <c r="A171" t="inlineStr">
        <is>
          <t>A 20319-2019</t>
        </is>
      </c>
      <c r="B171" s="1" t="n">
        <v>43571</v>
      </c>
      <c r="C171" s="1" t="n">
        <v>45357</v>
      </c>
      <c r="D171" t="inlineStr">
        <is>
          <t>JÄMTLANDS LÄN</t>
        </is>
      </c>
      <c r="E171" t="inlineStr">
        <is>
          <t>ÖSTERSUND</t>
        </is>
      </c>
      <c r="G171" t="n">
        <v>1.3</v>
      </c>
      <c r="H171" t="n">
        <v>0</v>
      </c>
      <c r="I171" t="n">
        <v>0</v>
      </c>
      <c r="J171" t="n">
        <v>0</v>
      </c>
      <c r="K171" t="n">
        <v>0</v>
      </c>
      <c r="L171" t="n">
        <v>0</v>
      </c>
      <c r="M171" t="n">
        <v>0</v>
      </c>
      <c r="N171" t="n">
        <v>0</v>
      </c>
      <c r="O171" t="n">
        <v>0</v>
      </c>
      <c r="P171" t="n">
        <v>0</v>
      </c>
      <c r="Q171" t="n">
        <v>0</v>
      </c>
      <c r="R171" s="2" t="inlineStr"/>
    </row>
    <row r="172" ht="15" customHeight="1">
      <c r="A172" t="inlineStr">
        <is>
          <t>A 21727-2019</t>
        </is>
      </c>
      <c r="B172" s="1" t="n">
        <v>43581</v>
      </c>
      <c r="C172" s="1" t="n">
        <v>45357</v>
      </c>
      <c r="D172" t="inlineStr">
        <is>
          <t>JÄMTLANDS LÄN</t>
        </is>
      </c>
      <c r="E172" t="inlineStr">
        <is>
          <t>ÖSTERSUND</t>
        </is>
      </c>
      <c r="G172" t="n">
        <v>0.8</v>
      </c>
      <c r="H172" t="n">
        <v>0</v>
      </c>
      <c r="I172" t="n">
        <v>0</v>
      </c>
      <c r="J172" t="n">
        <v>0</v>
      </c>
      <c r="K172" t="n">
        <v>0</v>
      </c>
      <c r="L172" t="n">
        <v>0</v>
      </c>
      <c r="M172" t="n">
        <v>0</v>
      </c>
      <c r="N172" t="n">
        <v>0</v>
      </c>
      <c r="O172" t="n">
        <v>0</v>
      </c>
      <c r="P172" t="n">
        <v>0</v>
      </c>
      <c r="Q172" t="n">
        <v>0</v>
      </c>
      <c r="R172" s="2" t="inlineStr"/>
    </row>
    <row r="173" ht="15" customHeight="1">
      <c r="A173" t="inlineStr">
        <is>
          <t>A 21793-2019</t>
        </is>
      </c>
      <c r="B173" s="1" t="n">
        <v>43581</v>
      </c>
      <c r="C173" s="1" t="n">
        <v>45357</v>
      </c>
      <c r="D173" t="inlineStr">
        <is>
          <t>JÄMTLANDS LÄN</t>
        </is>
      </c>
      <c r="E173" t="inlineStr">
        <is>
          <t>ÖSTERSUND</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22119-2019</t>
        </is>
      </c>
      <c r="B174" s="1" t="n">
        <v>43584</v>
      </c>
      <c r="C174" s="1" t="n">
        <v>45357</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22115-2019</t>
        </is>
      </c>
      <c r="B175" s="1" t="n">
        <v>43584</v>
      </c>
      <c r="C175" s="1" t="n">
        <v>45357</v>
      </c>
      <c r="D175" t="inlineStr">
        <is>
          <t>JÄMTLANDS LÄN</t>
        </is>
      </c>
      <c r="E175" t="inlineStr">
        <is>
          <t>ÖSTERSUND</t>
        </is>
      </c>
      <c r="G175" t="n">
        <v>15.1</v>
      </c>
      <c r="H175" t="n">
        <v>0</v>
      </c>
      <c r="I175" t="n">
        <v>0</v>
      </c>
      <c r="J175" t="n">
        <v>0</v>
      </c>
      <c r="K175" t="n">
        <v>0</v>
      </c>
      <c r="L175" t="n">
        <v>0</v>
      </c>
      <c r="M175" t="n">
        <v>0</v>
      </c>
      <c r="N175" t="n">
        <v>0</v>
      </c>
      <c r="O175" t="n">
        <v>0</v>
      </c>
      <c r="P175" t="n">
        <v>0</v>
      </c>
      <c r="Q175" t="n">
        <v>0</v>
      </c>
      <c r="R175" s="2" t="inlineStr"/>
    </row>
    <row r="176" ht="15" customHeight="1">
      <c r="A176" t="inlineStr">
        <is>
          <t>A 23609-2019</t>
        </is>
      </c>
      <c r="B176" s="1" t="n">
        <v>43594</v>
      </c>
      <c r="C176" s="1" t="n">
        <v>45357</v>
      </c>
      <c r="D176" t="inlineStr">
        <is>
          <t>JÄMTLANDS LÄN</t>
        </is>
      </c>
      <c r="E176" t="inlineStr">
        <is>
          <t>ÖSTERSUND</t>
        </is>
      </c>
      <c r="G176" t="n">
        <v>2.5</v>
      </c>
      <c r="H176" t="n">
        <v>0</v>
      </c>
      <c r="I176" t="n">
        <v>0</v>
      </c>
      <c r="J176" t="n">
        <v>0</v>
      </c>
      <c r="K176" t="n">
        <v>0</v>
      </c>
      <c r="L176" t="n">
        <v>0</v>
      </c>
      <c r="M176" t="n">
        <v>0</v>
      </c>
      <c r="N176" t="n">
        <v>0</v>
      </c>
      <c r="O176" t="n">
        <v>0</v>
      </c>
      <c r="P176" t="n">
        <v>0</v>
      </c>
      <c r="Q176" t="n">
        <v>0</v>
      </c>
      <c r="R176" s="2" t="inlineStr"/>
    </row>
    <row r="177" ht="15" customHeight="1">
      <c r="A177" t="inlineStr">
        <is>
          <t>A 23940-2019</t>
        </is>
      </c>
      <c r="B177" s="1" t="n">
        <v>43595</v>
      </c>
      <c r="C177" s="1" t="n">
        <v>45357</v>
      </c>
      <c r="D177" t="inlineStr">
        <is>
          <t>JÄMTLANDS LÄN</t>
        </is>
      </c>
      <c r="E177" t="inlineStr">
        <is>
          <t>ÖSTERSUND</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25205-2019</t>
        </is>
      </c>
      <c r="B178" s="1" t="n">
        <v>43600</v>
      </c>
      <c r="C178" s="1" t="n">
        <v>45357</v>
      </c>
      <c r="D178" t="inlineStr">
        <is>
          <t>JÄMTLANDS LÄN</t>
        </is>
      </c>
      <c r="E178" t="inlineStr">
        <is>
          <t>ÖSTERSUND</t>
        </is>
      </c>
      <c r="G178" t="n">
        <v>3.8</v>
      </c>
      <c r="H178" t="n">
        <v>0</v>
      </c>
      <c r="I178" t="n">
        <v>0</v>
      </c>
      <c r="J178" t="n">
        <v>0</v>
      </c>
      <c r="K178" t="n">
        <v>0</v>
      </c>
      <c r="L178" t="n">
        <v>0</v>
      </c>
      <c r="M178" t="n">
        <v>0</v>
      </c>
      <c r="N178" t="n">
        <v>0</v>
      </c>
      <c r="O178" t="n">
        <v>0</v>
      </c>
      <c r="P178" t="n">
        <v>0</v>
      </c>
      <c r="Q178" t="n">
        <v>0</v>
      </c>
      <c r="R178" s="2" t="inlineStr"/>
    </row>
    <row r="179" ht="15" customHeight="1">
      <c r="A179" t="inlineStr">
        <is>
          <t>A 28892-2019</t>
        </is>
      </c>
      <c r="B179" s="1" t="n">
        <v>43619</v>
      </c>
      <c r="C179" s="1" t="n">
        <v>45357</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28899-2019</t>
        </is>
      </c>
      <c r="B180" s="1" t="n">
        <v>43619</v>
      </c>
      <c r="C180" s="1" t="n">
        <v>45357</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28884-2019</t>
        </is>
      </c>
      <c r="B181" s="1" t="n">
        <v>43619</v>
      </c>
      <c r="C181" s="1" t="n">
        <v>45357</v>
      </c>
      <c r="D181" t="inlineStr">
        <is>
          <t>JÄMTLANDS LÄN</t>
        </is>
      </c>
      <c r="E181" t="inlineStr">
        <is>
          <t>ÖSTERSUND</t>
        </is>
      </c>
      <c r="G181" t="n">
        <v>0.3</v>
      </c>
      <c r="H181" t="n">
        <v>0</v>
      </c>
      <c r="I181" t="n">
        <v>0</v>
      </c>
      <c r="J181" t="n">
        <v>0</v>
      </c>
      <c r="K181" t="n">
        <v>0</v>
      </c>
      <c r="L181" t="n">
        <v>0</v>
      </c>
      <c r="M181" t="n">
        <v>0</v>
      </c>
      <c r="N181" t="n">
        <v>0</v>
      </c>
      <c r="O181" t="n">
        <v>0</v>
      </c>
      <c r="P181" t="n">
        <v>0</v>
      </c>
      <c r="Q181" t="n">
        <v>0</v>
      </c>
      <c r="R181" s="2" t="inlineStr"/>
    </row>
    <row r="182" ht="15" customHeight="1">
      <c r="A182" t="inlineStr">
        <is>
          <t>A 27977-2019</t>
        </is>
      </c>
      <c r="B182" s="1" t="n">
        <v>43620</v>
      </c>
      <c r="C182" s="1" t="n">
        <v>45357</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29058-2019</t>
        </is>
      </c>
      <c r="B183" s="1" t="n">
        <v>43621</v>
      </c>
      <c r="C183" s="1" t="n">
        <v>45357</v>
      </c>
      <c r="D183" t="inlineStr">
        <is>
          <t>JÄMTLANDS LÄN</t>
        </is>
      </c>
      <c r="E183" t="inlineStr">
        <is>
          <t>ÖSTERSUND</t>
        </is>
      </c>
      <c r="G183" t="n">
        <v>1.4</v>
      </c>
      <c r="H183" t="n">
        <v>0</v>
      </c>
      <c r="I183" t="n">
        <v>0</v>
      </c>
      <c r="J183" t="n">
        <v>0</v>
      </c>
      <c r="K183" t="n">
        <v>0</v>
      </c>
      <c r="L183" t="n">
        <v>0</v>
      </c>
      <c r="M183" t="n">
        <v>0</v>
      </c>
      <c r="N183" t="n">
        <v>0</v>
      </c>
      <c r="O183" t="n">
        <v>0</v>
      </c>
      <c r="P183" t="n">
        <v>0</v>
      </c>
      <c r="Q183" t="n">
        <v>0</v>
      </c>
      <c r="R183" s="2" t="inlineStr"/>
    </row>
    <row r="184" ht="15" customHeight="1">
      <c r="A184" t="inlineStr">
        <is>
          <t>A 31189-2019</t>
        </is>
      </c>
      <c r="B184" s="1" t="n">
        <v>43635</v>
      </c>
      <c r="C184" s="1" t="n">
        <v>45357</v>
      </c>
      <c r="D184" t="inlineStr">
        <is>
          <t>JÄMTLANDS LÄN</t>
        </is>
      </c>
      <c r="E184" t="inlineStr">
        <is>
          <t>ÖSTERSUND</t>
        </is>
      </c>
      <c r="G184" t="n">
        <v>5.5</v>
      </c>
      <c r="H184" t="n">
        <v>0</v>
      </c>
      <c r="I184" t="n">
        <v>0</v>
      </c>
      <c r="J184" t="n">
        <v>0</v>
      </c>
      <c r="K184" t="n">
        <v>0</v>
      </c>
      <c r="L184" t="n">
        <v>0</v>
      </c>
      <c r="M184" t="n">
        <v>0</v>
      </c>
      <c r="N184" t="n">
        <v>0</v>
      </c>
      <c r="O184" t="n">
        <v>0</v>
      </c>
      <c r="P184" t="n">
        <v>0</v>
      </c>
      <c r="Q184" t="n">
        <v>0</v>
      </c>
      <c r="R184" s="2" t="inlineStr"/>
    </row>
    <row r="185" ht="15" customHeight="1">
      <c r="A185" t="inlineStr">
        <is>
          <t>A 30940-2019</t>
        </is>
      </c>
      <c r="B185" s="1" t="n">
        <v>43637</v>
      </c>
      <c r="C185" s="1" t="n">
        <v>45357</v>
      </c>
      <c r="D185" t="inlineStr">
        <is>
          <t>JÄMTLANDS LÄN</t>
        </is>
      </c>
      <c r="E185" t="inlineStr">
        <is>
          <t>ÖSTERSUND</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30946-2019</t>
        </is>
      </c>
      <c r="B186" s="1" t="n">
        <v>43636</v>
      </c>
      <c r="C186" s="1" t="n">
        <v>45357</v>
      </c>
      <c r="D186" t="inlineStr">
        <is>
          <t>JÄMTLANDS LÄN</t>
        </is>
      </c>
      <c r="E186" t="inlineStr">
        <is>
          <t>ÖSTERSUND</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31617-2019</t>
        </is>
      </c>
      <c r="B187" s="1" t="n">
        <v>43640</v>
      </c>
      <c r="C187" s="1" t="n">
        <v>45357</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31621-2019</t>
        </is>
      </c>
      <c r="B188" s="1" t="n">
        <v>43640</v>
      </c>
      <c r="C188" s="1" t="n">
        <v>45357</v>
      </c>
      <c r="D188" t="inlineStr">
        <is>
          <t>JÄMTLANDS LÄN</t>
        </is>
      </c>
      <c r="E188" t="inlineStr">
        <is>
          <t>ÖSTERSUND</t>
        </is>
      </c>
      <c r="G188" t="n">
        <v>1.3</v>
      </c>
      <c r="H188" t="n">
        <v>0</v>
      </c>
      <c r="I188" t="n">
        <v>0</v>
      </c>
      <c r="J188" t="n">
        <v>0</v>
      </c>
      <c r="K188" t="n">
        <v>0</v>
      </c>
      <c r="L188" t="n">
        <v>0</v>
      </c>
      <c r="M188" t="n">
        <v>0</v>
      </c>
      <c r="N188" t="n">
        <v>0</v>
      </c>
      <c r="O188" t="n">
        <v>0</v>
      </c>
      <c r="P188" t="n">
        <v>0</v>
      </c>
      <c r="Q188" t="n">
        <v>0</v>
      </c>
      <c r="R188" s="2" t="inlineStr"/>
    </row>
    <row r="189" ht="15" customHeight="1">
      <c r="A189" t="inlineStr">
        <is>
          <t>A 34903-2019</t>
        </is>
      </c>
      <c r="B189" s="1" t="n">
        <v>43650</v>
      </c>
      <c r="C189" s="1" t="n">
        <v>45357</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35500-2019</t>
        </is>
      </c>
      <c r="B190" s="1" t="n">
        <v>43651</v>
      </c>
      <c r="C190" s="1" t="n">
        <v>45357</v>
      </c>
      <c r="D190" t="inlineStr">
        <is>
          <t>JÄMTLANDS LÄN</t>
        </is>
      </c>
      <c r="E190" t="inlineStr">
        <is>
          <t>ÖSTERSUND</t>
        </is>
      </c>
      <c r="F190" t="inlineStr">
        <is>
          <t>SCA</t>
        </is>
      </c>
      <c r="G190" t="n">
        <v>7</v>
      </c>
      <c r="H190" t="n">
        <v>0</v>
      </c>
      <c r="I190" t="n">
        <v>0</v>
      </c>
      <c r="J190" t="n">
        <v>0</v>
      </c>
      <c r="K190" t="n">
        <v>0</v>
      </c>
      <c r="L190" t="n">
        <v>0</v>
      </c>
      <c r="M190" t="n">
        <v>0</v>
      </c>
      <c r="N190" t="n">
        <v>0</v>
      </c>
      <c r="O190" t="n">
        <v>0</v>
      </c>
      <c r="P190" t="n">
        <v>0</v>
      </c>
      <c r="Q190" t="n">
        <v>0</v>
      </c>
      <c r="R190" s="2" t="inlineStr"/>
    </row>
    <row r="191" ht="15" customHeight="1">
      <c r="A191" t="inlineStr">
        <is>
          <t>A 35535-2019</t>
        </is>
      </c>
      <c r="B191" s="1" t="n">
        <v>43654</v>
      </c>
      <c r="C191" s="1" t="n">
        <v>45357</v>
      </c>
      <c r="D191" t="inlineStr">
        <is>
          <t>JÄMTLANDS LÄN</t>
        </is>
      </c>
      <c r="E191" t="inlineStr">
        <is>
          <t>ÖSTERSUND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34109-2019</t>
        </is>
      </c>
      <c r="B192" s="1" t="n">
        <v>43654</v>
      </c>
      <c r="C192" s="1" t="n">
        <v>45357</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34246-2019</t>
        </is>
      </c>
      <c r="B193" s="1" t="n">
        <v>43655</v>
      </c>
      <c r="C193" s="1" t="n">
        <v>45357</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35678-2019</t>
        </is>
      </c>
      <c r="B194" s="1" t="n">
        <v>43656</v>
      </c>
      <c r="C194" s="1" t="n">
        <v>45357</v>
      </c>
      <c r="D194" t="inlineStr">
        <is>
          <t>JÄMTLANDS LÄN</t>
        </is>
      </c>
      <c r="E194" t="inlineStr">
        <is>
          <t>ÖSTERSUND</t>
        </is>
      </c>
      <c r="G194" t="n">
        <v>2.9</v>
      </c>
      <c r="H194" t="n">
        <v>0</v>
      </c>
      <c r="I194" t="n">
        <v>0</v>
      </c>
      <c r="J194" t="n">
        <v>0</v>
      </c>
      <c r="K194" t="n">
        <v>0</v>
      </c>
      <c r="L194" t="n">
        <v>0</v>
      </c>
      <c r="M194" t="n">
        <v>0</v>
      </c>
      <c r="N194" t="n">
        <v>0</v>
      </c>
      <c r="O194" t="n">
        <v>0</v>
      </c>
      <c r="P194" t="n">
        <v>0</v>
      </c>
      <c r="Q194" t="n">
        <v>0</v>
      </c>
      <c r="R194" s="2" t="inlineStr"/>
    </row>
    <row r="195" ht="15" customHeight="1">
      <c r="A195" t="inlineStr">
        <is>
          <t>A 35688-2019</t>
        </is>
      </c>
      <c r="B195" s="1" t="n">
        <v>43656</v>
      </c>
      <c r="C195" s="1" t="n">
        <v>45357</v>
      </c>
      <c r="D195" t="inlineStr">
        <is>
          <t>JÄMTLANDS LÄN</t>
        </is>
      </c>
      <c r="E195" t="inlineStr">
        <is>
          <t>ÖSTERSUND</t>
        </is>
      </c>
      <c r="G195" t="n">
        <v>12.6</v>
      </c>
      <c r="H195" t="n">
        <v>0</v>
      </c>
      <c r="I195" t="n">
        <v>0</v>
      </c>
      <c r="J195" t="n">
        <v>0</v>
      </c>
      <c r="K195" t="n">
        <v>0</v>
      </c>
      <c r="L195" t="n">
        <v>0</v>
      </c>
      <c r="M195" t="n">
        <v>0</v>
      </c>
      <c r="N195" t="n">
        <v>0</v>
      </c>
      <c r="O195" t="n">
        <v>0</v>
      </c>
      <c r="P195" t="n">
        <v>0</v>
      </c>
      <c r="Q195" t="n">
        <v>0</v>
      </c>
      <c r="R195" s="2" t="inlineStr"/>
    </row>
    <row r="196" ht="15" customHeight="1">
      <c r="A196" t="inlineStr">
        <is>
          <t>A 36003-2019</t>
        </is>
      </c>
      <c r="B196" s="1" t="n">
        <v>43657</v>
      </c>
      <c r="C196" s="1" t="n">
        <v>45357</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36652-2019</t>
        </is>
      </c>
      <c r="B197" s="1" t="n">
        <v>43670</v>
      </c>
      <c r="C197" s="1" t="n">
        <v>45357</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37222-2019</t>
        </is>
      </c>
      <c r="B198" s="1" t="n">
        <v>43676</v>
      </c>
      <c r="C198" s="1" t="n">
        <v>45357</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38662-2019</t>
        </is>
      </c>
      <c r="B199" s="1" t="n">
        <v>43684</v>
      </c>
      <c r="C199" s="1" t="n">
        <v>45357</v>
      </c>
      <c r="D199" t="inlineStr">
        <is>
          <t>JÄMTLANDS LÄN</t>
        </is>
      </c>
      <c r="E199" t="inlineStr">
        <is>
          <t>ÖSTERSUND</t>
        </is>
      </c>
      <c r="G199" t="n">
        <v>2.2</v>
      </c>
      <c r="H199" t="n">
        <v>0</v>
      </c>
      <c r="I199" t="n">
        <v>0</v>
      </c>
      <c r="J199" t="n">
        <v>0</v>
      </c>
      <c r="K199" t="n">
        <v>0</v>
      </c>
      <c r="L199" t="n">
        <v>0</v>
      </c>
      <c r="M199" t="n">
        <v>0</v>
      </c>
      <c r="N199" t="n">
        <v>0</v>
      </c>
      <c r="O199" t="n">
        <v>0</v>
      </c>
      <c r="P199" t="n">
        <v>0</v>
      </c>
      <c r="Q199" t="n">
        <v>0</v>
      </c>
      <c r="R199" s="2" t="inlineStr"/>
    </row>
    <row r="200" ht="15" customHeight="1">
      <c r="A200" t="inlineStr">
        <is>
          <t>A 39459-2019</t>
        </is>
      </c>
      <c r="B200" s="1" t="n">
        <v>43686</v>
      </c>
      <c r="C200" s="1" t="n">
        <v>45357</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40530-2019</t>
        </is>
      </c>
      <c r="B201" s="1" t="n">
        <v>43696</v>
      </c>
      <c r="C201" s="1" t="n">
        <v>45357</v>
      </c>
      <c r="D201" t="inlineStr">
        <is>
          <t>JÄMTLANDS LÄN</t>
        </is>
      </c>
      <c r="E201" t="inlineStr">
        <is>
          <t>ÖSTERSUND</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41364-2019</t>
        </is>
      </c>
      <c r="B202" s="1" t="n">
        <v>43696</v>
      </c>
      <c r="C202" s="1" t="n">
        <v>45357</v>
      </c>
      <c r="D202" t="inlineStr">
        <is>
          <t>JÄMTLANDS LÄN</t>
        </is>
      </c>
      <c r="E202" t="inlineStr">
        <is>
          <t>ÖSTERSUND</t>
        </is>
      </c>
      <c r="G202" t="n">
        <v>1.2</v>
      </c>
      <c r="H202" t="n">
        <v>0</v>
      </c>
      <c r="I202" t="n">
        <v>0</v>
      </c>
      <c r="J202" t="n">
        <v>0</v>
      </c>
      <c r="K202" t="n">
        <v>0</v>
      </c>
      <c r="L202" t="n">
        <v>0</v>
      </c>
      <c r="M202" t="n">
        <v>0</v>
      </c>
      <c r="N202" t="n">
        <v>0</v>
      </c>
      <c r="O202" t="n">
        <v>0</v>
      </c>
      <c r="P202" t="n">
        <v>0</v>
      </c>
      <c r="Q202" t="n">
        <v>0</v>
      </c>
      <c r="R202" s="2" t="inlineStr"/>
    </row>
    <row r="203" ht="15" customHeight="1">
      <c r="A203" t="inlineStr">
        <is>
          <t>A 40531-2019</t>
        </is>
      </c>
      <c r="B203" s="1" t="n">
        <v>43696</v>
      </c>
      <c r="C203" s="1" t="n">
        <v>45357</v>
      </c>
      <c r="D203" t="inlineStr">
        <is>
          <t>JÄMTLANDS LÄN</t>
        </is>
      </c>
      <c r="E203" t="inlineStr">
        <is>
          <t>ÖSTERSUND</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41556-2019</t>
        </is>
      </c>
      <c r="B204" s="1" t="n">
        <v>43696</v>
      </c>
      <c r="C204" s="1" t="n">
        <v>45357</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41588-2019</t>
        </is>
      </c>
      <c r="B205" s="1" t="n">
        <v>43699</v>
      </c>
      <c r="C205" s="1" t="n">
        <v>45357</v>
      </c>
      <c r="D205" t="inlineStr">
        <is>
          <t>JÄMTLANDS LÄN</t>
        </is>
      </c>
      <c r="E205" t="inlineStr">
        <is>
          <t>ÖSTERSUND</t>
        </is>
      </c>
      <c r="G205" t="n">
        <v>26.7</v>
      </c>
      <c r="H205" t="n">
        <v>0</v>
      </c>
      <c r="I205" t="n">
        <v>0</v>
      </c>
      <c r="J205" t="n">
        <v>0</v>
      </c>
      <c r="K205" t="n">
        <v>0</v>
      </c>
      <c r="L205" t="n">
        <v>0</v>
      </c>
      <c r="M205" t="n">
        <v>0</v>
      </c>
      <c r="N205" t="n">
        <v>0</v>
      </c>
      <c r="O205" t="n">
        <v>0</v>
      </c>
      <c r="P205" t="n">
        <v>0</v>
      </c>
      <c r="Q205" t="n">
        <v>0</v>
      </c>
      <c r="R205" s="2" t="inlineStr"/>
    </row>
    <row r="206" ht="15" customHeight="1">
      <c r="A206" t="inlineStr">
        <is>
          <t>A 43249-2019</t>
        </is>
      </c>
      <c r="B206" s="1" t="n">
        <v>43703</v>
      </c>
      <c r="C206" s="1" t="n">
        <v>45357</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43425-2019</t>
        </is>
      </c>
      <c r="B207" s="1" t="n">
        <v>43703</v>
      </c>
      <c r="C207" s="1" t="n">
        <v>45357</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46346-2019</t>
        </is>
      </c>
      <c r="B208" s="1" t="n">
        <v>43718</v>
      </c>
      <c r="C208" s="1" t="n">
        <v>45357</v>
      </c>
      <c r="D208" t="inlineStr">
        <is>
          <t>JÄMTLANDS LÄN</t>
        </is>
      </c>
      <c r="E208" t="inlineStr">
        <is>
          <t>ÖSTERSUND</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47810-2019</t>
        </is>
      </c>
      <c r="B209" s="1" t="n">
        <v>43724</v>
      </c>
      <c r="C209" s="1" t="n">
        <v>45357</v>
      </c>
      <c r="D209" t="inlineStr">
        <is>
          <t>JÄMTLANDS LÄN</t>
        </is>
      </c>
      <c r="E209" t="inlineStr">
        <is>
          <t>ÖSTERSUND</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48115-2019</t>
        </is>
      </c>
      <c r="B210" s="1" t="n">
        <v>43725</v>
      </c>
      <c r="C210" s="1" t="n">
        <v>45357</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48680-2019</t>
        </is>
      </c>
      <c r="B211" s="1" t="n">
        <v>43727</v>
      </c>
      <c r="C211" s="1" t="n">
        <v>45357</v>
      </c>
      <c r="D211" t="inlineStr">
        <is>
          <t>JÄMTLANDS LÄN</t>
        </is>
      </c>
      <c r="E211" t="inlineStr">
        <is>
          <t>ÖSTERSUND</t>
        </is>
      </c>
      <c r="G211" t="n">
        <v>3</v>
      </c>
      <c r="H211" t="n">
        <v>0</v>
      </c>
      <c r="I211" t="n">
        <v>0</v>
      </c>
      <c r="J211" t="n">
        <v>0</v>
      </c>
      <c r="K211" t="n">
        <v>0</v>
      </c>
      <c r="L211" t="n">
        <v>0</v>
      </c>
      <c r="M211" t="n">
        <v>0</v>
      </c>
      <c r="N211" t="n">
        <v>0</v>
      </c>
      <c r="O211" t="n">
        <v>0</v>
      </c>
      <c r="P211" t="n">
        <v>0</v>
      </c>
      <c r="Q211" t="n">
        <v>0</v>
      </c>
      <c r="R211" s="2" t="inlineStr"/>
    </row>
    <row r="212" ht="15" customHeight="1">
      <c r="A212" t="inlineStr">
        <is>
          <t>A 49629-2019</t>
        </is>
      </c>
      <c r="B212" s="1" t="n">
        <v>43732</v>
      </c>
      <c r="C212" s="1" t="n">
        <v>45357</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51347-2019</t>
        </is>
      </c>
      <c r="B213" s="1" t="n">
        <v>43732</v>
      </c>
      <c r="C213" s="1" t="n">
        <v>45357</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49997-2019</t>
        </is>
      </c>
      <c r="B214" s="1" t="n">
        <v>43733</v>
      </c>
      <c r="C214" s="1" t="n">
        <v>45357</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50316-2019</t>
        </is>
      </c>
      <c r="B215" s="1" t="n">
        <v>43735</v>
      </c>
      <c r="C215" s="1" t="n">
        <v>45357</v>
      </c>
      <c r="D215" t="inlineStr">
        <is>
          <t>JÄMTLANDS LÄN</t>
        </is>
      </c>
      <c r="E215" t="inlineStr">
        <is>
          <t>ÖSTERSUND</t>
        </is>
      </c>
      <c r="G215" t="n">
        <v>9.5</v>
      </c>
      <c r="H215" t="n">
        <v>0</v>
      </c>
      <c r="I215" t="n">
        <v>0</v>
      </c>
      <c r="J215" t="n">
        <v>0</v>
      </c>
      <c r="K215" t="n">
        <v>0</v>
      </c>
      <c r="L215" t="n">
        <v>0</v>
      </c>
      <c r="M215" t="n">
        <v>0</v>
      </c>
      <c r="N215" t="n">
        <v>0</v>
      </c>
      <c r="O215" t="n">
        <v>0</v>
      </c>
      <c r="P215" t="n">
        <v>0</v>
      </c>
      <c r="Q215" t="n">
        <v>0</v>
      </c>
      <c r="R215" s="2" t="inlineStr"/>
    </row>
    <row r="216" ht="15" customHeight="1">
      <c r="A216" t="inlineStr">
        <is>
          <t>A 50779-2019</t>
        </is>
      </c>
      <c r="B216" s="1" t="n">
        <v>43738</v>
      </c>
      <c r="C216" s="1" t="n">
        <v>45357</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50968-2019</t>
        </is>
      </c>
      <c r="B217" s="1" t="n">
        <v>43738</v>
      </c>
      <c r="C217" s="1" t="n">
        <v>45357</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54498-2019</t>
        </is>
      </c>
      <c r="B218" s="1" t="n">
        <v>43747</v>
      </c>
      <c r="C218" s="1" t="n">
        <v>45357</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53297-2019</t>
        </is>
      </c>
      <c r="B219" s="1" t="n">
        <v>43748</v>
      </c>
      <c r="C219" s="1" t="n">
        <v>45357</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53533-2019</t>
        </is>
      </c>
      <c r="B220" s="1" t="n">
        <v>43749</v>
      </c>
      <c r="C220" s="1" t="n">
        <v>45357</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53859-2019</t>
        </is>
      </c>
      <c r="B221" s="1" t="n">
        <v>43752</v>
      </c>
      <c r="C221" s="1" t="n">
        <v>45357</v>
      </c>
      <c r="D221" t="inlineStr">
        <is>
          <t>JÄMTLANDS LÄN</t>
        </is>
      </c>
      <c r="E221" t="inlineStr">
        <is>
          <t>ÖSTERSUND</t>
        </is>
      </c>
      <c r="F221" t="inlineStr">
        <is>
          <t>Övriga Aktiebolag</t>
        </is>
      </c>
      <c r="G221" t="n">
        <v>4.3</v>
      </c>
      <c r="H221" t="n">
        <v>0</v>
      </c>
      <c r="I221" t="n">
        <v>0</v>
      </c>
      <c r="J221" t="n">
        <v>0</v>
      </c>
      <c r="K221" t="n">
        <v>0</v>
      </c>
      <c r="L221" t="n">
        <v>0</v>
      </c>
      <c r="M221" t="n">
        <v>0</v>
      </c>
      <c r="N221" t="n">
        <v>0</v>
      </c>
      <c r="O221" t="n">
        <v>0</v>
      </c>
      <c r="P221" t="n">
        <v>0</v>
      </c>
      <c r="Q221" t="n">
        <v>0</v>
      </c>
      <c r="R221" s="2" t="inlineStr"/>
    </row>
    <row r="222" ht="15" customHeight="1">
      <c r="A222" t="inlineStr">
        <is>
          <t>A 57466-2019</t>
        </is>
      </c>
      <c r="B222" s="1" t="n">
        <v>43761</v>
      </c>
      <c r="C222" s="1" t="n">
        <v>45357</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56512-2019</t>
        </is>
      </c>
      <c r="B223" s="1" t="n">
        <v>43762</v>
      </c>
      <c r="C223" s="1" t="n">
        <v>45357</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57845-2019</t>
        </is>
      </c>
      <c r="B224" s="1" t="n">
        <v>43768</v>
      </c>
      <c r="C224" s="1" t="n">
        <v>45357</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58216-2019</t>
        </is>
      </c>
      <c r="B225" s="1" t="n">
        <v>43770</v>
      </c>
      <c r="C225" s="1" t="n">
        <v>45357</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58210-2019</t>
        </is>
      </c>
      <c r="B226" s="1" t="n">
        <v>43770</v>
      </c>
      <c r="C226" s="1" t="n">
        <v>45357</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59437-2019</t>
        </is>
      </c>
      <c r="B227" s="1" t="n">
        <v>43773</v>
      </c>
      <c r="C227" s="1" t="n">
        <v>45357</v>
      </c>
      <c r="D227" t="inlineStr">
        <is>
          <t>JÄMTLANDS LÄN</t>
        </is>
      </c>
      <c r="E227" t="inlineStr">
        <is>
          <t>ÖSTERSUND</t>
        </is>
      </c>
      <c r="G227" t="n">
        <v>6.2</v>
      </c>
      <c r="H227" t="n">
        <v>0</v>
      </c>
      <c r="I227" t="n">
        <v>0</v>
      </c>
      <c r="J227" t="n">
        <v>0</v>
      </c>
      <c r="K227" t="n">
        <v>0</v>
      </c>
      <c r="L227" t="n">
        <v>0</v>
      </c>
      <c r="M227" t="n">
        <v>0</v>
      </c>
      <c r="N227" t="n">
        <v>0</v>
      </c>
      <c r="O227" t="n">
        <v>0</v>
      </c>
      <c r="P227" t="n">
        <v>0</v>
      </c>
      <c r="Q227" t="n">
        <v>0</v>
      </c>
      <c r="R227" s="2" t="inlineStr"/>
    </row>
    <row r="228" ht="15" customHeight="1">
      <c r="A228" t="inlineStr">
        <is>
          <t>A 60240-2019</t>
        </is>
      </c>
      <c r="B228" s="1" t="n">
        <v>43776</v>
      </c>
      <c r="C228" s="1" t="n">
        <v>45357</v>
      </c>
      <c r="D228" t="inlineStr">
        <is>
          <t>JÄMTLANDS LÄN</t>
        </is>
      </c>
      <c r="E228" t="inlineStr">
        <is>
          <t>ÖSTERSUND</t>
        </is>
      </c>
      <c r="G228" t="n">
        <v>3.9</v>
      </c>
      <c r="H228" t="n">
        <v>0</v>
      </c>
      <c r="I228" t="n">
        <v>0</v>
      </c>
      <c r="J228" t="n">
        <v>0</v>
      </c>
      <c r="K228" t="n">
        <v>0</v>
      </c>
      <c r="L228" t="n">
        <v>0</v>
      </c>
      <c r="M228" t="n">
        <v>0</v>
      </c>
      <c r="N228" t="n">
        <v>0</v>
      </c>
      <c r="O228" t="n">
        <v>0</v>
      </c>
      <c r="P228" t="n">
        <v>0</v>
      </c>
      <c r="Q228" t="n">
        <v>0</v>
      </c>
      <c r="R228" s="2" t="inlineStr"/>
    </row>
    <row r="229" ht="15" customHeight="1">
      <c r="A229" t="inlineStr">
        <is>
          <t>A 60001-2019</t>
        </is>
      </c>
      <c r="B229" s="1" t="n">
        <v>43777</v>
      </c>
      <c r="C229" s="1" t="n">
        <v>45357</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60669-2019</t>
        </is>
      </c>
      <c r="B230" s="1" t="n">
        <v>43781</v>
      </c>
      <c r="C230" s="1" t="n">
        <v>45357</v>
      </c>
      <c r="D230" t="inlineStr">
        <is>
          <t>JÄMTLANDS LÄN</t>
        </is>
      </c>
      <c r="E230" t="inlineStr">
        <is>
          <t>ÖSTERSUND</t>
        </is>
      </c>
      <c r="G230" t="n">
        <v>3.6</v>
      </c>
      <c r="H230" t="n">
        <v>0</v>
      </c>
      <c r="I230" t="n">
        <v>0</v>
      </c>
      <c r="J230" t="n">
        <v>0</v>
      </c>
      <c r="K230" t="n">
        <v>0</v>
      </c>
      <c r="L230" t="n">
        <v>0</v>
      </c>
      <c r="M230" t="n">
        <v>0</v>
      </c>
      <c r="N230" t="n">
        <v>0</v>
      </c>
      <c r="O230" t="n">
        <v>0</v>
      </c>
      <c r="P230" t="n">
        <v>0</v>
      </c>
      <c r="Q230" t="n">
        <v>0</v>
      </c>
      <c r="R230" s="2" t="inlineStr"/>
    </row>
    <row r="231" ht="15" customHeight="1">
      <c r="A231" t="inlineStr">
        <is>
          <t>A 60604-2019</t>
        </is>
      </c>
      <c r="B231" s="1" t="n">
        <v>43781</v>
      </c>
      <c r="C231" s="1" t="n">
        <v>45357</v>
      </c>
      <c r="D231" t="inlineStr">
        <is>
          <t>JÄMTLANDS LÄN</t>
        </is>
      </c>
      <c r="E231" t="inlineStr">
        <is>
          <t>ÖSTERSUND</t>
        </is>
      </c>
      <c r="G231" t="n">
        <v>8.9</v>
      </c>
      <c r="H231" t="n">
        <v>0</v>
      </c>
      <c r="I231" t="n">
        <v>0</v>
      </c>
      <c r="J231" t="n">
        <v>0</v>
      </c>
      <c r="K231" t="n">
        <v>0</v>
      </c>
      <c r="L231" t="n">
        <v>0</v>
      </c>
      <c r="M231" t="n">
        <v>0</v>
      </c>
      <c r="N231" t="n">
        <v>0</v>
      </c>
      <c r="O231" t="n">
        <v>0</v>
      </c>
      <c r="P231" t="n">
        <v>0</v>
      </c>
      <c r="Q231" t="n">
        <v>0</v>
      </c>
      <c r="R231" s="2" t="inlineStr"/>
    </row>
    <row r="232" ht="15" customHeight="1">
      <c r="A232" t="inlineStr">
        <is>
          <t>A 62234-2019</t>
        </is>
      </c>
      <c r="B232" s="1" t="n">
        <v>43784</v>
      </c>
      <c r="C232" s="1" t="n">
        <v>45357</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62136-2019</t>
        </is>
      </c>
      <c r="B233" s="1" t="n">
        <v>43787</v>
      </c>
      <c r="C233" s="1" t="n">
        <v>45357</v>
      </c>
      <c r="D233" t="inlineStr">
        <is>
          <t>JÄMTLANDS LÄN</t>
        </is>
      </c>
      <c r="E233" t="inlineStr">
        <is>
          <t>ÖSTERSUND</t>
        </is>
      </c>
      <c r="F233" t="inlineStr">
        <is>
          <t>Övriga Aktiebolag</t>
        </is>
      </c>
      <c r="G233" t="n">
        <v>35.2</v>
      </c>
      <c r="H233" t="n">
        <v>0</v>
      </c>
      <c r="I233" t="n">
        <v>0</v>
      </c>
      <c r="J233" t="n">
        <v>0</v>
      </c>
      <c r="K233" t="n">
        <v>0</v>
      </c>
      <c r="L233" t="n">
        <v>0</v>
      </c>
      <c r="M233" t="n">
        <v>0</v>
      </c>
      <c r="N233" t="n">
        <v>0</v>
      </c>
      <c r="O233" t="n">
        <v>0</v>
      </c>
      <c r="P233" t="n">
        <v>0</v>
      </c>
      <c r="Q233" t="n">
        <v>0</v>
      </c>
      <c r="R233" s="2" t="inlineStr"/>
    </row>
    <row r="234" ht="15" customHeight="1">
      <c r="A234" t="inlineStr">
        <is>
          <t>A 64622-2019</t>
        </is>
      </c>
      <c r="B234" s="1" t="n">
        <v>43794</v>
      </c>
      <c r="C234" s="1" t="n">
        <v>45357</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65335-2019</t>
        </is>
      </c>
      <c r="B235" s="1" t="n">
        <v>43802</v>
      </c>
      <c r="C235" s="1" t="n">
        <v>45357</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67010-2019</t>
        </is>
      </c>
      <c r="B236" s="1" t="n">
        <v>43805</v>
      </c>
      <c r="C236" s="1" t="n">
        <v>45357</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66592-2019</t>
        </is>
      </c>
      <c r="B237" s="1" t="n">
        <v>43809</v>
      </c>
      <c r="C237" s="1" t="n">
        <v>45357</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67863-2019</t>
        </is>
      </c>
      <c r="B238" s="1" t="n">
        <v>43809</v>
      </c>
      <c r="C238" s="1" t="n">
        <v>45357</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68238-2019</t>
        </is>
      </c>
      <c r="B239" s="1" t="n">
        <v>43817</v>
      </c>
      <c r="C239" s="1" t="n">
        <v>45357</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745-2020</t>
        </is>
      </c>
      <c r="B240" s="1" t="n">
        <v>43838</v>
      </c>
      <c r="C240" s="1" t="n">
        <v>45357</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1088-2020</t>
        </is>
      </c>
      <c r="B241" s="1" t="n">
        <v>43840</v>
      </c>
      <c r="C241" s="1" t="n">
        <v>45357</v>
      </c>
      <c r="D241" t="inlineStr">
        <is>
          <t>JÄMTLANDS LÄN</t>
        </is>
      </c>
      <c r="E241" t="inlineStr">
        <is>
          <t>ÖSTERSUND</t>
        </is>
      </c>
      <c r="G241" t="n">
        <v>4.4</v>
      </c>
      <c r="H241" t="n">
        <v>0</v>
      </c>
      <c r="I241" t="n">
        <v>0</v>
      </c>
      <c r="J241" t="n">
        <v>0</v>
      </c>
      <c r="K241" t="n">
        <v>0</v>
      </c>
      <c r="L241" t="n">
        <v>0</v>
      </c>
      <c r="M241" t="n">
        <v>0</v>
      </c>
      <c r="N241" t="n">
        <v>0</v>
      </c>
      <c r="O241" t="n">
        <v>0</v>
      </c>
      <c r="P241" t="n">
        <v>0</v>
      </c>
      <c r="Q241" t="n">
        <v>0</v>
      </c>
      <c r="R241" s="2" t="inlineStr"/>
    </row>
    <row r="242" ht="15" customHeight="1">
      <c r="A242" t="inlineStr">
        <is>
          <t>A 1268-2020</t>
        </is>
      </c>
      <c r="B242" s="1" t="n">
        <v>43840</v>
      </c>
      <c r="C242" s="1" t="n">
        <v>45357</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1077-2020</t>
        </is>
      </c>
      <c r="B243" s="1" t="n">
        <v>43840</v>
      </c>
      <c r="C243" s="1" t="n">
        <v>45357</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5905-2020</t>
        </is>
      </c>
      <c r="B244" s="1" t="n">
        <v>43861</v>
      </c>
      <c r="C244" s="1" t="n">
        <v>45357</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6028-2020</t>
        </is>
      </c>
      <c r="B245" s="1" t="n">
        <v>43864</v>
      </c>
      <c r="C245" s="1" t="n">
        <v>45357</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6522-2020</t>
        </is>
      </c>
      <c r="B246" s="1" t="n">
        <v>43864</v>
      </c>
      <c r="C246" s="1" t="n">
        <v>45357</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6566-2020</t>
        </is>
      </c>
      <c r="B247" s="1" t="n">
        <v>43865</v>
      </c>
      <c r="C247" s="1" t="n">
        <v>45357</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7255-2020</t>
        </is>
      </c>
      <c r="B248" s="1" t="n">
        <v>43871</v>
      </c>
      <c r="C248" s="1" t="n">
        <v>45357</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7570-2020</t>
        </is>
      </c>
      <c r="B249" s="1" t="n">
        <v>43871</v>
      </c>
      <c r="C249" s="1" t="n">
        <v>45357</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8401-2020</t>
        </is>
      </c>
      <c r="B250" s="1" t="n">
        <v>43875</v>
      </c>
      <c r="C250" s="1" t="n">
        <v>45357</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11566-2020</t>
        </is>
      </c>
      <c r="B251" s="1" t="n">
        <v>43893</v>
      </c>
      <c r="C251" s="1" t="n">
        <v>45357</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12202-2020</t>
        </is>
      </c>
      <c r="B252" s="1" t="n">
        <v>43895</v>
      </c>
      <c r="C252" s="1" t="n">
        <v>45357</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13264-2020</t>
        </is>
      </c>
      <c r="B253" s="1" t="n">
        <v>43901</v>
      </c>
      <c r="C253" s="1" t="n">
        <v>45357</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14917-2020</t>
        </is>
      </c>
      <c r="B254" s="1" t="n">
        <v>43906</v>
      </c>
      <c r="C254" s="1" t="n">
        <v>45357</v>
      </c>
      <c r="D254" t="inlineStr">
        <is>
          <t>JÄMTLANDS LÄN</t>
        </is>
      </c>
      <c r="E254" t="inlineStr">
        <is>
          <t>ÖSTERSUND</t>
        </is>
      </c>
      <c r="G254" t="n">
        <v>12.9</v>
      </c>
      <c r="H254" t="n">
        <v>0</v>
      </c>
      <c r="I254" t="n">
        <v>0</v>
      </c>
      <c r="J254" t="n">
        <v>0</v>
      </c>
      <c r="K254" t="n">
        <v>0</v>
      </c>
      <c r="L254" t="n">
        <v>0</v>
      </c>
      <c r="M254" t="n">
        <v>0</v>
      </c>
      <c r="N254" t="n">
        <v>0</v>
      </c>
      <c r="O254" t="n">
        <v>0</v>
      </c>
      <c r="P254" t="n">
        <v>0</v>
      </c>
      <c r="Q254" t="n">
        <v>0</v>
      </c>
      <c r="R254" s="2" t="inlineStr"/>
    </row>
    <row r="255" ht="15" customHeight="1">
      <c r="A255" t="inlineStr">
        <is>
          <t>A 15797-2020</t>
        </is>
      </c>
      <c r="B255" s="1" t="n">
        <v>43909</v>
      </c>
      <c r="C255" s="1" t="n">
        <v>45357</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14903-2020</t>
        </is>
      </c>
      <c r="B256" s="1" t="n">
        <v>43910</v>
      </c>
      <c r="C256" s="1" t="n">
        <v>45357</v>
      </c>
      <c r="D256" t="inlineStr">
        <is>
          <t>JÄMTLANDS LÄN</t>
        </is>
      </c>
      <c r="E256" t="inlineStr">
        <is>
          <t>ÖSTERSUND</t>
        </is>
      </c>
      <c r="F256" t="inlineStr">
        <is>
          <t>Kyrkan</t>
        </is>
      </c>
      <c r="G256" t="n">
        <v>2.3</v>
      </c>
      <c r="H256" t="n">
        <v>0</v>
      </c>
      <c r="I256" t="n">
        <v>0</v>
      </c>
      <c r="J256" t="n">
        <v>0</v>
      </c>
      <c r="K256" t="n">
        <v>0</v>
      </c>
      <c r="L256" t="n">
        <v>0</v>
      </c>
      <c r="M256" t="n">
        <v>0</v>
      </c>
      <c r="N256" t="n">
        <v>0</v>
      </c>
      <c r="O256" t="n">
        <v>0</v>
      </c>
      <c r="P256" t="n">
        <v>0</v>
      </c>
      <c r="Q256" t="n">
        <v>0</v>
      </c>
      <c r="R256" s="2" t="inlineStr"/>
    </row>
    <row r="257" ht="15" customHeight="1">
      <c r="A257" t="inlineStr">
        <is>
          <t>A 17464-2020</t>
        </is>
      </c>
      <c r="B257" s="1" t="n">
        <v>43917</v>
      </c>
      <c r="C257" s="1" t="n">
        <v>45357</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18339-2020</t>
        </is>
      </c>
      <c r="B258" s="1" t="n">
        <v>43928</v>
      </c>
      <c r="C258" s="1" t="n">
        <v>45357</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18683-2020</t>
        </is>
      </c>
      <c r="B259" s="1" t="n">
        <v>43930</v>
      </c>
      <c r="C259" s="1" t="n">
        <v>45357</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19631-2020</t>
        </is>
      </c>
      <c r="B260" s="1" t="n">
        <v>43936</v>
      </c>
      <c r="C260" s="1" t="n">
        <v>45357</v>
      </c>
      <c r="D260" t="inlineStr">
        <is>
          <t>JÄMTLANDS LÄN</t>
        </is>
      </c>
      <c r="E260" t="inlineStr">
        <is>
          <t>ÖSTERSUND</t>
        </is>
      </c>
      <c r="G260" t="n">
        <v>5.5</v>
      </c>
      <c r="H260" t="n">
        <v>0</v>
      </c>
      <c r="I260" t="n">
        <v>0</v>
      </c>
      <c r="J260" t="n">
        <v>0</v>
      </c>
      <c r="K260" t="n">
        <v>0</v>
      </c>
      <c r="L260" t="n">
        <v>0</v>
      </c>
      <c r="M260" t="n">
        <v>0</v>
      </c>
      <c r="N260" t="n">
        <v>0</v>
      </c>
      <c r="O260" t="n">
        <v>0</v>
      </c>
      <c r="P260" t="n">
        <v>0</v>
      </c>
      <c r="Q260" t="n">
        <v>0</v>
      </c>
      <c r="R260" s="2" t="inlineStr"/>
    </row>
    <row r="261" ht="15" customHeight="1">
      <c r="A261" t="inlineStr">
        <is>
          <t>A 19923-2020</t>
        </is>
      </c>
      <c r="B261" s="1" t="n">
        <v>43943</v>
      </c>
      <c r="C261" s="1" t="n">
        <v>45357</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20198-2020</t>
        </is>
      </c>
      <c r="B262" s="1" t="n">
        <v>43944</v>
      </c>
      <c r="C262" s="1" t="n">
        <v>45357</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23507-2020</t>
        </is>
      </c>
      <c r="B263" s="1" t="n">
        <v>43969</v>
      </c>
      <c r="C263" s="1" t="n">
        <v>45357</v>
      </c>
      <c r="D263" t="inlineStr">
        <is>
          <t>JÄMTLANDS LÄN</t>
        </is>
      </c>
      <c r="E263" t="inlineStr">
        <is>
          <t>ÖSTERSUND</t>
        </is>
      </c>
      <c r="G263" t="n">
        <v>5.8</v>
      </c>
      <c r="H263" t="n">
        <v>0</v>
      </c>
      <c r="I263" t="n">
        <v>0</v>
      </c>
      <c r="J263" t="n">
        <v>0</v>
      </c>
      <c r="K263" t="n">
        <v>0</v>
      </c>
      <c r="L263" t="n">
        <v>0</v>
      </c>
      <c r="M263" t="n">
        <v>0</v>
      </c>
      <c r="N263" t="n">
        <v>0</v>
      </c>
      <c r="O263" t="n">
        <v>0</v>
      </c>
      <c r="P263" t="n">
        <v>0</v>
      </c>
      <c r="Q263" t="n">
        <v>0</v>
      </c>
      <c r="R263" s="2" t="inlineStr"/>
    </row>
    <row r="264" ht="15" customHeight="1">
      <c r="A264" t="inlineStr">
        <is>
          <t>A 23445-2020</t>
        </is>
      </c>
      <c r="B264" s="1" t="n">
        <v>43969</v>
      </c>
      <c r="C264" s="1" t="n">
        <v>45357</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24259-2020</t>
        </is>
      </c>
      <c r="B265" s="1" t="n">
        <v>43970</v>
      </c>
      <c r="C265" s="1" t="n">
        <v>45357</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24253-2020</t>
        </is>
      </c>
      <c r="B266" s="1" t="n">
        <v>43970</v>
      </c>
      <c r="C266" s="1" t="n">
        <v>45357</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25148-2020</t>
        </is>
      </c>
      <c r="B267" s="1" t="n">
        <v>43978</v>
      </c>
      <c r="C267" s="1" t="n">
        <v>45357</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26410-2020</t>
        </is>
      </c>
      <c r="B268" s="1" t="n">
        <v>43986</v>
      </c>
      <c r="C268" s="1" t="n">
        <v>45357</v>
      </c>
      <c r="D268" t="inlineStr">
        <is>
          <t>JÄMTLANDS LÄN</t>
        </is>
      </c>
      <c r="E268" t="inlineStr">
        <is>
          <t>ÖSTERSUND</t>
        </is>
      </c>
      <c r="G268" t="n">
        <v>2.1</v>
      </c>
      <c r="H268" t="n">
        <v>0</v>
      </c>
      <c r="I268" t="n">
        <v>0</v>
      </c>
      <c r="J268" t="n">
        <v>0</v>
      </c>
      <c r="K268" t="n">
        <v>0</v>
      </c>
      <c r="L268" t="n">
        <v>0</v>
      </c>
      <c r="M268" t="n">
        <v>0</v>
      </c>
      <c r="N268" t="n">
        <v>0</v>
      </c>
      <c r="O268" t="n">
        <v>0</v>
      </c>
      <c r="P268" t="n">
        <v>0</v>
      </c>
      <c r="Q268" t="n">
        <v>0</v>
      </c>
      <c r="R268" s="2" t="inlineStr"/>
    </row>
    <row r="269" ht="15" customHeight="1">
      <c r="A269" t="inlineStr">
        <is>
          <t>A 27576-2020</t>
        </is>
      </c>
      <c r="B269" s="1" t="n">
        <v>43992</v>
      </c>
      <c r="C269" s="1" t="n">
        <v>45357</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29635-2020</t>
        </is>
      </c>
      <c r="B270" s="1" t="n">
        <v>44000</v>
      </c>
      <c r="C270" s="1" t="n">
        <v>45357</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29435-2020</t>
        </is>
      </c>
      <c r="B271" s="1" t="n">
        <v>44004</v>
      </c>
      <c r="C271" s="1" t="n">
        <v>45357</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29479-2020</t>
        </is>
      </c>
      <c r="B272" s="1" t="n">
        <v>44005</v>
      </c>
      <c r="C272" s="1" t="n">
        <v>45357</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29581-2020</t>
        </is>
      </c>
      <c r="B273" s="1" t="n">
        <v>44004</v>
      </c>
      <c r="C273" s="1" t="n">
        <v>45357</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30676-2020</t>
        </is>
      </c>
      <c r="B274" s="1" t="n">
        <v>44008</v>
      </c>
      <c r="C274" s="1" t="n">
        <v>45357</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33945-2020</t>
        </is>
      </c>
      <c r="B275" s="1" t="n">
        <v>44027</v>
      </c>
      <c r="C275" s="1" t="n">
        <v>45357</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34703-2020</t>
        </is>
      </c>
      <c r="B276" s="1" t="n">
        <v>44035</v>
      </c>
      <c r="C276" s="1" t="n">
        <v>45357</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37500-2020</t>
        </is>
      </c>
      <c r="B277" s="1" t="n">
        <v>44055</v>
      </c>
      <c r="C277" s="1" t="n">
        <v>45357</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38099-2020</t>
        </is>
      </c>
      <c r="B278" s="1" t="n">
        <v>44057</v>
      </c>
      <c r="C278" s="1" t="n">
        <v>45357</v>
      </c>
      <c r="D278" t="inlineStr">
        <is>
          <t>JÄMTLANDS LÄN</t>
        </is>
      </c>
      <c r="E278" t="inlineStr">
        <is>
          <t>ÖSTERSUND</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41354-2020</t>
        </is>
      </c>
      <c r="B279" s="1" t="n">
        <v>44072</v>
      </c>
      <c r="C279" s="1" t="n">
        <v>45357</v>
      </c>
      <c r="D279" t="inlineStr">
        <is>
          <t>JÄMTLANDS LÄN</t>
        </is>
      </c>
      <c r="E279" t="inlineStr">
        <is>
          <t>ÖSTERSUND</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42712-2020</t>
        </is>
      </c>
      <c r="B280" s="1" t="n">
        <v>44076</v>
      </c>
      <c r="C280" s="1" t="n">
        <v>45357</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42749-2020</t>
        </is>
      </c>
      <c r="B281" s="1" t="n">
        <v>44078</v>
      </c>
      <c r="C281" s="1" t="n">
        <v>45357</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42765-2020</t>
        </is>
      </c>
      <c r="B282" s="1" t="n">
        <v>44077</v>
      </c>
      <c r="C282" s="1" t="n">
        <v>45357</v>
      </c>
      <c r="D282" t="inlineStr">
        <is>
          <t>JÄMTLANDS LÄN</t>
        </is>
      </c>
      <c r="E282" t="inlineStr">
        <is>
          <t>ÖSTERSUND</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42766-2020</t>
        </is>
      </c>
      <c r="B283" s="1" t="n">
        <v>44077</v>
      </c>
      <c r="C283" s="1" t="n">
        <v>45357</v>
      </c>
      <c r="D283" t="inlineStr">
        <is>
          <t>JÄMTLANDS LÄN</t>
        </is>
      </c>
      <c r="E283" t="inlineStr">
        <is>
          <t>ÖSTERSUND</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43796-2020</t>
        </is>
      </c>
      <c r="B284" s="1" t="n">
        <v>44082</v>
      </c>
      <c r="C284" s="1" t="n">
        <v>45357</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45820-2020</t>
        </is>
      </c>
      <c r="B285" s="1" t="n">
        <v>44090</v>
      </c>
      <c r="C285" s="1" t="n">
        <v>45357</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50121-2020</t>
        </is>
      </c>
      <c r="B286" s="1" t="n">
        <v>44106</v>
      </c>
      <c r="C286" s="1" t="n">
        <v>45357</v>
      </c>
      <c r="D286" t="inlineStr">
        <is>
          <t>JÄMTLANDS LÄN</t>
        </is>
      </c>
      <c r="E286" t="inlineStr">
        <is>
          <t>ÖSTERSUND</t>
        </is>
      </c>
      <c r="F286" t="inlineStr">
        <is>
          <t>Övriga statliga verk och myndigheter</t>
        </is>
      </c>
      <c r="G286" t="n">
        <v>5.2</v>
      </c>
      <c r="H286" t="n">
        <v>0</v>
      </c>
      <c r="I286" t="n">
        <v>0</v>
      </c>
      <c r="J286" t="n">
        <v>0</v>
      </c>
      <c r="K286" t="n">
        <v>0</v>
      </c>
      <c r="L286" t="n">
        <v>0</v>
      </c>
      <c r="M286" t="n">
        <v>0</v>
      </c>
      <c r="N286" t="n">
        <v>0</v>
      </c>
      <c r="O286" t="n">
        <v>0</v>
      </c>
      <c r="P286" t="n">
        <v>0</v>
      </c>
      <c r="Q286" t="n">
        <v>0</v>
      </c>
      <c r="R286" s="2" t="inlineStr"/>
    </row>
    <row r="287" ht="15" customHeight="1">
      <c r="A287" t="inlineStr">
        <is>
          <t>A 50153-2020</t>
        </is>
      </c>
      <c r="B287" s="1" t="n">
        <v>44106</v>
      </c>
      <c r="C287" s="1" t="n">
        <v>45357</v>
      </c>
      <c r="D287" t="inlineStr">
        <is>
          <t>JÄMTLANDS LÄN</t>
        </is>
      </c>
      <c r="E287" t="inlineStr">
        <is>
          <t>ÖSTERSUND</t>
        </is>
      </c>
      <c r="F287" t="inlineStr">
        <is>
          <t>Övriga statliga verk och myndigheter</t>
        </is>
      </c>
      <c r="G287" t="n">
        <v>4.6</v>
      </c>
      <c r="H287" t="n">
        <v>0</v>
      </c>
      <c r="I287" t="n">
        <v>0</v>
      </c>
      <c r="J287" t="n">
        <v>0</v>
      </c>
      <c r="K287" t="n">
        <v>0</v>
      </c>
      <c r="L287" t="n">
        <v>0</v>
      </c>
      <c r="M287" t="n">
        <v>0</v>
      </c>
      <c r="N287" t="n">
        <v>0</v>
      </c>
      <c r="O287" t="n">
        <v>0</v>
      </c>
      <c r="P287" t="n">
        <v>0</v>
      </c>
      <c r="Q287" t="n">
        <v>0</v>
      </c>
      <c r="R287" s="2" t="inlineStr"/>
    </row>
    <row r="288" ht="15" customHeight="1">
      <c r="A288" t="inlineStr">
        <is>
          <t>A 50144-2020</t>
        </is>
      </c>
      <c r="B288" s="1" t="n">
        <v>44106</v>
      </c>
      <c r="C288" s="1" t="n">
        <v>45357</v>
      </c>
      <c r="D288" t="inlineStr">
        <is>
          <t>JÄMTLANDS LÄN</t>
        </is>
      </c>
      <c r="E288" t="inlineStr">
        <is>
          <t>ÖSTERSUND</t>
        </is>
      </c>
      <c r="F288" t="inlineStr">
        <is>
          <t>Övriga statliga verk och myndigheter</t>
        </is>
      </c>
      <c r="G288" t="n">
        <v>2.2</v>
      </c>
      <c r="H288" t="n">
        <v>0</v>
      </c>
      <c r="I288" t="n">
        <v>0</v>
      </c>
      <c r="J288" t="n">
        <v>0</v>
      </c>
      <c r="K288" t="n">
        <v>0</v>
      </c>
      <c r="L288" t="n">
        <v>0</v>
      </c>
      <c r="M288" t="n">
        <v>0</v>
      </c>
      <c r="N288" t="n">
        <v>0</v>
      </c>
      <c r="O288" t="n">
        <v>0</v>
      </c>
      <c r="P288" t="n">
        <v>0</v>
      </c>
      <c r="Q288" t="n">
        <v>0</v>
      </c>
      <c r="R288" s="2" t="inlineStr"/>
    </row>
    <row r="289" ht="15" customHeight="1">
      <c r="A289" t="inlineStr">
        <is>
          <t>A 50632-2020</t>
        </is>
      </c>
      <c r="B289" s="1" t="n">
        <v>44110</v>
      </c>
      <c r="C289" s="1" t="n">
        <v>45357</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52478-2020</t>
        </is>
      </c>
      <c r="B290" s="1" t="n">
        <v>44113</v>
      </c>
      <c r="C290" s="1" t="n">
        <v>45357</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52535-2020</t>
        </is>
      </c>
      <c r="B291" s="1" t="n">
        <v>44118</v>
      </c>
      <c r="C291" s="1" t="n">
        <v>45357</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52777-2020</t>
        </is>
      </c>
      <c r="B292" s="1" t="n">
        <v>44118</v>
      </c>
      <c r="C292" s="1" t="n">
        <v>45357</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52791-2020</t>
        </is>
      </c>
      <c r="B293" s="1" t="n">
        <v>44118</v>
      </c>
      <c r="C293" s="1" t="n">
        <v>45357</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53323-2020</t>
        </is>
      </c>
      <c r="B294" s="1" t="n">
        <v>44123</v>
      </c>
      <c r="C294" s="1" t="n">
        <v>45357</v>
      </c>
      <c r="D294" t="inlineStr">
        <is>
          <t>JÄMTLANDS LÄN</t>
        </is>
      </c>
      <c r="E294" t="inlineStr">
        <is>
          <t>ÖSTERSUND</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53967-2020</t>
        </is>
      </c>
      <c r="B295" s="1" t="n">
        <v>44125</v>
      </c>
      <c r="C295" s="1" t="n">
        <v>45357</v>
      </c>
      <c r="D295" t="inlineStr">
        <is>
          <t>JÄMTLANDS LÄN</t>
        </is>
      </c>
      <c r="E295" t="inlineStr">
        <is>
          <t>ÖSTERSUND</t>
        </is>
      </c>
      <c r="G295" t="n">
        <v>25.8</v>
      </c>
      <c r="H295" t="n">
        <v>0</v>
      </c>
      <c r="I295" t="n">
        <v>0</v>
      </c>
      <c r="J295" t="n">
        <v>0</v>
      </c>
      <c r="K295" t="n">
        <v>0</v>
      </c>
      <c r="L295" t="n">
        <v>0</v>
      </c>
      <c r="M295" t="n">
        <v>0</v>
      </c>
      <c r="N295" t="n">
        <v>0</v>
      </c>
      <c r="O295" t="n">
        <v>0</v>
      </c>
      <c r="P295" t="n">
        <v>0</v>
      </c>
      <c r="Q295" t="n">
        <v>0</v>
      </c>
      <c r="R295" s="2" t="inlineStr"/>
    </row>
    <row r="296" ht="15" customHeight="1">
      <c r="A296" t="inlineStr">
        <is>
          <t>A 54539-2020</t>
        </is>
      </c>
      <c r="B296" s="1" t="n">
        <v>44126</v>
      </c>
      <c r="C296" s="1" t="n">
        <v>45357</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54844-2020</t>
        </is>
      </c>
      <c r="B297" s="1" t="n">
        <v>44126</v>
      </c>
      <c r="C297" s="1" t="n">
        <v>45357</v>
      </c>
      <c r="D297" t="inlineStr">
        <is>
          <t>JÄMTLANDS LÄN</t>
        </is>
      </c>
      <c r="E297" t="inlineStr">
        <is>
          <t>ÖSTERSUND</t>
        </is>
      </c>
      <c r="G297" t="n">
        <v>6.9</v>
      </c>
      <c r="H297" t="n">
        <v>0</v>
      </c>
      <c r="I297" t="n">
        <v>0</v>
      </c>
      <c r="J297" t="n">
        <v>0</v>
      </c>
      <c r="K297" t="n">
        <v>0</v>
      </c>
      <c r="L297" t="n">
        <v>0</v>
      </c>
      <c r="M297" t="n">
        <v>0</v>
      </c>
      <c r="N297" t="n">
        <v>0</v>
      </c>
      <c r="O297" t="n">
        <v>0</v>
      </c>
      <c r="P297" t="n">
        <v>0</v>
      </c>
      <c r="Q297" t="n">
        <v>0</v>
      </c>
      <c r="R297" s="2" t="inlineStr"/>
    </row>
    <row r="298" ht="15" customHeight="1">
      <c r="A298" t="inlineStr">
        <is>
          <t>A 56220-2020</t>
        </is>
      </c>
      <c r="B298" s="1" t="n">
        <v>44133</v>
      </c>
      <c r="C298" s="1" t="n">
        <v>45357</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56486-2020</t>
        </is>
      </c>
      <c r="B299" s="1" t="n">
        <v>44137</v>
      </c>
      <c r="C299" s="1" t="n">
        <v>45357</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56636-2020</t>
        </is>
      </c>
      <c r="B300" s="1" t="n">
        <v>44137</v>
      </c>
      <c r="C300" s="1" t="n">
        <v>45357</v>
      </c>
      <c r="D300" t="inlineStr">
        <is>
          <t>JÄMTLANDS LÄN</t>
        </is>
      </c>
      <c r="E300" t="inlineStr">
        <is>
          <t>ÖSTERSUND</t>
        </is>
      </c>
      <c r="F300" t="inlineStr">
        <is>
          <t>Övriga Aktiebolag</t>
        </is>
      </c>
      <c r="G300" t="n">
        <v>16.2</v>
      </c>
      <c r="H300" t="n">
        <v>0</v>
      </c>
      <c r="I300" t="n">
        <v>0</v>
      </c>
      <c r="J300" t="n">
        <v>0</v>
      </c>
      <c r="K300" t="n">
        <v>0</v>
      </c>
      <c r="L300" t="n">
        <v>0</v>
      </c>
      <c r="M300" t="n">
        <v>0</v>
      </c>
      <c r="N300" t="n">
        <v>0</v>
      </c>
      <c r="O300" t="n">
        <v>0</v>
      </c>
      <c r="P300" t="n">
        <v>0</v>
      </c>
      <c r="Q300" t="n">
        <v>0</v>
      </c>
      <c r="R300" s="2" t="inlineStr"/>
    </row>
    <row r="301" ht="15" customHeight="1">
      <c r="A301" t="inlineStr">
        <is>
          <t>A 56642-2020</t>
        </is>
      </c>
      <c r="B301" s="1" t="n">
        <v>44137</v>
      </c>
      <c r="C301" s="1" t="n">
        <v>45357</v>
      </c>
      <c r="D301" t="inlineStr">
        <is>
          <t>JÄMTLANDS LÄN</t>
        </is>
      </c>
      <c r="E301" t="inlineStr">
        <is>
          <t>ÖSTERSUND</t>
        </is>
      </c>
      <c r="F301" t="inlineStr">
        <is>
          <t>Övriga Aktiebolag</t>
        </is>
      </c>
      <c r="G301" t="n">
        <v>6</v>
      </c>
      <c r="H301" t="n">
        <v>0</v>
      </c>
      <c r="I301" t="n">
        <v>0</v>
      </c>
      <c r="J301" t="n">
        <v>0</v>
      </c>
      <c r="K301" t="n">
        <v>0</v>
      </c>
      <c r="L301" t="n">
        <v>0</v>
      </c>
      <c r="M301" t="n">
        <v>0</v>
      </c>
      <c r="N301" t="n">
        <v>0</v>
      </c>
      <c r="O301" t="n">
        <v>0</v>
      </c>
      <c r="P301" t="n">
        <v>0</v>
      </c>
      <c r="Q301" t="n">
        <v>0</v>
      </c>
      <c r="R301" s="2" t="inlineStr"/>
    </row>
    <row r="302" ht="15" customHeight="1">
      <c r="A302" t="inlineStr">
        <is>
          <t>A 57616-2020</t>
        </is>
      </c>
      <c r="B302" s="1" t="n">
        <v>44140</v>
      </c>
      <c r="C302" s="1" t="n">
        <v>45357</v>
      </c>
      <c r="D302" t="inlineStr">
        <is>
          <t>JÄMTLANDS LÄN</t>
        </is>
      </c>
      <c r="E302" t="inlineStr">
        <is>
          <t>ÖSTERSUND</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57624-2020</t>
        </is>
      </c>
      <c r="B303" s="1" t="n">
        <v>44140</v>
      </c>
      <c r="C303" s="1" t="n">
        <v>45357</v>
      </c>
      <c r="D303" t="inlineStr">
        <is>
          <t>JÄMTLANDS LÄN</t>
        </is>
      </c>
      <c r="E303" t="inlineStr">
        <is>
          <t>ÖSTERSUND</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57791-2020</t>
        </is>
      </c>
      <c r="B304" s="1" t="n">
        <v>44141</v>
      </c>
      <c r="C304" s="1" t="n">
        <v>45357</v>
      </c>
      <c r="D304" t="inlineStr">
        <is>
          <t>JÄMTLANDS LÄN</t>
        </is>
      </c>
      <c r="E304" t="inlineStr">
        <is>
          <t>ÖSTERSUND</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57771-2020</t>
        </is>
      </c>
      <c r="B305" s="1" t="n">
        <v>44141</v>
      </c>
      <c r="C305" s="1" t="n">
        <v>45357</v>
      </c>
      <c r="D305" t="inlineStr">
        <is>
          <t>JÄMTLANDS LÄN</t>
        </is>
      </c>
      <c r="E305" t="inlineStr">
        <is>
          <t>ÖSTERSUND</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60050-2020</t>
        </is>
      </c>
      <c r="B306" s="1" t="n">
        <v>44151</v>
      </c>
      <c r="C306" s="1" t="n">
        <v>45357</v>
      </c>
      <c r="D306" t="inlineStr">
        <is>
          <t>JÄMTLANDS LÄN</t>
        </is>
      </c>
      <c r="E306" t="inlineStr">
        <is>
          <t>ÖSTERSUND</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45357</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63171-2020</t>
        </is>
      </c>
      <c r="B308" s="1" t="n">
        <v>44162</v>
      </c>
      <c r="C308" s="1" t="n">
        <v>45357</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65410-2020</t>
        </is>
      </c>
      <c r="B309" s="1" t="n">
        <v>44173</v>
      </c>
      <c r="C309" s="1" t="n">
        <v>45357</v>
      </c>
      <c r="D309" t="inlineStr">
        <is>
          <t>JÄMTLANDS LÄN</t>
        </is>
      </c>
      <c r="E309" t="inlineStr">
        <is>
          <t>ÖSTERSUND</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66269-2020</t>
        </is>
      </c>
      <c r="B310" s="1" t="n">
        <v>44174</v>
      </c>
      <c r="C310" s="1" t="n">
        <v>45357</v>
      </c>
      <c r="D310" t="inlineStr">
        <is>
          <t>JÄMTLANDS LÄN</t>
        </is>
      </c>
      <c r="E310" t="inlineStr">
        <is>
          <t>ÖSTERSUND</t>
        </is>
      </c>
      <c r="F310" t="inlineStr">
        <is>
          <t>Övriga statliga verk och myndigheter</t>
        </is>
      </c>
      <c r="G310" t="n">
        <v>10</v>
      </c>
      <c r="H310" t="n">
        <v>0</v>
      </c>
      <c r="I310" t="n">
        <v>0</v>
      </c>
      <c r="J310" t="n">
        <v>0</v>
      </c>
      <c r="K310" t="n">
        <v>0</v>
      </c>
      <c r="L310" t="n">
        <v>0</v>
      </c>
      <c r="M310" t="n">
        <v>0</v>
      </c>
      <c r="N310" t="n">
        <v>0</v>
      </c>
      <c r="O310" t="n">
        <v>0</v>
      </c>
      <c r="P310" t="n">
        <v>0</v>
      </c>
      <c r="Q310" t="n">
        <v>0</v>
      </c>
      <c r="R310" s="2" t="inlineStr"/>
    </row>
    <row r="311" ht="15" customHeight="1">
      <c r="A311" t="inlineStr">
        <is>
          <t>A 66288-2020</t>
        </is>
      </c>
      <c r="B311" s="1" t="n">
        <v>44174</v>
      </c>
      <c r="C311" s="1" t="n">
        <v>45357</v>
      </c>
      <c r="D311" t="inlineStr">
        <is>
          <t>JÄMTLANDS LÄN</t>
        </is>
      </c>
      <c r="E311" t="inlineStr">
        <is>
          <t>ÖSTERSUND</t>
        </is>
      </c>
      <c r="F311" t="inlineStr">
        <is>
          <t>Övriga statliga verk och myndigheter</t>
        </is>
      </c>
      <c r="G311" t="n">
        <v>1.2</v>
      </c>
      <c r="H311" t="n">
        <v>0</v>
      </c>
      <c r="I311" t="n">
        <v>0</v>
      </c>
      <c r="J311" t="n">
        <v>0</v>
      </c>
      <c r="K311" t="n">
        <v>0</v>
      </c>
      <c r="L311" t="n">
        <v>0</v>
      </c>
      <c r="M311" t="n">
        <v>0</v>
      </c>
      <c r="N311" t="n">
        <v>0</v>
      </c>
      <c r="O311" t="n">
        <v>0</v>
      </c>
      <c r="P311" t="n">
        <v>0</v>
      </c>
      <c r="Q311" t="n">
        <v>0</v>
      </c>
      <c r="R311" s="2" t="inlineStr"/>
    </row>
    <row r="312" ht="15" customHeight="1">
      <c r="A312" t="inlineStr">
        <is>
          <t>A 66286-2020</t>
        </is>
      </c>
      <c r="B312" s="1" t="n">
        <v>44174</v>
      </c>
      <c r="C312" s="1" t="n">
        <v>45357</v>
      </c>
      <c r="D312" t="inlineStr">
        <is>
          <t>JÄMTLANDS LÄN</t>
        </is>
      </c>
      <c r="E312" t="inlineStr">
        <is>
          <t>ÖSTERSUND</t>
        </is>
      </c>
      <c r="F312" t="inlineStr">
        <is>
          <t>Övriga statliga verk och myndigheter</t>
        </is>
      </c>
      <c r="G312" t="n">
        <v>1.1</v>
      </c>
      <c r="H312" t="n">
        <v>0</v>
      </c>
      <c r="I312" t="n">
        <v>0</v>
      </c>
      <c r="J312" t="n">
        <v>0</v>
      </c>
      <c r="K312" t="n">
        <v>0</v>
      </c>
      <c r="L312" t="n">
        <v>0</v>
      </c>
      <c r="M312" t="n">
        <v>0</v>
      </c>
      <c r="N312" t="n">
        <v>0</v>
      </c>
      <c r="O312" t="n">
        <v>0</v>
      </c>
      <c r="P312" t="n">
        <v>0</v>
      </c>
      <c r="Q312" t="n">
        <v>0</v>
      </c>
      <c r="R312" s="2" t="inlineStr"/>
    </row>
    <row r="313" ht="15" customHeight="1">
      <c r="A313" t="inlineStr">
        <is>
          <t>A 67646-2020</t>
        </is>
      </c>
      <c r="B313" s="1" t="n">
        <v>44180</v>
      </c>
      <c r="C313" s="1" t="n">
        <v>45357</v>
      </c>
      <c r="D313" t="inlineStr">
        <is>
          <t>JÄMTLANDS LÄN</t>
        </is>
      </c>
      <c r="E313" t="inlineStr">
        <is>
          <t>ÖSTERSUND</t>
        </is>
      </c>
      <c r="G313" t="n">
        <v>1.9</v>
      </c>
      <c r="H313" t="n">
        <v>0</v>
      </c>
      <c r="I313" t="n">
        <v>0</v>
      </c>
      <c r="J313" t="n">
        <v>0</v>
      </c>
      <c r="K313" t="n">
        <v>0</v>
      </c>
      <c r="L313" t="n">
        <v>0</v>
      </c>
      <c r="M313" t="n">
        <v>0</v>
      </c>
      <c r="N313" t="n">
        <v>0</v>
      </c>
      <c r="O313" t="n">
        <v>0</v>
      </c>
      <c r="P313" t="n">
        <v>0</v>
      </c>
      <c r="Q313" t="n">
        <v>0</v>
      </c>
      <c r="R313" s="2" t="inlineStr"/>
    </row>
    <row r="314" ht="15" customHeight="1">
      <c r="A314" t="inlineStr">
        <is>
          <t>A 67643-2020</t>
        </is>
      </c>
      <c r="B314" s="1" t="n">
        <v>44180</v>
      </c>
      <c r="C314" s="1" t="n">
        <v>45357</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68408-2020</t>
        </is>
      </c>
      <c r="B315" s="1" t="n">
        <v>44186</v>
      </c>
      <c r="C315" s="1" t="n">
        <v>45357</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68937-2020</t>
        </is>
      </c>
      <c r="B316" s="1" t="n">
        <v>44187</v>
      </c>
      <c r="C316" s="1" t="n">
        <v>45357</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126-2021</t>
        </is>
      </c>
      <c r="B317" s="1" t="n">
        <v>44200</v>
      </c>
      <c r="C317" s="1" t="n">
        <v>45357</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501-2021</t>
        </is>
      </c>
      <c r="B318" s="1" t="n">
        <v>44200</v>
      </c>
      <c r="C318" s="1" t="n">
        <v>45357</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1322-2021</t>
        </is>
      </c>
      <c r="B319" s="1" t="n">
        <v>44208</v>
      </c>
      <c r="C319" s="1" t="n">
        <v>45357</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45357</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5460-2021</t>
        </is>
      </c>
      <c r="B321" s="1" t="n">
        <v>44229</v>
      </c>
      <c r="C321" s="1" t="n">
        <v>45357</v>
      </c>
      <c r="D321" t="inlineStr">
        <is>
          <t>JÄMTLANDS LÄN</t>
        </is>
      </c>
      <c r="E321" t="inlineStr">
        <is>
          <t>ÖSTERSUND</t>
        </is>
      </c>
      <c r="G321" t="n">
        <v>14.2</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45357</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8396-2021</t>
        </is>
      </c>
      <c r="B323" s="1" t="n">
        <v>44238</v>
      </c>
      <c r="C323" s="1" t="n">
        <v>45357</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10590-2021</t>
        </is>
      </c>
      <c r="B324" s="1" t="n">
        <v>44258</v>
      </c>
      <c r="C324" s="1" t="n">
        <v>45357</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10911-2021</t>
        </is>
      </c>
      <c r="B325" s="1" t="n">
        <v>44259</v>
      </c>
      <c r="C325" s="1" t="n">
        <v>45357</v>
      </c>
      <c r="D325" t="inlineStr">
        <is>
          <t>JÄMTLANDS LÄN</t>
        </is>
      </c>
      <c r="E325" t="inlineStr">
        <is>
          <t>ÖSTERSUND</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10834-2021</t>
        </is>
      </c>
      <c r="B326" s="1" t="n">
        <v>44259</v>
      </c>
      <c r="C326" s="1" t="n">
        <v>45357</v>
      </c>
      <c r="D326" t="inlineStr">
        <is>
          <t>JÄMTLANDS LÄN</t>
        </is>
      </c>
      <c r="E326" t="inlineStr">
        <is>
          <t>ÖSTERSUND</t>
        </is>
      </c>
      <c r="G326" t="n">
        <v>12.2</v>
      </c>
      <c r="H326" t="n">
        <v>0</v>
      </c>
      <c r="I326" t="n">
        <v>0</v>
      </c>
      <c r="J326" t="n">
        <v>0</v>
      </c>
      <c r="K326" t="n">
        <v>0</v>
      </c>
      <c r="L326" t="n">
        <v>0</v>
      </c>
      <c r="M326" t="n">
        <v>0</v>
      </c>
      <c r="N326" t="n">
        <v>0</v>
      </c>
      <c r="O326" t="n">
        <v>0</v>
      </c>
      <c r="P326" t="n">
        <v>0</v>
      </c>
      <c r="Q326" t="n">
        <v>0</v>
      </c>
      <c r="R326" s="2" t="inlineStr"/>
    </row>
    <row r="327" ht="15" customHeight="1">
      <c r="A327" t="inlineStr">
        <is>
          <t>A 12710-2021</t>
        </is>
      </c>
      <c r="B327" s="1" t="n">
        <v>44270</v>
      </c>
      <c r="C327" s="1" t="n">
        <v>45357</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12705-2021</t>
        </is>
      </c>
      <c r="B328" s="1" t="n">
        <v>44270</v>
      </c>
      <c r="C328" s="1" t="n">
        <v>45357</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14155-2021</t>
        </is>
      </c>
      <c r="B329" s="1" t="n">
        <v>44278</v>
      </c>
      <c r="C329" s="1" t="n">
        <v>45357</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15659-2021</t>
        </is>
      </c>
      <c r="B330" s="1" t="n">
        <v>44298</v>
      </c>
      <c r="C330" s="1" t="n">
        <v>45357</v>
      </c>
      <c r="D330" t="inlineStr">
        <is>
          <t>JÄMTLANDS LÄN</t>
        </is>
      </c>
      <c r="E330" t="inlineStr">
        <is>
          <t>ÖSTERSUND</t>
        </is>
      </c>
      <c r="G330" t="n">
        <v>13.3</v>
      </c>
      <c r="H330" t="n">
        <v>0</v>
      </c>
      <c r="I330" t="n">
        <v>0</v>
      </c>
      <c r="J330" t="n">
        <v>0</v>
      </c>
      <c r="K330" t="n">
        <v>0</v>
      </c>
      <c r="L330" t="n">
        <v>0</v>
      </c>
      <c r="M330" t="n">
        <v>0</v>
      </c>
      <c r="N330" t="n">
        <v>0</v>
      </c>
      <c r="O330" t="n">
        <v>0</v>
      </c>
      <c r="P330" t="n">
        <v>0</v>
      </c>
      <c r="Q330" t="n">
        <v>0</v>
      </c>
      <c r="R330" s="2" t="inlineStr"/>
    </row>
    <row r="331" ht="15" customHeight="1">
      <c r="A331" t="inlineStr">
        <is>
          <t>A 17362-2021</t>
        </is>
      </c>
      <c r="B331" s="1" t="n">
        <v>44298</v>
      </c>
      <c r="C331" s="1" t="n">
        <v>45357</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17596-2021</t>
        </is>
      </c>
      <c r="B332" s="1" t="n">
        <v>44299</v>
      </c>
      <c r="C332" s="1" t="n">
        <v>45357</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19541-2021</t>
        </is>
      </c>
      <c r="B333" s="1" t="n">
        <v>44312</v>
      </c>
      <c r="C333" s="1" t="n">
        <v>45357</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20290-2021</t>
        </is>
      </c>
      <c r="B334" s="1" t="n">
        <v>44314</v>
      </c>
      <c r="C334" s="1" t="n">
        <v>45357</v>
      </c>
      <c r="D334" t="inlineStr">
        <is>
          <t>JÄMTLANDS LÄN</t>
        </is>
      </c>
      <c r="E334" t="inlineStr">
        <is>
          <t>ÖSTERSUND</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20620-2021</t>
        </is>
      </c>
      <c r="B335" s="1" t="n">
        <v>44316</v>
      </c>
      <c r="C335" s="1" t="n">
        <v>45357</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21306-2021</t>
        </is>
      </c>
      <c r="B336" s="1" t="n">
        <v>44320</v>
      </c>
      <c r="C336" s="1" t="n">
        <v>45357</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21849-2021</t>
        </is>
      </c>
      <c r="B337" s="1" t="n">
        <v>44322</v>
      </c>
      <c r="C337" s="1" t="n">
        <v>45357</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22126-2021</t>
        </is>
      </c>
      <c r="B338" s="1" t="n">
        <v>44323</v>
      </c>
      <c r="C338" s="1" t="n">
        <v>45357</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23187-2021</t>
        </is>
      </c>
      <c r="B339" s="1" t="n">
        <v>44328</v>
      </c>
      <c r="C339" s="1" t="n">
        <v>45357</v>
      </c>
      <c r="D339" t="inlineStr">
        <is>
          <t>JÄMTLANDS LÄN</t>
        </is>
      </c>
      <c r="E339" t="inlineStr">
        <is>
          <t>ÖSTERSUND</t>
        </is>
      </c>
      <c r="G339" t="n">
        <v>1.8</v>
      </c>
      <c r="H339" t="n">
        <v>0</v>
      </c>
      <c r="I339" t="n">
        <v>0</v>
      </c>
      <c r="J339" t="n">
        <v>0</v>
      </c>
      <c r="K339" t="n">
        <v>0</v>
      </c>
      <c r="L339" t="n">
        <v>0</v>
      </c>
      <c r="M339" t="n">
        <v>0</v>
      </c>
      <c r="N339" t="n">
        <v>0</v>
      </c>
      <c r="O339" t="n">
        <v>0</v>
      </c>
      <c r="P339" t="n">
        <v>0</v>
      </c>
      <c r="Q339" t="n">
        <v>0</v>
      </c>
      <c r="R339" s="2" t="inlineStr"/>
    </row>
    <row r="340" ht="15" customHeight="1">
      <c r="A340" t="inlineStr">
        <is>
          <t>A 23895-2021</t>
        </is>
      </c>
      <c r="B340" s="1" t="n">
        <v>44335</v>
      </c>
      <c r="C340" s="1" t="n">
        <v>45357</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24312-2021</t>
        </is>
      </c>
      <c r="B341" s="1" t="n">
        <v>44336</v>
      </c>
      <c r="C341" s="1" t="n">
        <v>45357</v>
      </c>
      <c r="D341" t="inlineStr">
        <is>
          <t>JÄMTLANDS LÄN</t>
        </is>
      </c>
      <c r="E341" t="inlineStr">
        <is>
          <t>ÖSTERSUND</t>
        </is>
      </c>
      <c r="G341" t="n">
        <v>10.6</v>
      </c>
      <c r="H341" t="n">
        <v>0</v>
      </c>
      <c r="I341" t="n">
        <v>0</v>
      </c>
      <c r="J341" t="n">
        <v>0</v>
      </c>
      <c r="K341" t="n">
        <v>0</v>
      </c>
      <c r="L341" t="n">
        <v>0</v>
      </c>
      <c r="M341" t="n">
        <v>0</v>
      </c>
      <c r="N341" t="n">
        <v>0</v>
      </c>
      <c r="O341" t="n">
        <v>0</v>
      </c>
      <c r="P341" t="n">
        <v>0</v>
      </c>
      <c r="Q341" t="n">
        <v>0</v>
      </c>
      <c r="R341" s="2" t="inlineStr"/>
    </row>
    <row r="342" ht="15" customHeight="1">
      <c r="A342" t="inlineStr">
        <is>
          <t>A 24706-2021</t>
        </is>
      </c>
      <c r="B342" s="1" t="n">
        <v>44340</v>
      </c>
      <c r="C342" s="1" t="n">
        <v>45357</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24721-2021</t>
        </is>
      </c>
      <c r="B343" s="1" t="n">
        <v>44340</v>
      </c>
      <c r="C343" s="1" t="n">
        <v>45357</v>
      </c>
      <c r="D343" t="inlineStr">
        <is>
          <t>JÄMTLANDS LÄN</t>
        </is>
      </c>
      <c r="E343" t="inlineStr">
        <is>
          <t>ÖSTERSUND</t>
        </is>
      </c>
      <c r="G343" t="n">
        <v>2.7</v>
      </c>
      <c r="H343" t="n">
        <v>0</v>
      </c>
      <c r="I343" t="n">
        <v>0</v>
      </c>
      <c r="J343" t="n">
        <v>0</v>
      </c>
      <c r="K343" t="n">
        <v>0</v>
      </c>
      <c r="L343" t="n">
        <v>0</v>
      </c>
      <c r="M343" t="n">
        <v>0</v>
      </c>
      <c r="N343" t="n">
        <v>0</v>
      </c>
      <c r="O343" t="n">
        <v>0</v>
      </c>
      <c r="P343" t="n">
        <v>0</v>
      </c>
      <c r="Q343" t="n">
        <v>0</v>
      </c>
      <c r="R343" s="2" t="inlineStr"/>
    </row>
    <row r="344" ht="15" customHeight="1">
      <c r="A344" t="inlineStr">
        <is>
          <t>A 26254-2021</t>
        </is>
      </c>
      <c r="B344" s="1" t="n">
        <v>44347</v>
      </c>
      <c r="C344" s="1" t="n">
        <v>45357</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26259-2021</t>
        </is>
      </c>
      <c r="B345" s="1" t="n">
        <v>44347</v>
      </c>
      <c r="C345" s="1" t="n">
        <v>45357</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27061-2021</t>
        </is>
      </c>
      <c r="B346" s="1" t="n">
        <v>44349</v>
      </c>
      <c r="C346" s="1" t="n">
        <v>45357</v>
      </c>
      <c r="D346" t="inlineStr">
        <is>
          <t>JÄMTLANDS LÄN</t>
        </is>
      </c>
      <c r="E346" t="inlineStr">
        <is>
          <t>ÖSTERSUND</t>
        </is>
      </c>
      <c r="G346" t="n">
        <v>3.2</v>
      </c>
      <c r="H346" t="n">
        <v>0</v>
      </c>
      <c r="I346" t="n">
        <v>0</v>
      </c>
      <c r="J346" t="n">
        <v>0</v>
      </c>
      <c r="K346" t="n">
        <v>0</v>
      </c>
      <c r="L346" t="n">
        <v>0</v>
      </c>
      <c r="M346" t="n">
        <v>0</v>
      </c>
      <c r="N346" t="n">
        <v>0</v>
      </c>
      <c r="O346" t="n">
        <v>0</v>
      </c>
      <c r="P346" t="n">
        <v>0</v>
      </c>
      <c r="Q346" t="n">
        <v>0</v>
      </c>
      <c r="R346" s="2" t="inlineStr"/>
    </row>
    <row r="347" ht="15" customHeight="1">
      <c r="A347" t="inlineStr">
        <is>
          <t>A 27004-2021</t>
        </is>
      </c>
      <c r="B347" s="1" t="n">
        <v>44349</v>
      </c>
      <c r="C347" s="1" t="n">
        <v>45357</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29582-2021</t>
        </is>
      </c>
      <c r="B348" s="1" t="n">
        <v>44362</v>
      </c>
      <c r="C348" s="1" t="n">
        <v>45357</v>
      </c>
      <c r="D348" t="inlineStr">
        <is>
          <t>JÄMTLANDS LÄN</t>
        </is>
      </c>
      <c r="E348" t="inlineStr">
        <is>
          <t>ÖSTERSUND</t>
        </is>
      </c>
      <c r="G348" t="n">
        <v>31.5</v>
      </c>
      <c r="H348" t="n">
        <v>0</v>
      </c>
      <c r="I348" t="n">
        <v>0</v>
      </c>
      <c r="J348" t="n">
        <v>0</v>
      </c>
      <c r="K348" t="n">
        <v>0</v>
      </c>
      <c r="L348" t="n">
        <v>0</v>
      </c>
      <c r="M348" t="n">
        <v>0</v>
      </c>
      <c r="N348" t="n">
        <v>0</v>
      </c>
      <c r="O348" t="n">
        <v>0</v>
      </c>
      <c r="P348" t="n">
        <v>0</v>
      </c>
      <c r="Q348" t="n">
        <v>0</v>
      </c>
      <c r="R348" s="2" t="inlineStr"/>
    </row>
    <row r="349" ht="15" customHeight="1">
      <c r="A349" t="inlineStr">
        <is>
          <t>A 29707-2021</t>
        </is>
      </c>
      <c r="B349" s="1" t="n">
        <v>44362</v>
      </c>
      <c r="C349" s="1" t="n">
        <v>45357</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31040-2021</t>
        </is>
      </c>
      <c r="B350" s="1" t="n">
        <v>44368</v>
      </c>
      <c r="C350" s="1" t="n">
        <v>45357</v>
      </c>
      <c r="D350" t="inlineStr">
        <is>
          <t>JÄMTLANDS LÄN</t>
        </is>
      </c>
      <c r="E350" t="inlineStr">
        <is>
          <t>ÖSTERSUND</t>
        </is>
      </c>
      <c r="G350" t="n">
        <v>4.3</v>
      </c>
      <c r="H350" t="n">
        <v>0</v>
      </c>
      <c r="I350" t="n">
        <v>0</v>
      </c>
      <c r="J350" t="n">
        <v>0</v>
      </c>
      <c r="K350" t="n">
        <v>0</v>
      </c>
      <c r="L350" t="n">
        <v>0</v>
      </c>
      <c r="M350" t="n">
        <v>0</v>
      </c>
      <c r="N350" t="n">
        <v>0</v>
      </c>
      <c r="O350" t="n">
        <v>0</v>
      </c>
      <c r="P350" t="n">
        <v>0</v>
      </c>
      <c r="Q350" t="n">
        <v>0</v>
      </c>
      <c r="R350" s="2" t="inlineStr"/>
    </row>
    <row r="351" ht="15" customHeight="1">
      <c r="A351" t="inlineStr">
        <is>
          <t>A 32994-2021</t>
        </is>
      </c>
      <c r="B351" s="1" t="n">
        <v>44375</v>
      </c>
      <c r="C351" s="1" t="n">
        <v>45357</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33004-2021</t>
        </is>
      </c>
      <c r="B352" s="1" t="n">
        <v>44375</v>
      </c>
      <c r="C352" s="1" t="n">
        <v>45357</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32998-2021</t>
        </is>
      </c>
      <c r="B353" s="1" t="n">
        <v>44375</v>
      </c>
      <c r="C353" s="1" t="n">
        <v>45357</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32986-2021</t>
        </is>
      </c>
      <c r="B354" s="1" t="n">
        <v>44375</v>
      </c>
      <c r="C354" s="1" t="n">
        <v>45357</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33002-2021</t>
        </is>
      </c>
      <c r="B355" s="1" t="n">
        <v>44375</v>
      </c>
      <c r="C355" s="1" t="n">
        <v>45357</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32990-2021</t>
        </is>
      </c>
      <c r="B356" s="1" t="n">
        <v>44375</v>
      </c>
      <c r="C356" s="1" t="n">
        <v>45357</v>
      </c>
      <c r="D356" t="inlineStr">
        <is>
          <t>JÄMTLANDS LÄN</t>
        </is>
      </c>
      <c r="E356" t="inlineStr">
        <is>
          <t>ÖSTERSUND</t>
        </is>
      </c>
      <c r="G356" t="n">
        <v>0.2</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45357</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35032-2021</t>
        </is>
      </c>
      <c r="B358" s="1" t="n">
        <v>44383</v>
      </c>
      <c r="C358" s="1" t="n">
        <v>45357</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35755-2021</t>
        </is>
      </c>
      <c r="B359" s="1" t="n">
        <v>44385</v>
      </c>
      <c r="C359" s="1" t="n">
        <v>45357</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38142-2021</t>
        </is>
      </c>
      <c r="B360" s="1" t="n">
        <v>44405</v>
      </c>
      <c r="C360" s="1" t="n">
        <v>45357</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38647-2021</t>
        </is>
      </c>
      <c r="B361" s="1" t="n">
        <v>44410</v>
      </c>
      <c r="C361" s="1" t="n">
        <v>45357</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38644-2021</t>
        </is>
      </c>
      <c r="B362" s="1" t="n">
        <v>44410</v>
      </c>
      <c r="C362" s="1" t="n">
        <v>45357</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39735-2021</t>
        </is>
      </c>
      <c r="B363" s="1" t="n">
        <v>44414</v>
      </c>
      <c r="C363" s="1" t="n">
        <v>45357</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40038-2021</t>
        </is>
      </c>
      <c r="B364" s="1" t="n">
        <v>44418</v>
      </c>
      <c r="C364" s="1" t="n">
        <v>45357</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45357</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42469-2021</t>
        </is>
      </c>
      <c r="B366" s="1" t="n">
        <v>44427</v>
      </c>
      <c r="C366" s="1" t="n">
        <v>45357</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42793-2021</t>
        </is>
      </c>
      <c r="B367" s="1" t="n">
        <v>44428</v>
      </c>
      <c r="C367" s="1" t="n">
        <v>45357</v>
      </c>
      <c r="D367" t="inlineStr">
        <is>
          <t>JÄMTLANDS LÄN</t>
        </is>
      </c>
      <c r="E367" t="inlineStr">
        <is>
          <t>ÖSTERSUND</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42832-2021</t>
        </is>
      </c>
      <c r="B368" s="1" t="n">
        <v>44430</v>
      </c>
      <c r="C368" s="1" t="n">
        <v>45357</v>
      </c>
      <c r="D368" t="inlineStr">
        <is>
          <t>JÄMTLANDS LÄN</t>
        </is>
      </c>
      <c r="E368" t="inlineStr">
        <is>
          <t>ÖSTERSUND</t>
        </is>
      </c>
      <c r="G368" t="n">
        <v>9</v>
      </c>
      <c r="H368" t="n">
        <v>0</v>
      </c>
      <c r="I368" t="n">
        <v>0</v>
      </c>
      <c r="J368" t="n">
        <v>0</v>
      </c>
      <c r="K368" t="n">
        <v>0</v>
      </c>
      <c r="L368" t="n">
        <v>0</v>
      </c>
      <c r="M368" t="n">
        <v>0</v>
      </c>
      <c r="N368" t="n">
        <v>0</v>
      </c>
      <c r="O368" t="n">
        <v>0</v>
      </c>
      <c r="P368" t="n">
        <v>0</v>
      </c>
      <c r="Q368" t="n">
        <v>0</v>
      </c>
      <c r="R368" s="2" t="inlineStr"/>
    </row>
    <row r="369" ht="15" customHeight="1">
      <c r="A369" t="inlineStr">
        <is>
          <t>A 43310-2021</t>
        </is>
      </c>
      <c r="B369" s="1" t="n">
        <v>44432</v>
      </c>
      <c r="C369" s="1" t="n">
        <v>45357</v>
      </c>
      <c r="D369" t="inlineStr">
        <is>
          <t>JÄMTLANDS LÄN</t>
        </is>
      </c>
      <c r="E369" t="inlineStr">
        <is>
          <t>ÖSTERSUND</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45357</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44051-2021</t>
        </is>
      </c>
      <c r="B371" s="1" t="n">
        <v>44434</v>
      </c>
      <c r="C371" s="1" t="n">
        <v>45357</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44267-2021</t>
        </is>
      </c>
      <c r="B372" s="1" t="n">
        <v>44434</v>
      </c>
      <c r="C372" s="1" t="n">
        <v>45357</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46002-2021</t>
        </is>
      </c>
      <c r="B373" s="1" t="n">
        <v>44441</v>
      </c>
      <c r="C373" s="1" t="n">
        <v>45357</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46004-2021</t>
        </is>
      </c>
      <c r="B374" s="1" t="n">
        <v>44441</v>
      </c>
      <c r="C374" s="1" t="n">
        <v>45357</v>
      </c>
      <c r="D374" t="inlineStr">
        <is>
          <t>JÄMTLANDS LÄN</t>
        </is>
      </c>
      <c r="E374" t="inlineStr">
        <is>
          <t>ÖSTERSUND</t>
        </is>
      </c>
      <c r="G374" t="n">
        <v>2.1</v>
      </c>
      <c r="H374" t="n">
        <v>0</v>
      </c>
      <c r="I374" t="n">
        <v>0</v>
      </c>
      <c r="J374" t="n">
        <v>0</v>
      </c>
      <c r="K374" t="n">
        <v>0</v>
      </c>
      <c r="L374" t="n">
        <v>0</v>
      </c>
      <c r="M374" t="n">
        <v>0</v>
      </c>
      <c r="N374" t="n">
        <v>0</v>
      </c>
      <c r="O374" t="n">
        <v>0</v>
      </c>
      <c r="P374" t="n">
        <v>0</v>
      </c>
      <c r="Q374" t="n">
        <v>0</v>
      </c>
      <c r="R374" s="2" t="inlineStr"/>
    </row>
    <row r="375" ht="15" customHeight="1">
      <c r="A375" t="inlineStr">
        <is>
          <t>A 46111-2021</t>
        </is>
      </c>
      <c r="B375" s="1" t="n">
        <v>44441</v>
      </c>
      <c r="C375" s="1" t="n">
        <v>45357</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46139-2021</t>
        </is>
      </c>
      <c r="B376" s="1" t="n">
        <v>44441</v>
      </c>
      <c r="C376" s="1" t="n">
        <v>45357</v>
      </c>
      <c r="D376" t="inlineStr">
        <is>
          <t>JÄMTLANDS LÄN</t>
        </is>
      </c>
      <c r="E376" t="inlineStr">
        <is>
          <t>ÖSTERSUND</t>
        </is>
      </c>
      <c r="G376" t="n">
        <v>12.8</v>
      </c>
      <c r="H376" t="n">
        <v>0</v>
      </c>
      <c r="I376" t="n">
        <v>0</v>
      </c>
      <c r="J376" t="n">
        <v>0</v>
      </c>
      <c r="K376" t="n">
        <v>0</v>
      </c>
      <c r="L376" t="n">
        <v>0</v>
      </c>
      <c r="M376" t="n">
        <v>0</v>
      </c>
      <c r="N376" t="n">
        <v>0</v>
      </c>
      <c r="O376" t="n">
        <v>0</v>
      </c>
      <c r="P376" t="n">
        <v>0</v>
      </c>
      <c r="Q376" t="n">
        <v>0</v>
      </c>
      <c r="R376" s="2" t="inlineStr"/>
    </row>
    <row r="377" ht="15" customHeight="1">
      <c r="A377" t="inlineStr">
        <is>
          <t>A 48947-2021</t>
        </is>
      </c>
      <c r="B377" s="1" t="n">
        <v>44453</v>
      </c>
      <c r="C377" s="1" t="n">
        <v>45357</v>
      </c>
      <c r="D377" t="inlineStr">
        <is>
          <t>JÄMTLANDS LÄN</t>
        </is>
      </c>
      <c r="E377" t="inlineStr">
        <is>
          <t>ÖSTERSUND</t>
        </is>
      </c>
      <c r="G377" t="n">
        <v>22.3</v>
      </c>
      <c r="H377" t="n">
        <v>0</v>
      </c>
      <c r="I377" t="n">
        <v>0</v>
      </c>
      <c r="J377" t="n">
        <v>0</v>
      </c>
      <c r="K377" t="n">
        <v>0</v>
      </c>
      <c r="L377" t="n">
        <v>0</v>
      </c>
      <c r="M377" t="n">
        <v>0</v>
      </c>
      <c r="N377" t="n">
        <v>0</v>
      </c>
      <c r="O377" t="n">
        <v>0</v>
      </c>
      <c r="P377" t="n">
        <v>0</v>
      </c>
      <c r="Q377" t="n">
        <v>0</v>
      </c>
      <c r="R377" s="2" t="inlineStr"/>
    </row>
    <row r="378" ht="15" customHeight="1">
      <c r="A378" t="inlineStr">
        <is>
          <t>A 52913-2021</t>
        </is>
      </c>
      <c r="B378" s="1" t="n">
        <v>44466</v>
      </c>
      <c r="C378" s="1" t="n">
        <v>45357</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55302-2021</t>
        </is>
      </c>
      <c r="B379" s="1" t="n">
        <v>44475</v>
      </c>
      <c r="C379" s="1" t="n">
        <v>45357</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61631-2021</t>
        </is>
      </c>
      <c r="B380" s="1" t="n">
        <v>44501</v>
      </c>
      <c r="C380" s="1" t="n">
        <v>45357</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64092-2021</t>
        </is>
      </c>
      <c r="B381" s="1" t="n">
        <v>44510</v>
      </c>
      <c r="C381" s="1" t="n">
        <v>45357</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64645-2021</t>
        </is>
      </c>
      <c r="B382" s="1" t="n">
        <v>44511</v>
      </c>
      <c r="C382" s="1" t="n">
        <v>45357</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65428-2021</t>
        </is>
      </c>
      <c r="B383" s="1" t="n">
        <v>44515</v>
      </c>
      <c r="C383" s="1" t="n">
        <v>45357</v>
      </c>
      <c r="D383" t="inlineStr">
        <is>
          <t>JÄMTLANDS LÄN</t>
        </is>
      </c>
      <c r="E383" t="inlineStr">
        <is>
          <t>ÖSTERSUND</t>
        </is>
      </c>
      <c r="F383" t="inlineStr">
        <is>
          <t>SCA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65866-2021</t>
        </is>
      </c>
      <c r="B384" s="1" t="n">
        <v>44516</v>
      </c>
      <c r="C384" s="1" t="n">
        <v>45357</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65991-2021</t>
        </is>
      </c>
      <c r="B385" s="1" t="n">
        <v>44517</v>
      </c>
      <c r="C385" s="1" t="n">
        <v>45357</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66940-2021</t>
        </is>
      </c>
      <c r="B386" s="1" t="n">
        <v>44522</v>
      </c>
      <c r="C386" s="1" t="n">
        <v>45357</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67695-2021</t>
        </is>
      </c>
      <c r="B387" s="1" t="n">
        <v>44524</v>
      </c>
      <c r="C387" s="1" t="n">
        <v>45357</v>
      </c>
      <c r="D387" t="inlineStr">
        <is>
          <t>JÄMTLANDS LÄN</t>
        </is>
      </c>
      <c r="E387" t="inlineStr">
        <is>
          <t>ÖSTERSUND</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67694-2021</t>
        </is>
      </c>
      <c r="B388" s="1" t="n">
        <v>44524</v>
      </c>
      <c r="C388" s="1" t="n">
        <v>45357</v>
      </c>
      <c r="D388" t="inlineStr">
        <is>
          <t>JÄMTLANDS LÄN</t>
        </is>
      </c>
      <c r="E388" t="inlineStr">
        <is>
          <t>ÖSTERSUND</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69190-2021</t>
        </is>
      </c>
      <c r="B389" s="1" t="n">
        <v>44529</v>
      </c>
      <c r="C389" s="1" t="n">
        <v>45357</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70256-2021</t>
        </is>
      </c>
      <c r="B390" s="1" t="n">
        <v>44533</v>
      </c>
      <c r="C390" s="1" t="n">
        <v>45357</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70678-2021</t>
        </is>
      </c>
      <c r="B391" s="1" t="n">
        <v>44537</v>
      </c>
      <c r="C391" s="1" t="n">
        <v>45357</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70816-2021</t>
        </is>
      </c>
      <c r="B392" s="1" t="n">
        <v>44537</v>
      </c>
      <c r="C392" s="1" t="n">
        <v>45357</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71823-2021</t>
        </is>
      </c>
      <c r="B393" s="1" t="n">
        <v>44539</v>
      </c>
      <c r="C393" s="1" t="n">
        <v>45357</v>
      </c>
      <c r="D393" t="inlineStr">
        <is>
          <t>JÄMTLANDS LÄN</t>
        </is>
      </c>
      <c r="E393" t="inlineStr">
        <is>
          <t>ÖSTERSUND</t>
        </is>
      </c>
      <c r="G393" t="n">
        <v>10.5</v>
      </c>
      <c r="H393" t="n">
        <v>0</v>
      </c>
      <c r="I393" t="n">
        <v>0</v>
      </c>
      <c r="J393" t="n">
        <v>0</v>
      </c>
      <c r="K393" t="n">
        <v>0</v>
      </c>
      <c r="L393" t="n">
        <v>0</v>
      </c>
      <c r="M393" t="n">
        <v>0</v>
      </c>
      <c r="N393" t="n">
        <v>0</v>
      </c>
      <c r="O393" t="n">
        <v>0</v>
      </c>
      <c r="P393" t="n">
        <v>0</v>
      </c>
      <c r="Q393" t="n">
        <v>0</v>
      </c>
      <c r="R393" s="2" t="inlineStr"/>
    </row>
    <row r="394" ht="15" customHeight="1">
      <c r="A394" t="inlineStr">
        <is>
          <t>A 72089-2021</t>
        </is>
      </c>
      <c r="B394" s="1" t="n">
        <v>44540</v>
      </c>
      <c r="C394" s="1" t="n">
        <v>45357</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72041-2021</t>
        </is>
      </c>
      <c r="B395" s="1" t="n">
        <v>44540</v>
      </c>
      <c r="C395" s="1" t="n">
        <v>45357</v>
      </c>
      <c r="D395" t="inlineStr">
        <is>
          <t>JÄMTLANDS LÄN</t>
        </is>
      </c>
      <c r="E395" t="inlineStr">
        <is>
          <t>ÖSTERSUND</t>
        </is>
      </c>
      <c r="G395" t="n">
        <v>0.4</v>
      </c>
      <c r="H395" t="n">
        <v>0</v>
      </c>
      <c r="I395" t="n">
        <v>0</v>
      </c>
      <c r="J395" t="n">
        <v>0</v>
      </c>
      <c r="K395" t="n">
        <v>0</v>
      </c>
      <c r="L395" t="n">
        <v>0</v>
      </c>
      <c r="M395" t="n">
        <v>0</v>
      </c>
      <c r="N395" t="n">
        <v>0</v>
      </c>
      <c r="O395" t="n">
        <v>0</v>
      </c>
      <c r="P395" t="n">
        <v>0</v>
      </c>
      <c r="Q395" t="n">
        <v>0</v>
      </c>
      <c r="R395" s="2" t="inlineStr"/>
    </row>
    <row r="396" ht="15" customHeight="1">
      <c r="A396" t="inlineStr">
        <is>
          <t>A 72258-2021</t>
        </is>
      </c>
      <c r="B396" s="1" t="n">
        <v>44540</v>
      </c>
      <c r="C396" s="1" t="n">
        <v>45357</v>
      </c>
      <c r="D396" t="inlineStr">
        <is>
          <t>JÄMTLANDS LÄN</t>
        </is>
      </c>
      <c r="E396" t="inlineStr">
        <is>
          <t>ÖSTERSUND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72061-2021</t>
        </is>
      </c>
      <c r="B397" s="1" t="n">
        <v>44540</v>
      </c>
      <c r="C397" s="1" t="n">
        <v>45357</v>
      </c>
      <c r="D397" t="inlineStr">
        <is>
          <t>JÄMTLANDS LÄN</t>
        </is>
      </c>
      <c r="E397" t="inlineStr">
        <is>
          <t>ÖSTERSUND</t>
        </is>
      </c>
      <c r="G397" t="n">
        <v>5.3</v>
      </c>
      <c r="H397" t="n">
        <v>0</v>
      </c>
      <c r="I397" t="n">
        <v>0</v>
      </c>
      <c r="J397" t="n">
        <v>0</v>
      </c>
      <c r="K397" t="n">
        <v>0</v>
      </c>
      <c r="L397" t="n">
        <v>0</v>
      </c>
      <c r="M397" t="n">
        <v>0</v>
      </c>
      <c r="N397" t="n">
        <v>0</v>
      </c>
      <c r="O397" t="n">
        <v>0</v>
      </c>
      <c r="P397" t="n">
        <v>0</v>
      </c>
      <c r="Q397" t="n">
        <v>0</v>
      </c>
      <c r="R397" s="2" t="inlineStr"/>
    </row>
    <row r="398" ht="15" customHeight="1">
      <c r="A398" t="inlineStr">
        <is>
          <t>A 71956-2021</t>
        </is>
      </c>
      <c r="B398" s="1" t="n">
        <v>44544</v>
      </c>
      <c r="C398" s="1" t="n">
        <v>45357</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72938-2021</t>
        </is>
      </c>
      <c r="B399" s="1" t="n">
        <v>44547</v>
      </c>
      <c r="C399" s="1" t="n">
        <v>45357</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73078-2021</t>
        </is>
      </c>
      <c r="B400" s="1" t="n">
        <v>44550</v>
      </c>
      <c r="C400" s="1" t="n">
        <v>45357</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73066-2021</t>
        </is>
      </c>
      <c r="B401" s="1" t="n">
        <v>44550</v>
      </c>
      <c r="C401" s="1" t="n">
        <v>45357</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73875-2021</t>
        </is>
      </c>
      <c r="B402" s="1" t="n">
        <v>44553</v>
      </c>
      <c r="C402" s="1" t="n">
        <v>45357</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73870-2021</t>
        </is>
      </c>
      <c r="B403" s="1" t="n">
        <v>44553</v>
      </c>
      <c r="C403" s="1" t="n">
        <v>45357</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154-2022</t>
        </is>
      </c>
      <c r="B404" s="1" t="n">
        <v>44561</v>
      </c>
      <c r="C404" s="1" t="n">
        <v>45357</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v>
      </c>
      <c r="C405" s="1" t="n">
        <v>45357</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681-2022</t>
        </is>
      </c>
      <c r="B406" s="1" t="n">
        <v>44566</v>
      </c>
      <c r="C406" s="1" t="n">
        <v>45357</v>
      </c>
      <c r="D406" t="inlineStr">
        <is>
          <t>JÄMTLANDS LÄN</t>
        </is>
      </c>
      <c r="E406" t="inlineStr">
        <is>
          <t>ÖSTERSUND</t>
        </is>
      </c>
      <c r="G406" t="n">
        <v>2.3</v>
      </c>
      <c r="H406" t="n">
        <v>0</v>
      </c>
      <c r="I406" t="n">
        <v>0</v>
      </c>
      <c r="J406" t="n">
        <v>0</v>
      </c>
      <c r="K406" t="n">
        <v>0</v>
      </c>
      <c r="L406" t="n">
        <v>0</v>
      </c>
      <c r="M406" t="n">
        <v>0</v>
      </c>
      <c r="N406" t="n">
        <v>0</v>
      </c>
      <c r="O406" t="n">
        <v>0</v>
      </c>
      <c r="P406" t="n">
        <v>0</v>
      </c>
      <c r="Q406" t="n">
        <v>0</v>
      </c>
      <c r="R406" s="2" t="inlineStr"/>
    </row>
    <row r="407" ht="15" customHeight="1">
      <c r="A407" t="inlineStr">
        <is>
          <t>A 695-2022</t>
        </is>
      </c>
      <c r="B407" s="1" t="n">
        <v>44566</v>
      </c>
      <c r="C407" s="1" t="n">
        <v>45357</v>
      </c>
      <c r="D407" t="inlineStr">
        <is>
          <t>JÄMTLANDS LÄN</t>
        </is>
      </c>
      <c r="E407" t="inlineStr">
        <is>
          <t>ÖSTERSUND</t>
        </is>
      </c>
      <c r="G407" t="n">
        <v>14.9</v>
      </c>
      <c r="H407" t="n">
        <v>0</v>
      </c>
      <c r="I407" t="n">
        <v>0</v>
      </c>
      <c r="J407" t="n">
        <v>0</v>
      </c>
      <c r="K407" t="n">
        <v>0</v>
      </c>
      <c r="L407" t="n">
        <v>0</v>
      </c>
      <c r="M407" t="n">
        <v>0</v>
      </c>
      <c r="N407" t="n">
        <v>0</v>
      </c>
      <c r="O407" t="n">
        <v>0</v>
      </c>
      <c r="P407" t="n">
        <v>0</v>
      </c>
      <c r="Q407" t="n">
        <v>0</v>
      </c>
      <c r="R407" s="2" t="inlineStr"/>
    </row>
    <row r="408" ht="15" customHeight="1">
      <c r="A408" t="inlineStr">
        <is>
          <t>A 2431-2022</t>
        </is>
      </c>
      <c r="B408" s="1" t="n">
        <v>44579</v>
      </c>
      <c r="C408" s="1" t="n">
        <v>45357</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45357</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2880-2022</t>
        </is>
      </c>
      <c r="B410" s="1" t="n">
        <v>44581</v>
      </c>
      <c r="C410" s="1" t="n">
        <v>45357</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3016-2022</t>
        </is>
      </c>
      <c r="B411" s="1" t="n">
        <v>44581</v>
      </c>
      <c r="C411" s="1" t="n">
        <v>45357</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5145-2022</t>
        </is>
      </c>
      <c r="B412" s="1" t="n">
        <v>44594</v>
      </c>
      <c r="C412" s="1" t="n">
        <v>45357</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5670-2022</t>
        </is>
      </c>
      <c r="B413" s="1" t="n">
        <v>44595</v>
      </c>
      <c r="C413" s="1" t="n">
        <v>45357</v>
      </c>
      <c r="D413" t="inlineStr">
        <is>
          <t>JÄMTLANDS LÄN</t>
        </is>
      </c>
      <c r="E413" t="inlineStr">
        <is>
          <t>ÖSTERSUND</t>
        </is>
      </c>
      <c r="G413" t="n">
        <v>2.7</v>
      </c>
      <c r="H413" t="n">
        <v>0</v>
      </c>
      <c r="I413" t="n">
        <v>0</v>
      </c>
      <c r="J413" t="n">
        <v>0</v>
      </c>
      <c r="K413" t="n">
        <v>0</v>
      </c>
      <c r="L413" t="n">
        <v>0</v>
      </c>
      <c r="M413" t="n">
        <v>0</v>
      </c>
      <c r="N413" t="n">
        <v>0</v>
      </c>
      <c r="O413" t="n">
        <v>0</v>
      </c>
      <c r="P413" t="n">
        <v>0</v>
      </c>
      <c r="Q413" t="n">
        <v>0</v>
      </c>
      <c r="R413" s="2" t="inlineStr"/>
    </row>
    <row r="414" ht="15" customHeight="1">
      <c r="A414" t="inlineStr">
        <is>
          <t>A 6013-2022</t>
        </is>
      </c>
      <c r="B414" s="1" t="n">
        <v>44599</v>
      </c>
      <c r="C414" s="1" t="n">
        <v>45357</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6458-2022</t>
        </is>
      </c>
      <c r="B415" s="1" t="n">
        <v>44601</v>
      </c>
      <c r="C415" s="1" t="n">
        <v>45357</v>
      </c>
      <c r="D415" t="inlineStr">
        <is>
          <t>JÄMTLANDS LÄN</t>
        </is>
      </c>
      <c r="E415" t="inlineStr">
        <is>
          <t>ÖSTERSUND</t>
        </is>
      </c>
      <c r="G415" t="n">
        <v>3.1</v>
      </c>
      <c r="H415" t="n">
        <v>0</v>
      </c>
      <c r="I415" t="n">
        <v>0</v>
      </c>
      <c r="J415" t="n">
        <v>0</v>
      </c>
      <c r="K415" t="n">
        <v>0</v>
      </c>
      <c r="L415" t="n">
        <v>0</v>
      </c>
      <c r="M415" t="n">
        <v>0</v>
      </c>
      <c r="N415" t="n">
        <v>0</v>
      </c>
      <c r="O415" t="n">
        <v>0</v>
      </c>
      <c r="P415" t="n">
        <v>0</v>
      </c>
      <c r="Q415" t="n">
        <v>0</v>
      </c>
      <c r="R415" s="2" t="inlineStr"/>
    </row>
    <row r="416" ht="15" customHeight="1">
      <c r="A416" t="inlineStr">
        <is>
          <t>A 7573-2022</t>
        </is>
      </c>
      <c r="B416" s="1" t="n">
        <v>44607</v>
      </c>
      <c r="C416" s="1" t="n">
        <v>45357</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8027-2022</t>
        </is>
      </c>
      <c r="B417" s="1" t="n">
        <v>44609</v>
      </c>
      <c r="C417" s="1" t="n">
        <v>45357</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8227-2022</t>
        </is>
      </c>
      <c r="B418" s="1" t="n">
        <v>44609</v>
      </c>
      <c r="C418" s="1" t="n">
        <v>45357</v>
      </c>
      <c r="D418" t="inlineStr">
        <is>
          <t>JÄMTLANDS LÄN</t>
        </is>
      </c>
      <c r="E418" t="inlineStr">
        <is>
          <t>ÖSTERSUND</t>
        </is>
      </c>
      <c r="G418" t="n">
        <v>6.6</v>
      </c>
      <c r="H418" t="n">
        <v>0</v>
      </c>
      <c r="I418" t="n">
        <v>0</v>
      </c>
      <c r="J418" t="n">
        <v>0</v>
      </c>
      <c r="K418" t="n">
        <v>0</v>
      </c>
      <c r="L418" t="n">
        <v>0</v>
      </c>
      <c r="M418" t="n">
        <v>0</v>
      </c>
      <c r="N418" t="n">
        <v>0</v>
      </c>
      <c r="O418" t="n">
        <v>0</v>
      </c>
      <c r="P418" t="n">
        <v>0</v>
      </c>
      <c r="Q418" t="n">
        <v>0</v>
      </c>
      <c r="R418" s="2" t="inlineStr"/>
    </row>
    <row r="419" ht="15" customHeight="1">
      <c r="A419" t="inlineStr">
        <is>
          <t>A 8647-2022</t>
        </is>
      </c>
      <c r="B419" s="1" t="n">
        <v>44613</v>
      </c>
      <c r="C419" s="1" t="n">
        <v>45357</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v>
      </c>
      <c r="C420" s="1" t="n">
        <v>45357</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v>
      </c>
      <c r="C421" s="1" t="n">
        <v>45357</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45357</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12301-2022</t>
        </is>
      </c>
      <c r="B423" s="1" t="n">
        <v>44637</v>
      </c>
      <c r="C423" s="1" t="n">
        <v>45357</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12285-2022</t>
        </is>
      </c>
      <c r="B424" s="1" t="n">
        <v>44637</v>
      </c>
      <c r="C424" s="1" t="n">
        <v>45357</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12946-2022</t>
        </is>
      </c>
      <c r="B425" s="1" t="n">
        <v>44642</v>
      </c>
      <c r="C425" s="1" t="n">
        <v>45357</v>
      </c>
      <c r="D425" t="inlineStr">
        <is>
          <t>JÄMTLANDS LÄN</t>
        </is>
      </c>
      <c r="E425" t="inlineStr">
        <is>
          <t>ÖSTERSUND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13024-2022</t>
        </is>
      </c>
      <c r="B426" s="1" t="n">
        <v>44643</v>
      </c>
      <c r="C426" s="1" t="n">
        <v>45357</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v>
      </c>
      <c r="C427" s="1" t="n">
        <v>45357</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14657-2022</t>
        </is>
      </c>
      <c r="B428" s="1" t="n">
        <v>44655</v>
      </c>
      <c r="C428" s="1" t="n">
        <v>45357</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14658-2022</t>
        </is>
      </c>
      <c r="B429" s="1" t="n">
        <v>44655</v>
      </c>
      <c r="C429" s="1" t="n">
        <v>45357</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16025-2022</t>
        </is>
      </c>
      <c r="B430" s="1" t="n">
        <v>44665</v>
      </c>
      <c r="C430" s="1" t="n">
        <v>45357</v>
      </c>
      <c r="D430" t="inlineStr">
        <is>
          <t>JÄMTLANDS LÄN</t>
        </is>
      </c>
      <c r="E430" t="inlineStr">
        <is>
          <t>ÖSTERSUND</t>
        </is>
      </c>
      <c r="G430" t="n">
        <v>6</v>
      </c>
      <c r="H430" t="n">
        <v>0</v>
      </c>
      <c r="I430" t="n">
        <v>0</v>
      </c>
      <c r="J430" t="n">
        <v>0</v>
      </c>
      <c r="K430" t="n">
        <v>0</v>
      </c>
      <c r="L430" t="n">
        <v>0</v>
      </c>
      <c r="M430" t="n">
        <v>0</v>
      </c>
      <c r="N430" t="n">
        <v>0</v>
      </c>
      <c r="O430" t="n">
        <v>0</v>
      </c>
      <c r="P430" t="n">
        <v>0</v>
      </c>
      <c r="Q430" t="n">
        <v>0</v>
      </c>
      <c r="R430" s="2" t="inlineStr"/>
    </row>
    <row r="431" ht="15" customHeight="1">
      <c r="A431" t="inlineStr">
        <is>
          <t>A 16034-2022</t>
        </is>
      </c>
      <c r="B431" s="1" t="n">
        <v>44665</v>
      </c>
      <c r="C431" s="1" t="n">
        <v>45357</v>
      </c>
      <c r="D431" t="inlineStr">
        <is>
          <t>JÄMTLANDS LÄN</t>
        </is>
      </c>
      <c r="E431" t="inlineStr">
        <is>
          <t>ÖSTERSUND</t>
        </is>
      </c>
      <c r="G431" t="n">
        <v>5.2</v>
      </c>
      <c r="H431" t="n">
        <v>0</v>
      </c>
      <c r="I431" t="n">
        <v>0</v>
      </c>
      <c r="J431" t="n">
        <v>0</v>
      </c>
      <c r="K431" t="n">
        <v>0</v>
      </c>
      <c r="L431" t="n">
        <v>0</v>
      </c>
      <c r="M431" t="n">
        <v>0</v>
      </c>
      <c r="N431" t="n">
        <v>0</v>
      </c>
      <c r="O431" t="n">
        <v>0</v>
      </c>
      <c r="P431" t="n">
        <v>0</v>
      </c>
      <c r="Q431" t="n">
        <v>0</v>
      </c>
      <c r="R431" s="2" t="inlineStr"/>
    </row>
    <row r="432" ht="15" customHeight="1">
      <c r="A432" t="inlineStr">
        <is>
          <t>A 17574-2022</t>
        </is>
      </c>
      <c r="B432" s="1" t="n">
        <v>44680</v>
      </c>
      <c r="C432" s="1" t="n">
        <v>45357</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17732-2022</t>
        </is>
      </c>
      <c r="B433" s="1" t="n">
        <v>44681</v>
      </c>
      <c r="C433" s="1" t="n">
        <v>45357</v>
      </c>
      <c r="D433" t="inlineStr">
        <is>
          <t>JÄMTLANDS LÄN</t>
        </is>
      </c>
      <c r="E433" t="inlineStr">
        <is>
          <t>ÖSTERSUND</t>
        </is>
      </c>
      <c r="G433" t="n">
        <v>5.4</v>
      </c>
      <c r="H433" t="n">
        <v>0</v>
      </c>
      <c r="I433" t="n">
        <v>0</v>
      </c>
      <c r="J433" t="n">
        <v>0</v>
      </c>
      <c r="K433" t="n">
        <v>0</v>
      </c>
      <c r="L433" t="n">
        <v>0</v>
      </c>
      <c r="M433" t="n">
        <v>0</v>
      </c>
      <c r="N433" t="n">
        <v>0</v>
      </c>
      <c r="O433" t="n">
        <v>0</v>
      </c>
      <c r="P433" t="n">
        <v>0</v>
      </c>
      <c r="Q433" t="n">
        <v>0</v>
      </c>
      <c r="R433" s="2" t="inlineStr"/>
    </row>
    <row r="434" ht="15" customHeight="1">
      <c r="A434" t="inlineStr">
        <is>
          <t>A 17734-2022</t>
        </is>
      </c>
      <c r="B434" s="1" t="n">
        <v>44680</v>
      </c>
      <c r="C434" s="1" t="n">
        <v>45357</v>
      </c>
      <c r="D434" t="inlineStr">
        <is>
          <t>JÄMTLANDS LÄN</t>
        </is>
      </c>
      <c r="E434" t="inlineStr">
        <is>
          <t>ÖSTERSUND</t>
        </is>
      </c>
      <c r="G434" t="n">
        <v>26.4</v>
      </c>
      <c r="H434" t="n">
        <v>0</v>
      </c>
      <c r="I434" t="n">
        <v>0</v>
      </c>
      <c r="J434" t="n">
        <v>0</v>
      </c>
      <c r="K434" t="n">
        <v>0</v>
      </c>
      <c r="L434" t="n">
        <v>0</v>
      </c>
      <c r="M434" t="n">
        <v>0</v>
      </c>
      <c r="N434" t="n">
        <v>0</v>
      </c>
      <c r="O434" t="n">
        <v>0</v>
      </c>
      <c r="P434" t="n">
        <v>0</v>
      </c>
      <c r="Q434" t="n">
        <v>0</v>
      </c>
      <c r="R434" s="2" t="inlineStr"/>
    </row>
    <row r="435" ht="15" customHeight="1">
      <c r="A435" t="inlineStr">
        <is>
          <t>A 19022-2022</t>
        </is>
      </c>
      <c r="B435" s="1" t="n">
        <v>44690</v>
      </c>
      <c r="C435" s="1" t="n">
        <v>45357</v>
      </c>
      <c r="D435" t="inlineStr">
        <is>
          <t>JÄMTLANDS LÄN</t>
        </is>
      </c>
      <c r="E435" t="inlineStr">
        <is>
          <t>ÖSTERSUND</t>
        </is>
      </c>
      <c r="G435" t="n">
        <v>17.9</v>
      </c>
      <c r="H435" t="n">
        <v>0</v>
      </c>
      <c r="I435" t="n">
        <v>0</v>
      </c>
      <c r="J435" t="n">
        <v>0</v>
      </c>
      <c r="K435" t="n">
        <v>0</v>
      </c>
      <c r="L435" t="n">
        <v>0</v>
      </c>
      <c r="M435" t="n">
        <v>0</v>
      </c>
      <c r="N435" t="n">
        <v>0</v>
      </c>
      <c r="O435" t="n">
        <v>0</v>
      </c>
      <c r="P435" t="n">
        <v>0</v>
      </c>
      <c r="Q435" t="n">
        <v>0</v>
      </c>
      <c r="R435" s="2" t="inlineStr"/>
    </row>
    <row r="436" ht="15" customHeight="1">
      <c r="A436" t="inlineStr">
        <is>
          <t>A 20960-2022</t>
        </is>
      </c>
      <c r="B436" s="1" t="n">
        <v>44702</v>
      </c>
      <c r="C436" s="1" t="n">
        <v>45357</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20983-2022</t>
        </is>
      </c>
      <c r="B437" s="1" t="n">
        <v>44703</v>
      </c>
      <c r="C437" s="1" t="n">
        <v>45357</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21211-2022</t>
        </is>
      </c>
      <c r="B438" s="1" t="n">
        <v>44705</v>
      </c>
      <c r="C438" s="1" t="n">
        <v>45357</v>
      </c>
      <c r="D438" t="inlineStr">
        <is>
          <t>JÄMTLANDS LÄN</t>
        </is>
      </c>
      <c r="E438" t="inlineStr">
        <is>
          <t>ÖSTERSUND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21495-2022</t>
        </is>
      </c>
      <c r="B439" s="1" t="n">
        <v>44706</v>
      </c>
      <c r="C439" s="1" t="n">
        <v>45357</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22083-2022</t>
        </is>
      </c>
      <c r="B440" s="1" t="n">
        <v>44711</v>
      </c>
      <c r="C440" s="1" t="n">
        <v>45357</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22085-2022</t>
        </is>
      </c>
      <c r="B441" s="1" t="n">
        <v>44711</v>
      </c>
      <c r="C441" s="1" t="n">
        <v>45357</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22084-2022</t>
        </is>
      </c>
      <c r="B442" s="1" t="n">
        <v>44711</v>
      </c>
      <c r="C442" s="1" t="n">
        <v>45357</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44712</v>
      </c>
      <c r="C443" s="1" t="n">
        <v>45357</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23555-2022</t>
        </is>
      </c>
      <c r="B444" s="1" t="n">
        <v>44721</v>
      </c>
      <c r="C444" s="1" t="n">
        <v>45357</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23563-2022</t>
        </is>
      </c>
      <c r="B445" s="1" t="n">
        <v>44721</v>
      </c>
      <c r="C445" s="1" t="n">
        <v>45357</v>
      </c>
      <c r="D445" t="inlineStr">
        <is>
          <t>JÄMTLANDS LÄN</t>
        </is>
      </c>
      <c r="E445" t="inlineStr">
        <is>
          <t>ÖSTERSUND</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23551-2022</t>
        </is>
      </c>
      <c r="B446" s="1" t="n">
        <v>44721</v>
      </c>
      <c r="C446" s="1" t="n">
        <v>45357</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23992-2022</t>
        </is>
      </c>
      <c r="B447" s="1" t="n">
        <v>44722</v>
      </c>
      <c r="C447" s="1" t="n">
        <v>45357</v>
      </c>
      <c r="D447" t="inlineStr">
        <is>
          <t>JÄMTLANDS LÄN</t>
        </is>
      </c>
      <c r="E447" t="inlineStr">
        <is>
          <t>ÖSTERSUND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23993-2022</t>
        </is>
      </c>
      <c r="B448" s="1" t="n">
        <v>44723</v>
      </c>
      <c r="C448" s="1" t="n">
        <v>45357</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26321-2022</t>
        </is>
      </c>
      <c r="B449" s="1" t="n">
        <v>44735</v>
      </c>
      <c r="C449" s="1" t="n">
        <v>45357</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26731-2022</t>
        </is>
      </c>
      <c r="B450" s="1" t="n">
        <v>44740</v>
      </c>
      <c r="C450" s="1" t="n">
        <v>45357</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27343-2022</t>
        </is>
      </c>
      <c r="B451" s="1" t="n">
        <v>44742</v>
      </c>
      <c r="C451" s="1" t="n">
        <v>45357</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27582-2022</t>
        </is>
      </c>
      <c r="B452" s="1" t="n">
        <v>44743</v>
      </c>
      <c r="C452" s="1" t="n">
        <v>45357</v>
      </c>
      <c r="D452" t="inlineStr">
        <is>
          <t>JÄMTLANDS LÄN</t>
        </is>
      </c>
      <c r="E452" t="inlineStr">
        <is>
          <t>ÖSTERSUND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27575-2022</t>
        </is>
      </c>
      <c r="B453" s="1" t="n">
        <v>44742</v>
      </c>
      <c r="C453" s="1" t="n">
        <v>45357</v>
      </c>
      <c r="D453" t="inlineStr">
        <is>
          <t>JÄMTLANDS LÄN</t>
        </is>
      </c>
      <c r="E453" t="inlineStr">
        <is>
          <t>ÖSTERSUND</t>
        </is>
      </c>
      <c r="F453" t="inlineStr">
        <is>
          <t>SCA</t>
        </is>
      </c>
      <c r="G453" t="n">
        <v>2.4</v>
      </c>
      <c r="H453" t="n">
        <v>0</v>
      </c>
      <c r="I453" t="n">
        <v>0</v>
      </c>
      <c r="J453" t="n">
        <v>0</v>
      </c>
      <c r="K453" t="n">
        <v>0</v>
      </c>
      <c r="L453" t="n">
        <v>0</v>
      </c>
      <c r="M453" t="n">
        <v>0</v>
      </c>
      <c r="N453" t="n">
        <v>0</v>
      </c>
      <c r="O453" t="n">
        <v>0</v>
      </c>
      <c r="P453" t="n">
        <v>0</v>
      </c>
      <c r="Q453" t="n">
        <v>0</v>
      </c>
      <c r="R453" s="2" t="inlineStr"/>
      <c r="U453">
        <f>HYPERLINK("https://klasma.github.io/Logging_2380/knärot/A 27575-2022 karta knärot.png", "A 27575-2022")</f>
        <v/>
      </c>
      <c r="V453">
        <f>HYPERLINK("https://klasma.github.io/Logging_2380/klagomål/A 27575-2022 FSC-klagomål.docx", "A 27575-2022")</f>
        <v/>
      </c>
      <c r="W453">
        <f>HYPERLINK("https://klasma.github.io/Logging_2380/klagomålsmail/A 27575-2022 FSC-klagomål mail.docx", "A 27575-2022")</f>
        <v/>
      </c>
      <c r="X453">
        <f>HYPERLINK("https://klasma.github.io/Logging_2380/tillsyn/A 27575-2022 tillsynsbegäran.docx", "A 27575-2022")</f>
        <v/>
      </c>
      <c r="Y453">
        <f>HYPERLINK("https://klasma.github.io/Logging_2380/tillsynsmail/A 27575-2022 tillsynsbegäran mail.docx", "A 27575-2022")</f>
        <v/>
      </c>
    </row>
    <row r="454" ht="15" customHeight="1">
      <c r="A454" t="inlineStr">
        <is>
          <t>A 27581-2022</t>
        </is>
      </c>
      <c r="B454" s="1" t="n">
        <v>44742</v>
      </c>
      <c r="C454" s="1" t="n">
        <v>45357</v>
      </c>
      <c r="D454" t="inlineStr">
        <is>
          <t>JÄMTLANDS LÄN</t>
        </is>
      </c>
      <c r="E454" t="inlineStr">
        <is>
          <t>ÖSTERSUND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45357</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29094-2022</t>
        </is>
      </c>
      <c r="B456" s="1" t="n">
        <v>44750</v>
      </c>
      <c r="C456" s="1" t="n">
        <v>45357</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29128-2022</t>
        </is>
      </c>
      <c r="B457" s="1" t="n">
        <v>44750</v>
      </c>
      <c r="C457" s="1" t="n">
        <v>45357</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29829-2022</t>
        </is>
      </c>
      <c r="B458" s="1" t="n">
        <v>44755</v>
      </c>
      <c r="C458" s="1" t="n">
        <v>45357</v>
      </c>
      <c r="D458" t="inlineStr">
        <is>
          <t>JÄMTLANDS LÄN</t>
        </is>
      </c>
      <c r="E458" t="inlineStr">
        <is>
          <t>ÖSTERSUND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29828-2022</t>
        </is>
      </c>
      <c r="B459" s="1" t="n">
        <v>44755</v>
      </c>
      <c r="C459" s="1" t="n">
        <v>45357</v>
      </c>
      <c r="D459" t="inlineStr">
        <is>
          <t>JÄMTLANDS LÄN</t>
        </is>
      </c>
      <c r="E459" t="inlineStr">
        <is>
          <t>ÖSTERSUND</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30217-2022</t>
        </is>
      </c>
      <c r="B460" s="1" t="n">
        <v>44758</v>
      </c>
      <c r="C460" s="1" t="n">
        <v>45357</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33804-2022</t>
        </is>
      </c>
      <c r="B461" s="1" t="n">
        <v>44790</v>
      </c>
      <c r="C461" s="1" t="n">
        <v>45357</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33808-2022</t>
        </is>
      </c>
      <c r="B462" s="1" t="n">
        <v>44790</v>
      </c>
      <c r="C462" s="1" t="n">
        <v>45357</v>
      </c>
      <c r="D462" t="inlineStr">
        <is>
          <t>JÄMTLANDS LÄN</t>
        </is>
      </c>
      <c r="E462" t="inlineStr">
        <is>
          <t>ÖSTERSUND</t>
        </is>
      </c>
      <c r="G462" t="n">
        <v>4.1</v>
      </c>
      <c r="H462" t="n">
        <v>0</v>
      </c>
      <c r="I462" t="n">
        <v>0</v>
      </c>
      <c r="J462" t="n">
        <v>0</v>
      </c>
      <c r="K462" t="n">
        <v>0</v>
      </c>
      <c r="L462" t="n">
        <v>0</v>
      </c>
      <c r="M462" t="n">
        <v>0</v>
      </c>
      <c r="N462" t="n">
        <v>0</v>
      </c>
      <c r="O462" t="n">
        <v>0</v>
      </c>
      <c r="P462" t="n">
        <v>0</v>
      </c>
      <c r="Q462" t="n">
        <v>0</v>
      </c>
      <c r="R462" s="2" t="inlineStr"/>
    </row>
    <row r="463" ht="15" customHeight="1">
      <c r="A463" t="inlineStr">
        <is>
          <t>A 33813-2022</t>
        </is>
      </c>
      <c r="B463" s="1" t="n">
        <v>44790</v>
      </c>
      <c r="C463" s="1" t="n">
        <v>45357</v>
      </c>
      <c r="D463" t="inlineStr">
        <is>
          <t>JÄMTLANDS LÄN</t>
        </is>
      </c>
      <c r="E463" t="inlineStr">
        <is>
          <t>ÖSTERSUND</t>
        </is>
      </c>
      <c r="G463" t="n">
        <v>7.9</v>
      </c>
      <c r="H463" t="n">
        <v>0</v>
      </c>
      <c r="I463" t="n">
        <v>0</v>
      </c>
      <c r="J463" t="n">
        <v>0</v>
      </c>
      <c r="K463" t="n">
        <v>0</v>
      </c>
      <c r="L463" t="n">
        <v>0</v>
      </c>
      <c r="M463" t="n">
        <v>0</v>
      </c>
      <c r="N463" t="n">
        <v>0</v>
      </c>
      <c r="O463" t="n">
        <v>0</v>
      </c>
      <c r="P463" t="n">
        <v>0</v>
      </c>
      <c r="Q463" t="n">
        <v>0</v>
      </c>
      <c r="R463" s="2" t="inlineStr"/>
    </row>
    <row r="464" ht="15" customHeight="1">
      <c r="A464" t="inlineStr">
        <is>
          <t>A 33786-2022</t>
        </is>
      </c>
      <c r="B464" s="1" t="n">
        <v>44790</v>
      </c>
      <c r="C464" s="1" t="n">
        <v>45357</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45357</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35556-2022</t>
        </is>
      </c>
      <c r="B466" s="1" t="n">
        <v>44799</v>
      </c>
      <c r="C466" s="1" t="n">
        <v>45357</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39828-2022</t>
        </is>
      </c>
      <c r="B467" s="1" t="n">
        <v>44817</v>
      </c>
      <c r="C467" s="1" t="n">
        <v>45357</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39928-2022</t>
        </is>
      </c>
      <c r="B468" s="1" t="n">
        <v>44819</v>
      </c>
      <c r="C468" s="1" t="n">
        <v>45357</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40885-2022</t>
        </is>
      </c>
      <c r="B469" s="1" t="n">
        <v>44820</v>
      </c>
      <c r="C469" s="1" t="n">
        <v>45357</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43511-2022</t>
        </is>
      </c>
      <c r="B470" s="1" t="n">
        <v>44837</v>
      </c>
      <c r="C470" s="1" t="n">
        <v>45357</v>
      </c>
      <c r="D470" t="inlineStr">
        <is>
          <t>JÄMTLANDS LÄN</t>
        </is>
      </c>
      <c r="E470" t="inlineStr">
        <is>
          <t>ÖSTERSUND</t>
        </is>
      </c>
      <c r="G470" t="n">
        <v>3.7</v>
      </c>
      <c r="H470" t="n">
        <v>0</v>
      </c>
      <c r="I470" t="n">
        <v>0</v>
      </c>
      <c r="J470" t="n">
        <v>0</v>
      </c>
      <c r="K470" t="n">
        <v>0</v>
      </c>
      <c r="L470" t="n">
        <v>0</v>
      </c>
      <c r="M470" t="n">
        <v>0</v>
      </c>
      <c r="N470" t="n">
        <v>0</v>
      </c>
      <c r="O470" t="n">
        <v>0</v>
      </c>
      <c r="P470" t="n">
        <v>0</v>
      </c>
      <c r="Q470" t="n">
        <v>0</v>
      </c>
      <c r="R470" s="2" t="inlineStr"/>
    </row>
    <row r="471" ht="15" customHeight="1">
      <c r="A471" t="inlineStr">
        <is>
          <t>A 43951-2022</t>
        </is>
      </c>
      <c r="B471" s="1" t="n">
        <v>44838</v>
      </c>
      <c r="C471" s="1" t="n">
        <v>45357</v>
      </c>
      <c r="D471" t="inlineStr">
        <is>
          <t>JÄMTLANDS LÄN</t>
        </is>
      </c>
      <c r="E471" t="inlineStr">
        <is>
          <t>ÖSTERSUND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44909-2022</t>
        </is>
      </c>
      <c r="B472" s="1" t="n">
        <v>44840</v>
      </c>
      <c r="C472" s="1" t="n">
        <v>45357</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45357</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45654-2022</t>
        </is>
      </c>
      <c r="B474" s="1" t="n">
        <v>44845</v>
      </c>
      <c r="C474" s="1" t="n">
        <v>45357</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46913-2022</t>
        </is>
      </c>
      <c r="B475" s="1" t="n">
        <v>44851</v>
      </c>
      <c r="C475" s="1" t="n">
        <v>45357</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47296-2022</t>
        </is>
      </c>
      <c r="B476" s="1" t="n">
        <v>44853</v>
      </c>
      <c r="C476" s="1" t="n">
        <v>45357</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47294-2022</t>
        </is>
      </c>
      <c r="B477" s="1" t="n">
        <v>44852</v>
      </c>
      <c r="C477" s="1" t="n">
        <v>45357</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47295-2022</t>
        </is>
      </c>
      <c r="B478" s="1" t="n">
        <v>44852</v>
      </c>
      <c r="C478" s="1" t="n">
        <v>45357</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49389-2022</t>
        </is>
      </c>
      <c r="B479" s="1" t="n">
        <v>44861</v>
      </c>
      <c r="C479" s="1" t="n">
        <v>45357</v>
      </c>
      <c r="D479" t="inlineStr">
        <is>
          <t>JÄMTLANDS LÄN</t>
        </is>
      </c>
      <c r="E479" t="inlineStr">
        <is>
          <t>ÖSTERSUND</t>
        </is>
      </c>
      <c r="F479" t="inlineStr">
        <is>
          <t>Övriga Aktiebolag</t>
        </is>
      </c>
      <c r="G479" t="n">
        <v>19.2</v>
      </c>
      <c r="H479" t="n">
        <v>0</v>
      </c>
      <c r="I479" t="n">
        <v>0</v>
      </c>
      <c r="J479" t="n">
        <v>0</v>
      </c>
      <c r="K479" t="n">
        <v>0</v>
      </c>
      <c r="L479" t="n">
        <v>0</v>
      </c>
      <c r="M479" t="n">
        <v>0</v>
      </c>
      <c r="N479" t="n">
        <v>0</v>
      </c>
      <c r="O479" t="n">
        <v>0</v>
      </c>
      <c r="P479" t="n">
        <v>0</v>
      </c>
      <c r="Q479" t="n">
        <v>0</v>
      </c>
      <c r="R479" s="2" t="inlineStr"/>
    </row>
    <row r="480" ht="15" customHeight="1">
      <c r="A480" t="inlineStr">
        <is>
          <t>A 50932-2022</t>
        </is>
      </c>
      <c r="B480" s="1" t="n">
        <v>44867</v>
      </c>
      <c r="C480" s="1" t="n">
        <v>45357</v>
      </c>
      <c r="D480" t="inlineStr">
        <is>
          <t>JÄMTLANDS LÄN</t>
        </is>
      </c>
      <c r="E480" t="inlineStr">
        <is>
          <t>ÖSTERSUND</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51164-2022</t>
        </is>
      </c>
      <c r="B481" s="1" t="n">
        <v>44868</v>
      </c>
      <c r="C481" s="1" t="n">
        <v>45357</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52155-2022</t>
        </is>
      </c>
      <c r="B482" s="1" t="n">
        <v>44873</v>
      </c>
      <c r="C482" s="1" t="n">
        <v>45357</v>
      </c>
      <c r="D482" t="inlineStr">
        <is>
          <t>JÄMTLANDS LÄN</t>
        </is>
      </c>
      <c r="E482" t="inlineStr">
        <is>
          <t>ÖSTERSUND</t>
        </is>
      </c>
      <c r="F482" t="inlineStr">
        <is>
          <t>Övriga Aktiebolag</t>
        </is>
      </c>
      <c r="G482" t="n">
        <v>3.4</v>
      </c>
      <c r="H482" t="n">
        <v>0</v>
      </c>
      <c r="I482" t="n">
        <v>0</v>
      </c>
      <c r="J482" t="n">
        <v>0</v>
      </c>
      <c r="K482" t="n">
        <v>0</v>
      </c>
      <c r="L482" t="n">
        <v>0</v>
      </c>
      <c r="M482" t="n">
        <v>0</v>
      </c>
      <c r="N482" t="n">
        <v>0</v>
      </c>
      <c r="O482" t="n">
        <v>0</v>
      </c>
      <c r="P482" t="n">
        <v>0</v>
      </c>
      <c r="Q482" t="n">
        <v>0</v>
      </c>
      <c r="R482" s="2" t="inlineStr"/>
    </row>
    <row r="483" ht="15" customHeight="1">
      <c r="A483" t="inlineStr">
        <is>
          <t>A 52898-2022</t>
        </is>
      </c>
      <c r="B483" s="1" t="n">
        <v>44875</v>
      </c>
      <c r="C483" s="1" t="n">
        <v>45357</v>
      </c>
      <c r="D483" t="inlineStr">
        <is>
          <t>JÄMTLANDS LÄN</t>
        </is>
      </c>
      <c r="E483" t="inlineStr">
        <is>
          <t>ÖSTERSUND</t>
        </is>
      </c>
      <c r="F483" t="inlineStr">
        <is>
          <t>Övriga Aktiebolag</t>
        </is>
      </c>
      <c r="G483" t="n">
        <v>12.1</v>
      </c>
      <c r="H483" t="n">
        <v>0</v>
      </c>
      <c r="I483" t="n">
        <v>0</v>
      </c>
      <c r="J483" t="n">
        <v>0</v>
      </c>
      <c r="K483" t="n">
        <v>0</v>
      </c>
      <c r="L483" t="n">
        <v>0</v>
      </c>
      <c r="M483" t="n">
        <v>0</v>
      </c>
      <c r="N483" t="n">
        <v>0</v>
      </c>
      <c r="O483" t="n">
        <v>0</v>
      </c>
      <c r="P483" t="n">
        <v>0</v>
      </c>
      <c r="Q483" t="n">
        <v>0</v>
      </c>
      <c r="R483" s="2" t="inlineStr"/>
    </row>
    <row r="484" ht="15" customHeight="1">
      <c r="A484" t="inlineStr">
        <is>
          <t>A 53802-2022</t>
        </is>
      </c>
      <c r="B484" s="1" t="n">
        <v>44875</v>
      </c>
      <c r="C484" s="1" t="n">
        <v>45357</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53764-2022</t>
        </is>
      </c>
      <c r="B485" s="1" t="n">
        <v>44875</v>
      </c>
      <c r="C485" s="1" t="n">
        <v>45357</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53807-2022</t>
        </is>
      </c>
      <c r="B486" s="1" t="n">
        <v>44875</v>
      </c>
      <c r="C486" s="1" t="n">
        <v>45357</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53453-2022</t>
        </is>
      </c>
      <c r="B487" s="1" t="n">
        <v>44879</v>
      </c>
      <c r="C487" s="1" t="n">
        <v>45357</v>
      </c>
      <c r="D487" t="inlineStr">
        <is>
          <t>JÄMTLANDS LÄN</t>
        </is>
      </c>
      <c r="E487" t="inlineStr">
        <is>
          <t>ÖSTERSUND</t>
        </is>
      </c>
      <c r="G487" t="n">
        <v>22.2</v>
      </c>
      <c r="H487" t="n">
        <v>0</v>
      </c>
      <c r="I487" t="n">
        <v>0</v>
      </c>
      <c r="J487" t="n">
        <v>0</v>
      </c>
      <c r="K487" t="n">
        <v>0</v>
      </c>
      <c r="L487" t="n">
        <v>0</v>
      </c>
      <c r="M487" t="n">
        <v>0</v>
      </c>
      <c r="N487" t="n">
        <v>0</v>
      </c>
      <c r="O487" t="n">
        <v>0</v>
      </c>
      <c r="P487" t="n">
        <v>0</v>
      </c>
      <c r="Q487" t="n">
        <v>0</v>
      </c>
      <c r="R487" s="2" t="inlineStr"/>
    </row>
    <row r="488" ht="15" customHeight="1">
      <c r="A488" t="inlineStr">
        <is>
          <t>A 53556-2022</t>
        </is>
      </c>
      <c r="B488" s="1" t="n">
        <v>44879</v>
      </c>
      <c r="C488" s="1" t="n">
        <v>45357</v>
      </c>
      <c r="D488" t="inlineStr">
        <is>
          <t>JÄMTLANDS LÄN</t>
        </is>
      </c>
      <c r="E488" t="inlineStr">
        <is>
          <t>ÖSTERSUND</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53714-2022</t>
        </is>
      </c>
      <c r="B489" s="1" t="n">
        <v>44880</v>
      </c>
      <c r="C489" s="1" t="n">
        <v>45357</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54712-2022</t>
        </is>
      </c>
      <c r="B490" s="1" t="n">
        <v>44883</v>
      </c>
      <c r="C490" s="1" t="n">
        <v>45357</v>
      </c>
      <c r="D490" t="inlineStr">
        <is>
          <t>JÄMTLANDS LÄN</t>
        </is>
      </c>
      <c r="E490" t="inlineStr">
        <is>
          <t>ÖSTERSUND</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54663-2022</t>
        </is>
      </c>
      <c r="B491" s="1" t="n">
        <v>44883</v>
      </c>
      <c r="C491" s="1" t="n">
        <v>45357</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55102-2022</t>
        </is>
      </c>
      <c r="B492" s="1" t="n">
        <v>44886</v>
      </c>
      <c r="C492" s="1" t="n">
        <v>45357</v>
      </c>
      <c r="D492" t="inlineStr">
        <is>
          <t>JÄMTLANDS LÄN</t>
        </is>
      </c>
      <c r="E492" t="inlineStr">
        <is>
          <t>ÖSTERSUND</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55008-2022</t>
        </is>
      </c>
      <c r="B493" s="1" t="n">
        <v>44886</v>
      </c>
      <c r="C493" s="1" t="n">
        <v>45357</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55105-2022</t>
        </is>
      </c>
      <c r="B494" s="1" t="n">
        <v>44886</v>
      </c>
      <c r="C494" s="1" t="n">
        <v>45357</v>
      </c>
      <c r="D494" t="inlineStr">
        <is>
          <t>JÄMTLANDS LÄN</t>
        </is>
      </c>
      <c r="E494" t="inlineStr">
        <is>
          <t>ÖSTERSUND</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55371-2022</t>
        </is>
      </c>
      <c r="B495" s="1" t="n">
        <v>44887</v>
      </c>
      <c r="C495" s="1" t="n">
        <v>45357</v>
      </c>
      <c r="D495" t="inlineStr">
        <is>
          <t>JÄMTLANDS LÄN</t>
        </is>
      </c>
      <c r="E495" t="inlineStr">
        <is>
          <t>ÖSTERSUND</t>
        </is>
      </c>
      <c r="F495" t="inlineStr">
        <is>
          <t>Övriga Aktiebolag</t>
        </is>
      </c>
      <c r="G495" t="n">
        <v>15.4</v>
      </c>
      <c r="H495" t="n">
        <v>0</v>
      </c>
      <c r="I495" t="n">
        <v>0</v>
      </c>
      <c r="J495" t="n">
        <v>0</v>
      </c>
      <c r="K495" t="n">
        <v>0</v>
      </c>
      <c r="L495" t="n">
        <v>0</v>
      </c>
      <c r="M495" t="n">
        <v>0</v>
      </c>
      <c r="N495" t="n">
        <v>0</v>
      </c>
      <c r="O495" t="n">
        <v>0</v>
      </c>
      <c r="P495" t="n">
        <v>0</v>
      </c>
      <c r="Q495" t="n">
        <v>0</v>
      </c>
      <c r="R495" s="2" t="inlineStr"/>
    </row>
    <row r="496" ht="15" customHeight="1">
      <c r="A496" t="inlineStr">
        <is>
          <t>A 55448-2022</t>
        </is>
      </c>
      <c r="B496" s="1" t="n">
        <v>44887</v>
      </c>
      <c r="C496" s="1" t="n">
        <v>45357</v>
      </c>
      <c r="D496" t="inlineStr">
        <is>
          <t>JÄMTLANDS LÄN</t>
        </is>
      </c>
      <c r="E496" t="inlineStr">
        <is>
          <t>ÖSTERSUND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v>
      </c>
      <c r="C497" s="1" t="n">
        <v>45357</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56148-2022</t>
        </is>
      </c>
      <c r="B498" s="1" t="n">
        <v>44889</v>
      </c>
      <c r="C498" s="1" t="n">
        <v>45357</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56111-2022</t>
        </is>
      </c>
      <c r="B499" s="1" t="n">
        <v>44889</v>
      </c>
      <c r="C499" s="1" t="n">
        <v>45357</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57009-2022</t>
        </is>
      </c>
      <c r="B500" s="1" t="n">
        <v>44894</v>
      </c>
      <c r="C500" s="1" t="n">
        <v>45357</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59266-2022</t>
        </is>
      </c>
      <c r="B501" s="1" t="n">
        <v>44904</v>
      </c>
      <c r="C501" s="1" t="n">
        <v>45357</v>
      </c>
      <c r="D501" t="inlineStr">
        <is>
          <t>JÄMTLANDS LÄN</t>
        </is>
      </c>
      <c r="E501" t="inlineStr">
        <is>
          <t>ÖSTERSUND</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59648-2022</t>
        </is>
      </c>
      <c r="B502" s="1" t="n">
        <v>44907</v>
      </c>
      <c r="C502" s="1" t="n">
        <v>45357</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59649-2022</t>
        </is>
      </c>
      <c r="B503" s="1" t="n">
        <v>44908</v>
      </c>
      <c r="C503" s="1" t="n">
        <v>45357</v>
      </c>
      <c r="D503" t="inlineStr">
        <is>
          <t>JÄMTLANDS LÄN</t>
        </is>
      </c>
      <c r="E503" t="inlineStr">
        <is>
          <t>ÖSTERSUND</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60174-2022</t>
        </is>
      </c>
      <c r="B504" s="1" t="n">
        <v>44910</v>
      </c>
      <c r="C504" s="1" t="n">
        <v>45357</v>
      </c>
      <c r="D504" t="inlineStr">
        <is>
          <t>JÄMTLANDS LÄN</t>
        </is>
      </c>
      <c r="E504" t="inlineStr">
        <is>
          <t>ÖSTERSUND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61256-2022</t>
        </is>
      </c>
      <c r="B505" s="1" t="n">
        <v>44909</v>
      </c>
      <c r="C505" s="1" t="n">
        <v>45357</v>
      </c>
      <c r="D505" t="inlineStr">
        <is>
          <t>JÄMTLANDS LÄN</t>
        </is>
      </c>
      <c r="E505" t="inlineStr">
        <is>
          <t>ÖSTERSUND</t>
        </is>
      </c>
      <c r="G505" t="n">
        <v>3.9</v>
      </c>
      <c r="H505" t="n">
        <v>0</v>
      </c>
      <c r="I505" t="n">
        <v>0</v>
      </c>
      <c r="J505" t="n">
        <v>0</v>
      </c>
      <c r="K505" t="n">
        <v>0</v>
      </c>
      <c r="L505" t="n">
        <v>0</v>
      </c>
      <c r="M505" t="n">
        <v>0</v>
      </c>
      <c r="N505" t="n">
        <v>0</v>
      </c>
      <c r="O505" t="n">
        <v>0</v>
      </c>
      <c r="P505" t="n">
        <v>0</v>
      </c>
      <c r="Q505" t="n">
        <v>0</v>
      </c>
      <c r="R505" s="2" t="inlineStr"/>
    </row>
    <row r="506" ht="15" customHeight="1">
      <c r="A506" t="inlineStr">
        <is>
          <t>A 60430-2022</t>
        </is>
      </c>
      <c r="B506" s="1" t="n">
        <v>44911</v>
      </c>
      <c r="C506" s="1" t="n">
        <v>45357</v>
      </c>
      <c r="D506" t="inlineStr">
        <is>
          <t>JÄMTLANDS LÄN</t>
        </is>
      </c>
      <c r="E506" t="inlineStr">
        <is>
          <t>ÖSTERSUND</t>
        </is>
      </c>
      <c r="F506" t="inlineStr">
        <is>
          <t>Övriga Aktiebolag</t>
        </is>
      </c>
      <c r="G506" t="n">
        <v>24.2</v>
      </c>
      <c r="H506" t="n">
        <v>0</v>
      </c>
      <c r="I506" t="n">
        <v>0</v>
      </c>
      <c r="J506" t="n">
        <v>0</v>
      </c>
      <c r="K506" t="n">
        <v>0</v>
      </c>
      <c r="L506" t="n">
        <v>0</v>
      </c>
      <c r="M506" t="n">
        <v>0</v>
      </c>
      <c r="N506" t="n">
        <v>0</v>
      </c>
      <c r="O506" t="n">
        <v>0</v>
      </c>
      <c r="P506" t="n">
        <v>0</v>
      </c>
      <c r="Q506" t="n">
        <v>0</v>
      </c>
      <c r="R506" s="2" t="inlineStr"/>
    </row>
    <row r="507" ht="15" customHeight="1">
      <c r="A507" t="inlineStr">
        <is>
          <t>A 60575-2022</t>
        </is>
      </c>
      <c r="B507" s="1" t="n">
        <v>44911</v>
      </c>
      <c r="C507" s="1" t="n">
        <v>45357</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60674-2022</t>
        </is>
      </c>
      <c r="B508" s="1" t="n">
        <v>44911</v>
      </c>
      <c r="C508" s="1" t="n">
        <v>45357</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60677-2022</t>
        </is>
      </c>
      <c r="B509" s="1" t="n">
        <v>44911</v>
      </c>
      <c r="C509" s="1" t="n">
        <v>45357</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60681-2022</t>
        </is>
      </c>
      <c r="B510" s="1" t="n">
        <v>44911</v>
      </c>
      <c r="C510" s="1" t="n">
        <v>45357</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60678-2022</t>
        </is>
      </c>
      <c r="B511" s="1" t="n">
        <v>44911</v>
      </c>
      <c r="C511" s="1" t="n">
        <v>45357</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60560-2022</t>
        </is>
      </c>
      <c r="B512" s="1" t="n">
        <v>44911</v>
      </c>
      <c r="C512" s="1" t="n">
        <v>45357</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60676-2022</t>
        </is>
      </c>
      <c r="B513" s="1" t="n">
        <v>44911</v>
      </c>
      <c r="C513" s="1" t="n">
        <v>45357</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60680-2022</t>
        </is>
      </c>
      <c r="B514" s="1" t="n">
        <v>44911</v>
      </c>
      <c r="C514" s="1" t="n">
        <v>45357</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60623-2022</t>
        </is>
      </c>
      <c r="B515" s="1" t="n">
        <v>44911</v>
      </c>
      <c r="C515" s="1" t="n">
        <v>45357</v>
      </c>
      <c r="D515" t="inlineStr">
        <is>
          <t>JÄMTLANDS LÄN</t>
        </is>
      </c>
      <c r="E515" t="inlineStr">
        <is>
          <t>ÖSTERSUND</t>
        </is>
      </c>
      <c r="G515" t="n">
        <v>10.9</v>
      </c>
      <c r="H515" t="n">
        <v>0</v>
      </c>
      <c r="I515" t="n">
        <v>0</v>
      </c>
      <c r="J515" t="n">
        <v>0</v>
      </c>
      <c r="K515" t="n">
        <v>0</v>
      </c>
      <c r="L515" t="n">
        <v>0</v>
      </c>
      <c r="M515" t="n">
        <v>0</v>
      </c>
      <c r="N515" t="n">
        <v>0</v>
      </c>
      <c r="O515" t="n">
        <v>0</v>
      </c>
      <c r="P515" t="n">
        <v>0</v>
      </c>
      <c r="Q515" t="n">
        <v>0</v>
      </c>
      <c r="R515" s="2" t="inlineStr"/>
    </row>
    <row r="516" ht="15" customHeight="1">
      <c r="A516" t="inlineStr">
        <is>
          <t>A 60675-2022</t>
        </is>
      </c>
      <c r="B516" s="1" t="n">
        <v>44911</v>
      </c>
      <c r="C516" s="1" t="n">
        <v>45357</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60679-2022</t>
        </is>
      </c>
      <c r="B517" s="1" t="n">
        <v>44911</v>
      </c>
      <c r="C517" s="1" t="n">
        <v>45357</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60767-2022</t>
        </is>
      </c>
      <c r="B518" s="1" t="n">
        <v>44914</v>
      </c>
      <c r="C518" s="1" t="n">
        <v>45357</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45357</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62040-2022</t>
        </is>
      </c>
      <c r="B520" s="1" t="n">
        <v>44918</v>
      </c>
      <c r="C520" s="1" t="n">
        <v>45357</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62043-2022</t>
        </is>
      </c>
      <c r="B521" s="1" t="n">
        <v>44918</v>
      </c>
      <c r="C521" s="1" t="n">
        <v>45357</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62227-2022</t>
        </is>
      </c>
      <c r="B522" s="1" t="n">
        <v>44922</v>
      </c>
      <c r="C522" s="1" t="n">
        <v>45357</v>
      </c>
      <c r="D522" t="inlineStr">
        <is>
          <t>JÄMTLANDS LÄN</t>
        </is>
      </c>
      <c r="E522" t="inlineStr">
        <is>
          <t>ÖSTERSUND</t>
        </is>
      </c>
      <c r="G522" t="n">
        <v>2.2</v>
      </c>
      <c r="H522" t="n">
        <v>0</v>
      </c>
      <c r="I522" t="n">
        <v>0</v>
      </c>
      <c r="J522" t="n">
        <v>0</v>
      </c>
      <c r="K522" t="n">
        <v>0</v>
      </c>
      <c r="L522" t="n">
        <v>0</v>
      </c>
      <c r="M522" t="n">
        <v>0</v>
      </c>
      <c r="N522" t="n">
        <v>0</v>
      </c>
      <c r="O522" t="n">
        <v>0</v>
      </c>
      <c r="P522" t="n">
        <v>0</v>
      </c>
      <c r="Q522" t="n">
        <v>0</v>
      </c>
      <c r="R522" s="2" t="inlineStr"/>
    </row>
    <row r="523" ht="15" customHeight="1">
      <c r="A523" t="inlineStr">
        <is>
          <t>A 62225-2022</t>
        </is>
      </c>
      <c r="B523" s="1" t="n">
        <v>44922</v>
      </c>
      <c r="C523" s="1" t="n">
        <v>45357</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62222-2022</t>
        </is>
      </c>
      <c r="B524" s="1" t="n">
        <v>44922</v>
      </c>
      <c r="C524" s="1" t="n">
        <v>45357</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296-2023</t>
        </is>
      </c>
      <c r="B525" s="1" t="n">
        <v>44922</v>
      </c>
      <c r="C525" s="1" t="n">
        <v>45357</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v>
      </c>
      <c r="C526" s="1" t="n">
        <v>45357</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257-2023</t>
        </is>
      </c>
      <c r="B527" s="1" t="n">
        <v>44928</v>
      </c>
      <c r="C527" s="1" t="n">
        <v>45357</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55-2023</t>
        </is>
      </c>
      <c r="B528" s="1" t="n">
        <v>44928</v>
      </c>
      <c r="C528" s="1" t="n">
        <v>45357</v>
      </c>
      <c r="D528" t="inlineStr">
        <is>
          <t>JÄMTLANDS LÄN</t>
        </is>
      </c>
      <c r="E528" t="inlineStr">
        <is>
          <t>ÖSTERSUND</t>
        </is>
      </c>
      <c r="G528" t="n">
        <v>4</v>
      </c>
      <c r="H528" t="n">
        <v>0</v>
      </c>
      <c r="I528" t="n">
        <v>0</v>
      </c>
      <c r="J528" t="n">
        <v>0</v>
      </c>
      <c r="K528" t="n">
        <v>0</v>
      </c>
      <c r="L528" t="n">
        <v>0</v>
      </c>
      <c r="M528" t="n">
        <v>0</v>
      </c>
      <c r="N528" t="n">
        <v>0</v>
      </c>
      <c r="O528" t="n">
        <v>0</v>
      </c>
      <c r="P528" t="n">
        <v>0</v>
      </c>
      <c r="Q528" t="n">
        <v>0</v>
      </c>
      <c r="R528" s="2" t="inlineStr"/>
    </row>
    <row r="529" ht="15" customHeight="1">
      <c r="A529" t="inlineStr">
        <is>
          <t>A 1234-2023</t>
        </is>
      </c>
      <c r="B529" s="1" t="n">
        <v>44936</v>
      </c>
      <c r="C529" s="1" t="n">
        <v>45357</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45357</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2420-2023</t>
        </is>
      </c>
      <c r="B531" s="1" t="n">
        <v>44943</v>
      </c>
      <c r="C531" s="1" t="n">
        <v>45357</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3339-2023</t>
        </is>
      </c>
      <c r="B532" s="1" t="n">
        <v>44949</v>
      </c>
      <c r="C532" s="1" t="n">
        <v>45357</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45357</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3949-2023</t>
        </is>
      </c>
      <c r="B534" s="1" t="n">
        <v>44950</v>
      </c>
      <c r="C534" s="1" t="n">
        <v>45357</v>
      </c>
      <c r="D534" t="inlineStr">
        <is>
          <t>JÄMTLANDS LÄN</t>
        </is>
      </c>
      <c r="E534" t="inlineStr">
        <is>
          <t>ÖSTERSUND</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4134-2023</t>
        </is>
      </c>
      <c r="B535" s="1" t="n">
        <v>44952</v>
      </c>
      <c r="C535" s="1" t="n">
        <v>45357</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4135-2023</t>
        </is>
      </c>
      <c r="B536" s="1" t="n">
        <v>44952</v>
      </c>
      <c r="C536" s="1" t="n">
        <v>45357</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4136-2023</t>
        </is>
      </c>
      <c r="B537" s="1" t="n">
        <v>44952</v>
      </c>
      <c r="C537" s="1" t="n">
        <v>45357</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4345-2023</t>
        </is>
      </c>
      <c r="B538" s="1" t="n">
        <v>44954</v>
      </c>
      <c r="C538" s="1" t="n">
        <v>45357</v>
      </c>
      <c r="D538" t="inlineStr">
        <is>
          <t>JÄMTLANDS LÄN</t>
        </is>
      </c>
      <c r="E538" t="inlineStr">
        <is>
          <t>ÖSTERSUND</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5197-2023</t>
        </is>
      </c>
      <c r="B539" s="1" t="n">
        <v>44953</v>
      </c>
      <c r="C539" s="1" t="n">
        <v>45357</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4916-2023</t>
        </is>
      </c>
      <c r="B540" s="1" t="n">
        <v>44956</v>
      </c>
      <c r="C540" s="1" t="n">
        <v>45357</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4872-2023</t>
        </is>
      </c>
      <c r="B541" s="1" t="n">
        <v>44957</v>
      </c>
      <c r="C541" s="1" t="n">
        <v>45357</v>
      </c>
      <c r="D541" t="inlineStr">
        <is>
          <t>JÄMTLANDS LÄN</t>
        </is>
      </c>
      <c r="E541" t="inlineStr">
        <is>
          <t>ÖSTERSUND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5951-2023</t>
        </is>
      </c>
      <c r="B542" s="1" t="n">
        <v>44963</v>
      </c>
      <c r="C542" s="1" t="n">
        <v>45357</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5950-2023</t>
        </is>
      </c>
      <c r="B543" s="1" t="n">
        <v>44963</v>
      </c>
      <c r="C543" s="1" t="n">
        <v>45357</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6341-2023</t>
        </is>
      </c>
      <c r="B544" s="1" t="n">
        <v>44965</v>
      </c>
      <c r="C544" s="1" t="n">
        <v>45357</v>
      </c>
      <c r="D544" t="inlineStr">
        <is>
          <t>JÄMTLANDS LÄN</t>
        </is>
      </c>
      <c r="E544" t="inlineStr">
        <is>
          <t>ÖSTERSUND</t>
        </is>
      </c>
      <c r="G544" t="n">
        <v>6</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44971</v>
      </c>
      <c r="C545" s="1" t="n">
        <v>45357</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7983-2023</t>
        </is>
      </c>
      <c r="B546" s="1" t="n">
        <v>44970</v>
      </c>
      <c r="C546" s="1" t="n">
        <v>45357</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8223-2023</t>
        </is>
      </c>
      <c r="B547" s="1" t="n">
        <v>44971</v>
      </c>
      <c r="C547" s="1" t="n">
        <v>45357</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8423-2023</t>
        </is>
      </c>
      <c r="B548" s="1" t="n">
        <v>44977</v>
      </c>
      <c r="C548" s="1" t="n">
        <v>45357</v>
      </c>
      <c r="D548" t="inlineStr">
        <is>
          <t>JÄMTLANDS LÄN</t>
        </is>
      </c>
      <c r="E548" t="inlineStr">
        <is>
          <t>ÖSTERSUND</t>
        </is>
      </c>
      <c r="F548" t="inlineStr">
        <is>
          <t>Övriga Aktiebolag</t>
        </is>
      </c>
      <c r="G548" t="n">
        <v>53.1</v>
      </c>
      <c r="H548" t="n">
        <v>0</v>
      </c>
      <c r="I548" t="n">
        <v>0</v>
      </c>
      <c r="J548" t="n">
        <v>0</v>
      </c>
      <c r="K548" t="n">
        <v>0</v>
      </c>
      <c r="L548" t="n">
        <v>0</v>
      </c>
      <c r="M548" t="n">
        <v>0</v>
      </c>
      <c r="N548" t="n">
        <v>0</v>
      </c>
      <c r="O548" t="n">
        <v>0</v>
      </c>
      <c r="P548" t="n">
        <v>0</v>
      </c>
      <c r="Q548" t="n">
        <v>0</v>
      </c>
      <c r="R548" s="2" t="inlineStr"/>
    </row>
    <row r="549" ht="15" customHeight="1">
      <c r="A549" t="inlineStr">
        <is>
          <t>A 8675-2023</t>
        </is>
      </c>
      <c r="B549" s="1" t="n">
        <v>44978</v>
      </c>
      <c r="C549" s="1" t="n">
        <v>45357</v>
      </c>
      <c r="D549" t="inlineStr">
        <is>
          <t>JÄMTLANDS LÄN</t>
        </is>
      </c>
      <c r="E549" t="inlineStr">
        <is>
          <t>ÖSTERSUND</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10306-2023</t>
        </is>
      </c>
      <c r="B550" s="1" t="n">
        <v>44986</v>
      </c>
      <c r="C550" s="1" t="n">
        <v>45357</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10308-2023</t>
        </is>
      </c>
      <c r="B551" s="1" t="n">
        <v>44986</v>
      </c>
      <c r="C551" s="1" t="n">
        <v>45357</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10307-2023</t>
        </is>
      </c>
      <c r="B552" s="1" t="n">
        <v>44986</v>
      </c>
      <c r="C552" s="1" t="n">
        <v>45357</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10315-2023</t>
        </is>
      </c>
      <c r="B553" s="1" t="n">
        <v>44986</v>
      </c>
      <c r="C553" s="1" t="n">
        <v>45357</v>
      </c>
      <c r="D553" t="inlineStr">
        <is>
          <t>JÄMTLANDS LÄN</t>
        </is>
      </c>
      <c r="E553" t="inlineStr">
        <is>
          <t>ÖSTERSUND</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10305-2023</t>
        </is>
      </c>
      <c r="B554" s="1" t="n">
        <v>44986</v>
      </c>
      <c r="C554" s="1" t="n">
        <v>45357</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11356-2023</t>
        </is>
      </c>
      <c r="B555" s="1" t="n">
        <v>44993</v>
      </c>
      <c r="C555" s="1" t="n">
        <v>45357</v>
      </c>
      <c r="D555" t="inlineStr">
        <is>
          <t>JÄMTLANDS LÄN</t>
        </is>
      </c>
      <c r="E555" t="inlineStr">
        <is>
          <t>ÖSTERSUND</t>
        </is>
      </c>
      <c r="G555" t="n">
        <v>8.1</v>
      </c>
      <c r="H555" t="n">
        <v>0</v>
      </c>
      <c r="I555" t="n">
        <v>0</v>
      </c>
      <c r="J555" t="n">
        <v>0</v>
      </c>
      <c r="K555" t="n">
        <v>0</v>
      </c>
      <c r="L555" t="n">
        <v>0</v>
      </c>
      <c r="M555" t="n">
        <v>0</v>
      </c>
      <c r="N555" t="n">
        <v>0</v>
      </c>
      <c r="O555" t="n">
        <v>0</v>
      </c>
      <c r="P555" t="n">
        <v>0</v>
      </c>
      <c r="Q555" t="n">
        <v>0</v>
      </c>
      <c r="R555" s="2" t="inlineStr"/>
    </row>
    <row r="556" ht="15" customHeight="1">
      <c r="A556" t="inlineStr">
        <is>
          <t>A 12821-2023</t>
        </is>
      </c>
      <c r="B556" s="1" t="n">
        <v>45000</v>
      </c>
      <c r="C556" s="1" t="n">
        <v>45357</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45357</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13148-2023</t>
        </is>
      </c>
      <c r="B558" s="1" t="n">
        <v>45002</v>
      </c>
      <c r="C558" s="1" t="n">
        <v>45357</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13152-2023</t>
        </is>
      </c>
      <c r="B559" s="1" t="n">
        <v>45002</v>
      </c>
      <c r="C559" s="1" t="n">
        <v>45357</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13282-2023</t>
        </is>
      </c>
      <c r="B560" s="1" t="n">
        <v>45004</v>
      </c>
      <c r="C560" s="1" t="n">
        <v>45357</v>
      </c>
      <c r="D560" t="inlineStr">
        <is>
          <t>JÄMTLANDS LÄN</t>
        </is>
      </c>
      <c r="E560" t="inlineStr">
        <is>
          <t>ÖSTERSUND</t>
        </is>
      </c>
      <c r="G560" t="n">
        <v>28.5</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45357</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14520-2023</t>
        </is>
      </c>
      <c r="B562" s="1" t="n">
        <v>45012</v>
      </c>
      <c r="C562" s="1" t="n">
        <v>45357</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45357</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14521-2023</t>
        </is>
      </c>
      <c r="B564" s="1" t="n">
        <v>45013</v>
      </c>
      <c r="C564" s="1" t="n">
        <v>45357</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45357</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15984-2023</t>
        </is>
      </c>
      <c r="B566" s="1" t="n">
        <v>45022</v>
      </c>
      <c r="C566" s="1" t="n">
        <v>45357</v>
      </c>
      <c r="D566" t="inlineStr">
        <is>
          <t>JÄMTLANDS LÄN</t>
        </is>
      </c>
      <c r="E566" t="inlineStr">
        <is>
          <t>ÖSTERSUND</t>
        </is>
      </c>
      <c r="F566" t="inlineStr">
        <is>
          <t>SCA</t>
        </is>
      </c>
      <c r="G566" t="n">
        <v>10.1</v>
      </c>
      <c r="H566" t="n">
        <v>0</v>
      </c>
      <c r="I566" t="n">
        <v>0</v>
      </c>
      <c r="J566" t="n">
        <v>0</v>
      </c>
      <c r="K566" t="n">
        <v>0</v>
      </c>
      <c r="L566" t="n">
        <v>0</v>
      </c>
      <c r="M566" t="n">
        <v>0</v>
      </c>
      <c r="N566" t="n">
        <v>0</v>
      </c>
      <c r="O566" t="n">
        <v>0</v>
      </c>
      <c r="P566" t="n">
        <v>0</v>
      </c>
      <c r="Q566" t="n">
        <v>0</v>
      </c>
      <c r="R566" s="2" t="inlineStr"/>
    </row>
    <row r="567" ht="15" customHeight="1">
      <c r="A567" t="inlineStr">
        <is>
          <t>A 16666-2023</t>
        </is>
      </c>
      <c r="B567" s="1" t="n">
        <v>45028</v>
      </c>
      <c r="C567" s="1" t="n">
        <v>45357</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45357</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17225-2023</t>
        </is>
      </c>
      <c r="B569" s="1" t="n">
        <v>45035</v>
      </c>
      <c r="C569" s="1" t="n">
        <v>45357</v>
      </c>
      <c r="D569" t="inlineStr">
        <is>
          <t>JÄMTLANDS LÄN</t>
        </is>
      </c>
      <c r="E569" t="inlineStr">
        <is>
          <t>ÖSTERSUND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19573-2023</t>
        </is>
      </c>
      <c r="B570" s="1" t="n">
        <v>45049</v>
      </c>
      <c r="C570" s="1" t="n">
        <v>45357</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19750-2023</t>
        </is>
      </c>
      <c r="B571" s="1" t="n">
        <v>45050</v>
      </c>
      <c r="C571" s="1" t="n">
        <v>45357</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20606-2023</t>
        </is>
      </c>
      <c r="B572" s="1" t="n">
        <v>45057</v>
      </c>
      <c r="C572" s="1" t="n">
        <v>45357</v>
      </c>
      <c r="D572" t="inlineStr">
        <is>
          <t>JÄMTLANDS LÄN</t>
        </is>
      </c>
      <c r="E572" t="inlineStr">
        <is>
          <t>ÖSTERSUND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20634-2023</t>
        </is>
      </c>
      <c r="B573" s="1" t="n">
        <v>45058</v>
      </c>
      <c r="C573" s="1" t="n">
        <v>45357</v>
      </c>
      <c r="D573" t="inlineStr">
        <is>
          <t>JÄMTLANDS LÄN</t>
        </is>
      </c>
      <c r="E573" t="inlineStr">
        <is>
          <t>ÖSTERSUND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20588-2023</t>
        </is>
      </c>
      <c r="B574" s="1" t="n">
        <v>45057</v>
      </c>
      <c r="C574" s="1" t="n">
        <v>45357</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20635-2023</t>
        </is>
      </c>
      <c r="B575" s="1" t="n">
        <v>45058</v>
      </c>
      <c r="C575" s="1" t="n">
        <v>45357</v>
      </c>
      <c r="D575" t="inlineStr">
        <is>
          <t>JÄMTLANDS LÄN</t>
        </is>
      </c>
      <c r="E575" t="inlineStr">
        <is>
          <t>ÖSTERSUND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20633-2023</t>
        </is>
      </c>
      <c r="B576" s="1" t="n">
        <v>45058</v>
      </c>
      <c r="C576" s="1" t="n">
        <v>45357</v>
      </c>
      <c r="D576" t="inlineStr">
        <is>
          <t>JÄMTLANDS LÄN</t>
        </is>
      </c>
      <c r="E576" t="inlineStr">
        <is>
          <t>ÖSTERSUND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20636-2023</t>
        </is>
      </c>
      <c r="B577" s="1" t="n">
        <v>45058</v>
      </c>
      <c r="C577" s="1" t="n">
        <v>45357</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24515-2023</t>
        </is>
      </c>
      <c r="B578" s="1" t="n">
        <v>45077</v>
      </c>
      <c r="C578" s="1" t="n">
        <v>45357</v>
      </c>
      <c r="D578" t="inlineStr">
        <is>
          <t>JÄMTLANDS LÄN</t>
        </is>
      </c>
      <c r="E578" t="inlineStr">
        <is>
          <t>ÖSTERSUND</t>
        </is>
      </c>
      <c r="G578" t="n">
        <v>27.8</v>
      </c>
      <c r="H578" t="n">
        <v>0</v>
      </c>
      <c r="I578" t="n">
        <v>0</v>
      </c>
      <c r="J578" t="n">
        <v>0</v>
      </c>
      <c r="K578" t="n">
        <v>0</v>
      </c>
      <c r="L578" t="n">
        <v>0</v>
      </c>
      <c r="M578" t="n">
        <v>0</v>
      </c>
      <c r="N578" t="n">
        <v>0</v>
      </c>
      <c r="O578" t="n">
        <v>0</v>
      </c>
      <c r="P578" t="n">
        <v>0</v>
      </c>
      <c r="Q578" t="n">
        <v>0</v>
      </c>
      <c r="R578" s="2" t="inlineStr"/>
    </row>
    <row r="579" ht="15" customHeight="1">
      <c r="A579" t="inlineStr">
        <is>
          <t>A 24396-2023</t>
        </is>
      </c>
      <c r="B579" s="1" t="n">
        <v>45082</v>
      </c>
      <c r="C579" s="1" t="n">
        <v>45357</v>
      </c>
      <c r="D579" t="inlineStr">
        <is>
          <t>JÄMTLANDS LÄN</t>
        </is>
      </c>
      <c r="E579" t="inlineStr">
        <is>
          <t>ÖSTERSUND</t>
        </is>
      </c>
      <c r="F579" t="inlineStr">
        <is>
          <t>Kyrkan</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25727-2023</t>
        </is>
      </c>
      <c r="B580" s="1" t="n">
        <v>45084</v>
      </c>
      <c r="C580" s="1" t="n">
        <v>45357</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25866-2023</t>
        </is>
      </c>
      <c r="B581" s="1" t="n">
        <v>45084</v>
      </c>
      <c r="C581" s="1" t="n">
        <v>45357</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25496-2023</t>
        </is>
      </c>
      <c r="B582" s="1" t="n">
        <v>45089</v>
      </c>
      <c r="C582" s="1" t="n">
        <v>45357</v>
      </c>
      <c r="D582" t="inlineStr">
        <is>
          <t>JÄMTLANDS LÄN</t>
        </is>
      </c>
      <c r="E582" t="inlineStr">
        <is>
          <t>ÖSTERSUND</t>
        </is>
      </c>
      <c r="F582" t="inlineStr">
        <is>
          <t>Kyrkan</t>
        </is>
      </c>
      <c r="G582" t="n">
        <v>5.7</v>
      </c>
      <c r="H582" t="n">
        <v>0</v>
      </c>
      <c r="I582" t="n">
        <v>0</v>
      </c>
      <c r="J582" t="n">
        <v>0</v>
      </c>
      <c r="K582" t="n">
        <v>0</v>
      </c>
      <c r="L582" t="n">
        <v>0</v>
      </c>
      <c r="M582" t="n">
        <v>0</v>
      </c>
      <c r="N582" t="n">
        <v>0</v>
      </c>
      <c r="O582" t="n">
        <v>0</v>
      </c>
      <c r="P582" t="n">
        <v>0</v>
      </c>
      <c r="Q582" t="n">
        <v>0</v>
      </c>
      <c r="R582" s="2" t="inlineStr"/>
    </row>
    <row r="583" ht="15" customHeight="1">
      <c r="A583" t="inlineStr">
        <is>
          <t>A 25535-2023</t>
        </is>
      </c>
      <c r="B583" s="1" t="n">
        <v>45089</v>
      </c>
      <c r="C583" s="1" t="n">
        <v>45357</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25514-2023</t>
        </is>
      </c>
      <c r="B584" s="1" t="n">
        <v>45089</v>
      </c>
      <c r="C584" s="1" t="n">
        <v>45357</v>
      </c>
      <c r="D584" t="inlineStr">
        <is>
          <t>JÄMTLANDS LÄN</t>
        </is>
      </c>
      <c r="E584" t="inlineStr">
        <is>
          <t>ÖSTERSUND</t>
        </is>
      </c>
      <c r="F584" t="inlineStr">
        <is>
          <t>Kyrkan</t>
        </is>
      </c>
      <c r="G584" t="n">
        <v>6.7</v>
      </c>
      <c r="H584" t="n">
        <v>0</v>
      </c>
      <c r="I584" t="n">
        <v>0</v>
      </c>
      <c r="J584" t="n">
        <v>0</v>
      </c>
      <c r="K584" t="n">
        <v>0</v>
      </c>
      <c r="L584" t="n">
        <v>0</v>
      </c>
      <c r="M584" t="n">
        <v>0</v>
      </c>
      <c r="N584" t="n">
        <v>0</v>
      </c>
      <c r="O584" t="n">
        <v>0</v>
      </c>
      <c r="P584" t="n">
        <v>0</v>
      </c>
      <c r="Q584" t="n">
        <v>0</v>
      </c>
      <c r="R584" s="2" t="inlineStr"/>
    </row>
    <row r="585" ht="15" customHeight="1">
      <c r="A585" t="inlineStr">
        <is>
          <t>A 26565-2023</t>
        </is>
      </c>
      <c r="B585" s="1" t="n">
        <v>45089</v>
      </c>
      <c r="C585" s="1" t="n">
        <v>45357</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26521-2023</t>
        </is>
      </c>
      <c r="B586" s="1" t="n">
        <v>45089</v>
      </c>
      <c r="C586" s="1" t="n">
        <v>45357</v>
      </c>
      <c r="D586" t="inlineStr">
        <is>
          <t>JÄMTLANDS LÄN</t>
        </is>
      </c>
      <c r="E586" t="inlineStr">
        <is>
          <t>ÖSTERSUND</t>
        </is>
      </c>
      <c r="G586" t="n">
        <v>11.7</v>
      </c>
      <c r="H586" t="n">
        <v>0</v>
      </c>
      <c r="I586" t="n">
        <v>0</v>
      </c>
      <c r="J586" t="n">
        <v>0</v>
      </c>
      <c r="K586" t="n">
        <v>0</v>
      </c>
      <c r="L586" t="n">
        <v>0</v>
      </c>
      <c r="M586" t="n">
        <v>0</v>
      </c>
      <c r="N586" t="n">
        <v>0</v>
      </c>
      <c r="O586" t="n">
        <v>0</v>
      </c>
      <c r="P586" t="n">
        <v>0</v>
      </c>
      <c r="Q586" t="n">
        <v>0</v>
      </c>
      <c r="R586" s="2" t="inlineStr"/>
    </row>
    <row r="587" ht="15" customHeight="1">
      <c r="A587" t="inlineStr">
        <is>
          <t>A 25789-2023</t>
        </is>
      </c>
      <c r="B587" s="1" t="n">
        <v>45090</v>
      </c>
      <c r="C587" s="1" t="n">
        <v>45357</v>
      </c>
      <c r="D587" t="inlineStr">
        <is>
          <t>JÄMTLANDS LÄN</t>
        </is>
      </c>
      <c r="E587" t="inlineStr">
        <is>
          <t>ÖSTERSUND</t>
        </is>
      </c>
      <c r="G587" t="n">
        <v>3.1</v>
      </c>
      <c r="H587" t="n">
        <v>0</v>
      </c>
      <c r="I587" t="n">
        <v>0</v>
      </c>
      <c r="J587" t="n">
        <v>0</v>
      </c>
      <c r="K587" t="n">
        <v>0</v>
      </c>
      <c r="L587" t="n">
        <v>0</v>
      </c>
      <c r="M587" t="n">
        <v>0</v>
      </c>
      <c r="N587" t="n">
        <v>0</v>
      </c>
      <c r="O587" t="n">
        <v>0</v>
      </c>
      <c r="P587" t="n">
        <v>0</v>
      </c>
      <c r="Q587" t="n">
        <v>0</v>
      </c>
      <c r="R587" s="2" t="inlineStr"/>
    </row>
    <row r="588" ht="15" customHeight="1">
      <c r="A588" t="inlineStr">
        <is>
          <t>A 26012-2023</t>
        </is>
      </c>
      <c r="B588" s="1" t="n">
        <v>45091</v>
      </c>
      <c r="C588" s="1" t="n">
        <v>45357</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27294-2023</t>
        </is>
      </c>
      <c r="B589" s="1" t="n">
        <v>45092</v>
      </c>
      <c r="C589" s="1" t="n">
        <v>45357</v>
      </c>
      <c r="D589" t="inlineStr">
        <is>
          <t>JÄMTLANDS LÄN</t>
        </is>
      </c>
      <c r="E589" t="inlineStr">
        <is>
          <t>ÖSTERSUND</t>
        </is>
      </c>
      <c r="G589" t="n">
        <v>2.8</v>
      </c>
      <c r="H589" t="n">
        <v>0</v>
      </c>
      <c r="I589" t="n">
        <v>0</v>
      </c>
      <c r="J589" t="n">
        <v>0</v>
      </c>
      <c r="K589" t="n">
        <v>0</v>
      </c>
      <c r="L589" t="n">
        <v>0</v>
      </c>
      <c r="M589" t="n">
        <v>0</v>
      </c>
      <c r="N589" t="n">
        <v>0</v>
      </c>
      <c r="O589" t="n">
        <v>0</v>
      </c>
      <c r="P589" t="n">
        <v>0</v>
      </c>
      <c r="Q589" t="n">
        <v>0</v>
      </c>
      <c r="R589" s="2" t="inlineStr"/>
    </row>
    <row r="590" ht="15" customHeight="1">
      <c r="A590" t="inlineStr">
        <is>
          <t>A 27004-2023</t>
        </is>
      </c>
      <c r="B590" s="1" t="n">
        <v>45094</v>
      </c>
      <c r="C590" s="1" t="n">
        <v>45357</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27124-2023</t>
        </is>
      </c>
      <c r="B591" s="1" t="n">
        <v>45096</v>
      </c>
      <c r="C591" s="1" t="n">
        <v>45357</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27118-2023</t>
        </is>
      </c>
      <c r="B592" s="1" t="n">
        <v>45096</v>
      </c>
      <c r="C592" s="1" t="n">
        <v>45357</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27130-2023</t>
        </is>
      </c>
      <c r="B593" s="1" t="n">
        <v>45096</v>
      </c>
      <c r="C593" s="1" t="n">
        <v>45357</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29548-2023</t>
        </is>
      </c>
      <c r="B594" s="1" t="n">
        <v>45098</v>
      </c>
      <c r="C594" s="1" t="n">
        <v>45357</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30244-2023</t>
        </is>
      </c>
      <c r="B595" s="1" t="n">
        <v>45099</v>
      </c>
      <c r="C595" s="1" t="n">
        <v>45357</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30262-2023</t>
        </is>
      </c>
      <c r="B596" s="1" t="n">
        <v>45099</v>
      </c>
      <c r="C596" s="1" t="n">
        <v>45357</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30255-2023</t>
        </is>
      </c>
      <c r="B597" s="1" t="n">
        <v>45099</v>
      </c>
      <c r="C597" s="1" t="n">
        <v>45357</v>
      </c>
      <c r="D597" t="inlineStr">
        <is>
          <t>JÄMTLANDS LÄN</t>
        </is>
      </c>
      <c r="E597" t="inlineStr">
        <is>
          <t>ÖSTERSUND</t>
        </is>
      </c>
      <c r="G597" t="n">
        <v>20.2</v>
      </c>
      <c r="H597" t="n">
        <v>0</v>
      </c>
      <c r="I597" t="n">
        <v>0</v>
      </c>
      <c r="J597" t="n">
        <v>0</v>
      </c>
      <c r="K597" t="n">
        <v>0</v>
      </c>
      <c r="L597" t="n">
        <v>0</v>
      </c>
      <c r="M597" t="n">
        <v>0</v>
      </c>
      <c r="N597" t="n">
        <v>0</v>
      </c>
      <c r="O597" t="n">
        <v>0</v>
      </c>
      <c r="P597" t="n">
        <v>0</v>
      </c>
      <c r="Q597" t="n">
        <v>0</v>
      </c>
      <c r="R597" s="2" t="inlineStr"/>
    </row>
    <row r="598" ht="15" customHeight="1">
      <c r="A598" t="inlineStr">
        <is>
          <t>A 30264-2023</t>
        </is>
      </c>
      <c r="B598" s="1" t="n">
        <v>45099</v>
      </c>
      <c r="C598" s="1" t="n">
        <v>45357</v>
      </c>
      <c r="D598" t="inlineStr">
        <is>
          <t>JÄMTLANDS LÄN</t>
        </is>
      </c>
      <c r="E598" t="inlineStr">
        <is>
          <t>ÖSTERSUND</t>
        </is>
      </c>
      <c r="G598" t="n">
        <v>10</v>
      </c>
      <c r="H598" t="n">
        <v>0</v>
      </c>
      <c r="I598" t="n">
        <v>0</v>
      </c>
      <c r="J598" t="n">
        <v>0</v>
      </c>
      <c r="K598" t="n">
        <v>0</v>
      </c>
      <c r="L598" t="n">
        <v>0</v>
      </c>
      <c r="M598" t="n">
        <v>0</v>
      </c>
      <c r="N598" t="n">
        <v>0</v>
      </c>
      <c r="O598" t="n">
        <v>0</v>
      </c>
      <c r="P598" t="n">
        <v>0</v>
      </c>
      <c r="Q598" t="n">
        <v>0</v>
      </c>
      <c r="R598" s="2" t="inlineStr"/>
    </row>
    <row r="599" ht="15" customHeight="1">
      <c r="A599" t="inlineStr">
        <is>
          <t>A 30206-2023</t>
        </is>
      </c>
      <c r="B599" s="1" t="n">
        <v>45099</v>
      </c>
      <c r="C599" s="1" t="n">
        <v>45357</v>
      </c>
      <c r="D599" t="inlineStr">
        <is>
          <t>JÄMTLANDS LÄN</t>
        </is>
      </c>
      <c r="E599" t="inlineStr">
        <is>
          <t>ÖSTERSUND</t>
        </is>
      </c>
      <c r="G599" t="n">
        <v>3.9</v>
      </c>
      <c r="H599" t="n">
        <v>0</v>
      </c>
      <c r="I599" t="n">
        <v>0</v>
      </c>
      <c r="J599" t="n">
        <v>0</v>
      </c>
      <c r="K599" t="n">
        <v>0</v>
      </c>
      <c r="L599" t="n">
        <v>0</v>
      </c>
      <c r="M599" t="n">
        <v>0</v>
      </c>
      <c r="N599" t="n">
        <v>0</v>
      </c>
      <c r="O599" t="n">
        <v>0</v>
      </c>
      <c r="P599" t="n">
        <v>0</v>
      </c>
      <c r="Q599" t="n">
        <v>0</v>
      </c>
      <c r="R599" s="2" t="inlineStr"/>
    </row>
    <row r="600" ht="15" customHeight="1">
      <c r="A600" t="inlineStr">
        <is>
          <t>A 30236-2023</t>
        </is>
      </c>
      <c r="B600" s="1" t="n">
        <v>45099</v>
      </c>
      <c r="C600" s="1" t="n">
        <v>45357</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28747-2023</t>
        </is>
      </c>
      <c r="B601" s="1" t="n">
        <v>45103</v>
      </c>
      <c r="C601" s="1" t="n">
        <v>45357</v>
      </c>
      <c r="D601" t="inlineStr">
        <is>
          <t>JÄMTLANDS LÄN</t>
        </is>
      </c>
      <c r="E601" t="inlineStr">
        <is>
          <t>ÖSTERSUND</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31870-2023</t>
        </is>
      </c>
      <c r="B602" s="1" t="n">
        <v>45106</v>
      </c>
      <c r="C602" s="1" t="n">
        <v>45357</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29703-2023</t>
        </is>
      </c>
      <c r="B603" s="1" t="n">
        <v>45107</v>
      </c>
      <c r="C603" s="1" t="n">
        <v>45357</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29682-2023</t>
        </is>
      </c>
      <c r="B604" s="1" t="n">
        <v>45107</v>
      </c>
      <c r="C604" s="1" t="n">
        <v>45357</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30602-2023</t>
        </is>
      </c>
      <c r="B605" s="1" t="n">
        <v>45112</v>
      </c>
      <c r="C605" s="1" t="n">
        <v>45357</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31551-2023</t>
        </is>
      </c>
      <c r="B606" s="1" t="n">
        <v>45117</v>
      </c>
      <c r="C606" s="1" t="n">
        <v>45357</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31600-2023</t>
        </is>
      </c>
      <c r="B607" s="1" t="n">
        <v>45117</v>
      </c>
      <c r="C607" s="1" t="n">
        <v>45357</v>
      </c>
      <c r="D607" t="inlineStr">
        <is>
          <t>JÄMTLANDS LÄN</t>
        </is>
      </c>
      <c r="E607" t="inlineStr">
        <is>
          <t>ÖSTERSUND</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31549-2023</t>
        </is>
      </c>
      <c r="B608" s="1" t="n">
        <v>45117</v>
      </c>
      <c r="C608" s="1" t="n">
        <v>45357</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33501-2023</t>
        </is>
      </c>
      <c r="B609" s="1" t="n">
        <v>45118</v>
      </c>
      <c r="C609" s="1" t="n">
        <v>45357</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33502-2023</t>
        </is>
      </c>
      <c r="B610" s="1" t="n">
        <v>45118</v>
      </c>
      <c r="C610" s="1" t="n">
        <v>45357</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32568-2023</t>
        </is>
      </c>
      <c r="B611" s="1" t="n">
        <v>45121</v>
      </c>
      <c r="C611" s="1" t="n">
        <v>45357</v>
      </c>
      <c r="D611" t="inlineStr">
        <is>
          <t>JÄMTLANDS LÄN</t>
        </is>
      </c>
      <c r="E611" t="inlineStr">
        <is>
          <t>ÖSTERSUND</t>
        </is>
      </c>
      <c r="G611" t="n">
        <v>14.9</v>
      </c>
      <c r="H611" t="n">
        <v>0</v>
      </c>
      <c r="I611" t="n">
        <v>0</v>
      </c>
      <c r="J611" t="n">
        <v>0</v>
      </c>
      <c r="K611" t="n">
        <v>0</v>
      </c>
      <c r="L611" t="n">
        <v>0</v>
      </c>
      <c r="M611" t="n">
        <v>0</v>
      </c>
      <c r="N611" t="n">
        <v>0</v>
      </c>
      <c r="O611" t="n">
        <v>0</v>
      </c>
      <c r="P611" t="n">
        <v>0</v>
      </c>
      <c r="Q611" t="n">
        <v>0</v>
      </c>
      <c r="R611" s="2" t="inlineStr"/>
    </row>
    <row r="612" ht="15" customHeight="1">
      <c r="A612" t="inlineStr">
        <is>
          <t>A 34052-2023</t>
        </is>
      </c>
      <c r="B612" s="1" t="n">
        <v>45125</v>
      </c>
      <c r="C612" s="1" t="n">
        <v>45357</v>
      </c>
      <c r="D612" t="inlineStr">
        <is>
          <t>JÄMTLANDS LÄN</t>
        </is>
      </c>
      <c r="E612" t="inlineStr">
        <is>
          <t>ÖSTERSUND</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33875-2023</t>
        </is>
      </c>
      <c r="B613" s="1" t="n">
        <v>45134</v>
      </c>
      <c r="C613" s="1" t="n">
        <v>45357</v>
      </c>
      <c r="D613" t="inlineStr">
        <is>
          <t>JÄMTLANDS LÄN</t>
        </is>
      </c>
      <c r="E613" t="inlineStr">
        <is>
          <t>ÖSTERSUND</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34482-2023</t>
        </is>
      </c>
      <c r="B614" s="1" t="n">
        <v>45140</v>
      </c>
      <c r="C614" s="1" t="n">
        <v>45357</v>
      </c>
      <c r="D614" t="inlineStr">
        <is>
          <t>JÄMTLANDS LÄN</t>
        </is>
      </c>
      <c r="E614" t="inlineStr">
        <is>
          <t>ÖSTERSUND</t>
        </is>
      </c>
      <c r="F614" t="inlineStr">
        <is>
          <t>SCA</t>
        </is>
      </c>
      <c r="G614" t="n">
        <v>50</v>
      </c>
      <c r="H614" t="n">
        <v>0</v>
      </c>
      <c r="I614" t="n">
        <v>0</v>
      </c>
      <c r="J614" t="n">
        <v>0</v>
      </c>
      <c r="K614" t="n">
        <v>0</v>
      </c>
      <c r="L614" t="n">
        <v>0</v>
      </c>
      <c r="M614" t="n">
        <v>0</v>
      </c>
      <c r="N614" t="n">
        <v>0</v>
      </c>
      <c r="O614" t="n">
        <v>0</v>
      </c>
      <c r="P614" t="n">
        <v>0</v>
      </c>
      <c r="Q614" t="n">
        <v>0</v>
      </c>
      <c r="R614" s="2" t="inlineStr"/>
    </row>
    <row r="615" ht="15" customHeight="1">
      <c r="A615" t="inlineStr">
        <is>
          <t>A 34688-2023</t>
        </is>
      </c>
      <c r="B615" s="1" t="n">
        <v>45141</v>
      </c>
      <c r="C615" s="1" t="n">
        <v>45357</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36406-2023</t>
        </is>
      </c>
      <c r="B616" s="1" t="n">
        <v>45149</v>
      </c>
      <c r="C616" s="1" t="n">
        <v>45357</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37140-2023</t>
        </is>
      </c>
      <c r="B617" s="1" t="n">
        <v>45154</v>
      </c>
      <c r="C617" s="1" t="n">
        <v>45357</v>
      </c>
      <c r="D617" t="inlineStr">
        <is>
          <t>JÄMTLANDS LÄN</t>
        </is>
      </c>
      <c r="E617" t="inlineStr">
        <is>
          <t>ÖSTERSUND</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37597-2023</t>
        </is>
      </c>
      <c r="B618" s="1" t="n">
        <v>45159</v>
      </c>
      <c r="C618" s="1" t="n">
        <v>45357</v>
      </c>
      <c r="D618" t="inlineStr">
        <is>
          <t>JÄMTLANDS LÄN</t>
        </is>
      </c>
      <c r="E618" t="inlineStr">
        <is>
          <t>ÖSTERSUND</t>
        </is>
      </c>
      <c r="G618" t="n">
        <v>4.7</v>
      </c>
      <c r="H618" t="n">
        <v>0</v>
      </c>
      <c r="I618" t="n">
        <v>0</v>
      </c>
      <c r="J618" t="n">
        <v>0</v>
      </c>
      <c r="K618" t="n">
        <v>0</v>
      </c>
      <c r="L618" t="n">
        <v>0</v>
      </c>
      <c r="M618" t="n">
        <v>0</v>
      </c>
      <c r="N618" t="n">
        <v>0</v>
      </c>
      <c r="O618" t="n">
        <v>0</v>
      </c>
      <c r="P618" t="n">
        <v>0</v>
      </c>
      <c r="Q618" t="n">
        <v>0</v>
      </c>
      <c r="R618" s="2" t="inlineStr"/>
    </row>
    <row r="619" ht="15" customHeight="1">
      <c r="A619" t="inlineStr">
        <is>
          <t>A 37645-2023</t>
        </is>
      </c>
      <c r="B619" s="1" t="n">
        <v>45159</v>
      </c>
      <c r="C619" s="1" t="n">
        <v>45357</v>
      </c>
      <c r="D619" t="inlineStr">
        <is>
          <t>JÄMTLANDS LÄN</t>
        </is>
      </c>
      <c r="E619" t="inlineStr">
        <is>
          <t>ÖSTERSUND</t>
        </is>
      </c>
      <c r="F619" t="inlineStr">
        <is>
          <t>Övriga Aktiebolag</t>
        </is>
      </c>
      <c r="G619" t="n">
        <v>3.5</v>
      </c>
      <c r="H619" t="n">
        <v>0</v>
      </c>
      <c r="I619" t="n">
        <v>0</v>
      </c>
      <c r="J619" t="n">
        <v>0</v>
      </c>
      <c r="K619" t="n">
        <v>0</v>
      </c>
      <c r="L619" t="n">
        <v>0</v>
      </c>
      <c r="M619" t="n">
        <v>0</v>
      </c>
      <c r="N619" t="n">
        <v>0</v>
      </c>
      <c r="O619" t="n">
        <v>0</v>
      </c>
      <c r="P619" t="n">
        <v>0</v>
      </c>
      <c r="Q619" t="n">
        <v>0</v>
      </c>
      <c r="R619" s="2" t="inlineStr"/>
    </row>
    <row r="620" ht="15" customHeight="1">
      <c r="A620" t="inlineStr">
        <is>
          <t>A 38335-2023</t>
        </is>
      </c>
      <c r="B620" s="1" t="n">
        <v>45161</v>
      </c>
      <c r="C620" s="1" t="n">
        <v>45357</v>
      </c>
      <c r="D620" t="inlineStr">
        <is>
          <t>JÄMTLANDS LÄN</t>
        </is>
      </c>
      <c r="E620" t="inlineStr">
        <is>
          <t>ÖSTERSUND</t>
        </is>
      </c>
      <c r="G620" t="n">
        <v>15.1</v>
      </c>
      <c r="H620" t="n">
        <v>0</v>
      </c>
      <c r="I620" t="n">
        <v>0</v>
      </c>
      <c r="J620" t="n">
        <v>0</v>
      </c>
      <c r="K620" t="n">
        <v>0</v>
      </c>
      <c r="L620" t="n">
        <v>0</v>
      </c>
      <c r="M620" t="n">
        <v>0</v>
      </c>
      <c r="N620" t="n">
        <v>0</v>
      </c>
      <c r="O620" t="n">
        <v>0</v>
      </c>
      <c r="P620" t="n">
        <v>0</v>
      </c>
      <c r="Q620" t="n">
        <v>0</v>
      </c>
      <c r="R620" s="2" t="inlineStr"/>
    </row>
    <row r="621" ht="15" customHeight="1">
      <c r="A621" t="inlineStr">
        <is>
          <t>A 38713-2023</t>
        </is>
      </c>
      <c r="B621" s="1" t="n">
        <v>45163</v>
      </c>
      <c r="C621" s="1" t="n">
        <v>45357</v>
      </c>
      <c r="D621" t="inlineStr">
        <is>
          <t>JÄMTLANDS LÄN</t>
        </is>
      </c>
      <c r="E621" t="inlineStr">
        <is>
          <t>ÖSTERSUND</t>
        </is>
      </c>
      <c r="G621" t="n">
        <v>6</v>
      </c>
      <c r="H621" t="n">
        <v>0</v>
      </c>
      <c r="I621" t="n">
        <v>0</v>
      </c>
      <c r="J621" t="n">
        <v>0</v>
      </c>
      <c r="K621" t="n">
        <v>0</v>
      </c>
      <c r="L621" t="n">
        <v>0</v>
      </c>
      <c r="M621" t="n">
        <v>0</v>
      </c>
      <c r="N621" t="n">
        <v>0</v>
      </c>
      <c r="O621" t="n">
        <v>0</v>
      </c>
      <c r="P621" t="n">
        <v>0</v>
      </c>
      <c r="Q621" t="n">
        <v>0</v>
      </c>
      <c r="R621" s="2" t="inlineStr"/>
    </row>
    <row r="622" ht="15" customHeight="1">
      <c r="A622" t="inlineStr">
        <is>
          <t>A 39494-2023</t>
        </is>
      </c>
      <c r="B622" s="1" t="n">
        <v>45166</v>
      </c>
      <c r="C622" s="1" t="n">
        <v>45357</v>
      </c>
      <c r="D622" t="inlineStr">
        <is>
          <t>JÄMTLANDS LÄN</t>
        </is>
      </c>
      <c r="E622" t="inlineStr">
        <is>
          <t>ÖSTERSUND</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39493-2023</t>
        </is>
      </c>
      <c r="B623" s="1" t="n">
        <v>45167</v>
      </c>
      <c r="C623" s="1" t="n">
        <v>45357</v>
      </c>
      <c r="D623" t="inlineStr">
        <is>
          <t>JÄMTLANDS LÄN</t>
        </is>
      </c>
      <c r="E623" t="inlineStr">
        <is>
          <t>ÖSTERSUND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39647-2023</t>
        </is>
      </c>
      <c r="B624" s="1" t="n">
        <v>45167</v>
      </c>
      <c r="C624" s="1" t="n">
        <v>45357</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39652-2023</t>
        </is>
      </c>
      <c r="B625" s="1" t="n">
        <v>45167</v>
      </c>
      <c r="C625" s="1" t="n">
        <v>45357</v>
      </c>
      <c r="D625" t="inlineStr">
        <is>
          <t>JÄMTLANDS LÄN</t>
        </is>
      </c>
      <c r="E625" t="inlineStr">
        <is>
          <t>ÖSTERSUND</t>
        </is>
      </c>
      <c r="G625" t="n">
        <v>2.6</v>
      </c>
      <c r="H625" t="n">
        <v>0</v>
      </c>
      <c r="I625" t="n">
        <v>0</v>
      </c>
      <c r="J625" t="n">
        <v>0</v>
      </c>
      <c r="K625" t="n">
        <v>0</v>
      </c>
      <c r="L625" t="n">
        <v>0</v>
      </c>
      <c r="M625" t="n">
        <v>0</v>
      </c>
      <c r="N625" t="n">
        <v>0</v>
      </c>
      <c r="O625" t="n">
        <v>0</v>
      </c>
      <c r="P625" t="n">
        <v>0</v>
      </c>
      <c r="Q625" t="n">
        <v>0</v>
      </c>
      <c r="R625" s="2" t="inlineStr"/>
    </row>
    <row r="626" ht="15" customHeight="1">
      <c r="A626" t="inlineStr">
        <is>
          <t>A 39805-2023</t>
        </is>
      </c>
      <c r="B626" s="1" t="n">
        <v>45168</v>
      </c>
      <c r="C626" s="1" t="n">
        <v>45357</v>
      </c>
      <c r="D626" t="inlineStr">
        <is>
          <t>JÄMTLANDS LÄN</t>
        </is>
      </c>
      <c r="E626" t="inlineStr">
        <is>
          <t>ÖSTERSUND</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40423-2023</t>
        </is>
      </c>
      <c r="B627" s="1" t="n">
        <v>45169</v>
      </c>
      <c r="C627" s="1" t="n">
        <v>45357</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40422-2023</t>
        </is>
      </c>
      <c r="B628" s="1" t="n">
        <v>45170</v>
      </c>
      <c r="C628" s="1" t="n">
        <v>45357</v>
      </c>
      <c r="D628" t="inlineStr">
        <is>
          <t>JÄMTLANDS LÄN</t>
        </is>
      </c>
      <c r="E628" t="inlineStr">
        <is>
          <t>ÖSTERSUND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40792-2023</t>
        </is>
      </c>
      <c r="B629" s="1" t="n">
        <v>45170</v>
      </c>
      <c r="C629" s="1" t="n">
        <v>45357</v>
      </c>
      <c r="D629" t="inlineStr">
        <is>
          <t>JÄMTLANDS LÄN</t>
        </is>
      </c>
      <c r="E629" t="inlineStr">
        <is>
          <t>ÖSTERSUND</t>
        </is>
      </c>
      <c r="G629" t="n">
        <v>22.4</v>
      </c>
      <c r="H629" t="n">
        <v>0</v>
      </c>
      <c r="I629" t="n">
        <v>0</v>
      </c>
      <c r="J629" t="n">
        <v>0</v>
      </c>
      <c r="K629" t="n">
        <v>0</v>
      </c>
      <c r="L629" t="n">
        <v>0</v>
      </c>
      <c r="M629" t="n">
        <v>0</v>
      </c>
      <c r="N629" t="n">
        <v>0</v>
      </c>
      <c r="O629" t="n">
        <v>0</v>
      </c>
      <c r="P629" t="n">
        <v>0</v>
      </c>
      <c r="Q629" t="n">
        <v>0</v>
      </c>
      <c r="R629" s="2" t="inlineStr"/>
    </row>
    <row r="630" ht="15" customHeight="1">
      <c r="A630" t="inlineStr">
        <is>
          <t>A 40772-2023</t>
        </is>
      </c>
      <c r="B630" s="1" t="n">
        <v>45171</v>
      </c>
      <c r="C630" s="1" t="n">
        <v>45357</v>
      </c>
      <c r="D630" t="inlineStr">
        <is>
          <t>JÄMTLANDS LÄN</t>
        </is>
      </c>
      <c r="E630" t="inlineStr">
        <is>
          <t>ÖSTERSUND</t>
        </is>
      </c>
      <c r="F630" t="inlineStr">
        <is>
          <t>SCA</t>
        </is>
      </c>
      <c r="G630" t="n">
        <v>17.6</v>
      </c>
      <c r="H630" t="n">
        <v>0</v>
      </c>
      <c r="I630" t="n">
        <v>0</v>
      </c>
      <c r="J630" t="n">
        <v>0</v>
      </c>
      <c r="K630" t="n">
        <v>0</v>
      </c>
      <c r="L630" t="n">
        <v>0</v>
      </c>
      <c r="M630" t="n">
        <v>0</v>
      </c>
      <c r="N630" t="n">
        <v>0</v>
      </c>
      <c r="O630" t="n">
        <v>0</v>
      </c>
      <c r="P630" t="n">
        <v>0</v>
      </c>
      <c r="Q630" t="n">
        <v>0</v>
      </c>
      <c r="R630" s="2" t="inlineStr"/>
    </row>
    <row r="631" ht="15" customHeight="1">
      <c r="A631" t="inlineStr">
        <is>
          <t>A 41224-2023</t>
        </is>
      </c>
      <c r="B631" s="1" t="n">
        <v>45174</v>
      </c>
      <c r="C631" s="1" t="n">
        <v>45357</v>
      </c>
      <c r="D631" t="inlineStr">
        <is>
          <t>JÄMTLANDS LÄN</t>
        </is>
      </c>
      <c r="E631" t="inlineStr">
        <is>
          <t>ÖSTERSUND</t>
        </is>
      </c>
      <c r="G631" t="n">
        <v>13.3</v>
      </c>
      <c r="H631" t="n">
        <v>0</v>
      </c>
      <c r="I631" t="n">
        <v>0</v>
      </c>
      <c r="J631" t="n">
        <v>0</v>
      </c>
      <c r="K631" t="n">
        <v>0</v>
      </c>
      <c r="L631" t="n">
        <v>0</v>
      </c>
      <c r="M631" t="n">
        <v>0</v>
      </c>
      <c r="N631" t="n">
        <v>0</v>
      </c>
      <c r="O631" t="n">
        <v>0</v>
      </c>
      <c r="P631" t="n">
        <v>0</v>
      </c>
      <c r="Q631" t="n">
        <v>0</v>
      </c>
      <c r="R631" s="2" t="inlineStr"/>
    </row>
    <row r="632" ht="15" customHeight="1">
      <c r="A632" t="inlineStr">
        <is>
          <t>A 41649-2023</t>
        </is>
      </c>
      <c r="B632" s="1" t="n">
        <v>45176</v>
      </c>
      <c r="C632" s="1" t="n">
        <v>45357</v>
      </c>
      <c r="D632" t="inlineStr">
        <is>
          <t>JÄMTLANDS LÄN</t>
        </is>
      </c>
      <c r="E632" t="inlineStr">
        <is>
          <t>ÖSTERSUND</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41919-2023</t>
        </is>
      </c>
      <c r="B633" s="1" t="n">
        <v>45177</v>
      </c>
      <c r="C633" s="1" t="n">
        <v>45357</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41918-2023</t>
        </is>
      </c>
      <c r="B634" s="1" t="n">
        <v>45177</v>
      </c>
      <c r="C634" s="1" t="n">
        <v>45357</v>
      </c>
      <c r="D634" t="inlineStr">
        <is>
          <t>JÄMTLANDS LÄN</t>
        </is>
      </c>
      <c r="E634" t="inlineStr">
        <is>
          <t>ÖSTERSUND</t>
        </is>
      </c>
      <c r="F634" t="inlineStr">
        <is>
          <t>SCA</t>
        </is>
      </c>
      <c r="G634" t="n">
        <v>10.5</v>
      </c>
      <c r="H634" t="n">
        <v>0</v>
      </c>
      <c r="I634" t="n">
        <v>0</v>
      </c>
      <c r="J634" t="n">
        <v>0</v>
      </c>
      <c r="K634" t="n">
        <v>0</v>
      </c>
      <c r="L634" t="n">
        <v>0</v>
      </c>
      <c r="M634" t="n">
        <v>0</v>
      </c>
      <c r="N634" t="n">
        <v>0</v>
      </c>
      <c r="O634" t="n">
        <v>0</v>
      </c>
      <c r="P634" t="n">
        <v>0</v>
      </c>
      <c r="Q634" t="n">
        <v>0</v>
      </c>
      <c r="R634" s="2" t="inlineStr"/>
    </row>
    <row r="635" ht="15" customHeight="1">
      <c r="A635" t="inlineStr">
        <is>
          <t>A 41900-2023</t>
        </is>
      </c>
      <c r="B635" s="1" t="n">
        <v>45176</v>
      </c>
      <c r="C635" s="1" t="n">
        <v>45357</v>
      </c>
      <c r="D635" t="inlineStr">
        <is>
          <t>JÄMTLANDS LÄN</t>
        </is>
      </c>
      <c r="E635" t="inlineStr">
        <is>
          <t>ÖSTERSUND</t>
        </is>
      </c>
      <c r="G635" t="n">
        <v>24.4</v>
      </c>
      <c r="H635" t="n">
        <v>0</v>
      </c>
      <c r="I635" t="n">
        <v>0</v>
      </c>
      <c r="J635" t="n">
        <v>0</v>
      </c>
      <c r="K635" t="n">
        <v>0</v>
      </c>
      <c r="L635" t="n">
        <v>0</v>
      </c>
      <c r="M635" t="n">
        <v>0</v>
      </c>
      <c r="N635" t="n">
        <v>0</v>
      </c>
      <c r="O635" t="n">
        <v>0</v>
      </c>
      <c r="P635" t="n">
        <v>0</v>
      </c>
      <c r="Q635" t="n">
        <v>0</v>
      </c>
      <c r="R635" s="2" t="inlineStr"/>
    </row>
    <row r="636" ht="15" customHeight="1">
      <c r="A636" t="inlineStr">
        <is>
          <t>A 42151-2023</t>
        </is>
      </c>
      <c r="B636" s="1" t="n">
        <v>45178</v>
      </c>
      <c r="C636" s="1" t="n">
        <v>45357</v>
      </c>
      <c r="D636" t="inlineStr">
        <is>
          <t>JÄMTLANDS LÄN</t>
        </is>
      </c>
      <c r="E636" t="inlineStr">
        <is>
          <t>ÖSTERSUND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43557-2023</t>
        </is>
      </c>
      <c r="B637" s="1" t="n">
        <v>45181</v>
      </c>
      <c r="C637" s="1" t="n">
        <v>45357</v>
      </c>
      <c r="D637" t="inlineStr">
        <is>
          <t>JÄMTLANDS LÄN</t>
        </is>
      </c>
      <c r="E637" t="inlineStr">
        <is>
          <t>ÖSTERSUND</t>
        </is>
      </c>
      <c r="G637" t="n">
        <v>0.9</v>
      </c>
      <c r="H637" t="n">
        <v>0</v>
      </c>
      <c r="I637" t="n">
        <v>0</v>
      </c>
      <c r="J637" t="n">
        <v>0</v>
      </c>
      <c r="K637" t="n">
        <v>0</v>
      </c>
      <c r="L637" t="n">
        <v>0</v>
      </c>
      <c r="M637" t="n">
        <v>0</v>
      </c>
      <c r="N637" t="n">
        <v>0</v>
      </c>
      <c r="O637" t="n">
        <v>0</v>
      </c>
      <c r="P637" t="n">
        <v>0</v>
      </c>
      <c r="Q637" t="n">
        <v>0</v>
      </c>
      <c r="R637" s="2" t="inlineStr"/>
    </row>
    <row r="638" ht="15" customHeight="1">
      <c r="A638" t="inlineStr">
        <is>
          <t>A 42664-2023</t>
        </is>
      </c>
      <c r="B638" s="1" t="n">
        <v>45181</v>
      </c>
      <c r="C638" s="1" t="n">
        <v>45357</v>
      </c>
      <c r="D638" t="inlineStr">
        <is>
          <t>JÄMTLANDS LÄN</t>
        </is>
      </c>
      <c r="E638" t="inlineStr">
        <is>
          <t>ÖSTERSUND</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42679-2023</t>
        </is>
      </c>
      <c r="B639" s="1" t="n">
        <v>45181</v>
      </c>
      <c r="C639" s="1" t="n">
        <v>45357</v>
      </c>
      <c r="D639" t="inlineStr">
        <is>
          <t>JÄMTLANDS LÄN</t>
        </is>
      </c>
      <c r="E639" t="inlineStr">
        <is>
          <t>ÖSTERSUND</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43740-2023</t>
        </is>
      </c>
      <c r="B640" s="1" t="n">
        <v>45182</v>
      </c>
      <c r="C640" s="1" t="n">
        <v>45357</v>
      </c>
      <c r="D640" t="inlineStr">
        <is>
          <t>JÄMTLANDS LÄN</t>
        </is>
      </c>
      <c r="E640" t="inlineStr">
        <is>
          <t>ÖSTERSUND</t>
        </is>
      </c>
      <c r="G640" t="n">
        <v>10.2</v>
      </c>
      <c r="H640" t="n">
        <v>0</v>
      </c>
      <c r="I640" t="n">
        <v>0</v>
      </c>
      <c r="J640" t="n">
        <v>0</v>
      </c>
      <c r="K640" t="n">
        <v>0</v>
      </c>
      <c r="L640" t="n">
        <v>0</v>
      </c>
      <c r="M640" t="n">
        <v>0</v>
      </c>
      <c r="N640" t="n">
        <v>0</v>
      </c>
      <c r="O640" t="n">
        <v>0</v>
      </c>
      <c r="P640" t="n">
        <v>0</v>
      </c>
      <c r="Q640" t="n">
        <v>0</v>
      </c>
      <c r="R640" s="2" t="inlineStr"/>
    </row>
    <row r="641" ht="15" customHeight="1">
      <c r="A641" t="inlineStr">
        <is>
          <t>A 43135-2023</t>
        </is>
      </c>
      <c r="B641" s="1" t="n">
        <v>45183</v>
      </c>
      <c r="C641" s="1" t="n">
        <v>45357</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43252-2023</t>
        </is>
      </c>
      <c r="B642" s="1" t="n">
        <v>45183</v>
      </c>
      <c r="C642" s="1" t="n">
        <v>45357</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44327-2023</t>
        </is>
      </c>
      <c r="B643" s="1" t="n">
        <v>45188</v>
      </c>
      <c r="C643" s="1" t="n">
        <v>45357</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44359-2023</t>
        </is>
      </c>
      <c r="B644" s="1" t="n">
        <v>45188</v>
      </c>
      <c r="C644" s="1" t="n">
        <v>45357</v>
      </c>
      <c r="D644" t="inlineStr">
        <is>
          <t>JÄMTLANDS LÄN</t>
        </is>
      </c>
      <c r="E644" t="inlineStr">
        <is>
          <t>ÖSTERSUND</t>
        </is>
      </c>
      <c r="G644" t="n">
        <v>8.1</v>
      </c>
      <c r="H644" t="n">
        <v>0</v>
      </c>
      <c r="I644" t="n">
        <v>0</v>
      </c>
      <c r="J644" t="n">
        <v>0</v>
      </c>
      <c r="K644" t="n">
        <v>0</v>
      </c>
      <c r="L644" t="n">
        <v>0</v>
      </c>
      <c r="M644" t="n">
        <v>0</v>
      </c>
      <c r="N644" t="n">
        <v>0</v>
      </c>
      <c r="O644" t="n">
        <v>0</v>
      </c>
      <c r="P644" t="n">
        <v>0</v>
      </c>
      <c r="Q644" t="n">
        <v>0</v>
      </c>
      <c r="R644" s="2" t="inlineStr"/>
    </row>
    <row r="645" ht="15" customHeight="1">
      <c r="A645" t="inlineStr">
        <is>
          <t>A 45980-2023</t>
        </is>
      </c>
      <c r="B645" s="1" t="n">
        <v>45189</v>
      </c>
      <c r="C645" s="1" t="n">
        <v>45357</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44719-2023</t>
        </is>
      </c>
      <c r="B646" s="1" t="n">
        <v>45190</v>
      </c>
      <c r="C646" s="1" t="n">
        <v>45357</v>
      </c>
      <c r="D646" t="inlineStr">
        <is>
          <t>JÄMTLANDS LÄN</t>
        </is>
      </c>
      <c r="E646" t="inlineStr">
        <is>
          <t>ÖSTERSUND</t>
        </is>
      </c>
      <c r="G646" t="n">
        <v>17.5</v>
      </c>
      <c r="H646" t="n">
        <v>0</v>
      </c>
      <c r="I646" t="n">
        <v>0</v>
      </c>
      <c r="J646" t="n">
        <v>0</v>
      </c>
      <c r="K646" t="n">
        <v>0</v>
      </c>
      <c r="L646" t="n">
        <v>0</v>
      </c>
      <c r="M646" t="n">
        <v>0</v>
      </c>
      <c r="N646" t="n">
        <v>0</v>
      </c>
      <c r="O646" t="n">
        <v>0</v>
      </c>
      <c r="P646" t="n">
        <v>0</v>
      </c>
      <c r="Q646" t="n">
        <v>0</v>
      </c>
      <c r="R646" s="2" t="inlineStr"/>
    </row>
    <row r="647" ht="15" customHeight="1">
      <c r="A647" t="inlineStr">
        <is>
          <t>A 44798-2023</t>
        </is>
      </c>
      <c r="B647" s="1" t="n">
        <v>45190</v>
      </c>
      <c r="C647" s="1" t="n">
        <v>45357</v>
      </c>
      <c r="D647" t="inlineStr">
        <is>
          <t>JÄMTLANDS LÄN</t>
        </is>
      </c>
      <c r="E647" t="inlineStr">
        <is>
          <t>ÖSTERSUND</t>
        </is>
      </c>
      <c r="G647" t="n">
        <v>1.1</v>
      </c>
      <c r="H647" t="n">
        <v>0</v>
      </c>
      <c r="I647" t="n">
        <v>0</v>
      </c>
      <c r="J647" t="n">
        <v>0</v>
      </c>
      <c r="K647" t="n">
        <v>0</v>
      </c>
      <c r="L647" t="n">
        <v>0</v>
      </c>
      <c r="M647" t="n">
        <v>0</v>
      </c>
      <c r="N647" t="n">
        <v>0</v>
      </c>
      <c r="O647" t="n">
        <v>0</v>
      </c>
      <c r="P647" t="n">
        <v>0</v>
      </c>
      <c r="Q647" t="n">
        <v>0</v>
      </c>
      <c r="R647" s="2" t="inlineStr"/>
    </row>
    <row r="648" ht="15" customHeight="1">
      <c r="A648" t="inlineStr">
        <is>
          <t>A 46375-2023</t>
        </is>
      </c>
      <c r="B648" s="1" t="n">
        <v>45197</v>
      </c>
      <c r="C648" s="1" t="n">
        <v>45357</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46763-2023</t>
        </is>
      </c>
      <c r="B649" s="1" t="n">
        <v>45198</v>
      </c>
      <c r="C649" s="1" t="n">
        <v>45357</v>
      </c>
      <c r="D649" t="inlineStr">
        <is>
          <t>JÄMTLANDS LÄN</t>
        </is>
      </c>
      <c r="E649" t="inlineStr">
        <is>
          <t>ÖSTERSUND</t>
        </is>
      </c>
      <c r="F649" t="inlineStr">
        <is>
          <t>Sveaskog</t>
        </is>
      </c>
      <c r="G649" t="n">
        <v>13.3</v>
      </c>
      <c r="H649" t="n">
        <v>0</v>
      </c>
      <c r="I649" t="n">
        <v>0</v>
      </c>
      <c r="J649" t="n">
        <v>0</v>
      </c>
      <c r="K649" t="n">
        <v>0</v>
      </c>
      <c r="L649" t="n">
        <v>0</v>
      </c>
      <c r="M649" t="n">
        <v>0</v>
      </c>
      <c r="N649" t="n">
        <v>0</v>
      </c>
      <c r="O649" t="n">
        <v>0</v>
      </c>
      <c r="P649" t="n">
        <v>0</v>
      </c>
      <c r="Q649" t="n">
        <v>0</v>
      </c>
      <c r="R649" s="2" t="inlineStr"/>
    </row>
    <row r="650" ht="15" customHeight="1">
      <c r="A650" t="inlineStr">
        <is>
          <t>A 46748-2023</t>
        </is>
      </c>
      <c r="B650" s="1" t="n">
        <v>45198</v>
      </c>
      <c r="C650" s="1" t="n">
        <v>45357</v>
      </c>
      <c r="D650" t="inlineStr">
        <is>
          <t>JÄMTLANDS LÄN</t>
        </is>
      </c>
      <c r="E650" t="inlineStr">
        <is>
          <t>ÖSTERSUND</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47086-2023</t>
        </is>
      </c>
      <c r="B651" s="1" t="n">
        <v>45201</v>
      </c>
      <c r="C651" s="1" t="n">
        <v>45357</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47252-2023</t>
        </is>
      </c>
      <c r="B652" s="1" t="n">
        <v>45202</v>
      </c>
      <c r="C652" s="1" t="n">
        <v>45357</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47727-2023</t>
        </is>
      </c>
      <c r="B653" s="1" t="n">
        <v>45203</v>
      </c>
      <c r="C653" s="1" t="n">
        <v>45357</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48374-2023</t>
        </is>
      </c>
      <c r="B654" s="1" t="n">
        <v>45205</v>
      </c>
      <c r="C654" s="1" t="n">
        <v>45357</v>
      </c>
      <c r="D654" t="inlineStr">
        <is>
          <t>JÄMTLANDS LÄN</t>
        </is>
      </c>
      <c r="E654" t="inlineStr">
        <is>
          <t>ÖSTERSUND</t>
        </is>
      </c>
      <c r="G654" t="n">
        <v>5.6</v>
      </c>
      <c r="H654" t="n">
        <v>0</v>
      </c>
      <c r="I654" t="n">
        <v>0</v>
      </c>
      <c r="J654" t="n">
        <v>0</v>
      </c>
      <c r="K654" t="n">
        <v>0</v>
      </c>
      <c r="L654" t="n">
        <v>0</v>
      </c>
      <c r="M654" t="n">
        <v>0</v>
      </c>
      <c r="N654" t="n">
        <v>0</v>
      </c>
      <c r="O654" t="n">
        <v>0</v>
      </c>
      <c r="P654" t="n">
        <v>0</v>
      </c>
      <c r="Q654" t="n">
        <v>0</v>
      </c>
      <c r="R654" s="2" t="inlineStr"/>
    </row>
    <row r="655" ht="15" customHeight="1">
      <c r="A655" t="inlineStr">
        <is>
          <t>A 50753-2023</t>
        </is>
      </c>
      <c r="B655" s="1" t="n">
        <v>45210</v>
      </c>
      <c r="C655" s="1" t="n">
        <v>45357</v>
      </c>
      <c r="D655" t="inlineStr">
        <is>
          <t>JÄMTLANDS LÄN</t>
        </is>
      </c>
      <c r="E655" t="inlineStr">
        <is>
          <t>ÖSTERSUND</t>
        </is>
      </c>
      <c r="G655" t="n">
        <v>29.3</v>
      </c>
      <c r="H655" t="n">
        <v>0</v>
      </c>
      <c r="I655" t="n">
        <v>0</v>
      </c>
      <c r="J655" t="n">
        <v>0</v>
      </c>
      <c r="K655" t="n">
        <v>0</v>
      </c>
      <c r="L655" t="n">
        <v>0</v>
      </c>
      <c r="M655" t="n">
        <v>0</v>
      </c>
      <c r="N655" t="n">
        <v>0</v>
      </c>
      <c r="O655" t="n">
        <v>0</v>
      </c>
      <c r="P655" t="n">
        <v>0</v>
      </c>
      <c r="Q655" t="n">
        <v>0</v>
      </c>
      <c r="R655" s="2" t="inlineStr"/>
    </row>
    <row r="656" ht="15" customHeight="1">
      <c r="A656" t="inlineStr">
        <is>
          <t>A 50953-2023</t>
        </is>
      </c>
      <c r="B656" s="1" t="n">
        <v>45211</v>
      </c>
      <c r="C656" s="1" t="n">
        <v>45357</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51701-2023</t>
        </is>
      </c>
      <c r="B657" s="1" t="n">
        <v>45215</v>
      </c>
      <c r="C657" s="1" t="n">
        <v>45357</v>
      </c>
      <c r="D657" t="inlineStr">
        <is>
          <t>JÄMTLANDS LÄN</t>
        </is>
      </c>
      <c r="E657" t="inlineStr">
        <is>
          <t>ÖSTERSUND</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52209-2023</t>
        </is>
      </c>
      <c r="B658" s="1" t="n">
        <v>45217</v>
      </c>
      <c r="C658" s="1" t="n">
        <v>45357</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50965-2023</t>
        </is>
      </c>
      <c r="B659" s="1" t="n">
        <v>45218</v>
      </c>
      <c r="C659" s="1" t="n">
        <v>45357</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51480-2023</t>
        </is>
      </c>
      <c r="B660" s="1" t="n">
        <v>45222</v>
      </c>
      <c r="C660" s="1" t="n">
        <v>45357</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51482-2023</t>
        </is>
      </c>
      <c r="B661" s="1" t="n">
        <v>45222</v>
      </c>
      <c r="C661" s="1" t="n">
        <v>45357</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51481-2023</t>
        </is>
      </c>
      <c r="B662" s="1" t="n">
        <v>45222</v>
      </c>
      <c r="C662" s="1" t="n">
        <v>45357</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51479-2023</t>
        </is>
      </c>
      <c r="B663" s="1" t="n">
        <v>45222</v>
      </c>
      <c r="C663" s="1" t="n">
        <v>45357</v>
      </c>
      <c r="D663" t="inlineStr">
        <is>
          <t>JÄMTLANDS LÄN</t>
        </is>
      </c>
      <c r="E663" t="inlineStr">
        <is>
          <t>ÖSTERSUND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53152-2023</t>
        </is>
      </c>
      <c r="B664" s="1" t="n">
        <v>45222</v>
      </c>
      <c r="C664" s="1" t="n">
        <v>45357</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51818-2023</t>
        </is>
      </c>
      <c r="B665" s="1" t="n">
        <v>45223</v>
      </c>
      <c r="C665" s="1" t="n">
        <v>45357</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51913-2023</t>
        </is>
      </c>
      <c r="B666" s="1" t="n">
        <v>45223</v>
      </c>
      <c r="C666" s="1" t="n">
        <v>45357</v>
      </c>
      <c r="D666" t="inlineStr">
        <is>
          <t>JÄMTLANDS LÄN</t>
        </is>
      </c>
      <c r="E666" t="inlineStr">
        <is>
          <t>ÖSTERSUND</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51942-2023</t>
        </is>
      </c>
      <c r="B667" s="1" t="n">
        <v>45223</v>
      </c>
      <c r="C667" s="1" t="n">
        <v>45357</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52128-2023</t>
        </is>
      </c>
      <c r="B668" s="1" t="n">
        <v>45223</v>
      </c>
      <c r="C668" s="1" t="n">
        <v>45357</v>
      </c>
      <c r="D668" t="inlineStr">
        <is>
          <t>JÄMTLANDS LÄN</t>
        </is>
      </c>
      <c r="E668" t="inlineStr">
        <is>
          <t>ÖSTERSUND</t>
        </is>
      </c>
      <c r="F668" t="inlineStr">
        <is>
          <t>SCA</t>
        </is>
      </c>
      <c r="G668" t="n">
        <v>11.9</v>
      </c>
      <c r="H668" t="n">
        <v>0</v>
      </c>
      <c r="I668" t="n">
        <v>0</v>
      </c>
      <c r="J668" t="n">
        <v>0</v>
      </c>
      <c r="K668" t="n">
        <v>0</v>
      </c>
      <c r="L668" t="n">
        <v>0</v>
      </c>
      <c r="M668" t="n">
        <v>0</v>
      </c>
      <c r="N668" t="n">
        <v>0</v>
      </c>
      <c r="O668" t="n">
        <v>0</v>
      </c>
      <c r="P668" t="n">
        <v>0</v>
      </c>
      <c r="Q668" t="n">
        <v>0</v>
      </c>
      <c r="R668" s="2" t="inlineStr"/>
    </row>
    <row r="669" ht="15" customHeight="1">
      <c r="A669" t="inlineStr">
        <is>
          <t>A 51936-2023</t>
        </is>
      </c>
      <c r="B669" s="1" t="n">
        <v>45223</v>
      </c>
      <c r="C669" s="1" t="n">
        <v>45357</v>
      </c>
      <c r="D669" t="inlineStr">
        <is>
          <t>JÄMTLANDS LÄN</t>
        </is>
      </c>
      <c r="E669" t="inlineStr">
        <is>
          <t>ÖSTERSUND</t>
        </is>
      </c>
      <c r="G669" t="n">
        <v>8.4</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45357</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53378-2023</t>
        </is>
      </c>
      <c r="B671" s="1" t="n">
        <v>45223</v>
      </c>
      <c r="C671" s="1" t="n">
        <v>45357</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53380-2023</t>
        </is>
      </c>
      <c r="B672" s="1" t="n">
        <v>45223</v>
      </c>
      <c r="C672" s="1" t="n">
        <v>45357</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52553-2023</t>
        </is>
      </c>
      <c r="B673" s="1" t="n">
        <v>45225</v>
      </c>
      <c r="C673" s="1" t="n">
        <v>45357</v>
      </c>
      <c r="D673" t="inlineStr">
        <is>
          <t>JÄMTLANDS LÄN</t>
        </is>
      </c>
      <c r="E673" t="inlineStr">
        <is>
          <t>ÖSTERSUND</t>
        </is>
      </c>
      <c r="G673" t="n">
        <v>19.9</v>
      </c>
      <c r="H673" t="n">
        <v>0</v>
      </c>
      <c r="I673" t="n">
        <v>0</v>
      </c>
      <c r="J673" t="n">
        <v>0</v>
      </c>
      <c r="K673" t="n">
        <v>0</v>
      </c>
      <c r="L673" t="n">
        <v>0</v>
      </c>
      <c r="M673" t="n">
        <v>0</v>
      </c>
      <c r="N673" t="n">
        <v>0</v>
      </c>
      <c r="O673" t="n">
        <v>0</v>
      </c>
      <c r="P673" t="n">
        <v>0</v>
      </c>
      <c r="Q673" t="n">
        <v>0</v>
      </c>
      <c r="R673" s="2" t="inlineStr"/>
    </row>
    <row r="674" ht="15" customHeight="1">
      <c r="A674" t="inlineStr">
        <is>
          <t>A 55235-2023</t>
        </is>
      </c>
      <c r="B674" s="1" t="n">
        <v>45231</v>
      </c>
      <c r="C674" s="1" t="n">
        <v>45357</v>
      </c>
      <c r="D674" t="inlineStr">
        <is>
          <t>JÄMTLANDS LÄN</t>
        </is>
      </c>
      <c r="E674" t="inlineStr">
        <is>
          <t>ÖSTERSUND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55251-2023</t>
        </is>
      </c>
      <c r="B675" s="1" t="n">
        <v>45231</v>
      </c>
      <c r="C675" s="1" t="n">
        <v>45357</v>
      </c>
      <c r="D675" t="inlineStr">
        <is>
          <t>JÄMTLANDS LÄN</t>
        </is>
      </c>
      <c r="E675" t="inlineStr">
        <is>
          <t>ÖSTERSUND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55400-2023</t>
        </is>
      </c>
      <c r="B676" s="1" t="n">
        <v>45231</v>
      </c>
      <c r="C676" s="1" t="n">
        <v>45357</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54131-2023</t>
        </is>
      </c>
      <c r="B677" s="1" t="n">
        <v>45232</v>
      </c>
      <c r="C677" s="1" t="n">
        <v>45357</v>
      </c>
      <c r="D677" t="inlineStr">
        <is>
          <t>JÄMTLANDS LÄN</t>
        </is>
      </c>
      <c r="E677" t="inlineStr">
        <is>
          <t>ÖSTERSUND</t>
        </is>
      </c>
      <c r="G677" t="n">
        <v>5.5</v>
      </c>
      <c r="H677" t="n">
        <v>0</v>
      </c>
      <c r="I677" t="n">
        <v>0</v>
      </c>
      <c r="J677" t="n">
        <v>0</v>
      </c>
      <c r="K677" t="n">
        <v>0</v>
      </c>
      <c r="L677" t="n">
        <v>0</v>
      </c>
      <c r="M677" t="n">
        <v>0</v>
      </c>
      <c r="N677" t="n">
        <v>0</v>
      </c>
      <c r="O677" t="n">
        <v>0</v>
      </c>
      <c r="P677" t="n">
        <v>0</v>
      </c>
      <c r="Q677" t="n">
        <v>0</v>
      </c>
      <c r="R677" s="2" t="inlineStr"/>
    </row>
    <row r="678" ht="15" customHeight="1">
      <c r="A678" t="inlineStr">
        <is>
          <t>A 54608-2023</t>
        </is>
      </c>
      <c r="B678" s="1" t="n">
        <v>45233</v>
      </c>
      <c r="C678" s="1" t="n">
        <v>45357</v>
      </c>
      <c r="D678" t="inlineStr">
        <is>
          <t>JÄMTLANDS LÄN</t>
        </is>
      </c>
      <c r="E678" t="inlineStr">
        <is>
          <t>ÖSTERSUND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55996-2023</t>
        </is>
      </c>
      <c r="B679" s="1" t="n">
        <v>45233</v>
      </c>
      <c r="C679" s="1" t="n">
        <v>45357</v>
      </c>
      <c r="D679" t="inlineStr">
        <is>
          <t>JÄMTLANDS LÄN</t>
        </is>
      </c>
      <c r="E679" t="inlineStr">
        <is>
          <t>ÖSTERSUND</t>
        </is>
      </c>
      <c r="G679" t="n">
        <v>2.4</v>
      </c>
      <c r="H679" t="n">
        <v>0</v>
      </c>
      <c r="I679" t="n">
        <v>0</v>
      </c>
      <c r="J679" t="n">
        <v>0</v>
      </c>
      <c r="K679" t="n">
        <v>0</v>
      </c>
      <c r="L679" t="n">
        <v>0</v>
      </c>
      <c r="M679" t="n">
        <v>0</v>
      </c>
      <c r="N679" t="n">
        <v>0</v>
      </c>
      <c r="O679" t="n">
        <v>0</v>
      </c>
      <c r="P679" t="n">
        <v>0</v>
      </c>
      <c r="Q679" t="n">
        <v>0</v>
      </c>
      <c r="R679" s="2" t="inlineStr"/>
    </row>
    <row r="680" ht="15" customHeight="1">
      <c r="A680" t="inlineStr">
        <is>
          <t>A 56043-2023</t>
        </is>
      </c>
      <c r="B680" s="1" t="n">
        <v>45233</v>
      </c>
      <c r="C680" s="1" t="n">
        <v>45357</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54576-2023</t>
        </is>
      </c>
      <c r="B681" s="1" t="n">
        <v>45233</v>
      </c>
      <c r="C681" s="1" t="n">
        <v>45357</v>
      </c>
      <c r="D681" t="inlineStr">
        <is>
          <t>JÄMTLANDS LÄN</t>
        </is>
      </c>
      <c r="E681" t="inlineStr">
        <is>
          <t>ÖSTERSUND</t>
        </is>
      </c>
      <c r="F681" t="inlineStr">
        <is>
          <t>Övriga Aktiebolag</t>
        </is>
      </c>
      <c r="G681" t="n">
        <v>7.3</v>
      </c>
      <c r="H681" t="n">
        <v>0</v>
      </c>
      <c r="I681" t="n">
        <v>0</v>
      </c>
      <c r="J681" t="n">
        <v>0</v>
      </c>
      <c r="K681" t="n">
        <v>0</v>
      </c>
      <c r="L681" t="n">
        <v>0</v>
      </c>
      <c r="M681" t="n">
        <v>0</v>
      </c>
      <c r="N681" t="n">
        <v>0</v>
      </c>
      <c r="O681" t="n">
        <v>0</v>
      </c>
      <c r="P681" t="n">
        <v>0</v>
      </c>
      <c r="Q681" t="n">
        <v>0</v>
      </c>
      <c r="R681" s="2" t="inlineStr"/>
    </row>
    <row r="682" ht="15" customHeight="1">
      <c r="A682" t="inlineStr">
        <is>
          <t>A 54762-2023</t>
        </is>
      </c>
      <c r="B682" s="1" t="n">
        <v>45236</v>
      </c>
      <c r="C682" s="1" t="n">
        <v>45357</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v>
      </c>
      <c r="C683" s="1" t="n">
        <v>45357</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54973-2023</t>
        </is>
      </c>
      <c r="B684" s="1" t="n">
        <v>45236</v>
      </c>
      <c r="C684" s="1" t="n">
        <v>45357</v>
      </c>
      <c r="D684" t="inlineStr">
        <is>
          <t>JÄMTLANDS LÄN</t>
        </is>
      </c>
      <c r="E684" t="inlineStr">
        <is>
          <t>ÖSTERSUND</t>
        </is>
      </c>
      <c r="G684" t="n">
        <v>15.4</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v>
      </c>
      <c r="C685" s="1" t="n">
        <v>45357</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55237-2023</t>
        </is>
      </c>
      <c r="B686" s="1" t="n">
        <v>45237</v>
      </c>
      <c r="C686" s="1" t="n">
        <v>45357</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55233-2023</t>
        </is>
      </c>
      <c r="B687" s="1" t="n">
        <v>45237</v>
      </c>
      <c r="C687" s="1" t="n">
        <v>45357</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56440-2023</t>
        </is>
      </c>
      <c r="B688" s="1" t="n">
        <v>45237</v>
      </c>
      <c r="C688" s="1" t="n">
        <v>45357</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55666-2023</t>
        </is>
      </c>
      <c r="B689" s="1" t="n">
        <v>45239</v>
      </c>
      <c r="C689" s="1" t="n">
        <v>45357</v>
      </c>
      <c r="D689" t="inlineStr">
        <is>
          <t>JÄMTLANDS LÄN</t>
        </is>
      </c>
      <c r="E689" t="inlineStr">
        <is>
          <t>ÖSTERSUND</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56597-2023</t>
        </is>
      </c>
      <c r="B690" s="1" t="n">
        <v>45238</v>
      </c>
      <c r="C690" s="1" t="n">
        <v>45357</v>
      </c>
      <c r="D690" t="inlineStr">
        <is>
          <t>JÄMTLANDS LÄN</t>
        </is>
      </c>
      <c r="E690" t="inlineStr">
        <is>
          <t>ÖSTERSUND</t>
        </is>
      </c>
      <c r="G690" t="n">
        <v>5.1</v>
      </c>
      <c r="H690" t="n">
        <v>0</v>
      </c>
      <c r="I690" t="n">
        <v>0</v>
      </c>
      <c r="J690" t="n">
        <v>0</v>
      </c>
      <c r="K690" t="n">
        <v>0</v>
      </c>
      <c r="L690" t="n">
        <v>0</v>
      </c>
      <c r="M690" t="n">
        <v>0</v>
      </c>
      <c r="N690" t="n">
        <v>0</v>
      </c>
      <c r="O690" t="n">
        <v>0</v>
      </c>
      <c r="P690" t="n">
        <v>0</v>
      </c>
      <c r="Q690" t="n">
        <v>0</v>
      </c>
      <c r="R690" s="2" t="inlineStr"/>
    </row>
    <row r="691" ht="15" customHeight="1">
      <c r="A691" t="inlineStr">
        <is>
          <t>A 55678-2023</t>
        </is>
      </c>
      <c r="B691" s="1" t="n">
        <v>45239</v>
      </c>
      <c r="C691" s="1" t="n">
        <v>45357</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55785-2023</t>
        </is>
      </c>
      <c r="B692" s="1" t="n">
        <v>45239</v>
      </c>
      <c r="C692" s="1" t="n">
        <v>45357</v>
      </c>
      <c r="D692" t="inlineStr">
        <is>
          <t>JÄMTLANDS LÄN</t>
        </is>
      </c>
      <c r="E692" t="inlineStr">
        <is>
          <t>ÖSTERSUND</t>
        </is>
      </c>
      <c r="F692" t="inlineStr">
        <is>
          <t>Övriga Aktiebolag</t>
        </is>
      </c>
      <c r="G692" t="n">
        <v>16.4</v>
      </c>
      <c r="H692" t="n">
        <v>0</v>
      </c>
      <c r="I692" t="n">
        <v>0</v>
      </c>
      <c r="J692" t="n">
        <v>0</v>
      </c>
      <c r="K692" t="n">
        <v>0</v>
      </c>
      <c r="L692" t="n">
        <v>0</v>
      </c>
      <c r="M692" t="n">
        <v>0</v>
      </c>
      <c r="N692" t="n">
        <v>0</v>
      </c>
      <c r="O692" t="n">
        <v>0</v>
      </c>
      <c r="P692" t="n">
        <v>0</v>
      </c>
      <c r="Q692" t="n">
        <v>0</v>
      </c>
      <c r="R692" s="2" t="inlineStr"/>
    </row>
    <row r="693" ht="15" customHeight="1">
      <c r="A693" t="inlineStr">
        <is>
          <t>A 55827-2023</t>
        </is>
      </c>
      <c r="B693" s="1" t="n">
        <v>45239</v>
      </c>
      <c r="C693" s="1" t="n">
        <v>45357</v>
      </c>
      <c r="D693" t="inlineStr">
        <is>
          <t>JÄMTLANDS LÄN</t>
        </is>
      </c>
      <c r="E693" t="inlineStr">
        <is>
          <t>ÖSTERSUND</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56465-2023</t>
        </is>
      </c>
      <c r="B694" s="1" t="n">
        <v>45243</v>
      </c>
      <c r="C694" s="1" t="n">
        <v>45357</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56478-2023</t>
        </is>
      </c>
      <c r="B695" s="1" t="n">
        <v>45243</v>
      </c>
      <c r="C695" s="1" t="n">
        <v>45357</v>
      </c>
      <c r="D695" t="inlineStr">
        <is>
          <t>JÄMTLANDS LÄN</t>
        </is>
      </c>
      <c r="E695" t="inlineStr">
        <is>
          <t>ÖSTERSUND</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57863-2023</t>
        </is>
      </c>
      <c r="B696" s="1" t="n">
        <v>45244</v>
      </c>
      <c r="C696" s="1" t="n">
        <v>45357</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57398-2023</t>
        </is>
      </c>
      <c r="B697" s="1" t="n">
        <v>45245</v>
      </c>
      <c r="C697" s="1" t="n">
        <v>45357</v>
      </c>
      <c r="D697" t="inlineStr">
        <is>
          <t>JÄMTLANDS LÄN</t>
        </is>
      </c>
      <c r="E697" t="inlineStr">
        <is>
          <t>ÖSTERSUND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58809-2023</t>
        </is>
      </c>
      <c r="B698" s="1" t="n">
        <v>45247</v>
      </c>
      <c r="C698" s="1" t="n">
        <v>45357</v>
      </c>
      <c r="D698" t="inlineStr">
        <is>
          <t>JÄMTLANDS LÄN</t>
        </is>
      </c>
      <c r="E698" t="inlineStr">
        <is>
          <t>ÖSTERSUND</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58818-2023</t>
        </is>
      </c>
      <c r="B699" s="1" t="n">
        <v>45247</v>
      </c>
      <c r="C699" s="1" t="n">
        <v>45357</v>
      </c>
      <c r="D699" t="inlineStr">
        <is>
          <t>JÄMTLANDS LÄN</t>
        </is>
      </c>
      <c r="E699" t="inlineStr">
        <is>
          <t>ÖSTERSUND</t>
        </is>
      </c>
      <c r="G699" t="n">
        <v>6.7</v>
      </c>
      <c r="H699" t="n">
        <v>0</v>
      </c>
      <c r="I699" t="n">
        <v>0</v>
      </c>
      <c r="J699" t="n">
        <v>0</v>
      </c>
      <c r="K699" t="n">
        <v>0</v>
      </c>
      <c r="L699" t="n">
        <v>0</v>
      </c>
      <c r="M699" t="n">
        <v>0</v>
      </c>
      <c r="N699" t="n">
        <v>0</v>
      </c>
      <c r="O699" t="n">
        <v>0</v>
      </c>
      <c r="P699" t="n">
        <v>0</v>
      </c>
      <c r="Q699" t="n">
        <v>0</v>
      </c>
      <c r="R699" s="2" t="inlineStr"/>
    </row>
    <row r="700" ht="15" customHeight="1">
      <c r="A700" t="inlineStr">
        <is>
          <t>A 57839-2023</t>
        </is>
      </c>
      <c r="B700" s="1" t="n">
        <v>45247</v>
      </c>
      <c r="C700" s="1" t="n">
        <v>45357</v>
      </c>
      <c r="D700" t="inlineStr">
        <is>
          <t>JÄMTLANDS LÄN</t>
        </is>
      </c>
      <c r="E700" t="inlineStr">
        <is>
          <t>ÖSTERSUND</t>
        </is>
      </c>
      <c r="G700" t="n">
        <v>6.1</v>
      </c>
      <c r="H700" t="n">
        <v>0</v>
      </c>
      <c r="I700" t="n">
        <v>0</v>
      </c>
      <c r="J700" t="n">
        <v>0</v>
      </c>
      <c r="K700" t="n">
        <v>0</v>
      </c>
      <c r="L700" t="n">
        <v>0</v>
      </c>
      <c r="M700" t="n">
        <v>0</v>
      </c>
      <c r="N700" t="n">
        <v>0</v>
      </c>
      <c r="O700" t="n">
        <v>0</v>
      </c>
      <c r="P700" t="n">
        <v>0</v>
      </c>
      <c r="Q700" t="n">
        <v>0</v>
      </c>
      <c r="R700" s="2" t="inlineStr"/>
    </row>
    <row r="701" ht="15" customHeight="1">
      <c r="A701" t="inlineStr">
        <is>
          <t>A 59021-2023</t>
        </is>
      </c>
      <c r="B701" s="1" t="n">
        <v>45250</v>
      </c>
      <c r="C701" s="1" t="n">
        <v>45357</v>
      </c>
      <c r="D701" t="inlineStr">
        <is>
          <t>JÄMTLANDS LÄN</t>
        </is>
      </c>
      <c r="E701" t="inlineStr">
        <is>
          <t>ÖSTERSUND</t>
        </is>
      </c>
      <c r="G701" t="n">
        <v>7</v>
      </c>
      <c r="H701" t="n">
        <v>0</v>
      </c>
      <c r="I701" t="n">
        <v>0</v>
      </c>
      <c r="J701" t="n">
        <v>0</v>
      </c>
      <c r="K701" t="n">
        <v>0</v>
      </c>
      <c r="L701" t="n">
        <v>0</v>
      </c>
      <c r="M701" t="n">
        <v>0</v>
      </c>
      <c r="N701" t="n">
        <v>0</v>
      </c>
      <c r="O701" t="n">
        <v>0</v>
      </c>
      <c r="P701" t="n">
        <v>0</v>
      </c>
      <c r="Q701" t="n">
        <v>0</v>
      </c>
      <c r="R701" s="2" t="inlineStr"/>
    </row>
    <row r="702" ht="15" customHeight="1">
      <c r="A702" t="inlineStr">
        <is>
          <t>A 59094-2023</t>
        </is>
      </c>
      <c r="B702" s="1" t="n">
        <v>45253</v>
      </c>
      <c r="C702" s="1" t="n">
        <v>45357</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59095-2023</t>
        </is>
      </c>
      <c r="B703" s="1" t="n">
        <v>45253</v>
      </c>
      <c r="C703" s="1" t="n">
        <v>45357</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59611-2023</t>
        </is>
      </c>
      <c r="B704" s="1" t="n">
        <v>45254</v>
      </c>
      <c r="C704" s="1" t="n">
        <v>45357</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59953-2023</t>
        </is>
      </c>
      <c r="B705" s="1" t="n">
        <v>45254</v>
      </c>
      <c r="C705" s="1" t="n">
        <v>45357</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59694-2023</t>
        </is>
      </c>
      <c r="B706" s="1" t="n">
        <v>45256</v>
      </c>
      <c r="C706" s="1" t="n">
        <v>45357</v>
      </c>
      <c r="D706" t="inlineStr">
        <is>
          <t>JÄMTLANDS LÄN</t>
        </is>
      </c>
      <c r="E706" t="inlineStr">
        <is>
          <t>ÖSTERSUND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59813-2023</t>
        </is>
      </c>
      <c r="B707" s="1" t="n">
        <v>45257</v>
      </c>
      <c r="C707" s="1" t="n">
        <v>45357</v>
      </c>
      <c r="D707" t="inlineStr">
        <is>
          <t>JÄMTLANDS LÄN</t>
        </is>
      </c>
      <c r="E707" t="inlineStr">
        <is>
          <t>ÖSTERSUND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60029-2023</t>
        </is>
      </c>
      <c r="B708" s="1" t="n">
        <v>45258</v>
      </c>
      <c r="C708" s="1" t="n">
        <v>45357</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60477-2023</t>
        </is>
      </c>
      <c r="B709" s="1" t="n">
        <v>45258</v>
      </c>
      <c r="C709" s="1" t="n">
        <v>45357</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60780-2023</t>
        </is>
      </c>
      <c r="B710" s="1" t="n">
        <v>45260</v>
      </c>
      <c r="C710" s="1" t="n">
        <v>45357</v>
      </c>
      <c r="D710" t="inlineStr">
        <is>
          <t>JÄMTLANDS LÄN</t>
        </is>
      </c>
      <c r="E710" t="inlineStr">
        <is>
          <t>ÖSTERSUND</t>
        </is>
      </c>
      <c r="G710" t="n">
        <v>3.7</v>
      </c>
      <c r="H710" t="n">
        <v>0</v>
      </c>
      <c r="I710" t="n">
        <v>0</v>
      </c>
      <c r="J710" t="n">
        <v>0</v>
      </c>
      <c r="K710" t="n">
        <v>0</v>
      </c>
      <c r="L710" t="n">
        <v>0</v>
      </c>
      <c r="M710" t="n">
        <v>0</v>
      </c>
      <c r="N710" t="n">
        <v>0</v>
      </c>
      <c r="O710" t="n">
        <v>0</v>
      </c>
      <c r="P710" t="n">
        <v>0</v>
      </c>
      <c r="Q710" t="n">
        <v>0</v>
      </c>
      <c r="R710" s="2" t="inlineStr"/>
    </row>
    <row r="711" ht="15" customHeight="1">
      <c r="A711" t="inlineStr">
        <is>
          <t>A 60794-2023</t>
        </is>
      </c>
      <c r="B711" s="1" t="n">
        <v>45260</v>
      </c>
      <c r="C711" s="1" t="n">
        <v>45357</v>
      </c>
      <c r="D711" t="inlineStr">
        <is>
          <t>JÄMTLANDS LÄN</t>
        </is>
      </c>
      <c r="E711" t="inlineStr">
        <is>
          <t>ÖSTERSUND</t>
        </is>
      </c>
      <c r="G711" t="n">
        <v>3.6</v>
      </c>
      <c r="H711" t="n">
        <v>0</v>
      </c>
      <c r="I711" t="n">
        <v>0</v>
      </c>
      <c r="J711" t="n">
        <v>0</v>
      </c>
      <c r="K711" t="n">
        <v>0</v>
      </c>
      <c r="L711" t="n">
        <v>0</v>
      </c>
      <c r="M711" t="n">
        <v>0</v>
      </c>
      <c r="N711" t="n">
        <v>0</v>
      </c>
      <c r="O711" t="n">
        <v>0</v>
      </c>
      <c r="P711" t="n">
        <v>0</v>
      </c>
      <c r="Q711" t="n">
        <v>0</v>
      </c>
      <c r="R711" s="2" t="inlineStr"/>
    </row>
    <row r="712" ht="15" customHeight="1">
      <c r="A712" t="inlineStr">
        <is>
          <t>A 61530-2023</t>
        </is>
      </c>
      <c r="B712" s="1" t="n">
        <v>45261</v>
      </c>
      <c r="C712" s="1" t="n">
        <v>45357</v>
      </c>
      <c r="D712" t="inlineStr">
        <is>
          <t>JÄMTLANDS LÄN</t>
        </is>
      </c>
      <c r="E712" t="inlineStr">
        <is>
          <t>ÖSTERSUND</t>
        </is>
      </c>
      <c r="F712" t="inlineStr">
        <is>
          <t>Övriga statliga verk och myndigheter</t>
        </is>
      </c>
      <c r="G712" t="n">
        <v>1</v>
      </c>
      <c r="H712" t="n">
        <v>0</v>
      </c>
      <c r="I712" t="n">
        <v>0</v>
      </c>
      <c r="J712" t="n">
        <v>0</v>
      </c>
      <c r="K712" t="n">
        <v>0</v>
      </c>
      <c r="L712" t="n">
        <v>0</v>
      </c>
      <c r="M712" t="n">
        <v>0</v>
      </c>
      <c r="N712" t="n">
        <v>0</v>
      </c>
      <c r="O712" t="n">
        <v>0</v>
      </c>
      <c r="P712" t="n">
        <v>0</v>
      </c>
      <c r="Q712" t="n">
        <v>0</v>
      </c>
      <c r="R712" s="2" t="inlineStr"/>
    </row>
    <row r="713" ht="15" customHeight="1">
      <c r="A713" t="inlineStr">
        <is>
          <t>A 61635-2023</t>
        </is>
      </c>
      <c r="B713" s="1" t="n">
        <v>45261</v>
      </c>
      <c r="C713" s="1" t="n">
        <v>45357</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61535-2023</t>
        </is>
      </c>
      <c r="B714" s="1" t="n">
        <v>45261</v>
      </c>
      <c r="C714" s="1" t="n">
        <v>45357</v>
      </c>
      <c r="D714" t="inlineStr">
        <is>
          <t>JÄMTLANDS LÄN</t>
        </is>
      </c>
      <c r="E714" t="inlineStr">
        <is>
          <t>ÖSTERSUND</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61135-2023</t>
        </is>
      </c>
      <c r="B715" s="1" t="n">
        <v>45261</v>
      </c>
      <c r="C715" s="1" t="n">
        <v>45357</v>
      </c>
      <c r="D715" t="inlineStr">
        <is>
          <t>JÄMTLANDS LÄN</t>
        </is>
      </c>
      <c r="E715" t="inlineStr">
        <is>
          <t>ÖSTERSUND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61506-2023</t>
        </is>
      </c>
      <c r="B716" s="1" t="n">
        <v>45264</v>
      </c>
      <c r="C716" s="1" t="n">
        <v>45357</v>
      </c>
      <c r="D716" t="inlineStr">
        <is>
          <t>JÄMTLANDS LÄN</t>
        </is>
      </c>
      <c r="E716" t="inlineStr">
        <is>
          <t>ÖSTERSUND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61499-2023</t>
        </is>
      </c>
      <c r="B717" s="1" t="n">
        <v>45264</v>
      </c>
      <c r="C717" s="1" t="n">
        <v>45357</v>
      </c>
      <c r="D717" t="inlineStr">
        <is>
          <t>JÄMTLANDS LÄN</t>
        </is>
      </c>
      <c r="E717" t="inlineStr">
        <is>
          <t>ÖSTERSUND</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62052-2023</t>
        </is>
      </c>
      <c r="B718" s="1" t="n">
        <v>45265</v>
      </c>
      <c r="C718" s="1" t="n">
        <v>45357</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61791-2023</t>
        </is>
      </c>
      <c r="B719" s="1" t="n">
        <v>45265</v>
      </c>
      <c r="C719" s="1" t="n">
        <v>45357</v>
      </c>
      <c r="D719" t="inlineStr">
        <is>
          <t>JÄMTLANDS LÄN</t>
        </is>
      </c>
      <c r="E719" t="inlineStr">
        <is>
          <t>ÖSTERSUND</t>
        </is>
      </c>
      <c r="F719" t="inlineStr">
        <is>
          <t>SCA</t>
        </is>
      </c>
      <c r="G719" t="n">
        <v>11.4</v>
      </c>
      <c r="H719" t="n">
        <v>0</v>
      </c>
      <c r="I719" t="n">
        <v>0</v>
      </c>
      <c r="J719" t="n">
        <v>0</v>
      </c>
      <c r="K719" t="n">
        <v>0</v>
      </c>
      <c r="L719" t="n">
        <v>0</v>
      </c>
      <c r="M719" t="n">
        <v>0</v>
      </c>
      <c r="N719" t="n">
        <v>0</v>
      </c>
      <c r="O719" t="n">
        <v>0</v>
      </c>
      <c r="P719" t="n">
        <v>0</v>
      </c>
      <c r="Q719" t="n">
        <v>0</v>
      </c>
      <c r="R719" s="2" t="inlineStr"/>
    </row>
    <row r="720" ht="15" customHeight="1">
      <c r="A720" t="inlineStr">
        <is>
          <t>A 62834-2023</t>
        </is>
      </c>
      <c r="B720" s="1" t="n">
        <v>45271</v>
      </c>
      <c r="C720" s="1" t="n">
        <v>45357</v>
      </c>
      <c r="D720" t="inlineStr">
        <is>
          <t>JÄMTLANDS LÄN</t>
        </is>
      </c>
      <c r="E720" t="inlineStr">
        <is>
          <t>ÖSTERSUND</t>
        </is>
      </c>
      <c r="F720" t="inlineStr">
        <is>
          <t>SCA</t>
        </is>
      </c>
      <c r="G720" t="n">
        <v>12.2</v>
      </c>
      <c r="H720" t="n">
        <v>0</v>
      </c>
      <c r="I720" t="n">
        <v>0</v>
      </c>
      <c r="J720" t="n">
        <v>0</v>
      </c>
      <c r="K720" t="n">
        <v>0</v>
      </c>
      <c r="L720" t="n">
        <v>0</v>
      </c>
      <c r="M720" t="n">
        <v>0</v>
      </c>
      <c r="N720" t="n">
        <v>0</v>
      </c>
      <c r="O720" t="n">
        <v>0</v>
      </c>
      <c r="P720" t="n">
        <v>0</v>
      </c>
      <c r="Q720" t="n">
        <v>0</v>
      </c>
      <c r="R720" s="2" t="inlineStr"/>
    </row>
    <row r="721" ht="15" customHeight="1">
      <c r="A721" t="inlineStr">
        <is>
          <t>A 62835-2023</t>
        </is>
      </c>
      <c r="B721" s="1" t="n">
        <v>45271</v>
      </c>
      <c r="C721" s="1" t="n">
        <v>45357</v>
      </c>
      <c r="D721" t="inlineStr">
        <is>
          <t>JÄMTLANDS LÄN</t>
        </is>
      </c>
      <c r="E721" t="inlineStr">
        <is>
          <t>ÖSTERSUND</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63086-2023</t>
        </is>
      </c>
      <c r="B722" s="1" t="n">
        <v>45272</v>
      </c>
      <c r="C722" s="1" t="n">
        <v>45357</v>
      </c>
      <c r="D722" t="inlineStr">
        <is>
          <t>JÄMTLANDS LÄN</t>
        </is>
      </c>
      <c r="E722" t="inlineStr">
        <is>
          <t>ÖSTERSUND</t>
        </is>
      </c>
      <c r="F722" t="inlineStr">
        <is>
          <t>Övriga statliga verk och myndigheter</t>
        </is>
      </c>
      <c r="G722" t="n">
        <v>2.9</v>
      </c>
      <c r="H722" t="n">
        <v>0</v>
      </c>
      <c r="I722" t="n">
        <v>0</v>
      </c>
      <c r="J722" t="n">
        <v>0</v>
      </c>
      <c r="K722" t="n">
        <v>0</v>
      </c>
      <c r="L722" t="n">
        <v>0</v>
      </c>
      <c r="M722" t="n">
        <v>0</v>
      </c>
      <c r="N722" t="n">
        <v>0</v>
      </c>
      <c r="O722" t="n">
        <v>0</v>
      </c>
      <c r="P722" t="n">
        <v>0</v>
      </c>
      <c r="Q722" t="n">
        <v>0</v>
      </c>
      <c r="R722" s="2" t="inlineStr"/>
    </row>
    <row r="723" ht="15" customHeight="1">
      <c r="A723" t="inlineStr">
        <is>
          <t>A 63101-2023</t>
        </is>
      </c>
      <c r="B723" s="1" t="n">
        <v>45273</v>
      </c>
      <c r="C723" s="1" t="n">
        <v>45357</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63099-2023</t>
        </is>
      </c>
      <c r="B724" s="1" t="n">
        <v>45273</v>
      </c>
      <c r="C724" s="1" t="n">
        <v>45357</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63320-2023</t>
        </is>
      </c>
      <c r="B725" s="1" t="n">
        <v>45273</v>
      </c>
      <c r="C725" s="1" t="n">
        <v>45357</v>
      </c>
      <c r="D725" t="inlineStr">
        <is>
          <t>JÄMTLANDS LÄN</t>
        </is>
      </c>
      <c r="E725" t="inlineStr">
        <is>
          <t>ÖSTERSUND</t>
        </is>
      </c>
      <c r="G725" t="n">
        <v>11.3</v>
      </c>
      <c r="H725" t="n">
        <v>0</v>
      </c>
      <c r="I725" t="n">
        <v>0</v>
      </c>
      <c r="J725" t="n">
        <v>0</v>
      </c>
      <c r="K725" t="n">
        <v>0</v>
      </c>
      <c r="L725" t="n">
        <v>0</v>
      </c>
      <c r="M725" t="n">
        <v>0</v>
      </c>
      <c r="N725" t="n">
        <v>0</v>
      </c>
      <c r="O725" t="n">
        <v>0</v>
      </c>
      <c r="P725" t="n">
        <v>0</v>
      </c>
      <c r="Q725" t="n">
        <v>0</v>
      </c>
      <c r="R725" s="2" t="inlineStr"/>
    </row>
    <row r="726" ht="15" customHeight="1">
      <c r="A726" t="inlineStr">
        <is>
          <t>A 63739-2023</t>
        </is>
      </c>
      <c r="B726" s="1" t="n">
        <v>45277</v>
      </c>
      <c r="C726" s="1" t="n">
        <v>45357</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63740-2023</t>
        </is>
      </c>
      <c r="B727" s="1" t="n">
        <v>45277</v>
      </c>
      <c r="C727" s="1" t="n">
        <v>45357</v>
      </c>
      <c r="D727" t="inlineStr">
        <is>
          <t>JÄMTLANDS LÄN</t>
        </is>
      </c>
      <c r="E727" t="inlineStr">
        <is>
          <t>ÖSTERSUND</t>
        </is>
      </c>
      <c r="G727" t="n">
        <v>3.9</v>
      </c>
      <c r="H727" t="n">
        <v>0</v>
      </c>
      <c r="I727" t="n">
        <v>0</v>
      </c>
      <c r="J727" t="n">
        <v>0</v>
      </c>
      <c r="K727" t="n">
        <v>0</v>
      </c>
      <c r="L727" t="n">
        <v>0</v>
      </c>
      <c r="M727" t="n">
        <v>0</v>
      </c>
      <c r="N727" t="n">
        <v>0</v>
      </c>
      <c r="O727" t="n">
        <v>0</v>
      </c>
      <c r="P727" t="n">
        <v>0</v>
      </c>
      <c r="Q727" t="n">
        <v>0</v>
      </c>
      <c r="R727" s="2" t="inlineStr"/>
    </row>
    <row r="728" ht="15" customHeight="1">
      <c r="A728" t="inlineStr">
        <is>
          <t>A 64267-2023</t>
        </is>
      </c>
      <c r="B728" s="1" t="n">
        <v>45279</v>
      </c>
      <c r="C728" s="1" t="n">
        <v>45357</v>
      </c>
      <c r="D728" t="inlineStr">
        <is>
          <t>JÄMTLANDS LÄN</t>
        </is>
      </c>
      <c r="E728" t="inlineStr">
        <is>
          <t>ÖSTERSUND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64233-2023</t>
        </is>
      </c>
      <c r="B729" s="1" t="n">
        <v>45279</v>
      </c>
      <c r="C729" s="1" t="n">
        <v>45357</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64309-2023</t>
        </is>
      </c>
      <c r="B730" s="1" t="n">
        <v>45280</v>
      </c>
      <c r="C730" s="1" t="n">
        <v>45357</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64314-2023</t>
        </is>
      </c>
      <c r="B731" s="1" t="n">
        <v>45280</v>
      </c>
      <c r="C731" s="1" t="n">
        <v>45357</v>
      </c>
      <c r="D731" t="inlineStr">
        <is>
          <t>JÄMTLANDS LÄN</t>
        </is>
      </c>
      <c r="E731" t="inlineStr">
        <is>
          <t>ÖSTERSUND</t>
        </is>
      </c>
      <c r="G731" t="n">
        <v>0.6</v>
      </c>
      <c r="H731" t="n">
        <v>0</v>
      </c>
      <c r="I731" t="n">
        <v>0</v>
      </c>
      <c r="J731" t="n">
        <v>0</v>
      </c>
      <c r="K731" t="n">
        <v>0</v>
      </c>
      <c r="L731" t="n">
        <v>0</v>
      </c>
      <c r="M731" t="n">
        <v>0</v>
      </c>
      <c r="N731" t="n">
        <v>0</v>
      </c>
      <c r="O731" t="n">
        <v>0</v>
      </c>
      <c r="P731" t="n">
        <v>0</v>
      </c>
      <c r="Q731" t="n">
        <v>0</v>
      </c>
      <c r="R731" s="2" t="inlineStr"/>
    </row>
    <row r="732" ht="15" customHeight="1">
      <c r="A732" t="inlineStr">
        <is>
          <t>A 64811-2023</t>
        </is>
      </c>
      <c r="B732" s="1" t="n">
        <v>45281</v>
      </c>
      <c r="C732" s="1" t="n">
        <v>45357</v>
      </c>
      <c r="D732" t="inlineStr">
        <is>
          <t>JÄMTLANDS LÄN</t>
        </is>
      </c>
      <c r="E732" t="inlineStr">
        <is>
          <t>ÖSTERSUND</t>
        </is>
      </c>
      <c r="G732" t="n">
        <v>7.6</v>
      </c>
      <c r="H732" t="n">
        <v>0</v>
      </c>
      <c r="I732" t="n">
        <v>0</v>
      </c>
      <c r="J732" t="n">
        <v>0</v>
      </c>
      <c r="K732" t="n">
        <v>0</v>
      </c>
      <c r="L732" t="n">
        <v>0</v>
      </c>
      <c r="M732" t="n">
        <v>0</v>
      </c>
      <c r="N732" t="n">
        <v>0</v>
      </c>
      <c r="O732" t="n">
        <v>0</v>
      </c>
      <c r="P732" t="n">
        <v>0</v>
      </c>
      <c r="Q732" t="n">
        <v>0</v>
      </c>
      <c r="R732" s="2" t="inlineStr"/>
    </row>
    <row r="733" ht="15" customHeight="1">
      <c r="A733" t="inlineStr">
        <is>
          <t>A 64954-2023</t>
        </is>
      </c>
      <c r="B733" s="1" t="n">
        <v>45282</v>
      </c>
      <c r="C733" s="1" t="n">
        <v>45357</v>
      </c>
      <c r="D733" t="inlineStr">
        <is>
          <t>JÄMTLANDS LÄN</t>
        </is>
      </c>
      <c r="E733" t="inlineStr">
        <is>
          <t>ÖSTERSUND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64953-2023</t>
        </is>
      </c>
      <c r="B734" s="1" t="n">
        <v>45282</v>
      </c>
      <c r="C734" s="1" t="n">
        <v>45357</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440-2024</t>
        </is>
      </c>
      <c r="B735" s="1" t="n">
        <v>45296</v>
      </c>
      <c r="C735" s="1" t="n">
        <v>45357</v>
      </c>
      <c r="D735" t="inlineStr">
        <is>
          <t>JÄMTLANDS LÄN</t>
        </is>
      </c>
      <c r="E735" t="inlineStr">
        <is>
          <t>ÖSTERSUND</t>
        </is>
      </c>
      <c r="F735" t="inlineStr">
        <is>
          <t>Kommuner</t>
        </is>
      </c>
      <c r="G735" t="n">
        <v>10.1</v>
      </c>
      <c r="H735" t="n">
        <v>0</v>
      </c>
      <c r="I735" t="n">
        <v>0</v>
      </c>
      <c r="J735" t="n">
        <v>0</v>
      </c>
      <c r="K735" t="n">
        <v>0</v>
      </c>
      <c r="L735" t="n">
        <v>0</v>
      </c>
      <c r="M735" t="n">
        <v>0</v>
      </c>
      <c r="N735" t="n">
        <v>0</v>
      </c>
      <c r="O735" t="n">
        <v>0</v>
      </c>
      <c r="P735" t="n">
        <v>0</v>
      </c>
      <c r="Q735" t="n">
        <v>0</v>
      </c>
      <c r="R735" s="2" t="inlineStr"/>
    </row>
    <row r="736" ht="15" customHeight="1">
      <c r="A736" t="inlineStr">
        <is>
          <t>A 484-2024</t>
        </is>
      </c>
      <c r="B736" s="1" t="n">
        <v>45298</v>
      </c>
      <c r="C736" s="1" t="n">
        <v>45357</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485-2024</t>
        </is>
      </c>
      <c r="B737" s="1" t="n">
        <v>45298</v>
      </c>
      <c r="C737" s="1" t="n">
        <v>45357</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748-2024</t>
        </is>
      </c>
      <c r="B738" s="1" t="n">
        <v>45300</v>
      </c>
      <c r="C738" s="1" t="n">
        <v>45357</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846-2024</t>
        </is>
      </c>
      <c r="B739" s="1" t="n">
        <v>45300</v>
      </c>
      <c r="C739" s="1" t="n">
        <v>45357</v>
      </c>
      <c r="D739" t="inlineStr">
        <is>
          <t>JÄMTLANDS LÄN</t>
        </is>
      </c>
      <c r="E739" t="inlineStr">
        <is>
          <t>ÖSTERSUND</t>
        </is>
      </c>
      <c r="G739" t="n">
        <v>2.8</v>
      </c>
      <c r="H739" t="n">
        <v>0</v>
      </c>
      <c r="I739" t="n">
        <v>0</v>
      </c>
      <c r="J739" t="n">
        <v>0</v>
      </c>
      <c r="K739" t="n">
        <v>0</v>
      </c>
      <c r="L739" t="n">
        <v>0</v>
      </c>
      <c r="M739" t="n">
        <v>0</v>
      </c>
      <c r="N739" t="n">
        <v>0</v>
      </c>
      <c r="O739" t="n">
        <v>0</v>
      </c>
      <c r="P739" t="n">
        <v>0</v>
      </c>
      <c r="Q739" t="n">
        <v>0</v>
      </c>
      <c r="R739" s="2" t="inlineStr"/>
    </row>
    <row r="740" ht="15" customHeight="1">
      <c r="A740" t="inlineStr">
        <is>
          <t>A 1159-2024</t>
        </is>
      </c>
      <c r="B740" s="1" t="n">
        <v>45302</v>
      </c>
      <c r="C740" s="1" t="n">
        <v>45357</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1669-2024</t>
        </is>
      </c>
      <c r="B741" s="1" t="n">
        <v>45306</v>
      </c>
      <c r="C741" s="1" t="n">
        <v>45357</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1670-2024</t>
        </is>
      </c>
      <c r="B742" s="1" t="n">
        <v>45306</v>
      </c>
      <c r="C742" s="1" t="n">
        <v>45357</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1873-2024</t>
        </is>
      </c>
      <c r="B743" s="1" t="n">
        <v>45307</v>
      </c>
      <c r="C743" s="1" t="n">
        <v>45357</v>
      </c>
      <c r="D743" t="inlineStr">
        <is>
          <t>JÄMTLANDS LÄN</t>
        </is>
      </c>
      <c r="E743" t="inlineStr">
        <is>
          <t>ÖSTERSUND</t>
        </is>
      </c>
      <c r="G743" t="n">
        <v>4.3</v>
      </c>
      <c r="H743" t="n">
        <v>0</v>
      </c>
      <c r="I743" t="n">
        <v>0</v>
      </c>
      <c r="J743" t="n">
        <v>0</v>
      </c>
      <c r="K743" t="n">
        <v>0</v>
      </c>
      <c r="L743" t="n">
        <v>0</v>
      </c>
      <c r="M743" t="n">
        <v>0</v>
      </c>
      <c r="N743" t="n">
        <v>0</v>
      </c>
      <c r="O743" t="n">
        <v>0</v>
      </c>
      <c r="P743" t="n">
        <v>0</v>
      </c>
      <c r="Q743" t="n">
        <v>0</v>
      </c>
      <c r="R743" s="2" t="inlineStr"/>
    </row>
    <row r="744" ht="15" customHeight="1">
      <c r="A744" t="inlineStr">
        <is>
          <t>A 2228-2024</t>
        </is>
      </c>
      <c r="B744" s="1" t="n">
        <v>45309</v>
      </c>
      <c r="C744" s="1" t="n">
        <v>45357</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45357</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2627-2024</t>
        </is>
      </c>
      <c r="B746" s="1" t="n">
        <v>45313</v>
      </c>
      <c r="C746" s="1" t="n">
        <v>45357</v>
      </c>
      <c r="D746" t="inlineStr">
        <is>
          <t>JÄMTLANDS LÄN</t>
        </is>
      </c>
      <c r="E746" t="inlineStr">
        <is>
          <t>ÖSTERSUND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v>
      </c>
      <c r="C747" s="1" t="n">
        <v>45357</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2978-2024</t>
        </is>
      </c>
      <c r="B748" s="1" t="n">
        <v>45315</v>
      </c>
      <c r="C748" s="1" t="n">
        <v>45357</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2984-2024</t>
        </is>
      </c>
      <c r="B749" s="1" t="n">
        <v>45315</v>
      </c>
      <c r="C749" s="1" t="n">
        <v>45357</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3230-2024</t>
        </is>
      </c>
      <c r="B750" s="1" t="n">
        <v>45316</v>
      </c>
      <c r="C750" s="1" t="n">
        <v>45357</v>
      </c>
      <c r="D750" t="inlineStr">
        <is>
          <t>JÄMTLANDS LÄN</t>
        </is>
      </c>
      <c r="E750" t="inlineStr">
        <is>
          <t>ÖSTERSUND</t>
        </is>
      </c>
      <c r="G750" t="n">
        <v>4.4</v>
      </c>
      <c r="H750" t="n">
        <v>0</v>
      </c>
      <c r="I750" t="n">
        <v>0</v>
      </c>
      <c r="J750" t="n">
        <v>0</v>
      </c>
      <c r="K750" t="n">
        <v>0</v>
      </c>
      <c r="L750" t="n">
        <v>0</v>
      </c>
      <c r="M750" t="n">
        <v>0</v>
      </c>
      <c r="N750" t="n">
        <v>0</v>
      </c>
      <c r="O750" t="n">
        <v>0</v>
      </c>
      <c r="P750" t="n">
        <v>0</v>
      </c>
      <c r="Q750" t="n">
        <v>0</v>
      </c>
      <c r="R750" s="2" t="inlineStr"/>
    </row>
    <row r="751" ht="15" customHeight="1">
      <c r="A751" t="inlineStr">
        <is>
          <t>A 3186-2024</t>
        </is>
      </c>
      <c r="B751" s="1" t="n">
        <v>45316</v>
      </c>
      <c r="C751" s="1" t="n">
        <v>45357</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3270-2024</t>
        </is>
      </c>
      <c r="B752" s="1" t="n">
        <v>45316</v>
      </c>
      <c r="C752" s="1" t="n">
        <v>45357</v>
      </c>
      <c r="D752" t="inlineStr">
        <is>
          <t>JÄMTLANDS LÄN</t>
        </is>
      </c>
      <c r="E752" t="inlineStr">
        <is>
          <t>ÖSTERSUND</t>
        </is>
      </c>
      <c r="G752" t="n">
        <v>7.5</v>
      </c>
      <c r="H752" t="n">
        <v>0</v>
      </c>
      <c r="I752" t="n">
        <v>0</v>
      </c>
      <c r="J752" t="n">
        <v>0</v>
      </c>
      <c r="K752" t="n">
        <v>0</v>
      </c>
      <c r="L752" t="n">
        <v>0</v>
      </c>
      <c r="M752" t="n">
        <v>0</v>
      </c>
      <c r="N752" t="n">
        <v>0</v>
      </c>
      <c r="O752" t="n">
        <v>0</v>
      </c>
      <c r="P752" t="n">
        <v>0</v>
      </c>
      <c r="Q752" t="n">
        <v>0</v>
      </c>
      <c r="R752" s="2" t="inlineStr"/>
    </row>
    <row r="753" ht="15" customHeight="1">
      <c r="A753" t="inlineStr">
        <is>
          <t>A 3610-2024</t>
        </is>
      </c>
      <c r="B753" s="1" t="n">
        <v>45320</v>
      </c>
      <c r="C753" s="1" t="n">
        <v>45357</v>
      </c>
      <c r="D753" t="inlineStr">
        <is>
          <t>JÄMTLANDS LÄN</t>
        </is>
      </c>
      <c r="E753" t="inlineStr">
        <is>
          <t>ÖSTERSUND</t>
        </is>
      </c>
      <c r="G753" t="n">
        <v>6.2</v>
      </c>
      <c r="H753" t="n">
        <v>0</v>
      </c>
      <c r="I753" t="n">
        <v>0</v>
      </c>
      <c r="J753" t="n">
        <v>0</v>
      </c>
      <c r="K753" t="n">
        <v>0</v>
      </c>
      <c r="L753" t="n">
        <v>0</v>
      </c>
      <c r="M753" t="n">
        <v>0</v>
      </c>
      <c r="N753" t="n">
        <v>0</v>
      </c>
      <c r="O753" t="n">
        <v>0</v>
      </c>
      <c r="P753" t="n">
        <v>0</v>
      </c>
      <c r="Q753" t="n">
        <v>0</v>
      </c>
      <c r="R753" s="2" t="inlineStr"/>
    </row>
    <row r="754" ht="15" customHeight="1">
      <c r="A754" t="inlineStr">
        <is>
          <t>A 3844-2024</t>
        </is>
      </c>
      <c r="B754" s="1" t="n">
        <v>45321</v>
      </c>
      <c r="C754" s="1" t="n">
        <v>45357</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4176-2024</t>
        </is>
      </c>
      <c r="B755" s="1" t="n">
        <v>45323</v>
      </c>
      <c r="C755" s="1" t="n">
        <v>45357</v>
      </c>
      <c r="D755" t="inlineStr">
        <is>
          <t>JÄMTLANDS LÄN</t>
        </is>
      </c>
      <c r="E755" t="inlineStr">
        <is>
          <t>ÖSTERSUND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v>
      </c>
      <c r="C756" s="1" t="n">
        <v>45357</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4707-2024</t>
        </is>
      </c>
      <c r="B757" s="1" t="n">
        <v>45328</v>
      </c>
      <c r="C757" s="1" t="n">
        <v>45357</v>
      </c>
      <c r="D757" t="inlineStr">
        <is>
          <t>JÄMTLANDS LÄN</t>
        </is>
      </c>
      <c r="E757" t="inlineStr">
        <is>
          <t>ÖSTERSUND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5455-2024</t>
        </is>
      </c>
      <c r="B758" s="1" t="n">
        <v>45331</v>
      </c>
      <c r="C758" s="1" t="n">
        <v>45357</v>
      </c>
      <c r="D758" t="inlineStr">
        <is>
          <t>JÄMTLANDS LÄN</t>
        </is>
      </c>
      <c r="E758" t="inlineStr">
        <is>
          <t>ÖSTERSUND</t>
        </is>
      </c>
      <c r="G758" t="n">
        <v>4.8</v>
      </c>
      <c r="H758" t="n">
        <v>0</v>
      </c>
      <c r="I758" t="n">
        <v>0</v>
      </c>
      <c r="J758" t="n">
        <v>0</v>
      </c>
      <c r="K758" t="n">
        <v>0</v>
      </c>
      <c r="L758" t="n">
        <v>0</v>
      </c>
      <c r="M758" t="n">
        <v>0</v>
      </c>
      <c r="N758" t="n">
        <v>0</v>
      </c>
      <c r="O758" t="n">
        <v>0</v>
      </c>
      <c r="P758" t="n">
        <v>0</v>
      </c>
      <c r="Q758" t="n">
        <v>0</v>
      </c>
      <c r="R758" s="2" t="inlineStr"/>
    </row>
    <row r="759" ht="15" customHeight="1">
      <c r="A759" t="inlineStr">
        <is>
          <t>A 5781-2024</t>
        </is>
      </c>
      <c r="B759" s="1" t="n">
        <v>45335</v>
      </c>
      <c r="C759" s="1" t="n">
        <v>45357</v>
      </c>
      <c r="D759" t="inlineStr">
        <is>
          <t>JÄMTLANDS LÄN</t>
        </is>
      </c>
      <c r="E759" t="inlineStr">
        <is>
          <t>ÖSTERSUND</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5779-2024</t>
        </is>
      </c>
      <c r="B760" s="1" t="n">
        <v>45335</v>
      </c>
      <c r="C760" s="1" t="n">
        <v>45357</v>
      </c>
      <c r="D760" t="inlineStr">
        <is>
          <t>JÄMTLANDS LÄN</t>
        </is>
      </c>
      <c r="E760" t="inlineStr">
        <is>
          <t>ÖSTERSUND</t>
        </is>
      </c>
      <c r="G760" t="n">
        <v>9.9</v>
      </c>
      <c r="H760" t="n">
        <v>0</v>
      </c>
      <c r="I760" t="n">
        <v>0</v>
      </c>
      <c r="J760" t="n">
        <v>0</v>
      </c>
      <c r="K760" t="n">
        <v>0</v>
      </c>
      <c r="L760" t="n">
        <v>0</v>
      </c>
      <c r="M760" t="n">
        <v>0</v>
      </c>
      <c r="N760" t="n">
        <v>0</v>
      </c>
      <c r="O760" t="n">
        <v>0</v>
      </c>
      <c r="P760" t="n">
        <v>0</v>
      </c>
      <c r="Q760" t="n">
        <v>0</v>
      </c>
      <c r="R760" s="2" t="inlineStr"/>
    </row>
    <row r="761" ht="15" customHeight="1">
      <c r="A761" t="inlineStr">
        <is>
          <t>A 5920-2024</t>
        </is>
      </c>
      <c r="B761" s="1" t="n">
        <v>45335</v>
      </c>
      <c r="C761" s="1" t="n">
        <v>45357</v>
      </c>
      <c r="D761" t="inlineStr">
        <is>
          <t>JÄMTLANDS LÄN</t>
        </is>
      </c>
      <c r="E761" t="inlineStr">
        <is>
          <t>ÖSTERSUND</t>
        </is>
      </c>
      <c r="F761" t="inlineStr">
        <is>
          <t>SCA</t>
        </is>
      </c>
      <c r="G761" t="n">
        <v>17.8</v>
      </c>
      <c r="H761" t="n">
        <v>0</v>
      </c>
      <c r="I761" t="n">
        <v>0</v>
      </c>
      <c r="J761" t="n">
        <v>0</v>
      </c>
      <c r="K761" t="n">
        <v>0</v>
      </c>
      <c r="L761" t="n">
        <v>0</v>
      </c>
      <c r="M761" t="n">
        <v>0</v>
      </c>
      <c r="N761" t="n">
        <v>0</v>
      </c>
      <c r="O761" t="n">
        <v>0</v>
      </c>
      <c r="P761" t="n">
        <v>0</v>
      </c>
      <c r="Q761" t="n">
        <v>0</v>
      </c>
      <c r="R761" s="2" t="inlineStr"/>
    </row>
    <row r="762" ht="15" customHeight="1">
      <c r="A762" t="inlineStr">
        <is>
          <t>A 6048-2024</t>
        </is>
      </c>
      <c r="B762" s="1" t="n">
        <v>45336</v>
      </c>
      <c r="C762" s="1" t="n">
        <v>45357</v>
      </c>
      <c r="D762" t="inlineStr">
        <is>
          <t>JÄMTLANDS LÄN</t>
        </is>
      </c>
      <c r="E762" t="inlineStr">
        <is>
          <t>ÖSTERSUND</t>
        </is>
      </c>
      <c r="G762" t="n">
        <v>0.7</v>
      </c>
      <c r="H762" t="n">
        <v>0</v>
      </c>
      <c r="I762" t="n">
        <v>0</v>
      </c>
      <c r="J762" t="n">
        <v>0</v>
      </c>
      <c r="K762" t="n">
        <v>0</v>
      </c>
      <c r="L762" t="n">
        <v>0</v>
      </c>
      <c r="M762" t="n">
        <v>0</v>
      </c>
      <c r="N762" t="n">
        <v>0</v>
      </c>
      <c r="O762" t="n">
        <v>0</v>
      </c>
      <c r="P762" t="n">
        <v>0</v>
      </c>
      <c r="Q762" t="n">
        <v>0</v>
      </c>
      <c r="R762" s="2" t="inlineStr"/>
    </row>
    <row r="763" ht="15" customHeight="1">
      <c r="A763" t="inlineStr">
        <is>
          <t>A 6056-2024</t>
        </is>
      </c>
      <c r="B763" s="1" t="n">
        <v>45336</v>
      </c>
      <c r="C763" s="1" t="n">
        <v>45357</v>
      </c>
      <c r="D763" t="inlineStr">
        <is>
          <t>JÄMTLANDS LÄN</t>
        </is>
      </c>
      <c r="E763" t="inlineStr">
        <is>
          <t>ÖSTERSUND</t>
        </is>
      </c>
      <c r="G763" t="n">
        <v>3.9</v>
      </c>
      <c r="H763" t="n">
        <v>0</v>
      </c>
      <c r="I763" t="n">
        <v>0</v>
      </c>
      <c r="J763" t="n">
        <v>0</v>
      </c>
      <c r="K763" t="n">
        <v>0</v>
      </c>
      <c r="L763" t="n">
        <v>0</v>
      </c>
      <c r="M763" t="n">
        <v>0</v>
      </c>
      <c r="N763" t="n">
        <v>0</v>
      </c>
      <c r="O763" t="n">
        <v>0</v>
      </c>
      <c r="P763" t="n">
        <v>0</v>
      </c>
      <c r="Q763" t="n">
        <v>0</v>
      </c>
      <c r="R763" s="2" t="inlineStr"/>
    </row>
    <row r="764" ht="15" customHeight="1">
      <c r="A764" t="inlineStr">
        <is>
          <t>A 6053-2024</t>
        </is>
      </c>
      <c r="B764" s="1" t="n">
        <v>45336</v>
      </c>
      <c r="C764" s="1" t="n">
        <v>45357</v>
      </c>
      <c r="D764" t="inlineStr">
        <is>
          <t>JÄMTLANDS LÄN</t>
        </is>
      </c>
      <c r="E764" t="inlineStr">
        <is>
          <t>ÖSTERSUND</t>
        </is>
      </c>
      <c r="G764" t="n">
        <v>1.4</v>
      </c>
      <c r="H764" t="n">
        <v>0</v>
      </c>
      <c r="I764" t="n">
        <v>0</v>
      </c>
      <c r="J764" t="n">
        <v>0</v>
      </c>
      <c r="K764" t="n">
        <v>0</v>
      </c>
      <c r="L764" t="n">
        <v>0</v>
      </c>
      <c r="M764" t="n">
        <v>0</v>
      </c>
      <c r="N764" t="n">
        <v>0</v>
      </c>
      <c r="O764" t="n">
        <v>0</v>
      </c>
      <c r="P764" t="n">
        <v>0</v>
      </c>
      <c r="Q764" t="n">
        <v>0</v>
      </c>
      <c r="R764" s="2" t="inlineStr"/>
    </row>
    <row r="765" ht="15" customHeight="1">
      <c r="A765" t="inlineStr">
        <is>
          <t>A 6351-2024</t>
        </is>
      </c>
      <c r="B765" s="1" t="n">
        <v>45338</v>
      </c>
      <c r="C765" s="1" t="n">
        <v>45357</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6481-2024</t>
        </is>
      </c>
      <c r="B766" s="1" t="n">
        <v>45338</v>
      </c>
      <c r="C766" s="1" t="n">
        <v>45357</v>
      </c>
      <c r="D766" t="inlineStr">
        <is>
          <t>JÄMTLANDS LÄN</t>
        </is>
      </c>
      <c r="E766" t="inlineStr">
        <is>
          <t>ÖSTERSUND</t>
        </is>
      </c>
      <c r="F766" t="inlineStr">
        <is>
          <t>SCA</t>
        </is>
      </c>
      <c r="G766" t="n">
        <v>21.3</v>
      </c>
      <c r="H766" t="n">
        <v>0</v>
      </c>
      <c r="I766" t="n">
        <v>0</v>
      </c>
      <c r="J766" t="n">
        <v>0</v>
      </c>
      <c r="K766" t="n">
        <v>0</v>
      </c>
      <c r="L766" t="n">
        <v>0</v>
      </c>
      <c r="M766" t="n">
        <v>0</v>
      </c>
      <c r="N766" t="n">
        <v>0</v>
      </c>
      <c r="O766" t="n">
        <v>0</v>
      </c>
      <c r="P766" t="n">
        <v>0</v>
      </c>
      <c r="Q766" t="n">
        <v>0</v>
      </c>
      <c r="R766" s="2" t="inlineStr"/>
    </row>
    <row r="767" ht="15" customHeight="1">
      <c r="A767" t="inlineStr">
        <is>
          <t>A 6353-2024</t>
        </is>
      </c>
      <c r="B767" s="1" t="n">
        <v>45338</v>
      </c>
      <c r="C767" s="1" t="n">
        <v>45357</v>
      </c>
      <c r="D767" t="inlineStr">
        <is>
          <t>JÄMTLANDS LÄN</t>
        </is>
      </c>
      <c r="E767" t="inlineStr">
        <is>
          <t>ÖSTERSUND</t>
        </is>
      </c>
      <c r="G767" t="n">
        <v>1.9</v>
      </c>
      <c r="H767" t="n">
        <v>0</v>
      </c>
      <c r="I767" t="n">
        <v>0</v>
      </c>
      <c r="J767" t="n">
        <v>0</v>
      </c>
      <c r="K767" t="n">
        <v>0</v>
      </c>
      <c r="L767" t="n">
        <v>0</v>
      </c>
      <c r="M767" t="n">
        <v>0</v>
      </c>
      <c r="N767" t="n">
        <v>0</v>
      </c>
      <c r="O767" t="n">
        <v>0</v>
      </c>
      <c r="P767" t="n">
        <v>0</v>
      </c>
      <c r="Q767" t="n">
        <v>0</v>
      </c>
      <c r="R767" s="2" t="inlineStr"/>
    </row>
    <row r="768" ht="15" customHeight="1">
      <c r="A768" t="inlineStr">
        <is>
          <t>A 6376-2024</t>
        </is>
      </c>
      <c r="B768" s="1" t="n">
        <v>45338</v>
      </c>
      <c r="C768" s="1" t="n">
        <v>45357</v>
      </c>
      <c r="D768" t="inlineStr">
        <is>
          <t>JÄMTLANDS LÄN</t>
        </is>
      </c>
      <c r="E768" t="inlineStr">
        <is>
          <t>ÖSTERSUND</t>
        </is>
      </c>
      <c r="G768" t="n">
        <v>4.6</v>
      </c>
      <c r="H768" t="n">
        <v>0</v>
      </c>
      <c r="I768" t="n">
        <v>0</v>
      </c>
      <c r="J768" t="n">
        <v>0</v>
      </c>
      <c r="K768" t="n">
        <v>0</v>
      </c>
      <c r="L768" t="n">
        <v>0</v>
      </c>
      <c r="M768" t="n">
        <v>0</v>
      </c>
      <c r="N768" t="n">
        <v>0</v>
      </c>
      <c r="O768" t="n">
        <v>0</v>
      </c>
      <c r="P768" t="n">
        <v>0</v>
      </c>
      <c r="Q768" t="n">
        <v>0</v>
      </c>
      <c r="R768" s="2" t="inlineStr"/>
    </row>
    <row r="769" ht="15" customHeight="1">
      <c r="A769" t="inlineStr">
        <is>
          <t>A 6402-2024</t>
        </is>
      </c>
      <c r="B769" s="1" t="n">
        <v>45338</v>
      </c>
      <c r="C769" s="1" t="n">
        <v>45357</v>
      </c>
      <c r="D769" t="inlineStr">
        <is>
          <t>JÄMTLANDS LÄN</t>
        </is>
      </c>
      <c r="E769" t="inlineStr">
        <is>
          <t>ÖSTERSUND</t>
        </is>
      </c>
      <c r="G769" t="n">
        <v>4.4</v>
      </c>
      <c r="H769" t="n">
        <v>0</v>
      </c>
      <c r="I769" t="n">
        <v>0</v>
      </c>
      <c r="J769" t="n">
        <v>0</v>
      </c>
      <c r="K769" t="n">
        <v>0</v>
      </c>
      <c r="L769" t="n">
        <v>0</v>
      </c>
      <c r="M769" t="n">
        <v>0</v>
      </c>
      <c r="N769" t="n">
        <v>0</v>
      </c>
      <c r="O769" t="n">
        <v>0</v>
      </c>
      <c r="P769" t="n">
        <v>0</v>
      </c>
      <c r="Q769" t="n">
        <v>0</v>
      </c>
      <c r="R769" s="2" t="inlineStr"/>
    </row>
    <row r="770" ht="15" customHeight="1">
      <c r="A770" t="inlineStr">
        <is>
          <t>A 7224-2024</t>
        </is>
      </c>
      <c r="B770" s="1" t="n">
        <v>45344</v>
      </c>
      <c r="C770" s="1" t="n">
        <v>45357</v>
      </c>
      <c r="D770" t="inlineStr">
        <is>
          <t>JÄMTLANDS LÄN</t>
        </is>
      </c>
      <c r="E770" t="inlineStr">
        <is>
          <t>ÖSTERSUND</t>
        </is>
      </c>
      <c r="G770" t="n">
        <v>2.9</v>
      </c>
      <c r="H770" t="n">
        <v>0</v>
      </c>
      <c r="I770" t="n">
        <v>0</v>
      </c>
      <c r="J770" t="n">
        <v>0</v>
      </c>
      <c r="K770" t="n">
        <v>0</v>
      </c>
      <c r="L770" t="n">
        <v>0</v>
      </c>
      <c r="M770" t="n">
        <v>0</v>
      </c>
      <c r="N770" t="n">
        <v>0</v>
      </c>
      <c r="O770" t="n">
        <v>0</v>
      </c>
      <c r="P770" t="n">
        <v>0</v>
      </c>
      <c r="Q770" t="n">
        <v>0</v>
      </c>
      <c r="R770" s="2" t="inlineStr"/>
    </row>
    <row r="771" ht="15" customHeight="1">
      <c r="A771" t="inlineStr">
        <is>
          <t>A 7228-2024</t>
        </is>
      </c>
      <c r="B771" s="1" t="n">
        <v>45344</v>
      </c>
      <c r="C771" s="1" t="n">
        <v>45357</v>
      </c>
      <c r="D771" t="inlineStr">
        <is>
          <t>JÄMTLANDS LÄN</t>
        </is>
      </c>
      <c r="E771" t="inlineStr">
        <is>
          <t>ÖSTERSUND</t>
        </is>
      </c>
      <c r="G771" t="n">
        <v>3</v>
      </c>
      <c r="H771" t="n">
        <v>0</v>
      </c>
      <c r="I771" t="n">
        <v>0</v>
      </c>
      <c r="J771" t="n">
        <v>0</v>
      </c>
      <c r="K771" t="n">
        <v>0</v>
      </c>
      <c r="L771" t="n">
        <v>0</v>
      </c>
      <c r="M771" t="n">
        <v>0</v>
      </c>
      <c r="N771" t="n">
        <v>0</v>
      </c>
      <c r="O771" t="n">
        <v>0</v>
      </c>
      <c r="P771" t="n">
        <v>0</v>
      </c>
      <c r="Q771" t="n">
        <v>0</v>
      </c>
      <c r="R771" s="2" t="inlineStr"/>
    </row>
    <row r="772" ht="15" customHeight="1">
      <c r="A772" t="inlineStr">
        <is>
          <t>A 7233-2024</t>
        </is>
      </c>
      <c r="B772" s="1" t="n">
        <v>45344</v>
      </c>
      <c r="C772" s="1" t="n">
        <v>45357</v>
      </c>
      <c r="D772" t="inlineStr">
        <is>
          <t>JÄMTLANDS LÄN</t>
        </is>
      </c>
      <c r="E772" t="inlineStr">
        <is>
          <t>ÖSTERSUND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7484-2024</t>
        </is>
      </c>
      <c r="B773" s="1" t="n">
        <v>45346</v>
      </c>
      <c r="C773" s="1" t="n">
        <v>45357</v>
      </c>
      <c r="D773" t="inlineStr">
        <is>
          <t>JÄMTLANDS LÄN</t>
        </is>
      </c>
      <c r="E773" t="inlineStr">
        <is>
          <t>ÖSTERSUND</t>
        </is>
      </c>
      <c r="G773" t="n">
        <v>5.4</v>
      </c>
      <c r="H773" t="n">
        <v>0</v>
      </c>
      <c r="I773" t="n">
        <v>0</v>
      </c>
      <c r="J773" t="n">
        <v>0</v>
      </c>
      <c r="K773" t="n">
        <v>0</v>
      </c>
      <c r="L773" t="n">
        <v>0</v>
      </c>
      <c r="M773" t="n">
        <v>0</v>
      </c>
      <c r="N773" t="n">
        <v>0</v>
      </c>
      <c r="O773" t="n">
        <v>0</v>
      </c>
      <c r="P773" t="n">
        <v>0</v>
      </c>
      <c r="Q773" t="n">
        <v>0</v>
      </c>
      <c r="R773" s="2" t="inlineStr"/>
    </row>
    <row r="774" ht="15" customHeight="1">
      <c r="A774" t="inlineStr">
        <is>
          <t>A 7698-2024</t>
        </is>
      </c>
      <c r="B774" s="1" t="n">
        <v>45349</v>
      </c>
      <c r="C774" s="1" t="n">
        <v>45357</v>
      </c>
      <c r="D774" t="inlineStr">
        <is>
          <t>JÄMTLANDS LÄN</t>
        </is>
      </c>
      <c r="E774" t="inlineStr">
        <is>
          <t>ÖSTERSUND</t>
        </is>
      </c>
      <c r="F774" t="inlineStr">
        <is>
          <t>Övriga Aktiebolag</t>
        </is>
      </c>
      <c r="G774" t="n">
        <v>4.5</v>
      </c>
      <c r="H774" t="n">
        <v>0</v>
      </c>
      <c r="I774" t="n">
        <v>0</v>
      </c>
      <c r="J774" t="n">
        <v>0</v>
      </c>
      <c r="K774" t="n">
        <v>0</v>
      </c>
      <c r="L774" t="n">
        <v>0</v>
      </c>
      <c r="M774" t="n">
        <v>0</v>
      </c>
      <c r="N774" t="n">
        <v>0</v>
      </c>
      <c r="O774" t="n">
        <v>0</v>
      </c>
      <c r="P774" t="n">
        <v>0</v>
      </c>
      <c r="Q774" t="n">
        <v>0</v>
      </c>
      <c r="R774" s="2" t="inlineStr"/>
    </row>
    <row r="775" ht="15" customHeight="1">
      <c r="A775" t="inlineStr">
        <is>
          <t>A 7717-2024</t>
        </is>
      </c>
      <c r="B775" s="1" t="n">
        <v>45349</v>
      </c>
      <c r="C775" s="1" t="n">
        <v>45357</v>
      </c>
      <c r="D775" t="inlineStr">
        <is>
          <t>JÄMTLANDS LÄN</t>
        </is>
      </c>
      <c r="E775" t="inlineStr">
        <is>
          <t>ÖSTERSUND</t>
        </is>
      </c>
      <c r="F775" t="inlineStr">
        <is>
          <t>Övriga Aktiebolag</t>
        </is>
      </c>
      <c r="G775" t="n">
        <v>2.5</v>
      </c>
      <c r="H775" t="n">
        <v>0</v>
      </c>
      <c r="I775" t="n">
        <v>0</v>
      </c>
      <c r="J775" t="n">
        <v>0</v>
      </c>
      <c r="K775" t="n">
        <v>0</v>
      </c>
      <c r="L775" t="n">
        <v>0</v>
      </c>
      <c r="M775" t="n">
        <v>0</v>
      </c>
      <c r="N775" t="n">
        <v>0</v>
      </c>
      <c r="O775" t="n">
        <v>0</v>
      </c>
      <c r="P775" t="n">
        <v>0</v>
      </c>
      <c r="Q775" t="n">
        <v>0</v>
      </c>
      <c r="R775" s="2" t="inlineStr"/>
    </row>
    <row r="776" ht="15" customHeight="1">
      <c r="A776" t="inlineStr">
        <is>
          <t>A 7710-2024</t>
        </is>
      </c>
      <c r="B776" s="1" t="n">
        <v>45349</v>
      </c>
      <c r="C776" s="1" t="n">
        <v>45357</v>
      </c>
      <c r="D776" t="inlineStr">
        <is>
          <t>JÄMTLANDS LÄN</t>
        </is>
      </c>
      <c r="E776" t="inlineStr">
        <is>
          <t>ÖSTERSUND</t>
        </is>
      </c>
      <c r="F776" t="inlineStr">
        <is>
          <t>Övriga Aktiebolag</t>
        </is>
      </c>
      <c r="G776" t="n">
        <v>0.7</v>
      </c>
      <c r="H776" t="n">
        <v>0</v>
      </c>
      <c r="I776" t="n">
        <v>0</v>
      </c>
      <c r="J776" t="n">
        <v>0</v>
      </c>
      <c r="K776" t="n">
        <v>0</v>
      </c>
      <c r="L776" t="n">
        <v>0</v>
      </c>
      <c r="M776" t="n">
        <v>0</v>
      </c>
      <c r="N776" t="n">
        <v>0</v>
      </c>
      <c r="O776" t="n">
        <v>0</v>
      </c>
      <c r="P776" t="n">
        <v>0</v>
      </c>
      <c r="Q776" t="n">
        <v>0</v>
      </c>
      <c r="R776" s="2" t="inlineStr"/>
    </row>
    <row r="777">
      <c r="A777" t="inlineStr">
        <is>
          <t>A 8166-2024</t>
        </is>
      </c>
      <c r="B777" s="1" t="n">
        <v>45349</v>
      </c>
      <c r="C777" s="1" t="n">
        <v>45357</v>
      </c>
      <c r="D777" t="inlineStr">
        <is>
          <t>JÄMTLANDS LÄN</t>
        </is>
      </c>
      <c r="E777" t="inlineStr">
        <is>
          <t>ÖSTERSUND</t>
        </is>
      </c>
      <c r="G777" t="n">
        <v>2.7</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2024-03-06T12:56:36Z</dcterms:created>
  <dcterms:modified xmlns:dcterms="http://purl.org/dc/terms/" xmlns:xsi="http://www.w3.org/2001/XMLSchema-instance" xsi:type="dcterms:W3CDTF">2024-03-06T12:56:36Z</dcterms:modified>
</cp:coreProperties>
</file>