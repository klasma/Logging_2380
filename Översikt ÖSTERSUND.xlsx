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45883</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45883</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45883</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45883</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45883</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45883</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45883</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45883</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45883</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26796-2024</t>
        </is>
      </c>
      <c r="B14" s="1" t="n">
        <v>45470</v>
      </c>
      <c r="C14" s="1" t="n">
        <v>45883</v>
      </c>
      <c r="D14" t="inlineStr">
        <is>
          <t>JÄMTLANDS LÄN</t>
        </is>
      </c>
      <c r="E14" t="inlineStr">
        <is>
          <t>ÖSTERSUND</t>
        </is>
      </c>
      <c r="G14" t="n">
        <v>13.5</v>
      </c>
      <c r="H14" t="n">
        <v>6</v>
      </c>
      <c r="I14" t="n">
        <v>1</v>
      </c>
      <c r="J14" t="n">
        <v>6</v>
      </c>
      <c r="K14" t="n">
        <v>1</v>
      </c>
      <c r="L14" t="n">
        <v>0</v>
      </c>
      <c r="M14" t="n">
        <v>0</v>
      </c>
      <c r="N14" t="n">
        <v>0</v>
      </c>
      <c r="O14" t="n">
        <v>7</v>
      </c>
      <c r="P14" t="n">
        <v>1</v>
      </c>
      <c r="Q14" t="n">
        <v>10</v>
      </c>
      <c r="R14" s="2" t="inlineStr">
        <is>
          <t>Knärot
Garnlav
Granticka
Harticka
Talltita
Tretåig hackspett
Ullticka
Spindelblomster
Kungsfågel
Revlummer</t>
        </is>
      </c>
      <c r="S14">
        <f>HYPERLINK("https://klasma.github.io/Logging_2380/artfynd/A 26796-2024 artfynd.xlsx", "A 26796-2024")</f>
        <v/>
      </c>
      <c r="T14">
        <f>HYPERLINK("https://klasma.github.io/Logging_2380/kartor/A 26796-2024 karta.png", "A 26796-2024")</f>
        <v/>
      </c>
      <c r="U14">
        <f>HYPERLINK("https://klasma.github.io/Logging_2380/knärot/A 26796-2024 karta knärot.png", "A 26796-2024")</f>
        <v/>
      </c>
      <c r="V14">
        <f>HYPERLINK("https://klasma.github.io/Logging_2380/klagomål/A 26796-2024 FSC-klagomål.docx", "A 26796-2024")</f>
        <v/>
      </c>
      <c r="W14">
        <f>HYPERLINK("https://klasma.github.io/Logging_2380/klagomålsmail/A 26796-2024 FSC-klagomål mail.docx", "A 26796-2024")</f>
        <v/>
      </c>
      <c r="X14">
        <f>HYPERLINK("https://klasma.github.io/Logging_2380/tillsyn/A 26796-2024 tillsynsbegäran.docx", "A 26796-2024")</f>
        <v/>
      </c>
      <c r="Y14">
        <f>HYPERLINK("https://klasma.github.io/Logging_2380/tillsynsmail/A 26796-2024 tillsynsbegäran mail.docx", "A 26796-2024")</f>
        <v/>
      </c>
      <c r="Z14">
        <f>HYPERLINK("https://klasma.github.io/Logging_2380/fåglar/A 26796-2024 prioriterade fågelarter.docx", "A 26796-2024")</f>
        <v/>
      </c>
    </row>
    <row r="15" ht="15" customHeight="1">
      <c r="A15" t="inlineStr">
        <is>
          <t>A 16845-2025</t>
        </is>
      </c>
      <c r="B15" s="1" t="n">
        <v>45754.67761574074</v>
      </c>
      <c r="C15" s="1" t="n">
        <v>45883</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45883</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45883</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45224-2024</t>
        </is>
      </c>
      <c r="B18" s="1" t="n">
        <v>45575.77440972222</v>
      </c>
      <c r="C18" s="1" t="n">
        <v>45883</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34816-2024</t>
        </is>
      </c>
      <c r="B19" s="1" t="n">
        <v>45526</v>
      </c>
      <c r="C19" s="1" t="n">
        <v>45883</v>
      </c>
      <c r="D19" t="inlineStr">
        <is>
          <t>JÄMTLANDS LÄN</t>
        </is>
      </c>
      <c r="E19" t="inlineStr">
        <is>
          <t>ÖSTERSUND</t>
        </is>
      </c>
      <c r="F19" t="inlineStr">
        <is>
          <t>SCA</t>
        </is>
      </c>
      <c r="G19" t="n">
        <v>14.4</v>
      </c>
      <c r="H19" t="n">
        <v>0</v>
      </c>
      <c r="I19" t="n">
        <v>0</v>
      </c>
      <c r="J19" t="n">
        <v>9</v>
      </c>
      <c r="K19" t="n">
        <v>0</v>
      </c>
      <c r="L19" t="n">
        <v>0</v>
      </c>
      <c r="M19" t="n">
        <v>0</v>
      </c>
      <c r="N19" t="n">
        <v>0</v>
      </c>
      <c r="O19" t="n">
        <v>9</v>
      </c>
      <c r="P19" t="n">
        <v>0</v>
      </c>
      <c r="Q19" t="n">
        <v>9</v>
      </c>
      <c r="R19" s="2" t="inlineStr">
        <is>
          <t>Blå taggsvamp
Dvärgbägarlav
Lunglav
Mörk kolflarnlav
Orange taggsvamp
Skrovlig taggsvamp
Stiftgelélav
Svart taggsvamp
Vedskivlav</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27907-2024</t>
        </is>
      </c>
      <c r="B20" s="1" t="n">
        <v>45475.94597222222</v>
      </c>
      <c r="C20" s="1" t="n">
        <v>45883</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4967-2025</t>
        </is>
      </c>
      <c r="B21" s="1" t="n">
        <v>45690</v>
      </c>
      <c r="C21" s="1" t="n">
        <v>45883</v>
      </c>
      <c r="D21" t="inlineStr">
        <is>
          <t>JÄMTLANDS LÄN</t>
        </is>
      </c>
      <c r="E21" t="inlineStr">
        <is>
          <t>ÖSTERSUND</t>
        </is>
      </c>
      <c r="G21" t="n">
        <v>26.9</v>
      </c>
      <c r="H21" t="n">
        <v>0</v>
      </c>
      <c r="I21" t="n">
        <v>2</v>
      </c>
      <c r="J21" t="n">
        <v>6</v>
      </c>
      <c r="K21" t="n">
        <v>0</v>
      </c>
      <c r="L21" t="n">
        <v>0</v>
      </c>
      <c r="M21" t="n">
        <v>0</v>
      </c>
      <c r="N21" t="n">
        <v>0</v>
      </c>
      <c r="O21" t="n">
        <v>6</v>
      </c>
      <c r="P21" t="n">
        <v>0</v>
      </c>
      <c r="Q21" t="n">
        <v>8</v>
      </c>
      <c r="R21" s="2" t="inlineStr">
        <is>
          <t>Garnlav
Granticka
Liten svartspik
Lunglav
Småflikig brosklav
Vitgrynig nållav
Skinnlav
Stuplav</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17716-2024</t>
        </is>
      </c>
      <c r="B22" s="1" t="n">
        <v>45415</v>
      </c>
      <c r="C22" s="1" t="n">
        <v>45883</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45883</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45883</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45883</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40777-2023</t>
        </is>
      </c>
      <c r="B26" s="1" t="n">
        <v>45170</v>
      </c>
      <c r="C26" s="1" t="n">
        <v>45883</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40751-2020</t>
        </is>
      </c>
      <c r="B27" s="1" t="n">
        <v>44069</v>
      </c>
      <c r="C27" s="1" t="n">
        <v>45883</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45883</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45883</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45883</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45883</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45883</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45883</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47392-2022</t>
        </is>
      </c>
      <c r="B34" s="1" t="n">
        <v>44851</v>
      </c>
      <c r="C34" s="1" t="n">
        <v>45883</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45883</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61153-2024</t>
        </is>
      </c>
      <c r="B36" s="1" t="n">
        <v>45645</v>
      </c>
      <c r="C36" s="1" t="n">
        <v>45883</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40555-2024</t>
        </is>
      </c>
      <c r="B37" s="1" t="n">
        <v>45555</v>
      </c>
      <c r="C37" s="1" t="n">
        <v>45883</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3995-2025</t>
        </is>
      </c>
      <c r="B38" s="1" t="n">
        <v>45684</v>
      </c>
      <c r="C38" s="1" t="n">
        <v>45883</v>
      </c>
      <c r="D38" t="inlineStr">
        <is>
          <t>JÄMTLANDS LÄN</t>
        </is>
      </c>
      <c r="E38" t="inlineStr">
        <is>
          <t>ÖSTERSUND</t>
        </is>
      </c>
      <c r="G38" t="n">
        <v>6.5</v>
      </c>
      <c r="H38" t="n">
        <v>1</v>
      </c>
      <c r="I38" t="n">
        <v>0</v>
      </c>
      <c r="J38" t="n">
        <v>5</v>
      </c>
      <c r="K38" t="n">
        <v>1</v>
      </c>
      <c r="L38" t="n">
        <v>0</v>
      </c>
      <c r="M38" t="n">
        <v>0</v>
      </c>
      <c r="N38" t="n">
        <v>0</v>
      </c>
      <c r="O38" t="n">
        <v>6</v>
      </c>
      <c r="P38" t="n">
        <v>1</v>
      </c>
      <c r="Q38" t="n">
        <v>6</v>
      </c>
      <c r="R38" s="2" t="inlineStr">
        <is>
          <t>Rynkskinn
Gränsticka
Rosenticka
Tretåig hackspett
Ullticka
Vedtrappmossa</t>
        </is>
      </c>
      <c r="S38">
        <f>HYPERLINK("https://klasma.github.io/Logging_2380/artfynd/A 3995-2025 artfynd.xlsx", "A 3995-2025")</f>
        <v/>
      </c>
      <c r="T38">
        <f>HYPERLINK("https://klasma.github.io/Logging_2380/kartor/A 3995-2025 karta.png", "A 3995-2025")</f>
        <v/>
      </c>
      <c r="V38">
        <f>HYPERLINK("https://klasma.github.io/Logging_2380/klagomål/A 3995-2025 FSC-klagomål.docx", "A 3995-2025")</f>
        <v/>
      </c>
      <c r="W38">
        <f>HYPERLINK("https://klasma.github.io/Logging_2380/klagomålsmail/A 3995-2025 FSC-klagomål mail.docx", "A 3995-2025")</f>
        <v/>
      </c>
      <c r="X38">
        <f>HYPERLINK("https://klasma.github.io/Logging_2380/tillsyn/A 3995-2025 tillsynsbegäran.docx", "A 3995-2025")</f>
        <v/>
      </c>
      <c r="Y38">
        <f>HYPERLINK("https://klasma.github.io/Logging_2380/tillsynsmail/A 3995-2025 tillsynsbegäran mail.docx", "A 3995-2025")</f>
        <v/>
      </c>
      <c r="Z38">
        <f>HYPERLINK("https://klasma.github.io/Logging_2380/fåglar/A 3995-2025 prioriterade fågelarter.docx", "A 3995-2025")</f>
        <v/>
      </c>
    </row>
    <row r="39" ht="15" customHeight="1">
      <c r="A39" t="inlineStr">
        <is>
          <t>A 12712-2021</t>
        </is>
      </c>
      <c r="B39" s="1" t="n">
        <v>44270.58950231481</v>
      </c>
      <c r="C39" s="1" t="n">
        <v>45883</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27577-2022</t>
        </is>
      </c>
      <c r="B40" s="1" t="n">
        <v>44742</v>
      </c>
      <c r="C40" s="1" t="n">
        <v>45883</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45883</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45883</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10747-2024</t>
        </is>
      </c>
      <c r="B43" s="1" t="n">
        <v>45369</v>
      </c>
      <c r="C43" s="1" t="n">
        <v>45883</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54731-2024</t>
        </is>
      </c>
      <c r="B44" s="1" t="n">
        <v>45618.43853009259</v>
      </c>
      <c r="C44" s="1" t="n">
        <v>45883</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39941-2024</t>
        </is>
      </c>
      <c r="B45" s="1" t="n">
        <v>45553</v>
      </c>
      <c r="C45" s="1" t="n">
        <v>45883</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29117-2025</t>
        </is>
      </c>
      <c r="B46" s="1" t="n">
        <v>45821.59243055555</v>
      </c>
      <c r="C46" s="1" t="n">
        <v>45883</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7717-2024</t>
        </is>
      </c>
      <c r="B47" s="1" t="n">
        <v>45349</v>
      </c>
      <c r="C47" s="1" t="n">
        <v>45883</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60580-2024</t>
        </is>
      </c>
      <c r="B48" s="1" t="n">
        <v>45644</v>
      </c>
      <c r="C48" s="1" t="n">
        <v>45883</v>
      </c>
      <c r="D48" t="inlineStr">
        <is>
          <t>JÄMTLANDS LÄN</t>
        </is>
      </c>
      <c r="E48" t="inlineStr">
        <is>
          <t>ÖSTERSUND</t>
        </is>
      </c>
      <c r="G48" t="n">
        <v>13.5</v>
      </c>
      <c r="H48" t="n">
        <v>2</v>
      </c>
      <c r="I48" t="n">
        <v>0</v>
      </c>
      <c r="J48" t="n">
        <v>4</v>
      </c>
      <c r="K48" t="n">
        <v>0</v>
      </c>
      <c r="L48" t="n">
        <v>0</v>
      </c>
      <c r="M48" t="n">
        <v>0</v>
      </c>
      <c r="N48" t="n">
        <v>0</v>
      </c>
      <c r="O48" t="n">
        <v>4</v>
      </c>
      <c r="P48" t="n">
        <v>0</v>
      </c>
      <c r="Q48" t="n">
        <v>4</v>
      </c>
      <c r="R48" s="2" t="inlineStr">
        <is>
          <t>Granticka
Lunglav
Spillkråka
Tretåig hackspett</t>
        </is>
      </c>
      <c r="S48">
        <f>HYPERLINK("https://klasma.github.io/Logging_2380/artfynd/A 60580-2024 artfynd.xlsx", "A 60580-2024")</f>
        <v/>
      </c>
      <c r="T48">
        <f>HYPERLINK("https://klasma.github.io/Logging_2380/kartor/A 60580-2024 karta.png", "A 60580-2024")</f>
        <v/>
      </c>
      <c r="V48">
        <f>HYPERLINK("https://klasma.github.io/Logging_2380/klagomål/A 60580-2024 FSC-klagomål.docx", "A 60580-2024")</f>
        <v/>
      </c>
      <c r="W48">
        <f>HYPERLINK("https://klasma.github.io/Logging_2380/klagomålsmail/A 60580-2024 FSC-klagomål mail.docx", "A 60580-2024")</f>
        <v/>
      </c>
      <c r="X48">
        <f>HYPERLINK("https://klasma.github.io/Logging_2380/tillsyn/A 60580-2024 tillsynsbegäran.docx", "A 60580-2024")</f>
        <v/>
      </c>
      <c r="Y48">
        <f>HYPERLINK("https://klasma.github.io/Logging_2380/tillsynsmail/A 60580-2024 tillsynsbegäran mail.docx", "A 60580-2024")</f>
        <v/>
      </c>
      <c r="Z48">
        <f>HYPERLINK("https://klasma.github.io/Logging_2380/fåglar/A 60580-2024 prioriterade fågelarter.docx", "A 60580-2024")</f>
        <v/>
      </c>
    </row>
    <row r="49" ht="15" customHeight="1">
      <c r="A49" t="inlineStr">
        <is>
          <t>A 2962-2023</t>
        </is>
      </c>
      <c r="B49" s="1" t="n">
        <v>44945</v>
      </c>
      <c r="C49" s="1" t="n">
        <v>45883</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45883</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31127-2025</t>
        </is>
      </c>
      <c r="B51" s="1" t="n">
        <v>45831</v>
      </c>
      <c r="C51" s="1" t="n">
        <v>45883</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25369-2024</t>
        </is>
      </c>
      <c r="B52" s="1" t="n">
        <v>45462.95982638889</v>
      </c>
      <c r="C52" s="1" t="n">
        <v>45883</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7698-2024</t>
        </is>
      </c>
      <c r="B53" s="1" t="n">
        <v>45349</v>
      </c>
      <c r="C53" s="1" t="n">
        <v>45883</v>
      </c>
      <c r="D53" t="inlineStr">
        <is>
          <t>JÄMTLANDS LÄN</t>
        </is>
      </c>
      <c r="E53" t="inlineStr">
        <is>
          <t>ÖSTERSUND</t>
        </is>
      </c>
      <c r="F53" t="inlineStr">
        <is>
          <t>Övriga Aktiebolag</t>
        </is>
      </c>
      <c r="G53" t="n">
        <v>4.5</v>
      </c>
      <c r="H53" t="n">
        <v>2</v>
      </c>
      <c r="I53" t="n">
        <v>1</v>
      </c>
      <c r="J53" t="n">
        <v>2</v>
      </c>
      <c r="K53" t="n">
        <v>0</v>
      </c>
      <c r="L53" t="n">
        <v>0</v>
      </c>
      <c r="M53" t="n">
        <v>0</v>
      </c>
      <c r="N53" t="n">
        <v>0</v>
      </c>
      <c r="O53" t="n">
        <v>2</v>
      </c>
      <c r="P53" t="n">
        <v>0</v>
      </c>
      <c r="Q53" t="n">
        <v>4</v>
      </c>
      <c r="R53" s="2" t="inlineStr">
        <is>
          <t>Brunklöver
Månlåsbräken
Tvåblad
Brudsporre</t>
        </is>
      </c>
      <c r="S53">
        <f>HYPERLINK("https://klasma.github.io/Logging_2380/artfynd/A 7698-2024 artfynd.xlsx", "A 7698-2024")</f>
        <v/>
      </c>
      <c r="T53">
        <f>HYPERLINK("https://klasma.github.io/Logging_2380/kartor/A 7698-2024 karta.png", "A 7698-2024")</f>
        <v/>
      </c>
      <c r="V53">
        <f>HYPERLINK("https://klasma.github.io/Logging_2380/klagomål/A 7698-2024 FSC-klagomål.docx", "A 7698-2024")</f>
        <v/>
      </c>
      <c r="W53">
        <f>HYPERLINK("https://klasma.github.io/Logging_2380/klagomålsmail/A 7698-2024 FSC-klagomål mail.docx", "A 7698-2024")</f>
        <v/>
      </c>
      <c r="X53">
        <f>HYPERLINK("https://klasma.github.io/Logging_2380/tillsyn/A 7698-2024 tillsynsbegäran.docx", "A 7698-2024")</f>
        <v/>
      </c>
      <c r="Y53">
        <f>HYPERLINK("https://klasma.github.io/Logging_2380/tillsynsmail/A 7698-2024 tillsynsbegäran mail.docx", "A 7698-2024")</f>
        <v/>
      </c>
    </row>
    <row r="54" ht="15" customHeight="1">
      <c r="A54" t="inlineStr">
        <is>
          <t>A 29135-2022</t>
        </is>
      </c>
      <c r="B54" s="1" t="n">
        <v>44750</v>
      </c>
      <c r="C54" s="1" t="n">
        <v>45883</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45883</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25279-2025</t>
        </is>
      </c>
      <c r="B56" s="1" t="n">
        <v>45800.55701388889</v>
      </c>
      <c r="C56" s="1" t="n">
        <v>45883</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45883</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60565-2022</t>
        </is>
      </c>
      <c r="B58" s="1" t="n">
        <v>44904</v>
      </c>
      <c r="C58" s="1" t="n">
        <v>45883</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46705-2023</t>
        </is>
      </c>
      <c r="B59" s="1" t="n">
        <v>45198</v>
      </c>
      <c r="C59" s="1" t="n">
        <v>45883</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40695-2024</t>
        </is>
      </c>
      <c r="B60" s="1" t="n">
        <v>45558</v>
      </c>
      <c r="C60" s="1" t="n">
        <v>45883</v>
      </c>
      <c r="D60" t="inlineStr">
        <is>
          <t>JÄMTLANDS LÄN</t>
        </is>
      </c>
      <c r="E60" t="inlineStr">
        <is>
          <t>ÖSTERSUND</t>
        </is>
      </c>
      <c r="F60" t="inlineStr">
        <is>
          <t>SCA</t>
        </is>
      </c>
      <c r="G60" t="n">
        <v>2.9</v>
      </c>
      <c r="H60" t="n">
        <v>0</v>
      </c>
      <c r="I60" t="n">
        <v>2</v>
      </c>
      <c r="J60" t="n">
        <v>1</v>
      </c>
      <c r="K60" t="n">
        <v>0</v>
      </c>
      <c r="L60" t="n">
        <v>0</v>
      </c>
      <c r="M60" t="n">
        <v>0</v>
      </c>
      <c r="N60" t="n">
        <v>0</v>
      </c>
      <c r="O60" t="n">
        <v>1</v>
      </c>
      <c r="P60" t="n">
        <v>0</v>
      </c>
      <c r="Q60" t="n">
        <v>3</v>
      </c>
      <c r="R60" s="2" t="inlineStr">
        <is>
          <t>Lunglav
Dropptaggsvamp
Skinnlav</t>
        </is>
      </c>
      <c r="S60">
        <f>HYPERLINK("https://klasma.github.io/Logging_2380/artfynd/A 40695-2024 artfynd.xlsx", "A 40695-2024")</f>
        <v/>
      </c>
      <c r="T60">
        <f>HYPERLINK("https://klasma.github.io/Logging_2380/kartor/A 40695-2024 karta.png", "A 40695-2024")</f>
        <v/>
      </c>
      <c r="V60">
        <f>HYPERLINK("https://klasma.github.io/Logging_2380/klagomål/A 40695-2024 FSC-klagomål.docx", "A 40695-2024")</f>
        <v/>
      </c>
      <c r="W60">
        <f>HYPERLINK("https://klasma.github.io/Logging_2380/klagomålsmail/A 40695-2024 FSC-klagomål mail.docx", "A 40695-2024")</f>
        <v/>
      </c>
      <c r="X60">
        <f>HYPERLINK("https://klasma.github.io/Logging_2380/tillsyn/A 40695-2024 tillsynsbegäran.docx", "A 40695-2024")</f>
        <v/>
      </c>
      <c r="Y60">
        <f>HYPERLINK("https://klasma.github.io/Logging_2380/tillsynsmail/A 40695-2024 tillsynsbegäran mail.docx", "A 40695-2024")</f>
        <v/>
      </c>
    </row>
    <row r="61" ht="15" customHeight="1">
      <c r="A61" t="inlineStr">
        <is>
          <t>A 43981-2023</t>
        </is>
      </c>
      <c r="B61" s="1" t="n">
        <v>45187</v>
      </c>
      <c r="C61" s="1" t="n">
        <v>45883</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7965-2025</t>
        </is>
      </c>
      <c r="B62" s="1" t="n">
        <v>45707.45219907408</v>
      </c>
      <c r="C62" s="1" t="n">
        <v>45883</v>
      </c>
      <c r="D62" t="inlineStr">
        <is>
          <t>JÄMTLANDS LÄN</t>
        </is>
      </c>
      <c r="E62" t="inlineStr">
        <is>
          <t>ÖSTERSUND</t>
        </is>
      </c>
      <c r="G62" t="n">
        <v>3.7</v>
      </c>
      <c r="H62" t="n">
        <v>2</v>
      </c>
      <c r="I62" t="n">
        <v>1</v>
      </c>
      <c r="J62" t="n">
        <v>0</v>
      </c>
      <c r="K62" t="n">
        <v>0</v>
      </c>
      <c r="L62" t="n">
        <v>0</v>
      </c>
      <c r="M62" t="n">
        <v>0</v>
      </c>
      <c r="N62" t="n">
        <v>0</v>
      </c>
      <c r="O62" t="n">
        <v>0</v>
      </c>
      <c r="P62" t="n">
        <v>0</v>
      </c>
      <c r="Q62" t="n">
        <v>3</v>
      </c>
      <c r="R62" s="2" t="inlineStr">
        <is>
          <t>Finbräken
Fläcknycklar
Blåsippa</t>
        </is>
      </c>
      <c r="S62">
        <f>HYPERLINK("https://klasma.github.io/Logging_2380/artfynd/A 7965-2025 artfynd.xlsx", "A 7965-2025")</f>
        <v/>
      </c>
      <c r="T62">
        <f>HYPERLINK("https://klasma.github.io/Logging_2380/kartor/A 7965-2025 karta.png", "A 7965-2025")</f>
        <v/>
      </c>
      <c r="V62">
        <f>HYPERLINK("https://klasma.github.io/Logging_2380/klagomål/A 7965-2025 FSC-klagomål.docx", "A 7965-2025")</f>
        <v/>
      </c>
      <c r="W62">
        <f>HYPERLINK("https://klasma.github.io/Logging_2380/klagomålsmail/A 7965-2025 FSC-klagomål mail.docx", "A 7965-2025")</f>
        <v/>
      </c>
      <c r="X62">
        <f>HYPERLINK("https://klasma.github.io/Logging_2380/tillsyn/A 7965-2025 tillsynsbegäran.docx", "A 7965-2025")</f>
        <v/>
      </c>
      <c r="Y62">
        <f>HYPERLINK("https://klasma.github.io/Logging_2380/tillsynsmail/A 7965-2025 tillsynsbegäran mail.docx", "A 7965-2025")</f>
        <v/>
      </c>
    </row>
    <row r="63" ht="15" customHeight="1">
      <c r="A63" t="inlineStr">
        <is>
          <t>A 53652-2024</t>
        </is>
      </c>
      <c r="B63" s="1" t="n">
        <v>45615.29761574074</v>
      </c>
      <c r="C63" s="1" t="n">
        <v>45883</v>
      </c>
      <c r="D63" t="inlineStr">
        <is>
          <t>JÄMTLANDS LÄN</t>
        </is>
      </c>
      <c r="E63" t="inlineStr">
        <is>
          <t>ÖSTERSUND</t>
        </is>
      </c>
      <c r="G63" t="n">
        <v>4.2</v>
      </c>
      <c r="H63" t="n">
        <v>1</v>
      </c>
      <c r="I63" t="n">
        <v>1</v>
      </c>
      <c r="J63" t="n">
        <v>1</v>
      </c>
      <c r="K63" t="n">
        <v>0</v>
      </c>
      <c r="L63" t="n">
        <v>0</v>
      </c>
      <c r="M63" t="n">
        <v>0</v>
      </c>
      <c r="N63" t="n">
        <v>0</v>
      </c>
      <c r="O63" t="n">
        <v>1</v>
      </c>
      <c r="P63" t="n">
        <v>0</v>
      </c>
      <c r="Q63" t="n">
        <v>3</v>
      </c>
      <c r="R63" s="2" t="inlineStr">
        <is>
          <t>Flattoppad klubbsvamp
Kransrams
Revlummer</t>
        </is>
      </c>
      <c r="S63">
        <f>HYPERLINK("https://klasma.github.io/Logging_2380/artfynd/A 53652-2024 artfynd.xlsx", "A 53652-2024")</f>
        <v/>
      </c>
      <c r="T63">
        <f>HYPERLINK("https://klasma.github.io/Logging_2380/kartor/A 53652-2024 karta.png", "A 53652-2024")</f>
        <v/>
      </c>
      <c r="V63">
        <f>HYPERLINK("https://klasma.github.io/Logging_2380/klagomål/A 53652-2024 FSC-klagomål.docx", "A 53652-2024")</f>
        <v/>
      </c>
      <c r="W63">
        <f>HYPERLINK("https://klasma.github.io/Logging_2380/klagomålsmail/A 53652-2024 FSC-klagomål mail.docx", "A 53652-2024")</f>
        <v/>
      </c>
      <c r="X63">
        <f>HYPERLINK("https://klasma.github.io/Logging_2380/tillsyn/A 53652-2024 tillsynsbegäran.docx", "A 53652-2024")</f>
        <v/>
      </c>
      <c r="Y63">
        <f>HYPERLINK("https://klasma.github.io/Logging_2380/tillsynsmail/A 53652-2024 tillsynsbegäran mail.docx", "A 53652-2024")</f>
        <v/>
      </c>
    </row>
    <row r="64" ht="15" customHeight="1">
      <c r="A64" t="inlineStr">
        <is>
          <t>A 19520-2023</t>
        </is>
      </c>
      <c r="B64" s="1" t="n">
        <v>45049</v>
      </c>
      <c r="C64" s="1" t="n">
        <v>45883</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36742-2024</t>
        </is>
      </c>
      <c r="B65" s="1" t="n">
        <v>45538.33584490741</v>
      </c>
      <c r="C65" s="1" t="n">
        <v>45883</v>
      </c>
      <c r="D65" t="inlineStr">
        <is>
          <t>JÄMTLANDS LÄN</t>
        </is>
      </c>
      <c r="E65" t="inlineStr">
        <is>
          <t>ÖSTERSUND</t>
        </is>
      </c>
      <c r="G65" t="n">
        <v>13.6</v>
      </c>
      <c r="H65" t="n">
        <v>0</v>
      </c>
      <c r="I65" t="n">
        <v>2</v>
      </c>
      <c r="J65" t="n">
        <v>1</v>
      </c>
      <c r="K65" t="n">
        <v>0</v>
      </c>
      <c r="L65" t="n">
        <v>0</v>
      </c>
      <c r="M65" t="n">
        <v>0</v>
      </c>
      <c r="N65" t="n">
        <v>0</v>
      </c>
      <c r="O65" t="n">
        <v>1</v>
      </c>
      <c r="P65" t="n">
        <v>0</v>
      </c>
      <c r="Q65" t="n">
        <v>3</v>
      </c>
      <c r="R65" s="2" t="inlineStr">
        <is>
          <t>Granticka
Skinnlav
Vedticka</t>
        </is>
      </c>
      <c r="S65">
        <f>HYPERLINK("https://klasma.github.io/Logging_2380/artfynd/A 36742-2024 artfynd.xlsx", "A 36742-2024")</f>
        <v/>
      </c>
      <c r="T65">
        <f>HYPERLINK("https://klasma.github.io/Logging_2380/kartor/A 36742-2024 karta.png", "A 36742-2024")</f>
        <v/>
      </c>
      <c r="V65">
        <f>HYPERLINK("https://klasma.github.io/Logging_2380/klagomål/A 36742-2024 FSC-klagomål.docx", "A 36742-2024")</f>
        <v/>
      </c>
      <c r="W65">
        <f>HYPERLINK("https://klasma.github.io/Logging_2380/klagomålsmail/A 36742-2024 FSC-klagomål mail.docx", "A 36742-2024")</f>
        <v/>
      </c>
      <c r="X65">
        <f>HYPERLINK("https://klasma.github.io/Logging_2380/tillsyn/A 36742-2024 tillsynsbegäran.docx", "A 36742-2024")</f>
        <v/>
      </c>
      <c r="Y65">
        <f>HYPERLINK("https://klasma.github.io/Logging_2380/tillsynsmail/A 36742-2024 tillsynsbegäran mail.docx", "A 36742-2024")</f>
        <v/>
      </c>
    </row>
    <row r="66" ht="15" customHeight="1">
      <c r="A66" t="inlineStr">
        <is>
          <t>A 3846-2024</t>
        </is>
      </c>
      <c r="B66" s="1" t="n">
        <v>45321</v>
      </c>
      <c r="C66" s="1" t="n">
        <v>45883</v>
      </c>
      <c r="D66" t="inlineStr">
        <is>
          <t>JÄMTLANDS LÄN</t>
        </is>
      </c>
      <c r="E66" t="inlineStr">
        <is>
          <t>ÖSTERSUND</t>
        </is>
      </c>
      <c r="G66" t="n">
        <v>2.2</v>
      </c>
      <c r="H66" t="n">
        <v>0</v>
      </c>
      <c r="I66" t="n">
        <v>2</v>
      </c>
      <c r="J66" t="n">
        <v>1</v>
      </c>
      <c r="K66" t="n">
        <v>0</v>
      </c>
      <c r="L66" t="n">
        <v>0</v>
      </c>
      <c r="M66" t="n">
        <v>0</v>
      </c>
      <c r="N66" t="n">
        <v>0</v>
      </c>
      <c r="O66" t="n">
        <v>1</v>
      </c>
      <c r="P66" t="n">
        <v>0</v>
      </c>
      <c r="Q66" t="n">
        <v>3</v>
      </c>
      <c r="R66" s="2" t="inlineStr">
        <is>
          <t>Granticka
Olivspindling
Svavelriska</t>
        </is>
      </c>
      <c r="S66">
        <f>HYPERLINK("https://klasma.github.io/Logging_2380/artfynd/A 3846-2024 artfynd.xlsx", "A 3846-2024")</f>
        <v/>
      </c>
      <c r="T66">
        <f>HYPERLINK("https://klasma.github.io/Logging_2380/kartor/A 3846-2024 karta.png", "A 3846-2024")</f>
        <v/>
      </c>
      <c r="V66">
        <f>HYPERLINK("https://klasma.github.io/Logging_2380/klagomål/A 3846-2024 FSC-klagomål.docx", "A 3846-2024")</f>
        <v/>
      </c>
      <c r="W66">
        <f>HYPERLINK("https://klasma.github.io/Logging_2380/klagomålsmail/A 3846-2024 FSC-klagomål mail.docx", "A 3846-2024")</f>
        <v/>
      </c>
      <c r="X66">
        <f>HYPERLINK("https://klasma.github.io/Logging_2380/tillsyn/A 3846-2024 tillsynsbegäran.docx", "A 3846-2024")</f>
        <v/>
      </c>
      <c r="Y66">
        <f>HYPERLINK("https://klasma.github.io/Logging_2380/tillsynsmail/A 3846-2024 tillsynsbegäran mail.docx", "A 3846-2024")</f>
        <v/>
      </c>
    </row>
    <row r="67" ht="15" customHeight="1">
      <c r="A67" t="inlineStr">
        <is>
          <t>A 36806-2025</t>
        </is>
      </c>
      <c r="B67" s="1" t="n">
        <v>45873.69988425926</v>
      </c>
      <c r="C67" s="1" t="n">
        <v>45883</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45883</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52129-2023</t>
        </is>
      </c>
      <c r="B69" s="1" t="n">
        <v>45223</v>
      </c>
      <c r="C69" s="1" t="n">
        <v>45883</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60446-2024</t>
        </is>
      </c>
      <c r="B70" s="1" t="n">
        <v>45643.59420138889</v>
      </c>
      <c r="C70" s="1" t="n">
        <v>45883</v>
      </c>
      <c r="D70" t="inlineStr">
        <is>
          <t>JÄMTLANDS LÄN</t>
        </is>
      </c>
      <c r="E70" t="inlineStr">
        <is>
          <t>ÖSTERSUND</t>
        </is>
      </c>
      <c r="F70" t="inlineStr">
        <is>
          <t>SCA</t>
        </is>
      </c>
      <c r="G70" t="n">
        <v>3.6</v>
      </c>
      <c r="H70" t="n">
        <v>0</v>
      </c>
      <c r="I70" t="n">
        <v>1</v>
      </c>
      <c r="J70" t="n">
        <v>1</v>
      </c>
      <c r="K70" t="n">
        <v>0</v>
      </c>
      <c r="L70" t="n">
        <v>0</v>
      </c>
      <c r="M70" t="n">
        <v>0</v>
      </c>
      <c r="N70" t="n">
        <v>0</v>
      </c>
      <c r="O70" t="n">
        <v>1</v>
      </c>
      <c r="P70" t="n">
        <v>0</v>
      </c>
      <c r="Q70" t="n">
        <v>2</v>
      </c>
      <c r="R70" s="2" t="inlineStr">
        <is>
          <t>Ullticka
Vedticka</t>
        </is>
      </c>
      <c r="S70">
        <f>HYPERLINK("https://klasma.github.io/Logging_2380/artfynd/A 60446-2024 artfynd.xlsx", "A 60446-2024")</f>
        <v/>
      </c>
      <c r="T70">
        <f>HYPERLINK("https://klasma.github.io/Logging_2380/kartor/A 60446-2024 karta.png", "A 60446-2024")</f>
        <v/>
      </c>
      <c r="V70">
        <f>HYPERLINK("https://klasma.github.io/Logging_2380/klagomål/A 60446-2024 FSC-klagomål.docx", "A 60446-2024")</f>
        <v/>
      </c>
      <c r="W70">
        <f>HYPERLINK("https://klasma.github.io/Logging_2380/klagomålsmail/A 60446-2024 FSC-klagomål mail.docx", "A 60446-2024")</f>
        <v/>
      </c>
      <c r="X70">
        <f>HYPERLINK("https://klasma.github.io/Logging_2380/tillsyn/A 60446-2024 tillsynsbegäran.docx", "A 60446-2024")</f>
        <v/>
      </c>
      <c r="Y70">
        <f>HYPERLINK("https://klasma.github.io/Logging_2380/tillsynsmail/A 60446-2024 tillsynsbegäran mail.docx", "A 60446-2024")</f>
        <v/>
      </c>
    </row>
    <row r="71" ht="15" customHeight="1">
      <c r="A71" t="inlineStr">
        <is>
          <t>A 21615-2024</t>
        </is>
      </c>
      <c r="B71" s="1" t="n">
        <v>45441.95357638889</v>
      </c>
      <c r="C71" s="1" t="n">
        <v>45883</v>
      </c>
      <c r="D71" t="inlineStr">
        <is>
          <t>JÄMTLANDS LÄN</t>
        </is>
      </c>
      <c r="E71" t="inlineStr">
        <is>
          <t>ÖSTERSUND</t>
        </is>
      </c>
      <c r="F71" t="inlineStr">
        <is>
          <t>SCA</t>
        </is>
      </c>
      <c r="G71" t="n">
        <v>4.9</v>
      </c>
      <c r="H71" t="n">
        <v>2</v>
      </c>
      <c r="I71" t="n">
        <v>0</v>
      </c>
      <c r="J71" t="n">
        <v>0</v>
      </c>
      <c r="K71" t="n">
        <v>1</v>
      </c>
      <c r="L71" t="n">
        <v>0</v>
      </c>
      <c r="M71" t="n">
        <v>0</v>
      </c>
      <c r="N71" t="n">
        <v>0</v>
      </c>
      <c r="O71" t="n">
        <v>1</v>
      </c>
      <c r="P71" t="n">
        <v>1</v>
      </c>
      <c r="Q71" t="n">
        <v>2</v>
      </c>
      <c r="R71" s="2" t="inlineStr">
        <is>
          <t>Lappuggla
Blåsippa</t>
        </is>
      </c>
      <c r="S71">
        <f>HYPERLINK("https://klasma.github.io/Logging_2380/artfynd/A 21615-2024 artfynd.xlsx", "A 21615-2024")</f>
        <v/>
      </c>
      <c r="T71">
        <f>HYPERLINK("https://klasma.github.io/Logging_2380/kartor/A 21615-2024 karta.png", "A 21615-2024")</f>
        <v/>
      </c>
      <c r="V71">
        <f>HYPERLINK("https://klasma.github.io/Logging_2380/klagomål/A 21615-2024 FSC-klagomål.docx", "A 21615-2024")</f>
        <v/>
      </c>
      <c r="W71">
        <f>HYPERLINK("https://klasma.github.io/Logging_2380/klagomålsmail/A 21615-2024 FSC-klagomål mail.docx", "A 21615-2024")</f>
        <v/>
      </c>
      <c r="X71">
        <f>HYPERLINK("https://klasma.github.io/Logging_2380/tillsyn/A 21615-2024 tillsynsbegäran.docx", "A 21615-2024")</f>
        <v/>
      </c>
      <c r="Y71">
        <f>HYPERLINK("https://klasma.github.io/Logging_2380/tillsynsmail/A 21615-2024 tillsynsbegäran mail.docx", "A 21615-2024")</f>
        <v/>
      </c>
      <c r="Z71">
        <f>HYPERLINK("https://klasma.github.io/Logging_2380/fåglar/A 21615-2024 prioriterade fågelarter.docx", "A 21615-2024")</f>
        <v/>
      </c>
    </row>
    <row r="72" ht="15" customHeight="1">
      <c r="A72" t="inlineStr">
        <is>
          <t>A 46105-2021</t>
        </is>
      </c>
      <c r="B72" s="1" t="n">
        <v>44441</v>
      </c>
      <c r="C72" s="1" t="n">
        <v>45883</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63930-2023</t>
        </is>
      </c>
      <c r="B73" s="1" t="n">
        <v>45278</v>
      </c>
      <c r="C73" s="1" t="n">
        <v>45883</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59793-2022</t>
        </is>
      </c>
      <c r="B74" s="1" t="n">
        <v>44908</v>
      </c>
      <c r="C74" s="1" t="n">
        <v>45883</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50895-2024</t>
        </is>
      </c>
      <c r="B75" s="1" t="n">
        <v>45602</v>
      </c>
      <c r="C75" s="1" t="n">
        <v>45883</v>
      </c>
      <c r="D75" t="inlineStr">
        <is>
          <t>JÄMTLANDS LÄN</t>
        </is>
      </c>
      <c r="E75" t="inlineStr">
        <is>
          <t>ÖSTERSUND</t>
        </is>
      </c>
      <c r="F75" t="inlineStr">
        <is>
          <t>Kommuner</t>
        </is>
      </c>
      <c r="G75" t="n">
        <v>6</v>
      </c>
      <c r="H75" t="n">
        <v>1</v>
      </c>
      <c r="I75" t="n">
        <v>0</v>
      </c>
      <c r="J75" t="n">
        <v>1</v>
      </c>
      <c r="K75" t="n">
        <v>1</v>
      </c>
      <c r="L75" t="n">
        <v>0</v>
      </c>
      <c r="M75" t="n">
        <v>0</v>
      </c>
      <c r="N75" t="n">
        <v>0</v>
      </c>
      <c r="O75" t="n">
        <v>2</v>
      </c>
      <c r="P75" t="n">
        <v>1</v>
      </c>
      <c r="Q75" t="n">
        <v>2</v>
      </c>
      <c r="R75" s="2" t="inlineStr">
        <is>
          <t>Knärot
Garnlav</t>
        </is>
      </c>
      <c r="S75">
        <f>HYPERLINK("https://klasma.github.io/Logging_2380/artfynd/A 50895-2024 artfynd.xlsx", "A 50895-2024")</f>
        <v/>
      </c>
      <c r="T75">
        <f>HYPERLINK("https://klasma.github.io/Logging_2380/kartor/A 50895-2024 karta.png", "A 50895-2024")</f>
        <v/>
      </c>
      <c r="U75">
        <f>HYPERLINK("https://klasma.github.io/Logging_2380/knärot/A 50895-2024 karta knärot.png", "A 50895-2024")</f>
        <v/>
      </c>
      <c r="V75">
        <f>HYPERLINK("https://klasma.github.io/Logging_2380/klagomål/A 50895-2024 FSC-klagomål.docx", "A 50895-2024")</f>
        <v/>
      </c>
      <c r="W75">
        <f>HYPERLINK("https://klasma.github.io/Logging_2380/klagomålsmail/A 50895-2024 FSC-klagomål mail.docx", "A 50895-2024")</f>
        <v/>
      </c>
      <c r="X75">
        <f>HYPERLINK("https://klasma.github.io/Logging_2380/tillsyn/A 50895-2024 tillsynsbegäran.docx", "A 50895-2024")</f>
        <v/>
      </c>
      <c r="Y75">
        <f>HYPERLINK("https://klasma.github.io/Logging_2380/tillsynsmail/A 50895-2024 tillsynsbegäran mail.docx", "A 50895-2024")</f>
        <v/>
      </c>
    </row>
    <row r="76" ht="15" customHeight="1">
      <c r="A76" t="inlineStr">
        <is>
          <t>A 39968-2024</t>
        </is>
      </c>
      <c r="B76" s="1" t="n">
        <v>45553.59296296296</v>
      </c>
      <c r="C76" s="1" t="n">
        <v>45883</v>
      </c>
      <c r="D76" t="inlineStr">
        <is>
          <t>JÄMTLANDS LÄN</t>
        </is>
      </c>
      <c r="E76" t="inlineStr">
        <is>
          <t>ÖSTERSUND</t>
        </is>
      </c>
      <c r="G76" t="n">
        <v>1.8</v>
      </c>
      <c r="H76" t="n">
        <v>2</v>
      </c>
      <c r="I76" t="n">
        <v>1</v>
      </c>
      <c r="J76" t="n">
        <v>0</v>
      </c>
      <c r="K76" t="n">
        <v>1</v>
      </c>
      <c r="L76" t="n">
        <v>0</v>
      </c>
      <c r="M76" t="n">
        <v>0</v>
      </c>
      <c r="N76" t="n">
        <v>0</v>
      </c>
      <c r="O76" t="n">
        <v>1</v>
      </c>
      <c r="P76" t="n">
        <v>1</v>
      </c>
      <c r="Q76" t="n">
        <v>2</v>
      </c>
      <c r="R76" s="2" t="inlineStr">
        <is>
          <t>Knärot
Spindelblomster</t>
        </is>
      </c>
      <c r="S76">
        <f>HYPERLINK("https://klasma.github.io/Logging_2380/artfynd/A 39968-2024 artfynd.xlsx", "A 39968-2024")</f>
        <v/>
      </c>
      <c r="T76">
        <f>HYPERLINK("https://klasma.github.io/Logging_2380/kartor/A 39968-2024 karta.png", "A 39968-2024")</f>
        <v/>
      </c>
      <c r="U76">
        <f>HYPERLINK("https://klasma.github.io/Logging_2380/knärot/A 39968-2024 karta knärot.png", "A 39968-2024")</f>
        <v/>
      </c>
      <c r="V76">
        <f>HYPERLINK("https://klasma.github.io/Logging_2380/klagomål/A 39968-2024 FSC-klagomål.docx", "A 39968-2024")</f>
        <v/>
      </c>
      <c r="W76">
        <f>HYPERLINK("https://klasma.github.io/Logging_2380/klagomålsmail/A 39968-2024 FSC-klagomål mail.docx", "A 39968-2024")</f>
        <v/>
      </c>
      <c r="X76">
        <f>HYPERLINK("https://klasma.github.io/Logging_2380/tillsyn/A 39968-2024 tillsynsbegäran.docx", "A 39968-2024")</f>
        <v/>
      </c>
      <c r="Y76">
        <f>HYPERLINK("https://klasma.github.io/Logging_2380/tillsynsmail/A 39968-2024 tillsynsbegäran mail.docx", "A 39968-2024")</f>
        <v/>
      </c>
    </row>
    <row r="77" ht="15" customHeight="1">
      <c r="A77" t="inlineStr">
        <is>
          <t>A 35977-2024</t>
        </is>
      </c>
      <c r="B77" s="1" t="n">
        <v>45533.49601851852</v>
      </c>
      <c r="C77" s="1" t="n">
        <v>45883</v>
      </c>
      <c r="D77" t="inlineStr">
        <is>
          <t>JÄMTLANDS LÄN</t>
        </is>
      </c>
      <c r="E77" t="inlineStr">
        <is>
          <t>ÖSTERSUND</t>
        </is>
      </c>
      <c r="G77" t="n">
        <v>0.7</v>
      </c>
      <c r="H77" t="n">
        <v>0</v>
      </c>
      <c r="I77" t="n">
        <v>2</v>
      </c>
      <c r="J77" t="n">
        <v>0</v>
      </c>
      <c r="K77" t="n">
        <v>0</v>
      </c>
      <c r="L77" t="n">
        <v>0</v>
      </c>
      <c r="M77" t="n">
        <v>0</v>
      </c>
      <c r="N77" t="n">
        <v>0</v>
      </c>
      <c r="O77" t="n">
        <v>0</v>
      </c>
      <c r="P77" t="n">
        <v>0</v>
      </c>
      <c r="Q77" t="n">
        <v>2</v>
      </c>
      <c r="R77" s="2" t="inlineStr">
        <is>
          <t>Tibast
Trådticka</t>
        </is>
      </c>
      <c r="S77">
        <f>HYPERLINK("https://klasma.github.io/Logging_2380/artfynd/A 35977-2024 artfynd.xlsx", "A 35977-2024")</f>
        <v/>
      </c>
      <c r="T77">
        <f>HYPERLINK("https://klasma.github.io/Logging_2380/kartor/A 35977-2024 karta.png", "A 35977-2024")</f>
        <v/>
      </c>
      <c r="V77">
        <f>HYPERLINK("https://klasma.github.io/Logging_2380/klagomål/A 35977-2024 FSC-klagomål.docx", "A 35977-2024")</f>
        <v/>
      </c>
      <c r="W77">
        <f>HYPERLINK("https://klasma.github.io/Logging_2380/klagomålsmail/A 35977-2024 FSC-klagomål mail.docx", "A 35977-2024")</f>
        <v/>
      </c>
      <c r="X77">
        <f>HYPERLINK("https://klasma.github.io/Logging_2380/tillsyn/A 35977-2024 tillsynsbegäran.docx", "A 35977-2024")</f>
        <v/>
      </c>
      <c r="Y77">
        <f>HYPERLINK("https://klasma.github.io/Logging_2380/tillsynsmail/A 35977-2024 tillsynsbegäran mail.docx", "A 35977-2024")</f>
        <v/>
      </c>
    </row>
    <row r="78" ht="15" customHeight="1">
      <c r="A78" t="inlineStr">
        <is>
          <t>A 38334-2023</t>
        </is>
      </c>
      <c r="B78" s="1" t="n">
        <v>45161</v>
      </c>
      <c r="C78" s="1" t="n">
        <v>45883</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60534-2022</t>
        </is>
      </c>
      <c r="B79" s="1" t="n">
        <v>44904</v>
      </c>
      <c r="C79" s="1" t="n">
        <v>45883</v>
      </c>
      <c r="D79" t="inlineStr">
        <is>
          <t>JÄMTLANDS LÄN</t>
        </is>
      </c>
      <c r="E79" t="inlineStr">
        <is>
          <t>ÖSTERSUND</t>
        </is>
      </c>
      <c r="G79" t="n">
        <v>9.9</v>
      </c>
      <c r="H79" t="n">
        <v>0</v>
      </c>
      <c r="I79" t="n">
        <v>0</v>
      </c>
      <c r="J79" t="n">
        <v>2</v>
      </c>
      <c r="K79" t="n">
        <v>0</v>
      </c>
      <c r="L79" t="n">
        <v>0</v>
      </c>
      <c r="M79" t="n">
        <v>0</v>
      </c>
      <c r="N79" t="n">
        <v>0</v>
      </c>
      <c r="O79" t="n">
        <v>2</v>
      </c>
      <c r="P79" t="n">
        <v>0</v>
      </c>
      <c r="Q79" t="n">
        <v>2</v>
      </c>
      <c r="R79" s="2" t="inlineStr">
        <is>
          <t>Rosenticka
Ullticka</t>
        </is>
      </c>
      <c r="S79">
        <f>HYPERLINK("https://klasma.github.io/Logging_2380/artfynd/A 60534-2022 artfynd.xlsx", "A 60534-2022")</f>
        <v/>
      </c>
      <c r="T79">
        <f>HYPERLINK("https://klasma.github.io/Logging_2380/kartor/A 60534-2022 karta.png", "A 60534-2022")</f>
        <v/>
      </c>
      <c r="V79">
        <f>HYPERLINK("https://klasma.github.io/Logging_2380/klagomål/A 60534-2022 FSC-klagomål.docx", "A 60534-2022")</f>
        <v/>
      </c>
      <c r="W79">
        <f>HYPERLINK("https://klasma.github.io/Logging_2380/klagomålsmail/A 60534-2022 FSC-klagomål mail.docx", "A 60534-2022")</f>
        <v/>
      </c>
      <c r="X79">
        <f>HYPERLINK("https://klasma.github.io/Logging_2380/tillsyn/A 60534-2022 tillsynsbegäran.docx", "A 60534-2022")</f>
        <v/>
      </c>
      <c r="Y79">
        <f>HYPERLINK("https://klasma.github.io/Logging_2380/tillsynsmail/A 60534-2022 tillsynsbegäran mail.docx", "A 60534-2022")</f>
        <v/>
      </c>
    </row>
    <row r="80" ht="15" customHeight="1">
      <c r="A80" t="inlineStr">
        <is>
          <t>A 15700-2025</t>
        </is>
      </c>
      <c r="B80" s="1" t="n">
        <v>45748.47314814815</v>
      </c>
      <c r="C80" s="1" t="n">
        <v>45883</v>
      </c>
      <c r="D80" t="inlineStr">
        <is>
          <t>JÄMTLANDS LÄN</t>
        </is>
      </c>
      <c r="E80" t="inlineStr">
        <is>
          <t>ÖSTERSUND</t>
        </is>
      </c>
      <c r="G80" t="n">
        <v>0.9</v>
      </c>
      <c r="H80" t="n">
        <v>0</v>
      </c>
      <c r="I80" t="n">
        <v>2</v>
      </c>
      <c r="J80" t="n">
        <v>0</v>
      </c>
      <c r="K80" t="n">
        <v>0</v>
      </c>
      <c r="L80" t="n">
        <v>0</v>
      </c>
      <c r="M80" t="n">
        <v>0</v>
      </c>
      <c r="N80" t="n">
        <v>0</v>
      </c>
      <c r="O80" t="n">
        <v>0</v>
      </c>
      <c r="P80" t="n">
        <v>0</v>
      </c>
      <c r="Q80" t="n">
        <v>2</v>
      </c>
      <c r="R80" s="2" t="inlineStr">
        <is>
          <t>Brun klibbskivling
Droppklibbskivling</t>
        </is>
      </c>
      <c r="S80">
        <f>HYPERLINK("https://klasma.github.io/Logging_2380/artfynd/A 15700-2025 artfynd.xlsx", "A 15700-2025")</f>
        <v/>
      </c>
      <c r="T80">
        <f>HYPERLINK("https://klasma.github.io/Logging_2380/kartor/A 15700-2025 karta.png", "A 15700-2025")</f>
        <v/>
      </c>
      <c r="V80">
        <f>HYPERLINK("https://klasma.github.io/Logging_2380/klagomål/A 15700-2025 FSC-klagomål.docx", "A 15700-2025")</f>
        <v/>
      </c>
      <c r="W80">
        <f>HYPERLINK("https://klasma.github.io/Logging_2380/klagomålsmail/A 15700-2025 FSC-klagomål mail.docx", "A 15700-2025")</f>
        <v/>
      </c>
      <c r="X80">
        <f>HYPERLINK("https://klasma.github.io/Logging_2380/tillsyn/A 15700-2025 tillsynsbegäran.docx", "A 15700-2025")</f>
        <v/>
      </c>
      <c r="Y80">
        <f>HYPERLINK("https://klasma.github.io/Logging_2380/tillsynsmail/A 15700-2025 tillsynsbegäran mail.docx", "A 15700-2025")</f>
        <v/>
      </c>
    </row>
    <row r="81" ht="15" customHeight="1">
      <c r="A81" t="inlineStr">
        <is>
          <t>A 50125-2024</t>
        </is>
      </c>
      <c r="B81" s="1" t="n">
        <v>45600.42737268518</v>
      </c>
      <c r="C81" s="1" t="n">
        <v>45883</v>
      </c>
      <c r="D81" t="inlineStr">
        <is>
          <t>JÄMTLANDS LÄN</t>
        </is>
      </c>
      <c r="E81" t="inlineStr">
        <is>
          <t>ÖSTERSUND</t>
        </is>
      </c>
      <c r="F81" t="inlineStr">
        <is>
          <t>SCA</t>
        </is>
      </c>
      <c r="G81" t="n">
        <v>2.4</v>
      </c>
      <c r="H81" t="n">
        <v>0</v>
      </c>
      <c r="I81" t="n">
        <v>1</v>
      </c>
      <c r="J81" t="n">
        <v>1</v>
      </c>
      <c r="K81" t="n">
        <v>0</v>
      </c>
      <c r="L81" t="n">
        <v>0</v>
      </c>
      <c r="M81" t="n">
        <v>0</v>
      </c>
      <c r="N81" t="n">
        <v>0</v>
      </c>
      <c r="O81" t="n">
        <v>1</v>
      </c>
      <c r="P81" t="n">
        <v>0</v>
      </c>
      <c r="Q81" t="n">
        <v>2</v>
      </c>
      <c r="R81" s="2" t="inlineStr">
        <is>
          <t>Dvärgbägarlav
Skinnlav</t>
        </is>
      </c>
      <c r="S81">
        <f>HYPERLINK("https://klasma.github.io/Logging_2380/artfynd/A 50125-2024 artfynd.xlsx", "A 50125-2024")</f>
        <v/>
      </c>
      <c r="T81">
        <f>HYPERLINK("https://klasma.github.io/Logging_2380/kartor/A 50125-2024 karta.png", "A 50125-2024")</f>
        <v/>
      </c>
      <c r="V81">
        <f>HYPERLINK("https://klasma.github.io/Logging_2380/klagomål/A 50125-2024 FSC-klagomål.docx", "A 50125-2024")</f>
        <v/>
      </c>
      <c r="W81">
        <f>HYPERLINK("https://klasma.github.io/Logging_2380/klagomålsmail/A 50125-2024 FSC-klagomål mail.docx", "A 50125-2024")</f>
        <v/>
      </c>
      <c r="X81">
        <f>HYPERLINK("https://klasma.github.io/Logging_2380/tillsyn/A 50125-2024 tillsynsbegäran.docx", "A 50125-2024")</f>
        <v/>
      </c>
      <c r="Y81">
        <f>HYPERLINK("https://klasma.github.io/Logging_2380/tillsynsmail/A 50125-2024 tillsynsbegäran mail.docx", "A 50125-2024")</f>
        <v/>
      </c>
    </row>
    <row r="82" ht="15" customHeight="1">
      <c r="A82" t="inlineStr">
        <is>
          <t>A 60614-2022</t>
        </is>
      </c>
      <c r="B82" s="1" t="n">
        <v>44911</v>
      </c>
      <c r="C82" s="1" t="n">
        <v>45883</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13795-2025</t>
        </is>
      </c>
      <c r="B83" s="1" t="n">
        <v>45737</v>
      </c>
      <c r="C83" s="1" t="n">
        <v>45883</v>
      </c>
      <c r="D83" t="inlineStr">
        <is>
          <t>JÄMTLANDS LÄN</t>
        </is>
      </c>
      <c r="E83" t="inlineStr">
        <is>
          <t>ÖSTERSUND</t>
        </is>
      </c>
      <c r="G83" t="n">
        <v>13.4</v>
      </c>
      <c r="H83" t="n">
        <v>1</v>
      </c>
      <c r="I83" t="n">
        <v>0</v>
      </c>
      <c r="J83" t="n">
        <v>1</v>
      </c>
      <c r="K83" t="n">
        <v>1</v>
      </c>
      <c r="L83" t="n">
        <v>0</v>
      </c>
      <c r="M83" t="n">
        <v>0</v>
      </c>
      <c r="N83" t="n">
        <v>0</v>
      </c>
      <c r="O83" t="n">
        <v>2</v>
      </c>
      <c r="P83" t="n">
        <v>1</v>
      </c>
      <c r="Q83" t="n">
        <v>2</v>
      </c>
      <c r="R83" s="2" t="inlineStr">
        <is>
          <t>Knärot
Lunglav</t>
        </is>
      </c>
      <c r="S83">
        <f>HYPERLINK("https://klasma.github.io/Logging_2380/artfynd/A 13795-2025 artfynd.xlsx", "A 13795-2025")</f>
        <v/>
      </c>
      <c r="T83">
        <f>HYPERLINK("https://klasma.github.io/Logging_2380/kartor/A 13795-2025 karta.png", "A 13795-2025")</f>
        <v/>
      </c>
      <c r="U83">
        <f>HYPERLINK("https://klasma.github.io/Logging_2380/knärot/A 13795-2025 karta knärot.png", "A 13795-2025")</f>
        <v/>
      </c>
      <c r="V83">
        <f>HYPERLINK("https://klasma.github.io/Logging_2380/klagomål/A 13795-2025 FSC-klagomål.docx", "A 13795-2025")</f>
        <v/>
      </c>
      <c r="W83">
        <f>HYPERLINK("https://klasma.github.io/Logging_2380/klagomålsmail/A 13795-2025 FSC-klagomål mail.docx", "A 13795-2025")</f>
        <v/>
      </c>
      <c r="X83">
        <f>HYPERLINK("https://klasma.github.io/Logging_2380/tillsyn/A 13795-2025 tillsynsbegäran.docx", "A 13795-2025")</f>
        <v/>
      </c>
      <c r="Y83">
        <f>HYPERLINK("https://klasma.github.io/Logging_2380/tillsynsmail/A 13795-2025 tillsynsbegäran mail.docx", "A 13795-2025")</f>
        <v/>
      </c>
    </row>
    <row r="84" ht="15" customHeight="1">
      <c r="A84" t="inlineStr">
        <is>
          <t>A 10529-2025</t>
        </is>
      </c>
      <c r="B84" s="1" t="n">
        <v>45721.44840277778</v>
      </c>
      <c r="C84" s="1" t="n">
        <v>45883</v>
      </c>
      <c r="D84" t="inlineStr">
        <is>
          <t>JÄMTLANDS LÄN</t>
        </is>
      </c>
      <c r="E84" t="inlineStr">
        <is>
          <t>ÖSTERSUND</t>
        </is>
      </c>
      <c r="F84" t="inlineStr">
        <is>
          <t>SCA</t>
        </is>
      </c>
      <c r="G84" t="n">
        <v>1.4</v>
      </c>
      <c r="H84" t="n">
        <v>0</v>
      </c>
      <c r="I84" t="n">
        <v>2</v>
      </c>
      <c r="J84" t="n">
        <v>0</v>
      </c>
      <c r="K84" t="n">
        <v>0</v>
      </c>
      <c r="L84" t="n">
        <v>0</v>
      </c>
      <c r="M84" t="n">
        <v>0</v>
      </c>
      <c r="N84" t="n">
        <v>0</v>
      </c>
      <c r="O84" t="n">
        <v>0</v>
      </c>
      <c r="P84" t="n">
        <v>0</v>
      </c>
      <c r="Q84" t="n">
        <v>2</v>
      </c>
      <c r="R84" s="2" t="inlineStr">
        <is>
          <t>Gräsull
Ögonpyrola</t>
        </is>
      </c>
      <c r="S84">
        <f>HYPERLINK("https://klasma.github.io/Logging_2380/artfynd/A 10529-2025 artfynd.xlsx", "A 10529-2025")</f>
        <v/>
      </c>
      <c r="T84">
        <f>HYPERLINK("https://klasma.github.io/Logging_2380/kartor/A 10529-2025 karta.png", "A 10529-2025")</f>
        <v/>
      </c>
      <c r="V84">
        <f>HYPERLINK("https://klasma.github.io/Logging_2380/klagomål/A 10529-2025 FSC-klagomål.docx", "A 10529-2025")</f>
        <v/>
      </c>
      <c r="W84">
        <f>HYPERLINK("https://klasma.github.io/Logging_2380/klagomålsmail/A 10529-2025 FSC-klagomål mail.docx", "A 10529-2025")</f>
        <v/>
      </c>
      <c r="X84">
        <f>HYPERLINK("https://klasma.github.io/Logging_2380/tillsyn/A 10529-2025 tillsynsbegäran.docx", "A 10529-2025")</f>
        <v/>
      </c>
      <c r="Y84">
        <f>HYPERLINK("https://klasma.github.io/Logging_2380/tillsynsmail/A 10529-2025 tillsynsbegäran mail.docx", "A 10529-2025")</f>
        <v/>
      </c>
    </row>
    <row r="85" ht="15" customHeight="1">
      <c r="A85" t="inlineStr">
        <is>
          <t>A 47385-2022</t>
        </is>
      </c>
      <c r="B85" s="1" t="n">
        <v>44853</v>
      </c>
      <c r="C85" s="1" t="n">
        <v>45883</v>
      </c>
      <c r="D85" t="inlineStr">
        <is>
          <t>JÄMTLANDS LÄN</t>
        </is>
      </c>
      <c r="E85" t="inlineStr">
        <is>
          <t>ÖSTERSUND</t>
        </is>
      </c>
      <c r="G85" t="n">
        <v>0.9</v>
      </c>
      <c r="H85" t="n">
        <v>0</v>
      </c>
      <c r="I85" t="n">
        <v>0</v>
      </c>
      <c r="J85" t="n">
        <v>2</v>
      </c>
      <c r="K85" t="n">
        <v>0</v>
      </c>
      <c r="L85" t="n">
        <v>0</v>
      </c>
      <c r="M85" t="n">
        <v>0</v>
      </c>
      <c r="N85" t="n">
        <v>0</v>
      </c>
      <c r="O85" t="n">
        <v>2</v>
      </c>
      <c r="P85" t="n">
        <v>0</v>
      </c>
      <c r="Q85" t="n">
        <v>2</v>
      </c>
      <c r="R85" s="2" t="inlineStr">
        <is>
          <t>Garnlav
Ullticka</t>
        </is>
      </c>
      <c r="S85">
        <f>HYPERLINK("https://klasma.github.io/Logging_2380/artfynd/A 47385-2022 artfynd.xlsx", "A 47385-2022")</f>
        <v/>
      </c>
      <c r="T85">
        <f>HYPERLINK("https://klasma.github.io/Logging_2380/kartor/A 47385-2022 karta.png", "A 47385-2022")</f>
        <v/>
      </c>
      <c r="U85">
        <f>HYPERLINK("https://klasma.github.io/Logging_2380/knärot/A 47385-2022 karta knärot.png", "A 47385-2022")</f>
        <v/>
      </c>
      <c r="V85">
        <f>HYPERLINK("https://klasma.github.io/Logging_2380/klagomål/A 47385-2022 FSC-klagomål.docx", "A 47385-2022")</f>
        <v/>
      </c>
      <c r="W85">
        <f>HYPERLINK("https://klasma.github.io/Logging_2380/klagomålsmail/A 47385-2022 FSC-klagomål mail.docx", "A 47385-2022")</f>
        <v/>
      </c>
      <c r="X85">
        <f>HYPERLINK("https://klasma.github.io/Logging_2380/tillsyn/A 47385-2022 tillsynsbegäran.docx", "A 47385-2022")</f>
        <v/>
      </c>
      <c r="Y85">
        <f>HYPERLINK("https://klasma.github.io/Logging_2380/tillsynsmail/A 47385-2022 tillsynsbegäran mail.docx", "A 47385-2022")</f>
        <v/>
      </c>
    </row>
    <row r="86" ht="15" customHeight="1">
      <c r="A86" t="inlineStr">
        <is>
          <t>A 56006-2023</t>
        </is>
      </c>
      <c r="B86" s="1" t="n">
        <v>45233</v>
      </c>
      <c r="C86" s="1" t="n">
        <v>45883</v>
      </c>
      <c r="D86" t="inlineStr">
        <is>
          <t>JÄMTLANDS LÄN</t>
        </is>
      </c>
      <c r="E86" t="inlineStr">
        <is>
          <t>ÖSTERSUND</t>
        </is>
      </c>
      <c r="G86" t="n">
        <v>2.3</v>
      </c>
      <c r="H86" t="n">
        <v>0</v>
      </c>
      <c r="I86" t="n">
        <v>2</v>
      </c>
      <c r="J86" t="n">
        <v>0</v>
      </c>
      <c r="K86" t="n">
        <v>0</v>
      </c>
      <c r="L86" t="n">
        <v>0</v>
      </c>
      <c r="M86" t="n">
        <v>0</v>
      </c>
      <c r="N86" t="n">
        <v>0</v>
      </c>
      <c r="O86" t="n">
        <v>0</v>
      </c>
      <c r="P86" t="n">
        <v>0</v>
      </c>
      <c r="Q86" t="n">
        <v>2</v>
      </c>
      <c r="R86" s="2" t="inlineStr">
        <is>
          <t>Korallblylav
Skinnlav</t>
        </is>
      </c>
      <c r="S86">
        <f>HYPERLINK("https://klasma.github.io/Logging_2380/artfynd/A 56006-2023 artfynd.xlsx", "A 56006-2023")</f>
        <v/>
      </c>
      <c r="T86">
        <f>HYPERLINK("https://klasma.github.io/Logging_2380/kartor/A 56006-2023 karta.png", "A 56006-2023")</f>
        <v/>
      </c>
      <c r="V86">
        <f>HYPERLINK("https://klasma.github.io/Logging_2380/klagomål/A 56006-2023 FSC-klagomål.docx", "A 56006-2023")</f>
        <v/>
      </c>
      <c r="W86">
        <f>HYPERLINK("https://klasma.github.io/Logging_2380/klagomålsmail/A 56006-2023 FSC-klagomål mail.docx", "A 56006-2023")</f>
        <v/>
      </c>
      <c r="X86">
        <f>HYPERLINK("https://klasma.github.io/Logging_2380/tillsyn/A 56006-2023 tillsynsbegäran.docx", "A 56006-2023")</f>
        <v/>
      </c>
      <c r="Y86">
        <f>HYPERLINK("https://klasma.github.io/Logging_2380/tillsynsmail/A 56006-2023 tillsynsbegäran mail.docx", "A 56006-2023")</f>
        <v/>
      </c>
    </row>
    <row r="87" ht="15" customHeight="1">
      <c r="A87" t="inlineStr">
        <is>
          <t>A 26612-2025</t>
        </is>
      </c>
      <c r="B87" s="1" t="n">
        <v>45810</v>
      </c>
      <c r="C87" s="1" t="n">
        <v>45883</v>
      </c>
      <c r="D87" t="inlineStr">
        <is>
          <t>JÄMTLANDS LÄN</t>
        </is>
      </c>
      <c r="E87" t="inlineStr">
        <is>
          <t>ÖSTERSUND</t>
        </is>
      </c>
      <c r="G87" t="n">
        <v>20.6</v>
      </c>
      <c r="H87" t="n">
        <v>1</v>
      </c>
      <c r="I87" t="n">
        <v>0</v>
      </c>
      <c r="J87" t="n">
        <v>0</v>
      </c>
      <c r="K87" t="n">
        <v>1</v>
      </c>
      <c r="L87" t="n">
        <v>1</v>
      </c>
      <c r="M87" t="n">
        <v>0</v>
      </c>
      <c r="N87" t="n">
        <v>0</v>
      </c>
      <c r="O87" t="n">
        <v>2</v>
      </c>
      <c r="P87" t="n">
        <v>2</v>
      </c>
      <c r="Q87" t="n">
        <v>2</v>
      </c>
      <c r="R87" s="2" t="inlineStr">
        <is>
          <t>Violett guldvinge
Turkos blåvinge</t>
        </is>
      </c>
      <c r="S87">
        <f>HYPERLINK("https://klasma.github.io/Logging_2380/artfynd/A 26612-2025 artfynd.xlsx", "A 26612-2025")</f>
        <v/>
      </c>
      <c r="T87">
        <f>HYPERLINK("https://klasma.github.io/Logging_2380/kartor/A 26612-2025 karta.png", "A 26612-2025")</f>
        <v/>
      </c>
      <c r="V87">
        <f>HYPERLINK("https://klasma.github.io/Logging_2380/klagomål/A 26612-2025 FSC-klagomål.docx", "A 26612-2025")</f>
        <v/>
      </c>
      <c r="W87">
        <f>HYPERLINK("https://klasma.github.io/Logging_2380/klagomålsmail/A 26612-2025 FSC-klagomål mail.docx", "A 26612-2025")</f>
        <v/>
      </c>
      <c r="X87">
        <f>HYPERLINK("https://klasma.github.io/Logging_2380/tillsyn/A 26612-2025 tillsynsbegäran.docx", "A 26612-2025")</f>
        <v/>
      </c>
      <c r="Y87">
        <f>HYPERLINK("https://klasma.github.io/Logging_2380/tillsynsmail/A 26612-2025 tillsynsbegäran mail.docx", "A 26612-2025")</f>
        <v/>
      </c>
    </row>
    <row r="88" ht="15" customHeight="1">
      <c r="A88" t="inlineStr">
        <is>
          <t>A 4916-2023</t>
        </is>
      </c>
      <c r="B88" s="1" t="n">
        <v>44956</v>
      </c>
      <c r="C88" s="1" t="n">
        <v>45883</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33137-2021</t>
        </is>
      </c>
      <c r="B89" s="1" t="n">
        <v>44376</v>
      </c>
      <c r="C89" s="1" t="n">
        <v>45883</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45883</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27578-2022</t>
        </is>
      </c>
      <c r="B91" s="1" t="n">
        <v>44742</v>
      </c>
      <c r="C91" s="1" t="n">
        <v>45883</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10336-2022</t>
        </is>
      </c>
      <c r="B92" s="1" t="n">
        <v>44623</v>
      </c>
      <c r="C92" s="1" t="n">
        <v>45883</v>
      </c>
      <c r="D92" t="inlineStr">
        <is>
          <t>JÄMTLANDS LÄN</t>
        </is>
      </c>
      <c r="E92" t="inlineStr">
        <is>
          <t>ÖSTERSUND</t>
        </is>
      </c>
      <c r="G92" t="n">
        <v>0.9</v>
      </c>
      <c r="H92" t="n">
        <v>0</v>
      </c>
      <c r="I92" t="n">
        <v>1</v>
      </c>
      <c r="J92" t="n">
        <v>0</v>
      </c>
      <c r="K92" t="n">
        <v>0</v>
      </c>
      <c r="L92" t="n">
        <v>0</v>
      </c>
      <c r="M92" t="n">
        <v>0</v>
      </c>
      <c r="N92" t="n">
        <v>0</v>
      </c>
      <c r="O92" t="n">
        <v>0</v>
      </c>
      <c r="P92" t="n">
        <v>0</v>
      </c>
      <c r="Q92" t="n">
        <v>1</v>
      </c>
      <c r="R92" s="2" t="inlineStr">
        <is>
          <t>Underviol</t>
        </is>
      </c>
      <c r="S92">
        <f>HYPERLINK("https://klasma.github.io/Logging_2380/artfynd/A 10336-2022 artfynd.xlsx", "A 10336-2022")</f>
        <v/>
      </c>
      <c r="T92">
        <f>HYPERLINK("https://klasma.github.io/Logging_2380/kartor/A 10336-2022 karta.png", "A 10336-2022")</f>
        <v/>
      </c>
      <c r="V92">
        <f>HYPERLINK("https://klasma.github.io/Logging_2380/klagomål/A 10336-2022 FSC-klagomål.docx", "A 10336-2022")</f>
        <v/>
      </c>
      <c r="W92">
        <f>HYPERLINK("https://klasma.github.io/Logging_2380/klagomålsmail/A 10336-2022 FSC-klagomål mail.docx", "A 10336-2022")</f>
        <v/>
      </c>
      <c r="X92">
        <f>HYPERLINK("https://klasma.github.io/Logging_2380/tillsyn/A 10336-2022 tillsynsbegäran.docx", "A 10336-2022")</f>
        <v/>
      </c>
      <c r="Y92">
        <f>HYPERLINK("https://klasma.github.io/Logging_2380/tillsynsmail/A 10336-2022 tillsynsbegäran mail.docx", "A 10336-2022")</f>
        <v/>
      </c>
    </row>
    <row r="93" ht="15" customHeight="1">
      <c r="A93" t="inlineStr">
        <is>
          <t>A 46163-2021</t>
        </is>
      </c>
      <c r="B93" s="1" t="n">
        <v>44441</v>
      </c>
      <c r="C93" s="1" t="n">
        <v>45883</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64380-2023</t>
        </is>
      </c>
      <c r="B94" s="1" t="n">
        <v>45280.56451388889</v>
      </c>
      <c r="C94" s="1" t="n">
        <v>45883</v>
      </c>
      <c r="D94" t="inlineStr">
        <is>
          <t>JÄMTLANDS LÄN</t>
        </is>
      </c>
      <c r="E94" t="inlineStr">
        <is>
          <t>ÖSTERSUND</t>
        </is>
      </c>
      <c r="G94" t="n">
        <v>12.4</v>
      </c>
      <c r="H94" t="n">
        <v>0</v>
      </c>
      <c r="I94" t="n">
        <v>0</v>
      </c>
      <c r="J94" t="n">
        <v>1</v>
      </c>
      <c r="K94" t="n">
        <v>0</v>
      </c>
      <c r="L94" t="n">
        <v>0</v>
      </c>
      <c r="M94" t="n">
        <v>0</v>
      </c>
      <c r="N94" t="n">
        <v>0</v>
      </c>
      <c r="O94" t="n">
        <v>1</v>
      </c>
      <c r="P94" t="n">
        <v>0</v>
      </c>
      <c r="Q94" t="n">
        <v>1</v>
      </c>
      <c r="R94" s="2" t="inlineStr">
        <is>
          <t>Luddfingersvamp</t>
        </is>
      </c>
      <c r="S94">
        <f>HYPERLINK("https://klasma.github.io/Logging_2380/artfynd/A 64380-2023 artfynd.xlsx", "A 64380-2023")</f>
        <v/>
      </c>
      <c r="T94">
        <f>HYPERLINK("https://klasma.github.io/Logging_2380/kartor/A 64380-2023 karta.png", "A 64380-2023")</f>
        <v/>
      </c>
      <c r="V94">
        <f>HYPERLINK("https://klasma.github.io/Logging_2380/klagomål/A 64380-2023 FSC-klagomål.docx", "A 64380-2023")</f>
        <v/>
      </c>
      <c r="W94">
        <f>HYPERLINK("https://klasma.github.io/Logging_2380/klagomålsmail/A 64380-2023 FSC-klagomål mail.docx", "A 64380-2023")</f>
        <v/>
      </c>
      <c r="X94">
        <f>HYPERLINK("https://klasma.github.io/Logging_2380/tillsyn/A 64380-2023 tillsynsbegäran.docx", "A 64380-2023")</f>
        <v/>
      </c>
      <c r="Y94">
        <f>HYPERLINK("https://klasma.github.io/Logging_2380/tillsynsmail/A 64380-2023 tillsynsbegäran mail.docx", "A 64380-2023")</f>
        <v/>
      </c>
    </row>
    <row r="95" ht="15" customHeight="1">
      <c r="A95" t="inlineStr">
        <is>
          <t>A 40696-2024</t>
        </is>
      </c>
      <c r="B95" s="1" t="n">
        <v>45558</v>
      </c>
      <c r="C95" s="1" t="n">
        <v>45883</v>
      </c>
      <c r="D95" t="inlineStr">
        <is>
          <t>JÄMTLANDS LÄN</t>
        </is>
      </c>
      <c r="E95" t="inlineStr">
        <is>
          <t>ÖSTERSUND</t>
        </is>
      </c>
      <c r="F95" t="inlineStr">
        <is>
          <t>SCA</t>
        </is>
      </c>
      <c r="G95" t="n">
        <v>2.7</v>
      </c>
      <c r="H95" t="n">
        <v>0</v>
      </c>
      <c r="I95" t="n">
        <v>0</v>
      </c>
      <c r="J95" t="n">
        <v>1</v>
      </c>
      <c r="K95" t="n">
        <v>0</v>
      </c>
      <c r="L95" t="n">
        <v>0</v>
      </c>
      <c r="M95" t="n">
        <v>0</v>
      </c>
      <c r="N95" t="n">
        <v>0</v>
      </c>
      <c r="O95" t="n">
        <v>1</v>
      </c>
      <c r="P95" t="n">
        <v>0</v>
      </c>
      <c r="Q95" t="n">
        <v>1</v>
      </c>
      <c r="R95" s="2" t="inlineStr">
        <is>
          <t>Lunglav</t>
        </is>
      </c>
      <c r="S95">
        <f>HYPERLINK("https://klasma.github.io/Logging_2380/artfynd/A 40696-2024 artfynd.xlsx", "A 40696-2024")</f>
        <v/>
      </c>
      <c r="T95">
        <f>HYPERLINK("https://klasma.github.io/Logging_2380/kartor/A 40696-2024 karta.png", "A 40696-2024")</f>
        <v/>
      </c>
      <c r="V95">
        <f>HYPERLINK("https://klasma.github.io/Logging_2380/klagomål/A 40696-2024 FSC-klagomål.docx", "A 40696-2024")</f>
        <v/>
      </c>
      <c r="W95">
        <f>HYPERLINK("https://klasma.github.io/Logging_2380/klagomålsmail/A 40696-2024 FSC-klagomål mail.docx", "A 40696-2024")</f>
        <v/>
      </c>
      <c r="X95">
        <f>HYPERLINK("https://klasma.github.io/Logging_2380/tillsyn/A 40696-2024 tillsynsbegäran.docx", "A 40696-2024")</f>
        <v/>
      </c>
      <c r="Y95">
        <f>HYPERLINK("https://klasma.github.io/Logging_2380/tillsynsmail/A 40696-2024 tillsynsbegäran mail.docx", "A 40696-2024")</f>
        <v/>
      </c>
    </row>
    <row r="96" ht="15" customHeight="1">
      <c r="A96" t="inlineStr">
        <is>
          <t>A 41279-2024</t>
        </is>
      </c>
      <c r="B96" s="1" t="n">
        <v>45559</v>
      </c>
      <c r="C96" s="1" t="n">
        <v>45883</v>
      </c>
      <c r="D96" t="inlineStr">
        <is>
          <t>JÄMTLANDS LÄN</t>
        </is>
      </c>
      <c r="E96" t="inlineStr">
        <is>
          <t>ÖSTERSUND</t>
        </is>
      </c>
      <c r="F96" t="inlineStr">
        <is>
          <t>SCA</t>
        </is>
      </c>
      <c r="G96" t="n">
        <v>1.6</v>
      </c>
      <c r="H96" t="n">
        <v>0</v>
      </c>
      <c r="I96" t="n">
        <v>0</v>
      </c>
      <c r="J96" t="n">
        <v>1</v>
      </c>
      <c r="K96" t="n">
        <v>0</v>
      </c>
      <c r="L96" t="n">
        <v>0</v>
      </c>
      <c r="M96" t="n">
        <v>0</v>
      </c>
      <c r="N96" t="n">
        <v>0</v>
      </c>
      <c r="O96" t="n">
        <v>1</v>
      </c>
      <c r="P96" t="n">
        <v>0</v>
      </c>
      <c r="Q96" t="n">
        <v>1</v>
      </c>
      <c r="R96" s="2" t="inlineStr">
        <is>
          <t>Dvärgbägarlav</t>
        </is>
      </c>
      <c r="S96">
        <f>HYPERLINK("https://klasma.github.io/Logging_2380/artfynd/A 41279-2024 artfynd.xlsx", "A 41279-2024")</f>
        <v/>
      </c>
      <c r="T96">
        <f>HYPERLINK("https://klasma.github.io/Logging_2380/kartor/A 41279-2024 karta.png", "A 41279-2024")</f>
        <v/>
      </c>
      <c r="V96">
        <f>HYPERLINK("https://klasma.github.io/Logging_2380/klagomål/A 41279-2024 FSC-klagomål.docx", "A 41279-2024")</f>
        <v/>
      </c>
      <c r="W96">
        <f>HYPERLINK("https://klasma.github.io/Logging_2380/klagomålsmail/A 41279-2024 FSC-klagomål mail.docx", "A 41279-2024")</f>
        <v/>
      </c>
      <c r="X96">
        <f>HYPERLINK("https://klasma.github.io/Logging_2380/tillsyn/A 41279-2024 tillsynsbegäran.docx", "A 41279-2024")</f>
        <v/>
      </c>
      <c r="Y96">
        <f>HYPERLINK("https://klasma.github.io/Logging_2380/tillsynsmail/A 41279-2024 tillsynsbegäran mail.docx", "A 41279-2024")</f>
        <v/>
      </c>
    </row>
    <row r="97" ht="15" customHeight="1">
      <c r="A97" t="inlineStr">
        <is>
          <t>A 58181-2022</t>
        </is>
      </c>
      <c r="B97" s="1" t="n">
        <v>44900</v>
      </c>
      <c r="C97" s="1" t="n">
        <v>45883</v>
      </c>
      <c r="D97" t="inlineStr">
        <is>
          <t>JÄMTLANDS LÄN</t>
        </is>
      </c>
      <c r="E97" t="inlineStr">
        <is>
          <t>ÖSTERSUND</t>
        </is>
      </c>
      <c r="G97" t="n">
        <v>14.8</v>
      </c>
      <c r="H97" t="n">
        <v>0</v>
      </c>
      <c r="I97" t="n">
        <v>1</v>
      </c>
      <c r="J97" t="n">
        <v>0</v>
      </c>
      <c r="K97" t="n">
        <v>0</v>
      </c>
      <c r="L97" t="n">
        <v>0</v>
      </c>
      <c r="M97" t="n">
        <v>0</v>
      </c>
      <c r="N97" t="n">
        <v>0</v>
      </c>
      <c r="O97" t="n">
        <v>0</v>
      </c>
      <c r="P97" t="n">
        <v>0</v>
      </c>
      <c r="Q97" t="n">
        <v>1</v>
      </c>
      <c r="R97" s="2" t="inlineStr">
        <is>
          <t>Finbräken</t>
        </is>
      </c>
      <c r="S97">
        <f>HYPERLINK("https://klasma.github.io/Logging_2380/artfynd/A 58181-2022 artfynd.xlsx", "A 58181-2022")</f>
        <v/>
      </c>
      <c r="T97">
        <f>HYPERLINK("https://klasma.github.io/Logging_2380/kartor/A 58181-2022 karta.png", "A 58181-2022")</f>
        <v/>
      </c>
      <c r="V97">
        <f>HYPERLINK("https://klasma.github.io/Logging_2380/klagomål/A 58181-2022 FSC-klagomål.docx", "A 58181-2022")</f>
        <v/>
      </c>
      <c r="W97">
        <f>HYPERLINK("https://klasma.github.io/Logging_2380/klagomålsmail/A 58181-2022 FSC-klagomål mail.docx", "A 58181-2022")</f>
        <v/>
      </c>
      <c r="X97">
        <f>HYPERLINK("https://klasma.github.io/Logging_2380/tillsyn/A 58181-2022 tillsynsbegäran.docx", "A 58181-2022")</f>
        <v/>
      </c>
      <c r="Y97">
        <f>HYPERLINK("https://klasma.github.io/Logging_2380/tillsynsmail/A 58181-2022 tillsynsbegäran mail.docx", "A 58181-2022")</f>
        <v/>
      </c>
    </row>
    <row r="98" ht="15" customHeight="1">
      <c r="A98" t="inlineStr">
        <is>
          <t>A 17217-2021</t>
        </is>
      </c>
      <c r="B98" s="1" t="n">
        <v>44298</v>
      </c>
      <c r="C98" s="1" t="n">
        <v>45883</v>
      </c>
      <c r="D98" t="inlineStr">
        <is>
          <t>JÄMTLANDS LÄN</t>
        </is>
      </c>
      <c r="E98" t="inlineStr">
        <is>
          <t>ÖSTERSUND</t>
        </is>
      </c>
      <c r="G98" t="n">
        <v>10.4</v>
      </c>
      <c r="H98" t="n">
        <v>0</v>
      </c>
      <c r="I98" t="n">
        <v>0</v>
      </c>
      <c r="J98" t="n">
        <v>1</v>
      </c>
      <c r="K98" t="n">
        <v>0</v>
      </c>
      <c r="L98" t="n">
        <v>0</v>
      </c>
      <c r="M98" t="n">
        <v>0</v>
      </c>
      <c r="N98" t="n">
        <v>0</v>
      </c>
      <c r="O98" t="n">
        <v>1</v>
      </c>
      <c r="P98" t="n">
        <v>0</v>
      </c>
      <c r="Q98" t="n">
        <v>1</v>
      </c>
      <c r="R98" s="2" t="inlineStr">
        <is>
          <t>Rödbrun klubbdyna</t>
        </is>
      </c>
      <c r="S98">
        <f>HYPERLINK("https://klasma.github.io/Logging_2380/artfynd/A 17217-2021 artfynd.xlsx", "A 17217-2021")</f>
        <v/>
      </c>
      <c r="T98">
        <f>HYPERLINK("https://klasma.github.io/Logging_2380/kartor/A 17217-2021 karta.png", "A 17217-2021")</f>
        <v/>
      </c>
      <c r="V98">
        <f>HYPERLINK("https://klasma.github.io/Logging_2380/klagomål/A 17217-2021 FSC-klagomål.docx", "A 17217-2021")</f>
        <v/>
      </c>
      <c r="W98">
        <f>HYPERLINK("https://klasma.github.io/Logging_2380/klagomålsmail/A 17217-2021 FSC-klagomål mail.docx", "A 17217-2021")</f>
        <v/>
      </c>
      <c r="X98">
        <f>HYPERLINK("https://klasma.github.io/Logging_2380/tillsyn/A 17217-2021 tillsynsbegäran.docx", "A 17217-2021")</f>
        <v/>
      </c>
      <c r="Y98">
        <f>HYPERLINK("https://klasma.github.io/Logging_2380/tillsynsmail/A 17217-2021 tillsynsbegäran mail.docx", "A 17217-2021")</f>
        <v/>
      </c>
    </row>
    <row r="99" ht="15" customHeight="1">
      <c r="A99" t="inlineStr">
        <is>
          <t>A 57065-2024</t>
        </is>
      </c>
      <c r="B99" s="1" t="n">
        <v>45629.35344907407</v>
      </c>
      <c r="C99" s="1" t="n">
        <v>45883</v>
      </c>
      <c r="D99" t="inlineStr">
        <is>
          <t>JÄMTLANDS LÄN</t>
        </is>
      </c>
      <c r="E99" t="inlineStr">
        <is>
          <t>ÖSTERSUND</t>
        </is>
      </c>
      <c r="F99" t="inlineStr">
        <is>
          <t>SCA</t>
        </is>
      </c>
      <c r="G99" t="n">
        <v>6.3</v>
      </c>
      <c r="H99" t="n">
        <v>1</v>
      </c>
      <c r="I99" t="n">
        <v>0</v>
      </c>
      <c r="J99" t="n">
        <v>1</v>
      </c>
      <c r="K99" t="n">
        <v>0</v>
      </c>
      <c r="L99" t="n">
        <v>0</v>
      </c>
      <c r="M99" t="n">
        <v>0</v>
      </c>
      <c r="N99" t="n">
        <v>0</v>
      </c>
      <c r="O99" t="n">
        <v>1</v>
      </c>
      <c r="P99" t="n">
        <v>0</v>
      </c>
      <c r="Q99" t="n">
        <v>1</v>
      </c>
      <c r="R99" s="2" t="inlineStr">
        <is>
          <t>Tretåig hackspett</t>
        </is>
      </c>
      <c r="S99">
        <f>HYPERLINK("https://klasma.github.io/Logging_2380/artfynd/A 57065-2024 artfynd.xlsx", "A 57065-2024")</f>
        <v/>
      </c>
      <c r="T99">
        <f>HYPERLINK("https://klasma.github.io/Logging_2380/kartor/A 57065-2024 karta.png", "A 57065-2024")</f>
        <v/>
      </c>
      <c r="V99">
        <f>HYPERLINK("https://klasma.github.io/Logging_2380/klagomål/A 57065-2024 FSC-klagomål.docx", "A 57065-2024")</f>
        <v/>
      </c>
      <c r="W99">
        <f>HYPERLINK("https://klasma.github.io/Logging_2380/klagomålsmail/A 57065-2024 FSC-klagomål mail.docx", "A 57065-2024")</f>
        <v/>
      </c>
      <c r="X99">
        <f>HYPERLINK("https://klasma.github.io/Logging_2380/tillsyn/A 57065-2024 tillsynsbegäran.docx", "A 57065-2024")</f>
        <v/>
      </c>
      <c r="Y99">
        <f>HYPERLINK("https://klasma.github.io/Logging_2380/tillsynsmail/A 57065-2024 tillsynsbegäran mail.docx", "A 57065-2024")</f>
        <v/>
      </c>
      <c r="Z99">
        <f>HYPERLINK("https://klasma.github.io/Logging_2380/fåglar/A 57065-2024 prioriterade fågelarter.docx", "A 57065-2024")</f>
        <v/>
      </c>
    </row>
    <row r="100" ht="15" customHeight="1">
      <c r="A100" t="inlineStr">
        <is>
          <t>A 59433-2021</t>
        </is>
      </c>
      <c r="B100" s="1" t="n">
        <v>44491</v>
      </c>
      <c r="C100" s="1" t="n">
        <v>45883</v>
      </c>
      <c r="D100" t="inlineStr">
        <is>
          <t>JÄMTLANDS LÄN</t>
        </is>
      </c>
      <c r="E100" t="inlineStr">
        <is>
          <t>ÖSTERSUND</t>
        </is>
      </c>
      <c r="F100" t="inlineStr">
        <is>
          <t>Övriga statliga verk och myndigheter</t>
        </is>
      </c>
      <c r="G100" t="n">
        <v>1.6</v>
      </c>
      <c r="H100" t="n">
        <v>0</v>
      </c>
      <c r="I100" t="n">
        <v>0</v>
      </c>
      <c r="J100" t="n">
        <v>1</v>
      </c>
      <c r="K100" t="n">
        <v>0</v>
      </c>
      <c r="L100" t="n">
        <v>0</v>
      </c>
      <c r="M100" t="n">
        <v>0</v>
      </c>
      <c r="N100" t="n">
        <v>0</v>
      </c>
      <c r="O100" t="n">
        <v>1</v>
      </c>
      <c r="P100" t="n">
        <v>0</v>
      </c>
      <c r="Q100" t="n">
        <v>1</v>
      </c>
      <c r="R100" s="2" t="inlineStr">
        <is>
          <t>Brunpudrad nållav</t>
        </is>
      </c>
      <c r="S100">
        <f>HYPERLINK("https://klasma.github.io/Logging_2380/artfynd/A 59433-2021 artfynd.xlsx", "A 59433-2021")</f>
        <v/>
      </c>
      <c r="T100">
        <f>HYPERLINK("https://klasma.github.io/Logging_2380/kartor/A 59433-2021 karta.png", "A 59433-2021")</f>
        <v/>
      </c>
      <c r="V100">
        <f>HYPERLINK("https://klasma.github.io/Logging_2380/klagomål/A 59433-2021 FSC-klagomål.docx", "A 59433-2021")</f>
        <v/>
      </c>
      <c r="W100">
        <f>HYPERLINK("https://klasma.github.io/Logging_2380/klagomålsmail/A 59433-2021 FSC-klagomål mail.docx", "A 59433-2021")</f>
        <v/>
      </c>
      <c r="X100">
        <f>HYPERLINK("https://klasma.github.io/Logging_2380/tillsyn/A 59433-2021 tillsynsbegäran.docx", "A 59433-2021")</f>
        <v/>
      </c>
      <c r="Y100">
        <f>HYPERLINK("https://klasma.github.io/Logging_2380/tillsynsmail/A 59433-2021 tillsynsbegäran mail.docx", "A 59433-2021")</f>
        <v/>
      </c>
    </row>
    <row r="101" ht="15" customHeight="1">
      <c r="A101" t="inlineStr">
        <is>
          <t>A 40692-2024</t>
        </is>
      </c>
      <c r="B101" s="1" t="n">
        <v>45558</v>
      </c>
      <c r="C101" s="1" t="n">
        <v>45883</v>
      </c>
      <c r="D101" t="inlineStr">
        <is>
          <t>JÄMTLANDS LÄN</t>
        </is>
      </c>
      <c r="E101" t="inlineStr">
        <is>
          <t>ÖSTERSUND</t>
        </is>
      </c>
      <c r="F101" t="inlineStr">
        <is>
          <t>SCA</t>
        </is>
      </c>
      <c r="G101" t="n">
        <v>0.9</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40692-2024 artfynd.xlsx", "A 40692-2024")</f>
        <v/>
      </c>
      <c r="T101">
        <f>HYPERLINK("https://klasma.github.io/Logging_2380/kartor/A 40692-2024 karta.png", "A 40692-2024")</f>
        <v/>
      </c>
      <c r="V101">
        <f>HYPERLINK("https://klasma.github.io/Logging_2380/klagomål/A 40692-2024 FSC-klagomål.docx", "A 40692-2024")</f>
        <v/>
      </c>
      <c r="W101">
        <f>HYPERLINK("https://klasma.github.io/Logging_2380/klagomålsmail/A 40692-2024 FSC-klagomål mail.docx", "A 40692-2024")</f>
        <v/>
      </c>
      <c r="X101">
        <f>HYPERLINK("https://klasma.github.io/Logging_2380/tillsyn/A 40692-2024 tillsynsbegäran.docx", "A 40692-2024")</f>
        <v/>
      </c>
      <c r="Y101">
        <f>HYPERLINK("https://klasma.github.io/Logging_2380/tillsynsmail/A 40692-2024 tillsynsbegäran mail.docx", "A 40692-2024")</f>
        <v/>
      </c>
    </row>
    <row r="102" ht="15" customHeight="1">
      <c r="A102" t="inlineStr">
        <is>
          <t>A 63775-2020</t>
        </is>
      </c>
      <c r="B102" s="1" t="n">
        <v>44165</v>
      </c>
      <c r="C102" s="1" t="n">
        <v>45883</v>
      </c>
      <c r="D102" t="inlineStr">
        <is>
          <t>JÄMTLANDS LÄN</t>
        </is>
      </c>
      <c r="E102" t="inlineStr">
        <is>
          <t>ÖSTERSUND</t>
        </is>
      </c>
      <c r="G102" t="n">
        <v>6.2</v>
      </c>
      <c r="H102" t="n">
        <v>1</v>
      </c>
      <c r="I102" t="n">
        <v>0</v>
      </c>
      <c r="J102" t="n">
        <v>0</v>
      </c>
      <c r="K102" t="n">
        <v>0</v>
      </c>
      <c r="L102" t="n">
        <v>0</v>
      </c>
      <c r="M102" t="n">
        <v>0</v>
      </c>
      <c r="N102" t="n">
        <v>0</v>
      </c>
      <c r="O102" t="n">
        <v>0</v>
      </c>
      <c r="P102" t="n">
        <v>0</v>
      </c>
      <c r="Q102" t="n">
        <v>1</v>
      </c>
      <c r="R102" s="2" t="inlineStr">
        <is>
          <t>Fläcknycklar</t>
        </is>
      </c>
      <c r="S102">
        <f>HYPERLINK("https://klasma.github.io/Logging_2380/artfynd/A 63775-2020 artfynd.xlsx", "A 63775-2020")</f>
        <v/>
      </c>
      <c r="T102">
        <f>HYPERLINK("https://klasma.github.io/Logging_2380/kartor/A 63775-2020 karta.png", "A 63775-2020")</f>
        <v/>
      </c>
      <c r="V102">
        <f>HYPERLINK("https://klasma.github.io/Logging_2380/klagomål/A 63775-2020 FSC-klagomål.docx", "A 63775-2020")</f>
        <v/>
      </c>
      <c r="W102">
        <f>HYPERLINK("https://klasma.github.io/Logging_2380/klagomålsmail/A 63775-2020 FSC-klagomål mail.docx", "A 63775-2020")</f>
        <v/>
      </c>
      <c r="X102">
        <f>HYPERLINK("https://klasma.github.io/Logging_2380/tillsyn/A 63775-2020 tillsynsbegäran.docx", "A 63775-2020")</f>
        <v/>
      </c>
      <c r="Y102">
        <f>HYPERLINK("https://klasma.github.io/Logging_2380/tillsynsmail/A 63775-2020 tillsynsbegäran mail.docx", "A 63775-2020")</f>
        <v/>
      </c>
    </row>
    <row r="103" ht="15" customHeight="1">
      <c r="A103" t="inlineStr">
        <is>
          <t>A 43883-2024</t>
        </is>
      </c>
      <c r="B103" s="1" t="n">
        <v>45570</v>
      </c>
      <c r="C103" s="1" t="n">
        <v>45883</v>
      </c>
      <c r="D103" t="inlineStr">
        <is>
          <t>JÄMTLANDS LÄN</t>
        </is>
      </c>
      <c r="E103" t="inlineStr">
        <is>
          <t>ÖSTERSUND</t>
        </is>
      </c>
      <c r="G103" t="n">
        <v>3.8</v>
      </c>
      <c r="H103" t="n">
        <v>0</v>
      </c>
      <c r="I103" t="n">
        <v>0</v>
      </c>
      <c r="J103" t="n">
        <v>0</v>
      </c>
      <c r="K103" t="n">
        <v>1</v>
      </c>
      <c r="L103" t="n">
        <v>0</v>
      </c>
      <c r="M103" t="n">
        <v>0</v>
      </c>
      <c r="N103" t="n">
        <v>0</v>
      </c>
      <c r="O103" t="n">
        <v>1</v>
      </c>
      <c r="P103" t="n">
        <v>1</v>
      </c>
      <c r="Q103" t="n">
        <v>1</v>
      </c>
      <c r="R103" s="2" t="inlineStr">
        <is>
          <t>Frösöstarr</t>
        </is>
      </c>
      <c r="S103">
        <f>HYPERLINK("https://klasma.github.io/Logging_2380/artfynd/A 43883-2024 artfynd.xlsx", "A 43883-2024")</f>
        <v/>
      </c>
      <c r="T103">
        <f>HYPERLINK("https://klasma.github.io/Logging_2380/kartor/A 43883-2024 karta.png", "A 43883-2024")</f>
        <v/>
      </c>
      <c r="V103">
        <f>HYPERLINK("https://klasma.github.io/Logging_2380/klagomål/A 43883-2024 FSC-klagomål.docx", "A 43883-2024")</f>
        <v/>
      </c>
      <c r="W103">
        <f>HYPERLINK("https://klasma.github.io/Logging_2380/klagomålsmail/A 43883-2024 FSC-klagomål mail.docx", "A 43883-2024")</f>
        <v/>
      </c>
      <c r="X103">
        <f>HYPERLINK("https://klasma.github.io/Logging_2380/tillsyn/A 43883-2024 tillsynsbegäran.docx", "A 43883-2024")</f>
        <v/>
      </c>
      <c r="Y103">
        <f>HYPERLINK("https://klasma.github.io/Logging_2380/tillsynsmail/A 43883-2024 tillsynsbegäran mail.docx", "A 43883-2024")</f>
        <v/>
      </c>
    </row>
    <row r="104" ht="15" customHeight="1">
      <c r="A104" t="inlineStr">
        <is>
          <t>A 28980-2023</t>
        </is>
      </c>
      <c r="B104" s="1" t="n">
        <v>45096</v>
      </c>
      <c r="C104" s="1" t="n">
        <v>45883</v>
      </c>
      <c r="D104" t="inlineStr">
        <is>
          <t>JÄMTLANDS LÄN</t>
        </is>
      </c>
      <c r="E104" t="inlineStr">
        <is>
          <t>ÖSTERSUND</t>
        </is>
      </c>
      <c r="G104" t="n">
        <v>2.7</v>
      </c>
      <c r="H104" t="n">
        <v>0</v>
      </c>
      <c r="I104" t="n">
        <v>1</v>
      </c>
      <c r="J104" t="n">
        <v>0</v>
      </c>
      <c r="K104" t="n">
        <v>0</v>
      </c>
      <c r="L104" t="n">
        <v>0</v>
      </c>
      <c r="M104" t="n">
        <v>0</v>
      </c>
      <c r="N104" t="n">
        <v>0</v>
      </c>
      <c r="O104" t="n">
        <v>0</v>
      </c>
      <c r="P104" t="n">
        <v>0</v>
      </c>
      <c r="Q104" t="n">
        <v>1</v>
      </c>
      <c r="R104" s="2" t="inlineStr">
        <is>
          <t>Finbräken</t>
        </is>
      </c>
      <c r="S104">
        <f>HYPERLINK("https://klasma.github.io/Logging_2380/artfynd/A 28980-2023 artfynd.xlsx", "A 28980-2023")</f>
        <v/>
      </c>
      <c r="T104">
        <f>HYPERLINK("https://klasma.github.io/Logging_2380/kartor/A 28980-2023 karta.png", "A 28980-2023")</f>
        <v/>
      </c>
      <c r="V104">
        <f>HYPERLINK("https://klasma.github.io/Logging_2380/klagomål/A 28980-2023 FSC-klagomål.docx", "A 28980-2023")</f>
        <v/>
      </c>
      <c r="W104">
        <f>HYPERLINK("https://klasma.github.io/Logging_2380/klagomålsmail/A 28980-2023 FSC-klagomål mail.docx", "A 28980-2023")</f>
        <v/>
      </c>
      <c r="X104">
        <f>HYPERLINK("https://klasma.github.io/Logging_2380/tillsyn/A 28980-2023 tillsynsbegäran.docx", "A 28980-2023")</f>
        <v/>
      </c>
      <c r="Y104">
        <f>HYPERLINK("https://klasma.github.io/Logging_2380/tillsynsmail/A 28980-2023 tillsynsbegäran mail.docx", "A 28980-2023")</f>
        <v/>
      </c>
    </row>
    <row r="105" ht="15" customHeight="1">
      <c r="A105" t="inlineStr">
        <is>
          <t>A 31883-2024</t>
        </is>
      </c>
      <c r="B105" s="1" t="n">
        <v>45509.9572800926</v>
      </c>
      <c r="C105" s="1" t="n">
        <v>45883</v>
      </c>
      <c r="D105" t="inlineStr">
        <is>
          <t>JÄMTLANDS LÄN</t>
        </is>
      </c>
      <c r="E105" t="inlineStr">
        <is>
          <t>ÖSTERSUND</t>
        </is>
      </c>
      <c r="F105" t="inlineStr">
        <is>
          <t>SCA</t>
        </is>
      </c>
      <c r="G105" t="n">
        <v>3.3</v>
      </c>
      <c r="H105" t="n">
        <v>1</v>
      </c>
      <c r="I105" t="n">
        <v>0</v>
      </c>
      <c r="J105" t="n">
        <v>0</v>
      </c>
      <c r="K105" t="n">
        <v>1</v>
      </c>
      <c r="L105" t="n">
        <v>0</v>
      </c>
      <c r="M105" t="n">
        <v>0</v>
      </c>
      <c r="N105" t="n">
        <v>0</v>
      </c>
      <c r="O105" t="n">
        <v>1</v>
      </c>
      <c r="P105" t="n">
        <v>1</v>
      </c>
      <c r="Q105" t="n">
        <v>1</v>
      </c>
      <c r="R105" s="2" t="inlineStr">
        <is>
          <t>Doftticka</t>
        </is>
      </c>
      <c r="S105">
        <f>HYPERLINK("https://klasma.github.io/Logging_2380/artfynd/A 31883-2024 artfynd.xlsx", "A 31883-2024")</f>
        <v/>
      </c>
      <c r="T105">
        <f>HYPERLINK("https://klasma.github.io/Logging_2380/kartor/A 31883-2024 karta.png", "A 31883-2024")</f>
        <v/>
      </c>
      <c r="V105">
        <f>HYPERLINK("https://klasma.github.io/Logging_2380/klagomål/A 31883-2024 FSC-klagomål.docx", "A 31883-2024")</f>
        <v/>
      </c>
      <c r="W105">
        <f>HYPERLINK("https://klasma.github.io/Logging_2380/klagomålsmail/A 31883-2024 FSC-klagomål mail.docx", "A 31883-2024")</f>
        <v/>
      </c>
      <c r="X105">
        <f>HYPERLINK("https://klasma.github.io/Logging_2380/tillsyn/A 31883-2024 tillsynsbegäran.docx", "A 31883-2024")</f>
        <v/>
      </c>
      <c r="Y105">
        <f>HYPERLINK("https://klasma.github.io/Logging_2380/tillsynsmail/A 31883-2024 tillsynsbegäran mail.docx", "A 31883-2024")</f>
        <v/>
      </c>
    </row>
    <row r="106" ht="15" customHeight="1">
      <c r="A106" t="inlineStr">
        <is>
          <t>A 55821-2021</t>
        </is>
      </c>
      <c r="B106" s="1" t="n">
        <v>44476</v>
      </c>
      <c r="C106" s="1" t="n">
        <v>45883</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54354-2024</t>
        </is>
      </c>
      <c r="B107" s="1" t="n">
        <v>45617.40244212963</v>
      </c>
      <c r="C107" s="1" t="n">
        <v>45883</v>
      </c>
      <c r="D107" t="inlineStr">
        <is>
          <t>JÄMTLANDS LÄN</t>
        </is>
      </c>
      <c r="E107" t="inlineStr">
        <is>
          <t>ÖSTERSUND</t>
        </is>
      </c>
      <c r="G107" t="n">
        <v>7</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54354-2024 artfynd.xlsx", "A 54354-2024")</f>
        <v/>
      </c>
      <c r="T107">
        <f>HYPERLINK("https://klasma.github.io/Logging_2380/kartor/A 54354-2024 karta.png", "A 54354-2024")</f>
        <v/>
      </c>
      <c r="V107">
        <f>HYPERLINK("https://klasma.github.io/Logging_2380/klagomål/A 54354-2024 FSC-klagomål.docx", "A 54354-2024")</f>
        <v/>
      </c>
      <c r="W107">
        <f>HYPERLINK("https://klasma.github.io/Logging_2380/klagomålsmail/A 54354-2024 FSC-klagomål mail.docx", "A 54354-2024")</f>
        <v/>
      </c>
      <c r="X107">
        <f>HYPERLINK("https://klasma.github.io/Logging_2380/tillsyn/A 54354-2024 tillsynsbegäran.docx", "A 54354-2024")</f>
        <v/>
      </c>
      <c r="Y107">
        <f>HYPERLINK("https://klasma.github.io/Logging_2380/tillsynsmail/A 54354-2024 tillsynsbegäran mail.docx", "A 54354-2024")</f>
        <v/>
      </c>
      <c r="Z107">
        <f>HYPERLINK("https://klasma.github.io/Logging_2380/fåglar/A 54354-2024 prioriterade fågelarter.docx", "A 54354-2024")</f>
        <v/>
      </c>
    </row>
    <row r="108" ht="15" customHeight="1">
      <c r="A108" t="inlineStr">
        <is>
          <t>A 44049-2024</t>
        </is>
      </c>
      <c r="B108" s="1" t="n">
        <v>45572.59462962963</v>
      </c>
      <c r="C108" s="1" t="n">
        <v>45883</v>
      </c>
      <c r="D108" t="inlineStr">
        <is>
          <t>JÄMTLANDS LÄN</t>
        </is>
      </c>
      <c r="E108" t="inlineStr">
        <is>
          <t>ÖSTERSUND</t>
        </is>
      </c>
      <c r="F108" t="inlineStr">
        <is>
          <t>SCA</t>
        </is>
      </c>
      <c r="G108" t="n">
        <v>4.5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44049-2024 artfynd.xlsx", "A 44049-2024")</f>
        <v/>
      </c>
      <c r="T108">
        <f>HYPERLINK("https://klasma.github.io/Logging_2380/kartor/A 44049-2024 karta.png", "A 44049-2024")</f>
        <v/>
      </c>
      <c r="V108">
        <f>HYPERLINK("https://klasma.github.io/Logging_2380/klagomål/A 44049-2024 FSC-klagomål.docx", "A 44049-2024")</f>
        <v/>
      </c>
      <c r="W108">
        <f>HYPERLINK("https://klasma.github.io/Logging_2380/klagomålsmail/A 44049-2024 FSC-klagomål mail.docx", "A 44049-2024")</f>
        <v/>
      </c>
      <c r="X108">
        <f>HYPERLINK("https://klasma.github.io/Logging_2380/tillsyn/A 44049-2024 tillsynsbegäran.docx", "A 44049-2024")</f>
        <v/>
      </c>
      <c r="Y108">
        <f>HYPERLINK("https://klasma.github.io/Logging_2380/tillsynsmail/A 44049-2024 tillsynsbegäran mail.docx", "A 44049-2024")</f>
        <v/>
      </c>
    </row>
    <row r="109" ht="15" customHeight="1">
      <c r="A109" t="inlineStr">
        <is>
          <t>A 41312-2024</t>
        </is>
      </c>
      <c r="B109" s="1" t="n">
        <v>45559.63584490741</v>
      </c>
      <c r="C109" s="1" t="n">
        <v>45883</v>
      </c>
      <c r="D109" t="inlineStr">
        <is>
          <t>JÄMTLANDS LÄN</t>
        </is>
      </c>
      <c r="E109" t="inlineStr">
        <is>
          <t>ÖSTERSUND</t>
        </is>
      </c>
      <c r="F109" t="inlineStr">
        <is>
          <t>SCA</t>
        </is>
      </c>
      <c r="G109" t="n">
        <v>2.6</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41312-2024 artfynd.xlsx", "A 41312-2024")</f>
        <v/>
      </c>
      <c r="T109">
        <f>HYPERLINK("https://klasma.github.io/Logging_2380/kartor/A 41312-2024 karta.png", "A 41312-2024")</f>
        <v/>
      </c>
      <c r="V109">
        <f>HYPERLINK("https://klasma.github.io/Logging_2380/klagomål/A 41312-2024 FSC-klagomål.docx", "A 41312-2024")</f>
        <v/>
      </c>
      <c r="W109">
        <f>HYPERLINK("https://klasma.github.io/Logging_2380/klagomålsmail/A 41312-2024 FSC-klagomål mail.docx", "A 41312-2024")</f>
        <v/>
      </c>
      <c r="X109">
        <f>HYPERLINK("https://klasma.github.io/Logging_2380/tillsyn/A 41312-2024 tillsynsbegäran.docx", "A 41312-2024")</f>
        <v/>
      </c>
      <c r="Y109">
        <f>HYPERLINK("https://klasma.github.io/Logging_2380/tillsynsmail/A 41312-2024 tillsynsbegäran mail.docx", "A 41312-2024")</f>
        <v/>
      </c>
    </row>
    <row r="110" ht="15" customHeight="1">
      <c r="A110" t="inlineStr">
        <is>
          <t>A 56201-2024</t>
        </is>
      </c>
      <c r="B110" s="1" t="n">
        <v>45624.59462962963</v>
      </c>
      <c r="C110" s="1" t="n">
        <v>45883</v>
      </c>
      <c r="D110" t="inlineStr">
        <is>
          <t>JÄMTLANDS LÄN</t>
        </is>
      </c>
      <c r="E110" t="inlineStr">
        <is>
          <t>ÖSTERSUND</t>
        </is>
      </c>
      <c r="F110" t="inlineStr">
        <is>
          <t>SCA</t>
        </is>
      </c>
      <c r="G110" t="n">
        <v>5.9</v>
      </c>
      <c r="H110" t="n">
        <v>1</v>
      </c>
      <c r="I110" t="n">
        <v>0</v>
      </c>
      <c r="J110" t="n">
        <v>0</v>
      </c>
      <c r="K110" t="n">
        <v>1</v>
      </c>
      <c r="L110" t="n">
        <v>0</v>
      </c>
      <c r="M110" t="n">
        <v>0</v>
      </c>
      <c r="N110" t="n">
        <v>0</v>
      </c>
      <c r="O110" t="n">
        <v>1</v>
      </c>
      <c r="P110" t="n">
        <v>1</v>
      </c>
      <c r="Q110" t="n">
        <v>1</v>
      </c>
      <c r="R110" s="2" t="inlineStr">
        <is>
          <t>Doftticka</t>
        </is>
      </c>
      <c r="S110">
        <f>HYPERLINK("https://klasma.github.io/Logging_2380/artfynd/A 56201-2024 artfynd.xlsx", "A 56201-2024")</f>
        <v/>
      </c>
      <c r="T110">
        <f>HYPERLINK("https://klasma.github.io/Logging_2380/kartor/A 56201-2024 karta.png", "A 56201-2024")</f>
        <v/>
      </c>
      <c r="V110">
        <f>HYPERLINK("https://klasma.github.io/Logging_2380/klagomål/A 56201-2024 FSC-klagomål.docx", "A 56201-2024")</f>
        <v/>
      </c>
      <c r="W110">
        <f>HYPERLINK("https://klasma.github.io/Logging_2380/klagomålsmail/A 56201-2024 FSC-klagomål mail.docx", "A 56201-2024")</f>
        <v/>
      </c>
      <c r="X110">
        <f>HYPERLINK("https://klasma.github.io/Logging_2380/tillsyn/A 56201-2024 tillsynsbegäran.docx", "A 56201-2024")</f>
        <v/>
      </c>
      <c r="Y110">
        <f>HYPERLINK("https://klasma.github.io/Logging_2380/tillsynsmail/A 56201-2024 tillsynsbegäran mail.docx", "A 56201-2024")</f>
        <v/>
      </c>
    </row>
    <row r="111" ht="15" customHeight="1">
      <c r="A111" t="inlineStr">
        <is>
          <t>A 59108-2024</t>
        </is>
      </c>
      <c r="B111" s="1" t="n">
        <v>45637.34469907408</v>
      </c>
      <c r="C111" s="1" t="n">
        <v>45883</v>
      </c>
      <c r="D111" t="inlineStr">
        <is>
          <t>JÄMTLANDS LÄN</t>
        </is>
      </c>
      <c r="E111" t="inlineStr">
        <is>
          <t>ÖSTERSUND</t>
        </is>
      </c>
      <c r="F111" t="inlineStr">
        <is>
          <t>SCA</t>
        </is>
      </c>
      <c r="G111" t="n">
        <v>10.6</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59108-2024 artfynd.xlsx", "A 59108-2024")</f>
        <v/>
      </c>
      <c r="T111">
        <f>HYPERLINK("https://klasma.github.io/Logging_2380/kartor/A 59108-2024 karta.png", "A 59108-2024")</f>
        <v/>
      </c>
      <c r="V111">
        <f>HYPERLINK("https://klasma.github.io/Logging_2380/klagomål/A 59108-2024 FSC-klagomål.docx", "A 59108-2024")</f>
        <v/>
      </c>
      <c r="W111">
        <f>HYPERLINK("https://klasma.github.io/Logging_2380/klagomålsmail/A 59108-2024 FSC-klagomål mail.docx", "A 59108-2024")</f>
        <v/>
      </c>
      <c r="X111">
        <f>HYPERLINK("https://klasma.github.io/Logging_2380/tillsyn/A 59108-2024 tillsynsbegäran.docx", "A 59108-2024")</f>
        <v/>
      </c>
      <c r="Y111">
        <f>HYPERLINK("https://klasma.github.io/Logging_2380/tillsynsmail/A 59108-2024 tillsynsbegäran mail.docx", "A 59108-2024")</f>
        <v/>
      </c>
      <c r="Z111">
        <f>HYPERLINK("https://klasma.github.io/Logging_2380/fåglar/A 59108-2024 prioriterade fågelarter.docx", "A 59108-2024")</f>
        <v/>
      </c>
    </row>
    <row r="112" ht="15" customHeight="1">
      <c r="A112" t="inlineStr">
        <is>
          <t>A 40694-2024</t>
        </is>
      </c>
      <c r="B112" s="1" t="n">
        <v>45558</v>
      </c>
      <c r="C112" s="1" t="n">
        <v>45883</v>
      </c>
      <c r="D112" t="inlineStr">
        <is>
          <t>JÄMTLANDS LÄN</t>
        </is>
      </c>
      <c r="E112" t="inlineStr">
        <is>
          <t>ÖSTERSUND</t>
        </is>
      </c>
      <c r="F112" t="inlineStr">
        <is>
          <t>SCA</t>
        </is>
      </c>
      <c r="G112" t="n">
        <v>6.2</v>
      </c>
      <c r="H112" t="n">
        <v>0</v>
      </c>
      <c r="I112" t="n">
        <v>0</v>
      </c>
      <c r="J112" t="n">
        <v>1</v>
      </c>
      <c r="K112" t="n">
        <v>0</v>
      </c>
      <c r="L112" t="n">
        <v>0</v>
      </c>
      <c r="M112" t="n">
        <v>0</v>
      </c>
      <c r="N112" t="n">
        <v>0</v>
      </c>
      <c r="O112" t="n">
        <v>1</v>
      </c>
      <c r="P112" t="n">
        <v>0</v>
      </c>
      <c r="Q112" t="n">
        <v>1</v>
      </c>
      <c r="R112" s="2" t="inlineStr">
        <is>
          <t>Reliktbock</t>
        </is>
      </c>
      <c r="S112">
        <f>HYPERLINK("https://klasma.github.io/Logging_2380/artfynd/A 40694-2024 artfynd.xlsx", "A 40694-2024")</f>
        <v/>
      </c>
      <c r="T112">
        <f>HYPERLINK("https://klasma.github.io/Logging_2380/kartor/A 40694-2024 karta.png", "A 40694-2024")</f>
        <v/>
      </c>
      <c r="V112">
        <f>HYPERLINK("https://klasma.github.io/Logging_2380/klagomål/A 40694-2024 FSC-klagomål.docx", "A 40694-2024")</f>
        <v/>
      </c>
      <c r="W112">
        <f>HYPERLINK("https://klasma.github.io/Logging_2380/klagomålsmail/A 40694-2024 FSC-klagomål mail.docx", "A 40694-2024")</f>
        <v/>
      </c>
      <c r="X112">
        <f>HYPERLINK("https://klasma.github.io/Logging_2380/tillsyn/A 40694-2024 tillsynsbegäran.docx", "A 40694-2024")</f>
        <v/>
      </c>
      <c r="Y112">
        <f>HYPERLINK("https://klasma.github.io/Logging_2380/tillsynsmail/A 40694-2024 tillsynsbegäran mail.docx", "A 40694-2024")</f>
        <v/>
      </c>
    </row>
    <row r="113" ht="15" customHeight="1">
      <c r="A113" t="inlineStr">
        <is>
          <t>A 33550-2025</t>
        </is>
      </c>
      <c r="B113" s="1" t="n">
        <v>45841.57331018519</v>
      </c>
      <c r="C113" s="1" t="n">
        <v>45883</v>
      </c>
      <c r="D113" t="inlineStr">
        <is>
          <t>JÄMTLANDS LÄN</t>
        </is>
      </c>
      <c r="E113" t="inlineStr">
        <is>
          <t>ÖSTERSUND</t>
        </is>
      </c>
      <c r="F113" t="inlineStr">
        <is>
          <t>SCA</t>
        </is>
      </c>
      <c r="G113" t="n">
        <v>7.3</v>
      </c>
      <c r="H113" t="n">
        <v>0</v>
      </c>
      <c r="I113" t="n">
        <v>1</v>
      </c>
      <c r="J113" t="n">
        <v>0</v>
      </c>
      <c r="K113" t="n">
        <v>0</v>
      </c>
      <c r="L113" t="n">
        <v>0</v>
      </c>
      <c r="M113" t="n">
        <v>0</v>
      </c>
      <c r="N113" t="n">
        <v>0</v>
      </c>
      <c r="O113" t="n">
        <v>0</v>
      </c>
      <c r="P113" t="n">
        <v>0</v>
      </c>
      <c r="Q113" t="n">
        <v>1</v>
      </c>
      <c r="R113" s="2" t="inlineStr">
        <is>
          <t>Dropptaggsvamp</t>
        </is>
      </c>
      <c r="S113">
        <f>HYPERLINK("https://klasma.github.io/Logging_2380/artfynd/A 33550-2025 artfynd.xlsx", "A 33550-2025")</f>
        <v/>
      </c>
      <c r="T113">
        <f>HYPERLINK("https://klasma.github.io/Logging_2380/kartor/A 33550-2025 karta.png", "A 33550-2025")</f>
        <v/>
      </c>
      <c r="V113">
        <f>HYPERLINK("https://klasma.github.io/Logging_2380/klagomål/A 33550-2025 FSC-klagomål.docx", "A 33550-2025")</f>
        <v/>
      </c>
      <c r="W113">
        <f>HYPERLINK("https://klasma.github.io/Logging_2380/klagomålsmail/A 33550-2025 FSC-klagomål mail.docx", "A 33550-2025")</f>
        <v/>
      </c>
      <c r="X113">
        <f>HYPERLINK("https://klasma.github.io/Logging_2380/tillsyn/A 33550-2025 tillsynsbegäran.docx", "A 33550-2025")</f>
        <v/>
      </c>
      <c r="Y113">
        <f>HYPERLINK("https://klasma.github.io/Logging_2380/tillsynsmail/A 33550-2025 tillsynsbegäran mail.docx", "A 33550-2025")</f>
        <v/>
      </c>
    </row>
    <row r="114" ht="15" customHeight="1">
      <c r="A114" t="inlineStr">
        <is>
          <t>A 9739-2022</t>
        </is>
      </c>
      <c r="B114" s="1" t="n">
        <v>44617</v>
      </c>
      <c r="C114" s="1" t="n">
        <v>45883</v>
      </c>
      <c r="D114" t="inlineStr">
        <is>
          <t>JÄMTLANDS LÄN</t>
        </is>
      </c>
      <c r="E114" t="inlineStr">
        <is>
          <t>ÖSTERSUND</t>
        </is>
      </c>
      <c r="F114" t="inlineStr">
        <is>
          <t>SCA</t>
        </is>
      </c>
      <c r="G114" t="n">
        <v>13.5</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9739-2022 artfynd.xlsx", "A 9739-2022")</f>
        <v/>
      </c>
      <c r="T114">
        <f>HYPERLINK("https://klasma.github.io/Logging_2380/kartor/A 9739-2022 karta.png", "A 9739-2022")</f>
        <v/>
      </c>
      <c r="V114">
        <f>HYPERLINK("https://klasma.github.io/Logging_2380/klagomål/A 9739-2022 FSC-klagomål.docx", "A 9739-2022")</f>
        <v/>
      </c>
      <c r="W114">
        <f>HYPERLINK("https://klasma.github.io/Logging_2380/klagomålsmail/A 9739-2022 FSC-klagomål mail.docx", "A 9739-2022")</f>
        <v/>
      </c>
      <c r="X114">
        <f>HYPERLINK("https://klasma.github.io/Logging_2380/tillsyn/A 9739-2022 tillsynsbegäran.docx", "A 9739-2022")</f>
        <v/>
      </c>
      <c r="Y114">
        <f>HYPERLINK("https://klasma.github.io/Logging_2380/tillsynsmail/A 9739-2022 tillsynsbegäran mail.docx", "A 9739-2022")</f>
        <v/>
      </c>
    </row>
    <row r="115" ht="15" customHeight="1">
      <c r="A115" t="inlineStr">
        <is>
          <t>A 36225-2025</t>
        </is>
      </c>
      <c r="B115" s="1" t="n">
        <v>45867.51128472222</v>
      </c>
      <c r="C115" s="1" t="n">
        <v>45883</v>
      </c>
      <c r="D115" t="inlineStr">
        <is>
          <t>JÄMTLANDS LÄN</t>
        </is>
      </c>
      <c r="E115" t="inlineStr">
        <is>
          <t>ÖSTERSUND</t>
        </is>
      </c>
      <c r="F115" t="inlineStr">
        <is>
          <t>SCA</t>
        </is>
      </c>
      <c r="G115" t="n">
        <v>1.8</v>
      </c>
      <c r="H115" t="n">
        <v>0</v>
      </c>
      <c r="I115" t="n">
        <v>0</v>
      </c>
      <c r="J115" t="n">
        <v>1</v>
      </c>
      <c r="K115" t="n">
        <v>0</v>
      </c>
      <c r="L115" t="n">
        <v>0</v>
      </c>
      <c r="M115" t="n">
        <v>0</v>
      </c>
      <c r="N115" t="n">
        <v>0</v>
      </c>
      <c r="O115" t="n">
        <v>1</v>
      </c>
      <c r="P115" t="n">
        <v>0</v>
      </c>
      <c r="Q115" t="n">
        <v>1</v>
      </c>
      <c r="R115" s="2" t="inlineStr">
        <is>
          <t>Kolflarnlav</t>
        </is>
      </c>
      <c r="S115">
        <f>HYPERLINK("https://klasma.github.io/Logging_2380/artfynd/A 36225-2025 artfynd.xlsx", "A 36225-2025")</f>
        <v/>
      </c>
      <c r="T115">
        <f>HYPERLINK("https://klasma.github.io/Logging_2380/kartor/A 36225-2025 karta.png", "A 36225-2025")</f>
        <v/>
      </c>
      <c r="V115">
        <f>HYPERLINK("https://klasma.github.io/Logging_2380/klagomål/A 36225-2025 FSC-klagomål.docx", "A 36225-2025")</f>
        <v/>
      </c>
      <c r="W115">
        <f>HYPERLINK("https://klasma.github.io/Logging_2380/klagomålsmail/A 36225-2025 FSC-klagomål mail.docx", "A 36225-2025")</f>
        <v/>
      </c>
      <c r="X115">
        <f>HYPERLINK("https://klasma.github.io/Logging_2380/tillsyn/A 36225-2025 tillsynsbegäran.docx", "A 36225-2025")</f>
        <v/>
      </c>
      <c r="Y115">
        <f>HYPERLINK("https://klasma.github.io/Logging_2380/tillsynsmail/A 36225-2025 tillsynsbegäran mail.docx", "A 36225-2025")</f>
        <v/>
      </c>
    </row>
    <row r="116" ht="15" customHeight="1">
      <c r="A116" t="inlineStr">
        <is>
          <t>A 11513-2024</t>
        </is>
      </c>
      <c r="B116" s="1" t="n">
        <v>45372</v>
      </c>
      <c r="C116" s="1" t="n">
        <v>45883</v>
      </c>
      <c r="D116" t="inlineStr">
        <is>
          <t>JÄMTLANDS LÄN</t>
        </is>
      </c>
      <c r="E116" t="inlineStr">
        <is>
          <t>ÖSTERSUND</t>
        </is>
      </c>
      <c r="G116" t="n">
        <v>21.2</v>
      </c>
      <c r="H116" t="n">
        <v>0</v>
      </c>
      <c r="I116" t="n">
        <v>1</v>
      </c>
      <c r="J116" t="n">
        <v>0</v>
      </c>
      <c r="K116" t="n">
        <v>0</v>
      </c>
      <c r="L116" t="n">
        <v>0</v>
      </c>
      <c r="M116" t="n">
        <v>0</v>
      </c>
      <c r="N116" t="n">
        <v>0</v>
      </c>
      <c r="O116" t="n">
        <v>0</v>
      </c>
      <c r="P116" t="n">
        <v>0</v>
      </c>
      <c r="Q116" t="n">
        <v>1</v>
      </c>
      <c r="R116" s="2" t="inlineStr">
        <is>
          <t>Tibast</t>
        </is>
      </c>
      <c r="S116">
        <f>HYPERLINK("https://klasma.github.io/Logging_2380/artfynd/A 11513-2024 artfynd.xlsx", "A 11513-2024")</f>
        <v/>
      </c>
      <c r="T116">
        <f>HYPERLINK("https://klasma.github.io/Logging_2380/kartor/A 11513-2024 karta.png", "A 11513-2024")</f>
        <v/>
      </c>
      <c r="V116">
        <f>HYPERLINK("https://klasma.github.io/Logging_2380/klagomål/A 11513-2024 FSC-klagomål.docx", "A 11513-2024")</f>
        <v/>
      </c>
      <c r="W116">
        <f>HYPERLINK("https://klasma.github.io/Logging_2380/klagomålsmail/A 11513-2024 FSC-klagomål mail.docx", "A 11513-2024")</f>
        <v/>
      </c>
      <c r="X116">
        <f>HYPERLINK("https://klasma.github.io/Logging_2380/tillsyn/A 11513-2024 tillsynsbegäran.docx", "A 11513-2024")</f>
        <v/>
      </c>
      <c r="Y116">
        <f>HYPERLINK("https://klasma.github.io/Logging_2380/tillsynsmail/A 11513-2024 tillsynsbegäran mail.docx", "A 11513-2024")</f>
        <v/>
      </c>
    </row>
    <row r="117" ht="15" customHeight="1">
      <c r="A117" t="inlineStr">
        <is>
          <t>A 25244-2025</t>
        </is>
      </c>
      <c r="B117" s="1" t="n">
        <v>45800.49240740741</v>
      </c>
      <c r="C117" s="1" t="n">
        <v>45883</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41770-2024</t>
        </is>
      </c>
      <c r="B118" s="1" t="n">
        <v>45561.34641203703</v>
      </c>
      <c r="C118" s="1" t="n">
        <v>45883</v>
      </c>
      <c r="D118" t="inlineStr">
        <is>
          <t>JÄMTLANDS LÄN</t>
        </is>
      </c>
      <c r="E118" t="inlineStr">
        <is>
          <t>ÖSTERSUND</t>
        </is>
      </c>
      <c r="F118" t="inlineStr">
        <is>
          <t>SCA</t>
        </is>
      </c>
      <c r="G118" t="n">
        <v>4.4</v>
      </c>
      <c r="H118" t="n">
        <v>0</v>
      </c>
      <c r="I118" t="n">
        <v>1</v>
      </c>
      <c r="J118" t="n">
        <v>0</v>
      </c>
      <c r="K118" t="n">
        <v>0</v>
      </c>
      <c r="L118" t="n">
        <v>0</v>
      </c>
      <c r="M118" t="n">
        <v>0</v>
      </c>
      <c r="N118" t="n">
        <v>0</v>
      </c>
      <c r="O118" t="n">
        <v>0</v>
      </c>
      <c r="P118" t="n">
        <v>0</v>
      </c>
      <c r="Q118" t="n">
        <v>1</v>
      </c>
      <c r="R118" s="2" t="inlineStr">
        <is>
          <t>Vedticka</t>
        </is>
      </c>
      <c r="S118">
        <f>HYPERLINK("https://klasma.github.io/Logging_2380/artfynd/A 41770-2024 artfynd.xlsx", "A 41770-2024")</f>
        <v/>
      </c>
      <c r="T118">
        <f>HYPERLINK("https://klasma.github.io/Logging_2380/kartor/A 41770-2024 karta.png", "A 41770-2024")</f>
        <v/>
      </c>
      <c r="V118">
        <f>HYPERLINK("https://klasma.github.io/Logging_2380/klagomål/A 41770-2024 FSC-klagomål.docx", "A 41770-2024")</f>
        <v/>
      </c>
      <c r="W118">
        <f>HYPERLINK("https://klasma.github.io/Logging_2380/klagomålsmail/A 41770-2024 FSC-klagomål mail.docx", "A 41770-2024")</f>
        <v/>
      </c>
      <c r="X118">
        <f>HYPERLINK("https://klasma.github.io/Logging_2380/tillsyn/A 41770-2024 tillsynsbegäran.docx", "A 41770-2024")</f>
        <v/>
      </c>
      <c r="Y118">
        <f>HYPERLINK("https://klasma.github.io/Logging_2380/tillsynsmail/A 41770-2024 tillsynsbegäran mail.docx", "A 41770-2024")</f>
        <v/>
      </c>
    </row>
    <row r="119" ht="15" customHeight="1">
      <c r="A119" t="inlineStr">
        <is>
          <t>A 33267-2022</t>
        </is>
      </c>
      <c r="B119" s="1" t="n">
        <v>44785</v>
      </c>
      <c r="C119" s="1" t="n">
        <v>45883</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52535-2020</t>
        </is>
      </c>
      <c r="B120" s="1" t="n">
        <v>44118</v>
      </c>
      <c r="C120" s="1" t="n">
        <v>45883</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56486-2020</t>
        </is>
      </c>
      <c r="B121" s="1" t="n">
        <v>44137</v>
      </c>
      <c r="C121" s="1" t="n">
        <v>45883</v>
      </c>
      <c r="D121" t="inlineStr">
        <is>
          <t>JÄMTLANDS LÄN</t>
        </is>
      </c>
      <c r="E121" t="inlineStr">
        <is>
          <t>ÖSTERSUND</t>
        </is>
      </c>
      <c r="G121" t="n">
        <v>5.8</v>
      </c>
      <c r="H121" t="n">
        <v>0</v>
      </c>
      <c r="I121" t="n">
        <v>0</v>
      </c>
      <c r="J121" t="n">
        <v>0</v>
      </c>
      <c r="K121" t="n">
        <v>0</v>
      </c>
      <c r="L121" t="n">
        <v>0</v>
      </c>
      <c r="M121" t="n">
        <v>0</v>
      </c>
      <c r="N121" t="n">
        <v>0</v>
      </c>
      <c r="O121" t="n">
        <v>0</v>
      </c>
      <c r="P121" t="n">
        <v>0</v>
      </c>
      <c r="Q121" t="n">
        <v>0</v>
      </c>
      <c r="R121" s="2" t="inlineStr"/>
    </row>
    <row r="122" ht="15" customHeight="1">
      <c r="A122" t="inlineStr">
        <is>
          <t>A 20620-2021</t>
        </is>
      </c>
      <c r="B122" s="1" t="n">
        <v>44316</v>
      </c>
      <c r="C122" s="1" t="n">
        <v>45883</v>
      </c>
      <c r="D122" t="inlineStr">
        <is>
          <t>JÄMTLANDS LÄN</t>
        </is>
      </c>
      <c r="E122" t="inlineStr">
        <is>
          <t>ÖSTERSUND</t>
        </is>
      </c>
      <c r="G122" t="n">
        <v>1.1</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45883</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45883</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45883</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45883</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45883</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45883</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45883</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45883</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45883</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45883</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45883</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45883</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45883</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45883</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45883</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45883</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45883</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38099-2020</t>
        </is>
      </c>
      <c r="B140" s="1" t="n">
        <v>44057</v>
      </c>
      <c r="C140" s="1" t="n">
        <v>45883</v>
      </c>
      <c r="D140" t="inlineStr">
        <is>
          <t>JÄMTLANDS LÄN</t>
        </is>
      </c>
      <c r="E140" t="inlineStr">
        <is>
          <t>ÖSTERSUND</t>
        </is>
      </c>
      <c r="F140" t="inlineStr">
        <is>
          <t>SCA</t>
        </is>
      </c>
      <c r="G140" t="n">
        <v>5.5</v>
      </c>
      <c r="H140" t="n">
        <v>0</v>
      </c>
      <c r="I140" t="n">
        <v>0</v>
      </c>
      <c r="J140" t="n">
        <v>0</v>
      </c>
      <c r="K140" t="n">
        <v>0</v>
      </c>
      <c r="L140" t="n">
        <v>0</v>
      </c>
      <c r="M140" t="n">
        <v>0</v>
      </c>
      <c r="N140" t="n">
        <v>0</v>
      </c>
      <c r="O140" t="n">
        <v>0</v>
      </c>
      <c r="P140" t="n">
        <v>0</v>
      </c>
      <c r="Q140" t="n">
        <v>0</v>
      </c>
      <c r="R140" s="2" t="inlineStr"/>
    </row>
    <row r="141" ht="15" customHeight="1">
      <c r="A141" t="inlineStr">
        <is>
          <t>A 8647-2022</t>
        </is>
      </c>
      <c r="B141" s="1" t="n">
        <v>44613</v>
      </c>
      <c r="C141" s="1" t="n">
        <v>45883</v>
      </c>
      <c r="D141" t="inlineStr">
        <is>
          <t>JÄMTLANDS LÄN</t>
        </is>
      </c>
      <c r="E141" t="inlineStr">
        <is>
          <t>ÖSTERSUND</t>
        </is>
      </c>
      <c r="G141" t="n">
        <v>1.1</v>
      </c>
      <c r="H141" t="n">
        <v>0</v>
      </c>
      <c r="I141" t="n">
        <v>0</v>
      </c>
      <c r="J141" t="n">
        <v>0</v>
      </c>
      <c r="K141" t="n">
        <v>0</v>
      </c>
      <c r="L141" t="n">
        <v>0</v>
      </c>
      <c r="M141" t="n">
        <v>0</v>
      </c>
      <c r="N141" t="n">
        <v>0</v>
      </c>
      <c r="O141" t="n">
        <v>0</v>
      </c>
      <c r="P141" t="n">
        <v>0</v>
      </c>
      <c r="Q141" t="n">
        <v>0</v>
      </c>
      <c r="R141" s="2" t="inlineStr"/>
    </row>
    <row r="142" ht="15" customHeight="1">
      <c r="A142" t="inlineStr">
        <is>
          <t>A 66286-2020</t>
        </is>
      </c>
      <c r="B142" s="1" t="n">
        <v>44174</v>
      </c>
      <c r="C142" s="1" t="n">
        <v>45883</v>
      </c>
      <c r="D142" t="inlineStr">
        <is>
          <t>JÄMTLANDS LÄN</t>
        </is>
      </c>
      <c r="E142" t="inlineStr">
        <is>
          <t>ÖSTERSUND</t>
        </is>
      </c>
      <c r="F142" t="inlineStr">
        <is>
          <t>Övriga statliga verk och myndigheter</t>
        </is>
      </c>
      <c r="G142" t="n">
        <v>1.1</v>
      </c>
      <c r="H142" t="n">
        <v>0</v>
      </c>
      <c r="I142" t="n">
        <v>0</v>
      </c>
      <c r="J142" t="n">
        <v>0</v>
      </c>
      <c r="K142" t="n">
        <v>0</v>
      </c>
      <c r="L142" t="n">
        <v>0</v>
      </c>
      <c r="M142" t="n">
        <v>0</v>
      </c>
      <c r="N142" t="n">
        <v>0</v>
      </c>
      <c r="O142" t="n">
        <v>0</v>
      </c>
      <c r="P142" t="n">
        <v>0</v>
      </c>
      <c r="Q142" t="n">
        <v>0</v>
      </c>
      <c r="R142" s="2" t="inlineStr"/>
    </row>
    <row r="143" ht="15" customHeight="1">
      <c r="A143" t="inlineStr">
        <is>
          <t>A 126-2021</t>
        </is>
      </c>
      <c r="B143" s="1" t="n">
        <v>44200</v>
      </c>
      <c r="C143" s="1" t="n">
        <v>45883</v>
      </c>
      <c r="D143" t="inlineStr">
        <is>
          <t>JÄMTLANDS LÄN</t>
        </is>
      </c>
      <c r="E143" t="inlineStr">
        <is>
          <t>ÖSTERSUND</t>
        </is>
      </c>
      <c r="G143" t="n">
        <v>1.6</v>
      </c>
      <c r="H143" t="n">
        <v>0</v>
      </c>
      <c r="I143" t="n">
        <v>0</v>
      </c>
      <c r="J143" t="n">
        <v>0</v>
      </c>
      <c r="K143" t="n">
        <v>0</v>
      </c>
      <c r="L143" t="n">
        <v>0</v>
      </c>
      <c r="M143" t="n">
        <v>0</v>
      </c>
      <c r="N143" t="n">
        <v>0</v>
      </c>
      <c r="O143" t="n">
        <v>0</v>
      </c>
      <c r="P143" t="n">
        <v>0</v>
      </c>
      <c r="Q143" t="n">
        <v>0</v>
      </c>
      <c r="R143" s="2" t="inlineStr"/>
    </row>
    <row r="144" ht="15" customHeight="1">
      <c r="A144" t="inlineStr">
        <is>
          <t>A 2763-2022</t>
        </is>
      </c>
      <c r="B144" s="1" t="n">
        <v>44580</v>
      </c>
      <c r="C144" s="1" t="n">
        <v>45883</v>
      </c>
      <c r="D144" t="inlineStr">
        <is>
          <t>JÄMTLANDS LÄN</t>
        </is>
      </c>
      <c r="E144" t="inlineStr">
        <is>
          <t>ÖSTERSUND</t>
        </is>
      </c>
      <c r="F144" t="inlineStr">
        <is>
          <t>SCA</t>
        </is>
      </c>
      <c r="G144" t="n">
        <v>3.1</v>
      </c>
      <c r="H144" t="n">
        <v>0</v>
      </c>
      <c r="I144" t="n">
        <v>0</v>
      </c>
      <c r="J144" t="n">
        <v>0</v>
      </c>
      <c r="K144" t="n">
        <v>0</v>
      </c>
      <c r="L144" t="n">
        <v>0</v>
      </c>
      <c r="M144" t="n">
        <v>0</v>
      </c>
      <c r="N144" t="n">
        <v>0</v>
      </c>
      <c r="O144" t="n">
        <v>0</v>
      </c>
      <c r="P144" t="n">
        <v>0</v>
      </c>
      <c r="Q144" t="n">
        <v>0</v>
      </c>
      <c r="R144" s="2" t="inlineStr"/>
    </row>
    <row r="145" ht="15" customHeight="1">
      <c r="A145" t="inlineStr">
        <is>
          <t>A 19541-2021</t>
        </is>
      </c>
      <c r="B145" s="1" t="n">
        <v>44312.41724537037</v>
      </c>
      <c r="C145" s="1" t="n">
        <v>45883</v>
      </c>
      <c r="D145" t="inlineStr">
        <is>
          <t>JÄMTLANDS LÄN</t>
        </is>
      </c>
      <c r="E145" t="inlineStr">
        <is>
          <t>ÖSTERSUND</t>
        </is>
      </c>
      <c r="G145" t="n">
        <v>0.7</v>
      </c>
      <c r="H145" t="n">
        <v>0</v>
      </c>
      <c r="I145" t="n">
        <v>0</v>
      </c>
      <c r="J145" t="n">
        <v>0</v>
      </c>
      <c r="K145" t="n">
        <v>0</v>
      </c>
      <c r="L145" t="n">
        <v>0</v>
      </c>
      <c r="M145" t="n">
        <v>0</v>
      </c>
      <c r="N145" t="n">
        <v>0</v>
      </c>
      <c r="O145" t="n">
        <v>0</v>
      </c>
      <c r="P145" t="n">
        <v>0</v>
      </c>
      <c r="Q145" t="n">
        <v>0</v>
      </c>
      <c r="R145" s="2" t="inlineStr"/>
    </row>
    <row r="146" ht="15" customHeight="1">
      <c r="A146" t="inlineStr">
        <is>
          <t>A 2880-2022</t>
        </is>
      </c>
      <c r="B146" s="1" t="n">
        <v>44581</v>
      </c>
      <c r="C146" s="1" t="n">
        <v>45883</v>
      </c>
      <c r="D146" t="inlineStr">
        <is>
          <t>JÄMTLANDS LÄN</t>
        </is>
      </c>
      <c r="E146" t="inlineStr">
        <is>
          <t>ÖSTERSUND</t>
        </is>
      </c>
      <c r="G146" t="n">
        <v>0.5</v>
      </c>
      <c r="H146" t="n">
        <v>0</v>
      </c>
      <c r="I146" t="n">
        <v>0</v>
      </c>
      <c r="J146" t="n">
        <v>0</v>
      </c>
      <c r="K146" t="n">
        <v>0</v>
      </c>
      <c r="L146" t="n">
        <v>0</v>
      </c>
      <c r="M146" t="n">
        <v>0</v>
      </c>
      <c r="N146" t="n">
        <v>0</v>
      </c>
      <c r="O146" t="n">
        <v>0</v>
      </c>
      <c r="P146" t="n">
        <v>0</v>
      </c>
      <c r="Q146" t="n">
        <v>0</v>
      </c>
      <c r="R146" s="2" t="inlineStr"/>
    </row>
    <row r="147" ht="15" customHeight="1">
      <c r="A147" t="inlineStr">
        <is>
          <t>A 10834-2021</t>
        </is>
      </c>
      <c r="B147" s="1" t="n">
        <v>44259</v>
      </c>
      <c r="C147" s="1" t="n">
        <v>45883</v>
      </c>
      <c r="D147" t="inlineStr">
        <is>
          <t>JÄMTLANDS LÄN</t>
        </is>
      </c>
      <c r="E147" t="inlineStr">
        <is>
          <t>ÖSTERSUND</t>
        </is>
      </c>
      <c r="G147" t="n">
        <v>12.2</v>
      </c>
      <c r="H147" t="n">
        <v>0</v>
      </c>
      <c r="I147" t="n">
        <v>0</v>
      </c>
      <c r="J147" t="n">
        <v>0</v>
      </c>
      <c r="K147" t="n">
        <v>0</v>
      </c>
      <c r="L147" t="n">
        <v>0</v>
      </c>
      <c r="M147" t="n">
        <v>0</v>
      </c>
      <c r="N147" t="n">
        <v>0</v>
      </c>
      <c r="O147" t="n">
        <v>0</v>
      </c>
      <c r="P147" t="n">
        <v>0</v>
      </c>
      <c r="Q147" t="n">
        <v>0</v>
      </c>
      <c r="R147" s="2" t="inlineStr"/>
    </row>
    <row r="148" ht="15" customHeight="1">
      <c r="A148" t="inlineStr">
        <is>
          <t>A 50121-2020</t>
        </is>
      </c>
      <c r="B148" s="1" t="n">
        <v>44106</v>
      </c>
      <c r="C148" s="1" t="n">
        <v>45883</v>
      </c>
      <c r="D148" t="inlineStr">
        <is>
          <t>JÄMTLANDS LÄN</t>
        </is>
      </c>
      <c r="E148" t="inlineStr">
        <is>
          <t>ÖSTERSUND</t>
        </is>
      </c>
      <c r="F148" t="inlineStr">
        <is>
          <t>Övriga statliga verk och myndigheter</t>
        </is>
      </c>
      <c r="G148" t="n">
        <v>5.2</v>
      </c>
      <c r="H148" t="n">
        <v>0</v>
      </c>
      <c r="I148" t="n">
        <v>0</v>
      </c>
      <c r="J148" t="n">
        <v>0</v>
      </c>
      <c r="K148" t="n">
        <v>0</v>
      </c>
      <c r="L148" t="n">
        <v>0</v>
      </c>
      <c r="M148" t="n">
        <v>0</v>
      </c>
      <c r="N148" t="n">
        <v>0</v>
      </c>
      <c r="O148" t="n">
        <v>0</v>
      </c>
      <c r="P148" t="n">
        <v>0</v>
      </c>
      <c r="Q148" t="n">
        <v>0</v>
      </c>
      <c r="R148" s="2" t="inlineStr"/>
    </row>
    <row r="149" ht="15" customHeight="1">
      <c r="A149" t="inlineStr">
        <is>
          <t>A 50144-2020</t>
        </is>
      </c>
      <c r="B149" s="1" t="n">
        <v>44106</v>
      </c>
      <c r="C149" s="1" t="n">
        <v>45883</v>
      </c>
      <c r="D149" t="inlineStr">
        <is>
          <t>JÄMTLANDS LÄN</t>
        </is>
      </c>
      <c r="E149" t="inlineStr">
        <is>
          <t>ÖSTERSUND</t>
        </is>
      </c>
      <c r="F149" t="inlineStr">
        <is>
          <t>Övriga statliga verk och myndigheter</t>
        </is>
      </c>
      <c r="G149" t="n">
        <v>2.2</v>
      </c>
      <c r="H149" t="n">
        <v>0</v>
      </c>
      <c r="I149" t="n">
        <v>0</v>
      </c>
      <c r="J149" t="n">
        <v>0</v>
      </c>
      <c r="K149" t="n">
        <v>0</v>
      </c>
      <c r="L149" t="n">
        <v>0</v>
      </c>
      <c r="M149" t="n">
        <v>0</v>
      </c>
      <c r="N149" t="n">
        <v>0</v>
      </c>
      <c r="O149" t="n">
        <v>0</v>
      </c>
      <c r="P149" t="n">
        <v>0</v>
      </c>
      <c r="Q149" t="n">
        <v>0</v>
      </c>
      <c r="R149" s="2" t="inlineStr"/>
    </row>
    <row r="150" ht="15" customHeight="1">
      <c r="A150" t="inlineStr">
        <is>
          <t>A 47295-2022</t>
        </is>
      </c>
      <c r="B150" s="1" t="n">
        <v>44852</v>
      </c>
      <c r="C150" s="1" t="n">
        <v>45883</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67400-2020</t>
        </is>
      </c>
      <c r="B151" s="1" t="n">
        <v>44181</v>
      </c>
      <c r="C151" s="1" t="n">
        <v>45883</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154-2022</t>
        </is>
      </c>
      <c r="B152" s="1" t="n">
        <v>44561</v>
      </c>
      <c r="C152" s="1" t="n">
        <v>45883</v>
      </c>
      <c r="D152" t="inlineStr">
        <is>
          <t>JÄMTLANDS LÄN</t>
        </is>
      </c>
      <c r="E152" t="inlineStr">
        <is>
          <t>ÖSTERSUND</t>
        </is>
      </c>
      <c r="G152" t="n">
        <v>4.2</v>
      </c>
      <c r="H152" t="n">
        <v>0</v>
      </c>
      <c r="I152" t="n">
        <v>0</v>
      </c>
      <c r="J152" t="n">
        <v>0</v>
      </c>
      <c r="K152" t="n">
        <v>0</v>
      </c>
      <c r="L152" t="n">
        <v>0</v>
      </c>
      <c r="M152" t="n">
        <v>0</v>
      </c>
      <c r="N152" t="n">
        <v>0</v>
      </c>
      <c r="O152" t="n">
        <v>0</v>
      </c>
      <c r="P152" t="n">
        <v>0</v>
      </c>
      <c r="Q152" t="n">
        <v>0</v>
      </c>
      <c r="R152" s="2" t="inlineStr"/>
    </row>
    <row r="153" ht="15" customHeight="1">
      <c r="A153" t="inlineStr">
        <is>
          <t>A 14155-2021</t>
        </is>
      </c>
      <c r="B153" s="1" t="n">
        <v>44278.42459490741</v>
      </c>
      <c r="C153" s="1" t="n">
        <v>45883</v>
      </c>
      <c r="D153" t="inlineStr">
        <is>
          <t>JÄMTLANDS LÄN</t>
        </is>
      </c>
      <c r="E153" t="inlineStr">
        <is>
          <t>ÖSTERSUND</t>
        </is>
      </c>
      <c r="G153" t="n">
        <v>2.6</v>
      </c>
      <c r="H153" t="n">
        <v>0</v>
      </c>
      <c r="I153" t="n">
        <v>0</v>
      </c>
      <c r="J153" t="n">
        <v>0</v>
      </c>
      <c r="K153" t="n">
        <v>0</v>
      </c>
      <c r="L153" t="n">
        <v>0</v>
      </c>
      <c r="M153" t="n">
        <v>0</v>
      </c>
      <c r="N153" t="n">
        <v>0</v>
      </c>
      <c r="O153" t="n">
        <v>0</v>
      </c>
      <c r="P153" t="n">
        <v>0</v>
      </c>
      <c r="Q153" t="n">
        <v>0</v>
      </c>
      <c r="R153" s="2" t="inlineStr"/>
    </row>
    <row r="154" ht="15" customHeight="1">
      <c r="A154" t="inlineStr">
        <is>
          <t>A 35032-2021</t>
        </is>
      </c>
      <c r="B154" s="1" t="n">
        <v>44383.85295138889</v>
      </c>
      <c r="C154" s="1" t="n">
        <v>45883</v>
      </c>
      <c r="D154" t="inlineStr">
        <is>
          <t>JÄMTLANDS LÄN</t>
        </is>
      </c>
      <c r="E154" t="inlineStr">
        <is>
          <t>ÖSTERSUND</t>
        </is>
      </c>
      <c r="G154" t="n">
        <v>0.9</v>
      </c>
      <c r="H154" t="n">
        <v>0</v>
      </c>
      <c r="I154" t="n">
        <v>0</v>
      </c>
      <c r="J154" t="n">
        <v>0</v>
      </c>
      <c r="K154" t="n">
        <v>0</v>
      </c>
      <c r="L154" t="n">
        <v>0</v>
      </c>
      <c r="M154" t="n">
        <v>0</v>
      </c>
      <c r="N154" t="n">
        <v>0</v>
      </c>
      <c r="O154" t="n">
        <v>0</v>
      </c>
      <c r="P154" t="n">
        <v>0</v>
      </c>
      <c r="Q154" t="n">
        <v>0</v>
      </c>
      <c r="R154" s="2" t="inlineStr"/>
    </row>
    <row r="155" ht="15" customHeight="1">
      <c r="A155" t="inlineStr">
        <is>
          <t>A 46002-2021</t>
        </is>
      </c>
      <c r="B155" s="1" t="n">
        <v>44441.80453703704</v>
      </c>
      <c r="C155" s="1" t="n">
        <v>45883</v>
      </c>
      <c r="D155" t="inlineStr">
        <is>
          <t>JÄMTLANDS LÄN</t>
        </is>
      </c>
      <c r="E155" t="inlineStr">
        <is>
          <t>ÖSTERSUND</t>
        </is>
      </c>
      <c r="G155" t="n">
        <v>3.6</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45883</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45883</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26254-2021</t>
        </is>
      </c>
      <c r="B158" s="1" t="n">
        <v>44347</v>
      </c>
      <c r="C158" s="1" t="n">
        <v>45883</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45883</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45883</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17362-2021</t>
        </is>
      </c>
      <c r="B161" s="1" t="n">
        <v>44298</v>
      </c>
      <c r="C161" s="1" t="n">
        <v>45883</v>
      </c>
      <c r="D161" t="inlineStr">
        <is>
          <t>JÄMTLANDS LÄN</t>
        </is>
      </c>
      <c r="E161" t="inlineStr">
        <is>
          <t>ÖSTERSUND</t>
        </is>
      </c>
      <c r="G161" t="n">
        <v>3.7</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45883</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695-2022</t>
        </is>
      </c>
      <c r="B163" s="1" t="n">
        <v>44566</v>
      </c>
      <c r="C163" s="1" t="n">
        <v>45883</v>
      </c>
      <c r="D163" t="inlineStr">
        <is>
          <t>JÄMTLANDS LÄN</t>
        </is>
      </c>
      <c r="E163" t="inlineStr">
        <is>
          <t>ÖSTERSUND</t>
        </is>
      </c>
      <c r="G163" t="n">
        <v>14.9</v>
      </c>
      <c r="H163" t="n">
        <v>0</v>
      </c>
      <c r="I163" t="n">
        <v>0</v>
      </c>
      <c r="J163" t="n">
        <v>0</v>
      </c>
      <c r="K163" t="n">
        <v>0</v>
      </c>
      <c r="L163" t="n">
        <v>0</v>
      </c>
      <c r="M163" t="n">
        <v>0</v>
      </c>
      <c r="N163" t="n">
        <v>0</v>
      </c>
      <c r="O163" t="n">
        <v>0</v>
      </c>
      <c r="P163" t="n">
        <v>0</v>
      </c>
      <c r="Q163" t="n">
        <v>0</v>
      </c>
      <c r="R163" s="2" t="inlineStr"/>
    </row>
    <row r="164" ht="15" customHeight="1">
      <c r="A164" t="inlineStr">
        <is>
          <t>A 29828-2022</t>
        </is>
      </c>
      <c r="B164" s="1" t="n">
        <v>44755</v>
      </c>
      <c r="C164" s="1" t="n">
        <v>45883</v>
      </c>
      <c r="D164" t="inlineStr">
        <is>
          <t>JÄMTLANDS LÄN</t>
        </is>
      </c>
      <c r="E164" t="inlineStr">
        <is>
          <t>ÖSTERSUND</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45883</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47296-2022</t>
        </is>
      </c>
      <c r="B166" s="1" t="n">
        <v>44852.95248842592</v>
      </c>
      <c r="C166" s="1" t="n">
        <v>45883</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45883</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72041-2021</t>
        </is>
      </c>
      <c r="B168" s="1" t="n">
        <v>44540</v>
      </c>
      <c r="C168" s="1" t="n">
        <v>45883</v>
      </c>
      <c r="D168" t="inlineStr">
        <is>
          <t>JÄMTLANDS LÄN</t>
        </is>
      </c>
      <c r="E168" t="inlineStr">
        <is>
          <t>ÖSTERSUND</t>
        </is>
      </c>
      <c r="G168" t="n">
        <v>0.4</v>
      </c>
      <c r="H168" t="n">
        <v>0</v>
      </c>
      <c r="I168" t="n">
        <v>0</v>
      </c>
      <c r="J168" t="n">
        <v>0</v>
      </c>
      <c r="K168" t="n">
        <v>0</v>
      </c>
      <c r="L168" t="n">
        <v>0</v>
      </c>
      <c r="M168" t="n">
        <v>0</v>
      </c>
      <c r="N168" t="n">
        <v>0</v>
      </c>
      <c r="O168" t="n">
        <v>0</v>
      </c>
      <c r="P168" t="n">
        <v>0</v>
      </c>
      <c r="Q168" t="n">
        <v>0</v>
      </c>
      <c r="R168" s="2" t="inlineStr"/>
    </row>
    <row r="169" ht="15" customHeight="1">
      <c r="A169" t="inlineStr">
        <is>
          <t>A 23895-2021</t>
        </is>
      </c>
      <c r="B169" s="1" t="n">
        <v>44335</v>
      </c>
      <c r="C169" s="1" t="n">
        <v>45883</v>
      </c>
      <c r="D169" t="inlineStr">
        <is>
          <t>JÄMTLANDS LÄN</t>
        </is>
      </c>
      <c r="E169" t="inlineStr">
        <is>
          <t>ÖSTERSUND</t>
        </is>
      </c>
      <c r="G169" t="n">
        <v>0.6</v>
      </c>
      <c r="H169" t="n">
        <v>0</v>
      </c>
      <c r="I169" t="n">
        <v>0</v>
      </c>
      <c r="J169" t="n">
        <v>0</v>
      </c>
      <c r="K169" t="n">
        <v>0</v>
      </c>
      <c r="L169" t="n">
        <v>0</v>
      </c>
      <c r="M169" t="n">
        <v>0</v>
      </c>
      <c r="N169" t="n">
        <v>0</v>
      </c>
      <c r="O169" t="n">
        <v>0</v>
      </c>
      <c r="P169" t="n">
        <v>0</v>
      </c>
      <c r="Q169" t="n">
        <v>0</v>
      </c>
      <c r="R169" s="2" t="inlineStr"/>
    </row>
    <row r="170" ht="15" customHeight="1">
      <c r="A170" t="inlineStr">
        <is>
          <t>A 70816-2021</t>
        </is>
      </c>
      <c r="B170" s="1" t="n">
        <v>44537.935</v>
      </c>
      <c r="C170" s="1" t="n">
        <v>45883</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21849-2021</t>
        </is>
      </c>
      <c r="B171" s="1" t="n">
        <v>44322</v>
      </c>
      <c r="C171" s="1" t="n">
        <v>45883</v>
      </c>
      <c r="D171" t="inlineStr">
        <is>
          <t>JÄMTLANDS LÄN</t>
        </is>
      </c>
      <c r="E171" t="inlineStr">
        <is>
          <t>ÖSTERSUND</t>
        </is>
      </c>
      <c r="G171" t="n">
        <v>2.5</v>
      </c>
      <c r="H171" t="n">
        <v>0</v>
      </c>
      <c r="I171" t="n">
        <v>0</v>
      </c>
      <c r="J171" t="n">
        <v>0</v>
      </c>
      <c r="K171" t="n">
        <v>0</v>
      </c>
      <c r="L171" t="n">
        <v>0</v>
      </c>
      <c r="M171" t="n">
        <v>0</v>
      </c>
      <c r="N171" t="n">
        <v>0</v>
      </c>
      <c r="O171" t="n">
        <v>0</v>
      </c>
      <c r="P171" t="n">
        <v>0</v>
      </c>
      <c r="Q171" t="n">
        <v>0</v>
      </c>
      <c r="R171" s="2" t="inlineStr"/>
    </row>
    <row r="172" ht="15" customHeight="1">
      <c r="A172" t="inlineStr">
        <is>
          <t>A 24721-2021</t>
        </is>
      </c>
      <c r="B172" s="1" t="n">
        <v>44340</v>
      </c>
      <c r="C172" s="1" t="n">
        <v>45883</v>
      </c>
      <c r="D172" t="inlineStr">
        <is>
          <t>JÄMTLANDS LÄN</t>
        </is>
      </c>
      <c r="E172" t="inlineStr">
        <is>
          <t>ÖSTERSUND</t>
        </is>
      </c>
      <c r="G172" t="n">
        <v>2.7</v>
      </c>
      <c r="H172" t="n">
        <v>0</v>
      </c>
      <c r="I172" t="n">
        <v>0</v>
      </c>
      <c r="J172" t="n">
        <v>0</v>
      </c>
      <c r="K172" t="n">
        <v>0</v>
      </c>
      <c r="L172" t="n">
        <v>0</v>
      </c>
      <c r="M172" t="n">
        <v>0</v>
      </c>
      <c r="N172" t="n">
        <v>0</v>
      </c>
      <c r="O172" t="n">
        <v>0</v>
      </c>
      <c r="P172" t="n">
        <v>0</v>
      </c>
      <c r="Q172" t="n">
        <v>0</v>
      </c>
      <c r="R172" s="2" t="inlineStr"/>
    </row>
    <row r="173" ht="15" customHeight="1">
      <c r="A173" t="inlineStr">
        <is>
          <t>A 72061-2021</t>
        </is>
      </c>
      <c r="B173" s="1" t="n">
        <v>44540</v>
      </c>
      <c r="C173" s="1" t="n">
        <v>45883</v>
      </c>
      <c r="D173" t="inlineStr">
        <is>
          <t>JÄMTLANDS LÄN</t>
        </is>
      </c>
      <c r="E173" t="inlineStr">
        <is>
          <t>ÖSTERSUND</t>
        </is>
      </c>
      <c r="G173" t="n">
        <v>5.3</v>
      </c>
      <c r="H173" t="n">
        <v>0</v>
      </c>
      <c r="I173" t="n">
        <v>0</v>
      </c>
      <c r="J173" t="n">
        <v>0</v>
      </c>
      <c r="K173" t="n">
        <v>0</v>
      </c>
      <c r="L173" t="n">
        <v>0</v>
      </c>
      <c r="M173" t="n">
        <v>0</v>
      </c>
      <c r="N173" t="n">
        <v>0</v>
      </c>
      <c r="O173" t="n">
        <v>0</v>
      </c>
      <c r="P173" t="n">
        <v>0</v>
      </c>
      <c r="Q173" t="n">
        <v>0</v>
      </c>
      <c r="R173" s="2" t="inlineStr"/>
    </row>
    <row r="174" ht="15" customHeight="1">
      <c r="A174" t="inlineStr">
        <is>
          <t>A 41933-2020</t>
        </is>
      </c>
      <c r="B174" s="1" t="n">
        <v>44075</v>
      </c>
      <c r="C174" s="1" t="n">
        <v>45883</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42832-2021</t>
        </is>
      </c>
      <c r="B175" s="1" t="n">
        <v>44430</v>
      </c>
      <c r="C175" s="1" t="n">
        <v>45883</v>
      </c>
      <c r="D175" t="inlineStr">
        <is>
          <t>JÄMTLANDS LÄN</t>
        </is>
      </c>
      <c r="E175" t="inlineStr">
        <is>
          <t>ÖSTERSUND</t>
        </is>
      </c>
      <c r="G175" t="n">
        <v>9</v>
      </c>
      <c r="H175" t="n">
        <v>0</v>
      </c>
      <c r="I175" t="n">
        <v>0</v>
      </c>
      <c r="J175" t="n">
        <v>0</v>
      </c>
      <c r="K175" t="n">
        <v>0</v>
      </c>
      <c r="L175" t="n">
        <v>0</v>
      </c>
      <c r="M175" t="n">
        <v>0</v>
      </c>
      <c r="N175" t="n">
        <v>0</v>
      </c>
      <c r="O175" t="n">
        <v>0</v>
      </c>
      <c r="P175" t="n">
        <v>0</v>
      </c>
      <c r="Q175" t="n">
        <v>0</v>
      </c>
      <c r="R175" s="2" t="inlineStr"/>
    </row>
    <row r="176" ht="15" customHeight="1">
      <c r="A176" t="inlineStr">
        <is>
          <t>A 35755-2021</t>
        </is>
      </c>
      <c r="B176" s="1" t="n">
        <v>44385</v>
      </c>
      <c r="C176" s="1" t="n">
        <v>45883</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14657-2022</t>
        </is>
      </c>
      <c r="B177" s="1" t="n">
        <v>44655</v>
      </c>
      <c r="C177" s="1" t="n">
        <v>45883</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8227-2022</t>
        </is>
      </c>
      <c r="B178" s="1" t="n">
        <v>44609.93075231482</v>
      </c>
      <c r="C178" s="1" t="n">
        <v>45883</v>
      </c>
      <c r="D178" t="inlineStr">
        <is>
          <t>JÄMTLANDS LÄN</t>
        </is>
      </c>
      <c r="E178" t="inlineStr">
        <is>
          <t>ÖSTERSUND</t>
        </is>
      </c>
      <c r="G178" t="n">
        <v>6.6</v>
      </c>
      <c r="H178" t="n">
        <v>0</v>
      </c>
      <c r="I178" t="n">
        <v>0</v>
      </c>
      <c r="J178" t="n">
        <v>0</v>
      </c>
      <c r="K178" t="n">
        <v>0</v>
      </c>
      <c r="L178" t="n">
        <v>0</v>
      </c>
      <c r="M178" t="n">
        <v>0</v>
      </c>
      <c r="N178" t="n">
        <v>0</v>
      </c>
      <c r="O178" t="n">
        <v>0</v>
      </c>
      <c r="P178" t="n">
        <v>0</v>
      </c>
      <c r="Q178" t="n">
        <v>0</v>
      </c>
      <c r="R178" s="2" t="inlineStr"/>
    </row>
    <row r="179" ht="15" customHeight="1">
      <c r="A179" t="inlineStr">
        <is>
          <t>A 65410-2020</t>
        </is>
      </c>
      <c r="B179" s="1" t="n">
        <v>44173</v>
      </c>
      <c r="C179" s="1" t="n">
        <v>45883</v>
      </c>
      <c r="D179" t="inlineStr">
        <is>
          <t>JÄMTLANDS LÄN</t>
        </is>
      </c>
      <c r="E179" t="inlineStr">
        <is>
          <t>ÖSTERSUND</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5145-2022</t>
        </is>
      </c>
      <c r="B180" s="1" t="n">
        <v>44594</v>
      </c>
      <c r="C180" s="1" t="n">
        <v>45883</v>
      </c>
      <c r="D180" t="inlineStr">
        <is>
          <t>JÄMTLANDS LÄN</t>
        </is>
      </c>
      <c r="E180" t="inlineStr">
        <is>
          <t>ÖSTERSUND</t>
        </is>
      </c>
      <c r="G180" t="n">
        <v>2.6</v>
      </c>
      <c r="H180" t="n">
        <v>0</v>
      </c>
      <c r="I180" t="n">
        <v>0</v>
      </c>
      <c r="J180" t="n">
        <v>0</v>
      </c>
      <c r="K180" t="n">
        <v>0</v>
      </c>
      <c r="L180" t="n">
        <v>0</v>
      </c>
      <c r="M180" t="n">
        <v>0</v>
      </c>
      <c r="N180" t="n">
        <v>0</v>
      </c>
      <c r="O180" t="n">
        <v>0</v>
      </c>
      <c r="P180" t="n">
        <v>0</v>
      </c>
      <c r="Q180" t="n">
        <v>0</v>
      </c>
      <c r="R180" s="2" t="inlineStr"/>
    </row>
    <row r="181" ht="15" customHeight="1">
      <c r="A181" t="inlineStr">
        <is>
          <t>A 54539-2020</t>
        </is>
      </c>
      <c r="B181" s="1" t="n">
        <v>44126</v>
      </c>
      <c r="C181" s="1" t="n">
        <v>45883</v>
      </c>
      <c r="D181" t="inlineStr">
        <is>
          <t>JÄMTLANDS LÄN</t>
        </is>
      </c>
      <c r="E181" t="inlineStr">
        <is>
          <t>ÖSTERSUND</t>
        </is>
      </c>
      <c r="G181" t="n">
        <v>4.2</v>
      </c>
      <c r="H181" t="n">
        <v>0</v>
      </c>
      <c r="I181" t="n">
        <v>0</v>
      </c>
      <c r="J181" t="n">
        <v>0</v>
      </c>
      <c r="K181" t="n">
        <v>0</v>
      </c>
      <c r="L181" t="n">
        <v>0</v>
      </c>
      <c r="M181" t="n">
        <v>0</v>
      </c>
      <c r="N181" t="n">
        <v>0</v>
      </c>
      <c r="O181" t="n">
        <v>0</v>
      </c>
      <c r="P181" t="n">
        <v>0</v>
      </c>
      <c r="Q181" t="n">
        <v>0</v>
      </c>
      <c r="R181" s="2" t="inlineStr"/>
    </row>
    <row r="182" ht="15" customHeight="1">
      <c r="A182" t="inlineStr">
        <is>
          <t>A 52898-2022</t>
        </is>
      </c>
      <c r="B182" s="1" t="n">
        <v>44875</v>
      </c>
      <c r="C182" s="1" t="n">
        <v>45883</v>
      </c>
      <c r="D182" t="inlineStr">
        <is>
          <t>JÄMTLANDS LÄN</t>
        </is>
      </c>
      <c r="E182" t="inlineStr">
        <is>
          <t>ÖSTERSUND</t>
        </is>
      </c>
      <c r="F182" t="inlineStr">
        <is>
          <t>Övriga Aktiebolag</t>
        </is>
      </c>
      <c r="G182" t="n">
        <v>12.1</v>
      </c>
      <c r="H182" t="n">
        <v>0</v>
      </c>
      <c r="I182" t="n">
        <v>0</v>
      </c>
      <c r="J182" t="n">
        <v>0</v>
      </c>
      <c r="K182" t="n">
        <v>0</v>
      </c>
      <c r="L182" t="n">
        <v>0</v>
      </c>
      <c r="M182" t="n">
        <v>0</v>
      </c>
      <c r="N182" t="n">
        <v>0</v>
      </c>
      <c r="O182" t="n">
        <v>0</v>
      </c>
      <c r="P182" t="n">
        <v>0</v>
      </c>
      <c r="Q182" t="n">
        <v>0</v>
      </c>
      <c r="R182" s="2" t="inlineStr"/>
    </row>
    <row r="183" ht="15" customHeight="1">
      <c r="A183" t="inlineStr">
        <is>
          <t>A 50153-2020</t>
        </is>
      </c>
      <c r="B183" s="1" t="n">
        <v>44106</v>
      </c>
      <c r="C183" s="1" t="n">
        <v>45883</v>
      </c>
      <c r="D183" t="inlineStr">
        <is>
          <t>JÄMTLANDS LÄN</t>
        </is>
      </c>
      <c r="E183" t="inlineStr">
        <is>
          <t>ÖSTERSUND</t>
        </is>
      </c>
      <c r="F183" t="inlineStr">
        <is>
          <t>Övriga statliga verk och myndigheter</t>
        </is>
      </c>
      <c r="G183" t="n">
        <v>4.6</v>
      </c>
      <c r="H183" t="n">
        <v>0</v>
      </c>
      <c r="I183" t="n">
        <v>0</v>
      </c>
      <c r="J183" t="n">
        <v>0</v>
      </c>
      <c r="K183" t="n">
        <v>0</v>
      </c>
      <c r="L183" t="n">
        <v>0</v>
      </c>
      <c r="M183" t="n">
        <v>0</v>
      </c>
      <c r="N183" t="n">
        <v>0</v>
      </c>
      <c r="O183" t="n">
        <v>0</v>
      </c>
      <c r="P183" t="n">
        <v>0</v>
      </c>
      <c r="Q183" t="n">
        <v>0</v>
      </c>
      <c r="R183" s="2" t="inlineStr"/>
    </row>
    <row r="184" ht="15" customHeight="1">
      <c r="A184" t="inlineStr">
        <is>
          <t>A 2627-2024</t>
        </is>
      </c>
      <c r="B184" s="1" t="n">
        <v>45313.9496875</v>
      </c>
      <c r="C184" s="1" t="n">
        <v>45883</v>
      </c>
      <c r="D184" t="inlineStr">
        <is>
          <t>JÄMTLANDS LÄN</t>
        </is>
      </c>
      <c r="E184" t="inlineStr">
        <is>
          <t>ÖSTERSUND</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56642-2020</t>
        </is>
      </c>
      <c r="B185" s="1" t="n">
        <v>44137</v>
      </c>
      <c r="C185" s="1" t="n">
        <v>45883</v>
      </c>
      <c r="D185" t="inlineStr">
        <is>
          <t>JÄMTLANDS LÄN</t>
        </is>
      </c>
      <c r="E185" t="inlineStr">
        <is>
          <t>ÖSTERSUND</t>
        </is>
      </c>
      <c r="F185" t="inlineStr">
        <is>
          <t>Övriga Aktiebolag</t>
        </is>
      </c>
      <c r="G185" t="n">
        <v>6</v>
      </c>
      <c r="H185" t="n">
        <v>0</v>
      </c>
      <c r="I185" t="n">
        <v>0</v>
      </c>
      <c r="J185" t="n">
        <v>0</v>
      </c>
      <c r="K185" t="n">
        <v>0</v>
      </c>
      <c r="L185" t="n">
        <v>0</v>
      </c>
      <c r="M185" t="n">
        <v>0</v>
      </c>
      <c r="N185" t="n">
        <v>0</v>
      </c>
      <c r="O185" t="n">
        <v>0</v>
      </c>
      <c r="P185" t="n">
        <v>0</v>
      </c>
      <c r="Q185" t="n">
        <v>0</v>
      </c>
      <c r="R185" s="2" t="inlineStr"/>
    </row>
    <row r="186" ht="15" customHeight="1">
      <c r="A186" t="inlineStr">
        <is>
          <t>A 57771-2020</t>
        </is>
      </c>
      <c r="B186" s="1" t="n">
        <v>44141</v>
      </c>
      <c r="C186" s="1" t="n">
        <v>45883</v>
      </c>
      <c r="D186" t="inlineStr">
        <is>
          <t>JÄMTLANDS LÄN</t>
        </is>
      </c>
      <c r="E186" t="inlineStr">
        <is>
          <t>ÖSTERSUND</t>
        </is>
      </c>
      <c r="F186" t="inlineStr">
        <is>
          <t>Övriga Aktiebolag</t>
        </is>
      </c>
      <c r="G186" t="n">
        <v>0.8</v>
      </c>
      <c r="H186" t="n">
        <v>0</v>
      </c>
      <c r="I186" t="n">
        <v>0</v>
      </c>
      <c r="J186" t="n">
        <v>0</v>
      </c>
      <c r="K186" t="n">
        <v>0</v>
      </c>
      <c r="L186" t="n">
        <v>0</v>
      </c>
      <c r="M186" t="n">
        <v>0</v>
      </c>
      <c r="N186" t="n">
        <v>0</v>
      </c>
      <c r="O186" t="n">
        <v>0</v>
      </c>
      <c r="P186" t="n">
        <v>0</v>
      </c>
      <c r="Q186" t="n">
        <v>0</v>
      </c>
      <c r="R186" s="2" t="inlineStr"/>
    </row>
    <row r="187" ht="15" customHeight="1">
      <c r="A187" t="inlineStr">
        <is>
          <t>A 57791-2020</t>
        </is>
      </c>
      <c r="B187" s="1" t="n">
        <v>44141</v>
      </c>
      <c r="C187" s="1" t="n">
        <v>45883</v>
      </c>
      <c r="D187" t="inlineStr">
        <is>
          <t>JÄMTLANDS LÄN</t>
        </is>
      </c>
      <c r="E187" t="inlineStr">
        <is>
          <t>ÖSTERSUND</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56148-2022</t>
        </is>
      </c>
      <c r="B188" s="1" t="n">
        <v>44889.89929398148</v>
      </c>
      <c r="C188" s="1" t="n">
        <v>45883</v>
      </c>
      <c r="D188" t="inlineStr">
        <is>
          <t>JÄMTLANDS LÄN</t>
        </is>
      </c>
      <c r="E188" t="inlineStr">
        <is>
          <t>ÖSTERSUND</t>
        </is>
      </c>
      <c r="G188" t="n">
        <v>1.4</v>
      </c>
      <c r="H188" t="n">
        <v>0</v>
      </c>
      <c r="I188" t="n">
        <v>0</v>
      </c>
      <c r="J188" t="n">
        <v>0</v>
      </c>
      <c r="K188" t="n">
        <v>0</v>
      </c>
      <c r="L188" t="n">
        <v>0</v>
      </c>
      <c r="M188" t="n">
        <v>0</v>
      </c>
      <c r="N188" t="n">
        <v>0</v>
      </c>
      <c r="O188" t="n">
        <v>0</v>
      </c>
      <c r="P188" t="n">
        <v>0</v>
      </c>
      <c r="Q188" t="n">
        <v>0</v>
      </c>
      <c r="R188" s="2" t="inlineStr"/>
    </row>
    <row r="189" ht="15" customHeight="1">
      <c r="A189" t="inlineStr">
        <is>
          <t>A 10590-2021</t>
        </is>
      </c>
      <c r="B189" s="1" t="n">
        <v>44258</v>
      </c>
      <c r="C189" s="1" t="n">
        <v>45883</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32990-2021</t>
        </is>
      </c>
      <c r="B190" s="1" t="n">
        <v>44375</v>
      </c>
      <c r="C190" s="1" t="n">
        <v>45883</v>
      </c>
      <c r="D190" t="inlineStr">
        <is>
          <t>JÄMTLANDS LÄN</t>
        </is>
      </c>
      <c r="E190" t="inlineStr">
        <is>
          <t>ÖSTERSUND</t>
        </is>
      </c>
      <c r="G190" t="n">
        <v>0.2</v>
      </c>
      <c r="H190" t="n">
        <v>0</v>
      </c>
      <c r="I190" t="n">
        <v>0</v>
      </c>
      <c r="J190" t="n">
        <v>0</v>
      </c>
      <c r="K190" t="n">
        <v>0</v>
      </c>
      <c r="L190" t="n">
        <v>0</v>
      </c>
      <c r="M190" t="n">
        <v>0</v>
      </c>
      <c r="N190" t="n">
        <v>0</v>
      </c>
      <c r="O190" t="n">
        <v>0</v>
      </c>
      <c r="P190" t="n">
        <v>0</v>
      </c>
      <c r="Q190" t="n">
        <v>0</v>
      </c>
      <c r="R190" s="2" t="inlineStr"/>
    </row>
    <row r="191" ht="15" customHeight="1">
      <c r="A191" t="inlineStr">
        <is>
          <t>A 55105-2022</t>
        </is>
      </c>
      <c r="B191" s="1" t="n">
        <v>44886.63148148148</v>
      </c>
      <c r="C191" s="1" t="n">
        <v>45883</v>
      </c>
      <c r="D191" t="inlineStr">
        <is>
          <t>JÄMTLANDS LÄN</t>
        </is>
      </c>
      <c r="E191" t="inlineStr">
        <is>
          <t>ÖSTERSUND</t>
        </is>
      </c>
      <c r="F191" t="inlineStr">
        <is>
          <t>Övriga Aktiebolag</t>
        </is>
      </c>
      <c r="G191" t="n">
        <v>2.4</v>
      </c>
      <c r="H191" t="n">
        <v>0</v>
      </c>
      <c r="I191" t="n">
        <v>0</v>
      </c>
      <c r="J191" t="n">
        <v>0</v>
      </c>
      <c r="K191" t="n">
        <v>0</v>
      </c>
      <c r="L191" t="n">
        <v>0</v>
      </c>
      <c r="M191" t="n">
        <v>0</v>
      </c>
      <c r="N191" t="n">
        <v>0</v>
      </c>
      <c r="O191" t="n">
        <v>0</v>
      </c>
      <c r="P191" t="n">
        <v>0</v>
      </c>
      <c r="Q191" t="n">
        <v>0</v>
      </c>
      <c r="R191" s="2" t="inlineStr"/>
      <c r="U191">
        <f>HYPERLINK("https://klasma.github.io/Logging_2380/knärot/A 55105-2022 karta knärot.png", "A 55105-2022")</f>
        <v/>
      </c>
      <c r="V191">
        <f>HYPERLINK("https://klasma.github.io/Logging_2380/klagomål/A 55105-2022 FSC-klagomål.docx", "A 55105-2022")</f>
        <v/>
      </c>
      <c r="W191">
        <f>HYPERLINK("https://klasma.github.io/Logging_2380/klagomålsmail/A 55105-2022 FSC-klagomål mail.docx", "A 55105-2022")</f>
        <v/>
      </c>
      <c r="X191">
        <f>HYPERLINK("https://klasma.github.io/Logging_2380/tillsyn/A 55105-2022 tillsynsbegäran.docx", "A 55105-2022")</f>
        <v/>
      </c>
      <c r="Y191">
        <f>HYPERLINK("https://klasma.github.io/Logging_2380/tillsynsmail/A 55105-2022 tillsynsbegäran mail.docx", "A 55105-2022")</f>
        <v/>
      </c>
    </row>
    <row r="192" ht="15" customHeight="1">
      <c r="A192" t="inlineStr">
        <is>
          <t>A 43796-2020</t>
        </is>
      </c>
      <c r="B192" s="1" t="n">
        <v>44082</v>
      </c>
      <c r="C192" s="1" t="n">
        <v>45883</v>
      </c>
      <c r="D192" t="inlineStr">
        <is>
          <t>JÄMTLANDS LÄN</t>
        </is>
      </c>
      <c r="E192" t="inlineStr">
        <is>
          <t>ÖSTERSUND</t>
        </is>
      </c>
      <c r="G192" t="n">
        <v>1.5</v>
      </c>
      <c r="H192" t="n">
        <v>0</v>
      </c>
      <c r="I192" t="n">
        <v>0</v>
      </c>
      <c r="J192" t="n">
        <v>0</v>
      </c>
      <c r="K192" t="n">
        <v>0</v>
      </c>
      <c r="L192" t="n">
        <v>0</v>
      </c>
      <c r="M192" t="n">
        <v>0</v>
      </c>
      <c r="N192" t="n">
        <v>0</v>
      </c>
      <c r="O192" t="n">
        <v>0</v>
      </c>
      <c r="P192" t="n">
        <v>0</v>
      </c>
      <c r="Q192" t="n">
        <v>0</v>
      </c>
      <c r="R192" s="2" t="inlineStr"/>
    </row>
    <row r="193" ht="15" customHeight="1">
      <c r="A193" t="inlineStr">
        <is>
          <t>A 66269-2020</t>
        </is>
      </c>
      <c r="B193" s="1" t="n">
        <v>44174</v>
      </c>
      <c r="C193" s="1" t="n">
        <v>45883</v>
      </c>
      <c r="D193" t="inlineStr">
        <is>
          <t>JÄMTLANDS LÄN</t>
        </is>
      </c>
      <c r="E193" t="inlineStr">
        <is>
          <t>ÖSTERSUND</t>
        </is>
      </c>
      <c r="F193" t="inlineStr">
        <is>
          <t>Övriga statliga verk och myndigheter</t>
        </is>
      </c>
      <c r="G193" t="n">
        <v>10</v>
      </c>
      <c r="H193" t="n">
        <v>0</v>
      </c>
      <c r="I193" t="n">
        <v>0</v>
      </c>
      <c r="J193" t="n">
        <v>0</v>
      </c>
      <c r="K193" t="n">
        <v>0</v>
      </c>
      <c r="L193" t="n">
        <v>0</v>
      </c>
      <c r="M193" t="n">
        <v>0</v>
      </c>
      <c r="N193" t="n">
        <v>0</v>
      </c>
      <c r="O193" t="n">
        <v>0</v>
      </c>
      <c r="P193" t="n">
        <v>0</v>
      </c>
      <c r="Q193" t="n">
        <v>0</v>
      </c>
      <c r="R193" s="2" t="inlineStr"/>
    </row>
    <row r="194" ht="15" customHeight="1">
      <c r="A194" t="inlineStr">
        <is>
          <t>A 21211-2022</t>
        </is>
      </c>
      <c r="B194" s="1" t="n">
        <v>44704.94370370371</v>
      </c>
      <c r="C194" s="1" t="n">
        <v>45883</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46748-2023</t>
        </is>
      </c>
      <c r="B195" s="1" t="n">
        <v>45198</v>
      </c>
      <c r="C195" s="1" t="n">
        <v>45883</v>
      </c>
      <c r="D195" t="inlineStr">
        <is>
          <t>JÄMTLANDS LÄN</t>
        </is>
      </c>
      <c r="E195" t="inlineStr">
        <is>
          <t>ÖSTERSUND</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46763-2023</t>
        </is>
      </c>
      <c r="B196" s="1" t="n">
        <v>45198</v>
      </c>
      <c r="C196" s="1" t="n">
        <v>45883</v>
      </c>
      <c r="D196" t="inlineStr">
        <is>
          <t>JÄMTLANDS LÄN</t>
        </is>
      </c>
      <c r="E196" t="inlineStr">
        <is>
          <t>ÖSTERSUND</t>
        </is>
      </c>
      <c r="F196" t="inlineStr">
        <is>
          <t>Sveaskog</t>
        </is>
      </c>
      <c r="G196" t="n">
        <v>13.3</v>
      </c>
      <c r="H196" t="n">
        <v>0</v>
      </c>
      <c r="I196" t="n">
        <v>0</v>
      </c>
      <c r="J196" t="n">
        <v>0</v>
      </c>
      <c r="K196" t="n">
        <v>0</v>
      </c>
      <c r="L196" t="n">
        <v>0</v>
      </c>
      <c r="M196" t="n">
        <v>0</v>
      </c>
      <c r="N196" t="n">
        <v>0</v>
      </c>
      <c r="O196" t="n">
        <v>0</v>
      </c>
      <c r="P196" t="n">
        <v>0</v>
      </c>
      <c r="Q196" t="n">
        <v>0</v>
      </c>
      <c r="R196" s="2" t="inlineStr"/>
    </row>
    <row r="197" ht="15" customHeight="1">
      <c r="A197" t="inlineStr">
        <is>
          <t>A 65428-2021</t>
        </is>
      </c>
      <c r="B197" s="1" t="n">
        <v>44515</v>
      </c>
      <c r="C197" s="1" t="n">
        <v>45883</v>
      </c>
      <c r="D197" t="inlineStr">
        <is>
          <t>JÄMTLANDS LÄN</t>
        </is>
      </c>
      <c r="E197" t="inlineStr">
        <is>
          <t>ÖSTERSUND</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55002-2024</t>
        </is>
      </c>
      <c r="B198" s="1" t="n">
        <v>45621</v>
      </c>
      <c r="C198" s="1" t="n">
        <v>45883</v>
      </c>
      <c r="D198" t="inlineStr">
        <is>
          <t>JÄMTLANDS LÄN</t>
        </is>
      </c>
      <c r="E198" t="inlineStr">
        <is>
          <t>ÖSTERSUND</t>
        </is>
      </c>
      <c r="F198" t="inlineStr">
        <is>
          <t>Övriga Aktiebolag</t>
        </is>
      </c>
      <c r="G198" t="n">
        <v>0.3</v>
      </c>
      <c r="H198" t="n">
        <v>0</v>
      </c>
      <c r="I198" t="n">
        <v>0</v>
      </c>
      <c r="J198" t="n">
        <v>0</v>
      </c>
      <c r="K198" t="n">
        <v>0</v>
      </c>
      <c r="L198" t="n">
        <v>0</v>
      </c>
      <c r="M198" t="n">
        <v>0</v>
      </c>
      <c r="N198" t="n">
        <v>0</v>
      </c>
      <c r="O198" t="n">
        <v>0</v>
      </c>
      <c r="P198" t="n">
        <v>0</v>
      </c>
      <c r="Q198" t="n">
        <v>0</v>
      </c>
      <c r="R198" s="2" t="inlineStr"/>
    </row>
    <row r="199" ht="15" customHeight="1">
      <c r="A199" t="inlineStr">
        <is>
          <t>A 7300-2025</t>
        </is>
      </c>
      <c r="B199" s="1" t="n">
        <v>45702.65655092592</v>
      </c>
      <c r="C199" s="1" t="n">
        <v>45883</v>
      </c>
      <c r="D199" t="inlineStr">
        <is>
          <t>JÄMTLANDS LÄN</t>
        </is>
      </c>
      <c r="E199" t="inlineStr">
        <is>
          <t>ÖSTERSUND</t>
        </is>
      </c>
      <c r="F199" t="inlineStr">
        <is>
          <t>SCA</t>
        </is>
      </c>
      <c r="G199" t="n">
        <v>10.4</v>
      </c>
      <c r="H199" t="n">
        <v>0</v>
      </c>
      <c r="I199" t="n">
        <v>0</v>
      </c>
      <c r="J199" t="n">
        <v>0</v>
      </c>
      <c r="K199" t="n">
        <v>0</v>
      </c>
      <c r="L199" t="n">
        <v>0</v>
      </c>
      <c r="M199" t="n">
        <v>0</v>
      </c>
      <c r="N199" t="n">
        <v>0</v>
      </c>
      <c r="O199" t="n">
        <v>0</v>
      </c>
      <c r="P199" t="n">
        <v>0</v>
      </c>
      <c r="Q199" t="n">
        <v>0</v>
      </c>
      <c r="R199" s="2" t="inlineStr"/>
    </row>
    <row r="200" ht="15" customHeight="1">
      <c r="A200" t="inlineStr">
        <is>
          <t>A 65866-2021</t>
        </is>
      </c>
      <c r="B200" s="1" t="n">
        <v>44516</v>
      </c>
      <c r="C200" s="1" t="n">
        <v>45883</v>
      </c>
      <c r="D200" t="inlineStr">
        <is>
          <t>JÄMTLANDS LÄN</t>
        </is>
      </c>
      <c r="E200" t="inlineStr">
        <is>
          <t>ÖSTERSUND</t>
        </is>
      </c>
      <c r="G200" t="n">
        <v>2.6</v>
      </c>
      <c r="H200" t="n">
        <v>0</v>
      </c>
      <c r="I200" t="n">
        <v>0</v>
      </c>
      <c r="J200" t="n">
        <v>0</v>
      </c>
      <c r="K200" t="n">
        <v>0</v>
      </c>
      <c r="L200" t="n">
        <v>0</v>
      </c>
      <c r="M200" t="n">
        <v>0</v>
      </c>
      <c r="N200" t="n">
        <v>0</v>
      </c>
      <c r="O200" t="n">
        <v>0</v>
      </c>
      <c r="P200" t="n">
        <v>0</v>
      </c>
      <c r="Q200" t="n">
        <v>0</v>
      </c>
      <c r="R200" s="2" t="inlineStr"/>
    </row>
    <row r="201" ht="15" customHeight="1">
      <c r="A201" t="inlineStr">
        <is>
          <t>A 57398-2023</t>
        </is>
      </c>
      <c r="B201" s="1" t="n">
        <v>45245</v>
      </c>
      <c r="C201" s="1" t="n">
        <v>45883</v>
      </c>
      <c r="D201" t="inlineStr">
        <is>
          <t>JÄMTLANDS LÄN</t>
        </is>
      </c>
      <c r="E201" t="inlineStr">
        <is>
          <t>ÖSTERSUND</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6351-2024</t>
        </is>
      </c>
      <c r="B202" s="1" t="n">
        <v>45338</v>
      </c>
      <c r="C202" s="1" t="n">
        <v>45883</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5024-2025</t>
        </is>
      </c>
      <c r="B203" s="1" t="n">
        <v>45691.40832175926</v>
      </c>
      <c r="C203" s="1" t="n">
        <v>45883</v>
      </c>
      <c r="D203" t="inlineStr">
        <is>
          <t>JÄMTLANDS LÄN</t>
        </is>
      </c>
      <c r="E203" t="inlineStr">
        <is>
          <t>ÖSTERSUND</t>
        </is>
      </c>
      <c r="G203" t="n">
        <v>0.9</v>
      </c>
      <c r="H203" t="n">
        <v>0</v>
      </c>
      <c r="I203" t="n">
        <v>0</v>
      </c>
      <c r="J203" t="n">
        <v>0</v>
      </c>
      <c r="K203" t="n">
        <v>0</v>
      </c>
      <c r="L203" t="n">
        <v>0</v>
      </c>
      <c r="M203" t="n">
        <v>0</v>
      </c>
      <c r="N203" t="n">
        <v>0</v>
      </c>
      <c r="O203" t="n">
        <v>0</v>
      </c>
      <c r="P203" t="n">
        <v>0</v>
      </c>
      <c r="Q203" t="n">
        <v>0</v>
      </c>
      <c r="R203" s="2" t="inlineStr"/>
    </row>
    <row r="204" ht="15" customHeight="1">
      <c r="A204" t="inlineStr">
        <is>
          <t>A 5025-2025</t>
        </is>
      </c>
      <c r="B204" s="1" t="n">
        <v>45691.40836805556</v>
      </c>
      <c r="C204" s="1" t="n">
        <v>45883</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45820-2020</t>
        </is>
      </c>
      <c r="B205" s="1" t="n">
        <v>44090</v>
      </c>
      <c r="C205" s="1" t="n">
        <v>45883</v>
      </c>
      <c r="D205" t="inlineStr">
        <is>
          <t>JÄMTLANDS LÄN</t>
        </is>
      </c>
      <c r="E205" t="inlineStr">
        <is>
          <t>ÖSTERSUND</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71956-2021</t>
        </is>
      </c>
      <c r="B206" s="1" t="n">
        <v>44544</v>
      </c>
      <c r="C206" s="1" t="n">
        <v>45883</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29094-2022</t>
        </is>
      </c>
      <c r="B207" s="1" t="n">
        <v>44750</v>
      </c>
      <c r="C207" s="1" t="n">
        <v>45883</v>
      </c>
      <c r="D207" t="inlineStr">
        <is>
          <t>JÄMTLANDS LÄN</t>
        </is>
      </c>
      <c r="E207" t="inlineStr">
        <is>
          <t>ÖSTERSUND</t>
        </is>
      </c>
      <c r="G207" t="n">
        <v>0.7</v>
      </c>
      <c r="H207" t="n">
        <v>0</v>
      </c>
      <c r="I207" t="n">
        <v>0</v>
      </c>
      <c r="J207" t="n">
        <v>0</v>
      </c>
      <c r="K207" t="n">
        <v>0</v>
      </c>
      <c r="L207" t="n">
        <v>0</v>
      </c>
      <c r="M207" t="n">
        <v>0</v>
      </c>
      <c r="N207" t="n">
        <v>0</v>
      </c>
      <c r="O207" t="n">
        <v>0</v>
      </c>
      <c r="P207" t="n">
        <v>0</v>
      </c>
      <c r="Q207" t="n">
        <v>0</v>
      </c>
      <c r="R207" s="2" t="inlineStr"/>
    </row>
    <row r="208" ht="15" customHeight="1">
      <c r="A208" t="inlineStr">
        <is>
          <t>A 14867-2025</t>
        </is>
      </c>
      <c r="B208" s="1" t="n">
        <v>45743.44207175926</v>
      </c>
      <c r="C208" s="1" t="n">
        <v>45883</v>
      </c>
      <c r="D208" t="inlineStr">
        <is>
          <t>JÄMTLANDS LÄN</t>
        </is>
      </c>
      <c r="E208" t="inlineStr">
        <is>
          <t>ÖSTERSUND</t>
        </is>
      </c>
      <c r="G208" t="n">
        <v>3.3</v>
      </c>
      <c r="H208" t="n">
        <v>0</v>
      </c>
      <c r="I208" t="n">
        <v>0</v>
      </c>
      <c r="J208" t="n">
        <v>0</v>
      </c>
      <c r="K208" t="n">
        <v>0</v>
      </c>
      <c r="L208" t="n">
        <v>0</v>
      </c>
      <c r="M208" t="n">
        <v>0</v>
      </c>
      <c r="N208" t="n">
        <v>0</v>
      </c>
      <c r="O208" t="n">
        <v>0</v>
      </c>
      <c r="P208" t="n">
        <v>0</v>
      </c>
      <c r="Q208" t="n">
        <v>0</v>
      </c>
      <c r="R208" s="2" t="inlineStr"/>
    </row>
    <row r="209" ht="15" customHeight="1">
      <c r="A209" t="inlineStr">
        <is>
          <t>A 14947-2025</t>
        </is>
      </c>
      <c r="B209" s="1" t="n">
        <v>45743.57336805556</v>
      </c>
      <c r="C209" s="1" t="n">
        <v>45883</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7327-2023</t>
        </is>
      </c>
      <c r="B210" s="1" t="n">
        <v>44970.97871527778</v>
      </c>
      <c r="C210" s="1" t="n">
        <v>45883</v>
      </c>
      <c r="D210" t="inlineStr">
        <is>
          <t>JÄMTLANDS LÄN</t>
        </is>
      </c>
      <c r="E210" t="inlineStr">
        <is>
          <t>ÖSTERSUND</t>
        </is>
      </c>
      <c r="F210" t="inlineStr">
        <is>
          <t>SCA</t>
        </is>
      </c>
      <c r="G210" t="n">
        <v>4.6</v>
      </c>
      <c r="H210" t="n">
        <v>0</v>
      </c>
      <c r="I210" t="n">
        <v>0</v>
      </c>
      <c r="J210" t="n">
        <v>0</v>
      </c>
      <c r="K210" t="n">
        <v>0</v>
      </c>
      <c r="L210" t="n">
        <v>0</v>
      </c>
      <c r="M210" t="n">
        <v>0</v>
      </c>
      <c r="N210" t="n">
        <v>0</v>
      </c>
      <c r="O210" t="n">
        <v>0</v>
      </c>
      <c r="P210" t="n">
        <v>0</v>
      </c>
      <c r="Q210" t="n">
        <v>0</v>
      </c>
      <c r="R210" s="2" t="inlineStr"/>
    </row>
    <row r="211" ht="15" customHeight="1">
      <c r="A211" t="inlineStr">
        <is>
          <t>A 7022-2025</t>
        </is>
      </c>
      <c r="B211" s="1" t="n">
        <v>45701.61899305556</v>
      </c>
      <c r="C211" s="1" t="n">
        <v>45883</v>
      </c>
      <c r="D211" t="inlineStr">
        <is>
          <t>JÄMTLANDS LÄN</t>
        </is>
      </c>
      <c r="E211" t="inlineStr">
        <is>
          <t>ÖSTERSUND</t>
        </is>
      </c>
      <c r="G211" t="n">
        <v>4.8</v>
      </c>
      <c r="H211" t="n">
        <v>0</v>
      </c>
      <c r="I211" t="n">
        <v>0</v>
      </c>
      <c r="J211" t="n">
        <v>0</v>
      </c>
      <c r="K211" t="n">
        <v>0</v>
      </c>
      <c r="L211" t="n">
        <v>0</v>
      </c>
      <c r="M211" t="n">
        <v>0</v>
      </c>
      <c r="N211" t="n">
        <v>0</v>
      </c>
      <c r="O211" t="n">
        <v>0</v>
      </c>
      <c r="P211" t="n">
        <v>0</v>
      </c>
      <c r="Q211" t="n">
        <v>0</v>
      </c>
      <c r="R211" s="2" t="inlineStr"/>
    </row>
    <row r="212" ht="15" customHeight="1">
      <c r="A212" t="inlineStr">
        <is>
          <t>A 44013-2021</t>
        </is>
      </c>
      <c r="B212" s="1" t="n">
        <v>44434</v>
      </c>
      <c r="C212" s="1" t="n">
        <v>45883</v>
      </c>
      <c r="D212" t="inlineStr">
        <is>
          <t>JÄMTLANDS LÄN</t>
        </is>
      </c>
      <c r="E212" t="inlineStr">
        <is>
          <t>ÖSTERSUND</t>
        </is>
      </c>
      <c r="G212" t="n">
        <v>1.9</v>
      </c>
      <c r="H212" t="n">
        <v>0</v>
      </c>
      <c r="I212" t="n">
        <v>0</v>
      </c>
      <c r="J212" t="n">
        <v>0</v>
      </c>
      <c r="K212" t="n">
        <v>0</v>
      </c>
      <c r="L212" t="n">
        <v>0</v>
      </c>
      <c r="M212" t="n">
        <v>0</v>
      </c>
      <c r="N212" t="n">
        <v>0</v>
      </c>
      <c r="O212" t="n">
        <v>0</v>
      </c>
      <c r="P212" t="n">
        <v>0</v>
      </c>
      <c r="Q212" t="n">
        <v>0</v>
      </c>
      <c r="R212" s="2" t="inlineStr"/>
    </row>
    <row r="213" ht="15" customHeight="1">
      <c r="A213" t="inlineStr">
        <is>
          <t>A 27575-2022</t>
        </is>
      </c>
      <c r="B213" s="1" t="n">
        <v>44742</v>
      </c>
      <c r="C213" s="1" t="n">
        <v>45883</v>
      </c>
      <c r="D213" t="inlineStr">
        <is>
          <t>JÄMTLANDS LÄN</t>
        </is>
      </c>
      <c r="E213" t="inlineStr">
        <is>
          <t>ÖSTERSUND</t>
        </is>
      </c>
      <c r="F213" t="inlineStr">
        <is>
          <t>SCA</t>
        </is>
      </c>
      <c r="G213" t="n">
        <v>2.4</v>
      </c>
      <c r="H213" t="n">
        <v>0</v>
      </c>
      <c r="I213" t="n">
        <v>0</v>
      </c>
      <c r="J213" t="n">
        <v>0</v>
      </c>
      <c r="K213" t="n">
        <v>0</v>
      </c>
      <c r="L213" t="n">
        <v>0</v>
      </c>
      <c r="M213" t="n">
        <v>0</v>
      </c>
      <c r="N213" t="n">
        <v>0</v>
      </c>
      <c r="O213" t="n">
        <v>0</v>
      </c>
      <c r="P213" t="n">
        <v>0</v>
      </c>
      <c r="Q213" t="n">
        <v>0</v>
      </c>
      <c r="R213" s="2" t="inlineStr"/>
      <c r="U213">
        <f>HYPERLINK("https://klasma.github.io/Logging_2380/knärot/A 27575-2022 karta knärot.png", "A 27575-2022")</f>
        <v/>
      </c>
      <c r="V213">
        <f>HYPERLINK("https://klasma.github.io/Logging_2380/klagomål/A 27575-2022 FSC-klagomål.docx", "A 27575-2022")</f>
        <v/>
      </c>
      <c r="W213">
        <f>HYPERLINK("https://klasma.github.io/Logging_2380/klagomålsmail/A 27575-2022 FSC-klagomål mail.docx", "A 27575-2022")</f>
        <v/>
      </c>
      <c r="X213">
        <f>HYPERLINK("https://klasma.github.io/Logging_2380/tillsyn/A 27575-2022 tillsynsbegäran.docx", "A 27575-2022")</f>
        <v/>
      </c>
      <c r="Y213">
        <f>HYPERLINK("https://klasma.github.io/Logging_2380/tillsynsmail/A 27575-2022 tillsynsbegäran mail.docx", "A 27575-2022")</f>
        <v/>
      </c>
    </row>
    <row r="214" ht="15" customHeight="1">
      <c r="A214" t="inlineStr">
        <is>
          <t>A 11182-2025</t>
        </is>
      </c>
      <c r="B214" s="1" t="n">
        <v>45725.44297453704</v>
      </c>
      <c r="C214" s="1" t="n">
        <v>45883</v>
      </c>
      <c r="D214" t="inlineStr">
        <is>
          <t>JÄMTLANDS LÄN</t>
        </is>
      </c>
      <c r="E214" t="inlineStr">
        <is>
          <t>ÖSTERSUND</t>
        </is>
      </c>
      <c r="G214" t="n">
        <v>3.3</v>
      </c>
      <c r="H214" t="n">
        <v>0</v>
      </c>
      <c r="I214" t="n">
        <v>0</v>
      </c>
      <c r="J214" t="n">
        <v>0</v>
      </c>
      <c r="K214" t="n">
        <v>0</v>
      </c>
      <c r="L214" t="n">
        <v>0</v>
      </c>
      <c r="M214" t="n">
        <v>0</v>
      </c>
      <c r="N214" t="n">
        <v>0</v>
      </c>
      <c r="O214" t="n">
        <v>0</v>
      </c>
      <c r="P214" t="n">
        <v>0</v>
      </c>
      <c r="Q214" t="n">
        <v>0</v>
      </c>
      <c r="R214" s="2" t="inlineStr"/>
    </row>
    <row r="215" ht="15" customHeight="1">
      <c r="A215" t="inlineStr">
        <is>
          <t>A 4311-2025</t>
        </is>
      </c>
      <c r="B215" s="1" t="n">
        <v>45685.69267361111</v>
      </c>
      <c r="C215" s="1" t="n">
        <v>45883</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57624-2020</t>
        </is>
      </c>
      <c r="B216" s="1" t="n">
        <v>44140</v>
      </c>
      <c r="C216" s="1" t="n">
        <v>45883</v>
      </c>
      <c r="D216" t="inlineStr">
        <is>
          <t>JÄMTLANDS LÄN</t>
        </is>
      </c>
      <c r="E216" t="inlineStr">
        <is>
          <t>ÖSTERSUND</t>
        </is>
      </c>
      <c r="F216" t="inlineStr">
        <is>
          <t>Övriga Aktiebolag</t>
        </is>
      </c>
      <c r="G216" t="n">
        <v>2.1</v>
      </c>
      <c r="H216" t="n">
        <v>0</v>
      </c>
      <c r="I216" t="n">
        <v>0</v>
      </c>
      <c r="J216" t="n">
        <v>0</v>
      </c>
      <c r="K216" t="n">
        <v>0</v>
      </c>
      <c r="L216" t="n">
        <v>0</v>
      </c>
      <c r="M216" t="n">
        <v>0</v>
      </c>
      <c r="N216" t="n">
        <v>0</v>
      </c>
      <c r="O216" t="n">
        <v>0</v>
      </c>
      <c r="P216" t="n">
        <v>0</v>
      </c>
      <c r="Q216" t="n">
        <v>0</v>
      </c>
      <c r="R216" s="2" t="inlineStr"/>
    </row>
    <row r="217" ht="15" customHeight="1">
      <c r="A217" t="inlineStr">
        <is>
          <t>A 52128-2023</t>
        </is>
      </c>
      <c r="B217" s="1" t="n">
        <v>45223</v>
      </c>
      <c r="C217" s="1" t="n">
        <v>45883</v>
      </c>
      <c r="D217" t="inlineStr">
        <is>
          <t>JÄMTLANDS LÄN</t>
        </is>
      </c>
      <c r="E217" t="inlineStr">
        <is>
          <t>ÖSTERSUND</t>
        </is>
      </c>
      <c r="F217" t="inlineStr">
        <is>
          <t>SCA</t>
        </is>
      </c>
      <c r="G217" t="n">
        <v>11.9</v>
      </c>
      <c r="H217" t="n">
        <v>0</v>
      </c>
      <c r="I217" t="n">
        <v>0</v>
      </c>
      <c r="J217" t="n">
        <v>0</v>
      </c>
      <c r="K217" t="n">
        <v>0</v>
      </c>
      <c r="L217" t="n">
        <v>0</v>
      </c>
      <c r="M217" t="n">
        <v>0</v>
      </c>
      <c r="N217" t="n">
        <v>0</v>
      </c>
      <c r="O217" t="n">
        <v>0</v>
      </c>
      <c r="P217" t="n">
        <v>0</v>
      </c>
      <c r="Q217" t="n">
        <v>0</v>
      </c>
      <c r="R217" s="2" t="inlineStr"/>
    </row>
    <row r="218" ht="15" customHeight="1">
      <c r="A218" t="inlineStr">
        <is>
          <t>A 8003-2025</t>
        </is>
      </c>
      <c r="B218" s="1" t="n">
        <v>45707</v>
      </c>
      <c r="C218" s="1" t="n">
        <v>45883</v>
      </c>
      <c r="D218" t="inlineStr">
        <is>
          <t>JÄMTLANDS LÄN</t>
        </is>
      </c>
      <c r="E218" t="inlineStr">
        <is>
          <t>ÖSTERSUND</t>
        </is>
      </c>
      <c r="F218" t="inlineStr">
        <is>
          <t>Övriga Aktiebolag</t>
        </is>
      </c>
      <c r="G218" t="n">
        <v>35.1</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45883</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65991-2021</t>
        </is>
      </c>
      <c r="B220" s="1" t="n">
        <v>44517.55134259259</v>
      </c>
      <c r="C220" s="1" t="n">
        <v>45883</v>
      </c>
      <c r="D220" t="inlineStr">
        <is>
          <t>JÄMTLANDS LÄN</t>
        </is>
      </c>
      <c r="E220" t="inlineStr">
        <is>
          <t>ÖSTERSUND</t>
        </is>
      </c>
      <c r="G220" t="n">
        <v>4.3</v>
      </c>
      <c r="H220" t="n">
        <v>0</v>
      </c>
      <c r="I220" t="n">
        <v>0</v>
      </c>
      <c r="J220" t="n">
        <v>0</v>
      </c>
      <c r="K220" t="n">
        <v>0</v>
      </c>
      <c r="L220" t="n">
        <v>0</v>
      </c>
      <c r="M220" t="n">
        <v>0</v>
      </c>
      <c r="N220" t="n">
        <v>0</v>
      </c>
      <c r="O220" t="n">
        <v>0</v>
      </c>
      <c r="P220" t="n">
        <v>0</v>
      </c>
      <c r="Q220" t="n">
        <v>0</v>
      </c>
      <c r="R220" s="2" t="inlineStr"/>
    </row>
    <row r="221" ht="15" customHeight="1">
      <c r="A221" t="inlineStr">
        <is>
          <t>A 6458-2022</t>
        </is>
      </c>
      <c r="B221" s="1" t="n">
        <v>44601.36165509259</v>
      </c>
      <c r="C221" s="1" t="n">
        <v>45883</v>
      </c>
      <c r="D221" t="inlineStr">
        <is>
          <t>JÄMTLANDS LÄN</t>
        </is>
      </c>
      <c r="E221" t="inlineStr">
        <is>
          <t>ÖSTERSUND</t>
        </is>
      </c>
      <c r="G221" t="n">
        <v>3.1</v>
      </c>
      <c r="H221" t="n">
        <v>0</v>
      </c>
      <c r="I221" t="n">
        <v>0</v>
      </c>
      <c r="J221" t="n">
        <v>0</v>
      </c>
      <c r="K221" t="n">
        <v>0</v>
      </c>
      <c r="L221" t="n">
        <v>0</v>
      </c>
      <c r="M221" t="n">
        <v>0</v>
      </c>
      <c r="N221" t="n">
        <v>0</v>
      </c>
      <c r="O221" t="n">
        <v>0</v>
      </c>
      <c r="P221" t="n">
        <v>0</v>
      </c>
      <c r="Q221" t="n">
        <v>0</v>
      </c>
      <c r="R221" s="2" t="inlineStr"/>
    </row>
    <row r="222" ht="15" customHeight="1">
      <c r="A222" t="inlineStr">
        <is>
          <t>A 52791-2020</t>
        </is>
      </c>
      <c r="B222" s="1" t="n">
        <v>44118</v>
      </c>
      <c r="C222" s="1" t="n">
        <v>45883</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38644-2021</t>
        </is>
      </c>
      <c r="B223" s="1" t="n">
        <v>44410.35376157407</v>
      </c>
      <c r="C223" s="1" t="n">
        <v>45883</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30217-2022</t>
        </is>
      </c>
      <c r="B224" s="1" t="n">
        <v>44757.92671296297</v>
      </c>
      <c r="C224" s="1" t="n">
        <v>45883</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19581-2025</t>
        </is>
      </c>
      <c r="B225" s="1" t="n">
        <v>45770.56363425926</v>
      </c>
      <c r="C225" s="1" t="n">
        <v>45883</v>
      </c>
      <c r="D225" t="inlineStr">
        <is>
          <t>JÄMTLANDS LÄN</t>
        </is>
      </c>
      <c r="E225" t="inlineStr">
        <is>
          <t>ÖSTERSUND</t>
        </is>
      </c>
      <c r="G225" t="n">
        <v>17.2</v>
      </c>
      <c r="H225" t="n">
        <v>0</v>
      </c>
      <c r="I225" t="n">
        <v>0</v>
      </c>
      <c r="J225" t="n">
        <v>0</v>
      </c>
      <c r="K225" t="n">
        <v>0</v>
      </c>
      <c r="L225" t="n">
        <v>0</v>
      </c>
      <c r="M225" t="n">
        <v>0</v>
      </c>
      <c r="N225" t="n">
        <v>0</v>
      </c>
      <c r="O225" t="n">
        <v>0</v>
      </c>
      <c r="P225" t="n">
        <v>0</v>
      </c>
      <c r="Q225" t="n">
        <v>0</v>
      </c>
      <c r="R225" s="2" t="inlineStr"/>
    </row>
    <row r="226" ht="15" customHeight="1">
      <c r="A226" t="inlineStr">
        <is>
          <t>A 32994-2021</t>
        </is>
      </c>
      <c r="B226" s="1" t="n">
        <v>44375</v>
      </c>
      <c r="C226" s="1" t="n">
        <v>45883</v>
      </c>
      <c r="D226" t="inlineStr">
        <is>
          <t>JÄMTLANDS LÄN</t>
        </is>
      </c>
      <c r="E226" t="inlineStr">
        <is>
          <t>ÖSTERSUND</t>
        </is>
      </c>
      <c r="G226" t="n">
        <v>0.1</v>
      </c>
      <c r="H226" t="n">
        <v>0</v>
      </c>
      <c r="I226" t="n">
        <v>0</v>
      </c>
      <c r="J226" t="n">
        <v>0</v>
      </c>
      <c r="K226" t="n">
        <v>0</v>
      </c>
      <c r="L226" t="n">
        <v>0</v>
      </c>
      <c r="M226" t="n">
        <v>0</v>
      </c>
      <c r="N226" t="n">
        <v>0</v>
      </c>
      <c r="O226" t="n">
        <v>0</v>
      </c>
      <c r="P226" t="n">
        <v>0</v>
      </c>
      <c r="Q226" t="n">
        <v>0</v>
      </c>
      <c r="R226" s="2" t="inlineStr"/>
    </row>
    <row r="227" ht="15" customHeight="1">
      <c r="A227" t="inlineStr">
        <is>
          <t>A 23992-2022</t>
        </is>
      </c>
      <c r="B227" s="1" t="n">
        <v>44722</v>
      </c>
      <c r="C227" s="1" t="n">
        <v>45883</v>
      </c>
      <c r="D227" t="inlineStr">
        <is>
          <t>JÄMTLANDS LÄN</t>
        </is>
      </c>
      <c r="E227" t="inlineStr">
        <is>
          <t>ÖSTERSUND</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23993-2022</t>
        </is>
      </c>
      <c r="B228" s="1" t="n">
        <v>44722.94023148148</v>
      </c>
      <c r="C228" s="1" t="n">
        <v>45883</v>
      </c>
      <c r="D228" t="inlineStr">
        <is>
          <t>JÄMTLANDS LÄN</t>
        </is>
      </c>
      <c r="E228" t="inlineStr">
        <is>
          <t>ÖSTERSUND</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3053-2025</t>
        </is>
      </c>
      <c r="B229" s="1" t="n">
        <v>45678.61495370371</v>
      </c>
      <c r="C229" s="1" t="n">
        <v>45883</v>
      </c>
      <c r="D229" t="inlineStr">
        <is>
          <t>JÄMTLANDS LÄN</t>
        </is>
      </c>
      <c r="E229" t="inlineStr">
        <is>
          <t>ÖSTERSUND</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62111-2024</t>
        </is>
      </c>
      <c r="B230" s="1" t="n">
        <v>45656.53215277778</v>
      </c>
      <c r="C230" s="1" t="n">
        <v>45883</v>
      </c>
      <c r="D230" t="inlineStr">
        <is>
          <t>JÄMTLANDS LÄN</t>
        </is>
      </c>
      <c r="E230" t="inlineStr">
        <is>
          <t>ÖSTERSUND</t>
        </is>
      </c>
      <c r="G230" t="n">
        <v>3.4</v>
      </c>
      <c r="H230" t="n">
        <v>0</v>
      </c>
      <c r="I230" t="n">
        <v>0</v>
      </c>
      <c r="J230" t="n">
        <v>0</v>
      </c>
      <c r="K230" t="n">
        <v>0</v>
      </c>
      <c r="L230" t="n">
        <v>0</v>
      </c>
      <c r="M230" t="n">
        <v>0</v>
      </c>
      <c r="N230" t="n">
        <v>0</v>
      </c>
      <c r="O230" t="n">
        <v>0</v>
      </c>
      <c r="P230" t="n">
        <v>0</v>
      </c>
      <c r="Q230" t="n">
        <v>0</v>
      </c>
      <c r="R230" s="2" t="inlineStr"/>
    </row>
    <row r="231" ht="15" customHeight="1">
      <c r="A231" t="inlineStr">
        <is>
          <t>A 11181-2025</t>
        </is>
      </c>
      <c r="B231" s="1" t="n">
        <v>45725.44039351852</v>
      </c>
      <c r="C231" s="1" t="n">
        <v>45883</v>
      </c>
      <c r="D231" t="inlineStr">
        <is>
          <t>JÄMTLANDS LÄN</t>
        </is>
      </c>
      <c r="E231" t="inlineStr">
        <is>
          <t>ÖSTERSUND</t>
        </is>
      </c>
      <c r="G231" t="n">
        <v>15.4</v>
      </c>
      <c r="H231" t="n">
        <v>0</v>
      </c>
      <c r="I231" t="n">
        <v>0</v>
      </c>
      <c r="J231" t="n">
        <v>0</v>
      </c>
      <c r="K231" t="n">
        <v>0</v>
      </c>
      <c r="L231" t="n">
        <v>0</v>
      </c>
      <c r="M231" t="n">
        <v>0</v>
      </c>
      <c r="N231" t="n">
        <v>0</v>
      </c>
      <c r="O231" t="n">
        <v>0</v>
      </c>
      <c r="P231" t="n">
        <v>0</v>
      </c>
      <c r="Q231" t="n">
        <v>0</v>
      </c>
      <c r="R231" s="2" t="inlineStr"/>
    </row>
    <row r="232" ht="15" customHeight="1">
      <c r="A232" t="inlineStr">
        <is>
          <t>A 22082-2022</t>
        </is>
      </c>
      <c r="B232" s="1" t="n">
        <v>44711.9403587963</v>
      </c>
      <c r="C232" s="1" t="n">
        <v>45883</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17066-2024</t>
        </is>
      </c>
      <c r="B233" s="1" t="n">
        <v>45412.46636574074</v>
      </c>
      <c r="C233" s="1" t="n">
        <v>45883</v>
      </c>
      <c r="D233" t="inlineStr">
        <is>
          <t>JÄMTLANDS LÄN</t>
        </is>
      </c>
      <c r="E233" t="inlineStr">
        <is>
          <t>ÖSTERSUND</t>
        </is>
      </c>
      <c r="G233" t="n">
        <v>4.2</v>
      </c>
      <c r="H233" t="n">
        <v>0</v>
      </c>
      <c r="I233" t="n">
        <v>0</v>
      </c>
      <c r="J233" t="n">
        <v>0</v>
      </c>
      <c r="K233" t="n">
        <v>0</v>
      </c>
      <c r="L233" t="n">
        <v>0</v>
      </c>
      <c r="M233" t="n">
        <v>0</v>
      </c>
      <c r="N233" t="n">
        <v>0</v>
      </c>
      <c r="O233" t="n">
        <v>0</v>
      </c>
      <c r="P233" t="n">
        <v>0</v>
      </c>
      <c r="Q233" t="n">
        <v>0</v>
      </c>
      <c r="R233" s="2" t="inlineStr"/>
    </row>
    <row r="234" ht="15" customHeight="1">
      <c r="A234" t="inlineStr">
        <is>
          <t>A 41802-2021</t>
        </is>
      </c>
      <c r="B234" s="1" t="n">
        <v>44425</v>
      </c>
      <c r="C234" s="1" t="n">
        <v>45883</v>
      </c>
      <c r="D234" t="inlineStr">
        <is>
          <t>JÄMTLANDS LÄN</t>
        </is>
      </c>
      <c r="E234" t="inlineStr">
        <is>
          <t>ÖSTERSUND</t>
        </is>
      </c>
      <c r="G234" t="n">
        <v>1.7</v>
      </c>
      <c r="H234" t="n">
        <v>0</v>
      </c>
      <c r="I234" t="n">
        <v>0</v>
      </c>
      <c r="J234" t="n">
        <v>0</v>
      </c>
      <c r="K234" t="n">
        <v>0</v>
      </c>
      <c r="L234" t="n">
        <v>0</v>
      </c>
      <c r="M234" t="n">
        <v>0</v>
      </c>
      <c r="N234" t="n">
        <v>0</v>
      </c>
      <c r="O234" t="n">
        <v>0</v>
      </c>
      <c r="P234" t="n">
        <v>0</v>
      </c>
      <c r="Q234" t="n">
        <v>0</v>
      </c>
      <c r="R234" s="2" t="inlineStr"/>
    </row>
    <row r="235" ht="15" customHeight="1">
      <c r="A235" t="inlineStr">
        <is>
          <t>A 23551-2022</t>
        </is>
      </c>
      <c r="B235" s="1" t="n">
        <v>44721</v>
      </c>
      <c r="C235" s="1" t="n">
        <v>45883</v>
      </c>
      <c r="D235" t="inlineStr">
        <is>
          <t>JÄMTLANDS LÄN</t>
        </is>
      </c>
      <c r="E235" t="inlineStr">
        <is>
          <t>ÖSTERSUND</t>
        </is>
      </c>
      <c r="G235" t="n">
        <v>0.3</v>
      </c>
      <c r="H235" t="n">
        <v>0</v>
      </c>
      <c r="I235" t="n">
        <v>0</v>
      </c>
      <c r="J235" t="n">
        <v>0</v>
      </c>
      <c r="K235" t="n">
        <v>0</v>
      </c>
      <c r="L235" t="n">
        <v>0</v>
      </c>
      <c r="M235" t="n">
        <v>0</v>
      </c>
      <c r="N235" t="n">
        <v>0</v>
      </c>
      <c r="O235" t="n">
        <v>0</v>
      </c>
      <c r="P235" t="n">
        <v>0</v>
      </c>
      <c r="Q235" t="n">
        <v>0</v>
      </c>
      <c r="R235" s="2" t="inlineStr"/>
    </row>
    <row r="236" ht="15" customHeight="1">
      <c r="A236" t="inlineStr">
        <is>
          <t>A 52777-2020</t>
        </is>
      </c>
      <c r="B236" s="1" t="n">
        <v>44118</v>
      </c>
      <c r="C236" s="1" t="n">
        <v>45883</v>
      </c>
      <c r="D236" t="inlineStr">
        <is>
          <t>JÄMTLANDS LÄN</t>
        </is>
      </c>
      <c r="E236" t="inlineStr">
        <is>
          <t>ÖSTERSUND</t>
        </is>
      </c>
      <c r="G236" t="n">
        <v>0.6</v>
      </c>
      <c r="H236" t="n">
        <v>0</v>
      </c>
      <c r="I236" t="n">
        <v>0</v>
      </c>
      <c r="J236" t="n">
        <v>0</v>
      </c>
      <c r="K236" t="n">
        <v>0</v>
      </c>
      <c r="L236" t="n">
        <v>0</v>
      </c>
      <c r="M236" t="n">
        <v>0</v>
      </c>
      <c r="N236" t="n">
        <v>0</v>
      </c>
      <c r="O236" t="n">
        <v>0</v>
      </c>
      <c r="P236" t="n">
        <v>0</v>
      </c>
      <c r="Q236" t="n">
        <v>0</v>
      </c>
      <c r="R236" s="2" t="inlineStr"/>
    </row>
    <row r="237" ht="15" customHeight="1">
      <c r="A237" t="inlineStr">
        <is>
          <t>A 45654-2022</t>
        </is>
      </c>
      <c r="B237" s="1" t="n">
        <v>44845.67710648148</v>
      </c>
      <c r="C237" s="1" t="n">
        <v>45883</v>
      </c>
      <c r="D237" t="inlineStr">
        <is>
          <t>JÄMTLANDS LÄN</t>
        </is>
      </c>
      <c r="E237" t="inlineStr">
        <is>
          <t>ÖSTERSUND</t>
        </is>
      </c>
      <c r="G237" t="n">
        <v>0.4</v>
      </c>
      <c r="H237" t="n">
        <v>0</v>
      </c>
      <c r="I237" t="n">
        <v>0</v>
      </c>
      <c r="J237" t="n">
        <v>0</v>
      </c>
      <c r="K237" t="n">
        <v>0</v>
      </c>
      <c r="L237" t="n">
        <v>0</v>
      </c>
      <c r="M237" t="n">
        <v>0</v>
      </c>
      <c r="N237" t="n">
        <v>0</v>
      </c>
      <c r="O237" t="n">
        <v>0</v>
      </c>
      <c r="P237" t="n">
        <v>0</v>
      </c>
      <c r="Q237" t="n">
        <v>0</v>
      </c>
      <c r="R237" s="2" t="inlineStr"/>
    </row>
    <row r="238" ht="15" customHeight="1">
      <c r="A238" t="inlineStr">
        <is>
          <t>A 7953-2025</t>
        </is>
      </c>
      <c r="B238" s="1" t="n">
        <v>45707.42392361111</v>
      </c>
      <c r="C238" s="1" t="n">
        <v>45883</v>
      </c>
      <c r="D238" t="inlineStr">
        <is>
          <t>JÄMTLANDS LÄN</t>
        </is>
      </c>
      <c r="E238" t="inlineStr">
        <is>
          <t>ÖSTERSUND</t>
        </is>
      </c>
      <c r="G238" t="n">
        <v>1.8</v>
      </c>
      <c r="H238" t="n">
        <v>0</v>
      </c>
      <c r="I238" t="n">
        <v>0</v>
      </c>
      <c r="J238" t="n">
        <v>0</v>
      </c>
      <c r="K238" t="n">
        <v>0</v>
      </c>
      <c r="L238" t="n">
        <v>0</v>
      </c>
      <c r="M238" t="n">
        <v>0</v>
      </c>
      <c r="N238" t="n">
        <v>0</v>
      </c>
      <c r="O238" t="n">
        <v>0</v>
      </c>
      <c r="P238" t="n">
        <v>0</v>
      </c>
      <c r="Q238" t="n">
        <v>0</v>
      </c>
      <c r="R238" s="2" t="inlineStr"/>
    </row>
    <row r="239" ht="15" customHeight="1">
      <c r="A239" t="inlineStr">
        <is>
          <t>A 68408-2020</t>
        </is>
      </c>
      <c r="B239" s="1" t="n">
        <v>44186</v>
      </c>
      <c r="C239" s="1" t="n">
        <v>45883</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13738-2025</t>
        </is>
      </c>
      <c r="B240" s="1" t="n">
        <v>45737.40131944444</v>
      </c>
      <c r="C240" s="1" t="n">
        <v>45883</v>
      </c>
      <c r="D240" t="inlineStr">
        <is>
          <t>JÄMTLANDS LÄN</t>
        </is>
      </c>
      <c r="E240" t="inlineStr">
        <is>
          <t>ÖSTERSUND</t>
        </is>
      </c>
      <c r="G240" t="n">
        <v>15</v>
      </c>
      <c r="H240" t="n">
        <v>0</v>
      </c>
      <c r="I240" t="n">
        <v>0</v>
      </c>
      <c r="J240" t="n">
        <v>0</v>
      </c>
      <c r="K240" t="n">
        <v>0</v>
      </c>
      <c r="L240" t="n">
        <v>0</v>
      </c>
      <c r="M240" t="n">
        <v>0</v>
      </c>
      <c r="N240" t="n">
        <v>0</v>
      </c>
      <c r="O240" t="n">
        <v>0</v>
      </c>
      <c r="P240" t="n">
        <v>0</v>
      </c>
      <c r="Q240" t="n">
        <v>0</v>
      </c>
      <c r="R240" s="2" t="inlineStr"/>
    </row>
    <row r="241" ht="15" customHeight="1">
      <c r="A241" t="inlineStr">
        <is>
          <t>A 4350-2024</t>
        </is>
      </c>
      <c r="B241" s="1" t="n">
        <v>45324.93804398148</v>
      </c>
      <c r="C241" s="1" t="n">
        <v>45883</v>
      </c>
      <c r="D241" t="inlineStr">
        <is>
          <t>JÄMTLANDS LÄN</t>
        </is>
      </c>
      <c r="E241" t="inlineStr">
        <is>
          <t>ÖSTERSUND</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55365-2024</t>
        </is>
      </c>
      <c r="B242" s="1" t="n">
        <v>45621.86827546296</v>
      </c>
      <c r="C242" s="1" t="n">
        <v>45883</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60349-2024</t>
        </is>
      </c>
      <c r="B243" s="1" t="n">
        <v>45643.42986111111</v>
      </c>
      <c r="C243" s="1" t="n">
        <v>45883</v>
      </c>
      <c r="D243" t="inlineStr">
        <is>
          <t>JÄMTLANDS LÄN</t>
        </is>
      </c>
      <c r="E243" t="inlineStr">
        <is>
          <t>ÖSTERSUND</t>
        </is>
      </c>
      <c r="F243" t="inlineStr">
        <is>
          <t>Sveaskog</t>
        </is>
      </c>
      <c r="G243" t="n">
        <v>16.6</v>
      </c>
      <c r="H243" t="n">
        <v>0</v>
      </c>
      <c r="I243" t="n">
        <v>0</v>
      </c>
      <c r="J243" t="n">
        <v>0</v>
      </c>
      <c r="K243" t="n">
        <v>0</v>
      </c>
      <c r="L243" t="n">
        <v>0</v>
      </c>
      <c r="M243" t="n">
        <v>0</v>
      </c>
      <c r="N243" t="n">
        <v>0</v>
      </c>
      <c r="O243" t="n">
        <v>0</v>
      </c>
      <c r="P243" t="n">
        <v>0</v>
      </c>
      <c r="Q243" t="n">
        <v>0</v>
      </c>
      <c r="R243" s="2" t="inlineStr"/>
    </row>
    <row r="244" ht="15" customHeight="1">
      <c r="A244" t="inlineStr">
        <is>
          <t>A 19664-2025</t>
        </is>
      </c>
      <c r="B244" s="1" t="n">
        <v>45770.6925462963</v>
      </c>
      <c r="C244" s="1" t="n">
        <v>45883</v>
      </c>
      <c r="D244" t="inlineStr">
        <is>
          <t>JÄMTLANDS LÄN</t>
        </is>
      </c>
      <c r="E244" t="inlineStr">
        <is>
          <t>ÖSTERSUND</t>
        </is>
      </c>
      <c r="G244" t="n">
        <v>8.6</v>
      </c>
      <c r="H244" t="n">
        <v>0</v>
      </c>
      <c r="I244" t="n">
        <v>0</v>
      </c>
      <c r="J244" t="n">
        <v>0</v>
      </c>
      <c r="K244" t="n">
        <v>0</v>
      </c>
      <c r="L244" t="n">
        <v>0</v>
      </c>
      <c r="M244" t="n">
        <v>0</v>
      </c>
      <c r="N244" t="n">
        <v>0</v>
      </c>
      <c r="O244" t="n">
        <v>0</v>
      </c>
      <c r="P244" t="n">
        <v>0</v>
      </c>
      <c r="Q244" t="n">
        <v>0</v>
      </c>
      <c r="R244" s="2" t="inlineStr"/>
    </row>
    <row r="245" ht="15" customHeight="1">
      <c r="A245" t="inlineStr">
        <is>
          <t>A 64645-2021</t>
        </is>
      </c>
      <c r="B245" s="1" t="n">
        <v>44511.94629629629</v>
      </c>
      <c r="C245" s="1" t="n">
        <v>45883</v>
      </c>
      <c r="D245" t="inlineStr">
        <is>
          <t>JÄMTLANDS LÄN</t>
        </is>
      </c>
      <c r="E245" t="inlineStr">
        <is>
          <t>ÖSTERSUND</t>
        </is>
      </c>
      <c r="G245" t="n">
        <v>3.2</v>
      </c>
      <c r="H245" t="n">
        <v>0</v>
      </c>
      <c r="I245" t="n">
        <v>0</v>
      </c>
      <c r="J245" t="n">
        <v>0</v>
      </c>
      <c r="K245" t="n">
        <v>0</v>
      </c>
      <c r="L245" t="n">
        <v>0</v>
      </c>
      <c r="M245" t="n">
        <v>0</v>
      </c>
      <c r="N245" t="n">
        <v>0</v>
      </c>
      <c r="O245" t="n">
        <v>0</v>
      </c>
      <c r="P245" t="n">
        <v>0</v>
      </c>
      <c r="Q245" t="n">
        <v>0</v>
      </c>
      <c r="R245" s="2" t="inlineStr"/>
    </row>
    <row r="246" ht="15" customHeight="1">
      <c r="A246" t="inlineStr">
        <is>
          <t>A 31464-2024</t>
        </is>
      </c>
      <c r="B246" s="1" t="n">
        <v>45505.95078703704</v>
      </c>
      <c r="C246" s="1" t="n">
        <v>45883</v>
      </c>
      <c r="D246" t="inlineStr">
        <is>
          <t>JÄMTLANDS LÄN</t>
        </is>
      </c>
      <c r="E246" t="inlineStr">
        <is>
          <t>ÖSTERSUND</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54913-2024</t>
        </is>
      </c>
      <c r="B247" s="1" t="n">
        <v>45618.6917824074</v>
      </c>
      <c r="C247" s="1" t="n">
        <v>45883</v>
      </c>
      <c r="D247" t="inlineStr">
        <is>
          <t>JÄMTLANDS LÄN</t>
        </is>
      </c>
      <c r="E247" t="inlineStr">
        <is>
          <t>ÖSTERSUND</t>
        </is>
      </c>
      <c r="G247" t="n">
        <v>4.7</v>
      </c>
      <c r="H247" t="n">
        <v>0</v>
      </c>
      <c r="I247" t="n">
        <v>0</v>
      </c>
      <c r="J247" t="n">
        <v>0</v>
      </c>
      <c r="K247" t="n">
        <v>0</v>
      </c>
      <c r="L247" t="n">
        <v>0</v>
      </c>
      <c r="M247" t="n">
        <v>0</v>
      </c>
      <c r="N247" t="n">
        <v>0</v>
      </c>
      <c r="O247" t="n">
        <v>0</v>
      </c>
      <c r="P247" t="n">
        <v>0</v>
      </c>
      <c r="Q247" t="n">
        <v>0</v>
      </c>
      <c r="R247" s="2" t="inlineStr"/>
    </row>
    <row r="248" ht="15" customHeight="1">
      <c r="A248" t="inlineStr">
        <is>
          <t>A 50218-2024</t>
        </is>
      </c>
      <c r="B248" s="1" t="n">
        <v>45600.53160879629</v>
      </c>
      <c r="C248" s="1" t="n">
        <v>45883</v>
      </c>
      <c r="D248" t="inlineStr">
        <is>
          <t>JÄMTLANDS LÄN</t>
        </is>
      </c>
      <c r="E248" t="inlineStr">
        <is>
          <t>ÖSTERSUND</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7233-2025</t>
        </is>
      </c>
      <c r="B249" s="1" t="n">
        <v>45702.51765046296</v>
      </c>
      <c r="C249" s="1" t="n">
        <v>45883</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38142-2021</t>
        </is>
      </c>
      <c r="B250" s="1" t="n">
        <v>44405</v>
      </c>
      <c r="C250" s="1" t="n">
        <v>45883</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47022-2024</t>
        </is>
      </c>
      <c r="B251" s="1" t="n">
        <v>45586.40660879629</v>
      </c>
      <c r="C251" s="1" t="n">
        <v>45883</v>
      </c>
      <c r="D251" t="inlineStr">
        <is>
          <t>JÄMTLANDS LÄN</t>
        </is>
      </c>
      <c r="E251" t="inlineStr">
        <is>
          <t>ÖSTERSUND</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30602-2023</t>
        </is>
      </c>
      <c r="B252" s="1" t="n">
        <v>45112</v>
      </c>
      <c r="C252" s="1" t="n">
        <v>45883</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1893-2023</t>
        </is>
      </c>
      <c r="B253" s="1" t="n">
        <v>44937</v>
      </c>
      <c r="C253" s="1" t="n">
        <v>45883</v>
      </c>
      <c r="D253" t="inlineStr">
        <is>
          <t>JÄMTLANDS LÄN</t>
        </is>
      </c>
      <c r="E253" t="inlineStr">
        <is>
          <t>ÖSTERSUND</t>
        </is>
      </c>
      <c r="G253" t="n">
        <v>11</v>
      </c>
      <c r="H253" t="n">
        <v>0</v>
      </c>
      <c r="I253" t="n">
        <v>0</v>
      </c>
      <c r="J253" t="n">
        <v>0</v>
      </c>
      <c r="K253" t="n">
        <v>0</v>
      </c>
      <c r="L253" t="n">
        <v>0</v>
      </c>
      <c r="M253" t="n">
        <v>0</v>
      </c>
      <c r="N253" t="n">
        <v>0</v>
      </c>
      <c r="O253" t="n">
        <v>0</v>
      </c>
      <c r="P253" t="n">
        <v>0</v>
      </c>
      <c r="Q253" t="n">
        <v>0</v>
      </c>
      <c r="R253" s="2" t="inlineStr"/>
    </row>
    <row r="254" ht="15" customHeight="1">
      <c r="A254" t="inlineStr">
        <is>
          <t>A 17574-2022</t>
        </is>
      </c>
      <c r="B254" s="1" t="n">
        <v>44679.92574074074</v>
      </c>
      <c r="C254" s="1" t="n">
        <v>45883</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62225-2022</t>
        </is>
      </c>
      <c r="B255" s="1" t="n">
        <v>44922</v>
      </c>
      <c r="C255" s="1" t="n">
        <v>45883</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11052-2024</t>
        </is>
      </c>
      <c r="B256" s="1" t="n">
        <v>45370</v>
      </c>
      <c r="C256" s="1" t="n">
        <v>45883</v>
      </c>
      <c r="D256" t="inlineStr">
        <is>
          <t>JÄMTLANDS LÄN</t>
        </is>
      </c>
      <c r="E256" t="inlineStr">
        <is>
          <t>ÖSTERSUND</t>
        </is>
      </c>
      <c r="G256" t="n">
        <v>2.3</v>
      </c>
      <c r="H256" t="n">
        <v>0</v>
      </c>
      <c r="I256" t="n">
        <v>0</v>
      </c>
      <c r="J256" t="n">
        <v>0</v>
      </c>
      <c r="K256" t="n">
        <v>0</v>
      </c>
      <c r="L256" t="n">
        <v>0</v>
      </c>
      <c r="M256" t="n">
        <v>0</v>
      </c>
      <c r="N256" t="n">
        <v>0</v>
      </c>
      <c r="O256" t="n">
        <v>0</v>
      </c>
      <c r="P256" t="n">
        <v>0</v>
      </c>
      <c r="Q256" t="n">
        <v>0</v>
      </c>
      <c r="R256" s="2" t="inlineStr"/>
    </row>
    <row r="257" ht="15" customHeight="1">
      <c r="A257" t="inlineStr">
        <is>
          <t>A 9552-2025</t>
        </is>
      </c>
      <c r="B257" s="1" t="n">
        <v>45715.59545138889</v>
      </c>
      <c r="C257" s="1" t="n">
        <v>45883</v>
      </c>
      <c r="D257" t="inlineStr">
        <is>
          <t>JÄMTLANDS LÄN</t>
        </is>
      </c>
      <c r="E257" t="inlineStr">
        <is>
          <t>ÖSTERSUND</t>
        </is>
      </c>
      <c r="G257" t="n">
        <v>1.6</v>
      </c>
      <c r="H257" t="n">
        <v>0</v>
      </c>
      <c r="I257" t="n">
        <v>0</v>
      </c>
      <c r="J257" t="n">
        <v>0</v>
      </c>
      <c r="K257" t="n">
        <v>0</v>
      </c>
      <c r="L257" t="n">
        <v>0</v>
      </c>
      <c r="M257" t="n">
        <v>0</v>
      </c>
      <c r="N257" t="n">
        <v>0</v>
      </c>
      <c r="O257" t="n">
        <v>0</v>
      </c>
      <c r="P257" t="n">
        <v>0</v>
      </c>
      <c r="Q257" t="n">
        <v>0</v>
      </c>
      <c r="R257" s="2" t="inlineStr"/>
    </row>
    <row r="258" ht="15" customHeight="1">
      <c r="A258" t="inlineStr">
        <is>
          <t>A 4500-2025</t>
        </is>
      </c>
      <c r="B258" s="1" t="n">
        <v>45686.6859375</v>
      </c>
      <c r="C258" s="1" t="n">
        <v>45883</v>
      </c>
      <c r="D258" t="inlineStr">
        <is>
          <t>JÄMTLANDS LÄN</t>
        </is>
      </c>
      <c r="E258" t="inlineStr">
        <is>
          <t>ÖSTERSUND</t>
        </is>
      </c>
      <c r="G258" t="n">
        <v>28.4</v>
      </c>
      <c r="H258" t="n">
        <v>0</v>
      </c>
      <c r="I258" t="n">
        <v>0</v>
      </c>
      <c r="J258" t="n">
        <v>0</v>
      </c>
      <c r="K258" t="n">
        <v>0</v>
      </c>
      <c r="L258" t="n">
        <v>0</v>
      </c>
      <c r="M258" t="n">
        <v>0</v>
      </c>
      <c r="N258" t="n">
        <v>0</v>
      </c>
      <c r="O258" t="n">
        <v>0</v>
      </c>
      <c r="P258" t="n">
        <v>0</v>
      </c>
      <c r="Q258" t="n">
        <v>0</v>
      </c>
      <c r="R258" s="2" t="inlineStr"/>
    </row>
    <row r="259" ht="15" customHeight="1">
      <c r="A259" t="inlineStr">
        <is>
          <t>A 10305-2023</t>
        </is>
      </c>
      <c r="B259" s="1" t="n">
        <v>44986</v>
      </c>
      <c r="C259" s="1" t="n">
        <v>45883</v>
      </c>
      <c r="D259" t="inlineStr">
        <is>
          <t>JÄMTLANDS LÄN</t>
        </is>
      </c>
      <c r="E259" t="inlineStr">
        <is>
          <t>ÖSTERSUND</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18627-2024</t>
        </is>
      </c>
      <c r="B260" s="1" t="n">
        <v>45425.96443287037</v>
      </c>
      <c r="C260" s="1" t="n">
        <v>45883</v>
      </c>
      <c r="D260" t="inlineStr">
        <is>
          <t>JÄMTLANDS LÄN</t>
        </is>
      </c>
      <c r="E260" t="inlineStr">
        <is>
          <t>ÖSTERSUND</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44051-2021</t>
        </is>
      </c>
      <c r="B261" s="1" t="n">
        <v>44434</v>
      </c>
      <c r="C261" s="1" t="n">
        <v>45883</v>
      </c>
      <c r="D261" t="inlineStr">
        <is>
          <t>JÄMTLANDS LÄN</t>
        </is>
      </c>
      <c r="E261" t="inlineStr">
        <is>
          <t>ÖSTERSUND</t>
        </is>
      </c>
      <c r="G261" t="n">
        <v>2.9</v>
      </c>
      <c r="H261" t="n">
        <v>0</v>
      </c>
      <c r="I261" t="n">
        <v>0</v>
      </c>
      <c r="J261" t="n">
        <v>0</v>
      </c>
      <c r="K261" t="n">
        <v>0</v>
      </c>
      <c r="L261" t="n">
        <v>0</v>
      </c>
      <c r="M261" t="n">
        <v>0</v>
      </c>
      <c r="N261" t="n">
        <v>0</v>
      </c>
      <c r="O261" t="n">
        <v>0</v>
      </c>
      <c r="P261" t="n">
        <v>0</v>
      </c>
      <c r="Q261" t="n">
        <v>0</v>
      </c>
      <c r="R261" s="2" t="inlineStr"/>
    </row>
    <row r="262" ht="15" customHeight="1">
      <c r="A262" t="inlineStr">
        <is>
          <t>A 15669-2025</t>
        </is>
      </c>
      <c r="B262" s="1" t="n">
        <v>45748.4396412037</v>
      </c>
      <c r="C262" s="1" t="n">
        <v>45883</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2984-2024</t>
        </is>
      </c>
      <c r="B263" s="1" t="n">
        <v>45315</v>
      </c>
      <c r="C263" s="1" t="n">
        <v>45883</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7573-2022</t>
        </is>
      </c>
      <c r="B264" s="1" t="n">
        <v>44607</v>
      </c>
      <c r="C264" s="1" t="n">
        <v>45883</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27343-2022</t>
        </is>
      </c>
      <c r="B265" s="1" t="n">
        <v>44742</v>
      </c>
      <c r="C265" s="1" t="n">
        <v>45883</v>
      </c>
      <c r="D265" t="inlineStr">
        <is>
          <t>JÄMTLANDS LÄN</t>
        </is>
      </c>
      <c r="E265" t="inlineStr">
        <is>
          <t>ÖSTERSUND</t>
        </is>
      </c>
      <c r="G265" t="n">
        <v>1.5</v>
      </c>
      <c r="H265" t="n">
        <v>0</v>
      </c>
      <c r="I265" t="n">
        <v>0</v>
      </c>
      <c r="J265" t="n">
        <v>0</v>
      </c>
      <c r="K265" t="n">
        <v>0</v>
      </c>
      <c r="L265" t="n">
        <v>0</v>
      </c>
      <c r="M265" t="n">
        <v>0</v>
      </c>
      <c r="N265" t="n">
        <v>0</v>
      </c>
      <c r="O265" t="n">
        <v>0</v>
      </c>
      <c r="P265" t="n">
        <v>0</v>
      </c>
      <c r="Q265" t="n">
        <v>0</v>
      </c>
      <c r="R265" s="2" t="inlineStr"/>
    </row>
    <row r="266" ht="15" customHeight="1">
      <c r="A266" t="inlineStr">
        <is>
          <t>A 14514-2025</t>
        </is>
      </c>
      <c r="B266" s="1" t="n">
        <v>45741.6369212963</v>
      </c>
      <c r="C266" s="1" t="n">
        <v>45883</v>
      </c>
      <c r="D266" t="inlineStr">
        <is>
          <t>JÄMTLANDS LÄN</t>
        </is>
      </c>
      <c r="E266" t="inlineStr">
        <is>
          <t>ÖSTERSUND</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43557-2024</t>
        </is>
      </c>
      <c r="B267" s="1" t="n">
        <v>45569.39229166666</v>
      </c>
      <c r="C267" s="1" t="n">
        <v>45883</v>
      </c>
      <c r="D267" t="inlineStr">
        <is>
          <t>JÄMTLANDS LÄN</t>
        </is>
      </c>
      <c r="E267" t="inlineStr">
        <is>
          <t>ÖSTERSUND</t>
        </is>
      </c>
      <c r="G267" t="n">
        <v>3.6</v>
      </c>
      <c r="H267" t="n">
        <v>0</v>
      </c>
      <c r="I267" t="n">
        <v>0</v>
      </c>
      <c r="J267" t="n">
        <v>0</v>
      </c>
      <c r="K267" t="n">
        <v>0</v>
      </c>
      <c r="L267" t="n">
        <v>0</v>
      </c>
      <c r="M267" t="n">
        <v>0</v>
      </c>
      <c r="N267" t="n">
        <v>0</v>
      </c>
      <c r="O267" t="n">
        <v>0</v>
      </c>
      <c r="P267" t="n">
        <v>0</v>
      </c>
      <c r="Q267" t="n">
        <v>0</v>
      </c>
      <c r="R267" s="2" t="inlineStr"/>
    </row>
    <row r="268" ht="15" customHeight="1">
      <c r="A268" t="inlineStr">
        <is>
          <t>A 9744-2025</t>
        </is>
      </c>
      <c r="B268" s="1" t="n">
        <v>45716.4484375</v>
      </c>
      <c r="C268" s="1" t="n">
        <v>45883</v>
      </c>
      <c r="D268" t="inlineStr">
        <is>
          <t>JÄMTLANDS LÄN</t>
        </is>
      </c>
      <c r="E268" t="inlineStr">
        <is>
          <t>ÖSTERSUND</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25385-2024</t>
        </is>
      </c>
      <c r="B269" s="1" t="n">
        <v>45462.96347222223</v>
      </c>
      <c r="C269" s="1" t="n">
        <v>45883</v>
      </c>
      <c r="D269" t="inlineStr">
        <is>
          <t>JÄMTLANDS LÄN</t>
        </is>
      </c>
      <c r="E269" t="inlineStr">
        <is>
          <t>ÖSTERSUND</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33002-2021</t>
        </is>
      </c>
      <c r="B270" s="1" t="n">
        <v>44375</v>
      </c>
      <c r="C270" s="1" t="n">
        <v>45883</v>
      </c>
      <c r="D270" t="inlineStr">
        <is>
          <t>JÄMTLANDS LÄN</t>
        </is>
      </c>
      <c r="E270" t="inlineStr">
        <is>
          <t>ÖSTERSUND</t>
        </is>
      </c>
      <c r="G270" t="n">
        <v>0.2</v>
      </c>
      <c r="H270" t="n">
        <v>0</v>
      </c>
      <c r="I270" t="n">
        <v>0</v>
      </c>
      <c r="J270" t="n">
        <v>0</v>
      </c>
      <c r="K270" t="n">
        <v>0</v>
      </c>
      <c r="L270" t="n">
        <v>0</v>
      </c>
      <c r="M270" t="n">
        <v>0</v>
      </c>
      <c r="N270" t="n">
        <v>0</v>
      </c>
      <c r="O270" t="n">
        <v>0</v>
      </c>
      <c r="P270" t="n">
        <v>0</v>
      </c>
      <c r="Q270" t="n">
        <v>0</v>
      </c>
      <c r="R270" s="2" t="inlineStr"/>
    </row>
    <row r="271" ht="15" customHeight="1">
      <c r="A271" t="inlineStr">
        <is>
          <t>A 36406-2023</t>
        </is>
      </c>
      <c r="B271" s="1" t="n">
        <v>45149</v>
      </c>
      <c r="C271" s="1" t="n">
        <v>45883</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59691-2024</t>
        </is>
      </c>
      <c r="B272" s="1" t="n">
        <v>45639.40684027778</v>
      </c>
      <c r="C272" s="1" t="n">
        <v>45883</v>
      </c>
      <c r="D272" t="inlineStr">
        <is>
          <t>JÄMTLANDS LÄN</t>
        </is>
      </c>
      <c r="E272" t="inlineStr">
        <is>
          <t>ÖSTERSUND</t>
        </is>
      </c>
      <c r="F272" t="inlineStr">
        <is>
          <t>SCA</t>
        </is>
      </c>
      <c r="G272" t="n">
        <v>15.9</v>
      </c>
      <c r="H272" t="n">
        <v>0</v>
      </c>
      <c r="I272" t="n">
        <v>0</v>
      </c>
      <c r="J272" t="n">
        <v>0</v>
      </c>
      <c r="K272" t="n">
        <v>0</v>
      </c>
      <c r="L272" t="n">
        <v>0</v>
      </c>
      <c r="M272" t="n">
        <v>0</v>
      </c>
      <c r="N272" t="n">
        <v>0</v>
      </c>
      <c r="O272" t="n">
        <v>0</v>
      </c>
      <c r="P272" t="n">
        <v>0</v>
      </c>
      <c r="Q272" t="n">
        <v>0</v>
      </c>
      <c r="R272" s="2" t="inlineStr"/>
    </row>
    <row r="273" ht="15" customHeight="1">
      <c r="A273" t="inlineStr">
        <is>
          <t>A 16753-2025</t>
        </is>
      </c>
      <c r="B273" s="1" t="n">
        <v>45754.56839120371</v>
      </c>
      <c r="C273" s="1" t="n">
        <v>45883</v>
      </c>
      <c r="D273" t="inlineStr">
        <is>
          <t>JÄMTLANDS LÄN</t>
        </is>
      </c>
      <c r="E273" t="inlineStr">
        <is>
          <t>ÖSTERSUND</t>
        </is>
      </c>
      <c r="G273" t="n">
        <v>0.5</v>
      </c>
      <c r="H273" t="n">
        <v>0</v>
      </c>
      <c r="I273" t="n">
        <v>0</v>
      </c>
      <c r="J273" t="n">
        <v>0</v>
      </c>
      <c r="K273" t="n">
        <v>0</v>
      </c>
      <c r="L273" t="n">
        <v>0</v>
      </c>
      <c r="M273" t="n">
        <v>0</v>
      </c>
      <c r="N273" t="n">
        <v>0</v>
      </c>
      <c r="O273" t="n">
        <v>0</v>
      </c>
      <c r="P273" t="n">
        <v>0</v>
      </c>
      <c r="Q273" t="n">
        <v>0</v>
      </c>
      <c r="R273" s="2" t="inlineStr"/>
    </row>
    <row r="274" ht="15" customHeight="1">
      <c r="A274" t="inlineStr">
        <is>
          <t>A 18577-2025</t>
        </is>
      </c>
      <c r="B274" s="1" t="n">
        <v>45763</v>
      </c>
      <c r="C274" s="1" t="n">
        <v>45883</v>
      </c>
      <c r="D274" t="inlineStr">
        <is>
          <t>JÄMTLANDS LÄN</t>
        </is>
      </c>
      <c r="E274" t="inlineStr">
        <is>
          <t>ÖSTERSUND</t>
        </is>
      </c>
      <c r="G274" t="n">
        <v>3.5</v>
      </c>
      <c r="H274" t="n">
        <v>0</v>
      </c>
      <c r="I274" t="n">
        <v>0</v>
      </c>
      <c r="J274" t="n">
        <v>0</v>
      </c>
      <c r="K274" t="n">
        <v>0</v>
      </c>
      <c r="L274" t="n">
        <v>0</v>
      </c>
      <c r="M274" t="n">
        <v>0</v>
      </c>
      <c r="N274" t="n">
        <v>0</v>
      </c>
      <c r="O274" t="n">
        <v>0</v>
      </c>
      <c r="P274" t="n">
        <v>0</v>
      </c>
      <c r="Q274" t="n">
        <v>0</v>
      </c>
      <c r="R274" s="2" t="inlineStr"/>
    </row>
    <row r="275" ht="15" customHeight="1">
      <c r="A275" t="inlineStr">
        <is>
          <t>A 60174-2022</t>
        </is>
      </c>
      <c r="B275" s="1" t="n">
        <v>44909.9640162037</v>
      </c>
      <c r="C275" s="1" t="n">
        <v>45883</v>
      </c>
      <c r="D275" t="inlineStr">
        <is>
          <t>JÄMTLANDS LÄN</t>
        </is>
      </c>
      <c r="E275" t="inlineStr">
        <is>
          <t>ÖSTERSUND</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20634-2023</t>
        </is>
      </c>
      <c r="B276" s="1" t="n">
        <v>45057.9441087963</v>
      </c>
      <c r="C276" s="1" t="n">
        <v>45883</v>
      </c>
      <c r="D276" t="inlineStr">
        <is>
          <t>JÄMTLANDS LÄN</t>
        </is>
      </c>
      <c r="E276" t="inlineStr">
        <is>
          <t>ÖSTERSUND</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21667-2024</t>
        </is>
      </c>
      <c r="B277" s="1" t="n">
        <v>45442.38511574074</v>
      </c>
      <c r="C277" s="1" t="n">
        <v>45883</v>
      </c>
      <c r="D277" t="inlineStr">
        <is>
          <t>JÄMTLANDS LÄN</t>
        </is>
      </c>
      <c r="E277" t="inlineStr">
        <is>
          <t>ÖSTERSUND</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16335-2025</t>
        </is>
      </c>
      <c r="B278" s="1" t="n">
        <v>45751.36518518518</v>
      </c>
      <c r="C278" s="1" t="n">
        <v>45883</v>
      </c>
      <c r="D278" t="inlineStr">
        <is>
          <t>JÄMTLANDS LÄN</t>
        </is>
      </c>
      <c r="E278" t="inlineStr">
        <is>
          <t>ÖSTERSUND</t>
        </is>
      </c>
      <c r="G278" t="n">
        <v>3.7</v>
      </c>
      <c r="H278" t="n">
        <v>0</v>
      </c>
      <c r="I278" t="n">
        <v>0</v>
      </c>
      <c r="J278" t="n">
        <v>0</v>
      </c>
      <c r="K278" t="n">
        <v>0</v>
      </c>
      <c r="L278" t="n">
        <v>0</v>
      </c>
      <c r="M278" t="n">
        <v>0</v>
      </c>
      <c r="N278" t="n">
        <v>0</v>
      </c>
      <c r="O278" t="n">
        <v>0</v>
      </c>
      <c r="P278" t="n">
        <v>0</v>
      </c>
      <c r="Q278" t="n">
        <v>0</v>
      </c>
      <c r="R278" s="2" t="inlineStr"/>
    </row>
    <row r="279" ht="15" customHeight="1">
      <c r="A279" t="inlineStr">
        <is>
          <t>A 64309-2023</t>
        </is>
      </c>
      <c r="B279" s="1" t="n">
        <v>45280</v>
      </c>
      <c r="C279" s="1" t="n">
        <v>45883</v>
      </c>
      <c r="D279" t="inlineStr">
        <is>
          <t>JÄMTLANDS LÄN</t>
        </is>
      </c>
      <c r="E279" t="inlineStr">
        <is>
          <t>ÖSTERSUND</t>
        </is>
      </c>
      <c r="G279" t="n">
        <v>0.8</v>
      </c>
      <c r="H279" t="n">
        <v>0</v>
      </c>
      <c r="I279" t="n">
        <v>0</v>
      </c>
      <c r="J279" t="n">
        <v>0</v>
      </c>
      <c r="K279" t="n">
        <v>0</v>
      </c>
      <c r="L279" t="n">
        <v>0</v>
      </c>
      <c r="M279" t="n">
        <v>0</v>
      </c>
      <c r="N279" t="n">
        <v>0</v>
      </c>
      <c r="O279" t="n">
        <v>0</v>
      </c>
      <c r="P279" t="n">
        <v>0</v>
      </c>
      <c r="Q279" t="n">
        <v>0</v>
      </c>
      <c r="R279" s="2" t="inlineStr"/>
    </row>
    <row r="280" ht="15" customHeight="1">
      <c r="A280" t="inlineStr">
        <is>
          <t>A 27124-2023</t>
        </is>
      </c>
      <c r="B280" s="1" t="n">
        <v>45096</v>
      </c>
      <c r="C280" s="1" t="n">
        <v>45883</v>
      </c>
      <c r="D280" t="inlineStr">
        <is>
          <t>JÄMTLANDS LÄN</t>
        </is>
      </c>
      <c r="E280" t="inlineStr">
        <is>
          <t>ÖSTERSUND</t>
        </is>
      </c>
      <c r="G280" t="n">
        <v>1.9</v>
      </c>
      <c r="H280" t="n">
        <v>0</v>
      </c>
      <c r="I280" t="n">
        <v>0</v>
      </c>
      <c r="J280" t="n">
        <v>0</v>
      </c>
      <c r="K280" t="n">
        <v>0</v>
      </c>
      <c r="L280" t="n">
        <v>0</v>
      </c>
      <c r="M280" t="n">
        <v>0</v>
      </c>
      <c r="N280" t="n">
        <v>0</v>
      </c>
      <c r="O280" t="n">
        <v>0</v>
      </c>
      <c r="P280" t="n">
        <v>0</v>
      </c>
      <c r="Q280" t="n">
        <v>0</v>
      </c>
      <c r="R280" s="2" t="inlineStr"/>
    </row>
    <row r="281" ht="15" customHeight="1">
      <c r="A281" t="inlineStr">
        <is>
          <t>A 53714-2022</t>
        </is>
      </c>
      <c r="B281" s="1" t="n">
        <v>44880</v>
      </c>
      <c r="C281" s="1" t="n">
        <v>45883</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12998-2025</t>
        </is>
      </c>
      <c r="B282" s="1" t="n">
        <v>45734.48991898148</v>
      </c>
      <c r="C282" s="1" t="n">
        <v>45883</v>
      </c>
      <c r="D282" t="inlineStr">
        <is>
          <t>JÄMTLANDS LÄN</t>
        </is>
      </c>
      <c r="E282" t="inlineStr">
        <is>
          <t>ÖSTERSUND</t>
        </is>
      </c>
      <c r="F282" t="inlineStr">
        <is>
          <t>SCA</t>
        </is>
      </c>
      <c r="G282" t="n">
        <v>5.7</v>
      </c>
      <c r="H282" t="n">
        <v>0</v>
      </c>
      <c r="I282" t="n">
        <v>0</v>
      </c>
      <c r="J282" t="n">
        <v>0</v>
      </c>
      <c r="K282" t="n">
        <v>0</v>
      </c>
      <c r="L282" t="n">
        <v>0</v>
      </c>
      <c r="M282" t="n">
        <v>0</v>
      </c>
      <c r="N282" t="n">
        <v>0</v>
      </c>
      <c r="O282" t="n">
        <v>0</v>
      </c>
      <c r="P282" t="n">
        <v>0</v>
      </c>
      <c r="Q282" t="n">
        <v>0</v>
      </c>
      <c r="R282" s="2" t="inlineStr"/>
    </row>
    <row r="283" ht="15" customHeight="1">
      <c r="A283" t="inlineStr">
        <is>
          <t>A 32225-2024</t>
        </is>
      </c>
      <c r="B283" s="1" t="n">
        <v>45511.92825231481</v>
      </c>
      <c r="C283" s="1" t="n">
        <v>45883</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60767-2022</t>
        </is>
      </c>
      <c r="B284" s="1" t="n">
        <v>44914.35599537037</v>
      </c>
      <c r="C284" s="1" t="n">
        <v>45883</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2228-2024</t>
        </is>
      </c>
      <c r="B285" s="1" t="n">
        <v>45309</v>
      </c>
      <c r="C285" s="1" t="n">
        <v>45883</v>
      </c>
      <c r="D285" t="inlineStr">
        <is>
          <t>JÄMTLANDS LÄN</t>
        </is>
      </c>
      <c r="E285" t="inlineStr">
        <is>
          <t>ÖSTERSUND</t>
        </is>
      </c>
      <c r="G285" t="n">
        <v>2.5</v>
      </c>
      <c r="H285" t="n">
        <v>0</v>
      </c>
      <c r="I285" t="n">
        <v>0</v>
      </c>
      <c r="J285" t="n">
        <v>0</v>
      </c>
      <c r="K285" t="n">
        <v>0</v>
      </c>
      <c r="L285" t="n">
        <v>0</v>
      </c>
      <c r="M285" t="n">
        <v>0</v>
      </c>
      <c r="N285" t="n">
        <v>0</v>
      </c>
      <c r="O285" t="n">
        <v>0</v>
      </c>
      <c r="P285" t="n">
        <v>0</v>
      </c>
      <c r="Q285" t="n">
        <v>0</v>
      </c>
      <c r="R285" s="2" t="inlineStr"/>
    </row>
    <row r="286" ht="15" customHeight="1">
      <c r="A286" t="inlineStr">
        <is>
          <t>A 61530-2023</t>
        </is>
      </c>
      <c r="B286" s="1" t="n">
        <v>45261</v>
      </c>
      <c r="C286" s="1" t="n">
        <v>45883</v>
      </c>
      <c r="D286" t="inlineStr">
        <is>
          <t>JÄMTLANDS LÄN</t>
        </is>
      </c>
      <c r="E286" t="inlineStr">
        <is>
          <t>ÖSTERSUND</t>
        </is>
      </c>
      <c r="F286" t="inlineStr">
        <is>
          <t>Övriga statliga verk och myndigheter</t>
        </is>
      </c>
      <c r="G286" t="n">
        <v>1</v>
      </c>
      <c r="H286" t="n">
        <v>0</v>
      </c>
      <c r="I286" t="n">
        <v>0</v>
      </c>
      <c r="J286" t="n">
        <v>0</v>
      </c>
      <c r="K286" t="n">
        <v>0</v>
      </c>
      <c r="L286" t="n">
        <v>0</v>
      </c>
      <c r="M286" t="n">
        <v>0</v>
      </c>
      <c r="N286" t="n">
        <v>0</v>
      </c>
      <c r="O286" t="n">
        <v>0</v>
      </c>
      <c r="P286" t="n">
        <v>0</v>
      </c>
      <c r="Q286" t="n">
        <v>0</v>
      </c>
      <c r="R286" s="2" t="inlineStr"/>
    </row>
    <row r="287" ht="15" customHeight="1">
      <c r="A287" t="inlineStr">
        <is>
          <t>A 20400-2024</t>
        </is>
      </c>
      <c r="B287" s="1" t="n">
        <v>45435.55372685185</v>
      </c>
      <c r="C287" s="1" t="n">
        <v>45883</v>
      </c>
      <c r="D287" t="inlineStr">
        <is>
          <t>JÄMTLANDS LÄN</t>
        </is>
      </c>
      <c r="E287" t="inlineStr">
        <is>
          <t>ÖSTERSUND</t>
        </is>
      </c>
      <c r="G287" t="n">
        <v>0.9</v>
      </c>
      <c r="H287" t="n">
        <v>0</v>
      </c>
      <c r="I287" t="n">
        <v>0</v>
      </c>
      <c r="J287" t="n">
        <v>0</v>
      </c>
      <c r="K287" t="n">
        <v>0</v>
      </c>
      <c r="L287" t="n">
        <v>0</v>
      </c>
      <c r="M287" t="n">
        <v>0</v>
      </c>
      <c r="N287" t="n">
        <v>0</v>
      </c>
      <c r="O287" t="n">
        <v>0</v>
      </c>
      <c r="P287" t="n">
        <v>0</v>
      </c>
      <c r="Q287" t="n">
        <v>0</v>
      </c>
      <c r="R287" s="2" t="inlineStr"/>
    </row>
    <row r="288" ht="15" customHeight="1">
      <c r="A288" t="inlineStr">
        <is>
          <t>A 43252-2023</t>
        </is>
      </c>
      <c r="B288" s="1" t="n">
        <v>45183</v>
      </c>
      <c r="C288" s="1" t="n">
        <v>45883</v>
      </c>
      <c r="D288" t="inlineStr">
        <is>
          <t>JÄMTLANDS LÄN</t>
        </is>
      </c>
      <c r="E288" t="inlineStr">
        <is>
          <t>ÖSTERSUND</t>
        </is>
      </c>
      <c r="G288" t="n">
        <v>2.9</v>
      </c>
      <c r="H288" t="n">
        <v>0</v>
      </c>
      <c r="I288" t="n">
        <v>0</v>
      </c>
      <c r="J288" t="n">
        <v>0</v>
      </c>
      <c r="K288" t="n">
        <v>0</v>
      </c>
      <c r="L288" t="n">
        <v>0</v>
      </c>
      <c r="M288" t="n">
        <v>0</v>
      </c>
      <c r="N288" t="n">
        <v>0</v>
      </c>
      <c r="O288" t="n">
        <v>0</v>
      </c>
      <c r="P288" t="n">
        <v>0</v>
      </c>
      <c r="Q288" t="n">
        <v>0</v>
      </c>
      <c r="R288" s="2" t="inlineStr"/>
    </row>
    <row r="289" ht="15" customHeight="1">
      <c r="A289" t="inlineStr">
        <is>
          <t>A 28179-2024</t>
        </is>
      </c>
      <c r="B289" s="1" t="n">
        <v>45477.26746527778</v>
      </c>
      <c r="C289" s="1" t="n">
        <v>45883</v>
      </c>
      <c r="D289" t="inlineStr">
        <is>
          <t>JÄMTLANDS LÄN</t>
        </is>
      </c>
      <c r="E289" t="inlineStr">
        <is>
          <t>ÖSTERSUND</t>
        </is>
      </c>
      <c r="G289" t="n">
        <v>2.2</v>
      </c>
      <c r="H289" t="n">
        <v>0</v>
      </c>
      <c r="I289" t="n">
        <v>0</v>
      </c>
      <c r="J289" t="n">
        <v>0</v>
      </c>
      <c r="K289" t="n">
        <v>0</v>
      </c>
      <c r="L289" t="n">
        <v>0</v>
      </c>
      <c r="M289" t="n">
        <v>0</v>
      </c>
      <c r="N289" t="n">
        <v>0</v>
      </c>
      <c r="O289" t="n">
        <v>0</v>
      </c>
      <c r="P289" t="n">
        <v>0</v>
      </c>
      <c r="Q289" t="n">
        <v>0</v>
      </c>
      <c r="R289" s="2" t="inlineStr"/>
    </row>
    <row r="290" ht="15" customHeight="1">
      <c r="A290" t="inlineStr">
        <is>
          <t>A 14518-2023</t>
        </is>
      </c>
      <c r="B290" s="1" t="n">
        <v>45012</v>
      </c>
      <c r="C290" s="1" t="n">
        <v>45883</v>
      </c>
      <c r="D290" t="inlineStr">
        <is>
          <t>JÄMTLANDS LÄN</t>
        </is>
      </c>
      <c r="E290" t="inlineStr">
        <is>
          <t>ÖSTERSUND</t>
        </is>
      </c>
      <c r="G290" t="n">
        <v>14.4</v>
      </c>
      <c r="H290" t="n">
        <v>0</v>
      </c>
      <c r="I290" t="n">
        <v>0</v>
      </c>
      <c r="J290" t="n">
        <v>0</v>
      </c>
      <c r="K290" t="n">
        <v>0</v>
      </c>
      <c r="L290" t="n">
        <v>0</v>
      </c>
      <c r="M290" t="n">
        <v>0</v>
      </c>
      <c r="N290" t="n">
        <v>0</v>
      </c>
      <c r="O290" t="n">
        <v>0</v>
      </c>
      <c r="P290" t="n">
        <v>0</v>
      </c>
      <c r="Q290" t="n">
        <v>0</v>
      </c>
      <c r="R290" s="2" t="inlineStr"/>
    </row>
    <row r="291" ht="15" customHeight="1">
      <c r="A291" t="inlineStr">
        <is>
          <t>A 60088-2024</t>
        </is>
      </c>
      <c r="B291" s="1" t="n">
        <v>45642.54847222222</v>
      </c>
      <c r="C291" s="1" t="n">
        <v>45883</v>
      </c>
      <c r="D291" t="inlineStr">
        <is>
          <t>JÄMTLANDS LÄN</t>
        </is>
      </c>
      <c r="E291" t="inlineStr">
        <is>
          <t>ÖSTERSUND</t>
        </is>
      </c>
      <c r="G291" t="n">
        <v>5</v>
      </c>
      <c r="H291" t="n">
        <v>0</v>
      </c>
      <c r="I291" t="n">
        <v>0</v>
      </c>
      <c r="J291" t="n">
        <v>0</v>
      </c>
      <c r="K291" t="n">
        <v>0</v>
      </c>
      <c r="L291" t="n">
        <v>0</v>
      </c>
      <c r="M291" t="n">
        <v>0</v>
      </c>
      <c r="N291" t="n">
        <v>0</v>
      </c>
      <c r="O291" t="n">
        <v>0</v>
      </c>
      <c r="P291" t="n">
        <v>0</v>
      </c>
      <c r="Q291" t="n">
        <v>0</v>
      </c>
      <c r="R291" s="2" t="inlineStr"/>
    </row>
    <row r="292" ht="15" customHeight="1">
      <c r="A292" t="inlineStr">
        <is>
          <t>A 1322-2021</t>
        </is>
      </c>
      <c r="B292" s="1" t="n">
        <v>44208</v>
      </c>
      <c r="C292" s="1" t="n">
        <v>45883</v>
      </c>
      <c r="D292" t="inlineStr">
        <is>
          <t>JÄMTLANDS LÄN</t>
        </is>
      </c>
      <c r="E292" t="inlineStr">
        <is>
          <t>ÖSTERSUND</t>
        </is>
      </c>
      <c r="G292" t="n">
        <v>1.1</v>
      </c>
      <c r="H292" t="n">
        <v>0</v>
      </c>
      <c r="I292" t="n">
        <v>0</v>
      </c>
      <c r="J292" t="n">
        <v>0</v>
      </c>
      <c r="K292" t="n">
        <v>0</v>
      </c>
      <c r="L292" t="n">
        <v>0</v>
      </c>
      <c r="M292" t="n">
        <v>0</v>
      </c>
      <c r="N292" t="n">
        <v>0</v>
      </c>
      <c r="O292" t="n">
        <v>0</v>
      </c>
      <c r="P292" t="n">
        <v>0</v>
      </c>
      <c r="Q292" t="n">
        <v>0</v>
      </c>
      <c r="R292" s="2" t="inlineStr"/>
    </row>
    <row r="293" ht="15" customHeight="1">
      <c r="A293" t="inlineStr">
        <is>
          <t>A 27906-2024</t>
        </is>
      </c>
      <c r="B293" s="1" t="n">
        <v>45475.94585648148</v>
      </c>
      <c r="C293" s="1" t="n">
        <v>45883</v>
      </c>
      <c r="D293" t="inlineStr">
        <is>
          <t>JÄMTLANDS LÄN</t>
        </is>
      </c>
      <c r="E293" t="inlineStr">
        <is>
          <t>ÖSTERSUND</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4135-2023</t>
        </is>
      </c>
      <c r="B294" s="1" t="n">
        <v>44952</v>
      </c>
      <c r="C294" s="1" t="n">
        <v>45883</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7549-2025</t>
        </is>
      </c>
      <c r="B295" s="1" t="n">
        <v>45705.57454861111</v>
      </c>
      <c r="C295" s="1" t="n">
        <v>45883</v>
      </c>
      <c r="D295" t="inlineStr">
        <is>
          <t>JÄMTLANDS LÄN</t>
        </is>
      </c>
      <c r="E295" t="inlineStr">
        <is>
          <t>ÖSTERSUND</t>
        </is>
      </c>
      <c r="F295" t="inlineStr">
        <is>
          <t>SCA</t>
        </is>
      </c>
      <c r="G295" t="n">
        <v>6.4</v>
      </c>
      <c r="H295" t="n">
        <v>0</v>
      </c>
      <c r="I295" t="n">
        <v>0</v>
      </c>
      <c r="J295" t="n">
        <v>0</v>
      </c>
      <c r="K295" t="n">
        <v>0</v>
      </c>
      <c r="L295" t="n">
        <v>0</v>
      </c>
      <c r="M295" t="n">
        <v>0</v>
      </c>
      <c r="N295" t="n">
        <v>0</v>
      </c>
      <c r="O295" t="n">
        <v>0</v>
      </c>
      <c r="P295" t="n">
        <v>0</v>
      </c>
      <c r="Q295" t="n">
        <v>0</v>
      </c>
      <c r="R295" s="2" t="inlineStr"/>
    </row>
    <row r="296" ht="15" customHeight="1">
      <c r="A296" t="inlineStr">
        <is>
          <t>A 13166-2023</t>
        </is>
      </c>
      <c r="B296" s="1" t="n">
        <v>45002</v>
      </c>
      <c r="C296" s="1" t="n">
        <v>45883</v>
      </c>
      <c r="D296" t="inlineStr">
        <is>
          <t>JÄMTLANDS LÄN</t>
        </is>
      </c>
      <c r="E296" t="inlineStr">
        <is>
          <t>ÖSTERSUND</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6067-2025</t>
        </is>
      </c>
      <c r="B297" s="1" t="n">
        <v>45696.34405092592</v>
      </c>
      <c r="C297" s="1" t="n">
        <v>45883</v>
      </c>
      <c r="D297" t="inlineStr">
        <is>
          <t>JÄMTLANDS LÄN</t>
        </is>
      </c>
      <c r="E297" t="inlineStr">
        <is>
          <t>ÖSTERSUND</t>
        </is>
      </c>
      <c r="G297" t="n">
        <v>2.1</v>
      </c>
      <c r="H297" t="n">
        <v>0</v>
      </c>
      <c r="I297" t="n">
        <v>0</v>
      </c>
      <c r="J297" t="n">
        <v>0</v>
      </c>
      <c r="K297" t="n">
        <v>0</v>
      </c>
      <c r="L297" t="n">
        <v>0</v>
      </c>
      <c r="M297" t="n">
        <v>0</v>
      </c>
      <c r="N297" t="n">
        <v>0</v>
      </c>
      <c r="O297" t="n">
        <v>0</v>
      </c>
      <c r="P297" t="n">
        <v>0</v>
      </c>
      <c r="Q297" t="n">
        <v>0</v>
      </c>
      <c r="R297" s="2" t="inlineStr"/>
    </row>
    <row r="298" ht="15" customHeight="1">
      <c r="A298" t="inlineStr">
        <is>
          <t>A 54663-2022</t>
        </is>
      </c>
      <c r="B298" s="1" t="n">
        <v>44883.44737268519</v>
      </c>
      <c r="C298" s="1" t="n">
        <v>45883</v>
      </c>
      <c r="D298" t="inlineStr">
        <is>
          <t>JÄMTLANDS LÄN</t>
        </is>
      </c>
      <c r="E298" t="inlineStr">
        <is>
          <t>ÖSTERSUND</t>
        </is>
      </c>
      <c r="G298" t="n">
        <v>0.8</v>
      </c>
      <c r="H298" t="n">
        <v>0</v>
      </c>
      <c r="I298" t="n">
        <v>0</v>
      </c>
      <c r="J298" t="n">
        <v>0</v>
      </c>
      <c r="K298" t="n">
        <v>0</v>
      </c>
      <c r="L298" t="n">
        <v>0</v>
      </c>
      <c r="M298" t="n">
        <v>0</v>
      </c>
      <c r="N298" t="n">
        <v>0</v>
      </c>
      <c r="O298" t="n">
        <v>0</v>
      </c>
      <c r="P298" t="n">
        <v>0</v>
      </c>
      <c r="Q298" t="n">
        <v>0</v>
      </c>
      <c r="R298" s="2" t="inlineStr"/>
    </row>
    <row r="299" ht="15" customHeight="1">
      <c r="A299" t="inlineStr">
        <is>
          <t>A 18578-2025</t>
        </is>
      </c>
      <c r="B299" s="1" t="n">
        <v>45763</v>
      </c>
      <c r="C299" s="1" t="n">
        <v>45883</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9109-2024</t>
        </is>
      </c>
      <c r="B300" s="1" t="n">
        <v>45357.96106481482</v>
      </c>
      <c r="C300" s="1" t="n">
        <v>45883</v>
      </c>
      <c r="D300" t="inlineStr">
        <is>
          <t>JÄMTLANDS LÄN</t>
        </is>
      </c>
      <c r="E300" t="inlineStr">
        <is>
          <t>ÖSTERSUND</t>
        </is>
      </c>
      <c r="G300" t="n">
        <v>17.1</v>
      </c>
      <c r="H300" t="n">
        <v>0</v>
      </c>
      <c r="I300" t="n">
        <v>0</v>
      </c>
      <c r="J300" t="n">
        <v>0</v>
      </c>
      <c r="K300" t="n">
        <v>0</v>
      </c>
      <c r="L300" t="n">
        <v>0</v>
      </c>
      <c r="M300" t="n">
        <v>0</v>
      </c>
      <c r="N300" t="n">
        <v>0</v>
      </c>
      <c r="O300" t="n">
        <v>0</v>
      </c>
      <c r="P300" t="n">
        <v>0</v>
      </c>
      <c r="Q300" t="n">
        <v>0</v>
      </c>
      <c r="R300" s="2" t="inlineStr"/>
    </row>
    <row r="301" ht="15" customHeight="1">
      <c r="A301" t="inlineStr">
        <is>
          <t>A 43511-2022</t>
        </is>
      </c>
      <c r="B301" s="1" t="n">
        <v>44837.36724537037</v>
      </c>
      <c r="C301" s="1" t="n">
        <v>45883</v>
      </c>
      <c r="D301" t="inlineStr">
        <is>
          <t>JÄMTLANDS LÄN</t>
        </is>
      </c>
      <c r="E301" t="inlineStr">
        <is>
          <t>ÖSTERSUND</t>
        </is>
      </c>
      <c r="G301" t="n">
        <v>3.7</v>
      </c>
      <c r="H301" t="n">
        <v>0</v>
      </c>
      <c r="I301" t="n">
        <v>0</v>
      </c>
      <c r="J301" t="n">
        <v>0</v>
      </c>
      <c r="K301" t="n">
        <v>0</v>
      </c>
      <c r="L301" t="n">
        <v>0</v>
      </c>
      <c r="M301" t="n">
        <v>0</v>
      </c>
      <c r="N301" t="n">
        <v>0</v>
      </c>
      <c r="O301" t="n">
        <v>0</v>
      </c>
      <c r="P301" t="n">
        <v>0</v>
      </c>
      <c r="Q301" t="n">
        <v>0</v>
      </c>
      <c r="R301" s="2" t="inlineStr"/>
    </row>
    <row r="302" ht="15" customHeight="1">
      <c r="A302" t="inlineStr">
        <is>
          <t>A 14118-2025</t>
        </is>
      </c>
      <c r="B302" s="1" t="n">
        <v>45740.46325231482</v>
      </c>
      <c r="C302" s="1" t="n">
        <v>45883</v>
      </c>
      <c r="D302" t="inlineStr">
        <is>
          <t>JÄMTLANDS LÄN</t>
        </is>
      </c>
      <c r="E302" t="inlineStr">
        <is>
          <t>ÖSTERSUND</t>
        </is>
      </c>
      <c r="G302" t="n">
        <v>3.6</v>
      </c>
      <c r="H302" t="n">
        <v>0</v>
      </c>
      <c r="I302" t="n">
        <v>0</v>
      </c>
      <c r="J302" t="n">
        <v>0</v>
      </c>
      <c r="K302" t="n">
        <v>0</v>
      </c>
      <c r="L302" t="n">
        <v>0</v>
      </c>
      <c r="M302" t="n">
        <v>0</v>
      </c>
      <c r="N302" t="n">
        <v>0</v>
      </c>
      <c r="O302" t="n">
        <v>0</v>
      </c>
      <c r="P302" t="n">
        <v>0</v>
      </c>
      <c r="Q302" t="n">
        <v>0</v>
      </c>
      <c r="R302" s="2" t="inlineStr"/>
    </row>
    <row r="303" ht="15" customHeight="1">
      <c r="A303" t="inlineStr">
        <is>
          <t>A 2730-2025</t>
        </is>
      </c>
      <c r="B303" s="1" t="n">
        <v>45677.44393518518</v>
      </c>
      <c r="C303" s="1" t="n">
        <v>45883</v>
      </c>
      <c r="D303" t="inlineStr">
        <is>
          <t>JÄMTLANDS LÄN</t>
        </is>
      </c>
      <c r="E303" t="inlineStr">
        <is>
          <t>ÖSTERSUND</t>
        </is>
      </c>
      <c r="G303" t="n">
        <v>2.5</v>
      </c>
      <c r="H303" t="n">
        <v>0</v>
      </c>
      <c r="I303" t="n">
        <v>0</v>
      </c>
      <c r="J303" t="n">
        <v>0</v>
      </c>
      <c r="K303" t="n">
        <v>0</v>
      </c>
      <c r="L303" t="n">
        <v>0</v>
      </c>
      <c r="M303" t="n">
        <v>0</v>
      </c>
      <c r="N303" t="n">
        <v>0</v>
      </c>
      <c r="O303" t="n">
        <v>0</v>
      </c>
      <c r="P303" t="n">
        <v>0</v>
      </c>
      <c r="Q303" t="n">
        <v>0</v>
      </c>
      <c r="R303" s="2" t="inlineStr"/>
    </row>
    <row r="304" ht="15" customHeight="1">
      <c r="A304" t="inlineStr">
        <is>
          <t>A 61256-2022</t>
        </is>
      </c>
      <c r="B304" s="1" t="n">
        <v>44909</v>
      </c>
      <c r="C304" s="1" t="n">
        <v>45883</v>
      </c>
      <c r="D304" t="inlineStr">
        <is>
          <t>JÄMTLANDS LÄN</t>
        </is>
      </c>
      <c r="E304" t="inlineStr">
        <is>
          <t>ÖSTERSUND</t>
        </is>
      </c>
      <c r="G304" t="n">
        <v>3.9</v>
      </c>
      <c r="H304" t="n">
        <v>0</v>
      </c>
      <c r="I304" t="n">
        <v>0</v>
      </c>
      <c r="J304" t="n">
        <v>0</v>
      </c>
      <c r="K304" t="n">
        <v>0</v>
      </c>
      <c r="L304" t="n">
        <v>0</v>
      </c>
      <c r="M304" t="n">
        <v>0</v>
      </c>
      <c r="N304" t="n">
        <v>0</v>
      </c>
      <c r="O304" t="n">
        <v>0</v>
      </c>
      <c r="P304" t="n">
        <v>0</v>
      </c>
      <c r="Q304" t="n">
        <v>0</v>
      </c>
      <c r="R304" s="2" t="inlineStr"/>
    </row>
    <row r="305" ht="15" customHeight="1">
      <c r="A305" t="inlineStr">
        <is>
          <t>A 42151-2023</t>
        </is>
      </c>
      <c r="B305" s="1" t="n">
        <v>45177.93612268518</v>
      </c>
      <c r="C305" s="1" t="n">
        <v>45883</v>
      </c>
      <c r="D305" t="inlineStr">
        <is>
          <t>JÄMTLANDS LÄN</t>
        </is>
      </c>
      <c r="E305" t="inlineStr">
        <is>
          <t>ÖSTERSUND</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43016-2024</t>
        </is>
      </c>
      <c r="B306" s="1" t="n">
        <v>45567.39192129629</v>
      </c>
      <c r="C306" s="1" t="n">
        <v>45883</v>
      </c>
      <c r="D306" t="inlineStr">
        <is>
          <t>JÄMTLANDS LÄN</t>
        </is>
      </c>
      <c r="E306" t="inlineStr">
        <is>
          <t>ÖSTERSUND</t>
        </is>
      </c>
      <c r="G306" t="n">
        <v>5.3</v>
      </c>
      <c r="H306" t="n">
        <v>0</v>
      </c>
      <c r="I306" t="n">
        <v>0</v>
      </c>
      <c r="J306" t="n">
        <v>0</v>
      </c>
      <c r="K306" t="n">
        <v>0</v>
      </c>
      <c r="L306" t="n">
        <v>0</v>
      </c>
      <c r="M306" t="n">
        <v>0</v>
      </c>
      <c r="N306" t="n">
        <v>0</v>
      </c>
      <c r="O306" t="n">
        <v>0</v>
      </c>
      <c r="P306" t="n">
        <v>0</v>
      </c>
      <c r="Q306" t="n">
        <v>0</v>
      </c>
      <c r="R306" s="2" t="inlineStr"/>
    </row>
    <row r="307" ht="15" customHeight="1">
      <c r="A307" t="inlineStr">
        <is>
          <t>A 60560-2022</t>
        </is>
      </c>
      <c r="B307" s="1" t="n">
        <v>44911.54984953703</v>
      </c>
      <c r="C307" s="1" t="n">
        <v>45883</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25187-2024</t>
        </is>
      </c>
      <c r="B308" s="1" t="n">
        <v>45462.56172453704</v>
      </c>
      <c r="C308" s="1" t="n">
        <v>45883</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51865-2024</t>
        </is>
      </c>
      <c r="B309" s="1" t="n">
        <v>45607.55260416667</v>
      </c>
      <c r="C309" s="1" t="n">
        <v>45883</v>
      </c>
      <c r="D309" t="inlineStr">
        <is>
          <t>JÄMTLANDS LÄN</t>
        </is>
      </c>
      <c r="E309" t="inlineStr">
        <is>
          <t>ÖSTERSUND</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58364-2024</t>
        </is>
      </c>
      <c r="B310" s="1" t="n">
        <v>45632.68814814815</v>
      </c>
      <c r="C310" s="1" t="n">
        <v>45883</v>
      </c>
      <c r="D310" t="inlineStr">
        <is>
          <t>JÄMTLANDS LÄN</t>
        </is>
      </c>
      <c r="E310" t="inlineStr">
        <is>
          <t>ÖSTERSUND</t>
        </is>
      </c>
      <c r="G310" t="n">
        <v>5.5</v>
      </c>
      <c r="H310" t="n">
        <v>0</v>
      </c>
      <c r="I310" t="n">
        <v>0</v>
      </c>
      <c r="J310" t="n">
        <v>0</v>
      </c>
      <c r="K310" t="n">
        <v>0</v>
      </c>
      <c r="L310" t="n">
        <v>0</v>
      </c>
      <c r="M310" t="n">
        <v>0</v>
      </c>
      <c r="N310" t="n">
        <v>0</v>
      </c>
      <c r="O310" t="n">
        <v>0</v>
      </c>
      <c r="P310" t="n">
        <v>0</v>
      </c>
      <c r="Q310" t="n">
        <v>0</v>
      </c>
      <c r="R310" s="2" t="inlineStr"/>
    </row>
    <row r="311" ht="15" customHeight="1">
      <c r="A311" t="inlineStr">
        <is>
          <t>A 7941-2025</t>
        </is>
      </c>
      <c r="B311" s="1" t="n">
        <v>45707</v>
      </c>
      <c r="C311" s="1" t="n">
        <v>45883</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44489-2024</t>
        </is>
      </c>
      <c r="B312" s="1" t="n">
        <v>45574.38943287037</v>
      </c>
      <c r="C312" s="1" t="n">
        <v>45883</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55-2023</t>
        </is>
      </c>
      <c r="B313" s="1" t="n">
        <v>44928</v>
      </c>
      <c r="C313" s="1" t="n">
        <v>45883</v>
      </c>
      <c r="D313" t="inlineStr">
        <is>
          <t>JÄMTLANDS LÄN</t>
        </is>
      </c>
      <c r="E313" t="inlineStr">
        <is>
          <t>ÖSTERSUND</t>
        </is>
      </c>
      <c r="G313" t="n">
        <v>4</v>
      </c>
      <c r="H313" t="n">
        <v>0</v>
      </c>
      <c r="I313" t="n">
        <v>0</v>
      </c>
      <c r="J313" t="n">
        <v>0</v>
      </c>
      <c r="K313" t="n">
        <v>0</v>
      </c>
      <c r="L313" t="n">
        <v>0</v>
      </c>
      <c r="M313" t="n">
        <v>0</v>
      </c>
      <c r="N313" t="n">
        <v>0</v>
      </c>
      <c r="O313" t="n">
        <v>0</v>
      </c>
      <c r="P313" t="n">
        <v>0</v>
      </c>
      <c r="Q313" t="n">
        <v>0</v>
      </c>
      <c r="R313" s="2" t="inlineStr"/>
    </row>
    <row r="314" ht="15" customHeight="1">
      <c r="A314" t="inlineStr">
        <is>
          <t>A 56111-2022</t>
        </is>
      </c>
      <c r="B314" s="1" t="n">
        <v>44889</v>
      </c>
      <c r="C314" s="1" t="n">
        <v>45883</v>
      </c>
      <c r="D314" t="inlineStr">
        <is>
          <t>JÄMTLANDS LÄN</t>
        </is>
      </c>
      <c r="E314" t="inlineStr">
        <is>
          <t>ÖSTERSUND</t>
        </is>
      </c>
      <c r="G314" t="n">
        <v>2.5</v>
      </c>
      <c r="H314" t="n">
        <v>0</v>
      </c>
      <c r="I314" t="n">
        <v>0</v>
      </c>
      <c r="J314" t="n">
        <v>0</v>
      </c>
      <c r="K314" t="n">
        <v>0</v>
      </c>
      <c r="L314" t="n">
        <v>0</v>
      </c>
      <c r="M314" t="n">
        <v>0</v>
      </c>
      <c r="N314" t="n">
        <v>0</v>
      </c>
      <c r="O314" t="n">
        <v>0</v>
      </c>
      <c r="P314" t="n">
        <v>0</v>
      </c>
      <c r="Q314" t="n">
        <v>0</v>
      </c>
      <c r="R314" s="2" t="inlineStr"/>
    </row>
    <row r="315" ht="15" customHeight="1">
      <c r="A315" t="inlineStr">
        <is>
          <t>A 4521-2025</t>
        </is>
      </c>
      <c r="B315" s="1" t="n">
        <v>45686</v>
      </c>
      <c r="C315" s="1" t="n">
        <v>45883</v>
      </c>
      <c r="D315" t="inlineStr">
        <is>
          <t>JÄMTLANDS LÄN</t>
        </is>
      </c>
      <c r="E315" t="inlineStr">
        <is>
          <t>ÖSTERSUND</t>
        </is>
      </c>
      <c r="G315" t="n">
        <v>28.4</v>
      </c>
      <c r="H315" t="n">
        <v>0</v>
      </c>
      <c r="I315" t="n">
        <v>0</v>
      </c>
      <c r="J315" t="n">
        <v>0</v>
      </c>
      <c r="K315" t="n">
        <v>0</v>
      </c>
      <c r="L315" t="n">
        <v>0</v>
      </c>
      <c r="M315" t="n">
        <v>0</v>
      </c>
      <c r="N315" t="n">
        <v>0</v>
      </c>
      <c r="O315" t="n">
        <v>0</v>
      </c>
      <c r="P315" t="n">
        <v>0</v>
      </c>
      <c r="Q315" t="n">
        <v>0</v>
      </c>
      <c r="R315" s="2" t="inlineStr"/>
    </row>
    <row r="316" ht="15" customHeight="1">
      <c r="A316" t="inlineStr">
        <is>
          <t>A 61449-2024</t>
        </is>
      </c>
      <c r="B316" s="1" t="n">
        <v>45646.48988425926</v>
      </c>
      <c r="C316" s="1" t="n">
        <v>45883</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61450-2024</t>
        </is>
      </c>
      <c r="B317" s="1" t="n">
        <v>45646.49012731481</v>
      </c>
      <c r="C317" s="1" t="n">
        <v>45883</v>
      </c>
      <c r="D317" t="inlineStr">
        <is>
          <t>JÄMTLANDS LÄN</t>
        </is>
      </c>
      <c r="E317" t="inlineStr">
        <is>
          <t>ÖSTERSUND</t>
        </is>
      </c>
      <c r="F317" t="inlineStr">
        <is>
          <t>SCA</t>
        </is>
      </c>
      <c r="G317" t="n">
        <v>0.5</v>
      </c>
      <c r="H317" t="n">
        <v>0</v>
      </c>
      <c r="I317" t="n">
        <v>0</v>
      </c>
      <c r="J317" t="n">
        <v>0</v>
      </c>
      <c r="K317" t="n">
        <v>0</v>
      </c>
      <c r="L317" t="n">
        <v>0</v>
      </c>
      <c r="M317" t="n">
        <v>0</v>
      </c>
      <c r="N317" t="n">
        <v>0</v>
      </c>
      <c r="O317" t="n">
        <v>0</v>
      </c>
      <c r="P317" t="n">
        <v>0</v>
      </c>
      <c r="Q317" t="n">
        <v>0</v>
      </c>
      <c r="R317" s="2" t="inlineStr"/>
    </row>
    <row r="318" ht="15" customHeight="1">
      <c r="A318" t="inlineStr">
        <is>
          <t>A 61451-2024</t>
        </is>
      </c>
      <c r="B318" s="1" t="n">
        <v>45646.49017361111</v>
      </c>
      <c r="C318" s="1" t="n">
        <v>45883</v>
      </c>
      <c r="D318" t="inlineStr">
        <is>
          <t>JÄMTLANDS LÄN</t>
        </is>
      </c>
      <c r="E318" t="inlineStr">
        <is>
          <t>ÖSTERSUND</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6578-2021</t>
        </is>
      </c>
      <c r="B319" s="1" t="n">
        <v>44236</v>
      </c>
      <c r="C319" s="1" t="n">
        <v>45883</v>
      </c>
      <c r="D319" t="inlineStr">
        <is>
          <t>JÄMTLANDS LÄN</t>
        </is>
      </c>
      <c r="E319" t="inlineStr">
        <is>
          <t>ÖSTERSUND</t>
        </is>
      </c>
      <c r="G319" t="n">
        <v>1.4</v>
      </c>
      <c r="H319" t="n">
        <v>0</v>
      </c>
      <c r="I319" t="n">
        <v>0</v>
      </c>
      <c r="J319" t="n">
        <v>0</v>
      </c>
      <c r="K319" t="n">
        <v>0</v>
      </c>
      <c r="L319" t="n">
        <v>0</v>
      </c>
      <c r="M319" t="n">
        <v>0</v>
      </c>
      <c r="N319" t="n">
        <v>0</v>
      </c>
      <c r="O319" t="n">
        <v>0</v>
      </c>
      <c r="P319" t="n">
        <v>0</v>
      </c>
      <c r="Q319" t="n">
        <v>0</v>
      </c>
      <c r="R319" s="2" t="inlineStr"/>
    </row>
    <row r="320" ht="15" customHeight="1">
      <c r="A320" t="inlineStr">
        <is>
          <t>A 51826-2024</t>
        </is>
      </c>
      <c r="B320" s="1" t="n">
        <v>45607.50137731482</v>
      </c>
      <c r="C320" s="1" t="n">
        <v>45883</v>
      </c>
      <c r="D320" t="inlineStr">
        <is>
          <t>JÄMTLANDS LÄN</t>
        </is>
      </c>
      <c r="E320" t="inlineStr">
        <is>
          <t>ÖSTERSUND</t>
        </is>
      </c>
      <c r="G320" t="n">
        <v>1.1</v>
      </c>
      <c r="H320" t="n">
        <v>0</v>
      </c>
      <c r="I320" t="n">
        <v>0</v>
      </c>
      <c r="J320" t="n">
        <v>0</v>
      </c>
      <c r="K320" t="n">
        <v>0</v>
      </c>
      <c r="L320" t="n">
        <v>0</v>
      </c>
      <c r="M320" t="n">
        <v>0</v>
      </c>
      <c r="N320" t="n">
        <v>0</v>
      </c>
      <c r="O320" t="n">
        <v>0</v>
      </c>
      <c r="P320" t="n">
        <v>0</v>
      </c>
      <c r="Q320" t="n">
        <v>0</v>
      </c>
      <c r="R320" s="2" t="inlineStr"/>
    </row>
    <row r="321" ht="15" customHeight="1">
      <c r="A321" t="inlineStr">
        <is>
          <t>A 17570-2025</t>
        </is>
      </c>
      <c r="B321" s="1" t="n">
        <v>45757.64563657407</v>
      </c>
      <c r="C321" s="1" t="n">
        <v>45883</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60681-2022</t>
        </is>
      </c>
      <c r="B322" s="1" t="n">
        <v>44911.93994212963</v>
      </c>
      <c r="C322" s="1" t="n">
        <v>45883</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28181-2024</t>
        </is>
      </c>
      <c r="B323" s="1" t="n">
        <v>45477.28482638889</v>
      </c>
      <c r="C323" s="1" t="n">
        <v>45883</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55302-2021</t>
        </is>
      </c>
      <c r="B324" s="1" t="n">
        <v>44475</v>
      </c>
      <c r="C324" s="1" t="n">
        <v>45883</v>
      </c>
      <c r="D324" t="inlineStr">
        <is>
          <t>JÄMTLANDS LÄN</t>
        </is>
      </c>
      <c r="E324" t="inlineStr">
        <is>
          <t>ÖSTERSUND</t>
        </is>
      </c>
      <c r="G324" t="n">
        <v>0.3</v>
      </c>
      <c r="H324" t="n">
        <v>0</v>
      </c>
      <c r="I324" t="n">
        <v>0</v>
      </c>
      <c r="J324" t="n">
        <v>0</v>
      </c>
      <c r="K324" t="n">
        <v>0</v>
      </c>
      <c r="L324" t="n">
        <v>0</v>
      </c>
      <c r="M324" t="n">
        <v>0</v>
      </c>
      <c r="N324" t="n">
        <v>0</v>
      </c>
      <c r="O324" t="n">
        <v>0</v>
      </c>
      <c r="P324" t="n">
        <v>0</v>
      </c>
      <c r="Q324" t="n">
        <v>0</v>
      </c>
      <c r="R324" s="2" t="inlineStr"/>
    </row>
    <row r="325" ht="15" customHeight="1">
      <c r="A325" t="inlineStr">
        <is>
          <t>A 48696-2024</t>
        </is>
      </c>
      <c r="B325" s="1" t="n">
        <v>45593.51123842593</v>
      </c>
      <c r="C325" s="1" t="n">
        <v>45883</v>
      </c>
      <c r="D325" t="inlineStr">
        <is>
          <t>JÄMTLANDS LÄN</t>
        </is>
      </c>
      <c r="E325" t="inlineStr">
        <is>
          <t>ÖSTERSUND</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22126-2021</t>
        </is>
      </c>
      <c r="B326" s="1" t="n">
        <v>44323</v>
      </c>
      <c r="C326" s="1" t="n">
        <v>45883</v>
      </c>
      <c r="D326" t="inlineStr">
        <is>
          <t>JÄMTLANDS LÄN</t>
        </is>
      </c>
      <c r="E326" t="inlineStr">
        <is>
          <t>ÖSTERSUND</t>
        </is>
      </c>
      <c r="G326" t="n">
        <v>1.4</v>
      </c>
      <c r="H326" t="n">
        <v>0</v>
      </c>
      <c r="I326" t="n">
        <v>0</v>
      </c>
      <c r="J326" t="n">
        <v>0</v>
      </c>
      <c r="K326" t="n">
        <v>0</v>
      </c>
      <c r="L326" t="n">
        <v>0</v>
      </c>
      <c r="M326" t="n">
        <v>0</v>
      </c>
      <c r="N326" t="n">
        <v>0</v>
      </c>
      <c r="O326" t="n">
        <v>0</v>
      </c>
      <c r="P326" t="n">
        <v>0</v>
      </c>
      <c r="Q326" t="n">
        <v>0</v>
      </c>
      <c r="R326" s="2" t="inlineStr"/>
    </row>
    <row r="327" ht="15" customHeight="1">
      <c r="A327" t="inlineStr">
        <is>
          <t>A 25535-2023</t>
        </is>
      </c>
      <c r="B327" s="1" t="n">
        <v>45089.54944444444</v>
      </c>
      <c r="C327" s="1" t="n">
        <v>45883</v>
      </c>
      <c r="D327" t="inlineStr">
        <is>
          <t>JÄMTLANDS LÄN</t>
        </is>
      </c>
      <c r="E327" t="inlineStr">
        <is>
          <t>ÖSTERSUND</t>
        </is>
      </c>
      <c r="G327" t="n">
        <v>1</v>
      </c>
      <c r="H327" t="n">
        <v>0</v>
      </c>
      <c r="I327" t="n">
        <v>0</v>
      </c>
      <c r="J327" t="n">
        <v>0</v>
      </c>
      <c r="K327" t="n">
        <v>0</v>
      </c>
      <c r="L327" t="n">
        <v>0</v>
      </c>
      <c r="M327" t="n">
        <v>0</v>
      </c>
      <c r="N327" t="n">
        <v>0</v>
      </c>
      <c r="O327" t="n">
        <v>0</v>
      </c>
      <c r="P327" t="n">
        <v>0</v>
      </c>
      <c r="Q327" t="n">
        <v>0</v>
      </c>
      <c r="R327" s="2" t="inlineStr"/>
    </row>
    <row r="328" ht="15" customHeight="1">
      <c r="A328" t="inlineStr">
        <is>
          <t>A 846-2024</t>
        </is>
      </c>
      <c r="B328" s="1" t="n">
        <v>45300</v>
      </c>
      <c r="C328" s="1" t="n">
        <v>45883</v>
      </c>
      <c r="D328" t="inlineStr">
        <is>
          <t>JÄMTLANDS LÄN</t>
        </is>
      </c>
      <c r="E328" t="inlineStr">
        <is>
          <t>ÖSTERSUND</t>
        </is>
      </c>
      <c r="G328" t="n">
        <v>2.8</v>
      </c>
      <c r="H328" t="n">
        <v>0</v>
      </c>
      <c r="I328" t="n">
        <v>0</v>
      </c>
      <c r="J328" t="n">
        <v>0</v>
      </c>
      <c r="K328" t="n">
        <v>0</v>
      </c>
      <c r="L328" t="n">
        <v>0</v>
      </c>
      <c r="M328" t="n">
        <v>0</v>
      </c>
      <c r="N328" t="n">
        <v>0</v>
      </c>
      <c r="O328" t="n">
        <v>0</v>
      </c>
      <c r="P328" t="n">
        <v>0</v>
      </c>
      <c r="Q328" t="n">
        <v>0</v>
      </c>
      <c r="R328" s="2" t="inlineStr"/>
    </row>
    <row r="329" ht="15" customHeight="1">
      <c r="A329" t="inlineStr">
        <is>
          <t>A 6048-2024</t>
        </is>
      </c>
      <c r="B329" s="1" t="n">
        <v>45336</v>
      </c>
      <c r="C329" s="1" t="n">
        <v>45883</v>
      </c>
      <c r="D329" t="inlineStr">
        <is>
          <t>JÄMTLANDS LÄN</t>
        </is>
      </c>
      <c r="E329" t="inlineStr">
        <is>
          <t>ÖSTERSUND</t>
        </is>
      </c>
      <c r="G329" t="n">
        <v>0.7</v>
      </c>
      <c r="H329" t="n">
        <v>0</v>
      </c>
      <c r="I329" t="n">
        <v>0</v>
      </c>
      <c r="J329" t="n">
        <v>0</v>
      </c>
      <c r="K329" t="n">
        <v>0</v>
      </c>
      <c r="L329" t="n">
        <v>0</v>
      </c>
      <c r="M329" t="n">
        <v>0</v>
      </c>
      <c r="N329" t="n">
        <v>0</v>
      </c>
      <c r="O329" t="n">
        <v>0</v>
      </c>
      <c r="P329" t="n">
        <v>0</v>
      </c>
      <c r="Q329" t="n">
        <v>0</v>
      </c>
      <c r="R329" s="2" t="inlineStr"/>
    </row>
    <row r="330" ht="15" customHeight="1">
      <c r="A330" t="inlineStr">
        <is>
          <t>A 39975-2024</t>
        </is>
      </c>
      <c r="B330" s="1" t="n">
        <v>45553.60474537037</v>
      </c>
      <c r="C330" s="1" t="n">
        <v>45883</v>
      </c>
      <c r="D330" t="inlineStr">
        <is>
          <t>JÄMTLANDS LÄN</t>
        </is>
      </c>
      <c r="E330" t="inlineStr">
        <is>
          <t>ÖSTERSUND</t>
        </is>
      </c>
      <c r="G330" t="n">
        <v>3.8</v>
      </c>
      <c r="H330" t="n">
        <v>0</v>
      </c>
      <c r="I330" t="n">
        <v>0</v>
      </c>
      <c r="J330" t="n">
        <v>0</v>
      </c>
      <c r="K330" t="n">
        <v>0</v>
      </c>
      <c r="L330" t="n">
        <v>0</v>
      </c>
      <c r="M330" t="n">
        <v>0</v>
      </c>
      <c r="N330" t="n">
        <v>0</v>
      </c>
      <c r="O330" t="n">
        <v>0</v>
      </c>
      <c r="P330" t="n">
        <v>0</v>
      </c>
      <c r="Q330" t="n">
        <v>0</v>
      </c>
      <c r="R330" s="2" t="inlineStr"/>
    </row>
    <row r="331" ht="15" customHeight="1">
      <c r="A331" t="inlineStr">
        <is>
          <t>A 51936-2023</t>
        </is>
      </c>
      <c r="B331" s="1" t="n">
        <v>45223.5036574074</v>
      </c>
      <c r="C331" s="1" t="n">
        <v>45883</v>
      </c>
      <c r="D331" t="inlineStr">
        <is>
          <t>JÄMTLANDS LÄN</t>
        </is>
      </c>
      <c r="E331" t="inlineStr">
        <is>
          <t>ÖSTERSUND</t>
        </is>
      </c>
      <c r="G331" t="n">
        <v>8.4</v>
      </c>
      <c r="H331" t="n">
        <v>0</v>
      </c>
      <c r="I331" t="n">
        <v>0</v>
      </c>
      <c r="J331" t="n">
        <v>0</v>
      </c>
      <c r="K331" t="n">
        <v>0</v>
      </c>
      <c r="L331" t="n">
        <v>0</v>
      </c>
      <c r="M331" t="n">
        <v>0</v>
      </c>
      <c r="N331" t="n">
        <v>0</v>
      </c>
      <c r="O331" t="n">
        <v>0</v>
      </c>
      <c r="P331" t="n">
        <v>0</v>
      </c>
      <c r="Q331" t="n">
        <v>0</v>
      </c>
      <c r="R331" s="2" t="inlineStr"/>
    </row>
    <row r="332" ht="15" customHeight="1">
      <c r="A332" t="inlineStr">
        <is>
          <t>A 51941-2023</t>
        </is>
      </c>
      <c r="B332" s="1" t="n">
        <v>45223</v>
      </c>
      <c r="C332" s="1" t="n">
        <v>45883</v>
      </c>
      <c r="D332" t="inlineStr">
        <is>
          <t>JÄMTLANDS LÄN</t>
        </is>
      </c>
      <c r="E332" t="inlineStr">
        <is>
          <t>ÖSTERSUND</t>
        </is>
      </c>
      <c r="G332" t="n">
        <v>4.6</v>
      </c>
      <c r="H332" t="n">
        <v>0</v>
      </c>
      <c r="I332" t="n">
        <v>0</v>
      </c>
      <c r="J332" t="n">
        <v>0</v>
      </c>
      <c r="K332" t="n">
        <v>0</v>
      </c>
      <c r="L332" t="n">
        <v>0</v>
      </c>
      <c r="M332" t="n">
        <v>0</v>
      </c>
      <c r="N332" t="n">
        <v>0</v>
      </c>
      <c r="O332" t="n">
        <v>0</v>
      </c>
      <c r="P332" t="n">
        <v>0</v>
      </c>
      <c r="Q332" t="n">
        <v>0</v>
      </c>
      <c r="R332" s="2" t="inlineStr"/>
    </row>
    <row r="333" ht="15" customHeight="1">
      <c r="A333" t="inlineStr">
        <is>
          <t>A 14523-2023</t>
        </is>
      </c>
      <c r="B333" s="1" t="n">
        <v>45012</v>
      </c>
      <c r="C333" s="1" t="n">
        <v>45883</v>
      </c>
      <c r="D333" t="inlineStr">
        <is>
          <t>JÄMTLANDS LÄN</t>
        </is>
      </c>
      <c r="E333" t="inlineStr">
        <is>
          <t>ÖSTERSUND</t>
        </is>
      </c>
      <c r="G333" t="n">
        <v>4.5</v>
      </c>
      <c r="H333" t="n">
        <v>0</v>
      </c>
      <c r="I333" t="n">
        <v>0</v>
      </c>
      <c r="J333" t="n">
        <v>0</v>
      </c>
      <c r="K333" t="n">
        <v>0</v>
      </c>
      <c r="L333" t="n">
        <v>0</v>
      </c>
      <c r="M333" t="n">
        <v>0</v>
      </c>
      <c r="N333" t="n">
        <v>0</v>
      </c>
      <c r="O333" t="n">
        <v>0</v>
      </c>
      <c r="P333" t="n">
        <v>0</v>
      </c>
      <c r="Q333" t="n">
        <v>0</v>
      </c>
      <c r="R333" s="2" t="inlineStr"/>
    </row>
    <row r="334" ht="15" customHeight="1">
      <c r="A334" t="inlineStr">
        <is>
          <t>A 13282-2023</t>
        </is>
      </c>
      <c r="B334" s="1" t="n">
        <v>45004</v>
      </c>
      <c r="C334" s="1" t="n">
        <v>45883</v>
      </c>
      <c r="D334" t="inlineStr">
        <is>
          <t>JÄMTLANDS LÄN</t>
        </is>
      </c>
      <c r="E334" t="inlineStr">
        <is>
          <t>ÖSTERSUND</t>
        </is>
      </c>
      <c r="G334" t="n">
        <v>28.5</v>
      </c>
      <c r="H334" t="n">
        <v>0</v>
      </c>
      <c r="I334" t="n">
        <v>0</v>
      </c>
      <c r="J334" t="n">
        <v>0</v>
      </c>
      <c r="K334" t="n">
        <v>0</v>
      </c>
      <c r="L334" t="n">
        <v>0</v>
      </c>
      <c r="M334" t="n">
        <v>0</v>
      </c>
      <c r="N334" t="n">
        <v>0</v>
      </c>
      <c r="O334" t="n">
        <v>0</v>
      </c>
      <c r="P334" t="n">
        <v>0</v>
      </c>
      <c r="Q334" t="n">
        <v>0</v>
      </c>
      <c r="R334" s="2" t="inlineStr"/>
    </row>
    <row r="335" ht="15" customHeight="1">
      <c r="A335" t="inlineStr">
        <is>
          <t>A 54973-2023</t>
        </is>
      </c>
      <c r="B335" s="1" t="n">
        <v>45236.92776620371</v>
      </c>
      <c r="C335" s="1" t="n">
        <v>45883</v>
      </c>
      <c r="D335" t="inlineStr">
        <is>
          <t>JÄMTLANDS LÄN</t>
        </is>
      </c>
      <c r="E335" t="inlineStr">
        <is>
          <t>ÖSTERSUND</t>
        </is>
      </c>
      <c r="G335" t="n">
        <v>15.4</v>
      </c>
      <c r="H335" t="n">
        <v>0</v>
      </c>
      <c r="I335" t="n">
        <v>0</v>
      </c>
      <c r="J335" t="n">
        <v>0</v>
      </c>
      <c r="K335" t="n">
        <v>0</v>
      </c>
      <c r="L335" t="n">
        <v>0</v>
      </c>
      <c r="M335" t="n">
        <v>0</v>
      </c>
      <c r="N335" t="n">
        <v>0</v>
      </c>
      <c r="O335" t="n">
        <v>0</v>
      </c>
      <c r="P335" t="n">
        <v>0</v>
      </c>
      <c r="Q335" t="n">
        <v>0</v>
      </c>
      <c r="R335" s="2" t="inlineStr"/>
    </row>
    <row r="336" ht="15" customHeight="1">
      <c r="A336" t="inlineStr">
        <is>
          <t>A 4901-2025</t>
        </is>
      </c>
      <c r="B336" s="1" t="n">
        <v>45688.67965277778</v>
      </c>
      <c r="C336" s="1" t="n">
        <v>45883</v>
      </c>
      <c r="D336" t="inlineStr">
        <is>
          <t>JÄMTLANDS LÄN</t>
        </is>
      </c>
      <c r="E336" t="inlineStr">
        <is>
          <t>ÖSTERSUND</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47727-2023</t>
        </is>
      </c>
      <c r="B337" s="1" t="n">
        <v>45203</v>
      </c>
      <c r="C337" s="1" t="n">
        <v>45883</v>
      </c>
      <c r="D337" t="inlineStr">
        <is>
          <t>JÄMTLANDS LÄN</t>
        </is>
      </c>
      <c r="E337" t="inlineStr">
        <is>
          <t>ÖSTERSUND</t>
        </is>
      </c>
      <c r="G337" t="n">
        <v>2.6</v>
      </c>
      <c r="H337" t="n">
        <v>0</v>
      </c>
      <c r="I337" t="n">
        <v>0</v>
      </c>
      <c r="J337" t="n">
        <v>0</v>
      </c>
      <c r="K337" t="n">
        <v>0</v>
      </c>
      <c r="L337" t="n">
        <v>0</v>
      </c>
      <c r="M337" t="n">
        <v>0</v>
      </c>
      <c r="N337" t="n">
        <v>0</v>
      </c>
      <c r="O337" t="n">
        <v>0</v>
      </c>
      <c r="P337" t="n">
        <v>0</v>
      </c>
      <c r="Q337" t="n">
        <v>0</v>
      </c>
      <c r="R337" s="2" t="inlineStr"/>
    </row>
    <row r="338" ht="15" customHeight="1">
      <c r="A338" t="inlineStr">
        <is>
          <t>A 53060-2024</t>
        </is>
      </c>
      <c r="B338" s="1" t="n">
        <v>45611.46912037037</v>
      </c>
      <c r="C338" s="1" t="n">
        <v>45883</v>
      </c>
      <c r="D338" t="inlineStr">
        <is>
          <t>JÄMTLANDS LÄN</t>
        </is>
      </c>
      <c r="E338" t="inlineStr">
        <is>
          <t>ÖSTERSUND</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47804-2024</t>
        </is>
      </c>
      <c r="B339" s="1" t="n">
        <v>45588.61498842593</v>
      </c>
      <c r="C339" s="1" t="n">
        <v>45883</v>
      </c>
      <c r="D339" t="inlineStr">
        <is>
          <t>JÄMTLANDS LÄN</t>
        </is>
      </c>
      <c r="E339" t="inlineStr">
        <is>
          <t>ÖSTERSUND</t>
        </is>
      </c>
      <c r="F339" t="inlineStr">
        <is>
          <t>SCA</t>
        </is>
      </c>
      <c r="G339" t="n">
        <v>7.3</v>
      </c>
      <c r="H339" t="n">
        <v>0</v>
      </c>
      <c r="I339" t="n">
        <v>0</v>
      </c>
      <c r="J339" t="n">
        <v>0</v>
      </c>
      <c r="K339" t="n">
        <v>0</v>
      </c>
      <c r="L339" t="n">
        <v>0</v>
      </c>
      <c r="M339" t="n">
        <v>0</v>
      </c>
      <c r="N339" t="n">
        <v>0</v>
      </c>
      <c r="O339" t="n">
        <v>0</v>
      </c>
      <c r="P339" t="n">
        <v>0</v>
      </c>
      <c r="Q339" t="n">
        <v>0</v>
      </c>
      <c r="R339" s="2" t="inlineStr"/>
    </row>
    <row r="340" ht="15" customHeight="1">
      <c r="A340" t="inlineStr">
        <is>
          <t>A 47805-2024</t>
        </is>
      </c>
      <c r="B340" s="1" t="n">
        <v>45588.61512731481</v>
      </c>
      <c r="C340" s="1" t="n">
        <v>45883</v>
      </c>
      <c r="D340" t="inlineStr">
        <is>
          <t>JÄMTLANDS LÄN</t>
        </is>
      </c>
      <c r="E340" t="inlineStr">
        <is>
          <t>ÖSTERSUND</t>
        </is>
      </c>
      <c r="G340" t="n">
        <v>7.4</v>
      </c>
      <c r="H340" t="n">
        <v>0</v>
      </c>
      <c r="I340" t="n">
        <v>0</v>
      </c>
      <c r="J340" t="n">
        <v>0</v>
      </c>
      <c r="K340" t="n">
        <v>0</v>
      </c>
      <c r="L340" t="n">
        <v>0</v>
      </c>
      <c r="M340" t="n">
        <v>0</v>
      </c>
      <c r="N340" t="n">
        <v>0</v>
      </c>
      <c r="O340" t="n">
        <v>0</v>
      </c>
      <c r="P340" t="n">
        <v>0</v>
      </c>
      <c r="Q340" t="n">
        <v>0</v>
      </c>
      <c r="R340" s="2" t="inlineStr"/>
    </row>
    <row r="341" ht="15" customHeight="1">
      <c r="A341" t="inlineStr">
        <is>
          <t>A 6013-2022</t>
        </is>
      </c>
      <c r="B341" s="1" t="n">
        <v>44599.45850694444</v>
      </c>
      <c r="C341" s="1" t="n">
        <v>45883</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10306-2023</t>
        </is>
      </c>
      <c r="B342" s="1" t="n">
        <v>44986.94196759259</v>
      </c>
      <c r="C342" s="1" t="n">
        <v>45883</v>
      </c>
      <c r="D342" t="inlineStr">
        <is>
          <t>JÄMTLANDS LÄN</t>
        </is>
      </c>
      <c r="E342" t="inlineStr">
        <is>
          <t>ÖSTERSUND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7233-2024</t>
        </is>
      </c>
      <c r="B343" s="1" t="n">
        <v>45344</v>
      </c>
      <c r="C343" s="1" t="n">
        <v>45883</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8261-2025</t>
        </is>
      </c>
      <c r="B344" s="1" t="n">
        <v>45708.50256944444</v>
      </c>
      <c r="C344" s="1" t="n">
        <v>45883</v>
      </c>
      <c r="D344" t="inlineStr">
        <is>
          <t>JÄMTLANDS LÄN</t>
        </is>
      </c>
      <c r="E344" t="inlineStr">
        <is>
          <t>ÖSTERSUND</t>
        </is>
      </c>
      <c r="G344" t="n">
        <v>5.4</v>
      </c>
      <c r="H344" t="n">
        <v>0</v>
      </c>
      <c r="I344" t="n">
        <v>0</v>
      </c>
      <c r="J344" t="n">
        <v>0</v>
      </c>
      <c r="K344" t="n">
        <v>0</v>
      </c>
      <c r="L344" t="n">
        <v>0</v>
      </c>
      <c r="M344" t="n">
        <v>0</v>
      </c>
      <c r="N344" t="n">
        <v>0</v>
      </c>
      <c r="O344" t="n">
        <v>0</v>
      </c>
      <c r="P344" t="n">
        <v>0</v>
      </c>
      <c r="Q344" t="n">
        <v>0</v>
      </c>
      <c r="R344" s="2" t="inlineStr"/>
    </row>
    <row r="345" ht="15" customHeight="1">
      <c r="A345" t="inlineStr">
        <is>
          <t>A 12352-2025</t>
        </is>
      </c>
      <c r="B345" s="1" t="n">
        <v>45730.36263888889</v>
      </c>
      <c r="C345" s="1" t="n">
        <v>45883</v>
      </c>
      <c r="D345" t="inlineStr">
        <is>
          <t>JÄMTLANDS LÄN</t>
        </is>
      </c>
      <c r="E345" t="inlineStr">
        <is>
          <t>ÖSTERSUND</t>
        </is>
      </c>
      <c r="G345" t="n">
        <v>7.8</v>
      </c>
      <c r="H345" t="n">
        <v>0</v>
      </c>
      <c r="I345" t="n">
        <v>0</v>
      </c>
      <c r="J345" t="n">
        <v>0</v>
      </c>
      <c r="K345" t="n">
        <v>0</v>
      </c>
      <c r="L345" t="n">
        <v>0</v>
      </c>
      <c r="M345" t="n">
        <v>0</v>
      </c>
      <c r="N345" t="n">
        <v>0</v>
      </c>
      <c r="O345" t="n">
        <v>0</v>
      </c>
      <c r="P345" t="n">
        <v>0</v>
      </c>
      <c r="Q345" t="n">
        <v>0</v>
      </c>
      <c r="R345" s="2" t="inlineStr"/>
    </row>
    <row r="346" ht="15" customHeight="1">
      <c r="A346" t="inlineStr">
        <is>
          <t>A 48737-2024</t>
        </is>
      </c>
      <c r="B346" s="1" t="n">
        <v>45593.57327546296</v>
      </c>
      <c r="C346" s="1" t="n">
        <v>45883</v>
      </c>
      <c r="D346" t="inlineStr">
        <is>
          <t>JÄMTLANDS LÄN</t>
        </is>
      </c>
      <c r="E346" t="inlineStr">
        <is>
          <t>ÖSTERSUND</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15651-2025</t>
        </is>
      </c>
      <c r="B347" s="1" t="n">
        <v>45748.40208333333</v>
      </c>
      <c r="C347" s="1" t="n">
        <v>45883</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296-2023</t>
        </is>
      </c>
      <c r="B348" s="1" t="n">
        <v>44922</v>
      </c>
      <c r="C348" s="1" t="n">
        <v>45883</v>
      </c>
      <c r="D348" t="inlineStr">
        <is>
          <t>JÄMTLANDS LÄN</t>
        </is>
      </c>
      <c r="E348" t="inlineStr">
        <is>
          <t>ÖSTERSUND</t>
        </is>
      </c>
      <c r="G348" t="n">
        <v>0.8</v>
      </c>
      <c r="H348" t="n">
        <v>0</v>
      </c>
      <c r="I348" t="n">
        <v>0</v>
      </c>
      <c r="J348" t="n">
        <v>0</v>
      </c>
      <c r="K348" t="n">
        <v>0</v>
      </c>
      <c r="L348" t="n">
        <v>0</v>
      </c>
      <c r="M348" t="n">
        <v>0</v>
      </c>
      <c r="N348" t="n">
        <v>0</v>
      </c>
      <c r="O348" t="n">
        <v>0</v>
      </c>
      <c r="P348" t="n">
        <v>0</v>
      </c>
      <c r="Q348" t="n">
        <v>0</v>
      </c>
      <c r="R348" s="2" t="inlineStr"/>
    </row>
    <row r="349" ht="15" customHeight="1">
      <c r="A349" t="inlineStr">
        <is>
          <t>A 27118-2023</t>
        </is>
      </c>
      <c r="B349" s="1" t="n">
        <v>45096</v>
      </c>
      <c r="C349" s="1" t="n">
        <v>45883</v>
      </c>
      <c r="D349" t="inlineStr">
        <is>
          <t>JÄMTLANDS LÄN</t>
        </is>
      </c>
      <c r="E349" t="inlineStr">
        <is>
          <t>ÖSTERSUND</t>
        </is>
      </c>
      <c r="G349" t="n">
        <v>1.2</v>
      </c>
      <c r="H349" t="n">
        <v>0</v>
      </c>
      <c r="I349" t="n">
        <v>0</v>
      </c>
      <c r="J349" t="n">
        <v>0</v>
      </c>
      <c r="K349" t="n">
        <v>0</v>
      </c>
      <c r="L349" t="n">
        <v>0</v>
      </c>
      <c r="M349" t="n">
        <v>0</v>
      </c>
      <c r="N349" t="n">
        <v>0</v>
      </c>
      <c r="O349" t="n">
        <v>0</v>
      </c>
      <c r="P349" t="n">
        <v>0</v>
      </c>
      <c r="Q349" t="n">
        <v>0</v>
      </c>
      <c r="R349" s="2" t="inlineStr"/>
    </row>
    <row r="350" ht="15" customHeight="1">
      <c r="A350" t="inlineStr">
        <is>
          <t>A 5553-2025</t>
        </is>
      </c>
      <c r="B350" s="1" t="n">
        <v>45693</v>
      </c>
      <c r="C350" s="1" t="n">
        <v>45883</v>
      </c>
      <c r="D350" t="inlineStr">
        <is>
          <t>JÄMTLANDS LÄN</t>
        </is>
      </c>
      <c r="E350" t="inlineStr">
        <is>
          <t>ÖSTERSUND</t>
        </is>
      </c>
      <c r="G350" t="n">
        <v>0.7</v>
      </c>
      <c r="H350" t="n">
        <v>0</v>
      </c>
      <c r="I350" t="n">
        <v>0</v>
      </c>
      <c r="J350" t="n">
        <v>0</v>
      </c>
      <c r="K350" t="n">
        <v>0</v>
      </c>
      <c r="L350" t="n">
        <v>0</v>
      </c>
      <c r="M350" t="n">
        <v>0</v>
      </c>
      <c r="N350" t="n">
        <v>0</v>
      </c>
      <c r="O350" t="n">
        <v>0</v>
      </c>
      <c r="P350" t="n">
        <v>0</v>
      </c>
      <c r="Q350" t="n">
        <v>0</v>
      </c>
      <c r="R350" s="2" t="inlineStr"/>
    </row>
    <row r="351" ht="15" customHeight="1">
      <c r="A351" t="inlineStr">
        <is>
          <t>A 14182-2025</t>
        </is>
      </c>
      <c r="B351" s="1" t="n">
        <v>45740.54168981482</v>
      </c>
      <c r="C351" s="1" t="n">
        <v>45883</v>
      </c>
      <c r="D351" t="inlineStr">
        <is>
          <t>JÄMTLANDS LÄN</t>
        </is>
      </c>
      <c r="E351" t="inlineStr">
        <is>
          <t>ÖSTERSUND</t>
        </is>
      </c>
      <c r="F351" t="inlineStr">
        <is>
          <t>Övriga Aktiebolag</t>
        </is>
      </c>
      <c r="G351" t="n">
        <v>20.1</v>
      </c>
      <c r="H351" t="n">
        <v>0</v>
      </c>
      <c r="I351" t="n">
        <v>0</v>
      </c>
      <c r="J351" t="n">
        <v>0</v>
      </c>
      <c r="K351" t="n">
        <v>0</v>
      </c>
      <c r="L351" t="n">
        <v>0</v>
      </c>
      <c r="M351" t="n">
        <v>0</v>
      </c>
      <c r="N351" t="n">
        <v>0</v>
      </c>
      <c r="O351" t="n">
        <v>0</v>
      </c>
      <c r="P351" t="n">
        <v>0</v>
      </c>
      <c r="Q351" t="n">
        <v>0</v>
      </c>
      <c r="R351" s="2" t="inlineStr"/>
    </row>
    <row r="352" ht="15" customHeight="1">
      <c r="A352" t="inlineStr">
        <is>
          <t>A 39493-2023</t>
        </is>
      </c>
      <c r="B352" s="1" t="n">
        <v>45166.9569675926</v>
      </c>
      <c r="C352" s="1" t="n">
        <v>45883</v>
      </c>
      <c r="D352" t="inlineStr">
        <is>
          <t>JÄMTLANDS LÄN</t>
        </is>
      </c>
      <c r="E352" t="inlineStr">
        <is>
          <t>ÖSTERSUND</t>
        </is>
      </c>
      <c r="F352" t="inlineStr">
        <is>
          <t>SCA</t>
        </is>
      </c>
      <c r="G352" t="n">
        <v>4.5</v>
      </c>
      <c r="H352" t="n">
        <v>0</v>
      </c>
      <c r="I352" t="n">
        <v>0</v>
      </c>
      <c r="J352" t="n">
        <v>0</v>
      </c>
      <c r="K352" t="n">
        <v>0</v>
      </c>
      <c r="L352" t="n">
        <v>0</v>
      </c>
      <c r="M352" t="n">
        <v>0</v>
      </c>
      <c r="N352" t="n">
        <v>0</v>
      </c>
      <c r="O352" t="n">
        <v>0</v>
      </c>
      <c r="P352" t="n">
        <v>0</v>
      </c>
      <c r="Q352" t="n">
        <v>0</v>
      </c>
      <c r="R352" s="2" t="inlineStr"/>
    </row>
    <row r="353" ht="15" customHeight="1">
      <c r="A353" t="inlineStr">
        <is>
          <t>A 64314-2023</t>
        </is>
      </c>
      <c r="B353" s="1" t="n">
        <v>45280</v>
      </c>
      <c r="C353" s="1" t="n">
        <v>45883</v>
      </c>
      <c r="D353" t="inlineStr">
        <is>
          <t>JÄMTLANDS LÄN</t>
        </is>
      </c>
      <c r="E353" t="inlineStr">
        <is>
          <t>ÖSTERSUND</t>
        </is>
      </c>
      <c r="G353" t="n">
        <v>0.6</v>
      </c>
      <c r="H353" t="n">
        <v>0</v>
      </c>
      <c r="I353" t="n">
        <v>0</v>
      </c>
      <c r="J353" t="n">
        <v>0</v>
      </c>
      <c r="K353" t="n">
        <v>0</v>
      </c>
      <c r="L353" t="n">
        <v>0</v>
      </c>
      <c r="M353" t="n">
        <v>0</v>
      </c>
      <c r="N353" t="n">
        <v>0</v>
      </c>
      <c r="O353" t="n">
        <v>0</v>
      </c>
      <c r="P353" t="n">
        <v>0</v>
      </c>
      <c r="Q353" t="n">
        <v>0</v>
      </c>
      <c r="R353" s="2" t="inlineStr"/>
    </row>
    <row r="354" ht="15" customHeight="1">
      <c r="A354" t="inlineStr">
        <is>
          <t>A 13655-2025</t>
        </is>
      </c>
      <c r="B354" s="1" t="n">
        <v>45736.71956018519</v>
      </c>
      <c r="C354" s="1" t="n">
        <v>45883</v>
      </c>
      <c r="D354" t="inlineStr">
        <is>
          <t>JÄMTLANDS LÄN</t>
        </is>
      </c>
      <c r="E354" t="inlineStr">
        <is>
          <t>ÖSTERSUND</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16306-2025</t>
        </is>
      </c>
      <c r="B355" s="1" t="n">
        <v>45751.34664351852</v>
      </c>
      <c r="C355" s="1" t="n">
        <v>45883</v>
      </c>
      <c r="D355" t="inlineStr">
        <is>
          <t>JÄMTLANDS LÄN</t>
        </is>
      </c>
      <c r="E355" t="inlineStr">
        <is>
          <t>ÖSTERSUND</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58952-2024</t>
        </is>
      </c>
      <c r="B356" s="1" t="n">
        <v>45636.5674537037</v>
      </c>
      <c r="C356" s="1" t="n">
        <v>45883</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32998-2021</t>
        </is>
      </c>
      <c r="B357" s="1" t="n">
        <v>44375</v>
      </c>
      <c r="C357" s="1" t="n">
        <v>45883</v>
      </c>
      <c r="D357" t="inlineStr">
        <is>
          <t>JÄMTLANDS LÄN</t>
        </is>
      </c>
      <c r="E357" t="inlineStr">
        <is>
          <t>ÖSTERSUND</t>
        </is>
      </c>
      <c r="G357" t="n">
        <v>0.1</v>
      </c>
      <c r="H357" t="n">
        <v>0</v>
      </c>
      <c r="I357" t="n">
        <v>0</v>
      </c>
      <c r="J357" t="n">
        <v>0</v>
      </c>
      <c r="K357" t="n">
        <v>0</v>
      </c>
      <c r="L357" t="n">
        <v>0</v>
      </c>
      <c r="M357" t="n">
        <v>0</v>
      </c>
      <c r="N357" t="n">
        <v>0</v>
      </c>
      <c r="O357" t="n">
        <v>0</v>
      </c>
      <c r="P357" t="n">
        <v>0</v>
      </c>
      <c r="Q357" t="n">
        <v>0</v>
      </c>
      <c r="R357" s="2" t="inlineStr"/>
    </row>
    <row r="358" ht="15" customHeight="1">
      <c r="A358" t="inlineStr">
        <is>
          <t>A 60575-2022</t>
        </is>
      </c>
      <c r="B358" s="1" t="n">
        <v>44911.5662037037</v>
      </c>
      <c r="C358" s="1" t="n">
        <v>45883</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43082-2024</t>
        </is>
      </c>
      <c r="B359" s="1" t="n">
        <v>45567.51068287037</v>
      </c>
      <c r="C359" s="1" t="n">
        <v>45883</v>
      </c>
      <c r="D359" t="inlineStr">
        <is>
          <t>JÄMTLANDS LÄN</t>
        </is>
      </c>
      <c r="E359" t="inlineStr">
        <is>
          <t>ÖSTERSUND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5544-2025</t>
        </is>
      </c>
      <c r="B360" s="1" t="n">
        <v>45693</v>
      </c>
      <c r="C360" s="1" t="n">
        <v>45883</v>
      </c>
      <c r="D360" t="inlineStr">
        <is>
          <t>JÄMTLANDS LÄN</t>
        </is>
      </c>
      <c r="E360" t="inlineStr">
        <is>
          <t>ÖSTERSUND</t>
        </is>
      </c>
      <c r="G360" t="n">
        <v>5.8</v>
      </c>
      <c r="H360" t="n">
        <v>0</v>
      </c>
      <c r="I360" t="n">
        <v>0</v>
      </c>
      <c r="J360" t="n">
        <v>0</v>
      </c>
      <c r="K360" t="n">
        <v>0</v>
      </c>
      <c r="L360" t="n">
        <v>0</v>
      </c>
      <c r="M360" t="n">
        <v>0</v>
      </c>
      <c r="N360" t="n">
        <v>0</v>
      </c>
      <c r="O360" t="n">
        <v>0</v>
      </c>
      <c r="P360" t="n">
        <v>0</v>
      </c>
      <c r="Q360" t="n">
        <v>0</v>
      </c>
      <c r="R360" s="2" t="inlineStr"/>
    </row>
    <row r="361" ht="15" customHeight="1">
      <c r="A361" t="inlineStr">
        <is>
          <t>A 58407-2024</t>
        </is>
      </c>
      <c r="B361" s="1" t="n">
        <v>45634.72633101852</v>
      </c>
      <c r="C361" s="1" t="n">
        <v>45883</v>
      </c>
      <c r="D361" t="inlineStr">
        <is>
          <t>JÄMTLANDS LÄN</t>
        </is>
      </c>
      <c r="E361" t="inlineStr">
        <is>
          <t>ÖSTERSUND</t>
        </is>
      </c>
      <c r="G361" t="n">
        <v>2.8</v>
      </c>
      <c r="H361" t="n">
        <v>0</v>
      </c>
      <c r="I361" t="n">
        <v>0</v>
      </c>
      <c r="J361" t="n">
        <v>0</v>
      </c>
      <c r="K361" t="n">
        <v>0</v>
      </c>
      <c r="L361" t="n">
        <v>0</v>
      </c>
      <c r="M361" t="n">
        <v>0</v>
      </c>
      <c r="N361" t="n">
        <v>0</v>
      </c>
      <c r="O361" t="n">
        <v>0</v>
      </c>
      <c r="P361" t="n">
        <v>0</v>
      </c>
      <c r="Q361" t="n">
        <v>0</v>
      </c>
      <c r="R361" s="2" t="inlineStr"/>
    </row>
    <row r="362" ht="15" customHeight="1">
      <c r="A362" t="inlineStr">
        <is>
          <t>A 2756-2024</t>
        </is>
      </c>
      <c r="B362" s="1" t="n">
        <v>45314.58785879629</v>
      </c>
      <c r="C362" s="1" t="n">
        <v>45883</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1211-2025</t>
        </is>
      </c>
      <c r="B363" s="1" t="n">
        <v>45667.40662037037</v>
      </c>
      <c r="C363" s="1" t="n">
        <v>45883</v>
      </c>
      <c r="D363" t="inlineStr">
        <is>
          <t>JÄMTLANDS LÄN</t>
        </is>
      </c>
      <c r="E363" t="inlineStr">
        <is>
          <t>ÖSTERSUND</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37597-2023</t>
        </is>
      </c>
      <c r="B364" s="1" t="n">
        <v>45159.42180555555</v>
      </c>
      <c r="C364" s="1" t="n">
        <v>45883</v>
      </c>
      <c r="D364" t="inlineStr">
        <is>
          <t>JÄMTLANDS LÄN</t>
        </is>
      </c>
      <c r="E364" t="inlineStr">
        <is>
          <t>ÖSTERSUND</t>
        </is>
      </c>
      <c r="G364" t="n">
        <v>4.7</v>
      </c>
      <c r="H364" t="n">
        <v>0</v>
      </c>
      <c r="I364" t="n">
        <v>0</v>
      </c>
      <c r="J364" t="n">
        <v>0</v>
      </c>
      <c r="K364" t="n">
        <v>0</v>
      </c>
      <c r="L364" t="n">
        <v>0</v>
      </c>
      <c r="M364" t="n">
        <v>0</v>
      </c>
      <c r="N364" t="n">
        <v>0</v>
      </c>
      <c r="O364" t="n">
        <v>0</v>
      </c>
      <c r="P364" t="n">
        <v>0</v>
      </c>
      <c r="Q364" t="n">
        <v>0</v>
      </c>
      <c r="R364" s="2" t="inlineStr"/>
    </row>
    <row r="365" ht="15" customHeight="1">
      <c r="A365" t="inlineStr">
        <is>
          <t>A 17732-2022</t>
        </is>
      </c>
      <c r="B365" s="1" t="n">
        <v>44680.92873842592</v>
      </c>
      <c r="C365" s="1" t="n">
        <v>45883</v>
      </c>
      <c r="D365" t="inlineStr">
        <is>
          <t>JÄMTLANDS LÄN</t>
        </is>
      </c>
      <c r="E365" t="inlineStr">
        <is>
          <t>ÖSTERSUND</t>
        </is>
      </c>
      <c r="G365" t="n">
        <v>5.4</v>
      </c>
      <c r="H365" t="n">
        <v>0</v>
      </c>
      <c r="I365" t="n">
        <v>0</v>
      </c>
      <c r="J365" t="n">
        <v>0</v>
      </c>
      <c r="K365" t="n">
        <v>0</v>
      </c>
      <c r="L365" t="n">
        <v>0</v>
      </c>
      <c r="M365" t="n">
        <v>0</v>
      </c>
      <c r="N365" t="n">
        <v>0</v>
      </c>
      <c r="O365" t="n">
        <v>0</v>
      </c>
      <c r="P365" t="n">
        <v>0</v>
      </c>
      <c r="Q365" t="n">
        <v>0</v>
      </c>
      <c r="R365" s="2" t="inlineStr"/>
    </row>
    <row r="366" ht="15" customHeight="1">
      <c r="A366" t="inlineStr">
        <is>
          <t>A 52913-2021</t>
        </is>
      </c>
      <c r="B366" s="1" t="n">
        <v>44466</v>
      </c>
      <c r="C366" s="1" t="n">
        <v>45883</v>
      </c>
      <c r="D366" t="inlineStr">
        <is>
          <t>JÄMTLANDS LÄN</t>
        </is>
      </c>
      <c r="E366" t="inlineStr">
        <is>
          <t>ÖSTERSUND</t>
        </is>
      </c>
      <c r="G366" t="n">
        <v>4.2</v>
      </c>
      <c r="H366" t="n">
        <v>0</v>
      </c>
      <c r="I366" t="n">
        <v>0</v>
      </c>
      <c r="J366" t="n">
        <v>0</v>
      </c>
      <c r="K366" t="n">
        <v>0</v>
      </c>
      <c r="L366" t="n">
        <v>0</v>
      </c>
      <c r="M366" t="n">
        <v>0</v>
      </c>
      <c r="N366" t="n">
        <v>0</v>
      </c>
      <c r="O366" t="n">
        <v>0</v>
      </c>
      <c r="P366" t="n">
        <v>0</v>
      </c>
      <c r="Q366" t="n">
        <v>0</v>
      </c>
      <c r="R366" s="2" t="inlineStr"/>
    </row>
    <row r="367" ht="15" customHeight="1">
      <c r="A367" t="inlineStr">
        <is>
          <t>A 3997-2025</t>
        </is>
      </c>
      <c r="B367" s="1" t="n">
        <v>45684.56725694444</v>
      </c>
      <c r="C367" s="1" t="n">
        <v>45883</v>
      </c>
      <c r="D367" t="inlineStr">
        <is>
          <t>JÄMTLANDS LÄN</t>
        </is>
      </c>
      <c r="E367" t="inlineStr">
        <is>
          <t>ÖSTERSUND</t>
        </is>
      </c>
      <c r="G367" t="n">
        <v>1.9</v>
      </c>
      <c r="H367" t="n">
        <v>0</v>
      </c>
      <c r="I367" t="n">
        <v>0</v>
      </c>
      <c r="J367" t="n">
        <v>0</v>
      </c>
      <c r="K367" t="n">
        <v>0</v>
      </c>
      <c r="L367" t="n">
        <v>0</v>
      </c>
      <c r="M367" t="n">
        <v>0</v>
      </c>
      <c r="N367" t="n">
        <v>0</v>
      </c>
      <c r="O367" t="n">
        <v>0</v>
      </c>
      <c r="P367" t="n">
        <v>0</v>
      </c>
      <c r="Q367" t="n">
        <v>0</v>
      </c>
      <c r="R367" s="2" t="inlineStr"/>
    </row>
    <row r="368" ht="15" customHeight="1">
      <c r="A368" t="inlineStr">
        <is>
          <t>A 27294-2023</t>
        </is>
      </c>
      <c r="B368" s="1" t="n">
        <v>45092</v>
      </c>
      <c r="C368" s="1" t="n">
        <v>45883</v>
      </c>
      <c r="D368" t="inlineStr">
        <is>
          <t>JÄMTLANDS LÄN</t>
        </is>
      </c>
      <c r="E368" t="inlineStr">
        <is>
          <t>ÖSTERSUND</t>
        </is>
      </c>
      <c r="G368" t="n">
        <v>2.8</v>
      </c>
      <c r="H368" t="n">
        <v>0</v>
      </c>
      <c r="I368" t="n">
        <v>0</v>
      </c>
      <c r="J368" t="n">
        <v>0</v>
      </c>
      <c r="K368" t="n">
        <v>0</v>
      </c>
      <c r="L368" t="n">
        <v>0</v>
      </c>
      <c r="M368" t="n">
        <v>0</v>
      </c>
      <c r="N368" t="n">
        <v>0</v>
      </c>
      <c r="O368" t="n">
        <v>0</v>
      </c>
      <c r="P368" t="n">
        <v>0</v>
      </c>
      <c r="Q368" t="n">
        <v>0</v>
      </c>
      <c r="R368" s="2" t="inlineStr"/>
    </row>
    <row r="369" ht="15" customHeight="1">
      <c r="A369" t="inlineStr">
        <is>
          <t>A 24246-2024</t>
        </is>
      </c>
      <c r="B369" s="1" t="n">
        <v>45457.37893518519</v>
      </c>
      <c r="C369" s="1" t="n">
        <v>45883</v>
      </c>
      <c r="D369" t="inlineStr">
        <is>
          <t>JÄMTLANDS LÄN</t>
        </is>
      </c>
      <c r="E369" t="inlineStr">
        <is>
          <t>ÖSTERSUND</t>
        </is>
      </c>
      <c r="G369" t="n">
        <v>5.3</v>
      </c>
      <c r="H369" t="n">
        <v>0</v>
      </c>
      <c r="I369" t="n">
        <v>0</v>
      </c>
      <c r="J369" t="n">
        <v>0</v>
      </c>
      <c r="K369" t="n">
        <v>0</v>
      </c>
      <c r="L369" t="n">
        <v>0</v>
      </c>
      <c r="M369" t="n">
        <v>0</v>
      </c>
      <c r="N369" t="n">
        <v>0</v>
      </c>
      <c r="O369" t="n">
        <v>0</v>
      </c>
      <c r="P369" t="n">
        <v>0</v>
      </c>
      <c r="Q369" t="n">
        <v>0</v>
      </c>
      <c r="R369" s="2" t="inlineStr"/>
    </row>
    <row r="370" ht="15" customHeight="1">
      <c r="A370" t="inlineStr">
        <is>
          <t>A 1670-2024</t>
        </is>
      </c>
      <c r="B370" s="1" t="n">
        <v>45306</v>
      </c>
      <c r="C370" s="1" t="n">
        <v>45883</v>
      </c>
      <c r="D370" t="inlineStr">
        <is>
          <t>JÄMTLANDS LÄN</t>
        </is>
      </c>
      <c r="E370" t="inlineStr">
        <is>
          <t>ÖSTERSUND</t>
        </is>
      </c>
      <c r="G370" t="n">
        <v>1.2</v>
      </c>
      <c r="H370" t="n">
        <v>0</v>
      </c>
      <c r="I370" t="n">
        <v>0</v>
      </c>
      <c r="J370" t="n">
        <v>0</v>
      </c>
      <c r="K370" t="n">
        <v>0</v>
      </c>
      <c r="L370" t="n">
        <v>0</v>
      </c>
      <c r="M370" t="n">
        <v>0</v>
      </c>
      <c r="N370" t="n">
        <v>0</v>
      </c>
      <c r="O370" t="n">
        <v>0</v>
      </c>
      <c r="P370" t="n">
        <v>0</v>
      </c>
      <c r="Q370" t="n">
        <v>0</v>
      </c>
      <c r="R370" s="2" t="inlineStr"/>
    </row>
    <row r="371" ht="15" customHeight="1">
      <c r="A371" t="inlineStr">
        <is>
          <t>A 54587-2024</t>
        </is>
      </c>
      <c r="B371" s="1" t="n">
        <v>45617.65800925926</v>
      </c>
      <c r="C371" s="1" t="n">
        <v>45883</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61506-2023</t>
        </is>
      </c>
      <c r="B372" s="1" t="n">
        <v>45264</v>
      </c>
      <c r="C372" s="1" t="n">
        <v>45883</v>
      </c>
      <c r="D372" t="inlineStr">
        <is>
          <t>JÄMTLANDS LÄN</t>
        </is>
      </c>
      <c r="E372" t="inlineStr">
        <is>
          <t>ÖSTERSUND</t>
        </is>
      </c>
      <c r="G372" t="n">
        <v>3</v>
      </c>
      <c r="H372" t="n">
        <v>0</v>
      </c>
      <c r="I372" t="n">
        <v>0</v>
      </c>
      <c r="J372" t="n">
        <v>0</v>
      </c>
      <c r="K372" t="n">
        <v>0</v>
      </c>
      <c r="L372" t="n">
        <v>0</v>
      </c>
      <c r="M372" t="n">
        <v>0</v>
      </c>
      <c r="N372" t="n">
        <v>0</v>
      </c>
      <c r="O372" t="n">
        <v>0</v>
      </c>
      <c r="P372" t="n">
        <v>0</v>
      </c>
      <c r="Q372" t="n">
        <v>0</v>
      </c>
      <c r="R372" s="2" t="inlineStr"/>
    </row>
    <row r="373" ht="15" customHeight="1">
      <c r="A373" t="inlineStr">
        <is>
          <t>A 16336-2025</t>
        </is>
      </c>
      <c r="B373" s="1" t="n">
        <v>45751.36519675926</v>
      </c>
      <c r="C373" s="1" t="n">
        <v>45883</v>
      </c>
      <c r="D373" t="inlineStr">
        <is>
          <t>JÄMTLANDS LÄN</t>
        </is>
      </c>
      <c r="E373" t="inlineStr">
        <is>
          <t>ÖSTERSUND</t>
        </is>
      </c>
      <c r="G373" t="n">
        <v>0.9</v>
      </c>
      <c r="H373" t="n">
        <v>0</v>
      </c>
      <c r="I373" t="n">
        <v>0</v>
      </c>
      <c r="J373" t="n">
        <v>0</v>
      </c>
      <c r="K373" t="n">
        <v>0</v>
      </c>
      <c r="L373" t="n">
        <v>0</v>
      </c>
      <c r="M373" t="n">
        <v>0</v>
      </c>
      <c r="N373" t="n">
        <v>0</v>
      </c>
      <c r="O373" t="n">
        <v>0</v>
      </c>
      <c r="P373" t="n">
        <v>0</v>
      </c>
      <c r="Q373" t="n">
        <v>0</v>
      </c>
      <c r="R373" s="2" t="inlineStr"/>
    </row>
    <row r="374" ht="15" customHeight="1">
      <c r="A374" t="inlineStr">
        <is>
          <t>A 49192-2024</t>
        </is>
      </c>
      <c r="B374" s="1" t="n">
        <v>45595.34762731481</v>
      </c>
      <c r="C374" s="1" t="n">
        <v>45883</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54883-2023</t>
        </is>
      </c>
      <c r="B375" s="1" t="n">
        <v>45236.62300925926</v>
      </c>
      <c r="C375" s="1" t="n">
        <v>45883</v>
      </c>
      <c r="D375" t="inlineStr">
        <is>
          <t>JÄMTLANDS LÄN</t>
        </is>
      </c>
      <c r="E375" t="inlineStr">
        <is>
          <t>ÖSTERSUND</t>
        </is>
      </c>
      <c r="F375" t="inlineStr">
        <is>
          <t>Övriga Aktiebolag</t>
        </is>
      </c>
      <c r="G375" t="n">
        <v>3.2</v>
      </c>
      <c r="H375" t="n">
        <v>0</v>
      </c>
      <c r="I375" t="n">
        <v>0</v>
      </c>
      <c r="J375" t="n">
        <v>0</v>
      </c>
      <c r="K375" t="n">
        <v>0</v>
      </c>
      <c r="L375" t="n">
        <v>0</v>
      </c>
      <c r="M375" t="n">
        <v>0</v>
      </c>
      <c r="N375" t="n">
        <v>0</v>
      </c>
      <c r="O375" t="n">
        <v>0</v>
      </c>
      <c r="P375" t="n">
        <v>0</v>
      </c>
      <c r="Q375" t="n">
        <v>0</v>
      </c>
      <c r="R375" s="2" t="inlineStr"/>
    </row>
    <row r="376" ht="15" customHeight="1">
      <c r="A376" t="inlineStr">
        <is>
          <t>A 3122-2025</t>
        </is>
      </c>
      <c r="B376" s="1" t="n">
        <v>45678</v>
      </c>
      <c r="C376" s="1" t="n">
        <v>45883</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54237-2024</t>
        </is>
      </c>
      <c r="B377" s="1" t="n">
        <v>45616.67833333334</v>
      </c>
      <c r="C377" s="1" t="n">
        <v>45883</v>
      </c>
      <c r="D377" t="inlineStr">
        <is>
          <t>JÄMTLANDS LÄN</t>
        </is>
      </c>
      <c r="E377" t="inlineStr">
        <is>
          <t>ÖSTERSUND</t>
        </is>
      </c>
      <c r="F377" t="inlineStr">
        <is>
          <t>SCA</t>
        </is>
      </c>
      <c r="G377" t="n">
        <v>8.9</v>
      </c>
      <c r="H377" t="n">
        <v>0</v>
      </c>
      <c r="I377" t="n">
        <v>0</v>
      </c>
      <c r="J377" t="n">
        <v>0</v>
      </c>
      <c r="K377" t="n">
        <v>0</v>
      </c>
      <c r="L377" t="n">
        <v>0</v>
      </c>
      <c r="M377" t="n">
        <v>0</v>
      </c>
      <c r="N377" t="n">
        <v>0</v>
      </c>
      <c r="O377" t="n">
        <v>0</v>
      </c>
      <c r="P377" t="n">
        <v>0</v>
      </c>
      <c r="Q377" t="n">
        <v>0</v>
      </c>
      <c r="R377" s="2" t="inlineStr"/>
    </row>
    <row r="378" ht="15" customHeight="1">
      <c r="A378" t="inlineStr">
        <is>
          <t>A 62222-2022</t>
        </is>
      </c>
      <c r="B378" s="1" t="n">
        <v>44922</v>
      </c>
      <c r="C378" s="1" t="n">
        <v>45883</v>
      </c>
      <c r="D378" t="inlineStr">
        <is>
          <t>JÄMTLANDS LÄN</t>
        </is>
      </c>
      <c r="E378" t="inlineStr">
        <is>
          <t>ÖSTERSUND</t>
        </is>
      </c>
      <c r="G378" t="n">
        <v>4.1</v>
      </c>
      <c r="H378" t="n">
        <v>0</v>
      </c>
      <c r="I378" t="n">
        <v>0</v>
      </c>
      <c r="J378" t="n">
        <v>0</v>
      </c>
      <c r="K378" t="n">
        <v>0</v>
      </c>
      <c r="L378" t="n">
        <v>0</v>
      </c>
      <c r="M378" t="n">
        <v>0</v>
      </c>
      <c r="N378" t="n">
        <v>0</v>
      </c>
      <c r="O378" t="n">
        <v>0</v>
      </c>
      <c r="P378" t="n">
        <v>0</v>
      </c>
      <c r="Q378" t="n">
        <v>0</v>
      </c>
      <c r="R378" s="2" t="inlineStr"/>
    </row>
    <row r="379" ht="15" customHeight="1">
      <c r="A379" t="inlineStr">
        <is>
          <t>A 207-2025</t>
        </is>
      </c>
      <c r="B379" s="1" t="n">
        <v>45660.32672453704</v>
      </c>
      <c r="C379" s="1" t="n">
        <v>45883</v>
      </c>
      <c r="D379" t="inlineStr">
        <is>
          <t>JÄMTLANDS LÄN</t>
        </is>
      </c>
      <c r="E379" t="inlineStr">
        <is>
          <t>ÖSTERSUND</t>
        </is>
      </c>
      <c r="G379" t="n">
        <v>4</v>
      </c>
      <c r="H379" t="n">
        <v>0</v>
      </c>
      <c r="I379" t="n">
        <v>0</v>
      </c>
      <c r="J379" t="n">
        <v>0</v>
      </c>
      <c r="K379" t="n">
        <v>0</v>
      </c>
      <c r="L379" t="n">
        <v>0</v>
      </c>
      <c r="M379" t="n">
        <v>0</v>
      </c>
      <c r="N379" t="n">
        <v>0</v>
      </c>
      <c r="O379" t="n">
        <v>0</v>
      </c>
      <c r="P379" t="n">
        <v>0</v>
      </c>
      <c r="Q379" t="n">
        <v>0</v>
      </c>
      <c r="R379" s="2" t="inlineStr"/>
    </row>
    <row r="380" ht="15" customHeight="1">
      <c r="A380" t="inlineStr">
        <is>
          <t>A 61332-2024</t>
        </is>
      </c>
      <c r="B380" s="1" t="n">
        <v>45646.35685185185</v>
      </c>
      <c r="C380" s="1" t="n">
        <v>45883</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17709-2024</t>
        </is>
      </c>
      <c r="B381" s="1" t="n">
        <v>45418.4843287037</v>
      </c>
      <c r="C381" s="1" t="n">
        <v>45883</v>
      </c>
      <c r="D381" t="inlineStr">
        <is>
          <t>JÄMTLANDS LÄN</t>
        </is>
      </c>
      <c r="E381" t="inlineStr">
        <is>
          <t>ÖSTERSUND</t>
        </is>
      </c>
      <c r="G381" t="n">
        <v>2.9</v>
      </c>
      <c r="H381" t="n">
        <v>0</v>
      </c>
      <c r="I381" t="n">
        <v>0</v>
      </c>
      <c r="J381" t="n">
        <v>0</v>
      </c>
      <c r="K381" t="n">
        <v>0</v>
      </c>
      <c r="L381" t="n">
        <v>0</v>
      </c>
      <c r="M381" t="n">
        <v>0</v>
      </c>
      <c r="N381" t="n">
        <v>0</v>
      </c>
      <c r="O381" t="n">
        <v>0</v>
      </c>
      <c r="P381" t="n">
        <v>0</v>
      </c>
      <c r="Q381" t="n">
        <v>0</v>
      </c>
      <c r="R381" s="2" t="inlineStr"/>
    </row>
    <row r="382" ht="15" customHeight="1">
      <c r="A382" t="inlineStr">
        <is>
          <t>A 41280-2024</t>
        </is>
      </c>
      <c r="B382" s="1" t="n">
        <v>45559.59476851852</v>
      </c>
      <c r="C382" s="1" t="n">
        <v>45883</v>
      </c>
      <c r="D382" t="inlineStr">
        <is>
          <t>JÄMTLANDS LÄN</t>
        </is>
      </c>
      <c r="E382" t="inlineStr">
        <is>
          <t>ÖSTERSUND</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7224-2024</t>
        </is>
      </c>
      <c r="B383" s="1" t="n">
        <v>45344</v>
      </c>
      <c r="C383" s="1" t="n">
        <v>45883</v>
      </c>
      <c r="D383" t="inlineStr">
        <is>
          <t>JÄMTLANDS LÄN</t>
        </is>
      </c>
      <c r="E383" t="inlineStr">
        <is>
          <t>ÖSTERSUND</t>
        </is>
      </c>
      <c r="G383" t="n">
        <v>2.9</v>
      </c>
      <c r="H383" t="n">
        <v>0</v>
      </c>
      <c r="I383" t="n">
        <v>0</v>
      </c>
      <c r="J383" t="n">
        <v>0</v>
      </c>
      <c r="K383" t="n">
        <v>0</v>
      </c>
      <c r="L383" t="n">
        <v>0</v>
      </c>
      <c r="M383" t="n">
        <v>0</v>
      </c>
      <c r="N383" t="n">
        <v>0</v>
      </c>
      <c r="O383" t="n">
        <v>0</v>
      </c>
      <c r="P383" t="n">
        <v>0</v>
      </c>
      <c r="Q383" t="n">
        <v>0</v>
      </c>
      <c r="R383" s="2" t="inlineStr"/>
    </row>
    <row r="384" ht="15" customHeight="1">
      <c r="A384" t="inlineStr">
        <is>
          <t>A 69190-2021</t>
        </is>
      </c>
      <c r="B384" s="1" t="n">
        <v>44529</v>
      </c>
      <c r="C384" s="1" t="n">
        <v>45883</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8675-2023</t>
        </is>
      </c>
      <c r="B385" s="1" t="n">
        <v>44977.98629629629</v>
      </c>
      <c r="C385" s="1" t="n">
        <v>45883</v>
      </c>
      <c r="D385" t="inlineStr">
        <is>
          <t>JÄMTLANDS LÄN</t>
        </is>
      </c>
      <c r="E385" t="inlineStr">
        <is>
          <t>ÖSTERSUND</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12-2023</t>
        </is>
      </c>
      <c r="B386" s="1" t="n">
        <v>44927.88021990741</v>
      </c>
      <c r="C386" s="1" t="n">
        <v>45883</v>
      </c>
      <c r="D386" t="inlineStr">
        <is>
          <t>JÄMTLANDS LÄN</t>
        </is>
      </c>
      <c r="E386" t="inlineStr">
        <is>
          <t>ÖSTERSUND</t>
        </is>
      </c>
      <c r="G386" t="n">
        <v>4.7</v>
      </c>
      <c r="H386" t="n">
        <v>0</v>
      </c>
      <c r="I386" t="n">
        <v>0</v>
      </c>
      <c r="J386" t="n">
        <v>0</v>
      </c>
      <c r="K386" t="n">
        <v>0</v>
      </c>
      <c r="L386" t="n">
        <v>0</v>
      </c>
      <c r="M386" t="n">
        <v>0</v>
      </c>
      <c r="N386" t="n">
        <v>0</v>
      </c>
      <c r="O386" t="n">
        <v>0</v>
      </c>
      <c r="P386" t="n">
        <v>0</v>
      </c>
      <c r="Q386" t="n">
        <v>0</v>
      </c>
      <c r="R386" s="2" t="inlineStr"/>
    </row>
    <row r="387" ht="15" customHeight="1">
      <c r="A387" t="inlineStr">
        <is>
          <t>A 20674-2025</t>
        </is>
      </c>
      <c r="B387" s="1" t="n">
        <v>45776.44195601852</v>
      </c>
      <c r="C387" s="1" t="n">
        <v>45883</v>
      </c>
      <c r="D387" t="inlineStr">
        <is>
          <t>JÄMTLANDS LÄN</t>
        </is>
      </c>
      <c r="E387" t="inlineStr">
        <is>
          <t>ÖSTERSUND</t>
        </is>
      </c>
      <c r="G387" t="n">
        <v>4.5</v>
      </c>
      <c r="H387" t="n">
        <v>0</v>
      </c>
      <c r="I387" t="n">
        <v>0</v>
      </c>
      <c r="J387" t="n">
        <v>0</v>
      </c>
      <c r="K387" t="n">
        <v>0</v>
      </c>
      <c r="L387" t="n">
        <v>0</v>
      </c>
      <c r="M387" t="n">
        <v>0</v>
      </c>
      <c r="N387" t="n">
        <v>0</v>
      </c>
      <c r="O387" t="n">
        <v>0</v>
      </c>
      <c r="P387" t="n">
        <v>0</v>
      </c>
      <c r="Q387" t="n">
        <v>0</v>
      </c>
      <c r="R387" s="2" t="inlineStr"/>
    </row>
    <row r="388" ht="15" customHeight="1">
      <c r="A388" t="inlineStr">
        <is>
          <t>A 4707-2024</t>
        </is>
      </c>
      <c r="B388" s="1" t="n">
        <v>45328</v>
      </c>
      <c r="C388" s="1" t="n">
        <v>45883</v>
      </c>
      <c r="D388" t="inlineStr">
        <is>
          <t>JÄMTLANDS LÄN</t>
        </is>
      </c>
      <c r="E388" t="inlineStr">
        <is>
          <t>ÖSTERSUND</t>
        </is>
      </c>
      <c r="G388" t="n">
        <v>0.7</v>
      </c>
      <c r="H388" t="n">
        <v>0</v>
      </c>
      <c r="I388" t="n">
        <v>0</v>
      </c>
      <c r="J388" t="n">
        <v>0</v>
      </c>
      <c r="K388" t="n">
        <v>0</v>
      </c>
      <c r="L388" t="n">
        <v>0</v>
      </c>
      <c r="M388" t="n">
        <v>0</v>
      </c>
      <c r="N388" t="n">
        <v>0</v>
      </c>
      <c r="O388" t="n">
        <v>0</v>
      </c>
      <c r="P388" t="n">
        <v>0</v>
      </c>
      <c r="Q388" t="n">
        <v>0</v>
      </c>
      <c r="R388" s="2" t="inlineStr"/>
    </row>
    <row r="389" ht="15" customHeight="1">
      <c r="A389" t="inlineStr">
        <is>
          <t>A 55666-2023</t>
        </is>
      </c>
      <c r="B389" s="1" t="n">
        <v>45238.96770833333</v>
      </c>
      <c r="C389" s="1" t="n">
        <v>45883</v>
      </c>
      <c r="D389" t="inlineStr">
        <is>
          <t>JÄMTLANDS LÄN</t>
        </is>
      </c>
      <c r="E389" t="inlineStr">
        <is>
          <t>ÖSTERSUND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21060-2025</t>
        </is>
      </c>
      <c r="B390" s="1" t="n">
        <v>45777.58025462963</v>
      </c>
      <c r="C390" s="1" t="n">
        <v>45883</v>
      </c>
      <c r="D390" t="inlineStr">
        <is>
          <t>JÄMTLANDS LÄN</t>
        </is>
      </c>
      <c r="E390" t="inlineStr">
        <is>
          <t>ÖSTERSUND</t>
        </is>
      </c>
      <c r="G390" t="n">
        <v>2.9</v>
      </c>
      <c r="H390" t="n">
        <v>0</v>
      </c>
      <c r="I390" t="n">
        <v>0</v>
      </c>
      <c r="J390" t="n">
        <v>0</v>
      </c>
      <c r="K390" t="n">
        <v>0</v>
      </c>
      <c r="L390" t="n">
        <v>0</v>
      </c>
      <c r="M390" t="n">
        <v>0</v>
      </c>
      <c r="N390" t="n">
        <v>0</v>
      </c>
      <c r="O390" t="n">
        <v>0</v>
      </c>
      <c r="P390" t="n">
        <v>0</v>
      </c>
      <c r="Q390" t="n">
        <v>0</v>
      </c>
      <c r="R390" s="2" t="inlineStr"/>
    </row>
    <row r="391" ht="15" customHeight="1">
      <c r="A391" t="inlineStr">
        <is>
          <t>A 51481-2023</t>
        </is>
      </c>
      <c r="B391" s="1" t="n">
        <v>45221.92440972223</v>
      </c>
      <c r="C391" s="1" t="n">
        <v>45883</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55140-2023</t>
        </is>
      </c>
      <c r="B392" s="1" t="n">
        <v>45237.50966435186</v>
      </c>
      <c r="C392" s="1" t="n">
        <v>45883</v>
      </c>
      <c r="D392" t="inlineStr">
        <is>
          <t>JÄMTLANDS LÄN</t>
        </is>
      </c>
      <c r="E392" t="inlineStr">
        <is>
          <t>ÖSTERSUND</t>
        </is>
      </c>
      <c r="G392" t="n">
        <v>1.8</v>
      </c>
      <c r="H392" t="n">
        <v>0</v>
      </c>
      <c r="I392" t="n">
        <v>0</v>
      </c>
      <c r="J392" t="n">
        <v>0</v>
      </c>
      <c r="K392" t="n">
        <v>0</v>
      </c>
      <c r="L392" t="n">
        <v>0</v>
      </c>
      <c r="M392" t="n">
        <v>0</v>
      </c>
      <c r="N392" t="n">
        <v>0</v>
      </c>
      <c r="O392" t="n">
        <v>0</v>
      </c>
      <c r="P392" t="n">
        <v>0</v>
      </c>
      <c r="Q392" t="n">
        <v>0</v>
      </c>
      <c r="R392" s="2" t="inlineStr"/>
    </row>
    <row r="393" ht="15" customHeight="1">
      <c r="A393" t="inlineStr">
        <is>
          <t>A 21094-2025</t>
        </is>
      </c>
      <c r="B393" s="1" t="n">
        <v>45777.62665509259</v>
      </c>
      <c r="C393" s="1" t="n">
        <v>45883</v>
      </c>
      <c r="D393" t="inlineStr">
        <is>
          <t>JÄMTLANDS LÄN</t>
        </is>
      </c>
      <c r="E393" t="inlineStr">
        <is>
          <t>ÖSTERSUND</t>
        </is>
      </c>
      <c r="G393" t="n">
        <v>3.3</v>
      </c>
      <c r="H393" t="n">
        <v>0</v>
      </c>
      <c r="I393" t="n">
        <v>0</v>
      </c>
      <c r="J393" t="n">
        <v>0</v>
      </c>
      <c r="K393" t="n">
        <v>0</v>
      </c>
      <c r="L393" t="n">
        <v>0</v>
      </c>
      <c r="M393" t="n">
        <v>0</v>
      </c>
      <c r="N393" t="n">
        <v>0</v>
      </c>
      <c r="O393" t="n">
        <v>0</v>
      </c>
      <c r="P393" t="n">
        <v>0</v>
      </c>
      <c r="Q393" t="n">
        <v>0</v>
      </c>
      <c r="R393" s="2" t="inlineStr"/>
    </row>
    <row r="394" ht="15" customHeight="1">
      <c r="A394" t="inlineStr">
        <is>
          <t>A 21237-2025</t>
        </is>
      </c>
      <c r="B394" s="1" t="n">
        <v>45779</v>
      </c>
      <c r="C394" s="1" t="n">
        <v>45883</v>
      </c>
      <c r="D394" t="inlineStr">
        <is>
          <t>JÄMTLANDS LÄN</t>
        </is>
      </c>
      <c r="E394" t="inlineStr">
        <is>
          <t>ÖSTERSUND</t>
        </is>
      </c>
      <c r="G394" t="n">
        <v>0.4</v>
      </c>
      <c r="H394" t="n">
        <v>0</v>
      </c>
      <c r="I394" t="n">
        <v>0</v>
      </c>
      <c r="J394" t="n">
        <v>0</v>
      </c>
      <c r="K394" t="n">
        <v>0</v>
      </c>
      <c r="L394" t="n">
        <v>0</v>
      </c>
      <c r="M394" t="n">
        <v>0</v>
      </c>
      <c r="N394" t="n">
        <v>0</v>
      </c>
      <c r="O394" t="n">
        <v>0</v>
      </c>
      <c r="P394" t="n">
        <v>0</v>
      </c>
      <c r="Q394" t="n">
        <v>0</v>
      </c>
      <c r="R394" s="2" t="inlineStr"/>
    </row>
    <row r="395" ht="15" customHeight="1">
      <c r="A395" t="inlineStr">
        <is>
          <t>A 46732-2024</t>
        </is>
      </c>
      <c r="B395" s="1" t="n">
        <v>45583.46936342592</v>
      </c>
      <c r="C395" s="1" t="n">
        <v>45883</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2686-2021</t>
        </is>
      </c>
      <c r="B396" s="1" t="n">
        <v>44214</v>
      </c>
      <c r="C396" s="1" t="n">
        <v>45883</v>
      </c>
      <c r="D396" t="inlineStr">
        <is>
          <t>JÄMTLANDS LÄN</t>
        </is>
      </c>
      <c r="E396" t="inlineStr">
        <is>
          <t>ÖSTERSUND</t>
        </is>
      </c>
      <c r="G396" t="n">
        <v>1.6</v>
      </c>
      <c r="H396" t="n">
        <v>0</v>
      </c>
      <c r="I396" t="n">
        <v>0</v>
      </c>
      <c r="J396" t="n">
        <v>0</v>
      </c>
      <c r="K396" t="n">
        <v>0</v>
      </c>
      <c r="L396" t="n">
        <v>0</v>
      </c>
      <c r="M396" t="n">
        <v>0</v>
      </c>
      <c r="N396" t="n">
        <v>0</v>
      </c>
      <c r="O396" t="n">
        <v>0</v>
      </c>
      <c r="P396" t="n">
        <v>0</v>
      </c>
      <c r="Q396" t="n">
        <v>0</v>
      </c>
      <c r="R396" s="2" t="inlineStr"/>
    </row>
    <row r="397" ht="15" customHeight="1">
      <c r="A397" t="inlineStr">
        <is>
          <t>A 14848-2025</t>
        </is>
      </c>
      <c r="B397" s="1" t="n">
        <v>45743.39528935185</v>
      </c>
      <c r="C397" s="1" t="n">
        <v>45883</v>
      </c>
      <c r="D397" t="inlineStr">
        <is>
          <t>JÄMTLANDS LÄN</t>
        </is>
      </c>
      <c r="E397" t="inlineStr">
        <is>
          <t>ÖSTERSUND</t>
        </is>
      </c>
      <c r="G397" t="n">
        <v>12.1</v>
      </c>
      <c r="H397" t="n">
        <v>0</v>
      </c>
      <c r="I397" t="n">
        <v>0</v>
      </c>
      <c r="J397" t="n">
        <v>0</v>
      </c>
      <c r="K397" t="n">
        <v>0</v>
      </c>
      <c r="L397" t="n">
        <v>0</v>
      </c>
      <c r="M397" t="n">
        <v>0</v>
      </c>
      <c r="N397" t="n">
        <v>0</v>
      </c>
      <c r="O397" t="n">
        <v>0</v>
      </c>
      <c r="P397" t="n">
        <v>0</v>
      </c>
      <c r="Q397" t="n">
        <v>0</v>
      </c>
      <c r="R397" s="2" t="inlineStr"/>
    </row>
    <row r="398" ht="15" customHeight="1">
      <c r="A398" t="inlineStr">
        <is>
          <t>A 16812-2025</t>
        </is>
      </c>
      <c r="B398" s="1" t="n">
        <v>45754</v>
      </c>
      <c r="C398" s="1" t="n">
        <v>45883</v>
      </c>
      <c r="D398" t="inlineStr">
        <is>
          <t>JÄMTLANDS LÄN</t>
        </is>
      </c>
      <c r="E398" t="inlineStr">
        <is>
          <t>ÖSTERSUND</t>
        </is>
      </c>
      <c r="F398" t="inlineStr">
        <is>
          <t>Övriga statliga verk och myndigheter</t>
        </is>
      </c>
      <c r="G398" t="n">
        <v>3.7</v>
      </c>
      <c r="H398" t="n">
        <v>0</v>
      </c>
      <c r="I398" t="n">
        <v>0</v>
      </c>
      <c r="J398" t="n">
        <v>0</v>
      </c>
      <c r="K398" t="n">
        <v>0</v>
      </c>
      <c r="L398" t="n">
        <v>0</v>
      </c>
      <c r="M398" t="n">
        <v>0</v>
      </c>
      <c r="N398" t="n">
        <v>0</v>
      </c>
      <c r="O398" t="n">
        <v>0</v>
      </c>
      <c r="P398" t="n">
        <v>0</v>
      </c>
      <c r="Q398" t="n">
        <v>0</v>
      </c>
      <c r="R398" s="2" t="inlineStr"/>
    </row>
    <row r="399" ht="15" customHeight="1">
      <c r="A399" t="inlineStr">
        <is>
          <t>A 60623-2022</t>
        </is>
      </c>
      <c r="B399" s="1" t="n">
        <v>44911.6459837963</v>
      </c>
      <c r="C399" s="1" t="n">
        <v>45883</v>
      </c>
      <c r="D399" t="inlineStr">
        <is>
          <t>JÄMTLANDS LÄN</t>
        </is>
      </c>
      <c r="E399" t="inlineStr">
        <is>
          <t>ÖSTERSUND</t>
        </is>
      </c>
      <c r="G399" t="n">
        <v>10.9</v>
      </c>
      <c r="H399" t="n">
        <v>0</v>
      </c>
      <c r="I399" t="n">
        <v>0</v>
      </c>
      <c r="J399" t="n">
        <v>0</v>
      </c>
      <c r="K399" t="n">
        <v>0</v>
      </c>
      <c r="L399" t="n">
        <v>0</v>
      </c>
      <c r="M399" t="n">
        <v>0</v>
      </c>
      <c r="N399" t="n">
        <v>0</v>
      </c>
      <c r="O399" t="n">
        <v>0</v>
      </c>
      <c r="P399" t="n">
        <v>0</v>
      </c>
      <c r="Q399" t="n">
        <v>0</v>
      </c>
      <c r="R399" s="2" t="inlineStr"/>
    </row>
    <row r="400" ht="15" customHeight="1">
      <c r="A400" t="inlineStr">
        <is>
          <t>A 16725-2025</t>
        </is>
      </c>
      <c r="B400" s="1" t="n">
        <v>45754</v>
      </c>
      <c r="C400" s="1" t="n">
        <v>45883</v>
      </c>
      <c r="D400" t="inlineStr">
        <is>
          <t>JÄMTLANDS LÄN</t>
        </is>
      </c>
      <c r="E400" t="inlineStr">
        <is>
          <t>ÖSTERSUND</t>
        </is>
      </c>
      <c r="F400" t="inlineStr">
        <is>
          <t>Övriga statliga verk och myndigheter</t>
        </is>
      </c>
      <c r="G400" t="n">
        <v>3.7</v>
      </c>
      <c r="H400" t="n">
        <v>0</v>
      </c>
      <c r="I400" t="n">
        <v>0</v>
      </c>
      <c r="J400" t="n">
        <v>0</v>
      </c>
      <c r="K400" t="n">
        <v>0</v>
      </c>
      <c r="L400" t="n">
        <v>0</v>
      </c>
      <c r="M400" t="n">
        <v>0</v>
      </c>
      <c r="N400" t="n">
        <v>0</v>
      </c>
      <c r="O400" t="n">
        <v>0</v>
      </c>
      <c r="P400" t="n">
        <v>0</v>
      </c>
      <c r="Q400" t="n">
        <v>0</v>
      </c>
      <c r="R400" s="2" t="inlineStr"/>
    </row>
    <row r="401" ht="15" customHeight="1">
      <c r="A401" t="inlineStr">
        <is>
          <t>A 45895-2024</t>
        </is>
      </c>
      <c r="B401" s="1" t="n">
        <v>45580.42736111111</v>
      </c>
      <c r="C401" s="1" t="n">
        <v>45883</v>
      </c>
      <c r="D401" t="inlineStr">
        <is>
          <t>JÄMTLANDS LÄN</t>
        </is>
      </c>
      <c r="E401" t="inlineStr">
        <is>
          <t>ÖSTERSUND</t>
        </is>
      </c>
      <c r="G401" t="n">
        <v>1.2</v>
      </c>
      <c r="H401" t="n">
        <v>0</v>
      </c>
      <c r="I401" t="n">
        <v>0</v>
      </c>
      <c r="J401" t="n">
        <v>0</v>
      </c>
      <c r="K401" t="n">
        <v>0</v>
      </c>
      <c r="L401" t="n">
        <v>0</v>
      </c>
      <c r="M401" t="n">
        <v>0</v>
      </c>
      <c r="N401" t="n">
        <v>0</v>
      </c>
      <c r="O401" t="n">
        <v>0</v>
      </c>
      <c r="P401" t="n">
        <v>0</v>
      </c>
      <c r="Q401" t="n">
        <v>0</v>
      </c>
      <c r="R401" s="2" t="inlineStr"/>
    </row>
    <row r="402" ht="15" customHeight="1">
      <c r="A402" t="inlineStr">
        <is>
          <t>A 51818-2024</t>
        </is>
      </c>
      <c r="B402" s="1" t="n">
        <v>45607.49265046296</v>
      </c>
      <c r="C402" s="1" t="n">
        <v>45883</v>
      </c>
      <c r="D402" t="inlineStr">
        <is>
          <t>JÄMTLANDS LÄN</t>
        </is>
      </c>
      <c r="E402" t="inlineStr">
        <is>
          <t>ÖSTERSUND</t>
        </is>
      </c>
      <c r="G402" t="n">
        <v>4.6</v>
      </c>
      <c r="H402" t="n">
        <v>0</v>
      </c>
      <c r="I402" t="n">
        <v>0</v>
      </c>
      <c r="J402" t="n">
        <v>0</v>
      </c>
      <c r="K402" t="n">
        <v>0</v>
      </c>
      <c r="L402" t="n">
        <v>0</v>
      </c>
      <c r="M402" t="n">
        <v>0</v>
      </c>
      <c r="N402" t="n">
        <v>0</v>
      </c>
      <c r="O402" t="n">
        <v>0</v>
      </c>
      <c r="P402" t="n">
        <v>0</v>
      </c>
      <c r="Q402" t="n">
        <v>0</v>
      </c>
      <c r="R402" s="2" t="inlineStr"/>
    </row>
    <row r="403" ht="15" customHeight="1">
      <c r="A403" t="inlineStr">
        <is>
          <t>A 14653-2022</t>
        </is>
      </c>
      <c r="B403" s="1" t="n">
        <v>44655.69303240741</v>
      </c>
      <c r="C403" s="1" t="n">
        <v>45883</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48106-2024</t>
        </is>
      </c>
      <c r="B404" s="1" t="n">
        <v>45589.62625</v>
      </c>
      <c r="C404" s="1" t="n">
        <v>45883</v>
      </c>
      <c r="D404" t="inlineStr">
        <is>
          <t>JÄMTLANDS LÄN</t>
        </is>
      </c>
      <c r="E404" t="inlineStr">
        <is>
          <t>ÖSTERSUND</t>
        </is>
      </c>
      <c r="G404" t="n">
        <v>3.5</v>
      </c>
      <c r="H404" t="n">
        <v>0</v>
      </c>
      <c r="I404" t="n">
        <v>0</v>
      </c>
      <c r="J404" t="n">
        <v>0</v>
      </c>
      <c r="K404" t="n">
        <v>0</v>
      </c>
      <c r="L404" t="n">
        <v>0</v>
      </c>
      <c r="M404" t="n">
        <v>0</v>
      </c>
      <c r="N404" t="n">
        <v>0</v>
      </c>
      <c r="O404" t="n">
        <v>0</v>
      </c>
      <c r="P404" t="n">
        <v>0</v>
      </c>
      <c r="Q404" t="n">
        <v>0</v>
      </c>
      <c r="R404" s="2" t="inlineStr"/>
    </row>
    <row r="405" ht="15" customHeight="1">
      <c r="A405" t="inlineStr">
        <is>
          <t>A 4480-2025</t>
        </is>
      </c>
      <c r="B405" s="1" t="n">
        <v>45686.64175925926</v>
      </c>
      <c r="C405" s="1" t="n">
        <v>45883</v>
      </c>
      <c r="D405" t="inlineStr">
        <is>
          <t>JÄMTLANDS LÄN</t>
        </is>
      </c>
      <c r="E405" t="inlineStr">
        <is>
          <t>ÖSTERSUND</t>
        </is>
      </c>
      <c r="G405" t="n">
        <v>27.7</v>
      </c>
      <c r="H405" t="n">
        <v>0</v>
      </c>
      <c r="I405" t="n">
        <v>0</v>
      </c>
      <c r="J405" t="n">
        <v>0</v>
      </c>
      <c r="K405" t="n">
        <v>0</v>
      </c>
      <c r="L405" t="n">
        <v>0</v>
      </c>
      <c r="M405" t="n">
        <v>0</v>
      </c>
      <c r="N405" t="n">
        <v>0</v>
      </c>
      <c r="O405" t="n">
        <v>0</v>
      </c>
      <c r="P405" t="n">
        <v>0</v>
      </c>
      <c r="Q405" t="n">
        <v>0</v>
      </c>
      <c r="R405" s="2" t="inlineStr"/>
    </row>
    <row r="406" ht="15" customHeight="1">
      <c r="A406" t="inlineStr">
        <is>
          <t>A 20960-2022</t>
        </is>
      </c>
      <c r="B406" s="1" t="n">
        <v>44701.94034722223</v>
      </c>
      <c r="C406" s="1" t="n">
        <v>45883</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60780-2023</t>
        </is>
      </c>
      <c r="B407" s="1" t="n">
        <v>45260</v>
      </c>
      <c r="C407" s="1" t="n">
        <v>45883</v>
      </c>
      <c r="D407" t="inlineStr">
        <is>
          <t>JÄMTLANDS LÄN</t>
        </is>
      </c>
      <c r="E407" t="inlineStr">
        <is>
          <t>ÖSTERSUND</t>
        </is>
      </c>
      <c r="G407" t="n">
        <v>3.7</v>
      </c>
      <c r="H407" t="n">
        <v>0</v>
      </c>
      <c r="I407" t="n">
        <v>0</v>
      </c>
      <c r="J407" t="n">
        <v>0</v>
      </c>
      <c r="K407" t="n">
        <v>0</v>
      </c>
      <c r="L407" t="n">
        <v>0</v>
      </c>
      <c r="M407" t="n">
        <v>0</v>
      </c>
      <c r="N407" t="n">
        <v>0</v>
      </c>
      <c r="O407" t="n">
        <v>0</v>
      </c>
      <c r="P407" t="n">
        <v>0</v>
      </c>
      <c r="Q407" t="n">
        <v>0</v>
      </c>
      <c r="R407" s="2" t="inlineStr"/>
    </row>
    <row r="408" ht="15" customHeight="1">
      <c r="A408" t="inlineStr">
        <is>
          <t>A 38335-2023</t>
        </is>
      </c>
      <c r="B408" s="1" t="n">
        <v>45161</v>
      </c>
      <c r="C408" s="1" t="n">
        <v>45883</v>
      </c>
      <c r="D408" t="inlineStr">
        <is>
          <t>JÄMTLANDS LÄN</t>
        </is>
      </c>
      <c r="E408" t="inlineStr">
        <is>
          <t>ÖSTERSUND</t>
        </is>
      </c>
      <c r="G408" t="n">
        <v>15.1</v>
      </c>
      <c r="H408" t="n">
        <v>0</v>
      </c>
      <c r="I408" t="n">
        <v>0</v>
      </c>
      <c r="J408" t="n">
        <v>0</v>
      </c>
      <c r="K408" t="n">
        <v>0</v>
      </c>
      <c r="L408" t="n">
        <v>0</v>
      </c>
      <c r="M408" t="n">
        <v>0</v>
      </c>
      <c r="N408" t="n">
        <v>0</v>
      </c>
      <c r="O408" t="n">
        <v>0</v>
      </c>
      <c r="P408" t="n">
        <v>0</v>
      </c>
      <c r="Q408" t="n">
        <v>0</v>
      </c>
      <c r="R408" s="2" t="inlineStr"/>
    </row>
    <row r="409" ht="15" customHeight="1">
      <c r="A409" t="inlineStr">
        <is>
          <t>A 21704-2025</t>
        </is>
      </c>
      <c r="B409" s="1" t="n">
        <v>45783.51381944444</v>
      </c>
      <c r="C409" s="1" t="n">
        <v>45883</v>
      </c>
      <c r="D409" t="inlineStr">
        <is>
          <t>JÄMTLANDS LÄN</t>
        </is>
      </c>
      <c r="E409" t="inlineStr">
        <is>
          <t>ÖSTERSUND</t>
        </is>
      </c>
      <c r="G409" t="n">
        <v>4.2</v>
      </c>
      <c r="H409" t="n">
        <v>0</v>
      </c>
      <c r="I409" t="n">
        <v>0</v>
      </c>
      <c r="J409" t="n">
        <v>0</v>
      </c>
      <c r="K409" t="n">
        <v>0</v>
      </c>
      <c r="L409" t="n">
        <v>0</v>
      </c>
      <c r="M409" t="n">
        <v>0</v>
      </c>
      <c r="N409" t="n">
        <v>0</v>
      </c>
      <c r="O409" t="n">
        <v>0</v>
      </c>
      <c r="P409" t="n">
        <v>0</v>
      </c>
      <c r="Q409" t="n">
        <v>0</v>
      </c>
      <c r="R409" s="2" t="inlineStr"/>
    </row>
    <row r="410" ht="15" customHeight="1">
      <c r="A410" t="inlineStr">
        <is>
          <t>A 57589-2024</t>
        </is>
      </c>
      <c r="B410" s="1" t="n">
        <v>45630.49710648148</v>
      </c>
      <c r="C410" s="1" t="n">
        <v>45883</v>
      </c>
      <c r="D410" t="inlineStr">
        <is>
          <t>JÄMTLANDS LÄN</t>
        </is>
      </c>
      <c r="E410" t="inlineStr">
        <is>
          <t>ÖSTERSUND</t>
        </is>
      </c>
      <c r="G410" t="n">
        <v>1.8</v>
      </c>
      <c r="H410" t="n">
        <v>0</v>
      </c>
      <c r="I410" t="n">
        <v>0</v>
      </c>
      <c r="J410" t="n">
        <v>0</v>
      </c>
      <c r="K410" t="n">
        <v>0</v>
      </c>
      <c r="L410" t="n">
        <v>0</v>
      </c>
      <c r="M410" t="n">
        <v>0</v>
      </c>
      <c r="N410" t="n">
        <v>0</v>
      </c>
      <c r="O410" t="n">
        <v>0</v>
      </c>
      <c r="P410" t="n">
        <v>0</v>
      </c>
      <c r="Q410" t="n">
        <v>0</v>
      </c>
      <c r="R410" s="2" t="inlineStr"/>
    </row>
    <row r="411" ht="15" customHeight="1">
      <c r="A411" t="inlineStr">
        <is>
          <t>A 55064-2024</t>
        </is>
      </c>
      <c r="B411" s="1" t="n">
        <v>45621.41050925926</v>
      </c>
      <c r="C411" s="1" t="n">
        <v>45883</v>
      </c>
      <c r="D411" t="inlineStr">
        <is>
          <t>JÄMTLANDS LÄN</t>
        </is>
      </c>
      <c r="E411" t="inlineStr">
        <is>
          <t>ÖSTERSUND</t>
        </is>
      </c>
      <c r="G411" t="n">
        <v>0.8</v>
      </c>
      <c r="H411" t="n">
        <v>0</v>
      </c>
      <c r="I411" t="n">
        <v>0</v>
      </c>
      <c r="J411" t="n">
        <v>0</v>
      </c>
      <c r="K411" t="n">
        <v>0</v>
      </c>
      <c r="L411" t="n">
        <v>0</v>
      </c>
      <c r="M411" t="n">
        <v>0</v>
      </c>
      <c r="N411" t="n">
        <v>0</v>
      </c>
      <c r="O411" t="n">
        <v>0</v>
      </c>
      <c r="P411" t="n">
        <v>0</v>
      </c>
      <c r="Q411" t="n">
        <v>0</v>
      </c>
      <c r="R411" s="2" t="inlineStr"/>
    </row>
    <row r="412" ht="15" customHeight="1">
      <c r="A412" t="inlineStr">
        <is>
          <t>A 45338-2024</t>
        </is>
      </c>
      <c r="B412" s="1" t="n">
        <v>45576.46905092592</v>
      </c>
      <c r="C412" s="1" t="n">
        <v>45883</v>
      </c>
      <c r="D412" t="inlineStr">
        <is>
          <t>JÄMTLANDS LÄN</t>
        </is>
      </c>
      <c r="E412" t="inlineStr">
        <is>
          <t>ÖSTERSUND</t>
        </is>
      </c>
      <c r="G412" t="n">
        <v>1.4</v>
      </c>
      <c r="H412" t="n">
        <v>0</v>
      </c>
      <c r="I412" t="n">
        <v>0</v>
      </c>
      <c r="J412" t="n">
        <v>0</v>
      </c>
      <c r="K412" t="n">
        <v>0</v>
      </c>
      <c r="L412" t="n">
        <v>0</v>
      </c>
      <c r="M412" t="n">
        <v>0</v>
      </c>
      <c r="N412" t="n">
        <v>0</v>
      </c>
      <c r="O412" t="n">
        <v>0</v>
      </c>
      <c r="P412" t="n">
        <v>0</v>
      </c>
      <c r="Q412" t="n">
        <v>0</v>
      </c>
      <c r="R412" s="2" t="inlineStr"/>
    </row>
    <row r="413" ht="15" customHeight="1">
      <c r="A413" t="inlineStr">
        <is>
          <t>A 11740-2022</t>
        </is>
      </c>
      <c r="B413" s="1" t="n">
        <v>44634.52982638889</v>
      </c>
      <c r="C413" s="1" t="n">
        <v>45883</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10116-2025</t>
        </is>
      </c>
      <c r="B414" s="1" t="n">
        <v>45719.59836805556</v>
      </c>
      <c r="C414" s="1" t="n">
        <v>45883</v>
      </c>
      <c r="D414" t="inlineStr">
        <is>
          <t>JÄMTLANDS LÄN</t>
        </is>
      </c>
      <c r="E414" t="inlineStr">
        <is>
          <t>ÖSTERSUND</t>
        </is>
      </c>
      <c r="G414" t="n">
        <v>11.1</v>
      </c>
      <c r="H414" t="n">
        <v>0</v>
      </c>
      <c r="I414" t="n">
        <v>0</v>
      </c>
      <c r="J414" t="n">
        <v>0</v>
      </c>
      <c r="K414" t="n">
        <v>0</v>
      </c>
      <c r="L414" t="n">
        <v>0</v>
      </c>
      <c r="M414" t="n">
        <v>0</v>
      </c>
      <c r="N414" t="n">
        <v>0</v>
      </c>
      <c r="O414" t="n">
        <v>0</v>
      </c>
      <c r="P414" t="n">
        <v>0</v>
      </c>
      <c r="Q414" t="n">
        <v>0</v>
      </c>
      <c r="R414" s="2" t="inlineStr"/>
    </row>
    <row r="415" ht="15" customHeight="1">
      <c r="A415" t="inlineStr">
        <is>
          <t>A 38926-2024</t>
        </is>
      </c>
      <c r="B415" s="1" t="n">
        <v>45547.90777777778</v>
      </c>
      <c r="C415" s="1" t="n">
        <v>45883</v>
      </c>
      <c r="D415" t="inlineStr">
        <is>
          <t>JÄMTLANDS LÄN</t>
        </is>
      </c>
      <c r="E415" t="inlineStr">
        <is>
          <t>ÖSTERSUND</t>
        </is>
      </c>
      <c r="G415" t="n">
        <v>0.4</v>
      </c>
      <c r="H415" t="n">
        <v>0</v>
      </c>
      <c r="I415" t="n">
        <v>0</v>
      </c>
      <c r="J415" t="n">
        <v>0</v>
      </c>
      <c r="K415" t="n">
        <v>0</v>
      </c>
      <c r="L415" t="n">
        <v>0</v>
      </c>
      <c r="M415" t="n">
        <v>0</v>
      </c>
      <c r="N415" t="n">
        <v>0</v>
      </c>
      <c r="O415" t="n">
        <v>0</v>
      </c>
      <c r="P415" t="n">
        <v>0</v>
      </c>
      <c r="Q415" t="n">
        <v>0</v>
      </c>
      <c r="R415" s="2" t="inlineStr"/>
    </row>
    <row r="416" ht="15" customHeight="1">
      <c r="A416" t="inlineStr">
        <is>
          <t>A 20588-2023</t>
        </is>
      </c>
      <c r="B416" s="1" t="n">
        <v>45057</v>
      </c>
      <c r="C416" s="1" t="n">
        <v>45883</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22612-2025</t>
        </is>
      </c>
      <c r="B417" s="1" t="n">
        <v>45789.42538194444</v>
      </c>
      <c r="C417" s="1" t="n">
        <v>45883</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26321-2022</t>
        </is>
      </c>
      <c r="B418" s="1" t="n">
        <v>44735</v>
      </c>
      <c r="C418" s="1" t="n">
        <v>45883</v>
      </c>
      <c r="D418" t="inlineStr">
        <is>
          <t>JÄMTLANDS LÄN</t>
        </is>
      </c>
      <c r="E418" t="inlineStr">
        <is>
          <t>ÖSTERSUND</t>
        </is>
      </c>
      <c r="G418" t="n">
        <v>1</v>
      </c>
      <c r="H418" t="n">
        <v>0</v>
      </c>
      <c r="I418" t="n">
        <v>0</v>
      </c>
      <c r="J418" t="n">
        <v>0</v>
      </c>
      <c r="K418" t="n">
        <v>0</v>
      </c>
      <c r="L418" t="n">
        <v>0</v>
      </c>
      <c r="M418" t="n">
        <v>0</v>
      </c>
      <c r="N418" t="n">
        <v>0</v>
      </c>
      <c r="O418" t="n">
        <v>0</v>
      </c>
      <c r="P418" t="n">
        <v>0</v>
      </c>
      <c r="Q418" t="n">
        <v>0</v>
      </c>
      <c r="R418" s="2" t="inlineStr"/>
    </row>
    <row r="419" ht="15" customHeight="1">
      <c r="A419" t="inlineStr">
        <is>
          <t>A 14542-2025</t>
        </is>
      </c>
      <c r="B419" s="1" t="n">
        <v>45741.68631944444</v>
      </c>
      <c r="C419" s="1" t="n">
        <v>45883</v>
      </c>
      <c r="D419" t="inlineStr">
        <is>
          <t>JÄMTLANDS LÄN</t>
        </is>
      </c>
      <c r="E419" t="inlineStr">
        <is>
          <t>ÖSTERSUND</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15686-2025</t>
        </is>
      </c>
      <c r="B420" s="1" t="n">
        <v>45748.46021990741</v>
      </c>
      <c r="C420" s="1" t="n">
        <v>45883</v>
      </c>
      <c r="D420" t="inlineStr">
        <is>
          <t>JÄMTLANDS LÄN</t>
        </is>
      </c>
      <c r="E420" t="inlineStr">
        <is>
          <t>ÖSTERSUND</t>
        </is>
      </c>
      <c r="G420" t="n">
        <v>1.5</v>
      </c>
      <c r="H420" t="n">
        <v>0</v>
      </c>
      <c r="I420" t="n">
        <v>0</v>
      </c>
      <c r="J420" t="n">
        <v>0</v>
      </c>
      <c r="K420" t="n">
        <v>0</v>
      </c>
      <c r="L420" t="n">
        <v>0</v>
      </c>
      <c r="M420" t="n">
        <v>0</v>
      </c>
      <c r="N420" t="n">
        <v>0</v>
      </c>
      <c r="O420" t="n">
        <v>0</v>
      </c>
      <c r="P420" t="n">
        <v>0</v>
      </c>
      <c r="Q420" t="n">
        <v>0</v>
      </c>
      <c r="R420" s="2" t="inlineStr"/>
    </row>
    <row r="421" ht="15" customHeight="1">
      <c r="A421" t="inlineStr">
        <is>
          <t>A 8027-2022</t>
        </is>
      </c>
      <c r="B421" s="1" t="n">
        <v>44609</v>
      </c>
      <c r="C421" s="1" t="n">
        <v>45883</v>
      </c>
      <c r="D421" t="inlineStr">
        <is>
          <t>JÄMTLANDS LÄN</t>
        </is>
      </c>
      <c r="E421" t="inlineStr">
        <is>
          <t>ÖSTERSUND</t>
        </is>
      </c>
      <c r="G421" t="n">
        <v>1.6</v>
      </c>
      <c r="H421" t="n">
        <v>0</v>
      </c>
      <c r="I421" t="n">
        <v>0</v>
      </c>
      <c r="J421" t="n">
        <v>0</v>
      </c>
      <c r="K421" t="n">
        <v>0</v>
      </c>
      <c r="L421" t="n">
        <v>0</v>
      </c>
      <c r="M421" t="n">
        <v>0</v>
      </c>
      <c r="N421" t="n">
        <v>0</v>
      </c>
      <c r="O421" t="n">
        <v>0</v>
      </c>
      <c r="P421" t="n">
        <v>0</v>
      </c>
      <c r="Q421" t="n">
        <v>0</v>
      </c>
      <c r="R421" s="2" t="inlineStr"/>
    </row>
    <row r="422" ht="15" customHeight="1">
      <c r="A422" t="inlineStr">
        <is>
          <t>A 19323-2024</t>
        </is>
      </c>
      <c r="B422" s="1" t="n">
        <v>45428.92486111111</v>
      </c>
      <c r="C422" s="1" t="n">
        <v>45883</v>
      </c>
      <c r="D422" t="inlineStr">
        <is>
          <t>JÄMTLANDS LÄN</t>
        </is>
      </c>
      <c r="E422" t="inlineStr">
        <is>
          <t>ÖSTERSUND</t>
        </is>
      </c>
      <c r="F422" t="inlineStr">
        <is>
          <t>Kommuner</t>
        </is>
      </c>
      <c r="G422" t="n">
        <v>0.2</v>
      </c>
      <c r="H422" t="n">
        <v>0</v>
      </c>
      <c r="I422" t="n">
        <v>0</v>
      </c>
      <c r="J422" t="n">
        <v>0</v>
      </c>
      <c r="K422" t="n">
        <v>0</v>
      </c>
      <c r="L422" t="n">
        <v>0</v>
      </c>
      <c r="M422" t="n">
        <v>0</v>
      </c>
      <c r="N422" t="n">
        <v>0</v>
      </c>
      <c r="O422" t="n">
        <v>0</v>
      </c>
      <c r="P422" t="n">
        <v>0</v>
      </c>
      <c r="Q422" t="n">
        <v>0</v>
      </c>
      <c r="R422" s="2" t="inlineStr"/>
    </row>
    <row r="423" ht="15" customHeight="1">
      <c r="A423" t="inlineStr">
        <is>
          <t>A 4936-2025</t>
        </is>
      </c>
      <c r="B423" s="1" t="n">
        <v>45688.69356481481</v>
      </c>
      <c r="C423" s="1" t="n">
        <v>45883</v>
      </c>
      <c r="D423" t="inlineStr">
        <is>
          <t>JÄMTLANDS LÄN</t>
        </is>
      </c>
      <c r="E423" t="inlineStr">
        <is>
          <t>ÖSTERSUND</t>
        </is>
      </c>
      <c r="G423" t="n">
        <v>8.1</v>
      </c>
      <c r="H423" t="n">
        <v>0</v>
      </c>
      <c r="I423" t="n">
        <v>0</v>
      </c>
      <c r="J423" t="n">
        <v>0</v>
      </c>
      <c r="K423" t="n">
        <v>0</v>
      </c>
      <c r="L423" t="n">
        <v>0</v>
      </c>
      <c r="M423" t="n">
        <v>0</v>
      </c>
      <c r="N423" t="n">
        <v>0</v>
      </c>
      <c r="O423" t="n">
        <v>0</v>
      </c>
      <c r="P423" t="n">
        <v>0</v>
      </c>
      <c r="Q423" t="n">
        <v>0</v>
      </c>
      <c r="R423" s="2" t="inlineStr"/>
    </row>
    <row r="424" ht="15" customHeight="1">
      <c r="A424" t="inlineStr">
        <is>
          <t>A 14831-2025</t>
        </is>
      </c>
      <c r="B424" s="1" t="n">
        <v>45743.37109953703</v>
      </c>
      <c r="C424" s="1" t="n">
        <v>45883</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22384-2025</t>
        </is>
      </c>
      <c r="B425" s="1" t="n">
        <v>45786</v>
      </c>
      <c r="C425" s="1" t="n">
        <v>45883</v>
      </c>
      <c r="D425" t="inlineStr">
        <is>
          <t>JÄMTLANDS LÄN</t>
        </is>
      </c>
      <c r="E425" t="inlineStr">
        <is>
          <t>ÖSTERSUND</t>
        </is>
      </c>
      <c r="G425" t="n">
        <v>1.4</v>
      </c>
      <c r="H425" t="n">
        <v>0</v>
      </c>
      <c r="I425" t="n">
        <v>0</v>
      </c>
      <c r="J425" t="n">
        <v>0</v>
      </c>
      <c r="K425" t="n">
        <v>0</v>
      </c>
      <c r="L425" t="n">
        <v>0</v>
      </c>
      <c r="M425" t="n">
        <v>0</v>
      </c>
      <c r="N425" t="n">
        <v>0</v>
      </c>
      <c r="O425" t="n">
        <v>0</v>
      </c>
      <c r="P425" t="n">
        <v>0</v>
      </c>
      <c r="Q425" t="n">
        <v>0</v>
      </c>
      <c r="R425" s="2" t="inlineStr"/>
    </row>
    <row r="426" ht="15" customHeight="1">
      <c r="A426" t="inlineStr">
        <is>
          <t>A 17948-2025</t>
        </is>
      </c>
      <c r="B426" s="1" t="n">
        <v>45760.66995370371</v>
      </c>
      <c r="C426" s="1" t="n">
        <v>45883</v>
      </c>
      <c r="D426" t="inlineStr">
        <is>
          <t>JÄMTLANDS LÄN</t>
        </is>
      </c>
      <c r="E426" t="inlineStr">
        <is>
          <t>ÖSTERSUND</t>
        </is>
      </c>
      <c r="G426" t="n">
        <v>3.9</v>
      </c>
      <c r="H426" t="n">
        <v>0</v>
      </c>
      <c r="I426" t="n">
        <v>0</v>
      </c>
      <c r="J426" t="n">
        <v>0</v>
      </c>
      <c r="K426" t="n">
        <v>0</v>
      </c>
      <c r="L426" t="n">
        <v>0</v>
      </c>
      <c r="M426" t="n">
        <v>0</v>
      </c>
      <c r="N426" t="n">
        <v>0</v>
      </c>
      <c r="O426" t="n">
        <v>0</v>
      </c>
      <c r="P426" t="n">
        <v>0</v>
      </c>
      <c r="Q426" t="n">
        <v>0</v>
      </c>
      <c r="R426" s="2" t="inlineStr"/>
    </row>
    <row r="427" ht="15" customHeight="1">
      <c r="A427" t="inlineStr">
        <is>
          <t>A 49592-2024</t>
        </is>
      </c>
      <c r="B427" s="1" t="n">
        <v>45596.55266203704</v>
      </c>
      <c r="C427" s="1" t="n">
        <v>45883</v>
      </c>
      <c r="D427" t="inlineStr">
        <is>
          <t>JÄMTLANDS LÄN</t>
        </is>
      </c>
      <c r="E427" t="inlineStr">
        <is>
          <t>ÖSTERSUND</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4520-2025</t>
        </is>
      </c>
      <c r="B428" s="1" t="n">
        <v>45686.92384259259</v>
      </c>
      <c r="C428" s="1" t="n">
        <v>45883</v>
      </c>
      <c r="D428" t="inlineStr">
        <is>
          <t>JÄMTLANDS LÄN</t>
        </is>
      </c>
      <c r="E428" t="inlineStr">
        <is>
          <t>ÖSTERSUND</t>
        </is>
      </c>
      <c r="G428" t="n">
        <v>15.2</v>
      </c>
      <c r="H428" t="n">
        <v>0</v>
      </c>
      <c r="I428" t="n">
        <v>0</v>
      </c>
      <c r="J428" t="n">
        <v>0</v>
      </c>
      <c r="K428" t="n">
        <v>0</v>
      </c>
      <c r="L428" t="n">
        <v>0</v>
      </c>
      <c r="M428" t="n">
        <v>0</v>
      </c>
      <c r="N428" t="n">
        <v>0</v>
      </c>
      <c r="O428" t="n">
        <v>0</v>
      </c>
      <c r="P428" t="n">
        <v>0</v>
      </c>
      <c r="Q428" t="n">
        <v>0</v>
      </c>
      <c r="R428" s="2" t="inlineStr"/>
    </row>
    <row r="429" ht="15" customHeight="1">
      <c r="A429" t="inlineStr">
        <is>
          <t>A 4523-2025</t>
        </is>
      </c>
      <c r="B429" s="1" t="n">
        <v>45686.92864583333</v>
      </c>
      <c r="C429" s="1" t="n">
        <v>45883</v>
      </c>
      <c r="D429" t="inlineStr">
        <is>
          <t>JÄMTLANDS LÄN</t>
        </is>
      </c>
      <c r="E429" t="inlineStr">
        <is>
          <t>ÖSTERSUND</t>
        </is>
      </c>
      <c r="G429" t="n">
        <v>15.2</v>
      </c>
      <c r="H429" t="n">
        <v>0</v>
      </c>
      <c r="I429" t="n">
        <v>0</v>
      </c>
      <c r="J429" t="n">
        <v>0</v>
      </c>
      <c r="K429" t="n">
        <v>0</v>
      </c>
      <c r="L429" t="n">
        <v>0</v>
      </c>
      <c r="M429" t="n">
        <v>0</v>
      </c>
      <c r="N429" t="n">
        <v>0</v>
      </c>
      <c r="O429" t="n">
        <v>0</v>
      </c>
      <c r="P429" t="n">
        <v>0</v>
      </c>
      <c r="Q429" t="n">
        <v>0</v>
      </c>
      <c r="R429" s="2" t="inlineStr"/>
    </row>
    <row r="430" ht="15" customHeight="1">
      <c r="A430" t="inlineStr">
        <is>
          <t>A 22713-2025</t>
        </is>
      </c>
      <c r="B430" s="1" t="n">
        <v>45789.56414351852</v>
      </c>
      <c r="C430" s="1" t="n">
        <v>45883</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22822-2025</t>
        </is>
      </c>
      <c r="B431" s="1" t="n">
        <v>45789</v>
      </c>
      <c r="C431" s="1" t="n">
        <v>45883</v>
      </c>
      <c r="D431" t="inlineStr">
        <is>
          <t>JÄMTLANDS LÄN</t>
        </is>
      </c>
      <c r="E431" t="inlineStr">
        <is>
          <t>ÖSTERSUND</t>
        </is>
      </c>
      <c r="G431" t="n">
        <v>2.2</v>
      </c>
      <c r="H431" t="n">
        <v>0</v>
      </c>
      <c r="I431" t="n">
        <v>0</v>
      </c>
      <c r="J431" t="n">
        <v>0</v>
      </c>
      <c r="K431" t="n">
        <v>0</v>
      </c>
      <c r="L431" t="n">
        <v>0</v>
      </c>
      <c r="M431" t="n">
        <v>0</v>
      </c>
      <c r="N431" t="n">
        <v>0</v>
      </c>
      <c r="O431" t="n">
        <v>0</v>
      </c>
      <c r="P431" t="n">
        <v>0</v>
      </c>
      <c r="Q431" t="n">
        <v>0</v>
      </c>
      <c r="R431" s="2" t="inlineStr"/>
    </row>
    <row r="432" ht="15" customHeight="1">
      <c r="A432" t="inlineStr">
        <is>
          <t>A 22920-2025</t>
        </is>
      </c>
      <c r="B432" s="1" t="n">
        <v>45790.43905092592</v>
      </c>
      <c r="C432" s="1" t="n">
        <v>45883</v>
      </c>
      <c r="D432" t="inlineStr">
        <is>
          <t>JÄMTLANDS LÄN</t>
        </is>
      </c>
      <c r="E432" t="inlineStr">
        <is>
          <t>ÖSTERSUND</t>
        </is>
      </c>
      <c r="G432" t="n">
        <v>0.4</v>
      </c>
      <c r="H432" t="n">
        <v>0</v>
      </c>
      <c r="I432" t="n">
        <v>0</v>
      </c>
      <c r="J432" t="n">
        <v>0</v>
      </c>
      <c r="K432" t="n">
        <v>0</v>
      </c>
      <c r="L432" t="n">
        <v>0</v>
      </c>
      <c r="M432" t="n">
        <v>0</v>
      </c>
      <c r="N432" t="n">
        <v>0</v>
      </c>
      <c r="O432" t="n">
        <v>0</v>
      </c>
      <c r="P432" t="n">
        <v>0</v>
      </c>
      <c r="Q432" t="n">
        <v>0</v>
      </c>
      <c r="R432" s="2" t="inlineStr"/>
    </row>
    <row r="433" ht="15" customHeight="1">
      <c r="A433" t="inlineStr">
        <is>
          <t>A 22952-2025</t>
        </is>
      </c>
      <c r="B433" s="1" t="n">
        <v>45790.51074074074</v>
      </c>
      <c r="C433" s="1" t="n">
        <v>45883</v>
      </c>
      <c r="D433" t="inlineStr">
        <is>
          <t>JÄMTLANDS LÄN</t>
        </is>
      </c>
      <c r="E433" t="inlineStr">
        <is>
          <t>ÖSTERSUND</t>
        </is>
      </c>
      <c r="F433" t="inlineStr">
        <is>
          <t>SCA</t>
        </is>
      </c>
      <c r="G433" t="n">
        <v>4.6</v>
      </c>
      <c r="H433" t="n">
        <v>0</v>
      </c>
      <c r="I433" t="n">
        <v>0</v>
      </c>
      <c r="J433" t="n">
        <v>0</v>
      </c>
      <c r="K433" t="n">
        <v>0</v>
      </c>
      <c r="L433" t="n">
        <v>0</v>
      </c>
      <c r="M433" t="n">
        <v>0</v>
      </c>
      <c r="N433" t="n">
        <v>0</v>
      </c>
      <c r="O433" t="n">
        <v>0</v>
      </c>
      <c r="P433" t="n">
        <v>0</v>
      </c>
      <c r="Q433" t="n">
        <v>0</v>
      </c>
      <c r="R433" s="2" t="inlineStr"/>
      <c r="U433">
        <f>HYPERLINK("https://klasma.github.io/Logging_2380/knärot/A 22952-2025 karta knärot.png", "A 22952-2025")</f>
        <v/>
      </c>
      <c r="V433">
        <f>HYPERLINK("https://klasma.github.io/Logging_2380/klagomål/A 22952-2025 FSC-klagomål.docx", "A 22952-2025")</f>
        <v/>
      </c>
      <c r="W433">
        <f>HYPERLINK("https://klasma.github.io/Logging_2380/klagomålsmail/A 22952-2025 FSC-klagomål mail.docx", "A 22952-2025")</f>
        <v/>
      </c>
      <c r="X433">
        <f>HYPERLINK("https://klasma.github.io/Logging_2380/tillsyn/A 22952-2025 tillsynsbegäran.docx", "A 22952-2025")</f>
        <v/>
      </c>
      <c r="Y433">
        <f>HYPERLINK("https://klasma.github.io/Logging_2380/tillsynsmail/A 22952-2025 tillsynsbegäran mail.docx", "A 22952-2025")</f>
        <v/>
      </c>
    </row>
    <row r="434" ht="15" customHeight="1">
      <c r="A434" t="inlineStr">
        <is>
          <t>A 12821-2023</t>
        </is>
      </c>
      <c r="B434" s="1" t="n">
        <v>45000</v>
      </c>
      <c r="C434" s="1" t="n">
        <v>45883</v>
      </c>
      <c r="D434" t="inlineStr">
        <is>
          <t>JÄMTLANDS LÄN</t>
        </is>
      </c>
      <c r="E434" t="inlineStr">
        <is>
          <t>ÖSTERSUND</t>
        </is>
      </c>
      <c r="G434" t="n">
        <v>0.7</v>
      </c>
      <c r="H434" t="n">
        <v>0</v>
      </c>
      <c r="I434" t="n">
        <v>0</v>
      </c>
      <c r="J434" t="n">
        <v>0</v>
      </c>
      <c r="K434" t="n">
        <v>0</v>
      </c>
      <c r="L434" t="n">
        <v>0</v>
      </c>
      <c r="M434" t="n">
        <v>0</v>
      </c>
      <c r="N434" t="n">
        <v>0</v>
      </c>
      <c r="O434" t="n">
        <v>0</v>
      </c>
      <c r="P434" t="n">
        <v>0</v>
      </c>
      <c r="Q434" t="n">
        <v>0</v>
      </c>
      <c r="R434" s="2" t="inlineStr"/>
    </row>
    <row r="435" ht="15" customHeight="1">
      <c r="A435" t="inlineStr">
        <is>
          <t>A 50088-2024</t>
        </is>
      </c>
      <c r="B435" s="1" t="n">
        <v>45600.38585648148</v>
      </c>
      <c r="C435" s="1" t="n">
        <v>45883</v>
      </c>
      <c r="D435" t="inlineStr">
        <is>
          <t>JÄMTLANDS LÄN</t>
        </is>
      </c>
      <c r="E435" t="inlineStr">
        <is>
          <t>ÖSTERSUND</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22823-2025</t>
        </is>
      </c>
      <c r="B436" s="1" t="n">
        <v>45789</v>
      </c>
      <c r="C436" s="1" t="n">
        <v>45883</v>
      </c>
      <c r="D436" t="inlineStr">
        <is>
          <t>JÄMTLANDS LÄN</t>
        </is>
      </c>
      <c r="E436" t="inlineStr">
        <is>
          <t>ÖSTERSUND</t>
        </is>
      </c>
      <c r="G436" t="n">
        <v>8</v>
      </c>
      <c r="H436" t="n">
        <v>0</v>
      </c>
      <c r="I436" t="n">
        <v>0</v>
      </c>
      <c r="J436" t="n">
        <v>0</v>
      </c>
      <c r="K436" t="n">
        <v>0</v>
      </c>
      <c r="L436" t="n">
        <v>0</v>
      </c>
      <c r="M436" t="n">
        <v>0</v>
      </c>
      <c r="N436" t="n">
        <v>0</v>
      </c>
      <c r="O436" t="n">
        <v>0</v>
      </c>
      <c r="P436" t="n">
        <v>0</v>
      </c>
      <c r="Q436" t="n">
        <v>0</v>
      </c>
      <c r="R436" s="2" t="inlineStr"/>
    </row>
    <row r="437" ht="15" customHeight="1">
      <c r="A437" t="inlineStr">
        <is>
          <t>A 31916-2025</t>
        </is>
      </c>
      <c r="B437" s="1" t="n">
        <v>45834.73403935185</v>
      </c>
      <c r="C437" s="1" t="n">
        <v>45883</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23249-2025</t>
        </is>
      </c>
      <c r="B438" s="1" t="n">
        <v>45791</v>
      </c>
      <c r="C438" s="1" t="n">
        <v>45883</v>
      </c>
      <c r="D438" t="inlineStr">
        <is>
          <t>JÄMTLANDS LÄN</t>
        </is>
      </c>
      <c r="E438" t="inlineStr">
        <is>
          <t>ÖSTERSUND</t>
        </is>
      </c>
      <c r="G438" t="n">
        <v>10</v>
      </c>
      <c r="H438" t="n">
        <v>0</v>
      </c>
      <c r="I438" t="n">
        <v>0</v>
      </c>
      <c r="J438" t="n">
        <v>0</v>
      </c>
      <c r="K438" t="n">
        <v>0</v>
      </c>
      <c r="L438" t="n">
        <v>0</v>
      </c>
      <c r="M438" t="n">
        <v>0</v>
      </c>
      <c r="N438" t="n">
        <v>0</v>
      </c>
      <c r="O438" t="n">
        <v>0</v>
      </c>
      <c r="P438" t="n">
        <v>0</v>
      </c>
      <c r="Q438" t="n">
        <v>0</v>
      </c>
      <c r="R438" s="2" t="inlineStr"/>
    </row>
    <row r="439" ht="15" customHeight="1">
      <c r="A439" t="inlineStr">
        <is>
          <t>A 23100-2025</t>
        </is>
      </c>
      <c r="B439" s="1" t="n">
        <v>45791.35212962963</v>
      </c>
      <c r="C439" s="1" t="n">
        <v>45883</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24786-2024</t>
        </is>
      </c>
      <c r="B440" s="1" t="n">
        <v>45460.81277777778</v>
      </c>
      <c r="C440" s="1" t="n">
        <v>45883</v>
      </c>
      <c r="D440" t="inlineStr">
        <is>
          <t>JÄMTLANDS LÄN</t>
        </is>
      </c>
      <c r="E440" t="inlineStr">
        <is>
          <t>ÖSTERSUND</t>
        </is>
      </c>
      <c r="G440" t="n">
        <v>0.1</v>
      </c>
      <c r="H440" t="n">
        <v>0</v>
      </c>
      <c r="I440" t="n">
        <v>0</v>
      </c>
      <c r="J440" t="n">
        <v>0</v>
      </c>
      <c r="K440" t="n">
        <v>0</v>
      </c>
      <c r="L440" t="n">
        <v>0</v>
      </c>
      <c r="M440" t="n">
        <v>0</v>
      </c>
      <c r="N440" t="n">
        <v>0</v>
      </c>
      <c r="O440" t="n">
        <v>0</v>
      </c>
      <c r="P440" t="n">
        <v>0</v>
      </c>
      <c r="Q440" t="n">
        <v>0</v>
      </c>
      <c r="R440" s="2" t="inlineStr"/>
    </row>
    <row r="441" ht="15" customHeight="1">
      <c r="A441" t="inlineStr">
        <is>
          <t>A 23078-2025</t>
        </is>
      </c>
      <c r="B441" s="1" t="n">
        <v>45791.27984953704</v>
      </c>
      <c r="C441" s="1" t="n">
        <v>45883</v>
      </c>
      <c r="D441" t="inlineStr">
        <is>
          <t>JÄMTLANDS LÄN</t>
        </is>
      </c>
      <c r="E441" t="inlineStr">
        <is>
          <t>ÖSTERSUND</t>
        </is>
      </c>
      <c r="G441" t="n">
        <v>2.8</v>
      </c>
      <c r="H441" t="n">
        <v>0</v>
      </c>
      <c r="I441" t="n">
        <v>0</v>
      </c>
      <c r="J441" t="n">
        <v>0</v>
      </c>
      <c r="K441" t="n">
        <v>0</v>
      </c>
      <c r="L441" t="n">
        <v>0</v>
      </c>
      <c r="M441" t="n">
        <v>0</v>
      </c>
      <c r="N441" t="n">
        <v>0</v>
      </c>
      <c r="O441" t="n">
        <v>0</v>
      </c>
      <c r="P441" t="n">
        <v>0</v>
      </c>
      <c r="Q441" t="n">
        <v>0</v>
      </c>
      <c r="R441" s="2" t="inlineStr"/>
    </row>
    <row r="442" ht="15" customHeight="1">
      <c r="A442" t="inlineStr">
        <is>
          <t>A 23110-2025</t>
        </is>
      </c>
      <c r="B442" s="1" t="n">
        <v>45791.36526620371</v>
      </c>
      <c r="C442" s="1" t="n">
        <v>45883</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13024-2022</t>
        </is>
      </c>
      <c r="B443" s="1" t="n">
        <v>44643</v>
      </c>
      <c r="C443" s="1" t="n">
        <v>45883</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7938-2025</t>
        </is>
      </c>
      <c r="B444" s="1" t="n">
        <v>45707</v>
      </c>
      <c r="C444" s="1" t="n">
        <v>45883</v>
      </c>
      <c r="D444" t="inlineStr">
        <is>
          <t>JÄMTLANDS LÄN</t>
        </is>
      </c>
      <c r="E444" t="inlineStr">
        <is>
          <t>ÖSTERSUND</t>
        </is>
      </c>
      <c r="G444" t="n">
        <v>3</v>
      </c>
      <c r="H444" t="n">
        <v>0</v>
      </c>
      <c r="I444" t="n">
        <v>0</v>
      </c>
      <c r="J444" t="n">
        <v>0</v>
      </c>
      <c r="K444" t="n">
        <v>0</v>
      </c>
      <c r="L444" t="n">
        <v>0</v>
      </c>
      <c r="M444" t="n">
        <v>0</v>
      </c>
      <c r="N444" t="n">
        <v>0</v>
      </c>
      <c r="O444" t="n">
        <v>0</v>
      </c>
      <c r="P444" t="n">
        <v>0</v>
      </c>
      <c r="Q444" t="n">
        <v>0</v>
      </c>
      <c r="R444" s="2" t="inlineStr"/>
    </row>
    <row r="445" ht="15" customHeight="1">
      <c r="A445" t="inlineStr">
        <is>
          <t>A 29128-2022</t>
        </is>
      </c>
      <c r="B445" s="1" t="n">
        <v>44750</v>
      </c>
      <c r="C445" s="1" t="n">
        <v>45883</v>
      </c>
      <c r="D445" t="inlineStr">
        <is>
          <t>JÄMTLANDS LÄN</t>
        </is>
      </c>
      <c r="E445" t="inlineStr">
        <is>
          <t>ÖSTERSUND</t>
        </is>
      </c>
      <c r="G445" t="n">
        <v>3</v>
      </c>
      <c r="H445" t="n">
        <v>0</v>
      </c>
      <c r="I445" t="n">
        <v>0</v>
      </c>
      <c r="J445" t="n">
        <v>0</v>
      </c>
      <c r="K445" t="n">
        <v>0</v>
      </c>
      <c r="L445" t="n">
        <v>0</v>
      </c>
      <c r="M445" t="n">
        <v>0</v>
      </c>
      <c r="N445" t="n">
        <v>0</v>
      </c>
      <c r="O445" t="n">
        <v>0</v>
      </c>
      <c r="P445" t="n">
        <v>0</v>
      </c>
      <c r="Q445" t="n">
        <v>0</v>
      </c>
      <c r="R445" s="2" t="inlineStr"/>
    </row>
    <row r="446" ht="15" customHeight="1">
      <c r="A446" t="inlineStr">
        <is>
          <t>A 24312-2021</t>
        </is>
      </c>
      <c r="B446" s="1" t="n">
        <v>44336</v>
      </c>
      <c r="C446" s="1" t="n">
        <v>45883</v>
      </c>
      <c r="D446" t="inlineStr">
        <is>
          <t>JÄMTLANDS LÄN</t>
        </is>
      </c>
      <c r="E446" t="inlineStr">
        <is>
          <t>ÖSTERSUND</t>
        </is>
      </c>
      <c r="G446" t="n">
        <v>10.6</v>
      </c>
      <c r="H446" t="n">
        <v>0</v>
      </c>
      <c r="I446" t="n">
        <v>0</v>
      </c>
      <c r="J446" t="n">
        <v>0</v>
      </c>
      <c r="K446" t="n">
        <v>0</v>
      </c>
      <c r="L446" t="n">
        <v>0</v>
      </c>
      <c r="M446" t="n">
        <v>0</v>
      </c>
      <c r="N446" t="n">
        <v>0</v>
      </c>
      <c r="O446" t="n">
        <v>0</v>
      </c>
      <c r="P446" t="n">
        <v>0</v>
      </c>
      <c r="Q446" t="n">
        <v>0</v>
      </c>
      <c r="R446" s="2" t="inlineStr"/>
    </row>
    <row r="447" ht="15" customHeight="1">
      <c r="A447" t="inlineStr">
        <is>
          <t>A 41780-2024</t>
        </is>
      </c>
      <c r="B447" s="1" t="n">
        <v>45561.34908564815</v>
      </c>
      <c r="C447" s="1" t="n">
        <v>45883</v>
      </c>
      <c r="D447" t="inlineStr">
        <is>
          <t>JÄMTLANDS LÄN</t>
        </is>
      </c>
      <c r="E447" t="inlineStr">
        <is>
          <t>ÖSTERSUND</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7030-2025</t>
        </is>
      </c>
      <c r="B448" s="1" t="n">
        <v>45701.633125</v>
      </c>
      <c r="C448" s="1" t="n">
        <v>45883</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15659-2021</t>
        </is>
      </c>
      <c r="B449" s="1" t="n">
        <v>44298</v>
      </c>
      <c r="C449" s="1" t="n">
        <v>45883</v>
      </c>
      <c r="D449" t="inlineStr">
        <is>
          <t>JÄMTLANDS LÄN</t>
        </is>
      </c>
      <c r="E449" t="inlineStr">
        <is>
          <t>ÖSTERSUND</t>
        </is>
      </c>
      <c r="G449" t="n">
        <v>13.3</v>
      </c>
      <c r="H449" t="n">
        <v>0</v>
      </c>
      <c r="I449" t="n">
        <v>0</v>
      </c>
      <c r="J449" t="n">
        <v>0</v>
      </c>
      <c r="K449" t="n">
        <v>0</v>
      </c>
      <c r="L449" t="n">
        <v>0</v>
      </c>
      <c r="M449" t="n">
        <v>0</v>
      </c>
      <c r="N449" t="n">
        <v>0</v>
      </c>
      <c r="O449" t="n">
        <v>0</v>
      </c>
      <c r="P449" t="n">
        <v>0</v>
      </c>
      <c r="Q449" t="n">
        <v>0</v>
      </c>
      <c r="R449" s="2" t="inlineStr"/>
    </row>
    <row r="450" ht="15" customHeight="1">
      <c r="A450" t="inlineStr">
        <is>
          <t>A 24091-2025</t>
        </is>
      </c>
      <c r="B450" s="1" t="n">
        <v>45796.57071759259</v>
      </c>
      <c r="C450" s="1" t="n">
        <v>45883</v>
      </c>
      <c r="D450" t="inlineStr">
        <is>
          <t>JÄMTLANDS LÄN</t>
        </is>
      </c>
      <c r="E450" t="inlineStr">
        <is>
          <t>ÖSTERSUND</t>
        </is>
      </c>
      <c r="G450" t="n">
        <v>1.7</v>
      </c>
      <c r="H450" t="n">
        <v>0</v>
      </c>
      <c r="I450" t="n">
        <v>0</v>
      </c>
      <c r="J450" t="n">
        <v>0</v>
      </c>
      <c r="K450" t="n">
        <v>0</v>
      </c>
      <c r="L450" t="n">
        <v>0</v>
      </c>
      <c r="M450" t="n">
        <v>0</v>
      </c>
      <c r="N450" t="n">
        <v>0</v>
      </c>
      <c r="O450" t="n">
        <v>0</v>
      </c>
      <c r="P450" t="n">
        <v>0</v>
      </c>
      <c r="Q450" t="n">
        <v>0</v>
      </c>
      <c r="R450" s="2" t="inlineStr"/>
    </row>
    <row r="451" ht="15" customHeight="1">
      <c r="A451" t="inlineStr">
        <is>
          <t>A 16908-2025</t>
        </is>
      </c>
      <c r="B451" s="1" t="n">
        <v>45755.35107638889</v>
      </c>
      <c r="C451" s="1" t="n">
        <v>45883</v>
      </c>
      <c r="D451" t="inlineStr">
        <is>
          <t>JÄMTLANDS LÄN</t>
        </is>
      </c>
      <c r="E451" t="inlineStr">
        <is>
          <t>ÖSTERSUND</t>
        </is>
      </c>
      <c r="G451" t="n">
        <v>8.6</v>
      </c>
      <c r="H451" t="n">
        <v>0</v>
      </c>
      <c r="I451" t="n">
        <v>0</v>
      </c>
      <c r="J451" t="n">
        <v>0</v>
      </c>
      <c r="K451" t="n">
        <v>0</v>
      </c>
      <c r="L451" t="n">
        <v>0</v>
      </c>
      <c r="M451" t="n">
        <v>0</v>
      </c>
      <c r="N451" t="n">
        <v>0</v>
      </c>
      <c r="O451" t="n">
        <v>0</v>
      </c>
      <c r="P451" t="n">
        <v>0</v>
      </c>
      <c r="Q451" t="n">
        <v>0</v>
      </c>
      <c r="R451" s="2" t="inlineStr"/>
    </row>
    <row r="452" ht="15" customHeight="1">
      <c r="A452" t="inlineStr">
        <is>
          <t>A 23877-2025</t>
        </is>
      </c>
      <c r="B452" s="1" t="n">
        <v>45793.68469907407</v>
      </c>
      <c r="C452" s="1" t="n">
        <v>45883</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56847-2024</t>
        </is>
      </c>
      <c r="B453" s="1" t="n">
        <v>45628.53381944444</v>
      </c>
      <c r="C453" s="1" t="n">
        <v>45883</v>
      </c>
      <c r="D453" t="inlineStr">
        <is>
          <t>JÄMTLANDS LÄN</t>
        </is>
      </c>
      <c r="E453" t="inlineStr">
        <is>
          <t>ÖSTERSUND</t>
        </is>
      </c>
      <c r="G453" t="n">
        <v>1.4</v>
      </c>
      <c r="H453" t="n">
        <v>0</v>
      </c>
      <c r="I453" t="n">
        <v>0</v>
      </c>
      <c r="J453" t="n">
        <v>0</v>
      </c>
      <c r="K453" t="n">
        <v>0</v>
      </c>
      <c r="L453" t="n">
        <v>0</v>
      </c>
      <c r="M453" t="n">
        <v>0</v>
      </c>
      <c r="N453" t="n">
        <v>0</v>
      </c>
      <c r="O453" t="n">
        <v>0</v>
      </c>
      <c r="P453" t="n">
        <v>0</v>
      </c>
      <c r="Q453" t="n">
        <v>0</v>
      </c>
      <c r="R453" s="2" t="inlineStr"/>
    </row>
    <row r="454" ht="15" customHeight="1">
      <c r="A454" t="inlineStr">
        <is>
          <t>A 5341-2025</t>
        </is>
      </c>
      <c r="B454" s="1" t="n">
        <v>45692.55256944444</v>
      </c>
      <c r="C454" s="1" t="n">
        <v>45883</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24403-2025</t>
        </is>
      </c>
      <c r="B455" s="1" t="n">
        <v>45797.65025462963</v>
      </c>
      <c r="C455" s="1" t="n">
        <v>45883</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24523-2025</t>
        </is>
      </c>
      <c r="B456" s="1" t="n">
        <v>45798.42108796296</v>
      </c>
      <c r="C456" s="1" t="n">
        <v>45883</v>
      </c>
      <c r="D456" t="inlineStr">
        <is>
          <t>JÄMTLANDS LÄN</t>
        </is>
      </c>
      <c r="E456" t="inlineStr">
        <is>
          <t>ÖSTERSUND</t>
        </is>
      </c>
      <c r="G456" t="n">
        <v>13.7</v>
      </c>
      <c r="H456" t="n">
        <v>0</v>
      </c>
      <c r="I456" t="n">
        <v>0</v>
      </c>
      <c r="J456" t="n">
        <v>0</v>
      </c>
      <c r="K456" t="n">
        <v>0</v>
      </c>
      <c r="L456" t="n">
        <v>0</v>
      </c>
      <c r="M456" t="n">
        <v>0</v>
      </c>
      <c r="N456" t="n">
        <v>0</v>
      </c>
      <c r="O456" t="n">
        <v>0</v>
      </c>
      <c r="P456" t="n">
        <v>0</v>
      </c>
      <c r="Q456" t="n">
        <v>0</v>
      </c>
      <c r="R456" s="2" t="inlineStr"/>
    </row>
    <row r="457" ht="15" customHeight="1">
      <c r="A457" t="inlineStr">
        <is>
          <t>A 24368-2025</t>
        </is>
      </c>
      <c r="B457" s="1" t="n">
        <v>45797.60623842593</v>
      </c>
      <c r="C457" s="1" t="n">
        <v>45883</v>
      </c>
      <c r="D457" t="inlineStr">
        <is>
          <t>JÄMTLANDS LÄN</t>
        </is>
      </c>
      <c r="E457" t="inlineStr">
        <is>
          <t>ÖSTERSUND</t>
        </is>
      </c>
      <c r="G457" t="n">
        <v>2.9</v>
      </c>
      <c r="H457" t="n">
        <v>0</v>
      </c>
      <c r="I457" t="n">
        <v>0</v>
      </c>
      <c r="J457" t="n">
        <v>0</v>
      </c>
      <c r="K457" t="n">
        <v>0</v>
      </c>
      <c r="L457" t="n">
        <v>0</v>
      </c>
      <c r="M457" t="n">
        <v>0</v>
      </c>
      <c r="N457" t="n">
        <v>0</v>
      </c>
      <c r="O457" t="n">
        <v>0</v>
      </c>
      <c r="P457" t="n">
        <v>0</v>
      </c>
      <c r="Q457" t="n">
        <v>0</v>
      </c>
      <c r="R457" s="2" t="inlineStr"/>
    </row>
    <row r="458" ht="15" customHeight="1">
      <c r="A458" t="inlineStr">
        <is>
          <t>A 24568-2025</t>
        </is>
      </c>
      <c r="B458" s="1" t="n">
        <v>45798.46913194445</v>
      </c>
      <c r="C458" s="1" t="n">
        <v>45883</v>
      </c>
      <c r="D458" t="inlineStr">
        <is>
          <t>JÄMTLANDS LÄN</t>
        </is>
      </c>
      <c r="E458" t="inlineStr">
        <is>
          <t>ÖSTERSUND</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44798-2023</t>
        </is>
      </c>
      <c r="B459" s="1" t="n">
        <v>45190</v>
      </c>
      <c r="C459" s="1" t="n">
        <v>45883</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53176-2024</t>
        </is>
      </c>
      <c r="B460" s="1" t="n">
        <v>45611.66655092593</v>
      </c>
      <c r="C460" s="1" t="n">
        <v>45883</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61376-2024</t>
        </is>
      </c>
      <c r="B461" s="1" t="n">
        <v>45646.39434027778</v>
      </c>
      <c r="C461" s="1" t="n">
        <v>45883</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49788-2024</t>
        </is>
      </c>
      <c r="B462" s="1" t="n">
        <v>45597.36623842592</v>
      </c>
      <c r="C462" s="1" t="n">
        <v>45883</v>
      </c>
      <c r="D462" t="inlineStr">
        <is>
          <t>JÄMTLANDS LÄN</t>
        </is>
      </c>
      <c r="E462" t="inlineStr">
        <is>
          <t>ÖSTERSUND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24946-2025</t>
        </is>
      </c>
      <c r="B463" s="1" t="n">
        <v>45799.56515046296</v>
      </c>
      <c r="C463" s="1" t="n">
        <v>45883</v>
      </c>
      <c r="D463" t="inlineStr">
        <is>
          <t>JÄMTLANDS LÄN</t>
        </is>
      </c>
      <c r="E463" t="inlineStr">
        <is>
          <t>ÖSTERSUND</t>
        </is>
      </c>
      <c r="G463" t="n">
        <v>4.8</v>
      </c>
      <c r="H463" t="n">
        <v>0</v>
      </c>
      <c r="I463" t="n">
        <v>0</v>
      </c>
      <c r="J463" t="n">
        <v>0</v>
      </c>
      <c r="K463" t="n">
        <v>0</v>
      </c>
      <c r="L463" t="n">
        <v>0</v>
      </c>
      <c r="M463" t="n">
        <v>0</v>
      </c>
      <c r="N463" t="n">
        <v>0</v>
      </c>
      <c r="O463" t="n">
        <v>0</v>
      </c>
      <c r="P463" t="n">
        <v>0</v>
      </c>
      <c r="Q463" t="n">
        <v>0</v>
      </c>
      <c r="R463" s="2" t="inlineStr"/>
    </row>
    <row r="464" ht="15" customHeight="1">
      <c r="A464" t="inlineStr">
        <is>
          <t>A 24725-2025</t>
        </is>
      </c>
      <c r="B464" s="1" t="n">
        <v>45799.3231712963</v>
      </c>
      <c r="C464" s="1" t="n">
        <v>45883</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1255-2025</t>
        </is>
      </c>
      <c r="B465" s="1" t="n">
        <v>45667.46922453704</v>
      </c>
      <c r="C465" s="1" t="n">
        <v>45883</v>
      </c>
      <c r="D465" t="inlineStr">
        <is>
          <t>JÄMTLANDS LÄN</t>
        </is>
      </c>
      <c r="E465" t="inlineStr">
        <is>
          <t>ÖSTERSUND</t>
        </is>
      </c>
      <c r="F465" t="inlineStr">
        <is>
          <t>SCA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25210-2025</t>
        </is>
      </c>
      <c r="B466" s="1" t="n">
        <v>45800.46960648148</v>
      </c>
      <c r="C466" s="1" t="n">
        <v>45883</v>
      </c>
      <c r="D466" t="inlineStr">
        <is>
          <t>JÄMTLANDS LÄN</t>
        </is>
      </c>
      <c r="E466" t="inlineStr">
        <is>
          <t>ÖSTERSUND</t>
        </is>
      </c>
      <c r="G466" t="n">
        <v>3.5</v>
      </c>
      <c r="H466" t="n">
        <v>0</v>
      </c>
      <c r="I466" t="n">
        <v>0</v>
      </c>
      <c r="J466" t="n">
        <v>0</v>
      </c>
      <c r="K466" t="n">
        <v>0</v>
      </c>
      <c r="L466" t="n">
        <v>0</v>
      </c>
      <c r="M466" t="n">
        <v>0</v>
      </c>
      <c r="N466" t="n">
        <v>0</v>
      </c>
      <c r="O466" t="n">
        <v>0</v>
      </c>
      <c r="P466" t="n">
        <v>0</v>
      </c>
      <c r="Q466" t="n">
        <v>0</v>
      </c>
      <c r="R466" s="2" t="inlineStr"/>
    </row>
    <row r="467" ht="15" customHeight="1">
      <c r="A467" t="inlineStr">
        <is>
          <t>A 25221-2025</t>
        </is>
      </c>
      <c r="B467" s="1" t="n">
        <v>45800.47802083333</v>
      </c>
      <c r="C467" s="1" t="n">
        <v>45883</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25058-2025</t>
        </is>
      </c>
      <c r="B468" s="1" t="n">
        <v>45799.68418981481</v>
      </c>
      <c r="C468" s="1" t="n">
        <v>45883</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58406-2024</t>
        </is>
      </c>
      <c r="B469" s="1" t="n">
        <v>45634.70898148148</v>
      </c>
      <c r="C469" s="1" t="n">
        <v>45883</v>
      </c>
      <c r="D469" t="inlineStr">
        <is>
          <t>JÄMTLANDS LÄN</t>
        </is>
      </c>
      <c r="E469" t="inlineStr">
        <is>
          <t>ÖSTERSUND</t>
        </is>
      </c>
      <c r="G469" t="n">
        <v>3.8</v>
      </c>
      <c r="H469" t="n">
        <v>0</v>
      </c>
      <c r="I469" t="n">
        <v>0</v>
      </c>
      <c r="J469" t="n">
        <v>0</v>
      </c>
      <c r="K469" t="n">
        <v>0</v>
      </c>
      <c r="L469" t="n">
        <v>0</v>
      </c>
      <c r="M469" t="n">
        <v>0</v>
      </c>
      <c r="N469" t="n">
        <v>0</v>
      </c>
      <c r="O469" t="n">
        <v>0</v>
      </c>
      <c r="P469" t="n">
        <v>0</v>
      </c>
      <c r="Q469" t="n">
        <v>0</v>
      </c>
      <c r="R469" s="2" t="inlineStr"/>
    </row>
    <row r="470" ht="15" customHeight="1">
      <c r="A470" t="inlineStr">
        <is>
          <t>A 5549-2025</t>
        </is>
      </c>
      <c r="B470" s="1" t="n">
        <v>45693</v>
      </c>
      <c r="C470" s="1" t="n">
        <v>45883</v>
      </c>
      <c r="D470" t="inlineStr">
        <is>
          <t>JÄMTLANDS LÄN</t>
        </is>
      </c>
      <c r="E470" t="inlineStr">
        <is>
          <t>ÖSTERSUND</t>
        </is>
      </c>
      <c r="G470" t="n">
        <v>1.5</v>
      </c>
      <c r="H470" t="n">
        <v>0</v>
      </c>
      <c r="I470" t="n">
        <v>0</v>
      </c>
      <c r="J470" t="n">
        <v>0</v>
      </c>
      <c r="K470" t="n">
        <v>0</v>
      </c>
      <c r="L470" t="n">
        <v>0</v>
      </c>
      <c r="M470" t="n">
        <v>0</v>
      </c>
      <c r="N470" t="n">
        <v>0</v>
      </c>
      <c r="O470" t="n">
        <v>0</v>
      </c>
      <c r="P470" t="n">
        <v>0</v>
      </c>
      <c r="Q470" t="n">
        <v>0</v>
      </c>
      <c r="R470" s="2" t="inlineStr"/>
    </row>
    <row r="471" ht="15" customHeight="1">
      <c r="A471" t="inlineStr">
        <is>
          <t>A 25252-2025</t>
        </is>
      </c>
      <c r="B471" s="1" t="n">
        <v>45800.50355324074</v>
      </c>
      <c r="C471" s="1" t="n">
        <v>45883</v>
      </c>
      <c r="D471" t="inlineStr">
        <is>
          <t>JÄMTLANDS LÄN</t>
        </is>
      </c>
      <c r="E471" t="inlineStr">
        <is>
          <t>ÖSTERSUND</t>
        </is>
      </c>
      <c r="G471" t="n">
        <v>2.7</v>
      </c>
      <c r="H471" t="n">
        <v>0</v>
      </c>
      <c r="I471" t="n">
        <v>0</v>
      </c>
      <c r="J471" t="n">
        <v>0</v>
      </c>
      <c r="K471" t="n">
        <v>0</v>
      </c>
      <c r="L471" t="n">
        <v>0</v>
      </c>
      <c r="M471" t="n">
        <v>0</v>
      </c>
      <c r="N471" t="n">
        <v>0</v>
      </c>
      <c r="O471" t="n">
        <v>0</v>
      </c>
      <c r="P471" t="n">
        <v>0</v>
      </c>
      <c r="Q471" t="n">
        <v>0</v>
      </c>
      <c r="R471" s="2" t="inlineStr"/>
    </row>
    <row r="472" ht="15" customHeight="1">
      <c r="A472" t="inlineStr">
        <is>
          <t>A 33358-2025</t>
        </is>
      </c>
      <c r="B472" s="1" t="n">
        <v>45841.38054398148</v>
      </c>
      <c r="C472" s="1" t="n">
        <v>45883</v>
      </c>
      <c r="D472" t="inlineStr">
        <is>
          <t>JÄMTLANDS LÄN</t>
        </is>
      </c>
      <c r="E472" t="inlineStr">
        <is>
          <t>ÖSTERSUND</t>
        </is>
      </c>
      <c r="G472" t="n">
        <v>1</v>
      </c>
      <c r="H472" t="n">
        <v>0</v>
      </c>
      <c r="I472" t="n">
        <v>0</v>
      </c>
      <c r="J472" t="n">
        <v>0</v>
      </c>
      <c r="K472" t="n">
        <v>0</v>
      </c>
      <c r="L472" t="n">
        <v>0</v>
      </c>
      <c r="M472" t="n">
        <v>0</v>
      </c>
      <c r="N472" t="n">
        <v>0</v>
      </c>
      <c r="O472" t="n">
        <v>0</v>
      </c>
      <c r="P472" t="n">
        <v>0</v>
      </c>
      <c r="Q472" t="n">
        <v>0</v>
      </c>
      <c r="R472" s="2" t="inlineStr"/>
    </row>
    <row r="473" ht="15" customHeight="1">
      <c r="A473" t="inlineStr">
        <is>
          <t>A 61002-2024</t>
        </is>
      </c>
      <c r="B473" s="1" t="n">
        <v>45645.44158564815</v>
      </c>
      <c r="C473" s="1" t="n">
        <v>45883</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33501-2023</t>
        </is>
      </c>
      <c r="B474" s="1" t="n">
        <v>45118</v>
      </c>
      <c r="C474" s="1" t="n">
        <v>45883</v>
      </c>
      <c r="D474" t="inlineStr">
        <is>
          <t>JÄMTLANDS LÄN</t>
        </is>
      </c>
      <c r="E474" t="inlineStr">
        <is>
          <t>ÖSTERSUND</t>
        </is>
      </c>
      <c r="G474" t="n">
        <v>5.8</v>
      </c>
      <c r="H474" t="n">
        <v>0</v>
      </c>
      <c r="I474" t="n">
        <v>0</v>
      </c>
      <c r="J474" t="n">
        <v>0</v>
      </c>
      <c r="K474" t="n">
        <v>0</v>
      </c>
      <c r="L474" t="n">
        <v>0</v>
      </c>
      <c r="M474" t="n">
        <v>0</v>
      </c>
      <c r="N474" t="n">
        <v>0</v>
      </c>
      <c r="O474" t="n">
        <v>0</v>
      </c>
      <c r="P474" t="n">
        <v>0</v>
      </c>
      <c r="Q474" t="n">
        <v>0</v>
      </c>
      <c r="R474" s="2" t="inlineStr"/>
    </row>
    <row r="475" ht="15" customHeight="1">
      <c r="A475" t="inlineStr">
        <is>
          <t>A 33831-2021</t>
        </is>
      </c>
      <c r="B475" s="1" t="n">
        <v>44378</v>
      </c>
      <c r="C475" s="1" t="n">
        <v>45883</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25228-2025</t>
        </is>
      </c>
      <c r="B476" s="1" t="n">
        <v>45800.48368055555</v>
      </c>
      <c r="C476" s="1" t="n">
        <v>45883</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25059-2025</t>
        </is>
      </c>
      <c r="B477" s="1" t="n">
        <v>45799.69116898148</v>
      </c>
      <c r="C477" s="1" t="n">
        <v>45883</v>
      </c>
      <c r="D477" t="inlineStr">
        <is>
          <t>JÄMTLANDS LÄN</t>
        </is>
      </c>
      <c r="E477" t="inlineStr">
        <is>
          <t>ÖSTERSUND</t>
        </is>
      </c>
      <c r="G477" t="n">
        <v>2.7</v>
      </c>
      <c r="H477" t="n">
        <v>0</v>
      </c>
      <c r="I477" t="n">
        <v>0</v>
      </c>
      <c r="J477" t="n">
        <v>0</v>
      </c>
      <c r="K477" t="n">
        <v>0</v>
      </c>
      <c r="L477" t="n">
        <v>0</v>
      </c>
      <c r="M477" t="n">
        <v>0</v>
      </c>
      <c r="N477" t="n">
        <v>0</v>
      </c>
      <c r="O477" t="n">
        <v>0</v>
      </c>
      <c r="P477" t="n">
        <v>0</v>
      </c>
      <c r="Q477" t="n">
        <v>0</v>
      </c>
      <c r="R477" s="2" t="inlineStr"/>
    </row>
    <row r="478" ht="15" customHeight="1">
      <c r="A478" t="inlineStr">
        <is>
          <t>A 231-2022</t>
        </is>
      </c>
      <c r="B478" s="1" t="n">
        <v>44564.93909722222</v>
      </c>
      <c r="C478" s="1" t="n">
        <v>45883</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52854-2024</t>
        </is>
      </c>
      <c r="B479" s="1" t="n">
        <v>45610.61030092592</v>
      </c>
      <c r="C479" s="1" t="n">
        <v>45883</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25069-2025</t>
        </is>
      </c>
      <c r="B480" s="1" t="n">
        <v>45799.7372337963</v>
      </c>
      <c r="C480" s="1" t="n">
        <v>45883</v>
      </c>
      <c r="D480" t="inlineStr">
        <is>
          <t>JÄMTLANDS LÄN</t>
        </is>
      </c>
      <c r="E480" t="inlineStr">
        <is>
          <t>ÖSTERSUND</t>
        </is>
      </c>
      <c r="G480" t="n">
        <v>3.5</v>
      </c>
      <c r="H480" t="n">
        <v>0</v>
      </c>
      <c r="I480" t="n">
        <v>0</v>
      </c>
      <c r="J480" t="n">
        <v>0</v>
      </c>
      <c r="K480" t="n">
        <v>0</v>
      </c>
      <c r="L480" t="n">
        <v>0</v>
      </c>
      <c r="M480" t="n">
        <v>0</v>
      </c>
      <c r="N480" t="n">
        <v>0</v>
      </c>
      <c r="O480" t="n">
        <v>0</v>
      </c>
      <c r="P480" t="n">
        <v>0</v>
      </c>
      <c r="Q480" t="n">
        <v>0</v>
      </c>
      <c r="R480" s="2" t="inlineStr"/>
    </row>
    <row r="481" ht="15" customHeight="1">
      <c r="A481" t="inlineStr">
        <is>
          <t>A 10756-2025</t>
        </is>
      </c>
      <c r="B481" s="1" t="n">
        <v>45722.44892361111</v>
      </c>
      <c r="C481" s="1" t="n">
        <v>45883</v>
      </c>
      <c r="D481" t="inlineStr">
        <is>
          <t>JÄMTLANDS LÄN</t>
        </is>
      </c>
      <c r="E481" t="inlineStr">
        <is>
          <t>ÖSTERSUND</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25572-2025</t>
        </is>
      </c>
      <c r="B482" s="1" t="n">
        <v>45803</v>
      </c>
      <c r="C482" s="1" t="n">
        <v>45883</v>
      </c>
      <c r="D482" t="inlineStr">
        <is>
          <t>JÄMTLANDS LÄN</t>
        </is>
      </c>
      <c r="E482" t="inlineStr">
        <is>
          <t>ÖSTERSUND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9971-2025</t>
        </is>
      </c>
      <c r="B483" s="1" t="n">
        <v>45719.38630787037</v>
      </c>
      <c r="C483" s="1" t="n">
        <v>45883</v>
      </c>
      <c r="D483" t="inlineStr">
        <is>
          <t>JÄMTLANDS LÄN</t>
        </is>
      </c>
      <c r="E483" t="inlineStr">
        <is>
          <t>ÖSTERSUND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8216-2025</t>
        </is>
      </c>
      <c r="B484" s="1" t="n">
        <v>45708.44947916667</v>
      </c>
      <c r="C484" s="1" t="n">
        <v>45883</v>
      </c>
      <c r="D484" t="inlineStr">
        <is>
          <t>JÄMTLANDS LÄN</t>
        </is>
      </c>
      <c r="E484" t="inlineStr">
        <is>
          <t>ÖSTERSUND</t>
        </is>
      </c>
      <c r="F484" t="inlineStr">
        <is>
          <t>Övriga Aktiebolag</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34331-2025</t>
        </is>
      </c>
      <c r="B485" s="1" t="n">
        <v>45846.44827546296</v>
      </c>
      <c r="C485" s="1" t="n">
        <v>45883</v>
      </c>
      <c r="D485" t="inlineStr">
        <is>
          <t>JÄMTLANDS LÄN</t>
        </is>
      </c>
      <c r="E485" t="inlineStr">
        <is>
          <t>ÖSTERSUND</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3615-2025</t>
        </is>
      </c>
      <c r="B486" s="1" t="n">
        <v>45681.36493055556</v>
      </c>
      <c r="C486" s="1" t="n">
        <v>45883</v>
      </c>
      <c r="D486" t="inlineStr">
        <is>
          <t>JÄMTLANDS LÄN</t>
        </is>
      </c>
      <c r="E486" t="inlineStr">
        <is>
          <t>ÖSTERSUND</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3651-2025</t>
        </is>
      </c>
      <c r="B487" s="1" t="n">
        <v>45681.40689814815</v>
      </c>
      <c r="C487" s="1" t="n">
        <v>45883</v>
      </c>
      <c r="D487" t="inlineStr">
        <is>
          <t>JÄMTLANDS LÄN</t>
        </is>
      </c>
      <c r="E487" t="inlineStr">
        <is>
          <t>ÖSTERSUND</t>
        </is>
      </c>
      <c r="F487" t="inlineStr">
        <is>
          <t>SCA</t>
        </is>
      </c>
      <c r="G487" t="n">
        <v>9.6</v>
      </c>
      <c r="H487" t="n">
        <v>0</v>
      </c>
      <c r="I487" t="n">
        <v>0</v>
      </c>
      <c r="J487" t="n">
        <v>0</v>
      </c>
      <c r="K487" t="n">
        <v>0</v>
      </c>
      <c r="L487" t="n">
        <v>0</v>
      </c>
      <c r="M487" t="n">
        <v>0</v>
      </c>
      <c r="N487" t="n">
        <v>0</v>
      </c>
      <c r="O487" t="n">
        <v>0</v>
      </c>
      <c r="P487" t="n">
        <v>0</v>
      </c>
      <c r="Q487" t="n">
        <v>0</v>
      </c>
      <c r="R487" s="2" t="inlineStr"/>
    </row>
    <row r="488" ht="15" customHeight="1">
      <c r="A488" t="inlineStr">
        <is>
          <t>A 25978-2025</t>
        </is>
      </c>
      <c r="B488" s="1" t="n">
        <v>45804.63628472222</v>
      </c>
      <c r="C488" s="1" t="n">
        <v>45883</v>
      </c>
      <c r="D488" t="inlineStr">
        <is>
          <t>JÄMTLANDS LÄN</t>
        </is>
      </c>
      <c r="E488" t="inlineStr">
        <is>
          <t>ÖSTERSUND</t>
        </is>
      </c>
      <c r="F488" t="inlineStr">
        <is>
          <t>SCA</t>
        </is>
      </c>
      <c r="G488" t="n">
        <v>6.7</v>
      </c>
      <c r="H488" t="n">
        <v>0</v>
      </c>
      <c r="I488" t="n">
        <v>0</v>
      </c>
      <c r="J488" t="n">
        <v>0</v>
      </c>
      <c r="K488" t="n">
        <v>0</v>
      </c>
      <c r="L488" t="n">
        <v>0</v>
      </c>
      <c r="M488" t="n">
        <v>0</v>
      </c>
      <c r="N488" t="n">
        <v>0</v>
      </c>
      <c r="O488" t="n">
        <v>0</v>
      </c>
      <c r="P488" t="n">
        <v>0</v>
      </c>
      <c r="Q488" t="n">
        <v>0</v>
      </c>
      <c r="R488" s="2" t="inlineStr"/>
    </row>
    <row r="489" ht="15" customHeight="1">
      <c r="A489" t="inlineStr">
        <is>
          <t>A 3664-2025</t>
        </is>
      </c>
      <c r="B489" s="1" t="n">
        <v>45681.4275462963</v>
      </c>
      <c r="C489" s="1" t="n">
        <v>45883</v>
      </c>
      <c r="D489" t="inlineStr">
        <is>
          <t>JÄMTLANDS LÄN</t>
        </is>
      </c>
      <c r="E489" t="inlineStr">
        <is>
          <t>ÖSTERSUND</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12429-2025</t>
        </is>
      </c>
      <c r="B490" s="1" t="n">
        <v>45730.45930555555</v>
      </c>
      <c r="C490" s="1" t="n">
        <v>45883</v>
      </c>
      <c r="D490" t="inlineStr">
        <is>
          <t>JÄMTLANDS LÄN</t>
        </is>
      </c>
      <c r="E490" t="inlineStr">
        <is>
          <t>ÖSTERSUND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25995-2025</t>
        </is>
      </c>
      <c r="B491" s="1" t="n">
        <v>45804.656875</v>
      </c>
      <c r="C491" s="1" t="n">
        <v>45883</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25992-2025</t>
        </is>
      </c>
      <c r="B492" s="1" t="n">
        <v>45804.65659722222</v>
      </c>
      <c r="C492" s="1" t="n">
        <v>45883</v>
      </c>
      <c r="D492" t="inlineStr">
        <is>
          <t>JÄMTLANDS LÄN</t>
        </is>
      </c>
      <c r="E492" t="inlineStr">
        <is>
          <t>ÖSTERSUND</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26144-2025</t>
        </is>
      </c>
      <c r="B493" s="1" t="n">
        <v>45805.42827546296</v>
      </c>
      <c r="C493" s="1" t="n">
        <v>45883</v>
      </c>
      <c r="D493" t="inlineStr">
        <is>
          <t>JÄMTLANDS LÄN</t>
        </is>
      </c>
      <c r="E493" t="inlineStr">
        <is>
          <t>ÖSTERSUND</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47357-2024</t>
        </is>
      </c>
      <c r="B494" s="1" t="n">
        <v>45587.42835648148</v>
      </c>
      <c r="C494" s="1" t="n">
        <v>45883</v>
      </c>
      <c r="D494" t="inlineStr">
        <is>
          <t>JÄMTLANDS LÄN</t>
        </is>
      </c>
      <c r="E494" t="inlineStr">
        <is>
          <t>ÖSTERSUND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26373-2025</t>
        </is>
      </c>
      <c r="B495" s="1" t="n">
        <v>45806.40677083333</v>
      </c>
      <c r="C495" s="1" t="n">
        <v>45883</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34490-2025</t>
        </is>
      </c>
      <c r="B496" s="1" t="n">
        <v>45847.40722222222</v>
      </c>
      <c r="C496" s="1" t="n">
        <v>45883</v>
      </c>
      <c r="D496" t="inlineStr">
        <is>
          <t>JÄMTLANDS LÄN</t>
        </is>
      </c>
      <c r="E496" t="inlineStr">
        <is>
          <t>ÖSTERSUND</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34587-2025</t>
        </is>
      </c>
      <c r="B497" s="1" t="n">
        <v>45847.61533564814</v>
      </c>
      <c r="C497" s="1" t="n">
        <v>45883</v>
      </c>
      <c r="D497" t="inlineStr">
        <is>
          <t>JÄMTLANDS LÄN</t>
        </is>
      </c>
      <c r="E497" t="inlineStr">
        <is>
          <t>ÖSTERSUND</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5140-2025</t>
        </is>
      </c>
      <c r="B498" s="1" t="n">
        <v>45691</v>
      </c>
      <c r="C498" s="1" t="n">
        <v>45883</v>
      </c>
      <c r="D498" t="inlineStr">
        <is>
          <t>JÄMTLANDS LÄN</t>
        </is>
      </c>
      <c r="E498" t="inlineStr">
        <is>
          <t>ÖSTERSUND</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29703-2023</t>
        </is>
      </c>
      <c r="B499" s="1" t="n">
        <v>45107</v>
      </c>
      <c r="C499" s="1" t="n">
        <v>45883</v>
      </c>
      <c r="D499" t="inlineStr">
        <is>
          <t>JÄMTLANDS LÄN</t>
        </is>
      </c>
      <c r="E499" t="inlineStr">
        <is>
          <t>ÖSTERSUND</t>
        </is>
      </c>
      <c r="G499" t="n">
        <v>0.3</v>
      </c>
      <c r="H499" t="n">
        <v>0</v>
      </c>
      <c r="I499" t="n">
        <v>0</v>
      </c>
      <c r="J499" t="n">
        <v>0</v>
      </c>
      <c r="K499" t="n">
        <v>0</v>
      </c>
      <c r="L499" t="n">
        <v>0</v>
      </c>
      <c r="M499" t="n">
        <v>0</v>
      </c>
      <c r="N499" t="n">
        <v>0</v>
      </c>
      <c r="O499" t="n">
        <v>0</v>
      </c>
      <c r="P499" t="n">
        <v>0</v>
      </c>
      <c r="Q499" t="n">
        <v>0</v>
      </c>
      <c r="R499" s="2" t="inlineStr"/>
    </row>
    <row r="500" ht="15" customHeight="1">
      <c r="A500" t="inlineStr">
        <is>
          <t>A 18429-2025</t>
        </is>
      </c>
      <c r="B500" s="1" t="n">
        <v>45762.63375</v>
      </c>
      <c r="C500" s="1" t="n">
        <v>45883</v>
      </c>
      <c r="D500" t="inlineStr">
        <is>
          <t>JÄMTLANDS LÄN</t>
        </is>
      </c>
      <c r="E500" t="inlineStr">
        <is>
          <t>ÖSTERSUND</t>
        </is>
      </c>
      <c r="F500" t="inlineStr">
        <is>
          <t>Sveaskog</t>
        </is>
      </c>
      <c r="G500" t="n">
        <v>5.5</v>
      </c>
      <c r="H500" t="n">
        <v>0</v>
      </c>
      <c r="I500" t="n">
        <v>0</v>
      </c>
      <c r="J500" t="n">
        <v>0</v>
      </c>
      <c r="K500" t="n">
        <v>0</v>
      </c>
      <c r="L500" t="n">
        <v>0</v>
      </c>
      <c r="M500" t="n">
        <v>0</v>
      </c>
      <c r="N500" t="n">
        <v>0</v>
      </c>
      <c r="O500" t="n">
        <v>0</v>
      </c>
      <c r="P500" t="n">
        <v>0</v>
      </c>
      <c r="Q500" t="n">
        <v>0</v>
      </c>
      <c r="R500" s="2" t="inlineStr"/>
    </row>
    <row r="501" ht="15" customHeight="1">
      <c r="A501" t="inlineStr">
        <is>
          <t>A 34589-2025</t>
        </is>
      </c>
      <c r="B501" s="1" t="n">
        <v>45847.61561342593</v>
      </c>
      <c r="C501" s="1" t="n">
        <v>45883</v>
      </c>
      <c r="D501" t="inlineStr">
        <is>
          <t>JÄMTLANDS LÄN</t>
        </is>
      </c>
      <c r="E501" t="inlineStr">
        <is>
          <t>ÖSTERSUND</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51479-2023</t>
        </is>
      </c>
      <c r="B502" s="1" t="n">
        <v>45221.92429398148</v>
      </c>
      <c r="C502" s="1" t="n">
        <v>45883</v>
      </c>
      <c r="D502" t="inlineStr">
        <is>
          <t>JÄMTLANDS LÄN</t>
        </is>
      </c>
      <c r="E502" t="inlineStr">
        <is>
          <t>ÖSTERSUND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11933-2022</t>
        </is>
      </c>
      <c r="B503" s="1" t="n">
        <v>44635</v>
      </c>
      <c r="C503" s="1" t="n">
        <v>45883</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45980-2023</t>
        </is>
      </c>
      <c r="B504" s="1" t="n">
        <v>45189</v>
      </c>
      <c r="C504" s="1" t="n">
        <v>45883</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5135-2025</t>
        </is>
      </c>
      <c r="B505" s="1" t="n">
        <v>45691</v>
      </c>
      <c r="C505" s="1" t="n">
        <v>45883</v>
      </c>
      <c r="D505" t="inlineStr">
        <is>
          <t>JÄMTLANDS LÄN</t>
        </is>
      </c>
      <c r="E505" t="inlineStr">
        <is>
          <t>ÖSTERSUND</t>
        </is>
      </c>
      <c r="F505" t="inlineStr">
        <is>
          <t>Övriga Aktiebolag</t>
        </is>
      </c>
      <c r="G505" t="n">
        <v>126.9</v>
      </c>
      <c r="H505" t="n">
        <v>0</v>
      </c>
      <c r="I505" t="n">
        <v>0</v>
      </c>
      <c r="J505" t="n">
        <v>0</v>
      </c>
      <c r="K505" t="n">
        <v>0</v>
      </c>
      <c r="L505" t="n">
        <v>0</v>
      </c>
      <c r="M505" t="n">
        <v>0</v>
      </c>
      <c r="N505" t="n">
        <v>0</v>
      </c>
      <c r="O505" t="n">
        <v>0</v>
      </c>
      <c r="P505" t="n">
        <v>0</v>
      </c>
      <c r="Q505" t="n">
        <v>0</v>
      </c>
      <c r="R505" s="2" t="inlineStr"/>
    </row>
    <row r="506" ht="15" customHeight="1">
      <c r="A506" t="inlineStr">
        <is>
          <t>A 53660-2024</t>
        </is>
      </c>
      <c r="B506" s="1" t="n">
        <v>45615.31297453704</v>
      </c>
      <c r="C506" s="1" t="n">
        <v>45883</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19566-2024</t>
        </is>
      </c>
      <c r="B507" s="1" t="n">
        <v>45429.92313657407</v>
      </c>
      <c r="C507" s="1" t="n">
        <v>45883</v>
      </c>
      <c r="D507" t="inlineStr">
        <is>
          <t>JÄMTLANDS LÄN</t>
        </is>
      </c>
      <c r="E507" t="inlineStr">
        <is>
          <t>ÖSTERSUND</t>
        </is>
      </c>
      <c r="G507" t="n">
        <v>0</v>
      </c>
      <c r="H507" t="n">
        <v>0</v>
      </c>
      <c r="I507" t="n">
        <v>0</v>
      </c>
      <c r="J507" t="n">
        <v>0</v>
      </c>
      <c r="K507" t="n">
        <v>0</v>
      </c>
      <c r="L507" t="n">
        <v>0</v>
      </c>
      <c r="M507" t="n">
        <v>0</v>
      </c>
      <c r="N507" t="n">
        <v>0</v>
      </c>
      <c r="O507" t="n">
        <v>0</v>
      </c>
      <c r="P507" t="n">
        <v>0</v>
      </c>
      <c r="Q507" t="n">
        <v>0</v>
      </c>
      <c r="R507" s="2" t="inlineStr"/>
    </row>
    <row r="508" ht="15" customHeight="1">
      <c r="A508" t="inlineStr">
        <is>
          <t>A 39510-2024</t>
        </is>
      </c>
      <c r="B508" s="1" t="n">
        <v>45551.67761574074</v>
      </c>
      <c r="C508" s="1" t="n">
        <v>45883</v>
      </c>
      <c r="D508" t="inlineStr">
        <is>
          <t>JÄMTLANDS LÄN</t>
        </is>
      </c>
      <c r="E508" t="inlineStr">
        <is>
          <t>ÖSTERSUND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21495-2022</t>
        </is>
      </c>
      <c r="B509" s="1" t="n">
        <v>44706</v>
      </c>
      <c r="C509" s="1" t="n">
        <v>45883</v>
      </c>
      <c r="D509" t="inlineStr">
        <is>
          <t>JÄMTLANDS LÄN</t>
        </is>
      </c>
      <c r="E509" t="inlineStr">
        <is>
          <t>ÖSTERSUND</t>
        </is>
      </c>
      <c r="G509" t="n">
        <v>1.3</v>
      </c>
      <c r="H509" t="n">
        <v>0</v>
      </c>
      <c r="I509" t="n">
        <v>0</v>
      </c>
      <c r="J509" t="n">
        <v>0</v>
      </c>
      <c r="K509" t="n">
        <v>0</v>
      </c>
      <c r="L509" t="n">
        <v>0</v>
      </c>
      <c r="M509" t="n">
        <v>0</v>
      </c>
      <c r="N509" t="n">
        <v>0</v>
      </c>
      <c r="O509" t="n">
        <v>0</v>
      </c>
      <c r="P509" t="n">
        <v>0</v>
      </c>
      <c r="Q509" t="n">
        <v>0</v>
      </c>
      <c r="R509" s="2" t="inlineStr"/>
    </row>
    <row r="510" ht="15" customHeight="1">
      <c r="A510" t="inlineStr">
        <is>
          <t>A 10064-2024</t>
        </is>
      </c>
      <c r="B510" s="1" t="n">
        <v>45364.3874074074</v>
      </c>
      <c r="C510" s="1" t="n">
        <v>45883</v>
      </c>
      <c r="D510" t="inlineStr">
        <is>
          <t>JÄMTLANDS LÄN</t>
        </is>
      </c>
      <c r="E510" t="inlineStr">
        <is>
          <t>ÖSTERSUND</t>
        </is>
      </c>
      <c r="G510" t="n">
        <v>13.9</v>
      </c>
      <c r="H510" t="n">
        <v>0</v>
      </c>
      <c r="I510" t="n">
        <v>0</v>
      </c>
      <c r="J510" t="n">
        <v>0</v>
      </c>
      <c r="K510" t="n">
        <v>0</v>
      </c>
      <c r="L510" t="n">
        <v>0</v>
      </c>
      <c r="M510" t="n">
        <v>0</v>
      </c>
      <c r="N510" t="n">
        <v>0</v>
      </c>
      <c r="O510" t="n">
        <v>0</v>
      </c>
      <c r="P510" t="n">
        <v>0</v>
      </c>
      <c r="Q510" t="n">
        <v>0</v>
      </c>
      <c r="R510" s="2" t="inlineStr"/>
    </row>
    <row r="511" ht="15" customHeight="1">
      <c r="A511" t="inlineStr">
        <is>
          <t>A 3610-2024</t>
        </is>
      </c>
      <c r="B511" s="1" t="n">
        <v>45320.92060185185</v>
      </c>
      <c r="C511" s="1" t="n">
        <v>45883</v>
      </c>
      <c r="D511" t="inlineStr">
        <is>
          <t>JÄMTLANDS LÄN</t>
        </is>
      </c>
      <c r="E511" t="inlineStr">
        <is>
          <t>ÖSTERSUND</t>
        </is>
      </c>
      <c r="G511" t="n">
        <v>6.2</v>
      </c>
      <c r="H511" t="n">
        <v>0</v>
      </c>
      <c r="I511" t="n">
        <v>0</v>
      </c>
      <c r="J511" t="n">
        <v>0</v>
      </c>
      <c r="K511" t="n">
        <v>0</v>
      </c>
      <c r="L511" t="n">
        <v>0</v>
      </c>
      <c r="M511" t="n">
        <v>0</v>
      </c>
      <c r="N511" t="n">
        <v>0</v>
      </c>
      <c r="O511" t="n">
        <v>0</v>
      </c>
      <c r="P511" t="n">
        <v>0</v>
      </c>
      <c r="Q511" t="n">
        <v>0</v>
      </c>
      <c r="R511" s="2" t="inlineStr"/>
    </row>
    <row r="512" ht="15" customHeight="1">
      <c r="A512" t="inlineStr">
        <is>
          <t>A 56646-2024</t>
        </is>
      </c>
      <c r="B512" s="1" t="n">
        <v>45625</v>
      </c>
      <c r="C512" s="1" t="n">
        <v>45883</v>
      </c>
      <c r="D512" t="inlineStr">
        <is>
          <t>JÄMTLANDS LÄN</t>
        </is>
      </c>
      <c r="E512" t="inlineStr">
        <is>
          <t>ÖSTERSUND</t>
        </is>
      </c>
      <c r="G512" t="n">
        <v>18.9</v>
      </c>
      <c r="H512" t="n">
        <v>0</v>
      </c>
      <c r="I512" t="n">
        <v>0</v>
      </c>
      <c r="J512" t="n">
        <v>0</v>
      </c>
      <c r="K512" t="n">
        <v>0</v>
      </c>
      <c r="L512" t="n">
        <v>0</v>
      </c>
      <c r="M512" t="n">
        <v>0</v>
      </c>
      <c r="N512" t="n">
        <v>0</v>
      </c>
      <c r="O512" t="n">
        <v>0</v>
      </c>
      <c r="P512" t="n">
        <v>0</v>
      </c>
      <c r="Q512" t="n">
        <v>0</v>
      </c>
      <c r="R512" s="2" t="inlineStr"/>
    </row>
    <row r="513" ht="15" customHeight="1">
      <c r="A513" t="inlineStr">
        <is>
          <t>A 26492-2025</t>
        </is>
      </c>
      <c r="B513" s="1" t="n">
        <v>45807</v>
      </c>
      <c r="C513" s="1" t="n">
        <v>45883</v>
      </c>
      <c r="D513" t="inlineStr">
        <is>
          <t>JÄMTLANDS LÄN</t>
        </is>
      </c>
      <c r="E513" t="inlineStr">
        <is>
          <t>ÖSTERSUND</t>
        </is>
      </c>
      <c r="G513" t="n">
        <v>7</v>
      </c>
      <c r="H513" t="n">
        <v>0</v>
      </c>
      <c r="I513" t="n">
        <v>0</v>
      </c>
      <c r="J513" t="n">
        <v>0</v>
      </c>
      <c r="K513" t="n">
        <v>0</v>
      </c>
      <c r="L513" t="n">
        <v>0</v>
      </c>
      <c r="M513" t="n">
        <v>0</v>
      </c>
      <c r="N513" t="n">
        <v>0</v>
      </c>
      <c r="O513" t="n">
        <v>0</v>
      </c>
      <c r="P513" t="n">
        <v>0</v>
      </c>
      <c r="Q513" t="n">
        <v>0</v>
      </c>
      <c r="R513" s="2" t="inlineStr"/>
    </row>
    <row r="514" ht="15" customHeight="1">
      <c r="A514" t="inlineStr">
        <is>
          <t>A 26500-2025</t>
        </is>
      </c>
      <c r="B514" s="1" t="n">
        <v>45807</v>
      </c>
      <c r="C514" s="1" t="n">
        <v>45883</v>
      </c>
      <c r="D514" t="inlineStr">
        <is>
          <t>JÄMTLANDS LÄN</t>
        </is>
      </c>
      <c r="E514" t="inlineStr">
        <is>
          <t>ÖSTERSUND</t>
        </is>
      </c>
      <c r="G514" t="n">
        <v>1.7</v>
      </c>
      <c r="H514" t="n">
        <v>0</v>
      </c>
      <c r="I514" t="n">
        <v>0</v>
      </c>
      <c r="J514" t="n">
        <v>0</v>
      </c>
      <c r="K514" t="n">
        <v>0</v>
      </c>
      <c r="L514" t="n">
        <v>0</v>
      </c>
      <c r="M514" t="n">
        <v>0</v>
      </c>
      <c r="N514" t="n">
        <v>0</v>
      </c>
      <c r="O514" t="n">
        <v>0</v>
      </c>
      <c r="P514" t="n">
        <v>0</v>
      </c>
      <c r="Q514" t="n">
        <v>0</v>
      </c>
      <c r="R514" s="2" t="inlineStr"/>
    </row>
    <row r="515" ht="15" customHeight="1">
      <c r="A515" t="inlineStr">
        <is>
          <t>A 12102-2025</t>
        </is>
      </c>
      <c r="B515" s="1" t="n">
        <v>45729.3425</v>
      </c>
      <c r="C515" s="1" t="n">
        <v>45883</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26587-2025</t>
        </is>
      </c>
      <c r="B516" s="1" t="n">
        <v>45807.75076388889</v>
      </c>
      <c r="C516" s="1" t="n">
        <v>45883</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26586-2025</t>
        </is>
      </c>
      <c r="B517" s="1" t="n">
        <v>45807.74140046296</v>
      </c>
      <c r="C517" s="1" t="n">
        <v>45883</v>
      </c>
      <c r="D517" t="inlineStr">
        <is>
          <t>JÄMTLANDS LÄN</t>
        </is>
      </c>
      <c r="E517" t="inlineStr">
        <is>
          <t>ÖSTERSUND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7005-2025</t>
        </is>
      </c>
      <c r="B518" s="1" t="n">
        <v>45701.60046296296</v>
      </c>
      <c r="C518" s="1" t="n">
        <v>45883</v>
      </c>
      <c r="D518" t="inlineStr">
        <is>
          <t>JÄMTLANDS LÄN</t>
        </is>
      </c>
      <c r="E518" t="inlineStr">
        <is>
          <t>ÖSTERSUND</t>
        </is>
      </c>
      <c r="G518" t="n">
        <v>3.3</v>
      </c>
      <c r="H518" t="n">
        <v>0</v>
      </c>
      <c r="I518" t="n">
        <v>0</v>
      </c>
      <c r="J518" t="n">
        <v>0</v>
      </c>
      <c r="K518" t="n">
        <v>0</v>
      </c>
      <c r="L518" t="n">
        <v>0</v>
      </c>
      <c r="M518" t="n">
        <v>0</v>
      </c>
      <c r="N518" t="n">
        <v>0</v>
      </c>
      <c r="O518" t="n">
        <v>0</v>
      </c>
      <c r="P518" t="n">
        <v>0</v>
      </c>
      <c r="Q518" t="n">
        <v>0</v>
      </c>
      <c r="R518" s="2" t="inlineStr"/>
    </row>
    <row r="519" ht="15" customHeight="1">
      <c r="A519" t="inlineStr">
        <is>
          <t>A 60126-2020</t>
        </is>
      </c>
      <c r="B519" s="1" t="n">
        <v>44152</v>
      </c>
      <c r="C519" s="1" t="n">
        <v>45883</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57556-2024</t>
        </is>
      </c>
      <c r="B520" s="1" t="n">
        <v>45630</v>
      </c>
      <c r="C520" s="1" t="n">
        <v>45883</v>
      </c>
      <c r="D520" t="inlineStr">
        <is>
          <t>JÄMTLANDS LÄN</t>
        </is>
      </c>
      <c r="E520" t="inlineStr">
        <is>
          <t>ÖSTERSUND</t>
        </is>
      </c>
      <c r="G520" t="n">
        <v>5.5</v>
      </c>
      <c r="H520" t="n">
        <v>0</v>
      </c>
      <c r="I520" t="n">
        <v>0</v>
      </c>
      <c r="J520" t="n">
        <v>0</v>
      </c>
      <c r="K520" t="n">
        <v>0</v>
      </c>
      <c r="L520" t="n">
        <v>0</v>
      </c>
      <c r="M520" t="n">
        <v>0</v>
      </c>
      <c r="N520" t="n">
        <v>0</v>
      </c>
      <c r="O520" t="n">
        <v>0</v>
      </c>
      <c r="P520" t="n">
        <v>0</v>
      </c>
      <c r="Q520" t="n">
        <v>0</v>
      </c>
      <c r="R520" s="2" t="inlineStr"/>
    </row>
    <row r="521" ht="15" customHeight="1">
      <c r="A521" t="inlineStr">
        <is>
          <t>A 8389-2025</t>
        </is>
      </c>
      <c r="B521" s="1" t="n">
        <v>45709.36497685185</v>
      </c>
      <c r="C521" s="1" t="n">
        <v>45883</v>
      </c>
      <c r="D521" t="inlineStr">
        <is>
          <t>JÄMTLANDS LÄN</t>
        </is>
      </c>
      <c r="E521" t="inlineStr">
        <is>
          <t>ÖSTERSUND</t>
        </is>
      </c>
      <c r="F521" t="inlineStr">
        <is>
          <t>SCA</t>
        </is>
      </c>
      <c r="G521" t="n">
        <v>6.3</v>
      </c>
      <c r="H521" t="n">
        <v>0</v>
      </c>
      <c r="I521" t="n">
        <v>0</v>
      </c>
      <c r="J521" t="n">
        <v>0</v>
      </c>
      <c r="K521" t="n">
        <v>0</v>
      </c>
      <c r="L521" t="n">
        <v>0</v>
      </c>
      <c r="M521" t="n">
        <v>0</v>
      </c>
      <c r="N521" t="n">
        <v>0</v>
      </c>
      <c r="O521" t="n">
        <v>0</v>
      </c>
      <c r="P521" t="n">
        <v>0</v>
      </c>
      <c r="Q521" t="n">
        <v>0</v>
      </c>
      <c r="R521" s="2" t="inlineStr"/>
    </row>
    <row r="522" ht="15" customHeight="1">
      <c r="A522" t="inlineStr">
        <is>
          <t>A 44048-2024</t>
        </is>
      </c>
      <c r="B522" s="1" t="n">
        <v>45572.59430555555</v>
      </c>
      <c r="C522" s="1" t="n">
        <v>45883</v>
      </c>
      <c r="D522" t="inlineStr">
        <is>
          <t>JÄMTLANDS LÄN</t>
        </is>
      </c>
      <c r="E522" t="inlineStr">
        <is>
          <t>ÖSTERSUND</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26605-2025</t>
        </is>
      </c>
      <c r="B523" s="1" t="n">
        <v>45809.86790509259</v>
      </c>
      <c r="C523" s="1" t="n">
        <v>45883</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13651-2025</t>
        </is>
      </c>
      <c r="B524" s="1" t="n">
        <v>45736.71818287037</v>
      </c>
      <c r="C524" s="1" t="n">
        <v>45883</v>
      </c>
      <c r="D524" t="inlineStr">
        <is>
          <t>JÄMTLANDS LÄN</t>
        </is>
      </c>
      <c r="E524" t="inlineStr">
        <is>
          <t>ÖSTERSUND</t>
        </is>
      </c>
      <c r="G524" t="n">
        <v>3.7</v>
      </c>
      <c r="H524" t="n">
        <v>0</v>
      </c>
      <c r="I524" t="n">
        <v>0</v>
      </c>
      <c r="J524" t="n">
        <v>0</v>
      </c>
      <c r="K524" t="n">
        <v>0</v>
      </c>
      <c r="L524" t="n">
        <v>0</v>
      </c>
      <c r="M524" t="n">
        <v>0</v>
      </c>
      <c r="N524" t="n">
        <v>0</v>
      </c>
      <c r="O524" t="n">
        <v>0</v>
      </c>
      <c r="P524" t="n">
        <v>0</v>
      </c>
      <c r="Q524" t="n">
        <v>0</v>
      </c>
      <c r="R524" s="2" t="inlineStr"/>
    </row>
    <row r="525" ht="15" customHeight="1">
      <c r="A525" t="inlineStr">
        <is>
          <t>A 27035-2025</t>
        </is>
      </c>
      <c r="B525" s="1" t="n">
        <v>45811.5928587963</v>
      </c>
      <c r="C525" s="1" t="n">
        <v>45883</v>
      </c>
      <c r="D525" t="inlineStr">
        <is>
          <t>JÄMTLANDS LÄN</t>
        </is>
      </c>
      <c r="E525" t="inlineStr">
        <is>
          <t>ÖSTERSUND</t>
        </is>
      </c>
      <c r="G525" t="n">
        <v>2.8</v>
      </c>
      <c r="H525" t="n">
        <v>0</v>
      </c>
      <c r="I525" t="n">
        <v>0</v>
      </c>
      <c r="J525" t="n">
        <v>0</v>
      </c>
      <c r="K525" t="n">
        <v>0</v>
      </c>
      <c r="L525" t="n">
        <v>0</v>
      </c>
      <c r="M525" t="n">
        <v>0</v>
      </c>
      <c r="N525" t="n">
        <v>0</v>
      </c>
      <c r="O525" t="n">
        <v>0</v>
      </c>
      <c r="P525" t="n">
        <v>0</v>
      </c>
      <c r="Q525" t="n">
        <v>0</v>
      </c>
      <c r="R525" s="2" t="inlineStr"/>
    </row>
    <row r="526" ht="15" customHeight="1">
      <c r="A526" t="inlineStr">
        <is>
          <t>A 55235-2023</t>
        </is>
      </c>
      <c r="B526" s="1" t="n">
        <v>45231</v>
      </c>
      <c r="C526" s="1" t="n">
        <v>45883</v>
      </c>
      <c r="D526" t="inlineStr">
        <is>
          <t>JÄMTLANDS LÄN</t>
        </is>
      </c>
      <c r="E526" t="inlineStr">
        <is>
          <t>ÖSTERSUND</t>
        </is>
      </c>
      <c r="F526" t="inlineStr">
        <is>
          <t>SCA</t>
        </is>
      </c>
      <c r="G526" t="n">
        <v>0.4</v>
      </c>
      <c r="H526" t="n">
        <v>0</v>
      </c>
      <c r="I526" t="n">
        <v>0</v>
      </c>
      <c r="J526" t="n">
        <v>0</v>
      </c>
      <c r="K526" t="n">
        <v>0</v>
      </c>
      <c r="L526" t="n">
        <v>0</v>
      </c>
      <c r="M526" t="n">
        <v>0</v>
      </c>
      <c r="N526" t="n">
        <v>0</v>
      </c>
      <c r="O526" t="n">
        <v>0</v>
      </c>
      <c r="P526" t="n">
        <v>0</v>
      </c>
      <c r="Q526" t="n">
        <v>0</v>
      </c>
      <c r="R526" s="2" t="inlineStr"/>
    </row>
    <row r="527" ht="15" customHeight="1">
      <c r="A527" t="inlineStr">
        <is>
          <t>A 4063-2025</t>
        </is>
      </c>
      <c r="B527" s="1" t="n">
        <v>45684</v>
      </c>
      <c r="C527" s="1" t="n">
        <v>45883</v>
      </c>
      <c r="D527" t="inlineStr">
        <is>
          <t>JÄMTLANDS LÄN</t>
        </is>
      </c>
      <c r="E527" t="inlineStr">
        <is>
          <t>ÖSTERSUND</t>
        </is>
      </c>
      <c r="G527" t="n">
        <v>2.9</v>
      </c>
      <c r="H527" t="n">
        <v>0</v>
      </c>
      <c r="I527" t="n">
        <v>0</v>
      </c>
      <c r="J527" t="n">
        <v>0</v>
      </c>
      <c r="K527" t="n">
        <v>0</v>
      </c>
      <c r="L527" t="n">
        <v>0</v>
      </c>
      <c r="M527" t="n">
        <v>0</v>
      </c>
      <c r="N527" t="n">
        <v>0</v>
      </c>
      <c r="O527" t="n">
        <v>0</v>
      </c>
      <c r="P527" t="n">
        <v>0</v>
      </c>
      <c r="Q527" t="n">
        <v>0</v>
      </c>
      <c r="R527" s="2" t="inlineStr"/>
    </row>
    <row r="528" ht="15" customHeight="1">
      <c r="A528" t="inlineStr">
        <is>
          <t>A 27034-2025</t>
        </is>
      </c>
      <c r="B528" s="1" t="n">
        <v>45811.59258101852</v>
      </c>
      <c r="C528" s="1" t="n">
        <v>45883</v>
      </c>
      <c r="D528" t="inlineStr">
        <is>
          <t>JÄMTLANDS LÄN</t>
        </is>
      </c>
      <c r="E528" t="inlineStr">
        <is>
          <t>ÖSTERSUND</t>
        </is>
      </c>
      <c r="G528" t="n">
        <v>1.6</v>
      </c>
      <c r="H528" t="n">
        <v>0</v>
      </c>
      <c r="I528" t="n">
        <v>0</v>
      </c>
      <c r="J528" t="n">
        <v>0</v>
      </c>
      <c r="K528" t="n">
        <v>0</v>
      </c>
      <c r="L528" t="n">
        <v>0</v>
      </c>
      <c r="M528" t="n">
        <v>0</v>
      </c>
      <c r="N528" t="n">
        <v>0</v>
      </c>
      <c r="O528" t="n">
        <v>0</v>
      </c>
      <c r="P528" t="n">
        <v>0</v>
      </c>
      <c r="Q528" t="n">
        <v>0</v>
      </c>
      <c r="R528" s="2" t="inlineStr"/>
    </row>
    <row r="529" ht="15" customHeight="1">
      <c r="A529" t="inlineStr">
        <is>
          <t>A 27517-2025</t>
        </is>
      </c>
      <c r="B529" s="1" t="n">
        <v>45813.43966435185</v>
      </c>
      <c r="C529" s="1" t="n">
        <v>45883</v>
      </c>
      <c r="D529" t="inlineStr">
        <is>
          <t>JÄMTLANDS LÄN</t>
        </is>
      </c>
      <c r="E529" t="inlineStr">
        <is>
          <t>ÖSTERSUND</t>
        </is>
      </c>
      <c r="G529" t="n">
        <v>2.2</v>
      </c>
      <c r="H529" t="n">
        <v>0</v>
      </c>
      <c r="I529" t="n">
        <v>0</v>
      </c>
      <c r="J529" t="n">
        <v>0</v>
      </c>
      <c r="K529" t="n">
        <v>0</v>
      </c>
      <c r="L529" t="n">
        <v>0</v>
      </c>
      <c r="M529" t="n">
        <v>0</v>
      </c>
      <c r="N529" t="n">
        <v>0</v>
      </c>
      <c r="O529" t="n">
        <v>0</v>
      </c>
      <c r="P529" t="n">
        <v>0</v>
      </c>
      <c r="Q529" t="n">
        <v>0</v>
      </c>
      <c r="R529" s="2" t="inlineStr"/>
    </row>
    <row r="530" ht="15" customHeight="1">
      <c r="A530" t="inlineStr">
        <is>
          <t>A 10266-2025</t>
        </is>
      </c>
      <c r="B530" s="1" t="n">
        <v>45720.38576388889</v>
      </c>
      <c r="C530" s="1" t="n">
        <v>45883</v>
      </c>
      <c r="D530" t="inlineStr">
        <is>
          <t>JÄMTLANDS LÄN</t>
        </is>
      </c>
      <c r="E530" t="inlineStr">
        <is>
          <t>ÖSTERSUND</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7936-2025</t>
        </is>
      </c>
      <c r="B531" s="1" t="n">
        <v>45707</v>
      </c>
      <c r="C531" s="1" t="n">
        <v>45883</v>
      </c>
      <c r="D531" t="inlineStr">
        <is>
          <t>JÄMTLANDS LÄN</t>
        </is>
      </c>
      <c r="E531" t="inlineStr">
        <is>
          <t>ÖSTERSUND</t>
        </is>
      </c>
      <c r="G531" t="n">
        <v>0.2</v>
      </c>
      <c r="H531" t="n">
        <v>0</v>
      </c>
      <c r="I531" t="n">
        <v>0</v>
      </c>
      <c r="J531" t="n">
        <v>0</v>
      </c>
      <c r="K531" t="n">
        <v>0</v>
      </c>
      <c r="L531" t="n">
        <v>0</v>
      </c>
      <c r="M531" t="n">
        <v>0</v>
      </c>
      <c r="N531" t="n">
        <v>0</v>
      </c>
      <c r="O531" t="n">
        <v>0</v>
      </c>
      <c r="P531" t="n">
        <v>0</v>
      </c>
      <c r="Q531" t="n">
        <v>0</v>
      </c>
      <c r="R531" s="2" t="inlineStr"/>
    </row>
    <row r="532" ht="15" customHeight="1">
      <c r="A532" t="inlineStr">
        <is>
          <t>A 7940-2025</t>
        </is>
      </c>
      <c r="B532" s="1" t="n">
        <v>45707.40493055555</v>
      </c>
      <c r="C532" s="1" t="n">
        <v>45883</v>
      </c>
      <c r="D532" t="inlineStr">
        <is>
          <t>JÄMTLANDS LÄN</t>
        </is>
      </c>
      <c r="E532" t="inlineStr">
        <is>
          <t>ÖSTERSUND</t>
        </is>
      </c>
      <c r="F532" t="inlineStr">
        <is>
          <t>Övriga Aktiebolag</t>
        </is>
      </c>
      <c r="G532" t="n">
        <v>48.1</v>
      </c>
      <c r="H532" t="n">
        <v>0</v>
      </c>
      <c r="I532" t="n">
        <v>0</v>
      </c>
      <c r="J532" t="n">
        <v>0</v>
      </c>
      <c r="K532" t="n">
        <v>0</v>
      </c>
      <c r="L532" t="n">
        <v>0</v>
      </c>
      <c r="M532" t="n">
        <v>0</v>
      </c>
      <c r="N532" t="n">
        <v>0</v>
      </c>
      <c r="O532" t="n">
        <v>0</v>
      </c>
      <c r="P532" t="n">
        <v>0</v>
      </c>
      <c r="Q532" t="n">
        <v>0</v>
      </c>
      <c r="R532" s="2" t="inlineStr"/>
    </row>
    <row r="533" ht="15" customHeight="1">
      <c r="A533" t="inlineStr">
        <is>
          <t>A 12946-2022</t>
        </is>
      </c>
      <c r="B533" s="1" t="n">
        <v>44642.93471064815</v>
      </c>
      <c r="C533" s="1" t="n">
        <v>45883</v>
      </c>
      <c r="D533" t="inlineStr">
        <is>
          <t>JÄMTLANDS LÄN</t>
        </is>
      </c>
      <c r="E533" t="inlineStr">
        <is>
          <t>ÖSTERSUND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79-2025</t>
        </is>
      </c>
      <c r="B534" s="1" t="n">
        <v>45659.44413194444</v>
      </c>
      <c r="C534" s="1" t="n">
        <v>45883</v>
      </c>
      <c r="D534" t="inlineStr">
        <is>
          <t>JÄMTLANDS LÄN</t>
        </is>
      </c>
      <c r="E534" t="inlineStr">
        <is>
          <t>ÖSTERSUND</t>
        </is>
      </c>
      <c r="G534" t="n">
        <v>0.6</v>
      </c>
      <c r="H534" t="n">
        <v>0</v>
      </c>
      <c r="I534" t="n">
        <v>0</v>
      </c>
      <c r="J534" t="n">
        <v>0</v>
      </c>
      <c r="K534" t="n">
        <v>0</v>
      </c>
      <c r="L534" t="n">
        <v>0</v>
      </c>
      <c r="M534" t="n">
        <v>0</v>
      </c>
      <c r="N534" t="n">
        <v>0</v>
      </c>
      <c r="O534" t="n">
        <v>0</v>
      </c>
      <c r="P534" t="n">
        <v>0</v>
      </c>
      <c r="Q534" t="n">
        <v>0</v>
      </c>
      <c r="R534" s="2" t="inlineStr"/>
    </row>
    <row r="535" ht="15" customHeight="1">
      <c r="A535" t="inlineStr">
        <is>
          <t>A 31040-2021</t>
        </is>
      </c>
      <c r="B535" s="1" t="n">
        <v>44368</v>
      </c>
      <c r="C535" s="1" t="n">
        <v>45883</v>
      </c>
      <c r="D535" t="inlineStr">
        <is>
          <t>JÄMTLANDS LÄN</t>
        </is>
      </c>
      <c r="E535" t="inlineStr">
        <is>
          <t>ÖSTERSUND</t>
        </is>
      </c>
      <c r="G535" t="n">
        <v>4.3</v>
      </c>
      <c r="H535" t="n">
        <v>0</v>
      </c>
      <c r="I535" t="n">
        <v>0</v>
      </c>
      <c r="J535" t="n">
        <v>0</v>
      </c>
      <c r="K535" t="n">
        <v>0</v>
      </c>
      <c r="L535" t="n">
        <v>0</v>
      </c>
      <c r="M535" t="n">
        <v>0</v>
      </c>
      <c r="N535" t="n">
        <v>0</v>
      </c>
      <c r="O535" t="n">
        <v>0</v>
      </c>
      <c r="P535" t="n">
        <v>0</v>
      </c>
      <c r="Q535" t="n">
        <v>0</v>
      </c>
      <c r="R535" s="2" t="inlineStr"/>
    </row>
    <row r="536" ht="15" customHeight="1">
      <c r="A536" t="inlineStr">
        <is>
          <t>A 2753-2025</t>
        </is>
      </c>
      <c r="B536" s="1" t="n">
        <v>45677.47302083333</v>
      </c>
      <c r="C536" s="1" t="n">
        <v>45883</v>
      </c>
      <c r="D536" t="inlineStr">
        <is>
          <t>JÄMTLANDS LÄN</t>
        </is>
      </c>
      <c r="E536" t="inlineStr">
        <is>
          <t>ÖSTERSUND</t>
        </is>
      </c>
      <c r="G536" t="n">
        <v>6.4</v>
      </c>
      <c r="H536" t="n">
        <v>0</v>
      </c>
      <c r="I536" t="n">
        <v>0</v>
      </c>
      <c r="J536" t="n">
        <v>0</v>
      </c>
      <c r="K536" t="n">
        <v>0</v>
      </c>
      <c r="L536" t="n">
        <v>0</v>
      </c>
      <c r="M536" t="n">
        <v>0</v>
      </c>
      <c r="N536" t="n">
        <v>0</v>
      </c>
      <c r="O536" t="n">
        <v>0</v>
      </c>
      <c r="P536" t="n">
        <v>0</v>
      </c>
      <c r="Q536" t="n">
        <v>0</v>
      </c>
      <c r="R536" s="2" t="inlineStr"/>
    </row>
    <row r="537" ht="15" customHeight="1">
      <c r="A537" t="inlineStr">
        <is>
          <t>A 7956-2025</t>
        </is>
      </c>
      <c r="B537" s="1" t="n">
        <v>45707.42825231481</v>
      </c>
      <c r="C537" s="1" t="n">
        <v>45883</v>
      </c>
      <c r="D537" t="inlineStr">
        <is>
          <t>JÄMTLANDS LÄN</t>
        </is>
      </c>
      <c r="E537" t="inlineStr">
        <is>
          <t>ÖSTERSUND</t>
        </is>
      </c>
      <c r="F537" t="inlineStr">
        <is>
          <t>Övriga Aktiebolag</t>
        </is>
      </c>
      <c r="G537" t="n">
        <v>111.2</v>
      </c>
      <c r="H537" t="n">
        <v>0</v>
      </c>
      <c r="I537" t="n">
        <v>0</v>
      </c>
      <c r="J537" t="n">
        <v>0</v>
      </c>
      <c r="K537" t="n">
        <v>0</v>
      </c>
      <c r="L537" t="n">
        <v>0</v>
      </c>
      <c r="M537" t="n">
        <v>0</v>
      </c>
      <c r="N537" t="n">
        <v>0</v>
      </c>
      <c r="O537" t="n">
        <v>0</v>
      </c>
      <c r="P537" t="n">
        <v>0</v>
      </c>
      <c r="Q537" t="n">
        <v>0</v>
      </c>
      <c r="R537" s="2" t="inlineStr"/>
    </row>
    <row r="538" ht="15" customHeight="1">
      <c r="A538" t="inlineStr">
        <is>
          <t>A 28025-2025</t>
        </is>
      </c>
      <c r="B538" s="1" t="n">
        <v>45817</v>
      </c>
      <c r="C538" s="1" t="n">
        <v>45883</v>
      </c>
      <c r="D538" t="inlineStr">
        <is>
          <t>JÄMTLANDS LÄN</t>
        </is>
      </c>
      <c r="E538" t="inlineStr">
        <is>
          <t>ÖSTERSUND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28185-2025</t>
        </is>
      </c>
      <c r="B539" s="1" t="n">
        <v>45818.40337962963</v>
      </c>
      <c r="C539" s="1" t="n">
        <v>45883</v>
      </c>
      <c r="D539" t="inlineStr">
        <is>
          <t>JÄMTLANDS LÄN</t>
        </is>
      </c>
      <c r="E539" t="inlineStr">
        <is>
          <t>ÖSTERSUND</t>
        </is>
      </c>
      <c r="F539" t="inlineStr">
        <is>
          <t>Kyrkan</t>
        </is>
      </c>
      <c r="G539" t="n">
        <v>1</v>
      </c>
      <c r="H539" t="n">
        <v>0</v>
      </c>
      <c r="I539" t="n">
        <v>0</v>
      </c>
      <c r="J539" t="n">
        <v>0</v>
      </c>
      <c r="K539" t="n">
        <v>0</v>
      </c>
      <c r="L539" t="n">
        <v>0</v>
      </c>
      <c r="M539" t="n">
        <v>0</v>
      </c>
      <c r="N539" t="n">
        <v>0</v>
      </c>
      <c r="O539" t="n">
        <v>0</v>
      </c>
      <c r="P539" t="n">
        <v>0</v>
      </c>
      <c r="Q539" t="n">
        <v>0</v>
      </c>
      <c r="R539" s="2" t="inlineStr"/>
    </row>
    <row r="540" ht="15" customHeight="1">
      <c r="A540" t="inlineStr">
        <is>
          <t>A 44327-2023</t>
        </is>
      </c>
      <c r="B540" s="1" t="n">
        <v>45188</v>
      </c>
      <c r="C540" s="1" t="n">
        <v>45883</v>
      </c>
      <c r="D540" t="inlineStr">
        <is>
          <t>JÄMTLANDS LÄN</t>
        </is>
      </c>
      <c r="E540" t="inlineStr">
        <is>
          <t>ÖSTERSUND</t>
        </is>
      </c>
      <c r="G540" t="n">
        <v>1.5</v>
      </c>
      <c r="H540" t="n">
        <v>0</v>
      </c>
      <c r="I540" t="n">
        <v>0</v>
      </c>
      <c r="J540" t="n">
        <v>0</v>
      </c>
      <c r="K540" t="n">
        <v>0</v>
      </c>
      <c r="L540" t="n">
        <v>0</v>
      </c>
      <c r="M540" t="n">
        <v>0</v>
      </c>
      <c r="N540" t="n">
        <v>0</v>
      </c>
      <c r="O540" t="n">
        <v>0</v>
      </c>
      <c r="P540" t="n">
        <v>0</v>
      </c>
      <c r="Q540" t="n">
        <v>0</v>
      </c>
      <c r="R540" s="2" t="inlineStr"/>
    </row>
    <row r="541" ht="15" customHeight="1">
      <c r="A541" t="inlineStr">
        <is>
          <t>A 27780-2022</t>
        </is>
      </c>
      <c r="B541" s="1" t="n">
        <v>44743</v>
      </c>
      <c r="C541" s="1" t="n">
        <v>45883</v>
      </c>
      <c r="D541" t="inlineStr">
        <is>
          <t>JÄMTLANDS LÄN</t>
        </is>
      </c>
      <c r="E541" t="inlineStr">
        <is>
          <t>ÖSTERSUND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23555-2022</t>
        </is>
      </c>
      <c r="B542" s="1" t="n">
        <v>44721</v>
      </c>
      <c r="C542" s="1" t="n">
        <v>45883</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10267-2025</t>
        </is>
      </c>
      <c r="B543" s="1" t="n">
        <v>45720.3859375</v>
      </c>
      <c r="C543" s="1" t="n">
        <v>45883</v>
      </c>
      <c r="D543" t="inlineStr">
        <is>
          <t>JÄMTLANDS LÄN</t>
        </is>
      </c>
      <c r="E543" t="inlineStr">
        <is>
          <t>ÖSTERSUND</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10493-2025</t>
        </is>
      </c>
      <c r="B544" s="1" t="n">
        <v>45721.36320601852</v>
      </c>
      <c r="C544" s="1" t="n">
        <v>45883</v>
      </c>
      <c r="D544" t="inlineStr">
        <is>
          <t>JÄMTLANDS LÄN</t>
        </is>
      </c>
      <c r="E544" t="inlineStr">
        <is>
          <t>ÖSTERSUND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28551-2025</t>
        </is>
      </c>
      <c r="B545" s="1" t="n">
        <v>45818</v>
      </c>
      <c r="C545" s="1" t="n">
        <v>45883</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28595-2025</t>
        </is>
      </c>
      <c r="B546" s="1" t="n">
        <v>45819.59429398148</v>
      </c>
      <c r="C546" s="1" t="n">
        <v>45883</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3844-2024</t>
        </is>
      </c>
      <c r="B547" s="1" t="n">
        <v>45321</v>
      </c>
      <c r="C547" s="1" t="n">
        <v>45883</v>
      </c>
      <c r="D547" t="inlineStr">
        <is>
          <t>JÄMTLANDS LÄN</t>
        </is>
      </c>
      <c r="E547" t="inlineStr">
        <is>
          <t>ÖSTERSUND</t>
        </is>
      </c>
      <c r="G547" t="n">
        <v>2.2</v>
      </c>
      <c r="H547" t="n">
        <v>0</v>
      </c>
      <c r="I547" t="n">
        <v>0</v>
      </c>
      <c r="J547" t="n">
        <v>0</v>
      </c>
      <c r="K547" t="n">
        <v>0</v>
      </c>
      <c r="L547" t="n">
        <v>0</v>
      </c>
      <c r="M547" t="n">
        <v>0</v>
      </c>
      <c r="N547" t="n">
        <v>0</v>
      </c>
      <c r="O547" t="n">
        <v>0</v>
      </c>
      <c r="P547" t="n">
        <v>0</v>
      </c>
      <c r="Q547" t="n">
        <v>0</v>
      </c>
      <c r="R547" s="2" t="inlineStr"/>
    </row>
    <row r="548" ht="15" customHeight="1">
      <c r="A548" t="inlineStr">
        <is>
          <t>A 59648-2022</t>
        </is>
      </c>
      <c r="B548" s="1" t="n">
        <v>44907</v>
      </c>
      <c r="C548" s="1" t="n">
        <v>45883</v>
      </c>
      <c r="D548" t="inlineStr">
        <is>
          <t>JÄMTLANDS LÄN</t>
        </is>
      </c>
      <c r="E548" t="inlineStr">
        <is>
          <t>ÖSTERSUND</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2978-2024</t>
        </is>
      </c>
      <c r="B549" s="1" t="n">
        <v>45315</v>
      </c>
      <c r="C549" s="1" t="n">
        <v>45883</v>
      </c>
      <c r="D549" t="inlineStr">
        <is>
          <t>JÄMTLANDS LÄN</t>
        </is>
      </c>
      <c r="E549" t="inlineStr">
        <is>
          <t>ÖSTERSUND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34923-2025</t>
        </is>
      </c>
      <c r="B550" s="1" t="n">
        <v>45849.55601851852</v>
      </c>
      <c r="C550" s="1" t="n">
        <v>45883</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61791-2023</t>
        </is>
      </c>
      <c r="B551" s="1" t="n">
        <v>45265.95795138889</v>
      </c>
      <c r="C551" s="1" t="n">
        <v>45883</v>
      </c>
      <c r="D551" t="inlineStr">
        <is>
          <t>JÄMTLANDS LÄN</t>
        </is>
      </c>
      <c r="E551" t="inlineStr">
        <is>
          <t>ÖSTERSUND</t>
        </is>
      </c>
      <c r="F551" t="inlineStr">
        <is>
          <t>SCA</t>
        </is>
      </c>
      <c r="G551" t="n">
        <v>11.4</v>
      </c>
      <c r="H551" t="n">
        <v>0</v>
      </c>
      <c r="I551" t="n">
        <v>0</v>
      </c>
      <c r="J551" t="n">
        <v>0</v>
      </c>
      <c r="K551" t="n">
        <v>0</v>
      </c>
      <c r="L551" t="n">
        <v>0</v>
      </c>
      <c r="M551" t="n">
        <v>0</v>
      </c>
      <c r="N551" t="n">
        <v>0</v>
      </c>
      <c r="O551" t="n">
        <v>0</v>
      </c>
      <c r="P551" t="n">
        <v>0</v>
      </c>
      <c r="Q551" t="n">
        <v>0</v>
      </c>
      <c r="R551" s="2" t="inlineStr"/>
    </row>
    <row r="552" ht="15" customHeight="1">
      <c r="A552" t="inlineStr">
        <is>
          <t>A 36098-2025</t>
        </is>
      </c>
      <c r="B552" s="1" t="n">
        <v>45866.50549768518</v>
      </c>
      <c r="C552" s="1" t="n">
        <v>45883</v>
      </c>
      <c r="D552" t="inlineStr">
        <is>
          <t>JÄMTLANDS LÄN</t>
        </is>
      </c>
      <c r="E552" t="inlineStr">
        <is>
          <t>ÖSTERSUND</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3255-2025</t>
        </is>
      </c>
      <c r="B553" s="1" t="n">
        <v>45679.55256944444</v>
      </c>
      <c r="C553" s="1" t="n">
        <v>45883</v>
      </c>
      <c r="D553" t="inlineStr">
        <is>
          <t>JÄMTLANDS LÄN</t>
        </is>
      </c>
      <c r="E553" t="inlineStr">
        <is>
          <t>ÖSTERSUND</t>
        </is>
      </c>
      <c r="F553" t="inlineStr">
        <is>
          <t>SCA</t>
        </is>
      </c>
      <c r="G553" t="n">
        <v>16.7</v>
      </c>
      <c r="H553" t="n">
        <v>0</v>
      </c>
      <c r="I553" t="n">
        <v>0</v>
      </c>
      <c r="J553" t="n">
        <v>0</v>
      </c>
      <c r="K553" t="n">
        <v>0</v>
      </c>
      <c r="L553" t="n">
        <v>0</v>
      </c>
      <c r="M553" t="n">
        <v>0</v>
      </c>
      <c r="N553" t="n">
        <v>0</v>
      </c>
      <c r="O553" t="n">
        <v>0</v>
      </c>
      <c r="P553" t="n">
        <v>0</v>
      </c>
      <c r="Q553" t="n">
        <v>0</v>
      </c>
      <c r="R553" s="2" t="inlineStr"/>
    </row>
    <row r="554" ht="15" customHeight="1">
      <c r="A554" t="inlineStr">
        <is>
          <t>A 24781-2024</t>
        </is>
      </c>
      <c r="B554" s="1" t="n">
        <v>45460.7772800926</v>
      </c>
      <c r="C554" s="1" t="n">
        <v>45883</v>
      </c>
      <c r="D554" t="inlineStr">
        <is>
          <t>JÄMTLANDS LÄN</t>
        </is>
      </c>
      <c r="E554" t="inlineStr">
        <is>
          <t>ÖSTERSUND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2615-2024</t>
        </is>
      </c>
      <c r="B555" s="1" t="n">
        <v>45313</v>
      </c>
      <c r="C555" s="1" t="n">
        <v>45883</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36099-2025</t>
        </is>
      </c>
      <c r="B556" s="1" t="n">
        <v>45866.51630787037</v>
      </c>
      <c r="C556" s="1" t="n">
        <v>45883</v>
      </c>
      <c r="D556" t="inlineStr">
        <is>
          <t>JÄMTLANDS LÄN</t>
        </is>
      </c>
      <c r="E556" t="inlineStr">
        <is>
          <t>ÖSTERSUND</t>
        </is>
      </c>
      <c r="G556" t="n">
        <v>1.9</v>
      </c>
      <c r="H556" t="n">
        <v>0</v>
      </c>
      <c r="I556" t="n">
        <v>0</v>
      </c>
      <c r="J556" t="n">
        <v>0</v>
      </c>
      <c r="K556" t="n">
        <v>0</v>
      </c>
      <c r="L556" t="n">
        <v>0</v>
      </c>
      <c r="M556" t="n">
        <v>0</v>
      </c>
      <c r="N556" t="n">
        <v>0</v>
      </c>
      <c r="O556" t="n">
        <v>0</v>
      </c>
      <c r="P556" t="n">
        <v>0</v>
      </c>
      <c r="Q556" t="n">
        <v>0</v>
      </c>
      <c r="R556" s="2" t="inlineStr"/>
    </row>
    <row r="557" ht="15" customHeight="1">
      <c r="A557" t="inlineStr">
        <is>
          <t>A 36211-2025</t>
        </is>
      </c>
      <c r="B557" s="1" t="n">
        <v>45867.46946759259</v>
      </c>
      <c r="C557" s="1" t="n">
        <v>45883</v>
      </c>
      <c r="D557" t="inlineStr">
        <is>
          <t>JÄMTLANDS LÄN</t>
        </is>
      </c>
      <c r="E557" t="inlineStr">
        <is>
          <t>ÖSTERSUND</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1159-2024</t>
        </is>
      </c>
      <c r="B558" s="1" t="n">
        <v>45302.52006944444</v>
      </c>
      <c r="C558" s="1" t="n">
        <v>45883</v>
      </c>
      <c r="D558" t="inlineStr">
        <is>
          <t>JÄMTLANDS LÄN</t>
        </is>
      </c>
      <c r="E558" t="inlineStr">
        <is>
          <t>ÖSTERSUND</t>
        </is>
      </c>
      <c r="G558" t="n">
        <v>0.7</v>
      </c>
      <c r="H558" t="n">
        <v>0</v>
      </c>
      <c r="I558" t="n">
        <v>0</v>
      </c>
      <c r="J558" t="n">
        <v>0</v>
      </c>
      <c r="K558" t="n">
        <v>0</v>
      </c>
      <c r="L558" t="n">
        <v>0</v>
      </c>
      <c r="M558" t="n">
        <v>0</v>
      </c>
      <c r="N558" t="n">
        <v>0</v>
      </c>
      <c r="O558" t="n">
        <v>0</v>
      </c>
      <c r="P558" t="n">
        <v>0</v>
      </c>
      <c r="Q558" t="n">
        <v>0</v>
      </c>
      <c r="R558" s="2" t="inlineStr"/>
    </row>
    <row r="559" ht="15" customHeight="1">
      <c r="A559" t="inlineStr">
        <is>
          <t>A 35556-2022</t>
        </is>
      </c>
      <c r="B559" s="1" t="n">
        <v>44799</v>
      </c>
      <c r="C559" s="1" t="n">
        <v>45883</v>
      </c>
      <c r="D559" t="inlineStr">
        <is>
          <t>JÄMTLANDS LÄN</t>
        </is>
      </c>
      <c r="E559" t="inlineStr">
        <is>
          <t>ÖSTERSUND</t>
        </is>
      </c>
      <c r="G559" t="n">
        <v>3.6</v>
      </c>
      <c r="H559" t="n">
        <v>0</v>
      </c>
      <c r="I559" t="n">
        <v>0</v>
      </c>
      <c r="J559" t="n">
        <v>0</v>
      </c>
      <c r="K559" t="n">
        <v>0</v>
      </c>
      <c r="L559" t="n">
        <v>0</v>
      </c>
      <c r="M559" t="n">
        <v>0</v>
      </c>
      <c r="N559" t="n">
        <v>0</v>
      </c>
      <c r="O559" t="n">
        <v>0</v>
      </c>
      <c r="P559" t="n">
        <v>0</v>
      </c>
      <c r="Q559" t="n">
        <v>0</v>
      </c>
      <c r="R559" s="2" t="inlineStr"/>
    </row>
    <row r="560" ht="15" customHeight="1">
      <c r="A560" t="inlineStr">
        <is>
          <t>A 55235-2023</t>
        </is>
      </c>
      <c r="B560" s="1" t="n">
        <v>45231</v>
      </c>
      <c r="C560" s="1" t="n">
        <v>45883</v>
      </c>
      <c r="D560" t="inlineStr">
        <is>
          <t>JÄMTLANDS LÄN</t>
        </is>
      </c>
      <c r="E560" t="inlineStr">
        <is>
          <t>ÖSTERSUND</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60794-2023</t>
        </is>
      </c>
      <c r="B561" s="1" t="n">
        <v>45260</v>
      </c>
      <c r="C561" s="1" t="n">
        <v>45883</v>
      </c>
      <c r="D561" t="inlineStr">
        <is>
          <t>JÄMTLANDS LÄN</t>
        </is>
      </c>
      <c r="E561" t="inlineStr">
        <is>
          <t>ÖSTERSUND</t>
        </is>
      </c>
      <c r="G561" t="n">
        <v>3.6</v>
      </c>
      <c r="H561" t="n">
        <v>0</v>
      </c>
      <c r="I561" t="n">
        <v>0</v>
      </c>
      <c r="J561" t="n">
        <v>0</v>
      </c>
      <c r="K561" t="n">
        <v>0</v>
      </c>
      <c r="L561" t="n">
        <v>0</v>
      </c>
      <c r="M561" t="n">
        <v>0</v>
      </c>
      <c r="N561" t="n">
        <v>0</v>
      </c>
      <c r="O561" t="n">
        <v>0</v>
      </c>
      <c r="P561" t="n">
        <v>0</v>
      </c>
      <c r="Q561" t="n">
        <v>0</v>
      </c>
      <c r="R561" s="2" t="inlineStr"/>
    </row>
    <row r="562" ht="15" customHeight="1">
      <c r="A562" t="inlineStr">
        <is>
          <t>A 39928-2022</t>
        </is>
      </c>
      <c r="B562" s="1" t="n">
        <v>44819</v>
      </c>
      <c r="C562" s="1" t="n">
        <v>45883</v>
      </c>
      <c r="D562" t="inlineStr">
        <is>
          <t>JÄMTLANDS LÄN</t>
        </is>
      </c>
      <c r="E562" t="inlineStr">
        <is>
          <t>ÖSTERSUND</t>
        </is>
      </c>
      <c r="F562" t="inlineStr">
        <is>
          <t>SCA</t>
        </is>
      </c>
      <c r="G562" t="n">
        <v>8.9</v>
      </c>
      <c r="H562" t="n">
        <v>0</v>
      </c>
      <c r="I562" t="n">
        <v>0</v>
      </c>
      <c r="J562" t="n">
        <v>0</v>
      </c>
      <c r="K562" t="n">
        <v>0</v>
      </c>
      <c r="L562" t="n">
        <v>0</v>
      </c>
      <c r="M562" t="n">
        <v>0</v>
      </c>
      <c r="N562" t="n">
        <v>0</v>
      </c>
      <c r="O562" t="n">
        <v>0</v>
      </c>
      <c r="P562" t="n">
        <v>0</v>
      </c>
      <c r="Q562" t="n">
        <v>0</v>
      </c>
      <c r="R562" s="2" t="inlineStr"/>
    </row>
    <row r="563" ht="15" customHeight="1">
      <c r="A563" t="inlineStr">
        <is>
          <t>A 30320-2025</t>
        </is>
      </c>
      <c r="B563" s="1" t="n">
        <v>45827.49415509259</v>
      </c>
      <c r="C563" s="1" t="n">
        <v>45883</v>
      </c>
      <c r="D563" t="inlineStr">
        <is>
          <t>JÄMTLANDS LÄN</t>
        </is>
      </c>
      <c r="E563" t="inlineStr">
        <is>
          <t>ÖSTERSUND</t>
        </is>
      </c>
      <c r="G563" t="n">
        <v>4.6</v>
      </c>
      <c r="H563" t="n">
        <v>0</v>
      </c>
      <c r="I563" t="n">
        <v>0</v>
      </c>
      <c r="J563" t="n">
        <v>0</v>
      </c>
      <c r="K563" t="n">
        <v>0</v>
      </c>
      <c r="L563" t="n">
        <v>0</v>
      </c>
      <c r="M563" t="n">
        <v>0</v>
      </c>
      <c r="N563" t="n">
        <v>0</v>
      </c>
      <c r="O563" t="n">
        <v>0</v>
      </c>
      <c r="P563" t="n">
        <v>0</v>
      </c>
      <c r="Q563" t="n">
        <v>0</v>
      </c>
      <c r="R563" s="2" t="inlineStr"/>
    </row>
    <row r="564" ht="15" customHeight="1">
      <c r="A564" t="inlineStr">
        <is>
          <t>A 30210-2025</t>
        </is>
      </c>
      <c r="B564" s="1" t="n">
        <v>45827.36590277778</v>
      </c>
      <c r="C564" s="1" t="n">
        <v>45883</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63099-2023</t>
        </is>
      </c>
      <c r="B565" s="1" t="n">
        <v>45273</v>
      </c>
      <c r="C565" s="1" t="n">
        <v>45883</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36566-2025</t>
        </is>
      </c>
      <c r="B566" s="1" t="n">
        <v>45869</v>
      </c>
      <c r="C566" s="1" t="n">
        <v>45883</v>
      </c>
      <c r="D566" t="inlineStr">
        <is>
          <t>JÄMTLANDS LÄN</t>
        </is>
      </c>
      <c r="E566" t="inlineStr">
        <is>
          <t>ÖSTERSUND</t>
        </is>
      </c>
      <c r="F566" t="inlineStr">
        <is>
          <t>Sveaskog</t>
        </is>
      </c>
      <c r="G566" t="n">
        <v>6.9</v>
      </c>
      <c r="H566" t="n">
        <v>0</v>
      </c>
      <c r="I566" t="n">
        <v>0</v>
      </c>
      <c r="J566" t="n">
        <v>0</v>
      </c>
      <c r="K566" t="n">
        <v>0</v>
      </c>
      <c r="L566" t="n">
        <v>0</v>
      </c>
      <c r="M566" t="n">
        <v>0</v>
      </c>
      <c r="N566" t="n">
        <v>0</v>
      </c>
      <c r="O566" t="n">
        <v>0</v>
      </c>
      <c r="P566" t="n">
        <v>0</v>
      </c>
      <c r="Q566" t="n">
        <v>0</v>
      </c>
      <c r="R566" s="2" t="inlineStr"/>
    </row>
    <row r="567" ht="15" customHeight="1">
      <c r="A567" t="inlineStr">
        <is>
          <t>A 16682-2023</t>
        </is>
      </c>
      <c r="B567" s="1" t="n">
        <v>45028</v>
      </c>
      <c r="C567" s="1" t="n">
        <v>45883</v>
      </c>
      <c r="D567" t="inlineStr">
        <is>
          <t>JÄMTLANDS LÄN</t>
        </is>
      </c>
      <c r="E567" t="inlineStr">
        <is>
          <t>ÖSTERSUND</t>
        </is>
      </c>
      <c r="G567" t="n">
        <v>7.9</v>
      </c>
      <c r="H567" t="n">
        <v>0</v>
      </c>
      <c r="I567" t="n">
        <v>0</v>
      </c>
      <c r="J567" t="n">
        <v>0</v>
      </c>
      <c r="K567" t="n">
        <v>0</v>
      </c>
      <c r="L567" t="n">
        <v>0</v>
      </c>
      <c r="M567" t="n">
        <v>0</v>
      </c>
      <c r="N567" t="n">
        <v>0</v>
      </c>
      <c r="O567" t="n">
        <v>0</v>
      </c>
      <c r="P567" t="n">
        <v>0</v>
      </c>
      <c r="Q567" t="n">
        <v>0</v>
      </c>
      <c r="R567" s="2" t="inlineStr"/>
    </row>
    <row r="568" ht="15" customHeight="1">
      <c r="A568" t="inlineStr">
        <is>
          <t>A 54608-2023</t>
        </is>
      </c>
      <c r="B568" s="1" t="n">
        <v>45233</v>
      </c>
      <c r="C568" s="1" t="n">
        <v>45883</v>
      </c>
      <c r="D568" t="inlineStr">
        <is>
          <t>JÄMTLANDS LÄN</t>
        </is>
      </c>
      <c r="E568" t="inlineStr">
        <is>
          <t>ÖSTERSUND</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14263-2025</t>
        </is>
      </c>
      <c r="B569" s="1" t="n">
        <v>45740.63354166667</v>
      </c>
      <c r="C569" s="1" t="n">
        <v>45883</v>
      </c>
      <c r="D569" t="inlineStr">
        <is>
          <t>JÄMTLANDS LÄN</t>
        </is>
      </c>
      <c r="E569" t="inlineStr">
        <is>
          <t>ÖSTERSUND</t>
        </is>
      </c>
      <c r="F569" t="inlineStr">
        <is>
          <t>Övriga Aktiebolag</t>
        </is>
      </c>
      <c r="G569" t="n">
        <v>4.3</v>
      </c>
      <c r="H569" t="n">
        <v>0</v>
      </c>
      <c r="I569" t="n">
        <v>0</v>
      </c>
      <c r="J569" t="n">
        <v>0</v>
      </c>
      <c r="K569" t="n">
        <v>0</v>
      </c>
      <c r="L569" t="n">
        <v>0</v>
      </c>
      <c r="M569" t="n">
        <v>0</v>
      </c>
      <c r="N569" t="n">
        <v>0</v>
      </c>
      <c r="O569" t="n">
        <v>0</v>
      </c>
      <c r="P569" t="n">
        <v>0</v>
      </c>
      <c r="Q569" t="n">
        <v>0</v>
      </c>
      <c r="R569" s="2" t="inlineStr"/>
    </row>
    <row r="570" ht="15" customHeight="1">
      <c r="A570" t="inlineStr">
        <is>
          <t>A 70256-2021</t>
        </is>
      </c>
      <c r="B570" s="1" t="n">
        <v>44533</v>
      </c>
      <c r="C570" s="1" t="n">
        <v>45883</v>
      </c>
      <c r="D570" t="inlineStr">
        <is>
          <t>JÄMTLANDS LÄN</t>
        </is>
      </c>
      <c r="E570" t="inlineStr">
        <is>
          <t>ÖSTERSUND</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8972-2022</t>
        </is>
      </c>
      <c r="B571" s="1" t="n">
        <v>44614.91989583334</v>
      </c>
      <c r="C571" s="1" t="n">
        <v>45883</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47627-2024</t>
        </is>
      </c>
      <c r="B572" s="1" t="n">
        <v>45588.3440625</v>
      </c>
      <c r="C572" s="1" t="n">
        <v>45883</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47628-2024</t>
        </is>
      </c>
      <c r="B573" s="1" t="n">
        <v>45588.34418981482</v>
      </c>
      <c r="C573" s="1" t="n">
        <v>45883</v>
      </c>
      <c r="D573" t="inlineStr">
        <is>
          <t>JÄMTLANDS LÄN</t>
        </is>
      </c>
      <c r="E573" t="inlineStr">
        <is>
          <t>ÖSTERSUND</t>
        </is>
      </c>
      <c r="G573" t="n">
        <v>1.9</v>
      </c>
      <c r="H573" t="n">
        <v>0</v>
      </c>
      <c r="I573" t="n">
        <v>0</v>
      </c>
      <c r="J573" t="n">
        <v>0</v>
      </c>
      <c r="K573" t="n">
        <v>0</v>
      </c>
      <c r="L573" t="n">
        <v>0</v>
      </c>
      <c r="M573" t="n">
        <v>0</v>
      </c>
      <c r="N573" t="n">
        <v>0</v>
      </c>
      <c r="O573" t="n">
        <v>0</v>
      </c>
      <c r="P573" t="n">
        <v>0</v>
      </c>
      <c r="Q573" t="n">
        <v>0</v>
      </c>
      <c r="R573" s="2" t="inlineStr"/>
    </row>
    <row r="574" ht="15" customHeight="1">
      <c r="A574" t="inlineStr">
        <is>
          <t>A 45004-2022</t>
        </is>
      </c>
      <c r="B574" s="1" t="n">
        <v>44840</v>
      </c>
      <c r="C574" s="1" t="n">
        <v>45883</v>
      </c>
      <c r="D574" t="inlineStr">
        <is>
          <t>JÄMTLANDS LÄN</t>
        </is>
      </c>
      <c r="E574" t="inlineStr">
        <is>
          <t>ÖSTERSUND</t>
        </is>
      </c>
      <c r="G574" t="n">
        <v>2.5</v>
      </c>
      <c r="H574" t="n">
        <v>0</v>
      </c>
      <c r="I574" t="n">
        <v>0</v>
      </c>
      <c r="J574" t="n">
        <v>0</v>
      </c>
      <c r="K574" t="n">
        <v>0</v>
      </c>
      <c r="L574" t="n">
        <v>0</v>
      </c>
      <c r="M574" t="n">
        <v>0</v>
      </c>
      <c r="N574" t="n">
        <v>0</v>
      </c>
      <c r="O574" t="n">
        <v>0</v>
      </c>
      <c r="P574" t="n">
        <v>0</v>
      </c>
      <c r="Q574" t="n">
        <v>0</v>
      </c>
      <c r="R574" s="2" t="inlineStr"/>
    </row>
    <row r="575" ht="15" customHeight="1">
      <c r="A575" t="inlineStr">
        <is>
          <t>A 53378-2023</t>
        </is>
      </c>
      <c r="B575" s="1" t="n">
        <v>45223</v>
      </c>
      <c r="C575" s="1" t="n">
        <v>45883</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2747-2025</t>
        </is>
      </c>
      <c r="B576" s="1" t="n">
        <v>45677.4649537037</v>
      </c>
      <c r="C576" s="1" t="n">
        <v>45883</v>
      </c>
      <c r="D576" t="inlineStr">
        <is>
          <t>JÄMTLANDS LÄN</t>
        </is>
      </c>
      <c r="E576" t="inlineStr">
        <is>
          <t>ÖSTERSUND</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33801-2022</t>
        </is>
      </c>
      <c r="B577" s="1" t="n">
        <v>44790</v>
      </c>
      <c r="C577" s="1" t="n">
        <v>45883</v>
      </c>
      <c r="D577" t="inlineStr">
        <is>
          <t>JÄMTLANDS LÄN</t>
        </is>
      </c>
      <c r="E577" t="inlineStr">
        <is>
          <t>ÖSTERSUND</t>
        </is>
      </c>
      <c r="G577" t="n">
        <v>7.6</v>
      </c>
      <c r="H577" t="n">
        <v>0</v>
      </c>
      <c r="I577" t="n">
        <v>0</v>
      </c>
      <c r="J577" t="n">
        <v>0</v>
      </c>
      <c r="K577" t="n">
        <v>0</v>
      </c>
      <c r="L577" t="n">
        <v>0</v>
      </c>
      <c r="M577" t="n">
        <v>0</v>
      </c>
      <c r="N577" t="n">
        <v>0</v>
      </c>
      <c r="O577" t="n">
        <v>0</v>
      </c>
      <c r="P577" t="n">
        <v>0</v>
      </c>
      <c r="Q577" t="n">
        <v>0</v>
      </c>
      <c r="R577" s="2" t="inlineStr"/>
    </row>
    <row r="578" ht="15" customHeight="1">
      <c r="A578" t="inlineStr">
        <is>
          <t>A 37085-2025</t>
        </is>
      </c>
      <c r="B578" s="1" t="n">
        <v>45875.44840277778</v>
      </c>
      <c r="C578" s="1" t="n">
        <v>45883</v>
      </c>
      <c r="D578" t="inlineStr">
        <is>
          <t>JÄMTLANDS LÄN</t>
        </is>
      </c>
      <c r="E578" t="inlineStr">
        <is>
          <t>ÖSTERSUND</t>
        </is>
      </c>
      <c r="G578" t="n">
        <v>5.5</v>
      </c>
      <c r="H578" t="n">
        <v>0</v>
      </c>
      <c r="I578" t="n">
        <v>0</v>
      </c>
      <c r="J578" t="n">
        <v>0</v>
      </c>
      <c r="K578" t="n">
        <v>0</v>
      </c>
      <c r="L578" t="n">
        <v>0</v>
      </c>
      <c r="M578" t="n">
        <v>0</v>
      </c>
      <c r="N578" t="n">
        <v>0</v>
      </c>
      <c r="O578" t="n">
        <v>0</v>
      </c>
      <c r="P578" t="n">
        <v>0</v>
      </c>
      <c r="Q578" t="n">
        <v>0</v>
      </c>
      <c r="R578" s="2" t="inlineStr"/>
    </row>
    <row r="579" ht="15" customHeight="1">
      <c r="A579" t="inlineStr">
        <is>
          <t>A 27689-2024</t>
        </is>
      </c>
      <c r="B579" s="1" t="n">
        <v>45475.3378125</v>
      </c>
      <c r="C579" s="1" t="n">
        <v>45883</v>
      </c>
      <c r="D579" t="inlineStr">
        <is>
          <t>JÄMTLANDS LÄN</t>
        </is>
      </c>
      <c r="E579" t="inlineStr">
        <is>
          <t>ÖSTERSUND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32279-2025</t>
        </is>
      </c>
      <c r="B580" s="1" t="n">
        <v>45835.67109953704</v>
      </c>
      <c r="C580" s="1" t="n">
        <v>45883</v>
      </c>
      <c r="D580" t="inlineStr">
        <is>
          <t>JÄMTLANDS LÄN</t>
        </is>
      </c>
      <c r="E580" t="inlineStr">
        <is>
          <t>ÖSTERSUND</t>
        </is>
      </c>
      <c r="G580" t="n">
        <v>3.5</v>
      </c>
      <c r="H580" t="n">
        <v>0</v>
      </c>
      <c r="I580" t="n">
        <v>0</v>
      </c>
      <c r="J580" t="n">
        <v>0</v>
      </c>
      <c r="K580" t="n">
        <v>0</v>
      </c>
      <c r="L580" t="n">
        <v>0</v>
      </c>
      <c r="M580" t="n">
        <v>0</v>
      </c>
      <c r="N580" t="n">
        <v>0</v>
      </c>
      <c r="O580" t="n">
        <v>0</v>
      </c>
      <c r="P580" t="n">
        <v>0</v>
      </c>
      <c r="Q580" t="n">
        <v>0</v>
      </c>
      <c r="R580" s="2" t="inlineStr"/>
    </row>
    <row r="581" ht="15" customHeight="1">
      <c r="A581" t="inlineStr">
        <is>
          <t>A 32353-2025</t>
        </is>
      </c>
      <c r="B581" s="1" t="n">
        <v>45837.51741898148</v>
      </c>
      <c r="C581" s="1" t="n">
        <v>45883</v>
      </c>
      <c r="D581" t="inlineStr">
        <is>
          <t>JÄMTLANDS LÄN</t>
        </is>
      </c>
      <c r="E581" t="inlineStr">
        <is>
          <t>ÖSTERSUND</t>
        </is>
      </c>
      <c r="F581" t="inlineStr">
        <is>
          <t>Övriga Aktiebolag</t>
        </is>
      </c>
      <c r="G581" t="n">
        <v>4.8</v>
      </c>
      <c r="H581" t="n">
        <v>0</v>
      </c>
      <c r="I581" t="n">
        <v>0</v>
      </c>
      <c r="J581" t="n">
        <v>0</v>
      </c>
      <c r="K581" t="n">
        <v>0</v>
      </c>
      <c r="L581" t="n">
        <v>0</v>
      </c>
      <c r="M581" t="n">
        <v>0</v>
      </c>
      <c r="N581" t="n">
        <v>0</v>
      </c>
      <c r="O581" t="n">
        <v>0</v>
      </c>
      <c r="P581" t="n">
        <v>0</v>
      </c>
      <c r="Q581" t="n">
        <v>0</v>
      </c>
      <c r="R581" s="2" t="inlineStr"/>
    </row>
    <row r="582" ht="15" customHeight="1">
      <c r="A582" t="inlineStr">
        <is>
          <t>A 32358-2025</t>
        </is>
      </c>
      <c r="B582" s="1" t="n">
        <v>45837.57481481481</v>
      </c>
      <c r="C582" s="1" t="n">
        <v>45883</v>
      </c>
      <c r="D582" t="inlineStr">
        <is>
          <t>JÄMTLANDS LÄN</t>
        </is>
      </c>
      <c r="E582" t="inlineStr">
        <is>
          <t>ÖSTERSUND</t>
        </is>
      </c>
      <c r="F582" t="inlineStr">
        <is>
          <t>Övriga Aktiebolag</t>
        </is>
      </c>
      <c r="G582" t="n">
        <v>4.8</v>
      </c>
      <c r="H582" t="n">
        <v>0</v>
      </c>
      <c r="I582" t="n">
        <v>0</v>
      </c>
      <c r="J582" t="n">
        <v>0</v>
      </c>
      <c r="K582" t="n">
        <v>0</v>
      </c>
      <c r="L582" t="n">
        <v>0</v>
      </c>
      <c r="M582" t="n">
        <v>0</v>
      </c>
      <c r="N582" t="n">
        <v>0</v>
      </c>
      <c r="O582" t="n">
        <v>0</v>
      </c>
      <c r="P582" t="n">
        <v>0</v>
      </c>
      <c r="Q582" t="n">
        <v>0</v>
      </c>
      <c r="R582" s="2" t="inlineStr"/>
    </row>
    <row r="583" ht="15" customHeight="1">
      <c r="A583" t="inlineStr">
        <is>
          <t>A 32369-2025</t>
        </is>
      </c>
      <c r="B583" s="1" t="n">
        <v>45837.67381944445</v>
      </c>
      <c r="C583" s="1" t="n">
        <v>45883</v>
      </c>
      <c r="D583" t="inlineStr">
        <is>
          <t>JÄMTLANDS LÄN</t>
        </is>
      </c>
      <c r="E583" t="inlineStr">
        <is>
          <t>ÖSTERSUND</t>
        </is>
      </c>
      <c r="F583" t="inlineStr">
        <is>
          <t>Övriga Aktiebolag</t>
        </is>
      </c>
      <c r="G583" t="n">
        <v>5.7</v>
      </c>
      <c r="H583" t="n">
        <v>0</v>
      </c>
      <c r="I583" t="n">
        <v>0</v>
      </c>
      <c r="J583" t="n">
        <v>0</v>
      </c>
      <c r="K583" t="n">
        <v>0</v>
      </c>
      <c r="L583" t="n">
        <v>0</v>
      </c>
      <c r="M583" t="n">
        <v>0</v>
      </c>
      <c r="N583" t="n">
        <v>0</v>
      </c>
      <c r="O583" t="n">
        <v>0</v>
      </c>
      <c r="P583" t="n">
        <v>0</v>
      </c>
      <c r="Q583" t="n">
        <v>0</v>
      </c>
      <c r="R583" s="2" t="inlineStr"/>
    </row>
    <row r="584" ht="15" customHeight="1">
      <c r="A584" t="inlineStr">
        <is>
          <t>A 4966-2025</t>
        </is>
      </c>
      <c r="B584" s="1" t="n">
        <v>45690.63628472222</v>
      </c>
      <c r="C584" s="1" t="n">
        <v>45883</v>
      </c>
      <c r="D584" t="inlineStr">
        <is>
          <t>JÄMTLANDS LÄN</t>
        </is>
      </c>
      <c r="E584" t="inlineStr">
        <is>
          <t>ÖSTERSUND</t>
        </is>
      </c>
      <c r="G584" t="n">
        <v>3.4</v>
      </c>
      <c r="H584" t="n">
        <v>0</v>
      </c>
      <c r="I584" t="n">
        <v>0</v>
      </c>
      <c r="J584" t="n">
        <v>0</v>
      </c>
      <c r="K584" t="n">
        <v>0</v>
      </c>
      <c r="L584" t="n">
        <v>0</v>
      </c>
      <c r="M584" t="n">
        <v>0</v>
      </c>
      <c r="N584" t="n">
        <v>0</v>
      </c>
      <c r="O584" t="n">
        <v>0</v>
      </c>
      <c r="P584" t="n">
        <v>0</v>
      </c>
      <c r="Q584" t="n">
        <v>0</v>
      </c>
      <c r="R584" s="2" t="inlineStr"/>
    </row>
    <row r="585" ht="15" customHeight="1">
      <c r="A585" t="inlineStr">
        <is>
          <t>A 32368-2025</t>
        </is>
      </c>
      <c r="B585" s="1" t="n">
        <v>45837.66230324074</v>
      </c>
      <c r="C585" s="1" t="n">
        <v>45883</v>
      </c>
      <c r="D585" t="inlineStr">
        <is>
          <t>JÄMTLANDS LÄN</t>
        </is>
      </c>
      <c r="E585" t="inlineStr">
        <is>
          <t>ÖSTERSUND</t>
        </is>
      </c>
      <c r="F585" t="inlineStr">
        <is>
          <t>Övriga Aktiebolag</t>
        </is>
      </c>
      <c r="G585" t="n">
        <v>19.5</v>
      </c>
      <c r="H585" t="n">
        <v>0</v>
      </c>
      <c r="I585" t="n">
        <v>0</v>
      </c>
      <c r="J585" t="n">
        <v>0</v>
      </c>
      <c r="K585" t="n">
        <v>0</v>
      </c>
      <c r="L585" t="n">
        <v>0</v>
      </c>
      <c r="M585" t="n">
        <v>0</v>
      </c>
      <c r="N585" t="n">
        <v>0</v>
      </c>
      <c r="O585" t="n">
        <v>0</v>
      </c>
      <c r="P585" t="n">
        <v>0</v>
      </c>
      <c r="Q585" t="n">
        <v>0</v>
      </c>
      <c r="R585" s="2" t="inlineStr"/>
    </row>
    <row r="586" ht="15" customHeight="1">
      <c r="A586" t="inlineStr">
        <is>
          <t>A 6877-2024</t>
        </is>
      </c>
      <c r="B586" s="1" t="n">
        <v>45342</v>
      </c>
      <c r="C586" s="1" t="n">
        <v>45883</v>
      </c>
      <c r="D586" t="inlineStr">
        <is>
          <t>JÄMTLANDS LÄN</t>
        </is>
      </c>
      <c r="E586" t="inlineStr">
        <is>
          <t>ÖSTERSUND</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32071-2025</t>
        </is>
      </c>
      <c r="B587" s="1" t="n">
        <v>45835.4491087963</v>
      </c>
      <c r="C587" s="1" t="n">
        <v>45883</v>
      </c>
      <c r="D587" t="inlineStr">
        <is>
          <t>JÄMTLANDS LÄN</t>
        </is>
      </c>
      <c r="E587" t="inlineStr">
        <is>
          <t>ÖSTERSUND</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4136-2023</t>
        </is>
      </c>
      <c r="B588" s="1" t="n">
        <v>44952</v>
      </c>
      <c r="C588" s="1" t="n">
        <v>45883</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4872-2023</t>
        </is>
      </c>
      <c r="B589" s="1" t="n">
        <v>44957</v>
      </c>
      <c r="C589" s="1" t="n">
        <v>45883</v>
      </c>
      <c r="D589" t="inlineStr">
        <is>
          <t>JÄMTLANDS LÄN</t>
        </is>
      </c>
      <c r="E589" t="inlineStr">
        <is>
          <t>ÖSTERSUND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13921-2023</t>
        </is>
      </c>
      <c r="B590" s="1" t="n">
        <v>45008</v>
      </c>
      <c r="C590" s="1" t="n">
        <v>45883</v>
      </c>
      <c r="D590" t="inlineStr">
        <is>
          <t>JÄMTLANDS LÄN</t>
        </is>
      </c>
      <c r="E590" t="inlineStr">
        <is>
          <t>ÖSTERSUND</t>
        </is>
      </c>
      <c r="G590" t="n">
        <v>0.3</v>
      </c>
      <c r="H590" t="n">
        <v>0</v>
      </c>
      <c r="I590" t="n">
        <v>0</v>
      </c>
      <c r="J590" t="n">
        <v>0</v>
      </c>
      <c r="K590" t="n">
        <v>0</v>
      </c>
      <c r="L590" t="n">
        <v>0</v>
      </c>
      <c r="M590" t="n">
        <v>0</v>
      </c>
      <c r="N590" t="n">
        <v>0</v>
      </c>
      <c r="O590" t="n">
        <v>0</v>
      </c>
      <c r="P590" t="n">
        <v>0</v>
      </c>
      <c r="Q590" t="n">
        <v>0</v>
      </c>
      <c r="R590" s="2" t="inlineStr"/>
    </row>
    <row r="591" ht="15" customHeight="1">
      <c r="A591" t="inlineStr">
        <is>
          <t>A 11877-2024</t>
        </is>
      </c>
      <c r="B591" s="1" t="n">
        <v>45376</v>
      </c>
      <c r="C591" s="1" t="n">
        <v>45883</v>
      </c>
      <c r="D591" t="inlineStr">
        <is>
          <t>JÄMTLANDS LÄN</t>
        </is>
      </c>
      <c r="E591" t="inlineStr">
        <is>
          <t>ÖSTERSUND</t>
        </is>
      </c>
      <c r="G591" t="n">
        <v>2.6</v>
      </c>
      <c r="H591" t="n">
        <v>0</v>
      </c>
      <c r="I591" t="n">
        <v>0</v>
      </c>
      <c r="J591" t="n">
        <v>0</v>
      </c>
      <c r="K591" t="n">
        <v>0</v>
      </c>
      <c r="L591" t="n">
        <v>0</v>
      </c>
      <c r="M591" t="n">
        <v>0</v>
      </c>
      <c r="N591" t="n">
        <v>0</v>
      </c>
      <c r="O591" t="n">
        <v>0</v>
      </c>
      <c r="P591" t="n">
        <v>0</v>
      </c>
      <c r="Q591" t="n">
        <v>0</v>
      </c>
      <c r="R591" s="2" t="inlineStr"/>
    </row>
    <row r="592" ht="15" customHeight="1">
      <c r="A592" t="inlineStr">
        <is>
          <t>A 61653-2022</t>
        </is>
      </c>
      <c r="B592" s="1" t="n">
        <v>44916</v>
      </c>
      <c r="C592" s="1" t="n">
        <v>45883</v>
      </c>
      <c r="D592" t="inlineStr">
        <is>
          <t>JÄMTLANDS LÄN</t>
        </is>
      </c>
      <c r="E592" t="inlineStr">
        <is>
          <t>ÖSTERSUND</t>
        </is>
      </c>
      <c r="G592" t="n">
        <v>7.6</v>
      </c>
      <c r="H592" t="n">
        <v>0</v>
      </c>
      <c r="I592" t="n">
        <v>0</v>
      </c>
      <c r="J592" t="n">
        <v>0</v>
      </c>
      <c r="K592" t="n">
        <v>0</v>
      </c>
      <c r="L592" t="n">
        <v>0</v>
      </c>
      <c r="M592" t="n">
        <v>0</v>
      </c>
      <c r="N592" t="n">
        <v>0</v>
      </c>
      <c r="O592" t="n">
        <v>0</v>
      </c>
      <c r="P592" t="n">
        <v>0</v>
      </c>
      <c r="Q592" t="n">
        <v>0</v>
      </c>
      <c r="R592" s="2" t="inlineStr"/>
    </row>
    <row r="593" ht="15" customHeight="1">
      <c r="A593" t="inlineStr">
        <is>
          <t>A 12285-2022</t>
        </is>
      </c>
      <c r="B593" s="1" t="n">
        <v>44637</v>
      </c>
      <c r="C593" s="1" t="n">
        <v>45883</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56067-2022</t>
        </is>
      </c>
      <c r="B594" s="1" t="n">
        <v>44889.59378472222</v>
      </c>
      <c r="C594" s="1" t="n">
        <v>45883</v>
      </c>
      <c r="D594" t="inlineStr">
        <is>
          <t>JÄMTLANDS LÄN</t>
        </is>
      </c>
      <c r="E594" t="inlineStr">
        <is>
          <t>ÖSTERSUND</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53802-2022</t>
        </is>
      </c>
      <c r="B595" s="1" t="n">
        <v>44875</v>
      </c>
      <c r="C595" s="1" t="n">
        <v>45883</v>
      </c>
      <c r="D595" t="inlineStr">
        <is>
          <t>JÄMTLANDS LÄN</t>
        </is>
      </c>
      <c r="E595" t="inlineStr">
        <is>
          <t>ÖSTERSUND</t>
        </is>
      </c>
      <c r="G595" t="n">
        <v>0.2</v>
      </c>
      <c r="H595" t="n">
        <v>0</v>
      </c>
      <c r="I595" t="n">
        <v>0</v>
      </c>
      <c r="J595" t="n">
        <v>0</v>
      </c>
      <c r="K595" t="n">
        <v>0</v>
      </c>
      <c r="L595" t="n">
        <v>0</v>
      </c>
      <c r="M595" t="n">
        <v>0</v>
      </c>
      <c r="N595" t="n">
        <v>0</v>
      </c>
      <c r="O595" t="n">
        <v>0</v>
      </c>
      <c r="P595" t="n">
        <v>0</v>
      </c>
      <c r="Q595" t="n">
        <v>0</v>
      </c>
      <c r="R595" s="2" t="inlineStr"/>
    </row>
    <row r="596" ht="15" customHeight="1">
      <c r="A596" t="inlineStr">
        <is>
          <t>A 8423-2023</t>
        </is>
      </c>
      <c r="B596" s="1" t="n">
        <v>44977</v>
      </c>
      <c r="C596" s="1" t="n">
        <v>45883</v>
      </c>
      <c r="D596" t="inlineStr">
        <is>
          <t>JÄMTLANDS LÄN</t>
        </is>
      </c>
      <c r="E596" t="inlineStr">
        <is>
          <t>ÖSTERSUND</t>
        </is>
      </c>
      <c r="F596" t="inlineStr">
        <is>
          <t>Övriga Aktiebolag</t>
        </is>
      </c>
      <c r="G596" t="n">
        <v>53.1</v>
      </c>
      <c r="H596" t="n">
        <v>0</v>
      </c>
      <c r="I596" t="n">
        <v>0</v>
      </c>
      <c r="J596" t="n">
        <v>0</v>
      </c>
      <c r="K596" t="n">
        <v>0</v>
      </c>
      <c r="L596" t="n">
        <v>0</v>
      </c>
      <c r="M596" t="n">
        <v>0</v>
      </c>
      <c r="N596" t="n">
        <v>0</v>
      </c>
      <c r="O596" t="n">
        <v>0</v>
      </c>
      <c r="P596" t="n">
        <v>0</v>
      </c>
      <c r="Q596" t="n">
        <v>0</v>
      </c>
      <c r="R596" s="2" t="inlineStr"/>
    </row>
    <row r="597" ht="15" customHeight="1">
      <c r="A597" t="inlineStr">
        <is>
          <t>A 3749-2023</t>
        </is>
      </c>
      <c r="B597" s="1" t="n">
        <v>44949</v>
      </c>
      <c r="C597" s="1" t="n">
        <v>45883</v>
      </c>
      <c r="D597" t="inlineStr">
        <is>
          <t>JÄMTLANDS LÄN</t>
        </is>
      </c>
      <c r="E597" t="inlineStr">
        <is>
          <t>ÖSTERSUND</t>
        </is>
      </c>
      <c r="G597" t="n">
        <v>0.2</v>
      </c>
      <c r="H597" t="n">
        <v>0</v>
      </c>
      <c r="I597" t="n">
        <v>0</v>
      </c>
      <c r="J597" t="n">
        <v>0</v>
      </c>
      <c r="K597" t="n">
        <v>0</v>
      </c>
      <c r="L597" t="n">
        <v>0</v>
      </c>
      <c r="M597" t="n">
        <v>0</v>
      </c>
      <c r="N597" t="n">
        <v>0</v>
      </c>
      <c r="O597" t="n">
        <v>0</v>
      </c>
      <c r="P597" t="n">
        <v>0</v>
      </c>
      <c r="Q597" t="n">
        <v>0</v>
      </c>
      <c r="R597" s="2" t="inlineStr"/>
    </row>
    <row r="598" ht="15" customHeight="1">
      <c r="A598" t="inlineStr">
        <is>
          <t>A 46139-2021</t>
        </is>
      </c>
      <c r="B598" s="1" t="n">
        <v>44441</v>
      </c>
      <c r="C598" s="1" t="n">
        <v>45883</v>
      </c>
      <c r="D598" t="inlineStr">
        <is>
          <t>JÄMTLANDS LÄN</t>
        </is>
      </c>
      <c r="E598" t="inlineStr">
        <is>
          <t>ÖSTERSUND</t>
        </is>
      </c>
      <c r="G598" t="n">
        <v>12.8</v>
      </c>
      <c r="H598" t="n">
        <v>0</v>
      </c>
      <c r="I598" t="n">
        <v>0</v>
      </c>
      <c r="J598" t="n">
        <v>0</v>
      </c>
      <c r="K598" t="n">
        <v>0</v>
      </c>
      <c r="L598" t="n">
        <v>0</v>
      </c>
      <c r="M598" t="n">
        <v>0</v>
      </c>
      <c r="N598" t="n">
        <v>0</v>
      </c>
      <c r="O598" t="n">
        <v>0</v>
      </c>
      <c r="P598" t="n">
        <v>0</v>
      </c>
      <c r="Q598" t="n">
        <v>0</v>
      </c>
      <c r="R598" s="2" t="inlineStr"/>
    </row>
    <row r="599" ht="15" customHeight="1">
      <c r="A599" t="inlineStr">
        <is>
          <t>A 55678-2023</t>
        </is>
      </c>
      <c r="B599" s="1" t="n">
        <v>45239.33032407407</v>
      </c>
      <c r="C599" s="1" t="n">
        <v>45883</v>
      </c>
      <c r="D599" t="inlineStr">
        <is>
          <t>JÄMTLANDS LÄN</t>
        </is>
      </c>
      <c r="E599" t="inlineStr">
        <is>
          <t>ÖSTERSUND</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23563-2022</t>
        </is>
      </c>
      <c r="B600" s="1" t="n">
        <v>44721.47241898148</v>
      </c>
      <c r="C600" s="1" t="n">
        <v>45883</v>
      </c>
      <c r="D600" t="inlineStr">
        <is>
          <t>JÄMTLANDS LÄN</t>
        </is>
      </c>
      <c r="E600" t="inlineStr">
        <is>
          <t>ÖSTERSUND</t>
        </is>
      </c>
      <c r="F600" t="inlineStr">
        <is>
          <t>Övriga Aktiebolag</t>
        </is>
      </c>
      <c r="G600" t="n">
        <v>3.7</v>
      </c>
      <c r="H600" t="n">
        <v>0</v>
      </c>
      <c r="I600" t="n">
        <v>0</v>
      </c>
      <c r="J600" t="n">
        <v>0</v>
      </c>
      <c r="K600" t="n">
        <v>0</v>
      </c>
      <c r="L600" t="n">
        <v>0</v>
      </c>
      <c r="M600" t="n">
        <v>0</v>
      </c>
      <c r="N600" t="n">
        <v>0</v>
      </c>
      <c r="O600" t="n">
        <v>0</v>
      </c>
      <c r="P600" t="n">
        <v>0</v>
      </c>
      <c r="Q600" t="n">
        <v>0</v>
      </c>
      <c r="R600" s="2" t="inlineStr"/>
    </row>
    <row r="601">
      <c r="A601" t="inlineStr">
        <is>
          <t>A 53380-2023</t>
        </is>
      </c>
      <c r="B601" s="1" t="n">
        <v>45223</v>
      </c>
      <c r="C601" s="1" t="n">
        <v>45883</v>
      </c>
      <c r="D601" t="inlineStr">
        <is>
          <t>JÄMTLANDS LÄN</t>
        </is>
      </c>
      <c r="E601" t="inlineStr">
        <is>
          <t>ÖSTERSUND</t>
        </is>
      </c>
      <c r="G601" t="n">
        <v>1.7</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2025-08-14T08:28:34Z</dcterms:created>
  <dcterms:modified xmlns:dcterms="http://purl.org/dc/terms/" xmlns:xsi="http://www.w3.org/2001/XMLSchema-instance" xsi:type="dcterms:W3CDTF">2025-08-14T08:28:34Z</dcterms:modified>
</cp:coreProperties>
</file>