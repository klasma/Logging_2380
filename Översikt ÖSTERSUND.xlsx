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45347</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45347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45347</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45347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45347</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45347</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45347</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45347</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45347</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45347</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45347</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45347</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45347</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45347</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45347</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45347</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45347</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45347</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45347</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45347</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45347</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45347</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45347</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45347</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50716-2018</t>
        </is>
      </c>
      <c r="B26" s="1" t="n">
        <v>43381</v>
      </c>
      <c r="C26" s="1" t="n">
        <v>45347</v>
      </c>
      <c r="D26" t="inlineStr">
        <is>
          <t>JÄMTLANDS LÄN</t>
        </is>
      </c>
      <c r="E26" t="inlineStr">
        <is>
          <t>ÖSTERSUND</t>
        </is>
      </c>
      <c r="G26" t="n">
        <v>25</v>
      </c>
      <c r="H26" t="n">
        <v>0</v>
      </c>
      <c r="I26" t="n">
        <v>1</v>
      </c>
      <c r="J26" t="n">
        <v>5</v>
      </c>
      <c r="K26" t="n">
        <v>1</v>
      </c>
      <c r="L26" t="n">
        <v>0</v>
      </c>
      <c r="M26" t="n">
        <v>0</v>
      </c>
      <c r="N26" t="n">
        <v>0</v>
      </c>
      <c r="O26" t="n">
        <v>6</v>
      </c>
      <c r="P26" t="n">
        <v>1</v>
      </c>
      <c r="Q26" t="n">
        <v>7</v>
      </c>
      <c r="R26" s="2" t="inlineStr">
        <is>
          <t>Liten aspgelélav
Harticka
Lunglav
Skrovellav
Stiftgelélav
Ullticka
Stor aspticka</t>
        </is>
      </c>
      <c r="S26">
        <f>HYPERLINK("https://klasma.github.io/Logging_2380/artfynd/A 50716-2018 artfynd.xlsx", "A 50716-2018")</f>
        <v/>
      </c>
      <c r="T26">
        <f>HYPERLINK("https://klasma.github.io/Logging_2380/kartor/A 50716-2018 karta.png", "A 50716-2018")</f>
        <v/>
      </c>
      <c r="V26">
        <f>HYPERLINK("https://klasma.github.io/Logging_2380/klagomål/A 50716-2018 FSC-klagomål.docx", "A 50716-2018")</f>
        <v/>
      </c>
      <c r="W26">
        <f>HYPERLINK("https://klasma.github.io/Logging_2380/klagomålsmail/A 50716-2018 FSC-klagomål mail.docx", "A 50716-2018")</f>
        <v/>
      </c>
      <c r="X26">
        <f>HYPERLINK("https://klasma.github.io/Logging_2380/tillsyn/A 50716-2018 tillsynsbegäran.docx", "A 50716-2018")</f>
        <v/>
      </c>
      <c r="Y26">
        <f>HYPERLINK("https://klasma.github.io/Logging_2380/tillsynsmail/A 50716-2018 tillsynsbegäran mail.docx", "A 50716-2018")</f>
        <v/>
      </c>
    </row>
    <row r="27" ht="15" customHeight="1">
      <c r="A27" t="inlineStr">
        <is>
          <t>A 8023-2019</t>
        </is>
      </c>
      <c r="B27" s="1" t="n">
        <v>43501</v>
      </c>
      <c r="C27" s="1" t="n">
        <v>45347</v>
      </c>
      <c r="D27" t="inlineStr">
        <is>
          <t>JÄMTLANDS LÄN</t>
        </is>
      </c>
      <c r="E27" t="inlineStr">
        <is>
          <t>ÖSTERSUND</t>
        </is>
      </c>
      <c r="G27" t="n">
        <v>1.7</v>
      </c>
      <c r="H27" t="n">
        <v>2</v>
      </c>
      <c r="I27" t="n">
        <v>2</v>
      </c>
      <c r="J27" t="n">
        <v>3</v>
      </c>
      <c r="K27" t="n">
        <v>1</v>
      </c>
      <c r="L27" t="n">
        <v>0</v>
      </c>
      <c r="M27" t="n">
        <v>0</v>
      </c>
      <c r="N27" t="n">
        <v>0</v>
      </c>
      <c r="O27" t="n">
        <v>4</v>
      </c>
      <c r="P27" t="n">
        <v>1</v>
      </c>
      <c r="Q27" t="n">
        <v>7</v>
      </c>
      <c r="R27" s="2" t="inlineStr">
        <is>
          <t>Knärot
Garnlav
Ullticka
Vedtrappmossa
Kransrams
Svavelriska
Blåsippa</t>
        </is>
      </c>
      <c r="S27">
        <f>HYPERLINK("https://klasma.github.io/Logging_2380/artfynd/A 8023-2019 artfynd.xlsx", "A 8023-2019")</f>
        <v/>
      </c>
      <c r="T27">
        <f>HYPERLINK("https://klasma.github.io/Logging_2380/kartor/A 8023-2019 karta.png", "A 8023-2019")</f>
        <v/>
      </c>
      <c r="U27">
        <f>HYPERLINK("https://klasma.github.io/Logging_2380/knärot/A 8023-2019 karta knärot.png", "A 8023-2019")</f>
        <v/>
      </c>
      <c r="V27">
        <f>HYPERLINK("https://klasma.github.io/Logging_2380/klagomål/A 8023-2019 FSC-klagomål.docx", "A 8023-2019")</f>
        <v/>
      </c>
      <c r="W27">
        <f>HYPERLINK("https://klasma.github.io/Logging_2380/klagomålsmail/A 8023-2019 FSC-klagomål mail.docx", "A 8023-2019")</f>
        <v/>
      </c>
      <c r="X27">
        <f>HYPERLINK("https://klasma.github.io/Logging_2380/tillsyn/A 8023-2019 tillsynsbegäran.docx", "A 8023-2019")</f>
        <v/>
      </c>
      <c r="Y27">
        <f>HYPERLINK("https://klasma.github.io/Logging_2380/tillsynsmail/A 8023-2019 tillsynsbegäran mail.docx", "A 8023-2019")</f>
        <v/>
      </c>
    </row>
    <row r="28" ht="15" customHeight="1">
      <c r="A28" t="inlineStr">
        <is>
          <t>A 65938-2021</t>
        </is>
      </c>
      <c r="B28" s="1" t="n">
        <v>44517</v>
      </c>
      <c r="C28" s="1" t="n">
        <v>45347</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45347</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45347</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45347</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45347</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45347</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60881-2023</t>
        </is>
      </c>
      <c r="B34" s="1" t="n">
        <v>45259</v>
      </c>
      <c r="C34" s="1" t="n">
        <v>45347</v>
      </c>
      <c r="D34" t="inlineStr">
        <is>
          <t>JÄMTLANDS LÄN</t>
        </is>
      </c>
      <c r="E34" t="inlineStr">
        <is>
          <t>ÖSTERSUND</t>
        </is>
      </c>
      <c r="G34" t="n">
        <v>6</v>
      </c>
      <c r="H34" t="n">
        <v>7</v>
      </c>
      <c r="I34" t="n">
        <v>0</v>
      </c>
      <c r="J34" t="n">
        <v>5</v>
      </c>
      <c r="K34" t="n">
        <v>1</v>
      </c>
      <c r="L34" t="n">
        <v>1</v>
      </c>
      <c r="M34" t="n">
        <v>0</v>
      </c>
      <c r="N34" t="n">
        <v>0</v>
      </c>
      <c r="O34" t="n">
        <v>7</v>
      </c>
      <c r="P34" t="n">
        <v>2</v>
      </c>
      <c r="Q34" t="n">
        <v>7</v>
      </c>
      <c r="R34" s="2" t="inlineStr">
        <is>
          <t>Storspov
Lappuggla
Björktrast
Buskskvätta
Rosenfink
Svartvit flugsnappare
Talltita</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60852-2023</t>
        </is>
      </c>
      <c r="B35" s="1" t="n">
        <v>45260</v>
      </c>
      <c r="C35" s="1" t="n">
        <v>45347</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45347</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45347</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45347</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45347</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45347</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45347</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45347</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45347</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45347</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45347</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45347</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45347</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45347</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45347</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45347</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45347</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45347</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45347</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45347</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45347</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45347</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45347</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45347</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45347</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45347</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45347</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45347</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45347</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45347</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45347</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45347</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45347</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45347</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45347</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45347</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45347</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45347</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45347</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45347</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45347</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45347</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45347</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45347</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45347</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45347</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45347</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45347</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45347</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45347</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45347</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45347</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45347</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45347</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45347</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45347</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45347</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45347</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45347</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45347</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45347</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45347</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45347</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45347</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45347</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45347</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45347</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45347</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45347</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45347</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45347</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45347</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45347</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45347</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45347</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45347</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45347</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45347</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45347</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45347</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45347</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45347</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45347</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45347</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45347</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45347</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45347</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45347</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45347</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45347</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45347</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45347</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45347</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45347</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45347</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45347</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45347</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45347</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45347</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45347</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45347</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45347</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45347</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45347</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45347</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45347</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45347</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45347</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45347</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45347</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45347</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45347</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45347</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45347</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45347</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45347</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45347</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45347</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45347</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45347</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45347</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45347</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45347</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45347</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45347</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45347</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45347</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45347</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45347</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45347</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45347</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45347</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45347</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45347</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45347</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45347</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45347</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45347</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45347</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45347</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45347</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45347</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45347</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45347</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45347</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45347</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45347</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45347</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45347</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45347</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45347</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45347</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45347</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45347</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45347</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45347</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45347</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45347</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45347</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45347</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45347</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45347</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45347</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45347</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45347</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45347</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45347</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45347</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45347</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45347</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45347</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45347</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45347</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45347</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45347</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45347</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45347</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45347</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45347</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45347</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45347</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45347</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45347</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45347</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45347</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45347</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45347</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45347</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45347</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45347</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45347</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45347</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45347</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45347</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45347</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45347</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45347</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45347</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45347</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45347</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45347</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45347</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45347</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45347</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45347</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45347</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45347</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45347</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45347</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45347</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45347</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45347</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45347</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45347</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45347</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45347</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45347</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45347</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45347</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45347</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45347</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45347</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45347</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45347</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45347</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45347</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45347</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45347</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45347</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45347</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45347</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45347</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45347</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45347</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45347</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45347</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45347</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45347</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45347</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45347</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45347</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45347</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45347</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45347</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45347</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45347</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45347</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45347</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45347</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45347</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45347</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45347</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45347</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45347</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45347</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45347</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45347</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45347</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45347</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45347</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45347</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45347</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45347</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45347</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45347</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45347</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45347</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45347</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45347</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45347</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45347</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45347</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45347</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45347</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45347</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45347</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45347</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45347</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45347</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45347</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45347</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45347</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45347</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45347</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45347</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45347</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45347</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45347</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45347</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45347</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45347</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45347</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45347</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45347</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45347</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45347</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45347</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45347</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45347</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45347</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45347</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45347</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45347</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45347</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45347</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45347</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45347</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45347</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45347</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45347</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45347</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45347</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45347</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45347</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45347</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45347</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45347</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45347</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45347</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45347</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45347</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45347</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45347</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45347</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45347</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45347</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45347</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45347</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45347</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45347</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45347</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45347</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45347</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45347</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45347</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45347</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45347</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45347</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45347</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45347</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45347</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45347</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45347</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45347</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45347</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45347</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45347</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45347</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45347</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45347</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45347</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45347</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45347</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45347</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45347</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45347</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45347</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45347</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45347</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45347</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45347</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45347</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45347</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45347</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45347</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45347</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45347</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45347</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45347</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45347</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45347</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45347</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45347</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45347</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45347</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45347</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45347</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45347</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45347</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45347</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45347</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45347</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45347</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45347</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45347</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45347</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45347</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45347</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45347</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45347</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45347</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45347</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45347</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45347</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45347</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45347</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45347</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45347</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45347</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45347</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45347</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45347</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45347</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45347</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45347</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45347</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45347</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45347</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45347</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45347</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45347</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45347</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45347</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45347</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45347</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45347</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45347</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45347</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45347</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45347</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45347</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45347</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45347</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45347</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45347</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45347</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45347</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45347</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45347</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45347</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45347</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45347</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45347</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45347</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45347</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45347</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45347</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45347</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45347</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45347</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45347</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45347</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45347</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45347</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45347</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45347</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45347</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45347</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45347</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45347</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45347</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45347</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45347</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45347</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45347</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45347</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45347</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45347</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45347</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45347</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45347</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45347</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45347</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45347</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45347</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45347</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45347</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45347</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45347</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45347</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45347</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45347</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45347</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45347</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45347</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45347</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45347</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45347</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45347</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45347</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45347</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45347</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45347</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45347</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45347</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45347</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45347</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45347</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45347</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45347</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45347</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45347</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45347</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45347</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45347</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45347</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45347</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45347</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45347</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45347</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45347</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45347</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45347</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45347</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45347</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45347</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45347</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45347</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45347</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45347</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45347</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45347</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45347</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45347</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45347</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45347</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45347</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45347</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45347</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45347</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45347</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45347</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45347</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45347</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45347</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45347</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45347</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45347</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45347</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45347</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45347</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45347</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45347</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45347</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45347</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45347</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45347</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45347</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45347</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45347</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45347</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45347</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45347</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45347</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45347</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45347</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45347</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45347</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45347</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45347</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45347</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45347</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45347</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45347</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45347</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45347</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45347</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45347</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45347</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45347</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45347</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45347</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45347</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45347</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45347</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45347</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45347</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45347</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45347</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45347</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45347</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45347</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45347</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45347</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45347</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45347</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45347</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45347</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45347</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45347</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45347</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45347</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45347</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45347</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45347</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45347</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45347</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45347</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45347</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45347</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45347</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45347</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45347</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45347</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45347</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45347</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45347</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45347</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45347</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45347</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45347</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45347</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45347</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45347</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45347</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45347</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45347</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45347</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45347</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45347</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45347</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45347</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45347</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45347</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45347</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45347</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45347</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45347</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45347</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45347</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45347</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45347</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45347</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45347</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45347</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45347</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45347</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45347</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45347</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45347</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45347</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45347</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45347</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45347</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45347</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45347</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45347</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45347</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45347</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45347</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45347</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45347</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45347</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45347</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45347</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45347</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45347</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45347</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45347</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45347</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45347</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45347</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45347</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45347</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45347</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45347</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45347</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45347</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45347</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45347</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45347</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45347</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45347</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45347</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45347</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45347</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45347</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45347</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45347</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45347</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45347</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45347</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45347</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45347</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45347</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45347</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45347</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45347</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45347</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45347</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45347</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45347</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45347</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45347</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45347</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45347</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45347</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45347</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45347</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45347</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45347</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45347</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45347</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45347</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45347</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45347</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45347</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45347</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45347</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45347</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45347</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45347</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45347</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45347</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45347</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45347</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45347</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45347</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45347</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45347</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45347</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45347</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45347</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45347</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45347</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45347</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45347</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45347</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45347</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45347</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45347</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45347</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45347</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45347</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45347</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45347</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45347</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45347</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6056-2024</t>
        </is>
      </c>
      <c r="B763" s="1" t="n">
        <v>45336</v>
      </c>
      <c r="C763" s="1" t="n">
        <v>45347</v>
      </c>
      <c r="D763" t="inlineStr">
        <is>
          <t>JÄMTLANDS LÄN</t>
        </is>
      </c>
      <c r="E763" t="inlineStr">
        <is>
          <t>ÖSTERSUND</t>
        </is>
      </c>
      <c r="G763" t="n">
        <v>3.9</v>
      </c>
      <c r="H763" t="n">
        <v>0</v>
      </c>
      <c r="I763" t="n">
        <v>0</v>
      </c>
      <c r="J763" t="n">
        <v>0</v>
      </c>
      <c r="K763" t="n">
        <v>0</v>
      </c>
      <c r="L763" t="n">
        <v>0</v>
      </c>
      <c r="M763" t="n">
        <v>0</v>
      </c>
      <c r="N763" t="n">
        <v>0</v>
      </c>
      <c r="O763" t="n">
        <v>0</v>
      </c>
      <c r="P763" t="n">
        <v>0</v>
      </c>
      <c r="Q763" t="n">
        <v>0</v>
      </c>
      <c r="R763" s="2" t="inlineStr"/>
    </row>
    <row r="764" ht="15" customHeight="1">
      <c r="A764" t="inlineStr">
        <is>
          <t>A 6048-2024</t>
        </is>
      </c>
      <c r="B764" s="1" t="n">
        <v>45336</v>
      </c>
      <c r="C764" s="1" t="n">
        <v>45347</v>
      </c>
      <c r="D764" t="inlineStr">
        <is>
          <t>JÄMTLANDS LÄN</t>
        </is>
      </c>
      <c r="E764" t="inlineStr">
        <is>
          <t>ÖSTERSUND</t>
        </is>
      </c>
      <c r="G764" t="n">
        <v>0.7</v>
      </c>
      <c r="H764" t="n">
        <v>0</v>
      </c>
      <c r="I764" t="n">
        <v>0</v>
      </c>
      <c r="J764" t="n">
        <v>0</v>
      </c>
      <c r="K764" t="n">
        <v>0</v>
      </c>
      <c r="L764" t="n">
        <v>0</v>
      </c>
      <c r="M764" t="n">
        <v>0</v>
      </c>
      <c r="N764" t="n">
        <v>0</v>
      </c>
      <c r="O764" t="n">
        <v>0</v>
      </c>
      <c r="P764" t="n">
        <v>0</v>
      </c>
      <c r="Q764" t="n">
        <v>0</v>
      </c>
      <c r="R764" s="2" t="inlineStr"/>
    </row>
    <row r="765" ht="15" customHeight="1">
      <c r="A765" t="inlineStr">
        <is>
          <t>A 6402-2024</t>
        </is>
      </c>
      <c r="B765" s="1" t="n">
        <v>45338</v>
      </c>
      <c r="C765" s="1" t="n">
        <v>45347</v>
      </c>
      <c r="D765" t="inlineStr">
        <is>
          <t>JÄMTLANDS LÄN</t>
        </is>
      </c>
      <c r="E765" t="inlineStr">
        <is>
          <t>ÖSTERSUND</t>
        </is>
      </c>
      <c r="G765" t="n">
        <v>4.4</v>
      </c>
      <c r="H765" t="n">
        <v>0</v>
      </c>
      <c r="I765" t="n">
        <v>0</v>
      </c>
      <c r="J765" t="n">
        <v>0</v>
      </c>
      <c r="K765" t="n">
        <v>0</v>
      </c>
      <c r="L765" t="n">
        <v>0</v>
      </c>
      <c r="M765" t="n">
        <v>0</v>
      </c>
      <c r="N765" t="n">
        <v>0</v>
      </c>
      <c r="O765" t="n">
        <v>0</v>
      </c>
      <c r="P765" t="n">
        <v>0</v>
      </c>
      <c r="Q765" t="n">
        <v>0</v>
      </c>
      <c r="R765" s="2" t="inlineStr"/>
    </row>
    <row r="766" ht="15" customHeight="1">
      <c r="A766" t="inlineStr">
        <is>
          <t>A 6353-2024</t>
        </is>
      </c>
      <c r="B766" s="1" t="n">
        <v>45338</v>
      </c>
      <c r="C766" s="1" t="n">
        <v>45347</v>
      </c>
      <c r="D766" t="inlineStr">
        <is>
          <t>JÄMTLANDS LÄN</t>
        </is>
      </c>
      <c r="E766" t="inlineStr">
        <is>
          <t>ÖSTERSUND</t>
        </is>
      </c>
      <c r="G766" t="n">
        <v>1.9</v>
      </c>
      <c r="H766" t="n">
        <v>0</v>
      </c>
      <c r="I766" t="n">
        <v>0</v>
      </c>
      <c r="J766" t="n">
        <v>0</v>
      </c>
      <c r="K766" t="n">
        <v>0</v>
      </c>
      <c r="L766" t="n">
        <v>0</v>
      </c>
      <c r="M766" t="n">
        <v>0</v>
      </c>
      <c r="N766" t="n">
        <v>0</v>
      </c>
      <c r="O766" t="n">
        <v>0</v>
      </c>
      <c r="P766" t="n">
        <v>0</v>
      </c>
      <c r="Q766" t="n">
        <v>0</v>
      </c>
      <c r="R766" s="2" t="inlineStr"/>
    </row>
    <row r="767" ht="15" customHeight="1">
      <c r="A767" t="inlineStr">
        <is>
          <t>A 6376-2024</t>
        </is>
      </c>
      <c r="B767" s="1" t="n">
        <v>45338</v>
      </c>
      <c r="C767" s="1" t="n">
        <v>45347</v>
      </c>
      <c r="D767" t="inlineStr">
        <is>
          <t>JÄMTLANDS LÄN</t>
        </is>
      </c>
      <c r="E767" t="inlineStr">
        <is>
          <t>ÖSTERSUND</t>
        </is>
      </c>
      <c r="G767" t="n">
        <v>4.6</v>
      </c>
      <c r="H767" t="n">
        <v>0</v>
      </c>
      <c r="I767" t="n">
        <v>0</v>
      </c>
      <c r="J767" t="n">
        <v>0</v>
      </c>
      <c r="K767" t="n">
        <v>0</v>
      </c>
      <c r="L767" t="n">
        <v>0</v>
      </c>
      <c r="M767" t="n">
        <v>0</v>
      </c>
      <c r="N767" t="n">
        <v>0</v>
      </c>
      <c r="O767" t="n">
        <v>0</v>
      </c>
      <c r="P767" t="n">
        <v>0</v>
      </c>
      <c r="Q767" t="n">
        <v>0</v>
      </c>
      <c r="R767" s="2" t="inlineStr"/>
    </row>
    <row r="768" ht="15" customHeight="1">
      <c r="A768" t="inlineStr">
        <is>
          <t>A 6351-2024</t>
        </is>
      </c>
      <c r="B768" s="1" t="n">
        <v>45338</v>
      </c>
      <c r="C768" s="1" t="n">
        <v>45347</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6481-2024</t>
        </is>
      </c>
      <c r="B769" s="1" t="n">
        <v>45338</v>
      </c>
      <c r="C769" s="1" t="n">
        <v>45347</v>
      </c>
      <c r="D769" t="inlineStr">
        <is>
          <t>JÄMTLANDS LÄN</t>
        </is>
      </c>
      <c r="E769" t="inlineStr">
        <is>
          <t>ÖSTERSUND</t>
        </is>
      </c>
      <c r="F769" t="inlineStr">
        <is>
          <t>SCA</t>
        </is>
      </c>
      <c r="G769" t="n">
        <v>21.3</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45347</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45347</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45347</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c r="A773" t="inlineStr">
        <is>
          <t>A 7484-2024</t>
        </is>
      </c>
      <c r="B773" s="1" t="n">
        <v>45346</v>
      </c>
      <c r="C773" s="1" t="n">
        <v>45347</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2024-02-25T12:49:09Z</dcterms:created>
  <dcterms:modified xmlns:dcterms="http://purl.org/dc/terms/" xmlns:xsi="http://www.w3.org/2001/XMLSchema-instance" xsi:type="dcterms:W3CDTF">2024-02-25T12:49:09Z</dcterms:modified>
</cp:coreProperties>
</file>