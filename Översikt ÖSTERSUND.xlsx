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45725</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45725</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45725</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45725</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45725</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45725</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45725</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45725</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45725</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45725</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45725</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45725</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45725</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45725</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45725</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45725</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45725</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45725</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45725</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45725</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45725</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45725</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45725</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45725</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45725</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45725</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45725</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45725</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45725</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45725</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45725</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45725</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45725</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45725</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45725</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45725</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45725</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45725</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45725</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45725</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45725</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45725</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45725</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45725</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45725</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45725</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45725</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45725</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45725</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45725</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45725</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45725</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45725</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45725</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45725</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45725</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45725</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45725</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45725</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45725</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45725</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45725</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45725</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45725</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45725</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45725</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45725</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45725</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45725</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45725</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45725</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45725</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45725</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45725</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45725</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45725</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45725</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45725</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45725</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45725</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45725</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45725</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45725</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45725</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45725</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45725</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45725</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45725</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45725</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45725</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45725</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45725</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45725</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45725</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45725</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45725</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45725</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45725</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45725</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45725</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45725</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45725</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45725</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45725</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45725</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45725</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45725</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45725</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45725</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45725</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45725</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45725</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45725</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45725</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45725</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45725</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45725</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45725</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45725</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45725</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45725</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45725</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45725</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45725</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45725</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10529-2025</t>
        </is>
      </c>
      <c r="B138" s="1" t="n">
        <v>45721</v>
      </c>
      <c r="C138" s="1" t="n">
        <v>45725</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30941-2019</t>
        </is>
      </c>
      <c r="B139" s="1" t="n">
        <v>43636</v>
      </c>
      <c r="C139" s="1" t="n">
        <v>45725</v>
      </c>
      <c r="D139" t="inlineStr">
        <is>
          <t>JÄMTLANDS LÄN</t>
        </is>
      </c>
      <c r="E139" t="inlineStr">
        <is>
          <t>ÖSTERSUND</t>
        </is>
      </c>
      <c r="F139" t="inlineStr">
        <is>
          <t>SCA</t>
        </is>
      </c>
      <c r="G139" t="n">
        <v>1.9</v>
      </c>
      <c r="H139" t="n">
        <v>1</v>
      </c>
      <c r="I139" t="n">
        <v>1</v>
      </c>
      <c r="J139" t="n">
        <v>0</v>
      </c>
      <c r="K139" t="n">
        <v>0</v>
      </c>
      <c r="L139" t="n">
        <v>0</v>
      </c>
      <c r="M139" t="n">
        <v>0</v>
      </c>
      <c r="N139" t="n">
        <v>0</v>
      </c>
      <c r="O139" t="n">
        <v>0</v>
      </c>
      <c r="P139" t="n">
        <v>0</v>
      </c>
      <c r="Q139" t="n">
        <v>1</v>
      </c>
      <c r="R139" s="2" t="inlineStr">
        <is>
          <t>Tvåblad</t>
        </is>
      </c>
      <c r="S139">
        <f>HYPERLINK("https://klasma.github.io/Logging_2380/artfynd/A 30941-2019 artfynd.xlsx", "A 30941-2019")</f>
        <v/>
      </c>
      <c r="T139">
        <f>HYPERLINK("https://klasma.github.io/Logging_2380/kartor/A 30941-2019 karta.png", "A 30941-2019")</f>
        <v/>
      </c>
      <c r="V139">
        <f>HYPERLINK("https://klasma.github.io/Logging_2380/klagomål/A 30941-2019 FSC-klagomål.docx", "A 30941-2019")</f>
        <v/>
      </c>
      <c r="W139">
        <f>HYPERLINK("https://klasma.github.io/Logging_2380/klagomålsmail/A 30941-2019 FSC-klagomål mail.docx", "A 30941-2019")</f>
        <v/>
      </c>
      <c r="X139">
        <f>HYPERLINK("https://klasma.github.io/Logging_2380/tillsyn/A 30941-2019 tillsynsbegäran.docx", "A 30941-2019")</f>
        <v/>
      </c>
      <c r="Y139">
        <f>HYPERLINK("https://klasma.github.io/Logging_2380/tillsynsmail/A 30941-2019 tillsynsbegäran mail.docx", "A 30941-2019")</f>
        <v/>
      </c>
    </row>
    <row r="140" ht="15" customHeight="1">
      <c r="A140" t="inlineStr">
        <is>
          <t>A 57757-2019</t>
        </is>
      </c>
      <c r="B140" s="1" t="n">
        <v>43768</v>
      </c>
      <c r="C140" s="1" t="n">
        <v>45725</v>
      </c>
      <c r="D140" t="inlineStr">
        <is>
          <t>JÄMTLANDS LÄN</t>
        </is>
      </c>
      <c r="E140" t="inlineStr">
        <is>
          <t>ÖSTERSUND</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HYPERLINK("https://klasma.github.io/Logging_2380/artfynd/A 57757-2019 artfynd.xlsx", "A 57757-2019")</f>
        <v/>
      </c>
      <c r="T140">
        <f>HYPERLINK("https://klasma.github.io/Logging_2380/kartor/A 57757-2019 karta.png", "A 57757-2019")</f>
        <v/>
      </c>
      <c r="V140">
        <f>HYPERLINK("https://klasma.github.io/Logging_2380/klagomål/A 57757-2019 FSC-klagomål.docx", "A 57757-2019")</f>
        <v/>
      </c>
      <c r="W140">
        <f>HYPERLINK("https://klasma.github.io/Logging_2380/klagomålsmail/A 57757-2019 FSC-klagomål mail.docx", "A 57757-2019")</f>
        <v/>
      </c>
      <c r="X140">
        <f>HYPERLINK("https://klasma.github.io/Logging_2380/tillsyn/A 57757-2019 tillsynsbegäran.docx", "A 57757-2019")</f>
        <v/>
      </c>
      <c r="Y140">
        <f>HYPERLINK("https://klasma.github.io/Logging_2380/tillsynsmail/A 57757-2019 tillsynsbegäran mail.docx", "A 57757-2019")</f>
        <v/>
      </c>
    </row>
    <row r="141" ht="15" customHeight="1">
      <c r="A141" t="inlineStr">
        <is>
          <t>A 61628-2019</t>
        </is>
      </c>
      <c r="B141" s="1" t="n">
        <v>43784</v>
      </c>
      <c r="C141" s="1" t="n">
        <v>45725</v>
      </c>
      <c r="D141" t="inlineStr">
        <is>
          <t>JÄMTLANDS LÄN</t>
        </is>
      </c>
      <c r="E141" t="inlineStr">
        <is>
          <t>ÖSTERSUND</t>
        </is>
      </c>
      <c r="G141" t="n">
        <v>5.6</v>
      </c>
      <c r="H141" t="n">
        <v>0</v>
      </c>
      <c r="I141" t="n">
        <v>1</v>
      </c>
      <c r="J141" t="n">
        <v>0</v>
      </c>
      <c r="K141" t="n">
        <v>0</v>
      </c>
      <c r="L141" t="n">
        <v>0</v>
      </c>
      <c r="M141" t="n">
        <v>0</v>
      </c>
      <c r="N141" t="n">
        <v>0</v>
      </c>
      <c r="O141" t="n">
        <v>0</v>
      </c>
      <c r="P141" t="n">
        <v>0</v>
      </c>
      <c r="Q141" t="n">
        <v>1</v>
      </c>
      <c r="R141" s="2" t="inlineStr">
        <is>
          <t>Tibast</t>
        </is>
      </c>
      <c r="S141">
        <f>HYPERLINK("https://klasma.github.io/Logging_2380/artfynd/A 61628-2019 artfynd.xlsx", "A 61628-2019")</f>
        <v/>
      </c>
      <c r="T141">
        <f>HYPERLINK("https://klasma.github.io/Logging_2380/kartor/A 61628-2019 karta.png", "A 61628-2019")</f>
        <v/>
      </c>
      <c r="V141">
        <f>HYPERLINK("https://klasma.github.io/Logging_2380/klagomål/A 61628-2019 FSC-klagomål.docx", "A 61628-2019")</f>
        <v/>
      </c>
      <c r="W141">
        <f>HYPERLINK("https://klasma.github.io/Logging_2380/klagomålsmail/A 61628-2019 FSC-klagomål mail.docx", "A 61628-2019")</f>
        <v/>
      </c>
      <c r="X141">
        <f>HYPERLINK("https://klasma.github.io/Logging_2380/tillsyn/A 61628-2019 tillsynsbegäran.docx", "A 61628-2019")</f>
        <v/>
      </c>
      <c r="Y141">
        <f>HYPERLINK("https://klasma.github.io/Logging_2380/tillsynsmail/A 61628-2019 tillsynsbegäran mail.docx", "A 61628-2019")</f>
        <v/>
      </c>
    </row>
    <row r="142" ht="15" customHeight="1">
      <c r="A142" t="inlineStr">
        <is>
          <t>A 11561-2020</t>
        </is>
      </c>
      <c r="B142" s="1" t="n">
        <v>43893</v>
      </c>
      <c r="C142" s="1" t="n">
        <v>45725</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Revlummer</t>
        </is>
      </c>
      <c r="S142">
        <f>HYPERLINK("https://klasma.github.io/Logging_2380/artfynd/A 11561-2020 artfynd.xlsx", "A 11561-2020")</f>
        <v/>
      </c>
      <c r="T142">
        <f>HYPERLINK("https://klasma.github.io/Logging_2380/kartor/A 11561-2020 karta.png", "A 11561-2020")</f>
        <v/>
      </c>
      <c r="V142">
        <f>HYPERLINK("https://klasma.github.io/Logging_2380/klagomål/A 11561-2020 FSC-klagomål.docx", "A 11561-2020")</f>
        <v/>
      </c>
      <c r="W142">
        <f>HYPERLINK("https://klasma.github.io/Logging_2380/klagomålsmail/A 11561-2020 FSC-klagomål mail.docx", "A 11561-2020")</f>
        <v/>
      </c>
      <c r="X142">
        <f>HYPERLINK("https://klasma.github.io/Logging_2380/tillsyn/A 11561-2020 tillsynsbegäran.docx", "A 11561-2020")</f>
        <v/>
      </c>
      <c r="Y142">
        <f>HYPERLINK("https://klasma.github.io/Logging_2380/tillsynsmail/A 11561-2020 tillsynsbegäran mail.docx", "A 11561-2020")</f>
        <v/>
      </c>
    </row>
    <row r="143" ht="15" customHeight="1">
      <c r="A143" t="inlineStr">
        <is>
          <t>A 35980-2020</t>
        </is>
      </c>
      <c r="B143" s="1" t="n">
        <v>44047</v>
      </c>
      <c r="C143" s="1" t="n">
        <v>45725</v>
      </c>
      <c r="D143" t="inlineStr">
        <is>
          <t>JÄMTLANDS LÄN</t>
        </is>
      </c>
      <c r="E143" t="inlineStr">
        <is>
          <t>ÖSTERSUND</t>
        </is>
      </c>
      <c r="G143" t="n">
        <v>0.7</v>
      </c>
      <c r="H143" t="n">
        <v>0</v>
      </c>
      <c r="I143" t="n">
        <v>0</v>
      </c>
      <c r="J143" t="n">
        <v>1</v>
      </c>
      <c r="K143" t="n">
        <v>0</v>
      </c>
      <c r="L143" t="n">
        <v>0</v>
      </c>
      <c r="M143" t="n">
        <v>0</v>
      </c>
      <c r="N143" t="n">
        <v>0</v>
      </c>
      <c r="O143" t="n">
        <v>1</v>
      </c>
      <c r="P143" t="n">
        <v>0</v>
      </c>
      <c r="Q143" t="n">
        <v>1</v>
      </c>
      <c r="R143" s="2" t="inlineStr">
        <is>
          <t>Slåtterfibbla</t>
        </is>
      </c>
      <c r="S143">
        <f>HYPERLINK("https://klasma.github.io/Logging_2380/artfynd/A 35980-2020 artfynd.xlsx", "A 35980-2020")</f>
        <v/>
      </c>
      <c r="T143">
        <f>HYPERLINK("https://klasma.github.io/Logging_2380/kartor/A 35980-2020 karta.png", "A 35980-2020")</f>
        <v/>
      </c>
      <c r="U143">
        <f>HYPERLINK("https://klasma.github.io/Logging_2380/knärot/A 35980-2020 karta knärot.png", "A 35980-2020")</f>
        <v/>
      </c>
      <c r="V143">
        <f>HYPERLINK("https://klasma.github.io/Logging_2380/klagomål/A 35980-2020 FSC-klagomål.docx", "A 35980-2020")</f>
        <v/>
      </c>
      <c r="W143">
        <f>HYPERLINK("https://klasma.github.io/Logging_2380/klagomålsmail/A 35980-2020 FSC-klagomål mail.docx", "A 35980-2020")</f>
        <v/>
      </c>
      <c r="X143">
        <f>HYPERLINK("https://klasma.github.io/Logging_2380/tillsyn/A 35980-2020 tillsynsbegäran.docx", "A 35980-2020")</f>
        <v/>
      </c>
      <c r="Y143">
        <f>HYPERLINK("https://klasma.github.io/Logging_2380/tillsynsmail/A 35980-2020 tillsynsbegäran mail.docx", "A 35980-2020")</f>
        <v/>
      </c>
    </row>
    <row r="144" ht="15" customHeight="1">
      <c r="A144" t="inlineStr">
        <is>
          <t>A 63775-2020</t>
        </is>
      </c>
      <c r="B144" s="1" t="n">
        <v>44165</v>
      </c>
      <c r="C144" s="1" t="n">
        <v>45725</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Fläcknycklar</t>
        </is>
      </c>
      <c r="S144">
        <f>HYPERLINK("https://klasma.github.io/Logging_2380/artfynd/A 63775-2020 artfynd.xlsx", "A 63775-2020")</f>
        <v/>
      </c>
      <c r="T144">
        <f>HYPERLINK("https://klasma.github.io/Logging_2380/kartor/A 63775-2020 karta.png", "A 63775-2020")</f>
        <v/>
      </c>
      <c r="V144">
        <f>HYPERLINK("https://klasma.github.io/Logging_2380/klagomål/A 63775-2020 FSC-klagomål.docx", "A 63775-2020")</f>
        <v/>
      </c>
      <c r="W144">
        <f>HYPERLINK("https://klasma.github.io/Logging_2380/klagomålsmail/A 63775-2020 FSC-klagomål mail.docx", "A 63775-2020")</f>
        <v/>
      </c>
      <c r="X144">
        <f>HYPERLINK("https://klasma.github.io/Logging_2380/tillsyn/A 63775-2020 tillsynsbegäran.docx", "A 63775-2020")</f>
        <v/>
      </c>
      <c r="Y144">
        <f>HYPERLINK("https://klasma.github.io/Logging_2380/tillsynsmail/A 63775-2020 tillsynsbegäran mail.docx", "A 63775-2020")</f>
        <v/>
      </c>
    </row>
    <row r="145" ht="15" customHeight="1">
      <c r="A145" t="inlineStr">
        <is>
          <t>A 13362-2021</t>
        </is>
      </c>
      <c r="B145" s="1" t="n">
        <v>44272</v>
      </c>
      <c r="C145" s="1" t="n">
        <v>45725</v>
      </c>
      <c r="D145" t="inlineStr">
        <is>
          <t>JÄMTLANDS LÄN</t>
        </is>
      </c>
      <c r="E145" t="inlineStr">
        <is>
          <t>ÖSTERSUND</t>
        </is>
      </c>
      <c r="G145" t="n">
        <v>0.8</v>
      </c>
      <c r="H145" t="n">
        <v>1</v>
      </c>
      <c r="I145" t="n">
        <v>0</v>
      </c>
      <c r="J145" t="n">
        <v>0</v>
      </c>
      <c r="K145" t="n">
        <v>0</v>
      </c>
      <c r="L145" t="n">
        <v>0</v>
      </c>
      <c r="M145" t="n">
        <v>0</v>
      </c>
      <c r="N145" t="n">
        <v>0</v>
      </c>
      <c r="O145" t="n">
        <v>0</v>
      </c>
      <c r="P145" t="n">
        <v>0</v>
      </c>
      <c r="Q145" t="n">
        <v>1</v>
      </c>
      <c r="R145" s="2" t="inlineStr">
        <is>
          <t>Blåsippa</t>
        </is>
      </c>
      <c r="S145">
        <f>HYPERLINK("https://klasma.github.io/Logging_2380/artfynd/A 13362-2021 artfynd.xlsx", "A 13362-2021")</f>
        <v/>
      </c>
      <c r="T145">
        <f>HYPERLINK("https://klasma.github.io/Logging_2380/kartor/A 13362-2021 karta.png", "A 13362-2021")</f>
        <v/>
      </c>
      <c r="V145">
        <f>HYPERLINK("https://klasma.github.io/Logging_2380/klagomål/A 13362-2021 FSC-klagomål.docx", "A 13362-2021")</f>
        <v/>
      </c>
      <c r="W145">
        <f>HYPERLINK("https://klasma.github.io/Logging_2380/klagomålsmail/A 13362-2021 FSC-klagomål mail.docx", "A 13362-2021")</f>
        <v/>
      </c>
      <c r="X145">
        <f>HYPERLINK("https://klasma.github.io/Logging_2380/tillsyn/A 13362-2021 tillsynsbegäran.docx", "A 13362-2021")</f>
        <v/>
      </c>
      <c r="Y145">
        <f>HYPERLINK("https://klasma.github.io/Logging_2380/tillsynsmail/A 13362-2021 tillsynsbegäran mail.docx", "A 13362-2021")</f>
        <v/>
      </c>
    </row>
    <row r="146" ht="15" customHeight="1">
      <c r="A146" t="inlineStr">
        <is>
          <t>A 17217-2021</t>
        </is>
      </c>
      <c r="B146" s="1" t="n">
        <v>44298</v>
      </c>
      <c r="C146" s="1" t="n">
        <v>45725</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25839-2021</t>
        </is>
      </c>
      <c r="B147" s="1" t="n">
        <v>44343</v>
      </c>
      <c r="C147" s="1" t="n">
        <v>45725</v>
      </c>
      <c r="D147" t="inlineStr">
        <is>
          <t>JÄMTLANDS LÄN</t>
        </is>
      </c>
      <c r="E147" t="inlineStr">
        <is>
          <t>ÖSTERSUND</t>
        </is>
      </c>
      <c r="G147" t="n">
        <v>13</v>
      </c>
      <c r="H147" t="n">
        <v>1</v>
      </c>
      <c r="I147" t="n">
        <v>0</v>
      </c>
      <c r="J147" t="n">
        <v>0</v>
      </c>
      <c r="K147" t="n">
        <v>0</v>
      </c>
      <c r="L147" t="n">
        <v>1</v>
      </c>
      <c r="M147" t="n">
        <v>0</v>
      </c>
      <c r="N147" t="n">
        <v>0</v>
      </c>
      <c r="O147" t="n">
        <v>1</v>
      </c>
      <c r="P147" t="n">
        <v>1</v>
      </c>
      <c r="Q147" t="n">
        <v>1</v>
      </c>
      <c r="R147" s="2" t="inlineStr">
        <is>
          <t>Violett guldvinge</t>
        </is>
      </c>
      <c r="S147">
        <f>HYPERLINK("https://klasma.github.io/Logging_2380/artfynd/A 25839-2021 artfynd.xlsx", "A 25839-2021")</f>
        <v/>
      </c>
      <c r="T147">
        <f>HYPERLINK("https://klasma.github.io/Logging_2380/kartor/A 25839-2021 karta.png", "A 25839-2021")</f>
        <v/>
      </c>
      <c r="V147">
        <f>HYPERLINK("https://klasma.github.io/Logging_2380/klagomål/A 25839-2021 FSC-klagomål.docx", "A 25839-2021")</f>
        <v/>
      </c>
      <c r="W147">
        <f>HYPERLINK("https://klasma.github.io/Logging_2380/klagomålsmail/A 25839-2021 FSC-klagomål mail.docx", "A 25839-2021")</f>
        <v/>
      </c>
      <c r="X147">
        <f>HYPERLINK("https://klasma.github.io/Logging_2380/tillsyn/A 25839-2021 tillsynsbegäran.docx", "A 25839-2021")</f>
        <v/>
      </c>
      <c r="Y147">
        <f>HYPERLINK("https://klasma.github.io/Logging_2380/tillsynsmail/A 25839-2021 tillsynsbegäran mail.docx", "A 25839-2021")</f>
        <v/>
      </c>
    </row>
    <row r="148" ht="15" customHeight="1">
      <c r="A148" t="inlineStr">
        <is>
          <t>A 31328-2021</t>
        </is>
      </c>
      <c r="B148" s="1" t="n">
        <v>44368</v>
      </c>
      <c r="C148" s="1" t="n">
        <v>45725</v>
      </c>
      <c r="D148" t="inlineStr">
        <is>
          <t>JÄMTLANDS LÄN</t>
        </is>
      </c>
      <c r="E148" t="inlineStr">
        <is>
          <t>ÖSTERSUND</t>
        </is>
      </c>
      <c r="G148" t="n">
        <v>6.3</v>
      </c>
      <c r="H148" t="n">
        <v>1</v>
      </c>
      <c r="I148" t="n">
        <v>0</v>
      </c>
      <c r="J148" t="n">
        <v>0</v>
      </c>
      <c r="K148" t="n">
        <v>0</v>
      </c>
      <c r="L148" t="n">
        <v>0</v>
      </c>
      <c r="M148" t="n">
        <v>0</v>
      </c>
      <c r="N148" t="n">
        <v>0</v>
      </c>
      <c r="O148" t="n">
        <v>0</v>
      </c>
      <c r="P148" t="n">
        <v>0</v>
      </c>
      <c r="Q148" t="n">
        <v>1</v>
      </c>
      <c r="R148" s="2" t="inlineStr">
        <is>
          <t>Fläcknycklar</t>
        </is>
      </c>
      <c r="S148">
        <f>HYPERLINK("https://klasma.github.io/Logging_2380/artfynd/A 31328-2021 artfynd.xlsx", "A 31328-2021")</f>
        <v/>
      </c>
      <c r="T148">
        <f>HYPERLINK("https://klasma.github.io/Logging_2380/kartor/A 31328-2021 karta.png", "A 31328-2021")</f>
        <v/>
      </c>
      <c r="V148">
        <f>HYPERLINK("https://klasma.github.io/Logging_2380/klagomål/A 31328-2021 FSC-klagomål.docx", "A 31328-2021")</f>
        <v/>
      </c>
      <c r="W148">
        <f>HYPERLINK("https://klasma.github.io/Logging_2380/klagomålsmail/A 31328-2021 FSC-klagomål mail.docx", "A 31328-2021")</f>
        <v/>
      </c>
      <c r="X148">
        <f>HYPERLINK("https://klasma.github.io/Logging_2380/tillsyn/A 31328-2021 tillsynsbegäran.docx", "A 31328-2021")</f>
        <v/>
      </c>
      <c r="Y148">
        <f>HYPERLINK("https://klasma.github.io/Logging_2380/tillsynsmail/A 31328-2021 tillsynsbegäran mail.docx", "A 31328-2021")</f>
        <v/>
      </c>
    </row>
    <row r="149" ht="15" customHeight="1">
      <c r="A149" t="inlineStr">
        <is>
          <t>A 33137-2021</t>
        </is>
      </c>
      <c r="B149" s="1" t="n">
        <v>44376</v>
      </c>
      <c r="C149" s="1" t="n">
        <v>45725</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46163-2021</t>
        </is>
      </c>
      <c r="B150" s="1" t="n">
        <v>44441</v>
      </c>
      <c r="C150" s="1" t="n">
        <v>45725</v>
      </c>
      <c r="D150" t="inlineStr">
        <is>
          <t>JÄMTLANDS LÄN</t>
        </is>
      </c>
      <c r="E150" t="inlineStr">
        <is>
          <t>ÖSTERSUND</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46163-2021 artfynd.xlsx", "A 46163-2021")</f>
        <v/>
      </c>
      <c r="T150">
        <f>HYPERLINK("https://klasma.github.io/Logging_2380/kartor/A 46163-2021 karta.png", "A 46163-2021")</f>
        <v/>
      </c>
      <c r="V150">
        <f>HYPERLINK("https://klasma.github.io/Logging_2380/klagomål/A 46163-2021 FSC-klagomål.docx", "A 46163-2021")</f>
        <v/>
      </c>
      <c r="W150">
        <f>HYPERLINK("https://klasma.github.io/Logging_2380/klagomålsmail/A 46163-2021 FSC-klagomål mail.docx", "A 46163-2021")</f>
        <v/>
      </c>
      <c r="X150">
        <f>HYPERLINK("https://klasma.github.io/Logging_2380/tillsyn/A 46163-2021 tillsynsbegäran.docx", "A 46163-2021")</f>
        <v/>
      </c>
      <c r="Y150">
        <f>HYPERLINK("https://klasma.github.io/Logging_2380/tillsynsmail/A 46163-2021 tillsynsbegäran mail.docx", "A 46163-2021")</f>
        <v/>
      </c>
      <c r="Z150">
        <f>HYPERLINK("https://klasma.github.io/Logging_2380/fåglar/A 46163-2021 prioriterade fågelarter.docx", "A 46163-2021")</f>
        <v/>
      </c>
    </row>
    <row r="151" ht="15" customHeight="1">
      <c r="A151" t="inlineStr">
        <is>
          <t>A 55821-2021</t>
        </is>
      </c>
      <c r="B151" s="1" t="n">
        <v>44476</v>
      </c>
      <c r="C151" s="1" t="n">
        <v>45725</v>
      </c>
      <c r="D151" t="inlineStr">
        <is>
          <t>JÄMTLANDS LÄN</t>
        </is>
      </c>
      <c r="E151" t="inlineStr">
        <is>
          <t>ÖSTERSUND</t>
        </is>
      </c>
      <c r="G151" t="n">
        <v>7.2</v>
      </c>
      <c r="H151" t="n">
        <v>0</v>
      </c>
      <c r="I151" t="n">
        <v>0</v>
      </c>
      <c r="J151" t="n">
        <v>1</v>
      </c>
      <c r="K151" t="n">
        <v>0</v>
      </c>
      <c r="L151" t="n">
        <v>0</v>
      </c>
      <c r="M151" t="n">
        <v>0</v>
      </c>
      <c r="N151" t="n">
        <v>0</v>
      </c>
      <c r="O151" t="n">
        <v>1</v>
      </c>
      <c r="P151" t="n">
        <v>0</v>
      </c>
      <c r="Q151" t="n">
        <v>1</v>
      </c>
      <c r="R151" s="2" t="inlineStr">
        <is>
          <t>Harticka</t>
        </is>
      </c>
      <c r="S151">
        <f>HYPERLINK("https://klasma.github.io/Logging_2380/artfynd/A 55821-2021 artfynd.xlsx", "A 55821-2021")</f>
        <v/>
      </c>
      <c r="T151">
        <f>HYPERLINK("https://klasma.github.io/Logging_2380/kartor/A 55821-2021 karta.png", "A 55821-2021")</f>
        <v/>
      </c>
      <c r="V151">
        <f>HYPERLINK("https://klasma.github.io/Logging_2380/klagomål/A 55821-2021 FSC-klagomål.docx", "A 55821-2021")</f>
        <v/>
      </c>
      <c r="W151">
        <f>HYPERLINK("https://klasma.github.io/Logging_2380/klagomålsmail/A 55821-2021 FSC-klagomål mail.docx", "A 55821-2021")</f>
        <v/>
      </c>
      <c r="X151">
        <f>HYPERLINK("https://klasma.github.io/Logging_2380/tillsyn/A 55821-2021 tillsynsbegäran.docx", "A 55821-2021")</f>
        <v/>
      </c>
      <c r="Y151">
        <f>HYPERLINK("https://klasma.github.io/Logging_2380/tillsynsmail/A 55821-2021 tillsynsbegäran mail.docx", "A 55821-2021")</f>
        <v/>
      </c>
    </row>
    <row r="152" ht="15" customHeight="1">
      <c r="A152" t="inlineStr">
        <is>
          <t>A 59433-2021</t>
        </is>
      </c>
      <c r="B152" s="1" t="n">
        <v>44491</v>
      </c>
      <c r="C152" s="1" t="n">
        <v>45725</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9739-2022</t>
        </is>
      </c>
      <c r="B153" s="1" t="n">
        <v>44617</v>
      </c>
      <c r="C153" s="1" t="n">
        <v>45725</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10336-2022</t>
        </is>
      </c>
      <c r="B154" s="1" t="n">
        <v>44623</v>
      </c>
      <c r="C154" s="1" t="n">
        <v>45725</v>
      </c>
      <c r="D154" t="inlineStr">
        <is>
          <t>JÄMTLANDS LÄN</t>
        </is>
      </c>
      <c r="E154" t="inlineStr">
        <is>
          <t>ÖSTERSUND</t>
        </is>
      </c>
      <c r="G154" t="n">
        <v>0.9</v>
      </c>
      <c r="H154" t="n">
        <v>0</v>
      </c>
      <c r="I154" t="n">
        <v>1</v>
      </c>
      <c r="J154" t="n">
        <v>0</v>
      </c>
      <c r="K154" t="n">
        <v>0</v>
      </c>
      <c r="L154" t="n">
        <v>0</v>
      </c>
      <c r="M154" t="n">
        <v>0</v>
      </c>
      <c r="N154" t="n">
        <v>0</v>
      </c>
      <c r="O154" t="n">
        <v>0</v>
      </c>
      <c r="P154" t="n">
        <v>0</v>
      </c>
      <c r="Q154" t="n">
        <v>1</v>
      </c>
      <c r="R154" s="2" t="inlineStr">
        <is>
          <t>Underviol</t>
        </is>
      </c>
      <c r="S154">
        <f>HYPERLINK("https://klasma.github.io/Logging_2380/artfynd/A 10336-2022 artfynd.xlsx", "A 10336-2022")</f>
        <v/>
      </c>
      <c r="T154">
        <f>HYPERLINK("https://klasma.github.io/Logging_2380/kartor/A 10336-2022 karta.png", "A 10336-2022")</f>
        <v/>
      </c>
      <c r="V154">
        <f>HYPERLINK("https://klasma.github.io/Logging_2380/klagomål/A 10336-2022 FSC-klagomål.docx", "A 10336-2022")</f>
        <v/>
      </c>
      <c r="W154">
        <f>HYPERLINK("https://klasma.github.io/Logging_2380/klagomålsmail/A 10336-2022 FSC-klagomål mail.docx", "A 10336-2022")</f>
        <v/>
      </c>
      <c r="X154">
        <f>HYPERLINK("https://klasma.github.io/Logging_2380/tillsyn/A 10336-2022 tillsynsbegäran.docx", "A 10336-2022")</f>
        <v/>
      </c>
      <c r="Y154">
        <f>HYPERLINK("https://klasma.github.io/Logging_2380/tillsynsmail/A 10336-2022 tillsynsbegäran mail.docx", "A 10336-2022")</f>
        <v/>
      </c>
    </row>
    <row r="155" ht="15" customHeight="1">
      <c r="A155" t="inlineStr">
        <is>
          <t>A 19798-2022</t>
        </is>
      </c>
      <c r="B155" s="1" t="n">
        <v>44694</v>
      </c>
      <c r="C155" s="1" t="n">
        <v>45725</v>
      </c>
      <c r="D155" t="inlineStr">
        <is>
          <t>JÄMTLANDS LÄN</t>
        </is>
      </c>
      <c r="E155" t="inlineStr">
        <is>
          <t>ÖSTERSUND</t>
        </is>
      </c>
      <c r="F155" t="inlineStr">
        <is>
          <t>SCA</t>
        </is>
      </c>
      <c r="G155" t="n">
        <v>1</v>
      </c>
      <c r="H155" t="n">
        <v>1</v>
      </c>
      <c r="I155" t="n">
        <v>1</v>
      </c>
      <c r="J155" t="n">
        <v>0</v>
      </c>
      <c r="K155" t="n">
        <v>0</v>
      </c>
      <c r="L155" t="n">
        <v>0</v>
      </c>
      <c r="M155" t="n">
        <v>0</v>
      </c>
      <c r="N155" t="n">
        <v>0</v>
      </c>
      <c r="O155" t="n">
        <v>0</v>
      </c>
      <c r="P155" t="n">
        <v>0</v>
      </c>
      <c r="Q155" t="n">
        <v>1</v>
      </c>
      <c r="R155" s="2" t="inlineStr">
        <is>
          <t>Guckusko</t>
        </is>
      </c>
      <c r="S155">
        <f>HYPERLINK("https://klasma.github.io/Logging_2380/artfynd/A 19798-2022 artfynd.xlsx", "A 19798-2022")</f>
        <v/>
      </c>
      <c r="T155">
        <f>HYPERLINK("https://klasma.github.io/Logging_2380/kartor/A 19798-2022 karta.png", "A 19798-2022")</f>
        <v/>
      </c>
      <c r="V155">
        <f>HYPERLINK("https://klasma.github.io/Logging_2380/klagomål/A 19798-2022 FSC-klagomål.docx", "A 19798-2022")</f>
        <v/>
      </c>
      <c r="W155">
        <f>HYPERLINK("https://klasma.github.io/Logging_2380/klagomålsmail/A 19798-2022 FSC-klagomål mail.docx", "A 19798-2022")</f>
        <v/>
      </c>
      <c r="X155">
        <f>HYPERLINK("https://klasma.github.io/Logging_2380/tillsyn/A 19798-2022 tillsynsbegäran.docx", "A 19798-2022")</f>
        <v/>
      </c>
      <c r="Y155">
        <f>HYPERLINK("https://klasma.github.io/Logging_2380/tillsynsmail/A 19798-2022 tillsynsbegäran mail.docx", "A 19798-2022")</f>
        <v/>
      </c>
    </row>
    <row r="156" ht="15" customHeight="1">
      <c r="A156" t="inlineStr">
        <is>
          <t>A 27578-2022</t>
        </is>
      </c>
      <c r="B156" s="1" t="n">
        <v>44742</v>
      </c>
      <c r="C156" s="1" t="n">
        <v>45725</v>
      </c>
      <c r="D156" t="inlineStr">
        <is>
          <t>JÄMTLANDS LÄN</t>
        </is>
      </c>
      <c r="E156" t="inlineStr">
        <is>
          <t>ÖSTERSUND</t>
        </is>
      </c>
      <c r="F156" t="inlineStr">
        <is>
          <t>SCA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HYPERLINK("https://klasma.github.io/Logging_2380/artfynd/A 27578-2022 artfynd.xlsx", "A 27578-2022")</f>
        <v/>
      </c>
      <c r="T156">
        <f>HYPERLINK("https://klasma.github.io/Logging_2380/kartor/A 27578-2022 karta.png", "A 27578-2022")</f>
        <v/>
      </c>
      <c r="V156">
        <f>HYPERLINK("https://klasma.github.io/Logging_2380/klagomål/A 27578-2022 FSC-klagomål.docx", "A 27578-2022")</f>
        <v/>
      </c>
      <c r="W156">
        <f>HYPERLINK("https://klasma.github.io/Logging_2380/klagomålsmail/A 27578-2022 FSC-klagomål mail.docx", "A 27578-2022")</f>
        <v/>
      </c>
      <c r="X156">
        <f>HYPERLINK("https://klasma.github.io/Logging_2380/tillsyn/A 27578-2022 tillsynsbegäran.docx", "A 27578-2022")</f>
        <v/>
      </c>
      <c r="Y156">
        <f>HYPERLINK("https://klasma.github.io/Logging_2380/tillsynsmail/A 27578-2022 tillsynsbegäran mail.docx", "A 27578-2022")</f>
        <v/>
      </c>
    </row>
    <row r="157" ht="15" customHeight="1">
      <c r="A157" t="inlineStr">
        <is>
          <t>A 27576-2022</t>
        </is>
      </c>
      <c r="B157" s="1" t="n">
        <v>44742</v>
      </c>
      <c r="C157" s="1" t="n">
        <v>45725</v>
      </c>
      <c r="D157" t="inlineStr">
        <is>
          <t>JÄMTLANDS LÄN</t>
        </is>
      </c>
      <c r="E157" t="inlineStr">
        <is>
          <t>ÖSTERSUND</t>
        </is>
      </c>
      <c r="F157" t="inlineStr">
        <is>
          <t>SCA</t>
        </is>
      </c>
      <c r="G157" t="n">
        <v>0.6</v>
      </c>
      <c r="H157" t="n">
        <v>0</v>
      </c>
      <c r="I157" t="n">
        <v>0</v>
      </c>
      <c r="J157" t="n">
        <v>1</v>
      </c>
      <c r="K157" t="n">
        <v>0</v>
      </c>
      <c r="L157" t="n">
        <v>0</v>
      </c>
      <c r="M157" t="n">
        <v>0</v>
      </c>
      <c r="N157" t="n">
        <v>0</v>
      </c>
      <c r="O157" t="n">
        <v>1</v>
      </c>
      <c r="P157" t="n">
        <v>0</v>
      </c>
      <c r="Q157" t="n">
        <v>1</v>
      </c>
      <c r="R157" s="2" t="inlineStr">
        <is>
          <t>Ullticka</t>
        </is>
      </c>
      <c r="S157">
        <f>HYPERLINK("https://klasma.github.io/Logging_2380/artfynd/A 27576-2022 artfynd.xlsx", "A 27576-2022")</f>
        <v/>
      </c>
      <c r="T157">
        <f>HYPERLINK("https://klasma.github.io/Logging_2380/kartor/A 27576-2022 karta.png", "A 27576-2022")</f>
        <v/>
      </c>
      <c r="U157">
        <f>HYPERLINK("https://klasma.github.io/Logging_2380/knärot/A 27576-2022 karta knärot.png", "A 27576-2022")</f>
        <v/>
      </c>
      <c r="V157">
        <f>HYPERLINK("https://klasma.github.io/Logging_2380/klagomål/A 27576-2022 FSC-klagomål.docx", "A 27576-2022")</f>
        <v/>
      </c>
      <c r="W157">
        <f>HYPERLINK("https://klasma.github.io/Logging_2380/klagomålsmail/A 27576-2022 FSC-klagomål mail.docx", "A 27576-2022")</f>
        <v/>
      </c>
      <c r="X157">
        <f>HYPERLINK("https://klasma.github.io/Logging_2380/tillsyn/A 27576-2022 tillsynsbegäran.docx", "A 27576-2022")</f>
        <v/>
      </c>
      <c r="Y157">
        <f>HYPERLINK("https://klasma.github.io/Logging_2380/tillsynsmail/A 27576-2022 tillsynsbegäran mail.docx", "A 27576-2022")</f>
        <v/>
      </c>
    </row>
    <row r="158" ht="15" customHeight="1">
      <c r="A158" t="inlineStr">
        <is>
          <t>A 33267-2022</t>
        </is>
      </c>
      <c r="B158" s="1" t="n">
        <v>44785</v>
      </c>
      <c r="C158" s="1" t="n">
        <v>45725</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43947-2022</t>
        </is>
      </c>
      <c r="B159" s="1" t="n">
        <v>44838</v>
      </c>
      <c r="C159" s="1" t="n">
        <v>45725</v>
      </c>
      <c r="D159" t="inlineStr">
        <is>
          <t>JÄMTLANDS LÄN</t>
        </is>
      </c>
      <c r="E159" t="inlineStr">
        <is>
          <t>ÖSTERSUND</t>
        </is>
      </c>
      <c r="F159" t="inlineStr">
        <is>
          <t>Övriga Aktiebolag</t>
        </is>
      </c>
      <c r="G159" t="n">
        <v>15.7</v>
      </c>
      <c r="H159" t="n">
        <v>0</v>
      </c>
      <c r="I159" t="n">
        <v>0</v>
      </c>
      <c r="J159" t="n">
        <v>0</v>
      </c>
      <c r="K159" t="n">
        <v>1</v>
      </c>
      <c r="L159" t="n">
        <v>0</v>
      </c>
      <c r="M159" t="n">
        <v>0</v>
      </c>
      <c r="N159" t="n">
        <v>0</v>
      </c>
      <c r="O159" t="n">
        <v>1</v>
      </c>
      <c r="P159" t="n">
        <v>1</v>
      </c>
      <c r="Q159" t="n">
        <v>1</v>
      </c>
      <c r="R159" s="2" t="inlineStr">
        <is>
          <t>Sprickporing</t>
        </is>
      </c>
      <c r="S159">
        <f>HYPERLINK("https://klasma.github.io/Logging_2380/artfynd/A 43947-2022 artfynd.xlsx", "A 43947-2022")</f>
        <v/>
      </c>
      <c r="T159">
        <f>HYPERLINK("https://klasma.github.io/Logging_2380/kartor/A 43947-2022 karta.png", "A 43947-2022")</f>
        <v/>
      </c>
      <c r="V159">
        <f>HYPERLINK("https://klasma.github.io/Logging_2380/klagomål/A 43947-2022 FSC-klagomål.docx", "A 43947-2022")</f>
        <v/>
      </c>
      <c r="W159">
        <f>HYPERLINK("https://klasma.github.io/Logging_2380/klagomålsmail/A 43947-2022 FSC-klagomål mail.docx", "A 43947-2022")</f>
        <v/>
      </c>
      <c r="X159">
        <f>HYPERLINK("https://klasma.github.io/Logging_2380/tillsyn/A 43947-2022 tillsynsbegäran.docx", "A 43947-2022")</f>
        <v/>
      </c>
      <c r="Y159">
        <f>HYPERLINK("https://klasma.github.io/Logging_2380/tillsynsmail/A 43947-2022 tillsynsbegäran mail.docx", "A 43947-2022")</f>
        <v/>
      </c>
    </row>
    <row r="160" ht="15" customHeight="1">
      <c r="A160" t="inlineStr">
        <is>
          <t>A 45441-2022</t>
        </is>
      </c>
      <c r="B160" s="1" t="n">
        <v>44844</v>
      </c>
      <c r="C160" s="1" t="n">
        <v>45725</v>
      </c>
      <c r="D160" t="inlineStr">
        <is>
          <t>JÄMTLANDS LÄN</t>
        </is>
      </c>
      <c r="E160" t="inlineStr">
        <is>
          <t>ÖSTERSUND</t>
        </is>
      </c>
      <c r="F160" t="inlineStr">
        <is>
          <t>SCA</t>
        </is>
      </c>
      <c r="G160" t="n">
        <v>1.8</v>
      </c>
      <c r="H160" t="n">
        <v>0</v>
      </c>
      <c r="I160" t="n">
        <v>1</v>
      </c>
      <c r="J160" t="n">
        <v>0</v>
      </c>
      <c r="K160" t="n">
        <v>0</v>
      </c>
      <c r="L160" t="n">
        <v>0</v>
      </c>
      <c r="M160" t="n">
        <v>0</v>
      </c>
      <c r="N160" t="n">
        <v>0</v>
      </c>
      <c r="O160" t="n">
        <v>0</v>
      </c>
      <c r="P160" t="n">
        <v>0</v>
      </c>
      <c r="Q160" t="n">
        <v>1</v>
      </c>
      <c r="R160" s="2" t="inlineStr">
        <is>
          <t>Korallblylav</t>
        </is>
      </c>
      <c r="S160">
        <f>HYPERLINK("https://klasma.github.io/Logging_2380/artfynd/A 45441-2022 artfynd.xlsx", "A 45441-2022")</f>
        <v/>
      </c>
      <c r="T160">
        <f>HYPERLINK("https://klasma.github.io/Logging_2380/kartor/A 45441-2022 karta.png", "A 45441-2022")</f>
        <v/>
      </c>
      <c r="V160">
        <f>HYPERLINK("https://klasma.github.io/Logging_2380/klagomål/A 45441-2022 FSC-klagomål.docx", "A 45441-2022")</f>
        <v/>
      </c>
      <c r="W160">
        <f>HYPERLINK("https://klasma.github.io/Logging_2380/klagomålsmail/A 45441-2022 FSC-klagomål mail.docx", "A 45441-2022")</f>
        <v/>
      </c>
      <c r="X160">
        <f>HYPERLINK("https://klasma.github.io/Logging_2380/tillsyn/A 45441-2022 tillsynsbegäran.docx", "A 45441-2022")</f>
        <v/>
      </c>
      <c r="Y160">
        <f>HYPERLINK("https://klasma.github.io/Logging_2380/tillsynsmail/A 45441-2022 tillsynsbegäran mail.docx", "A 45441-2022")</f>
        <v/>
      </c>
    </row>
    <row r="161" ht="15" customHeight="1">
      <c r="A161" t="inlineStr">
        <is>
          <t>A 56245-2022</t>
        </is>
      </c>
      <c r="B161" s="1" t="n">
        <v>44890</v>
      </c>
      <c r="C161" s="1" t="n">
        <v>45725</v>
      </c>
      <c r="D161" t="inlineStr">
        <is>
          <t>JÄMTLANDS LÄN</t>
        </is>
      </c>
      <c r="E161" t="inlineStr">
        <is>
          <t>ÖSTERSUND</t>
        </is>
      </c>
      <c r="F161" t="inlineStr">
        <is>
          <t>Övriga Aktiebolag</t>
        </is>
      </c>
      <c r="G161" t="n">
        <v>10.6</v>
      </c>
      <c r="H161" t="n">
        <v>0</v>
      </c>
      <c r="I161" t="n">
        <v>0</v>
      </c>
      <c r="J161" t="n">
        <v>1</v>
      </c>
      <c r="K161" t="n">
        <v>0</v>
      </c>
      <c r="L161" t="n">
        <v>0</v>
      </c>
      <c r="M161" t="n">
        <v>0</v>
      </c>
      <c r="N161" t="n">
        <v>0</v>
      </c>
      <c r="O161" t="n">
        <v>1</v>
      </c>
      <c r="P161" t="n">
        <v>0</v>
      </c>
      <c r="Q161" t="n">
        <v>1</v>
      </c>
      <c r="R161" s="2" t="inlineStr">
        <is>
          <t>Garnlav</t>
        </is>
      </c>
      <c r="S161">
        <f>HYPERLINK("https://klasma.github.io/Logging_2380/artfynd/A 56245-2022 artfynd.xlsx", "A 56245-2022")</f>
        <v/>
      </c>
      <c r="T161">
        <f>HYPERLINK("https://klasma.github.io/Logging_2380/kartor/A 56245-2022 karta.png", "A 56245-2022")</f>
        <v/>
      </c>
      <c r="V161">
        <f>HYPERLINK("https://klasma.github.io/Logging_2380/klagomål/A 56245-2022 FSC-klagomål.docx", "A 56245-2022")</f>
        <v/>
      </c>
      <c r="W161">
        <f>HYPERLINK("https://klasma.github.io/Logging_2380/klagomålsmail/A 56245-2022 FSC-klagomål mail.docx", "A 56245-2022")</f>
        <v/>
      </c>
      <c r="X161">
        <f>HYPERLINK("https://klasma.github.io/Logging_2380/tillsyn/A 56245-2022 tillsynsbegäran.docx", "A 56245-2022")</f>
        <v/>
      </c>
      <c r="Y161">
        <f>HYPERLINK("https://klasma.github.io/Logging_2380/tillsynsmail/A 56245-2022 tillsynsbegäran mail.docx", "A 56245-2022")</f>
        <v/>
      </c>
    </row>
    <row r="162" ht="15" customHeight="1">
      <c r="A162" t="inlineStr">
        <is>
          <t>A 58181-2022</t>
        </is>
      </c>
      <c r="B162" s="1" t="n">
        <v>44900</v>
      </c>
      <c r="C162" s="1" t="n">
        <v>45725</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59739-2022</t>
        </is>
      </c>
      <c r="B163" s="1" t="n">
        <v>44908</v>
      </c>
      <c r="C163" s="1" t="n">
        <v>45725</v>
      </c>
      <c r="D163" t="inlineStr">
        <is>
          <t>JÄMTLANDS LÄN</t>
        </is>
      </c>
      <c r="E163" t="inlineStr">
        <is>
          <t>ÖSTERSUND</t>
        </is>
      </c>
      <c r="F163" t="inlineStr">
        <is>
          <t>Kommuner</t>
        </is>
      </c>
      <c r="G163" t="n">
        <v>1.9</v>
      </c>
      <c r="H163" t="n">
        <v>0</v>
      </c>
      <c r="I163" t="n">
        <v>1</v>
      </c>
      <c r="J163" t="n">
        <v>0</v>
      </c>
      <c r="K163" t="n">
        <v>0</v>
      </c>
      <c r="L163" t="n">
        <v>0</v>
      </c>
      <c r="M163" t="n">
        <v>0</v>
      </c>
      <c r="N163" t="n">
        <v>0</v>
      </c>
      <c r="O163" t="n">
        <v>0</v>
      </c>
      <c r="P163" t="n">
        <v>0</v>
      </c>
      <c r="Q163" t="n">
        <v>1</v>
      </c>
      <c r="R163" s="2" t="inlineStr">
        <is>
          <t>Vedticka</t>
        </is>
      </c>
      <c r="S163">
        <f>HYPERLINK("https://klasma.github.io/Logging_2380/artfynd/A 59739-2022 artfynd.xlsx", "A 59739-2022")</f>
        <v/>
      </c>
      <c r="T163">
        <f>HYPERLINK("https://klasma.github.io/Logging_2380/kartor/A 59739-2022 karta.png", "A 59739-2022")</f>
        <v/>
      </c>
      <c r="V163">
        <f>HYPERLINK("https://klasma.github.io/Logging_2380/klagomål/A 59739-2022 FSC-klagomål.docx", "A 59739-2022")</f>
        <v/>
      </c>
      <c r="W163">
        <f>HYPERLINK("https://klasma.github.io/Logging_2380/klagomålsmail/A 59739-2022 FSC-klagomål mail.docx", "A 59739-2022")</f>
        <v/>
      </c>
      <c r="X163">
        <f>HYPERLINK("https://klasma.github.io/Logging_2380/tillsyn/A 59739-2022 tillsynsbegäran.docx", "A 59739-2022")</f>
        <v/>
      </c>
      <c r="Y163">
        <f>HYPERLINK("https://klasma.github.io/Logging_2380/tillsynsmail/A 59739-2022 tillsynsbegäran mail.docx", "A 59739-2022")</f>
        <v/>
      </c>
    </row>
    <row r="164" ht="15" customHeight="1">
      <c r="A164" t="inlineStr">
        <is>
          <t>A 28980-2023</t>
        </is>
      </c>
      <c r="B164" s="1" t="n">
        <v>45096</v>
      </c>
      <c r="C164" s="1" t="n">
        <v>45725</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32411-2023</t>
        </is>
      </c>
      <c r="B165" s="1" t="n">
        <v>45120</v>
      </c>
      <c r="C165" s="1" t="n">
        <v>45725</v>
      </c>
      <c r="D165" t="inlineStr">
        <is>
          <t>JÄMTLANDS LÄN</t>
        </is>
      </c>
      <c r="E165" t="inlineStr">
        <is>
          <t>ÖSTERSUND</t>
        </is>
      </c>
      <c r="G165" t="n">
        <v>8.5</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32411-2023 artfynd.xlsx", "A 32411-2023")</f>
        <v/>
      </c>
      <c r="T165">
        <f>HYPERLINK("https://klasma.github.io/Logging_2380/kartor/A 32411-2023 karta.png", "A 32411-2023")</f>
        <v/>
      </c>
      <c r="V165">
        <f>HYPERLINK("https://klasma.github.io/Logging_2380/klagomål/A 32411-2023 FSC-klagomål.docx", "A 32411-2023")</f>
        <v/>
      </c>
      <c r="W165">
        <f>HYPERLINK("https://klasma.github.io/Logging_2380/klagomålsmail/A 32411-2023 FSC-klagomål mail.docx", "A 32411-2023")</f>
        <v/>
      </c>
      <c r="X165">
        <f>HYPERLINK("https://klasma.github.io/Logging_2380/tillsyn/A 32411-2023 tillsynsbegäran.docx", "A 32411-2023")</f>
        <v/>
      </c>
      <c r="Y165">
        <f>HYPERLINK("https://klasma.github.io/Logging_2380/tillsynsmail/A 32411-2023 tillsynsbegäran mail.docx", "A 32411-2023")</f>
        <v/>
      </c>
    </row>
    <row r="166" ht="15" customHeight="1">
      <c r="A166" t="inlineStr">
        <is>
          <t>A 50825-2023</t>
        </is>
      </c>
      <c r="B166" s="1" t="n">
        <v>45217</v>
      </c>
      <c r="C166" s="1" t="n">
        <v>45725</v>
      </c>
      <c r="D166" t="inlineStr">
        <is>
          <t>JÄMTLANDS LÄN</t>
        </is>
      </c>
      <c r="E166" t="inlineStr">
        <is>
          <t>ÖSTERSUND</t>
        </is>
      </c>
      <c r="G166" t="n">
        <v>24.3</v>
      </c>
      <c r="H166" t="n">
        <v>0</v>
      </c>
      <c r="I166" t="n">
        <v>0</v>
      </c>
      <c r="J166" t="n">
        <v>1</v>
      </c>
      <c r="K166" t="n">
        <v>0</v>
      </c>
      <c r="L166" t="n">
        <v>0</v>
      </c>
      <c r="M166" t="n">
        <v>0</v>
      </c>
      <c r="N166" t="n">
        <v>0</v>
      </c>
      <c r="O166" t="n">
        <v>1</v>
      </c>
      <c r="P166" t="n">
        <v>0</v>
      </c>
      <c r="Q166" t="n">
        <v>1</v>
      </c>
      <c r="R166" s="2" t="inlineStr">
        <is>
          <t>Granticka</t>
        </is>
      </c>
      <c r="S166">
        <f>HYPERLINK("https://klasma.github.io/Logging_2380/artfynd/A 50825-2023 artfynd.xlsx", "A 50825-2023")</f>
        <v/>
      </c>
      <c r="T166">
        <f>HYPERLINK("https://klasma.github.io/Logging_2380/kartor/A 50825-2023 karta.png", "A 50825-2023")</f>
        <v/>
      </c>
      <c r="V166">
        <f>HYPERLINK("https://klasma.github.io/Logging_2380/klagomål/A 50825-2023 FSC-klagomål.docx", "A 50825-2023")</f>
        <v/>
      </c>
      <c r="W166">
        <f>HYPERLINK("https://klasma.github.io/Logging_2380/klagomålsmail/A 50825-2023 FSC-klagomål mail.docx", "A 50825-2023")</f>
        <v/>
      </c>
      <c r="X166">
        <f>HYPERLINK("https://klasma.github.io/Logging_2380/tillsyn/A 50825-2023 tillsynsbegäran.docx", "A 50825-2023")</f>
        <v/>
      </c>
      <c r="Y166">
        <f>HYPERLINK("https://klasma.github.io/Logging_2380/tillsynsmail/A 50825-2023 tillsynsbegäran mail.docx", "A 50825-2023")</f>
        <v/>
      </c>
    </row>
    <row r="167" ht="15" customHeight="1">
      <c r="A167" t="inlineStr">
        <is>
          <t>A 56025-2023</t>
        </is>
      </c>
      <c r="B167" s="1" t="n">
        <v>45233</v>
      </c>
      <c r="C167" s="1" t="n">
        <v>45725</v>
      </c>
      <c r="D167" t="inlineStr">
        <is>
          <t>JÄMTLANDS LÄN</t>
        </is>
      </c>
      <c r="E167" t="inlineStr">
        <is>
          <t>ÖSTERSUND</t>
        </is>
      </c>
      <c r="G167" t="n">
        <v>3.9</v>
      </c>
      <c r="H167" t="n">
        <v>1</v>
      </c>
      <c r="I167" t="n">
        <v>0</v>
      </c>
      <c r="J167" t="n">
        <v>1</v>
      </c>
      <c r="K167" t="n">
        <v>0</v>
      </c>
      <c r="L167" t="n">
        <v>0</v>
      </c>
      <c r="M167" t="n">
        <v>0</v>
      </c>
      <c r="N167" t="n">
        <v>0</v>
      </c>
      <c r="O167" t="n">
        <v>1</v>
      </c>
      <c r="P167" t="n">
        <v>0</v>
      </c>
      <c r="Q167" t="n">
        <v>1</v>
      </c>
      <c r="R167" s="2" t="inlineStr">
        <is>
          <t>Jämtlandsmaskros</t>
        </is>
      </c>
      <c r="S167">
        <f>HYPERLINK("https://klasma.github.io/Logging_2380/artfynd/A 56025-2023 artfynd.xlsx", "A 56025-2023")</f>
        <v/>
      </c>
      <c r="T167">
        <f>HYPERLINK("https://klasma.github.io/Logging_2380/kartor/A 56025-2023 karta.png", "A 56025-2023")</f>
        <v/>
      </c>
      <c r="V167">
        <f>HYPERLINK("https://klasma.github.io/Logging_2380/klagomål/A 56025-2023 FSC-klagomål.docx", "A 56025-2023")</f>
        <v/>
      </c>
      <c r="W167">
        <f>HYPERLINK("https://klasma.github.io/Logging_2380/klagomålsmail/A 56025-2023 FSC-klagomål mail.docx", "A 56025-2023")</f>
        <v/>
      </c>
      <c r="X167">
        <f>HYPERLINK("https://klasma.github.io/Logging_2380/tillsyn/A 56025-2023 tillsynsbegäran.docx", "A 56025-2023")</f>
        <v/>
      </c>
      <c r="Y167">
        <f>HYPERLINK("https://klasma.github.io/Logging_2380/tillsynsmail/A 56025-2023 tillsynsbegäran mail.docx", "A 56025-2023")</f>
        <v/>
      </c>
    </row>
    <row r="168" ht="15" customHeight="1">
      <c r="A168" t="inlineStr">
        <is>
          <t>A 57864-2023</t>
        </is>
      </c>
      <c r="B168" s="1" t="n">
        <v>45244</v>
      </c>
      <c r="C168" s="1" t="n">
        <v>45725</v>
      </c>
      <c r="D168" t="inlineStr">
        <is>
          <t>JÄMTLANDS LÄN</t>
        </is>
      </c>
      <c r="E168" t="inlineStr">
        <is>
          <t>ÖSTERSUND</t>
        </is>
      </c>
      <c r="G168" t="n">
        <v>3.1</v>
      </c>
      <c r="H168" t="n">
        <v>1</v>
      </c>
      <c r="I168" t="n">
        <v>0</v>
      </c>
      <c r="J168" t="n">
        <v>0</v>
      </c>
      <c r="K168" t="n">
        <v>0</v>
      </c>
      <c r="L168" t="n">
        <v>0</v>
      </c>
      <c r="M168" t="n">
        <v>0</v>
      </c>
      <c r="N168" t="n">
        <v>0</v>
      </c>
      <c r="O168" t="n">
        <v>0</v>
      </c>
      <c r="P168" t="n">
        <v>0</v>
      </c>
      <c r="Q168" t="n">
        <v>1</v>
      </c>
      <c r="R168" s="2" t="inlineStr">
        <is>
          <t>Mattlummer</t>
        </is>
      </c>
      <c r="S168">
        <f>HYPERLINK("https://klasma.github.io/Logging_2380/artfynd/A 57864-2023 artfynd.xlsx", "A 57864-2023")</f>
        <v/>
      </c>
      <c r="T168">
        <f>HYPERLINK("https://klasma.github.io/Logging_2380/kartor/A 57864-2023 karta.png", "A 57864-2023")</f>
        <v/>
      </c>
      <c r="V168">
        <f>HYPERLINK("https://klasma.github.io/Logging_2380/klagomål/A 57864-2023 FSC-klagomål.docx", "A 57864-2023")</f>
        <v/>
      </c>
      <c r="W168">
        <f>HYPERLINK("https://klasma.github.io/Logging_2380/klagomålsmail/A 57864-2023 FSC-klagomål mail.docx", "A 57864-2023")</f>
        <v/>
      </c>
      <c r="X168">
        <f>HYPERLINK("https://klasma.github.io/Logging_2380/tillsyn/A 57864-2023 tillsynsbegäran.docx", "A 57864-2023")</f>
        <v/>
      </c>
      <c r="Y168">
        <f>HYPERLINK("https://klasma.github.io/Logging_2380/tillsynsmail/A 57864-2023 tillsynsbegäran mail.docx", "A 57864-2023")</f>
        <v/>
      </c>
    </row>
    <row r="169" ht="15" customHeight="1">
      <c r="A169" t="inlineStr">
        <is>
          <t>A 64380-2023</t>
        </is>
      </c>
      <c r="B169" s="1" t="n">
        <v>45280</v>
      </c>
      <c r="C169" s="1" t="n">
        <v>45725</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3272-2024</t>
        </is>
      </c>
      <c r="B170" s="1" t="n">
        <v>45316</v>
      </c>
      <c r="C170" s="1" t="n">
        <v>45725</v>
      </c>
      <c r="D170" t="inlineStr">
        <is>
          <t>JÄMTLANDS LÄN</t>
        </is>
      </c>
      <c r="E170" t="inlineStr">
        <is>
          <t>ÖSTERSUND</t>
        </is>
      </c>
      <c r="G170" t="n">
        <v>5.6</v>
      </c>
      <c r="H170" t="n">
        <v>1</v>
      </c>
      <c r="I170" t="n">
        <v>1</v>
      </c>
      <c r="J170" t="n">
        <v>0</v>
      </c>
      <c r="K170" t="n">
        <v>0</v>
      </c>
      <c r="L170" t="n">
        <v>0</v>
      </c>
      <c r="M170" t="n">
        <v>0</v>
      </c>
      <c r="N170" t="n">
        <v>0</v>
      </c>
      <c r="O170" t="n">
        <v>0</v>
      </c>
      <c r="P170" t="n">
        <v>0</v>
      </c>
      <c r="Q170" t="n">
        <v>1</v>
      </c>
      <c r="R170" s="2" t="inlineStr">
        <is>
          <t>Korallrot</t>
        </is>
      </c>
      <c r="S170">
        <f>HYPERLINK("https://klasma.github.io/Logging_2380/artfynd/A 3272-2024 artfynd.xlsx", "A 3272-2024")</f>
        <v/>
      </c>
      <c r="T170">
        <f>HYPERLINK("https://klasma.github.io/Logging_2380/kartor/A 3272-2024 karta.png", "A 3272-2024")</f>
        <v/>
      </c>
      <c r="V170">
        <f>HYPERLINK("https://klasma.github.io/Logging_2380/klagomål/A 3272-2024 FSC-klagomål.docx", "A 3272-2024")</f>
        <v/>
      </c>
      <c r="W170">
        <f>HYPERLINK("https://klasma.github.io/Logging_2380/klagomålsmail/A 3272-2024 FSC-klagomål mail.docx", "A 3272-2024")</f>
        <v/>
      </c>
      <c r="X170">
        <f>HYPERLINK("https://klasma.github.io/Logging_2380/tillsyn/A 3272-2024 tillsynsbegäran.docx", "A 3272-2024")</f>
        <v/>
      </c>
      <c r="Y170">
        <f>HYPERLINK("https://klasma.github.io/Logging_2380/tillsynsmail/A 3272-2024 tillsynsbegäran mail.docx", "A 3272-2024")</f>
        <v/>
      </c>
    </row>
    <row r="171" ht="15" customHeight="1">
      <c r="A171" t="inlineStr">
        <is>
          <t>A 5781-2024</t>
        </is>
      </c>
      <c r="B171" s="1" t="n">
        <v>45335</v>
      </c>
      <c r="C171" s="1" t="n">
        <v>45725</v>
      </c>
      <c r="D171" t="inlineStr">
        <is>
          <t>JÄMTLANDS LÄN</t>
        </is>
      </c>
      <c r="E171" t="inlineStr">
        <is>
          <t>ÖSTERSUND</t>
        </is>
      </c>
      <c r="G171" t="n">
        <v>8.800000000000001</v>
      </c>
      <c r="H171" t="n">
        <v>1</v>
      </c>
      <c r="I171" t="n">
        <v>1</v>
      </c>
      <c r="J171" t="n">
        <v>0</v>
      </c>
      <c r="K171" t="n">
        <v>0</v>
      </c>
      <c r="L171" t="n">
        <v>0</v>
      </c>
      <c r="M171" t="n">
        <v>0</v>
      </c>
      <c r="N171" t="n">
        <v>0</v>
      </c>
      <c r="O171" t="n">
        <v>0</v>
      </c>
      <c r="P171" t="n">
        <v>0</v>
      </c>
      <c r="Q171" t="n">
        <v>1</v>
      </c>
      <c r="R171" s="2" t="inlineStr">
        <is>
          <t>Guckusko</t>
        </is>
      </c>
      <c r="S171">
        <f>HYPERLINK("https://klasma.github.io/Logging_2380/artfynd/A 5781-2024 artfynd.xlsx", "A 5781-2024")</f>
        <v/>
      </c>
      <c r="T171">
        <f>HYPERLINK("https://klasma.github.io/Logging_2380/kartor/A 5781-2024 karta.png", "A 5781-2024")</f>
        <v/>
      </c>
      <c r="V171">
        <f>HYPERLINK("https://klasma.github.io/Logging_2380/klagomål/A 5781-2024 FSC-klagomål.docx", "A 5781-2024")</f>
        <v/>
      </c>
      <c r="W171">
        <f>HYPERLINK("https://klasma.github.io/Logging_2380/klagomålsmail/A 5781-2024 FSC-klagomål mail.docx", "A 5781-2024")</f>
        <v/>
      </c>
      <c r="X171">
        <f>HYPERLINK("https://klasma.github.io/Logging_2380/tillsyn/A 5781-2024 tillsynsbegäran.docx", "A 5781-2024")</f>
        <v/>
      </c>
      <c r="Y171">
        <f>HYPERLINK("https://klasma.github.io/Logging_2380/tillsynsmail/A 5781-2024 tillsynsbegäran mail.docx", "A 5781-2024")</f>
        <v/>
      </c>
    </row>
    <row r="172" ht="15" customHeight="1">
      <c r="A172" t="inlineStr">
        <is>
          <t>A 5779-2024</t>
        </is>
      </c>
      <c r="B172" s="1" t="n">
        <v>45335</v>
      </c>
      <c r="C172" s="1" t="n">
        <v>45725</v>
      </c>
      <c r="D172" t="inlineStr">
        <is>
          <t>JÄMTLANDS LÄN</t>
        </is>
      </c>
      <c r="E172" t="inlineStr">
        <is>
          <t>ÖSTERSUND</t>
        </is>
      </c>
      <c r="G172" t="n">
        <v>9.9</v>
      </c>
      <c r="H172" t="n">
        <v>0</v>
      </c>
      <c r="I172" t="n">
        <v>1</v>
      </c>
      <c r="J172" t="n">
        <v>0</v>
      </c>
      <c r="K172" t="n">
        <v>0</v>
      </c>
      <c r="L172" t="n">
        <v>0</v>
      </c>
      <c r="M172" t="n">
        <v>0</v>
      </c>
      <c r="N172" t="n">
        <v>0</v>
      </c>
      <c r="O172" t="n">
        <v>0</v>
      </c>
      <c r="P172" t="n">
        <v>0</v>
      </c>
      <c r="Q172" t="n">
        <v>1</v>
      </c>
      <c r="R172" s="2" t="inlineStr">
        <is>
          <t>Kransrams</t>
        </is>
      </c>
      <c r="S172">
        <f>HYPERLINK("https://klasma.github.io/Logging_2380/artfynd/A 5779-2024 artfynd.xlsx", "A 5779-2024")</f>
        <v/>
      </c>
      <c r="T172">
        <f>HYPERLINK("https://klasma.github.io/Logging_2380/kartor/A 5779-2024 karta.png", "A 5779-2024")</f>
        <v/>
      </c>
      <c r="V172">
        <f>HYPERLINK("https://klasma.github.io/Logging_2380/klagomål/A 5779-2024 FSC-klagomål.docx", "A 5779-2024")</f>
        <v/>
      </c>
      <c r="W172">
        <f>HYPERLINK("https://klasma.github.io/Logging_2380/klagomålsmail/A 5779-2024 FSC-klagomål mail.docx", "A 5779-2024")</f>
        <v/>
      </c>
      <c r="X172">
        <f>HYPERLINK("https://klasma.github.io/Logging_2380/tillsyn/A 5779-2024 tillsynsbegäran.docx", "A 5779-2024")</f>
        <v/>
      </c>
      <c r="Y172">
        <f>HYPERLINK("https://klasma.github.io/Logging_2380/tillsynsmail/A 5779-2024 tillsynsbegäran mail.docx", "A 5779-2024")</f>
        <v/>
      </c>
    </row>
    <row r="173" ht="15" customHeight="1">
      <c r="A173" t="inlineStr">
        <is>
          <t>A 11513-2024</t>
        </is>
      </c>
      <c r="B173" s="1" t="n">
        <v>45372</v>
      </c>
      <c r="C173" s="1" t="n">
        <v>45725</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15090-2024</t>
        </is>
      </c>
      <c r="B174" s="1" t="n">
        <v>45399</v>
      </c>
      <c r="C174" s="1" t="n">
        <v>45725</v>
      </c>
      <c r="D174" t="inlineStr">
        <is>
          <t>JÄMTLANDS LÄN</t>
        </is>
      </c>
      <c r="E174" t="inlineStr">
        <is>
          <t>ÖSTERSUND</t>
        </is>
      </c>
      <c r="G174" t="n">
        <v>18</v>
      </c>
      <c r="H174" t="n">
        <v>0</v>
      </c>
      <c r="I174" t="n">
        <v>1</v>
      </c>
      <c r="J174" t="n">
        <v>0</v>
      </c>
      <c r="K174" t="n">
        <v>0</v>
      </c>
      <c r="L174" t="n">
        <v>0</v>
      </c>
      <c r="M174" t="n">
        <v>0</v>
      </c>
      <c r="N174" t="n">
        <v>0</v>
      </c>
      <c r="O174" t="n">
        <v>0</v>
      </c>
      <c r="P174" t="n">
        <v>0</v>
      </c>
      <c r="Q174" t="n">
        <v>1</v>
      </c>
      <c r="R174" s="2" t="inlineStr">
        <is>
          <t>Svavelriska</t>
        </is>
      </c>
      <c r="S174">
        <f>HYPERLINK("https://klasma.github.io/Logging_2380/artfynd/A 15090-2024 artfynd.xlsx", "A 15090-2024")</f>
        <v/>
      </c>
      <c r="T174">
        <f>HYPERLINK("https://klasma.github.io/Logging_2380/kartor/A 15090-2024 karta.png", "A 15090-2024")</f>
        <v/>
      </c>
      <c r="V174">
        <f>HYPERLINK("https://klasma.github.io/Logging_2380/klagomål/A 15090-2024 FSC-klagomål.docx", "A 15090-2024")</f>
        <v/>
      </c>
      <c r="W174">
        <f>HYPERLINK("https://klasma.github.io/Logging_2380/klagomålsmail/A 15090-2024 FSC-klagomål mail.docx", "A 15090-2024")</f>
        <v/>
      </c>
      <c r="X174">
        <f>HYPERLINK("https://klasma.github.io/Logging_2380/tillsyn/A 15090-2024 tillsynsbegäran.docx", "A 15090-2024")</f>
        <v/>
      </c>
      <c r="Y174">
        <f>HYPERLINK("https://klasma.github.io/Logging_2380/tillsynsmail/A 15090-2024 tillsynsbegäran mail.docx", "A 15090-2024")</f>
        <v/>
      </c>
    </row>
    <row r="175" ht="15" customHeight="1">
      <c r="A175" t="inlineStr">
        <is>
          <t>A 18951-2024</t>
        </is>
      </c>
      <c r="B175" s="1" t="n">
        <v>45427</v>
      </c>
      <c r="C175" s="1" t="n">
        <v>45725</v>
      </c>
      <c r="D175" t="inlineStr">
        <is>
          <t>JÄMTLANDS LÄN</t>
        </is>
      </c>
      <c r="E175" t="inlineStr">
        <is>
          <t>ÖSTERSUND</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HYPERLINK("https://klasma.github.io/Logging_2380/artfynd/A 18951-2024 artfynd.xlsx", "A 18951-2024")</f>
        <v/>
      </c>
      <c r="T175">
        <f>HYPERLINK("https://klasma.github.io/Logging_2380/kartor/A 18951-2024 karta.png", "A 18951-2024")</f>
        <v/>
      </c>
      <c r="V175">
        <f>HYPERLINK("https://klasma.github.io/Logging_2380/klagomål/A 18951-2024 FSC-klagomål.docx", "A 18951-2024")</f>
        <v/>
      </c>
      <c r="W175">
        <f>HYPERLINK("https://klasma.github.io/Logging_2380/klagomålsmail/A 18951-2024 FSC-klagomål mail.docx", "A 18951-2024")</f>
        <v/>
      </c>
      <c r="X175">
        <f>HYPERLINK("https://klasma.github.io/Logging_2380/tillsyn/A 18951-2024 tillsynsbegäran.docx", "A 18951-2024")</f>
        <v/>
      </c>
      <c r="Y175">
        <f>HYPERLINK("https://klasma.github.io/Logging_2380/tillsynsmail/A 18951-2024 tillsynsbegäran mail.docx", "A 18951-2024")</f>
        <v/>
      </c>
    </row>
    <row r="176" ht="15" customHeight="1">
      <c r="A176" t="inlineStr">
        <is>
          <t>A 21614-2024</t>
        </is>
      </c>
      <c r="B176" s="1" t="n">
        <v>45442</v>
      </c>
      <c r="C176" s="1" t="n">
        <v>45725</v>
      </c>
      <c r="D176" t="inlineStr">
        <is>
          <t>JÄMTLANDS LÄN</t>
        </is>
      </c>
      <c r="E176" t="inlineStr">
        <is>
          <t>ÖSTERSUND</t>
        </is>
      </c>
      <c r="F176" t="inlineStr">
        <is>
          <t>SCA</t>
        </is>
      </c>
      <c r="G176" t="n">
        <v>3.5</v>
      </c>
      <c r="H176" t="n">
        <v>0</v>
      </c>
      <c r="I176" t="n">
        <v>0</v>
      </c>
      <c r="J176" t="n">
        <v>1</v>
      </c>
      <c r="K176" t="n">
        <v>0</v>
      </c>
      <c r="L176" t="n">
        <v>0</v>
      </c>
      <c r="M176" t="n">
        <v>0</v>
      </c>
      <c r="N176" t="n">
        <v>0</v>
      </c>
      <c r="O176" t="n">
        <v>1</v>
      </c>
      <c r="P176" t="n">
        <v>0</v>
      </c>
      <c r="Q176" t="n">
        <v>1</v>
      </c>
      <c r="R176" s="2" t="inlineStr">
        <is>
          <t>Lunglav</t>
        </is>
      </c>
      <c r="S176">
        <f>HYPERLINK("https://klasma.github.io/Logging_2380/artfynd/A 21614-2024 artfynd.xlsx", "A 21614-2024")</f>
        <v/>
      </c>
      <c r="T176">
        <f>HYPERLINK("https://klasma.github.io/Logging_2380/kartor/A 21614-2024 karta.png", "A 21614-2024")</f>
        <v/>
      </c>
      <c r="U176">
        <f>HYPERLINK("https://klasma.github.io/Logging_2380/knärot/A 21614-2024 karta knärot.png", "A 21614-2024")</f>
        <v/>
      </c>
      <c r="V176">
        <f>HYPERLINK("https://klasma.github.io/Logging_2380/klagomål/A 21614-2024 FSC-klagomål.docx", "A 21614-2024")</f>
        <v/>
      </c>
      <c r="W176">
        <f>HYPERLINK("https://klasma.github.io/Logging_2380/klagomålsmail/A 21614-2024 FSC-klagomål mail.docx", "A 21614-2024")</f>
        <v/>
      </c>
      <c r="X176">
        <f>HYPERLINK("https://klasma.github.io/Logging_2380/tillsyn/A 21614-2024 tillsynsbegäran.docx", "A 21614-2024")</f>
        <v/>
      </c>
      <c r="Y176">
        <f>HYPERLINK("https://klasma.github.io/Logging_2380/tillsynsmail/A 21614-2024 tillsynsbegäran mail.docx", "A 21614-2024")</f>
        <v/>
      </c>
    </row>
    <row r="177" ht="15" customHeight="1">
      <c r="A177" t="inlineStr">
        <is>
          <t>A 31883-2024</t>
        </is>
      </c>
      <c r="B177" s="1" t="n">
        <v>45510</v>
      </c>
      <c r="C177" s="1" t="n">
        <v>45725</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35422-2024</t>
        </is>
      </c>
      <c r="B178" s="1" t="n">
        <v>45531</v>
      </c>
      <c r="C178" s="1" t="n">
        <v>45725</v>
      </c>
      <c r="D178" t="inlineStr">
        <is>
          <t>JÄMTLANDS LÄN</t>
        </is>
      </c>
      <c r="E178" t="inlineStr">
        <is>
          <t>ÖSTERSUND</t>
        </is>
      </c>
      <c r="F178" t="inlineStr">
        <is>
          <t>SCA</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HYPERLINK("https://klasma.github.io/Logging_2380/artfynd/A 35422-2024 artfynd.xlsx", "A 35422-2024")</f>
        <v/>
      </c>
      <c r="T178">
        <f>HYPERLINK("https://klasma.github.io/Logging_2380/kartor/A 35422-2024 karta.png", "A 35422-2024")</f>
        <v/>
      </c>
      <c r="V178">
        <f>HYPERLINK("https://klasma.github.io/Logging_2380/klagomål/A 35422-2024 FSC-klagomål.docx", "A 35422-2024")</f>
        <v/>
      </c>
      <c r="W178">
        <f>HYPERLINK("https://klasma.github.io/Logging_2380/klagomålsmail/A 35422-2024 FSC-klagomål mail.docx", "A 35422-2024")</f>
        <v/>
      </c>
      <c r="X178">
        <f>HYPERLINK("https://klasma.github.io/Logging_2380/tillsyn/A 35422-2024 tillsynsbegäran.docx", "A 35422-2024")</f>
        <v/>
      </c>
      <c r="Y178">
        <f>HYPERLINK("https://klasma.github.io/Logging_2380/tillsynsmail/A 35422-2024 tillsynsbegäran mail.docx", "A 35422-2024")</f>
        <v/>
      </c>
    </row>
    <row r="179" ht="15" customHeight="1">
      <c r="A179" t="inlineStr">
        <is>
          <t>A 35421-2024</t>
        </is>
      </c>
      <c r="B179" s="1" t="n">
        <v>45531</v>
      </c>
      <c r="C179" s="1" t="n">
        <v>45725</v>
      </c>
      <c r="D179" t="inlineStr">
        <is>
          <t>JÄMTLANDS LÄN</t>
        </is>
      </c>
      <c r="E179" t="inlineStr">
        <is>
          <t>ÖSTERSUND</t>
        </is>
      </c>
      <c r="F179" t="inlineStr">
        <is>
          <t>SCA</t>
        </is>
      </c>
      <c r="G179" t="n">
        <v>1.6</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35421-2024 artfynd.xlsx", "A 35421-2024")</f>
        <v/>
      </c>
      <c r="T179">
        <f>HYPERLINK("https://klasma.github.io/Logging_2380/kartor/A 35421-2024 karta.png", "A 35421-2024")</f>
        <v/>
      </c>
      <c r="V179">
        <f>HYPERLINK("https://klasma.github.io/Logging_2380/klagomål/A 35421-2024 FSC-klagomål.docx", "A 35421-2024")</f>
        <v/>
      </c>
      <c r="W179">
        <f>HYPERLINK("https://klasma.github.io/Logging_2380/klagomålsmail/A 35421-2024 FSC-klagomål mail.docx", "A 35421-2024")</f>
        <v/>
      </c>
      <c r="X179">
        <f>HYPERLINK("https://klasma.github.io/Logging_2380/tillsyn/A 35421-2024 tillsynsbegäran.docx", "A 35421-2024")</f>
        <v/>
      </c>
      <c r="Y179">
        <f>HYPERLINK("https://klasma.github.io/Logging_2380/tillsynsmail/A 35421-2024 tillsynsbegäran mail.docx", "A 35421-2024")</f>
        <v/>
      </c>
    </row>
    <row r="180" ht="15" customHeight="1">
      <c r="A180" t="inlineStr">
        <is>
          <t>A 36472-2024</t>
        </is>
      </c>
      <c r="B180" s="1" t="n">
        <v>45537</v>
      </c>
      <c r="C180" s="1" t="n">
        <v>45725</v>
      </c>
      <c r="D180" t="inlineStr">
        <is>
          <t>JÄMTLANDS LÄN</t>
        </is>
      </c>
      <c r="E180" t="inlineStr">
        <is>
          <t>ÖSTERSUND</t>
        </is>
      </c>
      <c r="F180" t="inlineStr">
        <is>
          <t>SCA</t>
        </is>
      </c>
      <c r="G180" t="n">
        <v>2.1</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36472-2024 artfynd.xlsx", "A 36472-2024")</f>
        <v/>
      </c>
      <c r="T180">
        <f>HYPERLINK("https://klasma.github.io/Logging_2380/kartor/A 36472-2024 karta.png", "A 36472-2024")</f>
        <v/>
      </c>
      <c r="V180">
        <f>HYPERLINK("https://klasma.github.io/Logging_2380/klagomål/A 36472-2024 FSC-klagomål.docx", "A 36472-2024")</f>
        <v/>
      </c>
      <c r="W180">
        <f>HYPERLINK("https://klasma.github.io/Logging_2380/klagomålsmail/A 36472-2024 FSC-klagomål mail.docx", "A 36472-2024")</f>
        <v/>
      </c>
      <c r="X180">
        <f>HYPERLINK("https://klasma.github.io/Logging_2380/tillsyn/A 36472-2024 tillsynsbegäran.docx", "A 36472-2024")</f>
        <v/>
      </c>
      <c r="Y180">
        <f>HYPERLINK("https://klasma.github.io/Logging_2380/tillsynsmail/A 36472-2024 tillsynsbegäran mail.docx", "A 36472-2024")</f>
        <v/>
      </c>
    </row>
    <row r="181" ht="15" customHeight="1">
      <c r="A181" t="inlineStr">
        <is>
          <t>A 40694-2024</t>
        </is>
      </c>
      <c r="B181" s="1" t="n">
        <v>45558</v>
      </c>
      <c r="C181" s="1" t="n">
        <v>45725</v>
      </c>
      <c r="D181" t="inlineStr">
        <is>
          <t>JÄMTLANDS LÄN</t>
        </is>
      </c>
      <c r="E181" t="inlineStr">
        <is>
          <t>ÖSTERSUND</t>
        </is>
      </c>
      <c r="F181" t="inlineStr">
        <is>
          <t>SCA</t>
        </is>
      </c>
      <c r="G181" t="n">
        <v>6.2</v>
      </c>
      <c r="H181" t="n">
        <v>0</v>
      </c>
      <c r="I181" t="n">
        <v>0</v>
      </c>
      <c r="J181" t="n">
        <v>1</v>
      </c>
      <c r="K181" t="n">
        <v>0</v>
      </c>
      <c r="L181" t="n">
        <v>0</v>
      </c>
      <c r="M181" t="n">
        <v>0</v>
      </c>
      <c r="N181" t="n">
        <v>0</v>
      </c>
      <c r="O181" t="n">
        <v>1</v>
      </c>
      <c r="P181" t="n">
        <v>0</v>
      </c>
      <c r="Q181" t="n">
        <v>1</v>
      </c>
      <c r="R181" s="2" t="inlineStr">
        <is>
          <t>Reliktbock</t>
        </is>
      </c>
      <c r="S181">
        <f>HYPERLINK("https://klasma.github.io/Logging_2380/artfynd/A 40694-2024 artfynd.xlsx", "A 40694-2024")</f>
        <v/>
      </c>
      <c r="T181">
        <f>HYPERLINK("https://klasma.github.io/Logging_2380/kartor/A 40694-2024 karta.png", "A 40694-2024")</f>
        <v/>
      </c>
      <c r="V181">
        <f>HYPERLINK("https://klasma.github.io/Logging_2380/klagomål/A 40694-2024 FSC-klagomål.docx", "A 40694-2024")</f>
        <v/>
      </c>
      <c r="W181">
        <f>HYPERLINK("https://klasma.github.io/Logging_2380/klagomålsmail/A 40694-2024 FSC-klagomål mail.docx", "A 40694-2024")</f>
        <v/>
      </c>
      <c r="X181">
        <f>HYPERLINK("https://klasma.github.io/Logging_2380/tillsyn/A 40694-2024 tillsynsbegäran.docx", "A 40694-2024")</f>
        <v/>
      </c>
      <c r="Y181">
        <f>HYPERLINK("https://klasma.github.io/Logging_2380/tillsynsmail/A 40694-2024 tillsynsbegäran mail.docx", "A 40694-2024")</f>
        <v/>
      </c>
    </row>
    <row r="182" ht="15" customHeight="1">
      <c r="A182" t="inlineStr">
        <is>
          <t>A 40692-2024</t>
        </is>
      </c>
      <c r="B182" s="1" t="n">
        <v>45558</v>
      </c>
      <c r="C182" s="1" t="n">
        <v>45725</v>
      </c>
      <c r="D182" t="inlineStr">
        <is>
          <t>JÄMTLANDS LÄN</t>
        </is>
      </c>
      <c r="E182" t="inlineStr">
        <is>
          <t>ÖSTERSUND</t>
        </is>
      </c>
      <c r="F182" t="inlineStr">
        <is>
          <t>SCA</t>
        </is>
      </c>
      <c r="G182" t="n">
        <v>0.9</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40692-2024 artfynd.xlsx", "A 40692-2024")</f>
        <v/>
      </c>
      <c r="T182">
        <f>HYPERLINK("https://klasma.github.io/Logging_2380/kartor/A 40692-2024 karta.png", "A 40692-2024")</f>
        <v/>
      </c>
      <c r="V182">
        <f>HYPERLINK("https://klasma.github.io/Logging_2380/klagomål/A 40692-2024 FSC-klagomål.docx", "A 40692-2024")</f>
        <v/>
      </c>
      <c r="W182">
        <f>HYPERLINK("https://klasma.github.io/Logging_2380/klagomålsmail/A 40692-2024 FSC-klagomål mail.docx", "A 40692-2024")</f>
        <v/>
      </c>
      <c r="X182">
        <f>HYPERLINK("https://klasma.github.io/Logging_2380/tillsyn/A 40692-2024 tillsynsbegäran.docx", "A 40692-2024")</f>
        <v/>
      </c>
      <c r="Y182">
        <f>HYPERLINK("https://klasma.github.io/Logging_2380/tillsynsmail/A 40692-2024 tillsynsbegäran mail.docx", "A 40692-2024")</f>
        <v/>
      </c>
    </row>
    <row r="183" ht="15" customHeight="1">
      <c r="A183" t="inlineStr">
        <is>
          <t>A 40696-2024</t>
        </is>
      </c>
      <c r="B183" s="1" t="n">
        <v>45558</v>
      </c>
      <c r="C183" s="1" t="n">
        <v>45725</v>
      </c>
      <c r="D183" t="inlineStr">
        <is>
          <t>JÄMTLANDS LÄN</t>
        </is>
      </c>
      <c r="E183" t="inlineStr">
        <is>
          <t>ÖSTERSUND</t>
        </is>
      </c>
      <c r="F183" t="inlineStr">
        <is>
          <t>SCA</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HYPERLINK("https://klasma.github.io/Logging_2380/artfynd/A 40696-2024 artfynd.xlsx", "A 40696-2024")</f>
        <v/>
      </c>
      <c r="T183">
        <f>HYPERLINK("https://klasma.github.io/Logging_2380/kartor/A 40696-2024 karta.png", "A 40696-2024")</f>
        <v/>
      </c>
      <c r="V183">
        <f>HYPERLINK("https://klasma.github.io/Logging_2380/klagomål/A 40696-2024 FSC-klagomål.docx", "A 40696-2024")</f>
        <v/>
      </c>
      <c r="W183">
        <f>HYPERLINK("https://klasma.github.io/Logging_2380/klagomålsmail/A 40696-2024 FSC-klagomål mail.docx", "A 40696-2024")</f>
        <v/>
      </c>
      <c r="X183">
        <f>HYPERLINK("https://klasma.github.io/Logging_2380/tillsyn/A 40696-2024 tillsynsbegäran.docx", "A 40696-2024")</f>
        <v/>
      </c>
      <c r="Y183">
        <f>HYPERLINK("https://klasma.github.io/Logging_2380/tillsynsmail/A 40696-2024 tillsynsbegäran mail.docx", "A 40696-2024")</f>
        <v/>
      </c>
    </row>
    <row r="184" ht="15" customHeight="1">
      <c r="A184" t="inlineStr">
        <is>
          <t>A 41312-2024</t>
        </is>
      </c>
      <c r="B184" s="1" t="n">
        <v>45559</v>
      </c>
      <c r="C184" s="1" t="n">
        <v>45725</v>
      </c>
      <c r="D184" t="inlineStr">
        <is>
          <t>JÄMTLANDS LÄN</t>
        </is>
      </c>
      <c r="E184" t="inlineStr">
        <is>
          <t>ÖSTERSUND</t>
        </is>
      </c>
      <c r="F184" t="inlineStr">
        <is>
          <t>SCA</t>
        </is>
      </c>
      <c r="G184" t="n">
        <v>2.6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41312-2024 artfynd.xlsx", "A 41312-2024")</f>
        <v/>
      </c>
      <c r="T184">
        <f>HYPERLINK("https://klasma.github.io/Logging_2380/kartor/A 41312-2024 karta.png", "A 41312-2024")</f>
        <v/>
      </c>
      <c r="V184">
        <f>HYPERLINK("https://klasma.github.io/Logging_2380/klagomål/A 41312-2024 FSC-klagomål.docx", "A 41312-2024")</f>
        <v/>
      </c>
      <c r="W184">
        <f>HYPERLINK("https://klasma.github.io/Logging_2380/klagomålsmail/A 41312-2024 FSC-klagomål mail.docx", "A 41312-2024")</f>
        <v/>
      </c>
      <c r="X184">
        <f>HYPERLINK("https://klasma.github.io/Logging_2380/tillsyn/A 41312-2024 tillsynsbegäran.docx", "A 41312-2024")</f>
        <v/>
      </c>
      <c r="Y184">
        <f>HYPERLINK("https://klasma.github.io/Logging_2380/tillsynsmail/A 41312-2024 tillsynsbegäran mail.docx", "A 41312-2024")</f>
        <v/>
      </c>
    </row>
    <row r="185" ht="15" customHeight="1">
      <c r="A185" t="inlineStr">
        <is>
          <t>A 41275-2024</t>
        </is>
      </c>
      <c r="B185" s="1" t="n">
        <v>45559</v>
      </c>
      <c r="C185" s="1" t="n">
        <v>45725</v>
      </c>
      <c r="D185" t="inlineStr">
        <is>
          <t>JÄMTLANDS LÄN</t>
        </is>
      </c>
      <c r="E185" t="inlineStr">
        <is>
          <t>ÖSTERSUND</t>
        </is>
      </c>
      <c r="F185" t="inlineStr">
        <is>
          <t>SCA</t>
        </is>
      </c>
      <c r="G185" t="n">
        <v>3.3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41275-2024 artfynd.xlsx", "A 41275-2024")</f>
        <v/>
      </c>
      <c r="T185">
        <f>HYPERLINK("https://klasma.github.io/Logging_2380/kartor/A 41275-2024 karta.png", "A 41275-2024")</f>
        <v/>
      </c>
      <c r="V185">
        <f>HYPERLINK("https://klasma.github.io/Logging_2380/klagomål/A 41275-2024 FSC-klagomål.docx", "A 41275-2024")</f>
        <v/>
      </c>
      <c r="W185">
        <f>HYPERLINK("https://klasma.github.io/Logging_2380/klagomålsmail/A 41275-2024 FSC-klagomål mail.docx", "A 41275-2024")</f>
        <v/>
      </c>
      <c r="X185">
        <f>HYPERLINK("https://klasma.github.io/Logging_2380/tillsyn/A 41275-2024 tillsynsbegäran.docx", "A 41275-2024")</f>
        <v/>
      </c>
      <c r="Y185">
        <f>HYPERLINK("https://klasma.github.io/Logging_2380/tillsynsmail/A 41275-2024 tillsynsbegäran mail.docx", "A 41275-2024")</f>
        <v/>
      </c>
    </row>
    <row r="186" ht="15" customHeight="1">
      <c r="A186" t="inlineStr">
        <is>
          <t>A 41279-2024</t>
        </is>
      </c>
      <c r="B186" s="1" t="n">
        <v>45559</v>
      </c>
      <c r="C186" s="1" t="n">
        <v>45725</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41286-2024</t>
        </is>
      </c>
      <c r="B187" s="1" t="n">
        <v>45559</v>
      </c>
      <c r="C187" s="1" t="n">
        <v>45725</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41286-2024 artfynd.xlsx", "A 41286-2024")</f>
        <v/>
      </c>
      <c r="T187">
        <f>HYPERLINK("https://klasma.github.io/Logging_2380/kartor/A 41286-2024 karta.png", "A 41286-2024")</f>
        <v/>
      </c>
      <c r="V187">
        <f>HYPERLINK("https://klasma.github.io/Logging_2380/klagomål/A 41286-2024 FSC-klagomål.docx", "A 41286-2024")</f>
        <v/>
      </c>
      <c r="W187">
        <f>HYPERLINK("https://klasma.github.io/Logging_2380/klagomålsmail/A 41286-2024 FSC-klagomål mail.docx", "A 41286-2024")</f>
        <v/>
      </c>
      <c r="X187">
        <f>HYPERLINK("https://klasma.github.io/Logging_2380/tillsyn/A 41286-2024 tillsynsbegäran.docx", "A 41286-2024")</f>
        <v/>
      </c>
      <c r="Y187">
        <f>HYPERLINK("https://klasma.github.io/Logging_2380/tillsynsmail/A 41286-2024 tillsynsbegäran mail.docx", "A 41286-2024")</f>
        <v/>
      </c>
    </row>
    <row r="188" ht="15" customHeight="1">
      <c r="A188" t="inlineStr">
        <is>
          <t>A 41755-2024</t>
        </is>
      </c>
      <c r="B188" s="1" t="n">
        <v>45561</v>
      </c>
      <c r="C188" s="1" t="n">
        <v>45725</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41755-2024 artfynd.xlsx", "A 41755-2024")</f>
        <v/>
      </c>
      <c r="T188">
        <f>HYPERLINK("https://klasma.github.io/Logging_2380/kartor/A 41755-2024 karta.png", "A 41755-2024")</f>
        <v/>
      </c>
      <c r="V188">
        <f>HYPERLINK("https://klasma.github.io/Logging_2380/klagomål/A 41755-2024 FSC-klagomål.docx", "A 41755-2024")</f>
        <v/>
      </c>
      <c r="W188">
        <f>HYPERLINK("https://klasma.github.io/Logging_2380/klagomålsmail/A 41755-2024 FSC-klagomål mail.docx", "A 41755-2024")</f>
        <v/>
      </c>
      <c r="X188">
        <f>HYPERLINK("https://klasma.github.io/Logging_2380/tillsyn/A 41755-2024 tillsynsbegäran.docx", "A 41755-2024")</f>
        <v/>
      </c>
      <c r="Y188">
        <f>HYPERLINK("https://klasma.github.io/Logging_2380/tillsynsmail/A 41755-2024 tillsynsbegäran mail.docx", "A 41755-2024")</f>
        <v/>
      </c>
    </row>
    <row r="189" ht="15" customHeight="1">
      <c r="A189" t="inlineStr">
        <is>
          <t>A 41762-2024</t>
        </is>
      </c>
      <c r="B189" s="1" t="n">
        <v>45561</v>
      </c>
      <c r="C189" s="1" t="n">
        <v>45725</v>
      </c>
      <c r="D189" t="inlineStr">
        <is>
          <t>JÄMTLANDS LÄN</t>
        </is>
      </c>
      <c r="E189" t="inlineStr">
        <is>
          <t>ÖSTERSUND</t>
        </is>
      </c>
      <c r="F189" t="inlineStr">
        <is>
          <t>SCA</t>
        </is>
      </c>
      <c r="G189" t="n">
        <v>5.9</v>
      </c>
      <c r="H189" t="n">
        <v>0</v>
      </c>
      <c r="I189" t="n">
        <v>1</v>
      </c>
      <c r="J189" t="n">
        <v>0</v>
      </c>
      <c r="K189" t="n">
        <v>0</v>
      </c>
      <c r="L189" t="n">
        <v>0</v>
      </c>
      <c r="M189" t="n">
        <v>0</v>
      </c>
      <c r="N189" t="n">
        <v>0</v>
      </c>
      <c r="O189" t="n">
        <v>0</v>
      </c>
      <c r="P189" t="n">
        <v>0</v>
      </c>
      <c r="Q189" t="n">
        <v>1</v>
      </c>
      <c r="R189" s="2" t="inlineStr">
        <is>
          <t>Dropptaggsvamp</t>
        </is>
      </c>
      <c r="S189">
        <f>HYPERLINK("https://klasma.github.io/Logging_2380/artfynd/A 41762-2024 artfynd.xlsx", "A 41762-2024")</f>
        <v/>
      </c>
      <c r="T189">
        <f>HYPERLINK("https://klasma.github.io/Logging_2380/kartor/A 41762-2024 karta.png", "A 41762-2024")</f>
        <v/>
      </c>
      <c r="V189">
        <f>HYPERLINK("https://klasma.github.io/Logging_2380/klagomål/A 41762-2024 FSC-klagomål.docx", "A 41762-2024")</f>
        <v/>
      </c>
      <c r="W189">
        <f>HYPERLINK("https://klasma.github.io/Logging_2380/klagomålsmail/A 41762-2024 FSC-klagomål mail.docx", "A 41762-2024")</f>
        <v/>
      </c>
      <c r="X189">
        <f>HYPERLINK("https://klasma.github.io/Logging_2380/tillsyn/A 41762-2024 tillsynsbegäran.docx", "A 41762-2024")</f>
        <v/>
      </c>
      <c r="Y189">
        <f>HYPERLINK("https://klasma.github.io/Logging_2380/tillsynsmail/A 41762-2024 tillsynsbegäran mail.docx", "A 41762-2024")</f>
        <v/>
      </c>
    </row>
    <row r="190" ht="15" customHeight="1">
      <c r="A190" t="inlineStr">
        <is>
          <t>A 41770-2024</t>
        </is>
      </c>
      <c r="B190" s="1" t="n">
        <v>45561</v>
      </c>
      <c r="C190" s="1" t="n">
        <v>45725</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44049-2024</t>
        </is>
      </c>
      <c r="B191" s="1" t="n">
        <v>45572</v>
      </c>
      <c r="C191" s="1" t="n">
        <v>45725</v>
      </c>
      <c r="D191" t="inlineStr">
        <is>
          <t>JÄMTLANDS LÄN</t>
        </is>
      </c>
      <c r="E191" t="inlineStr">
        <is>
          <t>ÖSTERSUND</t>
        </is>
      </c>
      <c r="F191" t="inlineStr">
        <is>
          <t>SCA</t>
        </is>
      </c>
      <c r="G191" t="n">
        <v>4.5</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44049-2024 artfynd.xlsx", "A 44049-2024")</f>
        <v/>
      </c>
      <c r="T191">
        <f>HYPERLINK("https://klasma.github.io/Logging_2380/kartor/A 44049-2024 karta.png", "A 44049-2024")</f>
        <v/>
      </c>
      <c r="V191">
        <f>HYPERLINK("https://klasma.github.io/Logging_2380/klagomål/A 44049-2024 FSC-klagomål.docx", "A 44049-2024")</f>
        <v/>
      </c>
      <c r="W191">
        <f>HYPERLINK("https://klasma.github.io/Logging_2380/klagomålsmail/A 44049-2024 FSC-klagomål mail.docx", "A 44049-2024")</f>
        <v/>
      </c>
      <c r="X191">
        <f>HYPERLINK("https://klasma.github.io/Logging_2380/tillsyn/A 44049-2024 tillsynsbegäran.docx", "A 44049-2024")</f>
        <v/>
      </c>
      <c r="Y191">
        <f>HYPERLINK("https://klasma.github.io/Logging_2380/tillsynsmail/A 44049-2024 tillsynsbegäran mail.docx", "A 44049-2024")</f>
        <v/>
      </c>
    </row>
    <row r="192" ht="15" customHeight="1">
      <c r="A192" t="inlineStr">
        <is>
          <t>A 44737-2024</t>
        </is>
      </c>
      <c r="B192" s="1" t="n">
        <v>45574</v>
      </c>
      <c r="C192" s="1" t="n">
        <v>45725</v>
      </c>
      <c r="D192" t="inlineStr">
        <is>
          <t>JÄMTLANDS LÄN</t>
        </is>
      </c>
      <c r="E192" t="inlineStr">
        <is>
          <t>ÖSTERSUND</t>
        </is>
      </c>
      <c r="F192" t="inlineStr">
        <is>
          <t>SCA</t>
        </is>
      </c>
      <c r="G192" t="n">
        <v>6.3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44737-2024 artfynd.xlsx", "A 44737-2024")</f>
        <v/>
      </c>
      <c r="T192">
        <f>HYPERLINK("https://klasma.github.io/Logging_2380/kartor/A 44737-2024 karta.png", "A 44737-2024")</f>
        <v/>
      </c>
      <c r="V192">
        <f>HYPERLINK("https://klasma.github.io/Logging_2380/klagomål/A 44737-2024 FSC-klagomål.docx", "A 44737-2024")</f>
        <v/>
      </c>
      <c r="W192">
        <f>HYPERLINK("https://klasma.github.io/Logging_2380/klagomålsmail/A 44737-2024 FSC-klagomål mail.docx", "A 44737-2024")</f>
        <v/>
      </c>
      <c r="X192">
        <f>HYPERLINK("https://klasma.github.io/Logging_2380/tillsyn/A 44737-2024 tillsynsbegäran.docx", "A 44737-2024")</f>
        <v/>
      </c>
      <c r="Y192">
        <f>HYPERLINK("https://klasma.github.io/Logging_2380/tillsynsmail/A 44737-2024 tillsynsbegäran mail.docx", "A 44737-2024")</f>
        <v/>
      </c>
    </row>
    <row r="193" ht="15" customHeight="1">
      <c r="A193" t="inlineStr">
        <is>
          <t>A 45267-2024</t>
        </is>
      </c>
      <c r="B193" s="1" t="n">
        <v>45576</v>
      </c>
      <c r="C193" s="1" t="n">
        <v>45725</v>
      </c>
      <c r="D193" t="inlineStr">
        <is>
          <t>JÄMTLANDS LÄN</t>
        </is>
      </c>
      <c r="E193" t="inlineStr">
        <is>
          <t>ÖSTERSUND</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45267-2024 artfynd.xlsx", "A 45267-2024")</f>
        <v/>
      </c>
      <c r="T193">
        <f>HYPERLINK("https://klasma.github.io/Logging_2380/kartor/A 45267-2024 karta.png", "A 45267-2024")</f>
        <v/>
      </c>
      <c r="V193">
        <f>HYPERLINK("https://klasma.github.io/Logging_2380/klagomål/A 45267-2024 FSC-klagomål.docx", "A 45267-2024")</f>
        <v/>
      </c>
      <c r="W193">
        <f>HYPERLINK("https://klasma.github.io/Logging_2380/klagomålsmail/A 45267-2024 FSC-klagomål mail.docx", "A 45267-2024")</f>
        <v/>
      </c>
      <c r="X193">
        <f>HYPERLINK("https://klasma.github.io/Logging_2380/tillsyn/A 45267-2024 tillsynsbegäran.docx", "A 45267-2024")</f>
        <v/>
      </c>
      <c r="Y193">
        <f>HYPERLINK("https://klasma.github.io/Logging_2380/tillsynsmail/A 45267-2024 tillsynsbegäran mail.docx", "A 45267-2024")</f>
        <v/>
      </c>
      <c r="Z193">
        <f>HYPERLINK("https://klasma.github.io/Logging_2380/fåglar/A 45267-2024 prioriterade fågelarter.docx", "A 45267-2024")</f>
        <v/>
      </c>
    </row>
    <row r="194" ht="15" customHeight="1">
      <c r="A194" t="inlineStr">
        <is>
          <t>A 47176-2024</t>
        </is>
      </c>
      <c r="B194" s="1" t="n">
        <v>45586</v>
      </c>
      <c r="C194" s="1" t="n">
        <v>45725</v>
      </c>
      <c r="D194" t="inlineStr">
        <is>
          <t>JÄMTLANDS LÄN</t>
        </is>
      </c>
      <c r="E194" t="inlineStr">
        <is>
          <t>ÖSTERSUND</t>
        </is>
      </c>
      <c r="F194" t="inlineStr">
        <is>
          <t>SCA</t>
        </is>
      </c>
      <c r="G194" t="n">
        <v>2.9</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47176-2024 artfynd.xlsx", "A 47176-2024")</f>
        <v/>
      </c>
      <c r="T194">
        <f>HYPERLINK("https://klasma.github.io/Logging_2380/kartor/A 47176-2024 karta.png", "A 47176-2024")</f>
        <v/>
      </c>
      <c r="V194">
        <f>HYPERLINK("https://klasma.github.io/Logging_2380/klagomål/A 47176-2024 FSC-klagomål.docx", "A 47176-2024")</f>
        <v/>
      </c>
      <c r="W194">
        <f>HYPERLINK("https://klasma.github.io/Logging_2380/klagomålsmail/A 47176-2024 FSC-klagomål mail.docx", "A 47176-2024")</f>
        <v/>
      </c>
      <c r="X194">
        <f>HYPERLINK("https://klasma.github.io/Logging_2380/tillsyn/A 47176-2024 tillsynsbegäran.docx", "A 47176-2024")</f>
        <v/>
      </c>
      <c r="Y194">
        <f>HYPERLINK("https://klasma.github.io/Logging_2380/tillsynsmail/A 47176-2024 tillsynsbegäran mail.docx", "A 47176-2024")</f>
        <v/>
      </c>
    </row>
    <row r="195" ht="15" customHeight="1">
      <c r="A195" t="inlineStr">
        <is>
          <t>A 56201-2024</t>
        </is>
      </c>
      <c r="B195" s="1" t="n">
        <v>45624</v>
      </c>
      <c r="C195" s="1" t="n">
        <v>45725</v>
      </c>
      <c r="D195" t="inlineStr">
        <is>
          <t>JÄMTLANDS LÄN</t>
        </is>
      </c>
      <c r="E195" t="inlineStr">
        <is>
          <t>ÖSTERSUND</t>
        </is>
      </c>
      <c r="F195" t="inlineStr">
        <is>
          <t>SCA</t>
        </is>
      </c>
      <c r="G195" t="n">
        <v>5.9</v>
      </c>
      <c r="H195" t="n">
        <v>1</v>
      </c>
      <c r="I195" t="n">
        <v>0</v>
      </c>
      <c r="J195" t="n">
        <v>0</v>
      </c>
      <c r="K195" t="n">
        <v>1</v>
      </c>
      <c r="L195" t="n">
        <v>0</v>
      </c>
      <c r="M195" t="n">
        <v>0</v>
      </c>
      <c r="N195" t="n">
        <v>0</v>
      </c>
      <c r="O195" t="n">
        <v>1</v>
      </c>
      <c r="P195" t="n">
        <v>1</v>
      </c>
      <c r="Q195" t="n">
        <v>1</v>
      </c>
      <c r="R195" s="2" t="inlineStr">
        <is>
          <t>Doftticka</t>
        </is>
      </c>
      <c r="S195">
        <f>HYPERLINK("https://klasma.github.io/Logging_2380/artfynd/A 56201-2024 artfynd.xlsx", "A 56201-2024")</f>
        <v/>
      </c>
      <c r="T195">
        <f>HYPERLINK("https://klasma.github.io/Logging_2380/kartor/A 56201-2024 karta.png", "A 56201-2024")</f>
        <v/>
      </c>
      <c r="V195">
        <f>HYPERLINK("https://klasma.github.io/Logging_2380/klagomål/A 56201-2024 FSC-klagomål.docx", "A 56201-2024")</f>
        <v/>
      </c>
      <c r="W195">
        <f>HYPERLINK("https://klasma.github.io/Logging_2380/klagomålsmail/A 56201-2024 FSC-klagomål mail.docx", "A 56201-2024")</f>
        <v/>
      </c>
      <c r="X195">
        <f>HYPERLINK("https://klasma.github.io/Logging_2380/tillsyn/A 56201-2024 tillsynsbegäran.docx", "A 56201-2024")</f>
        <v/>
      </c>
      <c r="Y195">
        <f>HYPERLINK("https://klasma.github.io/Logging_2380/tillsynsmail/A 56201-2024 tillsynsbegäran mail.docx", "A 56201-2024")</f>
        <v/>
      </c>
    </row>
    <row r="196" ht="15" customHeight="1">
      <c r="A196" t="inlineStr">
        <is>
          <t>A 57065-2024</t>
        </is>
      </c>
      <c r="B196" s="1" t="n">
        <v>45629</v>
      </c>
      <c r="C196" s="1" t="n">
        <v>45725</v>
      </c>
      <c r="D196" t="inlineStr">
        <is>
          <t>JÄMTLANDS LÄN</t>
        </is>
      </c>
      <c r="E196" t="inlineStr">
        <is>
          <t>ÖSTERSUND</t>
        </is>
      </c>
      <c r="F196" t="inlineStr">
        <is>
          <t>SCA</t>
        </is>
      </c>
      <c r="G196" t="n">
        <v>6.3</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57065-2024 artfynd.xlsx", "A 57065-2024")</f>
        <v/>
      </c>
      <c r="T196">
        <f>HYPERLINK("https://klasma.github.io/Logging_2380/kartor/A 57065-2024 karta.png", "A 57065-2024")</f>
        <v/>
      </c>
      <c r="V196">
        <f>HYPERLINK("https://klasma.github.io/Logging_2380/klagomål/A 57065-2024 FSC-klagomål.docx", "A 57065-2024")</f>
        <v/>
      </c>
      <c r="W196">
        <f>HYPERLINK("https://klasma.github.io/Logging_2380/klagomålsmail/A 57065-2024 FSC-klagomål mail.docx", "A 57065-2024")</f>
        <v/>
      </c>
      <c r="X196">
        <f>HYPERLINK("https://klasma.github.io/Logging_2380/tillsyn/A 57065-2024 tillsynsbegäran.docx", "A 57065-2024")</f>
        <v/>
      </c>
      <c r="Y196">
        <f>HYPERLINK("https://klasma.github.io/Logging_2380/tillsynsmail/A 57065-2024 tillsynsbegäran mail.docx", "A 57065-2024")</f>
        <v/>
      </c>
      <c r="Z196">
        <f>HYPERLINK("https://klasma.github.io/Logging_2380/fåglar/A 57065-2024 prioriterade fågelarter.docx", "A 57065-2024")</f>
        <v/>
      </c>
    </row>
    <row r="197" ht="15" customHeight="1">
      <c r="A197" t="inlineStr">
        <is>
          <t>A 59108-2024</t>
        </is>
      </c>
      <c r="B197" s="1" t="n">
        <v>45637</v>
      </c>
      <c r="C197" s="1" t="n">
        <v>45725</v>
      </c>
      <c r="D197" t="inlineStr">
        <is>
          <t>JÄMTLANDS LÄN</t>
        </is>
      </c>
      <c r="E197" t="inlineStr">
        <is>
          <t>ÖSTERSUND</t>
        </is>
      </c>
      <c r="F197" t="inlineStr">
        <is>
          <t>SCA</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59108-2024 artfynd.xlsx", "A 59108-2024")</f>
        <v/>
      </c>
      <c r="T197">
        <f>HYPERLINK("https://klasma.github.io/Logging_2380/kartor/A 59108-2024 karta.png", "A 59108-2024")</f>
        <v/>
      </c>
      <c r="V197">
        <f>HYPERLINK("https://klasma.github.io/Logging_2380/klagomål/A 59108-2024 FSC-klagomål.docx", "A 59108-2024")</f>
        <v/>
      </c>
      <c r="W197">
        <f>HYPERLINK("https://klasma.github.io/Logging_2380/klagomålsmail/A 59108-2024 FSC-klagomål mail.docx", "A 59108-2024")</f>
        <v/>
      </c>
      <c r="X197">
        <f>HYPERLINK("https://klasma.github.io/Logging_2380/tillsyn/A 59108-2024 tillsynsbegäran.docx", "A 59108-2024")</f>
        <v/>
      </c>
      <c r="Y197">
        <f>HYPERLINK("https://klasma.github.io/Logging_2380/tillsynsmail/A 59108-2024 tillsynsbegäran mail.docx", "A 59108-2024")</f>
        <v/>
      </c>
      <c r="Z197">
        <f>HYPERLINK("https://klasma.github.io/Logging_2380/fåglar/A 59108-2024 prioriterade fågelarter.docx", "A 59108-2024")</f>
        <v/>
      </c>
    </row>
    <row r="198" ht="15" customHeight="1">
      <c r="A198" t="inlineStr">
        <is>
          <t>A 61179-2024</t>
        </is>
      </c>
      <c r="B198" s="1" t="n">
        <v>45645</v>
      </c>
      <c r="C198" s="1" t="n">
        <v>45725</v>
      </c>
      <c r="D198" t="inlineStr">
        <is>
          <t>JÄMTLANDS LÄN</t>
        </is>
      </c>
      <c r="E198" t="inlineStr">
        <is>
          <t>ÖSTERSUND</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HYPERLINK("https://klasma.github.io/Logging_2380/artfynd/A 61179-2024 artfynd.xlsx", "A 61179-2024")</f>
        <v/>
      </c>
      <c r="T198">
        <f>HYPERLINK("https://klasma.github.io/Logging_2380/kartor/A 61179-2024 karta.png", "A 61179-2024")</f>
        <v/>
      </c>
      <c r="U198">
        <f>HYPERLINK("https://klasma.github.io/Logging_2380/knärot/A 61179-2024 karta knärot.png", "A 61179-2024")</f>
        <v/>
      </c>
      <c r="V198">
        <f>HYPERLINK("https://klasma.github.io/Logging_2380/klagomål/A 61179-2024 FSC-klagomål.docx", "A 61179-2024")</f>
        <v/>
      </c>
      <c r="W198">
        <f>HYPERLINK("https://klasma.github.io/Logging_2380/klagomålsmail/A 61179-2024 FSC-klagomål mail.docx", "A 61179-2024")</f>
        <v/>
      </c>
      <c r="X198">
        <f>HYPERLINK("https://klasma.github.io/Logging_2380/tillsyn/A 61179-2024 tillsynsbegäran.docx", "A 61179-2024")</f>
        <v/>
      </c>
      <c r="Y198">
        <f>HYPERLINK("https://klasma.github.io/Logging_2380/tillsynsmail/A 61179-2024 tillsynsbegäran mail.docx", "A 61179-2024")</f>
        <v/>
      </c>
    </row>
    <row r="199" ht="15" customHeight="1">
      <c r="A199" t="inlineStr">
        <is>
          <t>A 3995-2025</t>
        </is>
      </c>
      <c r="B199" s="1" t="n">
        <v>45684</v>
      </c>
      <c r="C199" s="1" t="n">
        <v>45725</v>
      </c>
      <c r="D199" t="inlineStr">
        <is>
          <t>JÄMTLANDS LÄN</t>
        </is>
      </c>
      <c r="E199" t="inlineStr">
        <is>
          <t>ÖSTERSUND</t>
        </is>
      </c>
      <c r="G199" t="n">
        <v>6.5</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3995-2025 artfynd.xlsx", "A 3995-2025")</f>
        <v/>
      </c>
      <c r="T199">
        <f>HYPERLINK("https://klasma.github.io/Logging_2380/kartor/A 3995-2025 karta.png", "A 3995-2025")</f>
        <v/>
      </c>
      <c r="V199">
        <f>HYPERLINK("https://klasma.github.io/Logging_2380/klagomål/A 3995-2025 FSC-klagomål.docx", "A 3995-2025")</f>
        <v/>
      </c>
      <c r="W199">
        <f>HYPERLINK("https://klasma.github.io/Logging_2380/klagomålsmail/A 3995-2025 FSC-klagomål mail.docx", "A 3995-2025")</f>
        <v/>
      </c>
      <c r="X199">
        <f>HYPERLINK("https://klasma.github.io/Logging_2380/tillsyn/A 3995-2025 tillsynsbegäran.docx", "A 3995-2025")</f>
        <v/>
      </c>
      <c r="Y199">
        <f>HYPERLINK("https://klasma.github.io/Logging_2380/tillsynsmail/A 3995-2025 tillsynsbegäran mail.docx", "A 3995-2025")</f>
        <v/>
      </c>
      <c r="Z199">
        <f>HYPERLINK("https://klasma.github.io/Logging_2380/fåglar/A 3995-2025 prioriterade fågelarter.docx", "A 3995-2025")</f>
        <v/>
      </c>
    </row>
    <row r="200" ht="15" customHeight="1">
      <c r="A200" t="inlineStr">
        <is>
          <t>A 4372-2025</t>
        </is>
      </c>
      <c r="B200" s="1" t="n">
        <v>45686</v>
      </c>
      <c r="C200" s="1" t="n">
        <v>45725</v>
      </c>
      <c r="D200" t="inlineStr">
        <is>
          <t>JÄMTLANDS LÄN</t>
        </is>
      </c>
      <c r="E200" t="inlineStr">
        <is>
          <t>ÖSTERSUND</t>
        </is>
      </c>
      <c r="G200" t="n">
        <v>4.5</v>
      </c>
      <c r="H200" t="n">
        <v>0</v>
      </c>
      <c r="I200" t="n">
        <v>0</v>
      </c>
      <c r="J200" t="n">
        <v>1</v>
      </c>
      <c r="K200" t="n">
        <v>0</v>
      </c>
      <c r="L200" t="n">
        <v>0</v>
      </c>
      <c r="M200" t="n">
        <v>0</v>
      </c>
      <c r="N200" t="n">
        <v>0</v>
      </c>
      <c r="O200" t="n">
        <v>1</v>
      </c>
      <c r="P200" t="n">
        <v>0</v>
      </c>
      <c r="Q200" t="n">
        <v>1</v>
      </c>
      <c r="R200" s="2" t="inlineStr">
        <is>
          <t>Lunglav</t>
        </is>
      </c>
      <c r="S200">
        <f>HYPERLINK("https://klasma.github.io/Logging_2380/artfynd/A 4372-2025 artfynd.xlsx", "A 4372-2025")</f>
        <v/>
      </c>
      <c r="T200">
        <f>HYPERLINK("https://klasma.github.io/Logging_2380/kartor/A 4372-2025 karta.png", "A 4372-2025")</f>
        <v/>
      </c>
      <c r="V200">
        <f>HYPERLINK("https://klasma.github.io/Logging_2380/klagomål/A 4372-2025 FSC-klagomål.docx", "A 4372-2025")</f>
        <v/>
      </c>
      <c r="W200">
        <f>HYPERLINK("https://klasma.github.io/Logging_2380/klagomålsmail/A 4372-2025 FSC-klagomål mail.docx", "A 4372-2025")</f>
        <v/>
      </c>
      <c r="X200">
        <f>HYPERLINK("https://klasma.github.io/Logging_2380/tillsyn/A 4372-2025 tillsynsbegäran.docx", "A 4372-2025")</f>
        <v/>
      </c>
      <c r="Y200">
        <f>HYPERLINK("https://klasma.github.io/Logging_2380/tillsynsmail/A 4372-2025 tillsynsbegäran mail.docx", "A 4372-2025")</f>
        <v/>
      </c>
    </row>
    <row r="201" ht="15" customHeight="1">
      <c r="A201" t="inlineStr">
        <is>
          <t>A 5978-2025</t>
        </is>
      </c>
      <c r="B201" s="1" t="n">
        <v>45695</v>
      </c>
      <c r="C201" s="1" t="n">
        <v>45725</v>
      </c>
      <c r="D201" t="inlineStr">
        <is>
          <t>JÄMTLANDS LÄN</t>
        </is>
      </c>
      <c r="E201" t="inlineStr">
        <is>
          <t>ÖSTERSUND</t>
        </is>
      </c>
      <c r="G201" t="n">
        <v>3.2</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HYPERLINK("https://klasma.github.io/Logging_2380/artfynd/A 5978-2025 artfynd.xlsx", "A 5978-2025")</f>
        <v/>
      </c>
      <c r="T201">
        <f>HYPERLINK("https://klasma.github.io/Logging_2380/kartor/A 5978-2025 karta.png", "A 5978-2025")</f>
        <v/>
      </c>
      <c r="V201">
        <f>HYPERLINK("https://klasma.github.io/Logging_2380/klagomål/A 5978-2025 FSC-klagomål.docx", "A 5978-2025")</f>
        <v/>
      </c>
      <c r="W201">
        <f>HYPERLINK("https://klasma.github.io/Logging_2380/klagomålsmail/A 5978-2025 FSC-klagomål mail.docx", "A 5978-2025")</f>
        <v/>
      </c>
      <c r="X201">
        <f>HYPERLINK("https://klasma.github.io/Logging_2380/tillsyn/A 5978-2025 tillsynsbegäran.docx", "A 5978-2025")</f>
        <v/>
      </c>
      <c r="Y201">
        <f>HYPERLINK("https://klasma.github.io/Logging_2380/tillsynsmail/A 5978-2025 tillsynsbegäran mail.docx", "A 5978-2025")</f>
        <v/>
      </c>
    </row>
    <row r="202" ht="15" customHeight="1">
      <c r="A202" t="inlineStr">
        <is>
          <t>A 10724-2025</t>
        </is>
      </c>
      <c r="B202" s="1" t="n">
        <v>45722</v>
      </c>
      <c r="C202" s="1" t="n">
        <v>45725</v>
      </c>
      <c r="D202" t="inlineStr">
        <is>
          <t>JÄMTLANDS LÄN</t>
        </is>
      </c>
      <c r="E202" t="inlineStr">
        <is>
          <t>ÖSTERSUND</t>
        </is>
      </c>
      <c r="F202" t="inlineStr">
        <is>
          <t>SCA</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HYPERLINK("https://klasma.github.io/Logging_2380/artfynd/A 10724-2025 artfynd.xlsx", "A 10724-2025")</f>
        <v/>
      </c>
      <c r="T202">
        <f>HYPERLINK("https://klasma.github.io/Logging_2380/kartor/A 10724-2025 karta.png", "A 10724-2025")</f>
        <v/>
      </c>
      <c r="V202">
        <f>HYPERLINK("https://klasma.github.io/Logging_2380/klagomål/A 10724-2025 FSC-klagomål.docx", "A 10724-2025")</f>
        <v/>
      </c>
      <c r="W202">
        <f>HYPERLINK("https://klasma.github.io/Logging_2380/klagomålsmail/A 10724-2025 FSC-klagomål mail.docx", "A 10724-2025")</f>
        <v/>
      </c>
      <c r="X202">
        <f>HYPERLINK("https://klasma.github.io/Logging_2380/tillsyn/A 10724-2025 tillsynsbegäran.docx", "A 10724-2025")</f>
        <v/>
      </c>
      <c r="Y202">
        <f>HYPERLINK("https://klasma.github.io/Logging_2380/tillsynsmail/A 10724-2025 tillsynsbegäran mail.docx", "A 10724-2025")</f>
        <v/>
      </c>
    </row>
    <row r="203" ht="15" customHeight="1">
      <c r="A203" t="inlineStr">
        <is>
          <t>A 20319-2019</t>
        </is>
      </c>
      <c r="B203" s="1" t="n">
        <v>43571</v>
      </c>
      <c r="C203" s="1" t="n">
        <v>45725</v>
      </c>
      <c r="D203" t="inlineStr">
        <is>
          <t>JÄMTLANDS LÄN</t>
        </is>
      </c>
      <c r="E203" t="inlineStr">
        <is>
          <t>ÖSTERSUND</t>
        </is>
      </c>
      <c r="G203" t="n">
        <v>1.3</v>
      </c>
      <c r="H203" t="n">
        <v>0</v>
      </c>
      <c r="I203" t="n">
        <v>0</v>
      </c>
      <c r="J203" t="n">
        <v>0</v>
      </c>
      <c r="K203" t="n">
        <v>0</v>
      </c>
      <c r="L203" t="n">
        <v>0</v>
      </c>
      <c r="M203" t="n">
        <v>0</v>
      </c>
      <c r="N203" t="n">
        <v>0</v>
      </c>
      <c r="O203" t="n">
        <v>0</v>
      </c>
      <c r="P203" t="n">
        <v>0</v>
      </c>
      <c r="Q203" t="n">
        <v>0</v>
      </c>
      <c r="R203" s="2" t="inlineStr"/>
    </row>
    <row r="204" ht="15" customHeight="1">
      <c r="A204" t="inlineStr">
        <is>
          <t>A 21727-2019</t>
        </is>
      </c>
      <c r="B204" s="1" t="n">
        <v>43581</v>
      </c>
      <c r="C204" s="1" t="n">
        <v>45725</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21793-2019</t>
        </is>
      </c>
      <c r="B205" s="1" t="n">
        <v>43581</v>
      </c>
      <c r="C205" s="1" t="n">
        <v>45725</v>
      </c>
      <c r="D205" t="inlineStr">
        <is>
          <t>JÄMTLANDS LÄN</t>
        </is>
      </c>
      <c r="E205" t="inlineStr">
        <is>
          <t>ÖSTERSUND</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22119-2019</t>
        </is>
      </c>
      <c r="B206" s="1" t="n">
        <v>43584</v>
      </c>
      <c r="C206" s="1" t="n">
        <v>45725</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22115-2019</t>
        </is>
      </c>
      <c r="B207" s="1" t="n">
        <v>43584</v>
      </c>
      <c r="C207" s="1" t="n">
        <v>45725</v>
      </c>
      <c r="D207" t="inlineStr">
        <is>
          <t>JÄMTLANDS LÄN</t>
        </is>
      </c>
      <c r="E207" t="inlineStr">
        <is>
          <t>ÖSTERSUND</t>
        </is>
      </c>
      <c r="G207" t="n">
        <v>15.1</v>
      </c>
      <c r="H207" t="n">
        <v>0</v>
      </c>
      <c r="I207" t="n">
        <v>0</v>
      </c>
      <c r="J207" t="n">
        <v>0</v>
      </c>
      <c r="K207" t="n">
        <v>0</v>
      </c>
      <c r="L207" t="n">
        <v>0</v>
      </c>
      <c r="M207" t="n">
        <v>0</v>
      </c>
      <c r="N207" t="n">
        <v>0</v>
      </c>
      <c r="O207" t="n">
        <v>0</v>
      </c>
      <c r="P207" t="n">
        <v>0</v>
      </c>
      <c r="Q207" t="n">
        <v>0</v>
      </c>
      <c r="R207" s="2" t="inlineStr"/>
      <c r="U207">
        <f>HYPERLINK("https://klasma.github.io/Logging_2380/knärot/A 22115-2019 karta knärot.png", "A 22115-2019")</f>
        <v/>
      </c>
      <c r="V207">
        <f>HYPERLINK("https://klasma.github.io/Logging_2380/klagomål/A 22115-2019 FSC-klagomål.docx", "A 22115-2019")</f>
        <v/>
      </c>
      <c r="W207">
        <f>HYPERLINK("https://klasma.github.io/Logging_2380/klagomålsmail/A 22115-2019 FSC-klagomål mail.docx", "A 22115-2019")</f>
        <v/>
      </c>
      <c r="X207">
        <f>HYPERLINK("https://klasma.github.io/Logging_2380/tillsyn/A 22115-2019 tillsynsbegäran.docx", "A 22115-2019")</f>
        <v/>
      </c>
      <c r="Y207">
        <f>HYPERLINK("https://klasma.github.io/Logging_2380/tillsynsmail/A 22115-2019 tillsynsbegäran mail.docx", "A 22115-2019")</f>
        <v/>
      </c>
    </row>
    <row r="208" ht="15" customHeight="1">
      <c r="A208" t="inlineStr">
        <is>
          <t>A 23609-2019</t>
        </is>
      </c>
      <c r="B208" s="1" t="n">
        <v>43594</v>
      </c>
      <c r="C208" s="1" t="n">
        <v>45725</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23940-2019</t>
        </is>
      </c>
      <c r="B209" s="1" t="n">
        <v>43595</v>
      </c>
      <c r="C209" s="1" t="n">
        <v>45725</v>
      </c>
      <c r="D209" t="inlineStr">
        <is>
          <t>JÄMTLANDS LÄN</t>
        </is>
      </c>
      <c r="E209" t="inlineStr">
        <is>
          <t>ÖSTERSUND</t>
        </is>
      </c>
      <c r="F209" t="inlineStr">
        <is>
          <t>SCA</t>
        </is>
      </c>
      <c r="G209" t="n">
        <v>0.7</v>
      </c>
      <c r="H209" t="n">
        <v>0</v>
      </c>
      <c r="I209" t="n">
        <v>0</v>
      </c>
      <c r="J209" t="n">
        <v>0</v>
      </c>
      <c r="K209" t="n">
        <v>0</v>
      </c>
      <c r="L209" t="n">
        <v>0</v>
      </c>
      <c r="M209" t="n">
        <v>0</v>
      </c>
      <c r="N209" t="n">
        <v>0</v>
      </c>
      <c r="O209" t="n">
        <v>0</v>
      </c>
      <c r="P209" t="n">
        <v>0</v>
      </c>
      <c r="Q209" t="n">
        <v>0</v>
      </c>
      <c r="R209" s="2" t="inlineStr"/>
    </row>
    <row r="210" ht="15" customHeight="1">
      <c r="A210" t="inlineStr">
        <is>
          <t>A 25205-2019</t>
        </is>
      </c>
      <c r="B210" s="1" t="n">
        <v>43600</v>
      </c>
      <c r="C210" s="1" t="n">
        <v>45725</v>
      </c>
      <c r="D210" t="inlineStr">
        <is>
          <t>JÄMTLANDS LÄN</t>
        </is>
      </c>
      <c r="E210" t="inlineStr">
        <is>
          <t>ÖSTERSUND</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28892-2019</t>
        </is>
      </c>
      <c r="B211" s="1" t="n">
        <v>43619</v>
      </c>
      <c r="C211" s="1" t="n">
        <v>45725</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28899-2019</t>
        </is>
      </c>
      <c r="B212" s="1" t="n">
        <v>43619</v>
      </c>
      <c r="C212" s="1" t="n">
        <v>45725</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28884-2019</t>
        </is>
      </c>
      <c r="B213" s="1" t="n">
        <v>43619</v>
      </c>
      <c r="C213" s="1" t="n">
        <v>45725</v>
      </c>
      <c r="D213" t="inlineStr">
        <is>
          <t>JÄMTLANDS LÄN</t>
        </is>
      </c>
      <c r="E213" t="inlineStr">
        <is>
          <t>ÖSTERSUND</t>
        </is>
      </c>
      <c r="G213" t="n">
        <v>0.3</v>
      </c>
      <c r="H213" t="n">
        <v>0</v>
      </c>
      <c r="I213" t="n">
        <v>0</v>
      </c>
      <c r="J213" t="n">
        <v>0</v>
      </c>
      <c r="K213" t="n">
        <v>0</v>
      </c>
      <c r="L213" t="n">
        <v>0</v>
      </c>
      <c r="M213" t="n">
        <v>0</v>
      </c>
      <c r="N213" t="n">
        <v>0</v>
      </c>
      <c r="O213" t="n">
        <v>0</v>
      </c>
      <c r="P213" t="n">
        <v>0</v>
      </c>
      <c r="Q213" t="n">
        <v>0</v>
      </c>
      <c r="R213" s="2" t="inlineStr"/>
    </row>
    <row r="214" ht="15" customHeight="1">
      <c r="A214" t="inlineStr">
        <is>
          <t>A 27977-2019</t>
        </is>
      </c>
      <c r="B214" s="1" t="n">
        <v>43620</v>
      </c>
      <c r="C214" s="1" t="n">
        <v>45725</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29058-2019</t>
        </is>
      </c>
      <c r="B215" s="1" t="n">
        <v>43621</v>
      </c>
      <c r="C215" s="1" t="n">
        <v>45725</v>
      </c>
      <c r="D215" t="inlineStr">
        <is>
          <t>JÄMTLANDS LÄN</t>
        </is>
      </c>
      <c r="E215" t="inlineStr">
        <is>
          <t>ÖSTERSUND</t>
        </is>
      </c>
      <c r="G215" t="n">
        <v>1.4</v>
      </c>
      <c r="H215" t="n">
        <v>0</v>
      </c>
      <c r="I215" t="n">
        <v>0</v>
      </c>
      <c r="J215" t="n">
        <v>0</v>
      </c>
      <c r="K215" t="n">
        <v>0</v>
      </c>
      <c r="L215" t="n">
        <v>0</v>
      </c>
      <c r="M215" t="n">
        <v>0</v>
      </c>
      <c r="N215" t="n">
        <v>0</v>
      </c>
      <c r="O215" t="n">
        <v>0</v>
      </c>
      <c r="P215" t="n">
        <v>0</v>
      </c>
      <c r="Q215" t="n">
        <v>0</v>
      </c>
      <c r="R215" s="2" t="inlineStr"/>
    </row>
    <row r="216" ht="15" customHeight="1">
      <c r="A216" t="inlineStr">
        <is>
          <t>A 31189-2019</t>
        </is>
      </c>
      <c r="B216" s="1" t="n">
        <v>43635</v>
      </c>
      <c r="C216" s="1" t="n">
        <v>45725</v>
      </c>
      <c r="D216" t="inlineStr">
        <is>
          <t>JÄMTLANDS LÄN</t>
        </is>
      </c>
      <c r="E216" t="inlineStr">
        <is>
          <t>ÖSTERSUND</t>
        </is>
      </c>
      <c r="G216" t="n">
        <v>5.5</v>
      </c>
      <c r="H216" t="n">
        <v>0</v>
      </c>
      <c r="I216" t="n">
        <v>0</v>
      </c>
      <c r="J216" t="n">
        <v>0</v>
      </c>
      <c r="K216" t="n">
        <v>0</v>
      </c>
      <c r="L216" t="n">
        <v>0</v>
      </c>
      <c r="M216" t="n">
        <v>0</v>
      </c>
      <c r="N216" t="n">
        <v>0</v>
      </c>
      <c r="O216" t="n">
        <v>0</v>
      </c>
      <c r="P216" t="n">
        <v>0</v>
      </c>
      <c r="Q216" t="n">
        <v>0</v>
      </c>
      <c r="R216" s="2" t="inlineStr"/>
    </row>
    <row r="217" ht="15" customHeight="1">
      <c r="A217" t="inlineStr">
        <is>
          <t>A 30940-2019</t>
        </is>
      </c>
      <c r="B217" s="1" t="n">
        <v>43637</v>
      </c>
      <c r="C217" s="1" t="n">
        <v>45725</v>
      </c>
      <c r="D217" t="inlineStr">
        <is>
          <t>JÄMTLANDS LÄN</t>
        </is>
      </c>
      <c r="E217" t="inlineStr">
        <is>
          <t>ÖSTERSUND</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30946-2019</t>
        </is>
      </c>
      <c r="B218" s="1" t="n">
        <v>43636</v>
      </c>
      <c r="C218" s="1" t="n">
        <v>45725</v>
      </c>
      <c r="D218" t="inlineStr">
        <is>
          <t>JÄMTLANDS LÄN</t>
        </is>
      </c>
      <c r="E218" t="inlineStr">
        <is>
          <t>ÖSTERSUND</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31617-2019</t>
        </is>
      </c>
      <c r="B219" s="1" t="n">
        <v>43640</v>
      </c>
      <c r="C219" s="1" t="n">
        <v>45725</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31621-2019</t>
        </is>
      </c>
      <c r="B220" s="1" t="n">
        <v>43640</v>
      </c>
      <c r="C220" s="1" t="n">
        <v>45725</v>
      </c>
      <c r="D220" t="inlineStr">
        <is>
          <t>JÄMTLANDS LÄN</t>
        </is>
      </c>
      <c r="E220" t="inlineStr">
        <is>
          <t>ÖSTERSUND</t>
        </is>
      </c>
      <c r="G220" t="n">
        <v>1.3</v>
      </c>
      <c r="H220" t="n">
        <v>0</v>
      </c>
      <c r="I220" t="n">
        <v>0</v>
      </c>
      <c r="J220" t="n">
        <v>0</v>
      </c>
      <c r="K220" t="n">
        <v>0</v>
      </c>
      <c r="L220" t="n">
        <v>0</v>
      </c>
      <c r="M220" t="n">
        <v>0</v>
      </c>
      <c r="N220" t="n">
        <v>0</v>
      </c>
      <c r="O220" t="n">
        <v>0</v>
      </c>
      <c r="P220" t="n">
        <v>0</v>
      </c>
      <c r="Q220" t="n">
        <v>0</v>
      </c>
      <c r="R220" s="2" t="inlineStr"/>
    </row>
    <row r="221" ht="15" customHeight="1">
      <c r="A221" t="inlineStr">
        <is>
          <t>A 34903-2019</t>
        </is>
      </c>
      <c r="B221" s="1" t="n">
        <v>43650</v>
      </c>
      <c r="C221" s="1" t="n">
        <v>45725</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35500-2019</t>
        </is>
      </c>
      <c r="B222" s="1" t="n">
        <v>43651</v>
      </c>
      <c r="C222" s="1" t="n">
        <v>45725</v>
      </c>
      <c r="D222" t="inlineStr">
        <is>
          <t>JÄMTLANDS LÄN</t>
        </is>
      </c>
      <c r="E222" t="inlineStr">
        <is>
          <t>ÖSTERSUND</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35535-2019</t>
        </is>
      </c>
      <c r="B223" s="1" t="n">
        <v>43654</v>
      </c>
      <c r="C223" s="1" t="n">
        <v>45725</v>
      </c>
      <c r="D223" t="inlineStr">
        <is>
          <t>JÄMTLANDS LÄN</t>
        </is>
      </c>
      <c r="E223" t="inlineStr">
        <is>
          <t>ÖSTERSUND</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34109-2019</t>
        </is>
      </c>
      <c r="B224" s="1" t="n">
        <v>43654</v>
      </c>
      <c r="C224" s="1" t="n">
        <v>45725</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34246-2019</t>
        </is>
      </c>
      <c r="B225" s="1" t="n">
        <v>43655</v>
      </c>
      <c r="C225" s="1" t="n">
        <v>45725</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35678-2019</t>
        </is>
      </c>
      <c r="B226" s="1" t="n">
        <v>43656</v>
      </c>
      <c r="C226" s="1" t="n">
        <v>45725</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35688-2019</t>
        </is>
      </c>
      <c r="B227" s="1" t="n">
        <v>43656</v>
      </c>
      <c r="C227" s="1" t="n">
        <v>45725</v>
      </c>
      <c r="D227" t="inlineStr">
        <is>
          <t>JÄMTLANDS LÄN</t>
        </is>
      </c>
      <c r="E227" t="inlineStr">
        <is>
          <t>ÖSTERSUND</t>
        </is>
      </c>
      <c r="G227" t="n">
        <v>12.6</v>
      </c>
      <c r="H227" t="n">
        <v>0</v>
      </c>
      <c r="I227" t="n">
        <v>0</v>
      </c>
      <c r="J227" t="n">
        <v>0</v>
      </c>
      <c r="K227" t="n">
        <v>0</v>
      </c>
      <c r="L227" t="n">
        <v>0</v>
      </c>
      <c r="M227" t="n">
        <v>0</v>
      </c>
      <c r="N227" t="n">
        <v>0</v>
      </c>
      <c r="O227" t="n">
        <v>0</v>
      </c>
      <c r="P227" t="n">
        <v>0</v>
      </c>
      <c r="Q227" t="n">
        <v>0</v>
      </c>
      <c r="R227" s="2" t="inlineStr"/>
    </row>
    <row r="228" ht="15" customHeight="1">
      <c r="A228" t="inlineStr">
        <is>
          <t>A 36003-2019</t>
        </is>
      </c>
      <c r="B228" s="1" t="n">
        <v>43657</v>
      </c>
      <c r="C228" s="1" t="n">
        <v>45725</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36652-2019</t>
        </is>
      </c>
      <c r="B229" s="1" t="n">
        <v>43670</v>
      </c>
      <c r="C229" s="1" t="n">
        <v>45725</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37222-2019</t>
        </is>
      </c>
      <c r="B230" s="1" t="n">
        <v>43676</v>
      </c>
      <c r="C230" s="1" t="n">
        <v>45725</v>
      </c>
      <c r="D230" t="inlineStr">
        <is>
          <t>JÄMTLANDS LÄN</t>
        </is>
      </c>
      <c r="E230" t="inlineStr">
        <is>
          <t>ÖSTERSUND</t>
        </is>
      </c>
      <c r="G230" t="n">
        <v>2.4</v>
      </c>
      <c r="H230" t="n">
        <v>0</v>
      </c>
      <c r="I230" t="n">
        <v>0</v>
      </c>
      <c r="J230" t="n">
        <v>0</v>
      </c>
      <c r="K230" t="n">
        <v>0</v>
      </c>
      <c r="L230" t="n">
        <v>0</v>
      </c>
      <c r="M230" t="n">
        <v>0</v>
      </c>
      <c r="N230" t="n">
        <v>0</v>
      </c>
      <c r="O230" t="n">
        <v>0</v>
      </c>
      <c r="P230" t="n">
        <v>0</v>
      </c>
      <c r="Q230" t="n">
        <v>0</v>
      </c>
      <c r="R230" s="2" t="inlineStr"/>
    </row>
    <row r="231" ht="15" customHeight="1">
      <c r="A231" t="inlineStr">
        <is>
          <t>A 38662-2019</t>
        </is>
      </c>
      <c r="B231" s="1" t="n">
        <v>43684</v>
      </c>
      <c r="C231" s="1" t="n">
        <v>45725</v>
      </c>
      <c r="D231" t="inlineStr">
        <is>
          <t>JÄMTLANDS LÄN</t>
        </is>
      </c>
      <c r="E231" t="inlineStr">
        <is>
          <t>ÖSTERSUND</t>
        </is>
      </c>
      <c r="G231" t="n">
        <v>2.2</v>
      </c>
      <c r="H231" t="n">
        <v>0</v>
      </c>
      <c r="I231" t="n">
        <v>0</v>
      </c>
      <c r="J231" t="n">
        <v>0</v>
      </c>
      <c r="K231" t="n">
        <v>0</v>
      </c>
      <c r="L231" t="n">
        <v>0</v>
      </c>
      <c r="M231" t="n">
        <v>0</v>
      </c>
      <c r="N231" t="n">
        <v>0</v>
      </c>
      <c r="O231" t="n">
        <v>0</v>
      </c>
      <c r="P231" t="n">
        <v>0</v>
      </c>
      <c r="Q231" t="n">
        <v>0</v>
      </c>
      <c r="R231" s="2" t="inlineStr"/>
    </row>
    <row r="232" ht="15" customHeight="1">
      <c r="A232" t="inlineStr">
        <is>
          <t>A 39459-2019</t>
        </is>
      </c>
      <c r="B232" s="1" t="n">
        <v>43686</v>
      </c>
      <c r="C232" s="1" t="n">
        <v>45725</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40530-2019</t>
        </is>
      </c>
      <c r="B233" s="1" t="n">
        <v>43696</v>
      </c>
      <c r="C233" s="1" t="n">
        <v>45725</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41364-2019</t>
        </is>
      </c>
      <c r="B234" s="1" t="n">
        <v>43696</v>
      </c>
      <c r="C234" s="1" t="n">
        <v>45725</v>
      </c>
      <c r="D234" t="inlineStr">
        <is>
          <t>JÄMTLANDS LÄN</t>
        </is>
      </c>
      <c r="E234" t="inlineStr">
        <is>
          <t>ÖSTERSUND</t>
        </is>
      </c>
      <c r="G234" t="n">
        <v>1.2</v>
      </c>
      <c r="H234" t="n">
        <v>0</v>
      </c>
      <c r="I234" t="n">
        <v>0</v>
      </c>
      <c r="J234" t="n">
        <v>0</v>
      </c>
      <c r="K234" t="n">
        <v>0</v>
      </c>
      <c r="L234" t="n">
        <v>0</v>
      </c>
      <c r="M234" t="n">
        <v>0</v>
      </c>
      <c r="N234" t="n">
        <v>0</v>
      </c>
      <c r="O234" t="n">
        <v>0</v>
      </c>
      <c r="P234" t="n">
        <v>0</v>
      </c>
      <c r="Q234" t="n">
        <v>0</v>
      </c>
      <c r="R234" s="2" t="inlineStr"/>
    </row>
    <row r="235" ht="15" customHeight="1">
      <c r="A235" t="inlineStr">
        <is>
          <t>A 40531-2019</t>
        </is>
      </c>
      <c r="B235" s="1" t="n">
        <v>43696</v>
      </c>
      <c r="C235" s="1" t="n">
        <v>45725</v>
      </c>
      <c r="D235" t="inlineStr">
        <is>
          <t>JÄMTLANDS LÄN</t>
        </is>
      </c>
      <c r="E235" t="inlineStr">
        <is>
          <t>ÖSTERSUND</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41556-2019</t>
        </is>
      </c>
      <c r="B236" s="1" t="n">
        <v>43696</v>
      </c>
      <c r="C236" s="1" t="n">
        <v>45725</v>
      </c>
      <c r="D236" t="inlineStr">
        <is>
          <t>JÄMTLANDS LÄN</t>
        </is>
      </c>
      <c r="E236" t="inlineStr">
        <is>
          <t>ÖSTERSUND</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41588-2019</t>
        </is>
      </c>
      <c r="B237" s="1" t="n">
        <v>43699</v>
      </c>
      <c r="C237" s="1" t="n">
        <v>45725</v>
      </c>
      <c r="D237" t="inlineStr">
        <is>
          <t>JÄMTLANDS LÄN</t>
        </is>
      </c>
      <c r="E237" t="inlineStr">
        <is>
          <t>ÖSTERSUND</t>
        </is>
      </c>
      <c r="G237" t="n">
        <v>26.7</v>
      </c>
      <c r="H237" t="n">
        <v>0</v>
      </c>
      <c r="I237" t="n">
        <v>0</v>
      </c>
      <c r="J237" t="n">
        <v>0</v>
      </c>
      <c r="K237" t="n">
        <v>0</v>
      </c>
      <c r="L237" t="n">
        <v>0</v>
      </c>
      <c r="M237" t="n">
        <v>0</v>
      </c>
      <c r="N237" t="n">
        <v>0</v>
      </c>
      <c r="O237" t="n">
        <v>0</v>
      </c>
      <c r="P237" t="n">
        <v>0</v>
      </c>
      <c r="Q237" t="n">
        <v>0</v>
      </c>
      <c r="R237" s="2" t="inlineStr"/>
    </row>
    <row r="238" ht="15" customHeight="1">
      <c r="A238" t="inlineStr">
        <is>
          <t>A 43249-2019</t>
        </is>
      </c>
      <c r="B238" s="1" t="n">
        <v>43703</v>
      </c>
      <c r="C238" s="1" t="n">
        <v>45725</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43425-2019</t>
        </is>
      </c>
      <c r="B239" s="1" t="n">
        <v>43703</v>
      </c>
      <c r="C239" s="1" t="n">
        <v>45725</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46346-2019</t>
        </is>
      </c>
      <c r="B240" s="1" t="n">
        <v>43718</v>
      </c>
      <c r="C240" s="1" t="n">
        <v>45725</v>
      </c>
      <c r="D240" t="inlineStr">
        <is>
          <t>JÄMTLANDS LÄN</t>
        </is>
      </c>
      <c r="E240" t="inlineStr">
        <is>
          <t>ÖSTERSUND</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47810-2019</t>
        </is>
      </c>
      <c r="B241" s="1" t="n">
        <v>43724</v>
      </c>
      <c r="C241" s="1" t="n">
        <v>45725</v>
      </c>
      <c r="D241" t="inlineStr">
        <is>
          <t>JÄMTLANDS LÄN</t>
        </is>
      </c>
      <c r="E241" t="inlineStr">
        <is>
          <t>ÖSTERSUND</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48115-2019</t>
        </is>
      </c>
      <c r="B242" s="1" t="n">
        <v>43725</v>
      </c>
      <c r="C242" s="1" t="n">
        <v>45725</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48680-2019</t>
        </is>
      </c>
      <c r="B243" s="1" t="n">
        <v>43727</v>
      </c>
      <c r="C243" s="1" t="n">
        <v>45725</v>
      </c>
      <c r="D243" t="inlineStr">
        <is>
          <t>JÄMTLANDS LÄN</t>
        </is>
      </c>
      <c r="E243" t="inlineStr">
        <is>
          <t>ÖSTERSUND</t>
        </is>
      </c>
      <c r="G243" t="n">
        <v>3</v>
      </c>
      <c r="H243" t="n">
        <v>0</v>
      </c>
      <c r="I243" t="n">
        <v>0</v>
      </c>
      <c r="J243" t="n">
        <v>0</v>
      </c>
      <c r="K243" t="n">
        <v>0</v>
      </c>
      <c r="L243" t="n">
        <v>0</v>
      </c>
      <c r="M243" t="n">
        <v>0</v>
      </c>
      <c r="N243" t="n">
        <v>0</v>
      </c>
      <c r="O243" t="n">
        <v>0</v>
      </c>
      <c r="P243" t="n">
        <v>0</v>
      </c>
      <c r="Q243" t="n">
        <v>0</v>
      </c>
      <c r="R243" s="2" t="inlineStr"/>
    </row>
    <row r="244" ht="15" customHeight="1">
      <c r="A244" t="inlineStr">
        <is>
          <t>A 49629-2019</t>
        </is>
      </c>
      <c r="B244" s="1" t="n">
        <v>43732</v>
      </c>
      <c r="C244" s="1" t="n">
        <v>45725</v>
      </c>
      <c r="D244" t="inlineStr">
        <is>
          <t>JÄMTLANDS LÄN</t>
        </is>
      </c>
      <c r="E244" t="inlineStr">
        <is>
          <t>ÖSTERSUND</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51347-2019</t>
        </is>
      </c>
      <c r="B245" s="1" t="n">
        <v>43732</v>
      </c>
      <c r="C245" s="1" t="n">
        <v>45725</v>
      </c>
      <c r="D245" t="inlineStr">
        <is>
          <t>JÄMTLANDS LÄN</t>
        </is>
      </c>
      <c r="E245" t="inlineStr">
        <is>
          <t>ÖSTERSUND</t>
        </is>
      </c>
      <c r="G245" t="n">
        <v>3.8</v>
      </c>
      <c r="H245" t="n">
        <v>0</v>
      </c>
      <c r="I245" t="n">
        <v>0</v>
      </c>
      <c r="J245" t="n">
        <v>0</v>
      </c>
      <c r="K245" t="n">
        <v>0</v>
      </c>
      <c r="L245" t="n">
        <v>0</v>
      </c>
      <c r="M245" t="n">
        <v>0</v>
      </c>
      <c r="N245" t="n">
        <v>0</v>
      </c>
      <c r="O245" t="n">
        <v>0</v>
      </c>
      <c r="P245" t="n">
        <v>0</v>
      </c>
      <c r="Q245" t="n">
        <v>0</v>
      </c>
      <c r="R245" s="2" t="inlineStr"/>
    </row>
    <row r="246" ht="15" customHeight="1">
      <c r="A246" t="inlineStr">
        <is>
          <t>A 49997-2019</t>
        </is>
      </c>
      <c r="B246" s="1" t="n">
        <v>43733</v>
      </c>
      <c r="C246" s="1" t="n">
        <v>45725</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50316-2019</t>
        </is>
      </c>
      <c r="B247" s="1" t="n">
        <v>43735</v>
      </c>
      <c r="C247" s="1" t="n">
        <v>45725</v>
      </c>
      <c r="D247" t="inlineStr">
        <is>
          <t>JÄMTLANDS LÄN</t>
        </is>
      </c>
      <c r="E247" t="inlineStr">
        <is>
          <t>ÖSTERSUND</t>
        </is>
      </c>
      <c r="G247" t="n">
        <v>9.5</v>
      </c>
      <c r="H247" t="n">
        <v>0</v>
      </c>
      <c r="I247" t="n">
        <v>0</v>
      </c>
      <c r="J247" t="n">
        <v>0</v>
      </c>
      <c r="K247" t="n">
        <v>0</v>
      </c>
      <c r="L247" t="n">
        <v>0</v>
      </c>
      <c r="M247" t="n">
        <v>0</v>
      </c>
      <c r="N247" t="n">
        <v>0</v>
      </c>
      <c r="O247" t="n">
        <v>0</v>
      </c>
      <c r="P247" t="n">
        <v>0</v>
      </c>
      <c r="Q247" t="n">
        <v>0</v>
      </c>
      <c r="R247" s="2" t="inlineStr"/>
    </row>
    <row r="248" ht="15" customHeight="1">
      <c r="A248" t="inlineStr">
        <is>
          <t>A 50779-2019</t>
        </is>
      </c>
      <c r="B248" s="1" t="n">
        <v>43738</v>
      </c>
      <c r="C248" s="1" t="n">
        <v>45725</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50968-2019</t>
        </is>
      </c>
      <c r="B249" s="1" t="n">
        <v>43738</v>
      </c>
      <c r="C249" s="1" t="n">
        <v>45725</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54498-2019</t>
        </is>
      </c>
      <c r="B250" s="1" t="n">
        <v>43747</v>
      </c>
      <c r="C250" s="1" t="n">
        <v>45725</v>
      </c>
      <c r="D250" t="inlineStr">
        <is>
          <t>JÄMTLANDS LÄN</t>
        </is>
      </c>
      <c r="E250" t="inlineStr">
        <is>
          <t>ÖSTERSUND</t>
        </is>
      </c>
      <c r="G250" t="n">
        <v>1</v>
      </c>
      <c r="H250" t="n">
        <v>0</v>
      </c>
      <c r="I250" t="n">
        <v>0</v>
      </c>
      <c r="J250" t="n">
        <v>0</v>
      </c>
      <c r="K250" t="n">
        <v>0</v>
      </c>
      <c r="L250" t="n">
        <v>0</v>
      </c>
      <c r="M250" t="n">
        <v>0</v>
      </c>
      <c r="N250" t="n">
        <v>0</v>
      </c>
      <c r="O250" t="n">
        <v>0</v>
      </c>
      <c r="P250" t="n">
        <v>0</v>
      </c>
      <c r="Q250" t="n">
        <v>0</v>
      </c>
      <c r="R250" s="2" t="inlineStr"/>
    </row>
    <row r="251" ht="15" customHeight="1">
      <c r="A251" t="inlineStr">
        <is>
          <t>A 53297-2019</t>
        </is>
      </c>
      <c r="B251" s="1" t="n">
        <v>43748</v>
      </c>
      <c r="C251" s="1" t="n">
        <v>45725</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53533-2019</t>
        </is>
      </c>
      <c r="B252" s="1" t="n">
        <v>43749</v>
      </c>
      <c r="C252" s="1" t="n">
        <v>45725</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53859-2019</t>
        </is>
      </c>
      <c r="B253" s="1" t="n">
        <v>43752</v>
      </c>
      <c r="C253" s="1" t="n">
        <v>45725</v>
      </c>
      <c r="D253" t="inlineStr">
        <is>
          <t>JÄMTLANDS LÄN</t>
        </is>
      </c>
      <c r="E253" t="inlineStr">
        <is>
          <t>ÖSTERSUND</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57466-2019</t>
        </is>
      </c>
      <c r="B254" s="1" t="n">
        <v>43761</v>
      </c>
      <c r="C254" s="1" t="n">
        <v>45725</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56512-2019</t>
        </is>
      </c>
      <c r="B255" s="1" t="n">
        <v>43762</v>
      </c>
      <c r="C255" s="1" t="n">
        <v>45725</v>
      </c>
      <c r="D255" t="inlineStr">
        <is>
          <t>JÄMTLANDS LÄN</t>
        </is>
      </c>
      <c r="E255" t="inlineStr">
        <is>
          <t>ÖSTERSUND</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57845-2019</t>
        </is>
      </c>
      <c r="B256" s="1" t="n">
        <v>43768</v>
      </c>
      <c r="C256" s="1" t="n">
        <v>45725</v>
      </c>
      <c r="D256" t="inlineStr">
        <is>
          <t>JÄMTLANDS LÄN</t>
        </is>
      </c>
      <c r="E256" t="inlineStr">
        <is>
          <t>ÖSTERSUND</t>
        </is>
      </c>
      <c r="G256" t="n">
        <v>3.7</v>
      </c>
      <c r="H256" t="n">
        <v>0</v>
      </c>
      <c r="I256" t="n">
        <v>0</v>
      </c>
      <c r="J256" t="n">
        <v>0</v>
      </c>
      <c r="K256" t="n">
        <v>0</v>
      </c>
      <c r="L256" t="n">
        <v>0</v>
      </c>
      <c r="M256" t="n">
        <v>0</v>
      </c>
      <c r="N256" t="n">
        <v>0</v>
      </c>
      <c r="O256" t="n">
        <v>0</v>
      </c>
      <c r="P256" t="n">
        <v>0</v>
      </c>
      <c r="Q256" t="n">
        <v>0</v>
      </c>
      <c r="R256" s="2" t="inlineStr"/>
    </row>
    <row r="257" ht="15" customHeight="1">
      <c r="A257" t="inlineStr">
        <is>
          <t>A 58216-2019</t>
        </is>
      </c>
      <c r="B257" s="1" t="n">
        <v>43770</v>
      </c>
      <c r="C257" s="1" t="n">
        <v>45725</v>
      </c>
      <c r="D257" t="inlineStr">
        <is>
          <t>JÄMTLANDS LÄN</t>
        </is>
      </c>
      <c r="E257" t="inlineStr">
        <is>
          <t>ÖSTERSUND</t>
        </is>
      </c>
      <c r="G257" t="n">
        <v>2.4</v>
      </c>
      <c r="H257" t="n">
        <v>0</v>
      </c>
      <c r="I257" t="n">
        <v>0</v>
      </c>
      <c r="J257" t="n">
        <v>0</v>
      </c>
      <c r="K257" t="n">
        <v>0</v>
      </c>
      <c r="L257" t="n">
        <v>0</v>
      </c>
      <c r="M257" t="n">
        <v>0</v>
      </c>
      <c r="N257" t="n">
        <v>0</v>
      </c>
      <c r="O257" t="n">
        <v>0</v>
      </c>
      <c r="P257" t="n">
        <v>0</v>
      </c>
      <c r="Q257" t="n">
        <v>0</v>
      </c>
      <c r="R257" s="2" t="inlineStr"/>
    </row>
    <row r="258" ht="15" customHeight="1">
      <c r="A258" t="inlineStr">
        <is>
          <t>A 58210-2019</t>
        </is>
      </c>
      <c r="B258" s="1" t="n">
        <v>43770</v>
      </c>
      <c r="C258" s="1" t="n">
        <v>45725</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59437-2019</t>
        </is>
      </c>
      <c r="B259" s="1" t="n">
        <v>43773</v>
      </c>
      <c r="C259" s="1" t="n">
        <v>45725</v>
      </c>
      <c r="D259" t="inlineStr">
        <is>
          <t>JÄMTLANDS LÄN</t>
        </is>
      </c>
      <c r="E259" t="inlineStr">
        <is>
          <t>ÖSTERSUND</t>
        </is>
      </c>
      <c r="G259" t="n">
        <v>6.2</v>
      </c>
      <c r="H259" t="n">
        <v>0</v>
      </c>
      <c r="I259" t="n">
        <v>0</v>
      </c>
      <c r="J259" t="n">
        <v>0</v>
      </c>
      <c r="K259" t="n">
        <v>0</v>
      </c>
      <c r="L259" t="n">
        <v>0</v>
      </c>
      <c r="M259" t="n">
        <v>0</v>
      </c>
      <c r="N259" t="n">
        <v>0</v>
      </c>
      <c r="O259" t="n">
        <v>0</v>
      </c>
      <c r="P259" t="n">
        <v>0</v>
      </c>
      <c r="Q259" t="n">
        <v>0</v>
      </c>
      <c r="R259" s="2" t="inlineStr"/>
    </row>
    <row r="260" ht="15" customHeight="1">
      <c r="A260" t="inlineStr">
        <is>
          <t>A 60240-2019</t>
        </is>
      </c>
      <c r="B260" s="1" t="n">
        <v>43776</v>
      </c>
      <c r="C260" s="1" t="n">
        <v>45725</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60001-2019</t>
        </is>
      </c>
      <c r="B261" s="1" t="n">
        <v>43777</v>
      </c>
      <c r="C261" s="1" t="n">
        <v>45725</v>
      </c>
      <c r="D261" t="inlineStr">
        <is>
          <t>JÄMTLANDS LÄN</t>
        </is>
      </c>
      <c r="E261" t="inlineStr">
        <is>
          <t>ÖSTERSUND</t>
        </is>
      </c>
      <c r="G261" t="n">
        <v>3.2</v>
      </c>
      <c r="H261" t="n">
        <v>0</v>
      </c>
      <c r="I261" t="n">
        <v>0</v>
      </c>
      <c r="J261" t="n">
        <v>0</v>
      </c>
      <c r="K261" t="n">
        <v>0</v>
      </c>
      <c r="L261" t="n">
        <v>0</v>
      </c>
      <c r="M261" t="n">
        <v>0</v>
      </c>
      <c r="N261" t="n">
        <v>0</v>
      </c>
      <c r="O261" t="n">
        <v>0</v>
      </c>
      <c r="P261" t="n">
        <v>0</v>
      </c>
      <c r="Q261" t="n">
        <v>0</v>
      </c>
      <c r="R261" s="2" t="inlineStr"/>
    </row>
    <row r="262" ht="15" customHeight="1">
      <c r="A262" t="inlineStr">
        <is>
          <t>A 60669-2019</t>
        </is>
      </c>
      <c r="B262" s="1" t="n">
        <v>43781</v>
      </c>
      <c r="C262" s="1" t="n">
        <v>45725</v>
      </c>
      <c r="D262" t="inlineStr">
        <is>
          <t>JÄMTLANDS LÄN</t>
        </is>
      </c>
      <c r="E262" t="inlineStr">
        <is>
          <t>ÖSTERSUND</t>
        </is>
      </c>
      <c r="G262" t="n">
        <v>3.6</v>
      </c>
      <c r="H262" t="n">
        <v>0</v>
      </c>
      <c r="I262" t="n">
        <v>0</v>
      </c>
      <c r="J262" t="n">
        <v>0</v>
      </c>
      <c r="K262" t="n">
        <v>0</v>
      </c>
      <c r="L262" t="n">
        <v>0</v>
      </c>
      <c r="M262" t="n">
        <v>0</v>
      </c>
      <c r="N262" t="n">
        <v>0</v>
      </c>
      <c r="O262" t="n">
        <v>0</v>
      </c>
      <c r="P262" t="n">
        <v>0</v>
      </c>
      <c r="Q262" t="n">
        <v>0</v>
      </c>
      <c r="R262" s="2" t="inlineStr"/>
    </row>
    <row r="263" ht="15" customHeight="1">
      <c r="A263" t="inlineStr">
        <is>
          <t>A 60604-2019</t>
        </is>
      </c>
      <c r="B263" s="1" t="n">
        <v>43781</v>
      </c>
      <c r="C263" s="1" t="n">
        <v>45725</v>
      </c>
      <c r="D263" t="inlineStr">
        <is>
          <t>JÄMTLANDS LÄN</t>
        </is>
      </c>
      <c r="E263" t="inlineStr">
        <is>
          <t>ÖSTERSUND</t>
        </is>
      </c>
      <c r="G263" t="n">
        <v>8.9</v>
      </c>
      <c r="H263" t="n">
        <v>0</v>
      </c>
      <c r="I263" t="n">
        <v>0</v>
      </c>
      <c r="J263" t="n">
        <v>0</v>
      </c>
      <c r="K263" t="n">
        <v>0</v>
      </c>
      <c r="L263" t="n">
        <v>0</v>
      </c>
      <c r="M263" t="n">
        <v>0</v>
      </c>
      <c r="N263" t="n">
        <v>0</v>
      </c>
      <c r="O263" t="n">
        <v>0</v>
      </c>
      <c r="P263" t="n">
        <v>0</v>
      </c>
      <c r="Q263" t="n">
        <v>0</v>
      </c>
      <c r="R263" s="2" t="inlineStr"/>
    </row>
    <row r="264" ht="15" customHeight="1">
      <c r="A264" t="inlineStr">
        <is>
          <t>A 62234-2019</t>
        </is>
      </c>
      <c r="B264" s="1" t="n">
        <v>43784</v>
      </c>
      <c r="C264" s="1" t="n">
        <v>45725</v>
      </c>
      <c r="D264" t="inlineStr">
        <is>
          <t>JÄMTLANDS LÄN</t>
        </is>
      </c>
      <c r="E264" t="inlineStr">
        <is>
          <t>ÖSTERSUND</t>
        </is>
      </c>
      <c r="G264" t="n">
        <v>1.3</v>
      </c>
      <c r="H264" t="n">
        <v>0</v>
      </c>
      <c r="I264" t="n">
        <v>0</v>
      </c>
      <c r="J264" t="n">
        <v>0</v>
      </c>
      <c r="K264" t="n">
        <v>0</v>
      </c>
      <c r="L264" t="n">
        <v>0</v>
      </c>
      <c r="M264" t="n">
        <v>0</v>
      </c>
      <c r="N264" t="n">
        <v>0</v>
      </c>
      <c r="O264" t="n">
        <v>0</v>
      </c>
      <c r="P264" t="n">
        <v>0</v>
      </c>
      <c r="Q264" t="n">
        <v>0</v>
      </c>
      <c r="R264" s="2" t="inlineStr"/>
    </row>
    <row r="265" ht="15" customHeight="1">
      <c r="A265" t="inlineStr">
        <is>
          <t>A 62136-2019</t>
        </is>
      </c>
      <c r="B265" s="1" t="n">
        <v>43787</v>
      </c>
      <c r="C265" s="1" t="n">
        <v>45725</v>
      </c>
      <c r="D265" t="inlineStr">
        <is>
          <t>JÄMTLANDS LÄN</t>
        </is>
      </c>
      <c r="E265" t="inlineStr">
        <is>
          <t>ÖSTERSUND</t>
        </is>
      </c>
      <c r="F265" t="inlineStr">
        <is>
          <t>Övriga Aktiebolag</t>
        </is>
      </c>
      <c r="G265" t="n">
        <v>35.2</v>
      </c>
      <c r="H265" t="n">
        <v>0</v>
      </c>
      <c r="I265" t="n">
        <v>0</v>
      </c>
      <c r="J265" t="n">
        <v>0</v>
      </c>
      <c r="K265" t="n">
        <v>0</v>
      </c>
      <c r="L265" t="n">
        <v>0</v>
      </c>
      <c r="M265" t="n">
        <v>0</v>
      </c>
      <c r="N265" t="n">
        <v>0</v>
      </c>
      <c r="O265" t="n">
        <v>0</v>
      </c>
      <c r="P265" t="n">
        <v>0</v>
      </c>
      <c r="Q265" t="n">
        <v>0</v>
      </c>
      <c r="R265" s="2" t="inlineStr"/>
    </row>
    <row r="266" ht="15" customHeight="1">
      <c r="A266" t="inlineStr">
        <is>
          <t>A 64622-2019</t>
        </is>
      </c>
      <c r="B266" s="1" t="n">
        <v>43794</v>
      </c>
      <c r="C266" s="1" t="n">
        <v>45725</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65335-2019</t>
        </is>
      </c>
      <c r="B267" s="1" t="n">
        <v>43802</v>
      </c>
      <c r="C267" s="1" t="n">
        <v>45725</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67010-2019</t>
        </is>
      </c>
      <c r="B268" s="1" t="n">
        <v>43805</v>
      </c>
      <c r="C268" s="1" t="n">
        <v>45725</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66592-2019</t>
        </is>
      </c>
      <c r="B269" s="1" t="n">
        <v>43809</v>
      </c>
      <c r="C269" s="1" t="n">
        <v>45725</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67863-2019</t>
        </is>
      </c>
      <c r="B270" s="1" t="n">
        <v>43809</v>
      </c>
      <c r="C270" s="1" t="n">
        <v>45725</v>
      </c>
      <c r="D270" t="inlineStr">
        <is>
          <t>JÄMTLANDS LÄN</t>
        </is>
      </c>
      <c r="E270" t="inlineStr">
        <is>
          <t>ÖSTERSUND</t>
        </is>
      </c>
      <c r="G270" t="n">
        <v>2.3</v>
      </c>
      <c r="H270" t="n">
        <v>0</v>
      </c>
      <c r="I270" t="n">
        <v>0</v>
      </c>
      <c r="J270" t="n">
        <v>0</v>
      </c>
      <c r="K270" t="n">
        <v>0</v>
      </c>
      <c r="L270" t="n">
        <v>0</v>
      </c>
      <c r="M270" t="n">
        <v>0</v>
      </c>
      <c r="N270" t="n">
        <v>0</v>
      </c>
      <c r="O270" t="n">
        <v>0</v>
      </c>
      <c r="P270" t="n">
        <v>0</v>
      </c>
      <c r="Q270" t="n">
        <v>0</v>
      </c>
      <c r="R270" s="2" t="inlineStr"/>
    </row>
    <row r="271" ht="15" customHeight="1">
      <c r="A271" t="inlineStr">
        <is>
          <t>A 68238-2019</t>
        </is>
      </c>
      <c r="B271" s="1" t="n">
        <v>43817</v>
      </c>
      <c r="C271" s="1" t="n">
        <v>45725</v>
      </c>
      <c r="D271" t="inlineStr">
        <is>
          <t>JÄMTLANDS LÄN</t>
        </is>
      </c>
      <c r="E271" t="inlineStr">
        <is>
          <t>ÖSTERSUND</t>
        </is>
      </c>
      <c r="G271" t="n">
        <v>2.7</v>
      </c>
      <c r="H271" t="n">
        <v>0</v>
      </c>
      <c r="I271" t="n">
        <v>0</v>
      </c>
      <c r="J271" t="n">
        <v>0</v>
      </c>
      <c r="K271" t="n">
        <v>0</v>
      </c>
      <c r="L271" t="n">
        <v>0</v>
      </c>
      <c r="M271" t="n">
        <v>0</v>
      </c>
      <c r="N271" t="n">
        <v>0</v>
      </c>
      <c r="O271" t="n">
        <v>0</v>
      </c>
      <c r="P271" t="n">
        <v>0</v>
      </c>
      <c r="Q271" t="n">
        <v>0</v>
      </c>
      <c r="R271" s="2" t="inlineStr"/>
    </row>
    <row r="272" ht="15" customHeight="1">
      <c r="A272" t="inlineStr">
        <is>
          <t>A 745-2020</t>
        </is>
      </c>
      <c r="B272" s="1" t="n">
        <v>43838</v>
      </c>
      <c r="C272" s="1" t="n">
        <v>45725</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1088-2020</t>
        </is>
      </c>
      <c r="B273" s="1" t="n">
        <v>43840</v>
      </c>
      <c r="C273" s="1" t="n">
        <v>45725</v>
      </c>
      <c r="D273" t="inlineStr">
        <is>
          <t>JÄMTLANDS LÄN</t>
        </is>
      </c>
      <c r="E273" t="inlineStr">
        <is>
          <t>ÖSTERSUND</t>
        </is>
      </c>
      <c r="G273" t="n">
        <v>4.4</v>
      </c>
      <c r="H273" t="n">
        <v>0</v>
      </c>
      <c r="I273" t="n">
        <v>0</v>
      </c>
      <c r="J273" t="n">
        <v>0</v>
      </c>
      <c r="K273" t="n">
        <v>0</v>
      </c>
      <c r="L273" t="n">
        <v>0</v>
      </c>
      <c r="M273" t="n">
        <v>0</v>
      </c>
      <c r="N273" t="n">
        <v>0</v>
      </c>
      <c r="O273" t="n">
        <v>0</v>
      </c>
      <c r="P273" t="n">
        <v>0</v>
      </c>
      <c r="Q273" t="n">
        <v>0</v>
      </c>
      <c r="R273" s="2" t="inlineStr"/>
    </row>
    <row r="274" ht="15" customHeight="1">
      <c r="A274" t="inlineStr">
        <is>
          <t>A 1268-2020</t>
        </is>
      </c>
      <c r="B274" s="1" t="n">
        <v>43840</v>
      </c>
      <c r="C274" s="1" t="n">
        <v>45725</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1077-2020</t>
        </is>
      </c>
      <c r="B275" s="1" t="n">
        <v>43840</v>
      </c>
      <c r="C275" s="1" t="n">
        <v>45725</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5905-2020</t>
        </is>
      </c>
      <c r="B276" s="1" t="n">
        <v>43861</v>
      </c>
      <c r="C276" s="1" t="n">
        <v>45725</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6028-2020</t>
        </is>
      </c>
      <c r="B277" s="1" t="n">
        <v>43864</v>
      </c>
      <c r="C277" s="1" t="n">
        <v>45725</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6522-2020</t>
        </is>
      </c>
      <c r="B278" s="1" t="n">
        <v>43864</v>
      </c>
      <c r="C278" s="1" t="n">
        <v>45725</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6566-2020</t>
        </is>
      </c>
      <c r="B279" s="1" t="n">
        <v>43865</v>
      </c>
      <c r="C279" s="1" t="n">
        <v>45725</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7255-2020</t>
        </is>
      </c>
      <c r="B280" s="1" t="n">
        <v>43871</v>
      </c>
      <c r="C280" s="1" t="n">
        <v>45725</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7570-2020</t>
        </is>
      </c>
      <c r="B281" s="1" t="n">
        <v>43871</v>
      </c>
      <c r="C281" s="1" t="n">
        <v>45725</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8401-2020</t>
        </is>
      </c>
      <c r="B282" s="1" t="n">
        <v>43875</v>
      </c>
      <c r="C282" s="1" t="n">
        <v>45725</v>
      </c>
      <c r="D282" t="inlineStr">
        <is>
          <t>JÄMTLANDS LÄN</t>
        </is>
      </c>
      <c r="E282" t="inlineStr">
        <is>
          <t>ÖSTERSUND</t>
        </is>
      </c>
      <c r="G282" t="n">
        <v>1.3</v>
      </c>
      <c r="H282" t="n">
        <v>0</v>
      </c>
      <c r="I282" t="n">
        <v>0</v>
      </c>
      <c r="J282" t="n">
        <v>0</v>
      </c>
      <c r="K282" t="n">
        <v>0</v>
      </c>
      <c r="L282" t="n">
        <v>0</v>
      </c>
      <c r="M282" t="n">
        <v>0</v>
      </c>
      <c r="N282" t="n">
        <v>0</v>
      </c>
      <c r="O282" t="n">
        <v>0</v>
      </c>
      <c r="P282" t="n">
        <v>0</v>
      </c>
      <c r="Q282" t="n">
        <v>0</v>
      </c>
      <c r="R282" s="2" t="inlineStr"/>
    </row>
    <row r="283" ht="15" customHeight="1">
      <c r="A283" t="inlineStr">
        <is>
          <t>A 11566-2020</t>
        </is>
      </c>
      <c r="B283" s="1" t="n">
        <v>43893</v>
      </c>
      <c r="C283" s="1" t="n">
        <v>45725</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12202-2020</t>
        </is>
      </c>
      <c r="B284" s="1" t="n">
        <v>43895</v>
      </c>
      <c r="C284" s="1" t="n">
        <v>45725</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13264-2020</t>
        </is>
      </c>
      <c r="B285" s="1" t="n">
        <v>43901</v>
      </c>
      <c r="C285" s="1" t="n">
        <v>45725</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14917-2020</t>
        </is>
      </c>
      <c r="B286" s="1" t="n">
        <v>43906</v>
      </c>
      <c r="C286" s="1" t="n">
        <v>45725</v>
      </c>
      <c r="D286" t="inlineStr">
        <is>
          <t>JÄMTLANDS LÄN</t>
        </is>
      </c>
      <c r="E286" t="inlineStr">
        <is>
          <t>ÖSTERSUND</t>
        </is>
      </c>
      <c r="G286" t="n">
        <v>12.9</v>
      </c>
      <c r="H286" t="n">
        <v>0</v>
      </c>
      <c r="I286" t="n">
        <v>0</v>
      </c>
      <c r="J286" t="n">
        <v>0</v>
      </c>
      <c r="K286" t="n">
        <v>0</v>
      </c>
      <c r="L286" t="n">
        <v>0</v>
      </c>
      <c r="M286" t="n">
        <v>0</v>
      </c>
      <c r="N286" t="n">
        <v>0</v>
      </c>
      <c r="O286" t="n">
        <v>0</v>
      </c>
      <c r="P286" t="n">
        <v>0</v>
      </c>
      <c r="Q286" t="n">
        <v>0</v>
      </c>
      <c r="R286" s="2" t="inlineStr"/>
    </row>
    <row r="287" ht="15" customHeight="1">
      <c r="A287" t="inlineStr">
        <is>
          <t>A 15797-2020</t>
        </is>
      </c>
      <c r="B287" s="1" t="n">
        <v>43909</v>
      </c>
      <c r="C287" s="1" t="n">
        <v>45725</v>
      </c>
      <c r="D287" t="inlineStr">
        <is>
          <t>JÄMTLANDS LÄN</t>
        </is>
      </c>
      <c r="E287" t="inlineStr">
        <is>
          <t>ÖSTERSUND</t>
        </is>
      </c>
      <c r="G287" t="n">
        <v>3.5</v>
      </c>
      <c r="H287" t="n">
        <v>0</v>
      </c>
      <c r="I287" t="n">
        <v>0</v>
      </c>
      <c r="J287" t="n">
        <v>0</v>
      </c>
      <c r="K287" t="n">
        <v>0</v>
      </c>
      <c r="L287" t="n">
        <v>0</v>
      </c>
      <c r="M287" t="n">
        <v>0</v>
      </c>
      <c r="N287" t="n">
        <v>0</v>
      </c>
      <c r="O287" t="n">
        <v>0</v>
      </c>
      <c r="P287" t="n">
        <v>0</v>
      </c>
      <c r="Q287" t="n">
        <v>0</v>
      </c>
      <c r="R287" s="2" t="inlineStr"/>
    </row>
    <row r="288" ht="15" customHeight="1">
      <c r="A288" t="inlineStr">
        <is>
          <t>A 14903-2020</t>
        </is>
      </c>
      <c r="B288" s="1" t="n">
        <v>43910</v>
      </c>
      <c r="C288" s="1" t="n">
        <v>45725</v>
      </c>
      <c r="D288" t="inlineStr">
        <is>
          <t>JÄMTLANDS LÄN</t>
        </is>
      </c>
      <c r="E288" t="inlineStr">
        <is>
          <t>ÖSTERSUND</t>
        </is>
      </c>
      <c r="F288" t="inlineStr">
        <is>
          <t>Kyrkan</t>
        </is>
      </c>
      <c r="G288" t="n">
        <v>2.3</v>
      </c>
      <c r="H288" t="n">
        <v>0</v>
      </c>
      <c r="I288" t="n">
        <v>0</v>
      </c>
      <c r="J288" t="n">
        <v>0</v>
      </c>
      <c r="K288" t="n">
        <v>0</v>
      </c>
      <c r="L288" t="n">
        <v>0</v>
      </c>
      <c r="M288" t="n">
        <v>0</v>
      </c>
      <c r="N288" t="n">
        <v>0</v>
      </c>
      <c r="O288" t="n">
        <v>0</v>
      </c>
      <c r="P288" t="n">
        <v>0</v>
      </c>
      <c r="Q288" t="n">
        <v>0</v>
      </c>
      <c r="R288" s="2" t="inlineStr"/>
    </row>
    <row r="289" ht="15" customHeight="1">
      <c r="A289" t="inlineStr">
        <is>
          <t>A 17464-2020</t>
        </is>
      </c>
      <c r="B289" s="1" t="n">
        <v>43917</v>
      </c>
      <c r="C289" s="1" t="n">
        <v>45725</v>
      </c>
      <c r="D289" t="inlineStr">
        <is>
          <t>JÄMTLANDS LÄN</t>
        </is>
      </c>
      <c r="E289" t="inlineStr">
        <is>
          <t>ÖSTERSUND</t>
        </is>
      </c>
      <c r="G289" t="n">
        <v>3.8</v>
      </c>
      <c r="H289" t="n">
        <v>0</v>
      </c>
      <c r="I289" t="n">
        <v>0</v>
      </c>
      <c r="J289" t="n">
        <v>0</v>
      </c>
      <c r="K289" t="n">
        <v>0</v>
      </c>
      <c r="L289" t="n">
        <v>0</v>
      </c>
      <c r="M289" t="n">
        <v>0</v>
      </c>
      <c r="N289" t="n">
        <v>0</v>
      </c>
      <c r="O289" t="n">
        <v>0</v>
      </c>
      <c r="P289" t="n">
        <v>0</v>
      </c>
      <c r="Q289" t="n">
        <v>0</v>
      </c>
      <c r="R289" s="2" t="inlineStr"/>
    </row>
    <row r="290" ht="15" customHeight="1">
      <c r="A290" t="inlineStr">
        <is>
          <t>A 18339-2020</t>
        </is>
      </c>
      <c r="B290" s="1" t="n">
        <v>43928</v>
      </c>
      <c r="C290" s="1" t="n">
        <v>45725</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18683-2020</t>
        </is>
      </c>
      <c r="B291" s="1" t="n">
        <v>43930</v>
      </c>
      <c r="C291" s="1" t="n">
        <v>45725</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19631-2020</t>
        </is>
      </c>
      <c r="B292" s="1" t="n">
        <v>43936</v>
      </c>
      <c r="C292" s="1" t="n">
        <v>45725</v>
      </c>
      <c r="D292" t="inlineStr">
        <is>
          <t>JÄMTLANDS LÄN</t>
        </is>
      </c>
      <c r="E292" t="inlineStr">
        <is>
          <t>ÖSTERSUND</t>
        </is>
      </c>
      <c r="G292" t="n">
        <v>5.5</v>
      </c>
      <c r="H292" t="n">
        <v>0</v>
      </c>
      <c r="I292" t="n">
        <v>0</v>
      </c>
      <c r="J292" t="n">
        <v>0</v>
      </c>
      <c r="K292" t="n">
        <v>0</v>
      </c>
      <c r="L292" t="n">
        <v>0</v>
      </c>
      <c r="M292" t="n">
        <v>0</v>
      </c>
      <c r="N292" t="n">
        <v>0</v>
      </c>
      <c r="O292" t="n">
        <v>0</v>
      </c>
      <c r="P292" t="n">
        <v>0</v>
      </c>
      <c r="Q292" t="n">
        <v>0</v>
      </c>
      <c r="R292" s="2" t="inlineStr"/>
    </row>
    <row r="293" ht="15" customHeight="1">
      <c r="A293" t="inlineStr">
        <is>
          <t>A 19923-2020</t>
        </is>
      </c>
      <c r="B293" s="1" t="n">
        <v>43943</v>
      </c>
      <c r="C293" s="1" t="n">
        <v>45725</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20198-2020</t>
        </is>
      </c>
      <c r="B294" s="1" t="n">
        <v>43944</v>
      </c>
      <c r="C294" s="1" t="n">
        <v>45725</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23507-2020</t>
        </is>
      </c>
      <c r="B295" s="1" t="n">
        <v>43969</v>
      </c>
      <c r="C295" s="1" t="n">
        <v>45725</v>
      </c>
      <c r="D295" t="inlineStr">
        <is>
          <t>JÄMTLANDS LÄN</t>
        </is>
      </c>
      <c r="E295" t="inlineStr">
        <is>
          <t>ÖSTERSUND</t>
        </is>
      </c>
      <c r="G295" t="n">
        <v>5.8</v>
      </c>
      <c r="H295" t="n">
        <v>0</v>
      </c>
      <c r="I295" t="n">
        <v>0</v>
      </c>
      <c r="J295" t="n">
        <v>0</v>
      </c>
      <c r="K295" t="n">
        <v>0</v>
      </c>
      <c r="L295" t="n">
        <v>0</v>
      </c>
      <c r="M295" t="n">
        <v>0</v>
      </c>
      <c r="N295" t="n">
        <v>0</v>
      </c>
      <c r="O295" t="n">
        <v>0</v>
      </c>
      <c r="P295" t="n">
        <v>0</v>
      </c>
      <c r="Q295" t="n">
        <v>0</v>
      </c>
      <c r="R295" s="2" t="inlineStr"/>
    </row>
    <row r="296" ht="15" customHeight="1">
      <c r="A296" t="inlineStr">
        <is>
          <t>A 23445-2020</t>
        </is>
      </c>
      <c r="B296" s="1" t="n">
        <v>43969</v>
      </c>
      <c r="C296" s="1" t="n">
        <v>45725</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24259-2020</t>
        </is>
      </c>
      <c r="B297" s="1" t="n">
        <v>43970</v>
      </c>
      <c r="C297" s="1" t="n">
        <v>45725</v>
      </c>
      <c r="D297" t="inlineStr">
        <is>
          <t>JÄMTLANDS LÄN</t>
        </is>
      </c>
      <c r="E297" t="inlineStr">
        <is>
          <t>ÖSTERSUND</t>
        </is>
      </c>
      <c r="G297" t="n">
        <v>0.6</v>
      </c>
      <c r="H297" t="n">
        <v>0</v>
      </c>
      <c r="I297" t="n">
        <v>0</v>
      </c>
      <c r="J297" t="n">
        <v>0</v>
      </c>
      <c r="K297" t="n">
        <v>0</v>
      </c>
      <c r="L297" t="n">
        <v>0</v>
      </c>
      <c r="M297" t="n">
        <v>0</v>
      </c>
      <c r="N297" t="n">
        <v>0</v>
      </c>
      <c r="O297" t="n">
        <v>0</v>
      </c>
      <c r="P297" t="n">
        <v>0</v>
      </c>
      <c r="Q297" t="n">
        <v>0</v>
      </c>
      <c r="R297" s="2" t="inlineStr"/>
    </row>
    <row r="298" ht="15" customHeight="1">
      <c r="A298" t="inlineStr">
        <is>
          <t>A 24253-2020</t>
        </is>
      </c>
      <c r="B298" s="1" t="n">
        <v>43970</v>
      </c>
      <c r="C298" s="1" t="n">
        <v>45725</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25148-2020</t>
        </is>
      </c>
      <c r="B299" s="1" t="n">
        <v>43978</v>
      </c>
      <c r="C299" s="1" t="n">
        <v>45725</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26410-2020</t>
        </is>
      </c>
      <c r="B300" s="1" t="n">
        <v>43986</v>
      </c>
      <c r="C300" s="1" t="n">
        <v>45725</v>
      </c>
      <c r="D300" t="inlineStr">
        <is>
          <t>JÄMTLANDS LÄN</t>
        </is>
      </c>
      <c r="E300" t="inlineStr">
        <is>
          <t>ÖSTERSUND</t>
        </is>
      </c>
      <c r="G300" t="n">
        <v>2.1</v>
      </c>
      <c r="H300" t="n">
        <v>0</v>
      </c>
      <c r="I300" t="n">
        <v>0</v>
      </c>
      <c r="J300" t="n">
        <v>0</v>
      </c>
      <c r="K300" t="n">
        <v>0</v>
      </c>
      <c r="L300" t="n">
        <v>0</v>
      </c>
      <c r="M300" t="n">
        <v>0</v>
      </c>
      <c r="N300" t="n">
        <v>0</v>
      </c>
      <c r="O300" t="n">
        <v>0</v>
      </c>
      <c r="P300" t="n">
        <v>0</v>
      </c>
      <c r="Q300" t="n">
        <v>0</v>
      </c>
      <c r="R300" s="2" t="inlineStr"/>
    </row>
    <row r="301" ht="15" customHeight="1">
      <c r="A301" t="inlineStr">
        <is>
          <t>A 27576-2020</t>
        </is>
      </c>
      <c r="B301" s="1" t="n">
        <v>43992</v>
      </c>
      <c r="C301" s="1" t="n">
        <v>45725</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29635-2020</t>
        </is>
      </c>
      <c r="B302" s="1" t="n">
        <v>44000</v>
      </c>
      <c r="C302" s="1" t="n">
        <v>45725</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29435-2020</t>
        </is>
      </c>
      <c r="B303" s="1" t="n">
        <v>44004</v>
      </c>
      <c r="C303" s="1" t="n">
        <v>45725</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29479-2020</t>
        </is>
      </c>
      <c r="B304" s="1" t="n">
        <v>44005</v>
      </c>
      <c r="C304" s="1" t="n">
        <v>45725</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29581-2020</t>
        </is>
      </c>
      <c r="B305" s="1" t="n">
        <v>44004</v>
      </c>
      <c r="C305" s="1" t="n">
        <v>45725</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30676-2020</t>
        </is>
      </c>
      <c r="B306" s="1" t="n">
        <v>44008</v>
      </c>
      <c r="C306" s="1" t="n">
        <v>45725</v>
      </c>
      <c r="D306" t="inlineStr">
        <is>
          <t>JÄMTLANDS LÄN</t>
        </is>
      </c>
      <c r="E306" t="inlineStr">
        <is>
          <t>ÖSTERSUND</t>
        </is>
      </c>
      <c r="G306" t="n">
        <v>2.4</v>
      </c>
      <c r="H306" t="n">
        <v>0</v>
      </c>
      <c r="I306" t="n">
        <v>0</v>
      </c>
      <c r="J306" t="n">
        <v>0</v>
      </c>
      <c r="K306" t="n">
        <v>0</v>
      </c>
      <c r="L306" t="n">
        <v>0</v>
      </c>
      <c r="M306" t="n">
        <v>0</v>
      </c>
      <c r="N306" t="n">
        <v>0</v>
      </c>
      <c r="O306" t="n">
        <v>0</v>
      </c>
      <c r="P306" t="n">
        <v>0</v>
      </c>
      <c r="Q306" t="n">
        <v>0</v>
      </c>
      <c r="R306" s="2" t="inlineStr"/>
    </row>
    <row r="307" ht="15" customHeight="1">
      <c r="A307" t="inlineStr">
        <is>
          <t>A 33945-2020</t>
        </is>
      </c>
      <c r="B307" s="1" t="n">
        <v>44027</v>
      </c>
      <c r="C307" s="1" t="n">
        <v>45725</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34703-2020</t>
        </is>
      </c>
      <c r="B308" s="1" t="n">
        <v>44035</v>
      </c>
      <c r="C308" s="1" t="n">
        <v>45725</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37500-2020</t>
        </is>
      </c>
      <c r="B309" s="1" t="n">
        <v>44055</v>
      </c>
      <c r="C309" s="1" t="n">
        <v>45725</v>
      </c>
      <c r="D309" t="inlineStr">
        <is>
          <t>JÄMTLANDS LÄN</t>
        </is>
      </c>
      <c r="E309" t="inlineStr">
        <is>
          <t>ÖSTERSUND</t>
        </is>
      </c>
      <c r="G309" t="n">
        <v>4.8</v>
      </c>
      <c r="H309" t="n">
        <v>0</v>
      </c>
      <c r="I309" t="n">
        <v>0</v>
      </c>
      <c r="J309" t="n">
        <v>0</v>
      </c>
      <c r="K309" t="n">
        <v>0</v>
      </c>
      <c r="L309" t="n">
        <v>0</v>
      </c>
      <c r="M309" t="n">
        <v>0</v>
      </c>
      <c r="N309" t="n">
        <v>0</v>
      </c>
      <c r="O309" t="n">
        <v>0</v>
      </c>
      <c r="P309" t="n">
        <v>0</v>
      </c>
      <c r="Q309" t="n">
        <v>0</v>
      </c>
      <c r="R309" s="2" t="inlineStr"/>
    </row>
    <row r="310" ht="15" customHeight="1">
      <c r="A310" t="inlineStr">
        <is>
          <t>A 38099-2020</t>
        </is>
      </c>
      <c r="B310" s="1" t="n">
        <v>44057</v>
      </c>
      <c r="C310" s="1" t="n">
        <v>45725</v>
      </c>
      <c r="D310" t="inlineStr">
        <is>
          <t>JÄMTLANDS LÄN</t>
        </is>
      </c>
      <c r="E310" t="inlineStr">
        <is>
          <t>ÖSTERSUND</t>
        </is>
      </c>
      <c r="F310" t="inlineStr">
        <is>
          <t>SCA</t>
        </is>
      </c>
      <c r="G310" t="n">
        <v>5.5</v>
      </c>
      <c r="H310" t="n">
        <v>0</v>
      </c>
      <c r="I310" t="n">
        <v>0</v>
      </c>
      <c r="J310" t="n">
        <v>0</v>
      </c>
      <c r="K310" t="n">
        <v>0</v>
      </c>
      <c r="L310" t="n">
        <v>0</v>
      </c>
      <c r="M310" t="n">
        <v>0</v>
      </c>
      <c r="N310" t="n">
        <v>0</v>
      </c>
      <c r="O310" t="n">
        <v>0</v>
      </c>
      <c r="P310" t="n">
        <v>0</v>
      </c>
      <c r="Q310" t="n">
        <v>0</v>
      </c>
      <c r="R310" s="2" t="inlineStr"/>
    </row>
    <row r="311" ht="15" customHeight="1">
      <c r="A311" t="inlineStr">
        <is>
          <t>A 41354-2020</t>
        </is>
      </c>
      <c r="B311" s="1" t="n">
        <v>44072</v>
      </c>
      <c r="C311" s="1" t="n">
        <v>45725</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42712-2020</t>
        </is>
      </c>
      <c r="B312" s="1" t="n">
        <v>44076</v>
      </c>
      <c r="C312" s="1" t="n">
        <v>45725</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42749-2020</t>
        </is>
      </c>
      <c r="B313" s="1" t="n">
        <v>44078</v>
      </c>
      <c r="C313" s="1" t="n">
        <v>45725</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42765-2020</t>
        </is>
      </c>
      <c r="B314" s="1" t="n">
        <v>44077</v>
      </c>
      <c r="C314" s="1" t="n">
        <v>45725</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42766-2020</t>
        </is>
      </c>
      <c r="B315" s="1" t="n">
        <v>44077</v>
      </c>
      <c r="C315" s="1" t="n">
        <v>45725</v>
      </c>
      <c r="D315" t="inlineStr">
        <is>
          <t>JÄMTLANDS LÄN</t>
        </is>
      </c>
      <c r="E315" t="inlineStr">
        <is>
          <t>ÖSTERSUND</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43796-2020</t>
        </is>
      </c>
      <c r="B316" s="1" t="n">
        <v>44082</v>
      </c>
      <c r="C316" s="1" t="n">
        <v>45725</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45820-2020</t>
        </is>
      </c>
      <c r="B317" s="1" t="n">
        <v>44090</v>
      </c>
      <c r="C317" s="1" t="n">
        <v>45725</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50121-2020</t>
        </is>
      </c>
      <c r="B318" s="1" t="n">
        <v>44106</v>
      </c>
      <c r="C318" s="1" t="n">
        <v>45725</v>
      </c>
      <c r="D318" t="inlineStr">
        <is>
          <t>JÄMTLANDS LÄN</t>
        </is>
      </c>
      <c r="E318" t="inlineStr">
        <is>
          <t>ÖSTERSUND</t>
        </is>
      </c>
      <c r="F318" t="inlineStr">
        <is>
          <t>Övriga statliga verk och myndigheter</t>
        </is>
      </c>
      <c r="G318" t="n">
        <v>5.2</v>
      </c>
      <c r="H318" t="n">
        <v>0</v>
      </c>
      <c r="I318" t="n">
        <v>0</v>
      </c>
      <c r="J318" t="n">
        <v>0</v>
      </c>
      <c r="K318" t="n">
        <v>0</v>
      </c>
      <c r="L318" t="n">
        <v>0</v>
      </c>
      <c r="M318" t="n">
        <v>0</v>
      </c>
      <c r="N318" t="n">
        <v>0</v>
      </c>
      <c r="O318" t="n">
        <v>0</v>
      </c>
      <c r="P318" t="n">
        <v>0</v>
      </c>
      <c r="Q318" t="n">
        <v>0</v>
      </c>
      <c r="R318" s="2" t="inlineStr"/>
    </row>
    <row r="319" ht="15" customHeight="1">
      <c r="A319" t="inlineStr">
        <is>
          <t>A 50153-2020</t>
        </is>
      </c>
      <c r="B319" s="1" t="n">
        <v>44106</v>
      </c>
      <c r="C319" s="1" t="n">
        <v>45725</v>
      </c>
      <c r="D319" t="inlineStr">
        <is>
          <t>JÄMTLANDS LÄN</t>
        </is>
      </c>
      <c r="E319" t="inlineStr">
        <is>
          <t>ÖSTERSUND</t>
        </is>
      </c>
      <c r="F319" t="inlineStr">
        <is>
          <t>Övriga statliga verk och myndigheter</t>
        </is>
      </c>
      <c r="G319" t="n">
        <v>4.6</v>
      </c>
      <c r="H319" t="n">
        <v>0</v>
      </c>
      <c r="I319" t="n">
        <v>0</v>
      </c>
      <c r="J319" t="n">
        <v>0</v>
      </c>
      <c r="K319" t="n">
        <v>0</v>
      </c>
      <c r="L319" t="n">
        <v>0</v>
      </c>
      <c r="M319" t="n">
        <v>0</v>
      </c>
      <c r="N319" t="n">
        <v>0</v>
      </c>
      <c r="O319" t="n">
        <v>0</v>
      </c>
      <c r="P319" t="n">
        <v>0</v>
      </c>
      <c r="Q319" t="n">
        <v>0</v>
      </c>
      <c r="R319" s="2" t="inlineStr"/>
    </row>
    <row r="320" ht="15" customHeight="1">
      <c r="A320" t="inlineStr">
        <is>
          <t>A 50144-2020</t>
        </is>
      </c>
      <c r="B320" s="1" t="n">
        <v>44106</v>
      </c>
      <c r="C320" s="1" t="n">
        <v>45725</v>
      </c>
      <c r="D320" t="inlineStr">
        <is>
          <t>JÄMTLANDS LÄN</t>
        </is>
      </c>
      <c r="E320" t="inlineStr">
        <is>
          <t>ÖSTERSUND</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50632-2020</t>
        </is>
      </c>
      <c r="B321" s="1" t="n">
        <v>44110</v>
      </c>
      <c r="C321" s="1" t="n">
        <v>45725</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52478-2020</t>
        </is>
      </c>
      <c r="B322" s="1" t="n">
        <v>44113</v>
      </c>
      <c r="C322" s="1" t="n">
        <v>45725</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52535-2020</t>
        </is>
      </c>
      <c r="B323" s="1" t="n">
        <v>44118</v>
      </c>
      <c r="C323" s="1" t="n">
        <v>45725</v>
      </c>
      <c r="D323" t="inlineStr">
        <is>
          <t>JÄMTLANDS LÄN</t>
        </is>
      </c>
      <c r="E323" t="inlineStr">
        <is>
          <t>ÖSTERSUND</t>
        </is>
      </c>
      <c r="G323" t="n">
        <v>2</v>
      </c>
      <c r="H323" t="n">
        <v>0</v>
      </c>
      <c r="I323" t="n">
        <v>0</v>
      </c>
      <c r="J323" t="n">
        <v>0</v>
      </c>
      <c r="K323" t="n">
        <v>0</v>
      </c>
      <c r="L323" t="n">
        <v>0</v>
      </c>
      <c r="M323" t="n">
        <v>0</v>
      </c>
      <c r="N323" t="n">
        <v>0</v>
      </c>
      <c r="O323" t="n">
        <v>0</v>
      </c>
      <c r="P323" t="n">
        <v>0</v>
      </c>
      <c r="Q323" t="n">
        <v>0</v>
      </c>
      <c r="R323" s="2" t="inlineStr"/>
    </row>
    <row r="324" ht="15" customHeight="1">
      <c r="A324" t="inlineStr">
        <is>
          <t>A 52777-2020</t>
        </is>
      </c>
      <c r="B324" s="1" t="n">
        <v>44118</v>
      </c>
      <c r="C324" s="1" t="n">
        <v>45725</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52791-2020</t>
        </is>
      </c>
      <c r="B325" s="1" t="n">
        <v>44118</v>
      </c>
      <c r="C325" s="1" t="n">
        <v>45725</v>
      </c>
      <c r="D325" t="inlineStr">
        <is>
          <t>JÄMTLANDS LÄN</t>
        </is>
      </c>
      <c r="E325" t="inlineStr">
        <is>
          <t>ÖSTERSUND</t>
        </is>
      </c>
      <c r="G325" t="n">
        <v>0.4</v>
      </c>
      <c r="H325" t="n">
        <v>0</v>
      </c>
      <c r="I325" t="n">
        <v>0</v>
      </c>
      <c r="J325" t="n">
        <v>0</v>
      </c>
      <c r="K325" t="n">
        <v>0</v>
      </c>
      <c r="L325" t="n">
        <v>0</v>
      </c>
      <c r="M325" t="n">
        <v>0</v>
      </c>
      <c r="N325" t="n">
        <v>0</v>
      </c>
      <c r="O325" t="n">
        <v>0</v>
      </c>
      <c r="P325" t="n">
        <v>0</v>
      </c>
      <c r="Q325" t="n">
        <v>0</v>
      </c>
      <c r="R325" s="2" t="inlineStr"/>
    </row>
    <row r="326" ht="15" customHeight="1">
      <c r="A326" t="inlineStr">
        <is>
          <t>A 53323-2020</t>
        </is>
      </c>
      <c r="B326" s="1" t="n">
        <v>44123</v>
      </c>
      <c r="C326" s="1" t="n">
        <v>45725</v>
      </c>
      <c r="D326" t="inlineStr">
        <is>
          <t>JÄMTLANDS LÄN</t>
        </is>
      </c>
      <c r="E326" t="inlineStr">
        <is>
          <t>ÖSTERSUND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53967-2020</t>
        </is>
      </c>
      <c r="B327" s="1" t="n">
        <v>44125</v>
      </c>
      <c r="C327" s="1" t="n">
        <v>45725</v>
      </c>
      <c r="D327" t="inlineStr">
        <is>
          <t>JÄMTLANDS LÄN</t>
        </is>
      </c>
      <c r="E327" t="inlineStr">
        <is>
          <t>ÖSTERSUND</t>
        </is>
      </c>
      <c r="G327" t="n">
        <v>25.8</v>
      </c>
      <c r="H327" t="n">
        <v>0</v>
      </c>
      <c r="I327" t="n">
        <v>0</v>
      </c>
      <c r="J327" t="n">
        <v>0</v>
      </c>
      <c r="K327" t="n">
        <v>0</v>
      </c>
      <c r="L327" t="n">
        <v>0</v>
      </c>
      <c r="M327" t="n">
        <v>0</v>
      </c>
      <c r="N327" t="n">
        <v>0</v>
      </c>
      <c r="O327" t="n">
        <v>0</v>
      </c>
      <c r="P327" t="n">
        <v>0</v>
      </c>
      <c r="Q327" t="n">
        <v>0</v>
      </c>
      <c r="R327" s="2" t="inlineStr"/>
    </row>
    <row r="328" ht="15" customHeight="1">
      <c r="A328" t="inlineStr">
        <is>
          <t>A 54539-2020</t>
        </is>
      </c>
      <c r="B328" s="1" t="n">
        <v>44126</v>
      </c>
      <c r="C328" s="1" t="n">
        <v>45725</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54844-2020</t>
        </is>
      </c>
      <c r="B329" s="1" t="n">
        <v>44126</v>
      </c>
      <c r="C329" s="1" t="n">
        <v>45725</v>
      </c>
      <c r="D329" t="inlineStr">
        <is>
          <t>JÄMTLANDS LÄN</t>
        </is>
      </c>
      <c r="E329" t="inlineStr">
        <is>
          <t>ÖSTERSUND</t>
        </is>
      </c>
      <c r="G329" t="n">
        <v>6.9</v>
      </c>
      <c r="H329" t="n">
        <v>0</v>
      </c>
      <c r="I329" t="n">
        <v>0</v>
      </c>
      <c r="J329" t="n">
        <v>0</v>
      </c>
      <c r="K329" t="n">
        <v>0</v>
      </c>
      <c r="L329" t="n">
        <v>0</v>
      </c>
      <c r="M329" t="n">
        <v>0</v>
      </c>
      <c r="N329" t="n">
        <v>0</v>
      </c>
      <c r="O329" t="n">
        <v>0</v>
      </c>
      <c r="P329" t="n">
        <v>0</v>
      </c>
      <c r="Q329" t="n">
        <v>0</v>
      </c>
      <c r="R329" s="2" t="inlineStr"/>
    </row>
    <row r="330" ht="15" customHeight="1">
      <c r="A330" t="inlineStr">
        <is>
          <t>A 56220-2020</t>
        </is>
      </c>
      <c r="B330" s="1" t="n">
        <v>44133</v>
      </c>
      <c r="C330" s="1" t="n">
        <v>45725</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56486-2020</t>
        </is>
      </c>
      <c r="B331" s="1" t="n">
        <v>44137</v>
      </c>
      <c r="C331" s="1" t="n">
        <v>45725</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56636-2020</t>
        </is>
      </c>
      <c r="B332" s="1" t="n">
        <v>44137</v>
      </c>
      <c r="C332" s="1" t="n">
        <v>45725</v>
      </c>
      <c r="D332" t="inlineStr">
        <is>
          <t>JÄMTLANDS LÄN</t>
        </is>
      </c>
      <c r="E332" t="inlineStr">
        <is>
          <t>ÖSTERSUND</t>
        </is>
      </c>
      <c r="F332" t="inlineStr">
        <is>
          <t>Övriga Aktiebolag</t>
        </is>
      </c>
      <c r="G332" t="n">
        <v>16.2</v>
      </c>
      <c r="H332" t="n">
        <v>0</v>
      </c>
      <c r="I332" t="n">
        <v>0</v>
      </c>
      <c r="J332" t="n">
        <v>0</v>
      </c>
      <c r="K332" t="n">
        <v>0</v>
      </c>
      <c r="L332" t="n">
        <v>0</v>
      </c>
      <c r="M332" t="n">
        <v>0</v>
      </c>
      <c r="N332" t="n">
        <v>0</v>
      </c>
      <c r="O332" t="n">
        <v>0</v>
      </c>
      <c r="P332" t="n">
        <v>0</v>
      </c>
      <c r="Q332" t="n">
        <v>0</v>
      </c>
      <c r="R332" s="2" t="inlineStr"/>
    </row>
    <row r="333" ht="15" customHeight="1">
      <c r="A333" t="inlineStr">
        <is>
          <t>A 56642-2020</t>
        </is>
      </c>
      <c r="B333" s="1" t="n">
        <v>44137</v>
      </c>
      <c r="C333" s="1" t="n">
        <v>45725</v>
      </c>
      <c r="D333" t="inlineStr">
        <is>
          <t>JÄMTLANDS LÄN</t>
        </is>
      </c>
      <c r="E333" t="inlineStr">
        <is>
          <t>ÖSTERSUND</t>
        </is>
      </c>
      <c r="F333" t="inlineStr">
        <is>
          <t>Övriga Aktiebolag</t>
        </is>
      </c>
      <c r="G333" t="n">
        <v>6</v>
      </c>
      <c r="H333" t="n">
        <v>0</v>
      </c>
      <c r="I333" t="n">
        <v>0</v>
      </c>
      <c r="J333" t="n">
        <v>0</v>
      </c>
      <c r="K333" t="n">
        <v>0</v>
      </c>
      <c r="L333" t="n">
        <v>0</v>
      </c>
      <c r="M333" t="n">
        <v>0</v>
      </c>
      <c r="N333" t="n">
        <v>0</v>
      </c>
      <c r="O333" t="n">
        <v>0</v>
      </c>
      <c r="P333" t="n">
        <v>0</v>
      </c>
      <c r="Q333" t="n">
        <v>0</v>
      </c>
      <c r="R333" s="2" t="inlineStr"/>
    </row>
    <row r="334" ht="15" customHeight="1">
      <c r="A334" t="inlineStr">
        <is>
          <t>A 57616-2020</t>
        </is>
      </c>
      <c r="B334" s="1" t="n">
        <v>44140</v>
      </c>
      <c r="C334" s="1" t="n">
        <v>45725</v>
      </c>
      <c r="D334" t="inlineStr">
        <is>
          <t>JÄMTLANDS LÄN</t>
        </is>
      </c>
      <c r="E334" t="inlineStr">
        <is>
          <t>ÖSTERSUND</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57624-2020</t>
        </is>
      </c>
      <c r="B335" s="1" t="n">
        <v>44140</v>
      </c>
      <c r="C335" s="1" t="n">
        <v>45725</v>
      </c>
      <c r="D335" t="inlineStr">
        <is>
          <t>JÄMTLANDS LÄN</t>
        </is>
      </c>
      <c r="E335" t="inlineStr">
        <is>
          <t>ÖSTERSUND</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57791-2020</t>
        </is>
      </c>
      <c r="B336" s="1" t="n">
        <v>44141</v>
      </c>
      <c r="C336" s="1" t="n">
        <v>45725</v>
      </c>
      <c r="D336" t="inlineStr">
        <is>
          <t>JÄMTLANDS LÄN</t>
        </is>
      </c>
      <c r="E336" t="inlineStr">
        <is>
          <t>ÖSTERSUND</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57771-2020</t>
        </is>
      </c>
      <c r="B337" s="1" t="n">
        <v>44141</v>
      </c>
      <c r="C337" s="1" t="n">
        <v>45725</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60050-2020</t>
        </is>
      </c>
      <c r="B338" s="1" t="n">
        <v>44151</v>
      </c>
      <c r="C338" s="1" t="n">
        <v>45725</v>
      </c>
      <c r="D338" t="inlineStr">
        <is>
          <t>JÄMTLANDS LÄN</t>
        </is>
      </c>
      <c r="E338" t="inlineStr">
        <is>
          <t>ÖSTERSUND</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60126-2020</t>
        </is>
      </c>
      <c r="B339" s="1" t="n">
        <v>44152</v>
      </c>
      <c r="C339" s="1" t="n">
        <v>45725</v>
      </c>
      <c r="D339" t="inlineStr">
        <is>
          <t>JÄMTLANDS LÄN</t>
        </is>
      </c>
      <c r="E339" t="inlineStr">
        <is>
          <t>ÖSTERSUND</t>
        </is>
      </c>
      <c r="G339" t="n">
        <v>1</v>
      </c>
      <c r="H339" t="n">
        <v>0</v>
      </c>
      <c r="I339" t="n">
        <v>0</v>
      </c>
      <c r="J339" t="n">
        <v>0</v>
      </c>
      <c r="K339" t="n">
        <v>0</v>
      </c>
      <c r="L339" t="n">
        <v>0</v>
      </c>
      <c r="M339" t="n">
        <v>0</v>
      </c>
      <c r="N339" t="n">
        <v>0</v>
      </c>
      <c r="O339" t="n">
        <v>0</v>
      </c>
      <c r="P339" t="n">
        <v>0</v>
      </c>
      <c r="Q339" t="n">
        <v>0</v>
      </c>
      <c r="R339" s="2" t="inlineStr"/>
    </row>
    <row r="340" ht="15" customHeight="1">
      <c r="A340" t="inlineStr">
        <is>
          <t>A 63171-2020</t>
        </is>
      </c>
      <c r="B340" s="1" t="n">
        <v>44162</v>
      </c>
      <c r="C340" s="1" t="n">
        <v>45725</v>
      </c>
      <c r="D340" t="inlineStr">
        <is>
          <t>JÄMTLANDS LÄN</t>
        </is>
      </c>
      <c r="E340" t="inlineStr">
        <is>
          <t>ÖSTERSUND</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65410-2020</t>
        </is>
      </c>
      <c r="B341" s="1" t="n">
        <v>44173</v>
      </c>
      <c r="C341" s="1" t="n">
        <v>45725</v>
      </c>
      <c r="D341" t="inlineStr">
        <is>
          <t>JÄMTLANDS LÄN</t>
        </is>
      </c>
      <c r="E341" t="inlineStr">
        <is>
          <t>ÖSTERSUND</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66269-2020</t>
        </is>
      </c>
      <c r="B342" s="1" t="n">
        <v>44174</v>
      </c>
      <c r="C342" s="1" t="n">
        <v>45725</v>
      </c>
      <c r="D342" t="inlineStr">
        <is>
          <t>JÄMTLANDS LÄN</t>
        </is>
      </c>
      <c r="E342" t="inlineStr">
        <is>
          <t>ÖSTERSUND</t>
        </is>
      </c>
      <c r="F342" t="inlineStr">
        <is>
          <t>Övriga statliga verk och myndigheter</t>
        </is>
      </c>
      <c r="G342" t="n">
        <v>10</v>
      </c>
      <c r="H342" t="n">
        <v>0</v>
      </c>
      <c r="I342" t="n">
        <v>0</v>
      </c>
      <c r="J342" t="n">
        <v>0</v>
      </c>
      <c r="K342" t="n">
        <v>0</v>
      </c>
      <c r="L342" t="n">
        <v>0</v>
      </c>
      <c r="M342" t="n">
        <v>0</v>
      </c>
      <c r="N342" t="n">
        <v>0</v>
      </c>
      <c r="O342" t="n">
        <v>0</v>
      </c>
      <c r="P342" t="n">
        <v>0</v>
      </c>
      <c r="Q342" t="n">
        <v>0</v>
      </c>
      <c r="R342" s="2" t="inlineStr"/>
    </row>
    <row r="343" ht="15" customHeight="1">
      <c r="A343" t="inlineStr">
        <is>
          <t>A 66288-2020</t>
        </is>
      </c>
      <c r="B343" s="1" t="n">
        <v>44174</v>
      </c>
      <c r="C343" s="1" t="n">
        <v>45725</v>
      </c>
      <c r="D343" t="inlineStr">
        <is>
          <t>JÄMTLANDS LÄN</t>
        </is>
      </c>
      <c r="E343" t="inlineStr">
        <is>
          <t>ÖSTERSUND</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66286-2020</t>
        </is>
      </c>
      <c r="B344" s="1" t="n">
        <v>44174</v>
      </c>
      <c r="C344" s="1" t="n">
        <v>45725</v>
      </c>
      <c r="D344" t="inlineStr">
        <is>
          <t>JÄMTLANDS LÄN</t>
        </is>
      </c>
      <c r="E344" t="inlineStr">
        <is>
          <t>ÖSTERSUND</t>
        </is>
      </c>
      <c r="F344" t="inlineStr">
        <is>
          <t>Övriga statliga verk och myndigheter</t>
        </is>
      </c>
      <c r="G344" t="n">
        <v>1.1</v>
      </c>
      <c r="H344" t="n">
        <v>0</v>
      </c>
      <c r="I344" t="n">
        <v>0</v>
      </c>
      <c r="J344" t="n">
        <v>0</v>
      </c>
      <c r="K344" t="n">
        <v>0</v>
      </c>
      <c r="L344" t="n">
        <v>0</v>
      </c>
      <c r="M344" t="n">
        <v>0</v>
      </c>
      <c r="N344" t="n">
        <v>0</v>
      </c>
      <c r="O344" t="n">
        <v>0</v>
      </c>
      <c r="P344" t="n">
        <v>0</v>
      </c>
      <c r="Q344" t="n">
        <v>0</v>
      </c>
      <c r="R344" s="2" t="inlineStr"/>
    </row>
    <row r="345" ht="15" customHeight="1">
      <c r="A345" t="inlineStr">
        <is>
          <t>A 67646-2020</t>
        </is>
      </c>
      <c r="B345" s="1" t="n">
        <v>44180</v>
      </c>
      <c r="C345" s="1" t="n">
        <v>45725</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67643-2020</t>
        </is>
      </c>
      <c r="B346" s="1" t="n">
        <v>44180</v>
      </c>
      <c r="C346" s="1" t="n">
        <v>45725</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68408-2020</t>
        </is>
      </c>
      <c r="B347" s="1" t="n">
        <v>44186</v>
      </c>
      <c r="C347" s="1" t="n">
        <v>45725</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68937-2020</t>
        </is>
      </c>
      <c r="B348" s="1" t="n">
        <v>44187</v>
      </c>
      <c r="C348" s="1" t="n">
        <v>45725</v>
      </c>
      <c r="D348" t="inlineStr">
        <is>
          <t>JÄMTLANDS LÄN</t>
        </is>
      </c>
      <c r="E348" t="inlineStr">
        <is>
          <t>ÖSTERSUND</t>
        </is>
      </c>
      <c r="G348" t="n">
        <v>4.7</v>
      </c>
      <c r="H348" t="n">
        <v>0</v>
      </c>
      <c r="I348" t="n">
        <v>0</v>
      </c>
      <c r="J348" t="n">
        <v>0</v>
      </c>
      <c r="K348" t="n">
        <v>0</v>
      </c>
      <c r="L348" t="n">
        <v>0</v>
      </c>
      <c r="M348" t="n">
        <v>0</v>
      </c>
      <c r="N348" t="n">
        <v>0</v>
      </c>
      <c r="O348" t="n">
        <v>0</v>
      </c>
      <c r="P348" t="n">
        <v>0</v>
      </c>
      <c r="Q348" t="n">
        <v>0</v>
      </c>
      <c r="R348" s="2" t="inlineStr"/>
    </row>
    <row r="349" ht="15" customHeight="1">
      <c r="A349" t="inlineStr">
        <is>
          <t>A 126-2021</t>
        </is>
      </c>
      <c r="B349" s="1" t="n">
        <v>44200</v>
      </c>
      <c r="C349" s="1" t="n">
        <v>45725</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501-2021</t>
        </is>
      </c>
      <c r="B350" s="1" t="n">
        <v>44200</v>
      </c>
      <c r="C350" s="1" t="n">
        <v>45725</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1322-2021</t>
        </is>
      </c>
      <c r="B351" s="1" t="n">
        <v>44208</v>
      </c>
      <c r="C351" s="1" t="n">
        <v>45725</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2686-2021</t>
        </is>
      </c>
      <c r="B352" s="1" t="n">
        <v>44214</v>
      </c>
      <c r="C352" s="1" t="n">
        <v>45725</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5460-2021</t>
        </is>
      </c>
      <c r="B353" s="1" t="n">
        <v>44229</v>
      </c>
      <c r="C353" s="1" t="n">
        <v>45725</v>
      </c>
      <c r="D353" t="inlineStr">
        <is>
          <t>JÄMTLANDS LÄN</t>
        </is>
      </c>
      <c r="E353" t="inlineStr">
        <is>
          <t>ÖSTERSUND</t>
        </is>
      </c>
      <c r="G353" t="n">
        <v>14.2</v>
      </c>
      <c r="H353" t="n">
        <v>0</v>
      </c>
      <c r="I353" t="n">
        <v>0</v>
      </c>
      <c r="J353" t="n">
        <v>0</v>
      </c>
      <c r="K353" t="n">
        <v>0</v>
      </c>
      <c r="L353" t="n">
        <v>0</v>
      </c>
      <c r="M353" t="n">
        <v>0</v>
      </c>
      <c r="N353" t="n">
        <v>0</v>
      </c>
      <c r="O353" t="n">
        <v>0</v>
      </c>
      <c r="P353" t="n">
        <v>0</v>
      </c>
      <c r="Q353" t="n">
        <v>0</v>
      </c>
      <c r="R353" s="2" t="inlineStr"/>
    </row>
    <row r="354" ht="15" customHeight="1">
      <c r="A354" t="inlineStr">
        <is>
          <t>A 6578-2021</t>
        </is>
      </c>
      <c r="B354" s="1" t="n">
        <v>44236</v>
      </c>
      <c r="C354" s="1" t="n">
        <v>45725</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8396-2021</t>
        </is>
      </c>
      <c r="B355" s="1" t="n">
        <v>44238</v>
      </c>
      <c r="C355" s="1" t="n">
        <v>45725</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10590-2021</t>
        </is>
      </c>
      <c r="B356" s="1" t="n">
        <v>44258</v>
      </c>
      <c r="C356" s="1" t="n">
        <v>45725</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10911-2021</t>
        </is>
      </c>
      <c r="B357" s="1" t="n">
        <v>44259</v>
      </c>
      <c r="C357" s="1" t="n">
        <v>45725</v>
      </c>
      <c r="D357" t="inlineStr">
        <is>
          <t>JÄMTLANDS LÄN</t>
        </is>
      </c>
      <c r="E357" t="inlineStr">
        <is>
          <t>ÖSTERSUND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10834-2021</t>
        </is>
      </c>
      <c r="B358" s="1" t="n">
        <v>44259</v>
      </c>
      <c r="C358" s="1" t="n">
        <v>45725</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12710-2021</t>
        </is>
      </c>
      <c r="B359" s="1" t="n">
        <v>44270</v>
      </c>
      <c r="C359" s="1" t="n">
        <v>45725</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12705-2021</t>
        </is>
      </c>
      <c r="B360" s="1" t="n">
        <v>44270</v>
      </c>
      <c r="C360" s="1" t="n">
        <v>45725</v>
      </c>
      <c r="D360" t="inlineStr">
        <is>
          <t>JÄMTLANDS LÄN</t>
        </is>
      </c>
      <c r="E360" t="inlineStr">
        <is>
          <t>ÖSTERSUND</t>
        </is>
      </c>
      <c r="G360" t="n">
        <v>3.5</v>
      </c>
      <c r="H360" t="n">
        <v>0</v>
      </c>
      <c r="I360" t="n">
        <v>0</v>
      </c>
      <c r="J360" t="n">
        <v>0</v>
      </c>
      <c r="K360" t="n">
        <v>0</v>
      </c>
      <c r="L360" t="n">
        <v>0</v>
      </c>
      <c r="M360" t="n">
        <v>0</v>
      </c>
      <c r="N360" t="n">
        <v>0</v>
      </c>
      <c r="O360" t="n">
        <v>0</v>
      </c>
      <c r="P360" t="n">
        <v>0</v>
      </c>
      <c r="Q360" t="n">
        <v>0</v>
      </c>
      <c r="R360" s="2" t="inlineStr"/>
    </row>
    <row r="361" ht="15" customHeight="1">
      <c r="A361" t="inlineStr">
        <is>
          <t>A 14155-2021</t>
        </is>
      </c>
      <c r="B361" s="1" t="n">
        <v>44278</v>
      </c>
      <c r="C361" s="1" t="n">
        <v>45725</v>
      </c>
      <c r="D361" t="inlineStr">
        <is>
          <t>JÄMTLANDS LÄN</t>
        </is>
      </c>
      <c r="E361" t="inlineStr">
        <is>
          <t>ÖSTERSUND</t>
        </is>
      </c>
      <c r="G361" t="n">
        <v>2.6</v>
      </c>
      <c r="H361" t="n">
        <v>0</v>
      </c>
      <c r="I361" t="n">
        <v>0</v>
      </c>
      <c r="J361" t="n">
        <v>0</v>
      </c>
      <c r="K361" t="n">
        <v>0</v>
      </c>
      <c r="L361" t="n">
        <v>0</v>
      </c>
      <c r="M361" t="n">
        <v>0</v>
      </c>
      <c r="N361" t="n">
        <v>0</v>
      </c>
      <c r="O361" t="n">
        <v>0</v>
      </c>
      <c r="P361" t="n">
        <v>0</v>
      </c>
      <c r="Q361" t="n">
        <v>0</v>
      </c>
      <c r="R361" s="2" t="inlineStr"/>
    </row>
    <row r="362" ht="15" customHeight="1">
      <c r="A362" t="inlineStr">
        <is>
          <t>A 15659-2021</t>
        </is>
      </c>
      <c r="B362" s="1" t="n">
        <v>44298</v>
      </c>
      <c r="C362" s="1" t="n">
        <v>45725</v>
      </c>
      <c r="D362" t="inlineStr">
        <is>
          <t>JÄMTLANDS LÄN</t>
        </is>
      </c>
      <c r="E362" t="inlineStr">
        <is>
          <t>ÖSTERSUND</t>
        </is>
      </c>
      <c r="G362" t="n">
        <v>13.3</v>
      </c>
      <c r="H362" t="n">
        <v>0</v>
      </c>
      <c r="I362" t="n">
        <v>0</v>
      </c>
      <c r="J362" t="n">
        <v>0</v>
      </c>
      <c r="K362" t="n">
        <v>0</v>
      </c>
      <c r="L362" t="n">
        <v>0</v>
      </c>
      <c r="M362" t="n">
        <v>0</v>
      </c>
      <c r="N362" t="n">
        <v>0</v>
      </c>
      <c r="O362" t="n">
        <v>0</v>
      </c>
      <c r="P362" t="n">
        <v>0</v>
      </c>
      <c r="Q362" t="n">
        <v>0</v>
      </c>
      <c r="R362" s="2" t="inlineStr"/>
    </row>
    <row r="363" ht="15" customHeight="1">
      <c r="A363" t="inlineStr">
        <is>
          <t>A 17362-2021</t>
        </is>
      </c>
      <c r="B363" s="1" t="n">
        <v>44298</v>
      </c>
      <c r="C363" s="1" t="n">
        <v>45725</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17596-2021</t>
        </is>
      </c>
      <c r="B364" s="1" t="n">
        <v>44299</v>
      </c>
      <c r="C364" s="1" t="n">
        <v>45725</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19541-2021</t>
        </is>
      </c>
      <c r="B365" s="1" t="n">
        <v>44312</v>
      </c>
      <c r="C365" s="1" t="n">
        <v>45725</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20290-2021</t>
        </is>
      </c>
      <c r="B366" s="1" t="n">
        <v>44314</v>
      </c>
      <c r="C366" s="1" t="n">
        <v>45725</v>
      </c>
      <c r="D366" t="inlineStr">
        <is>
          <t>JÄMTLANDS LÄN</t>
        </is>
      </c>
      <c r="E366" t="inlineStr">
        <is>
          <t>ÖSTERSUND</t>
        </is>
      </c>
      <c r="F366" t="inlineStr">
        <is>
          <t>SCA</t>
        </is>
      </c>
      <c r="G366" t="n">
        <v>8.1</v>
      </c>
      <c r="H366" t="n">
        <v>0</v>
      </c>
      <c r="I366" t="n">
        <v>0</v>
      </c>
      <c r="J366" t="n">
        <v>0</v>
      </c>
      <c r="K366" t="n">
        <v>0</v>
      </c>
      <c r="L366" t="n">
        <v>0</v>
      </c>
      <c r="M366" t="n">
        <v>0</v>
      </c>
      <c r="N366" t="n">
        <v>0</v>
      </c>
      <c r="O366" t="n">
        <v>0</v>
      </c>
      <c r="P366" t="n">
        <v>0</v>
      </c>
      <c r="Q366" t="n">
        <v>0</v>
      </c>
      <c r="R366" s="2" t="inlineStr"/>
    </row>
    <row r="367" ht="15" customHeight="1">
      <c r="A367" t="inlineStr">
        <is>
          <t>A 20620-2021</t>
        </is>
      </c>
      <c r="B367" s="1" t="n">
        <v>44316</v>
      </c>
      <c r="C367" s="1" t="n">
        <v>45725</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21306-2021</t>
        </is>
      </c>
      <c r="B368" s="1" t="n">
        <v>44320</v>
      </c>
      <c r="C368" s="1" t="n">
        <v>45725</v>
      </c>
      <c r="D368" t="inlineStr">
        <is>
          <t>JÄMTLANDS LÄN</t>
        </is>
      </c>
      <c r="E368" t="inlineStr">
        <is>
          <t>ÖSTERSUND</t>
        </is>
      </c>
      <c r="G368" t="n">
        <v>4.5</v>
      </c>
      <c r="H368" t="n">
        <v>0</v>
      </c>
      <c r="I368" t="n">
        <v>0</v>
      </c>
      <c r="J368" t="n">
        <v>0</v>
      </c>
      <c r="K368" t="n">
        <v>0</v>
      </c>
      <c r="L368" t="n">
        <v>0</v>
      </c>
      <c r="M368" t="n">
        <v>0</v>
      </c>
      <c r="N368" t="n">
        <v>0</v>
      </c>
      <c r="O368" t="n">
        <v>0</v>
      </c>
      <c r="P368" t="n">
        <v>0</v>
      </c>
      <c r="Q368" t="n">
        <v>0</v>
      </c>
      <c r="R368" s="2" t="inlineStr"/>
    </row>
    <row r="369" ht="15" customHeight="1">
      <c r="A369" t="inlineStr">
        <is>
          <t>A 21849-2021</t>
        </is>
      </c>
      <c r="B369" s="1" t="n">
        <v>44322</v>
      </c>
      <c r="C369" s="1" t="n">
        <v>45725</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22126-2021</t>
        </is>
      </c>
      <c r="B370" s="1" t="n">
        <v>44323</v>
      </c>
      <c r="C370" s="1" t="n">
        <v>45725</v>
      </c>
      <c r="D370" t="inlineStr">
        <is>
          <t>JÄMTLANDS LÄN</t>
        </is>
      </c>
      <c r="E370" t="inlineStr">
        <is>
          <t>ÖSTERSUND</t>
        </is>
      </c>
      <c r="G370" t="n">
        <v>1.4</v>
      </c>
      <c r="H370" t="n">
        <v>0</v>
      </c>
      <c r="I370" t="n">
        <v>0</v>
      </c>
      <c r="J370" t="n">
        <v>0</v>
      </c>
      <c r="K370" t="n">
        <v>0</v>
      </c>
      <c r="L370" t="n">
        <v>0</v>
      </c>
      <c r="M370" t="n">
        <v>0</v>
      </c>
      <c r="N370" t="n">
        <v>0</v>
      </c>
      <c r="O370" t="n">
        <v>0</v>
      </c>
      <c r="P370" t="n">
        <v>0</v>
      </c>
      <c r="Q370" t="n">
        <v>0</v>
      </c>
      <c r="R370" s="2" t="inlineStr"/>
    </row>
    <row r="371" ht="15" customHeight="1">
      <c r="A371" t="inlineStr">
        <is>
          <t>A 23187-2021</t>
        </is>
      </c>
      <c r="B371" s="1" t="n">
        <v>44328</v>
      </c>
      <c r="C371" s="1" t="n">
        <v>45725</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23895-2021</t>
        </is>
      </c>
      <c r="B372" s="1" t="n">
        <v>44335</v>
      </c>
      <c r="C372" s="1" t="n">
        <v>45725</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24312-2021</t>
        </is>
      </c>
      <c r="B373" s="1" t="n">
        <v>44336</v>
      </c>
      <c r="C373" s="1" t="n">
        <v>45725</v>
      </c>
      <c r="D373" t="inlineStr">
        <is>
          <t>JÄMTLANDS LÄN</t>
        </is>
      </c>
      <c r="E373" t="inlineStr">
        <is>
          <t>ÖSTERSUND</t>
        </is>
      </c>
      <c r="G373" t="n">
        <v>10.6</v>
      </c>
      <c r="H373" t="n">
        <v>0</v>
      </c>
      <c r="I373" t="n">
        <v>0</v>
      </c>
      <c r="J373" t="n">
        <v>0</v>
      </c>
      <c r="K373" t="n">
        <v>0</v>
      </c>
      <c r="L373" t="n">
        <v>0</v>
      </c>
      <c r="M373" t="n">
        <v>0</v>
      </c>
      <c r="N373" t="n">
        <v>0</v>
      </c>
      <c r="O373" t="n">
        <v>0</v>
      </c>
      <c r="P373" t="n">
        <v>0</v>
      </c>
      <c r="Q373" t="n">
        <v>0</v>
      </c>
      <c r="R373" s="2" t="inlineStr"/>
    </row>
    <row r="374" ht="15" customHeight="1">
      <c r="A374" t="inlineStr">
        <is>
          <t>A 24706-2021</t>
        </is>
      </c>
      <c r="B374" s="1" t="n">
        <v>44340</v>
      </c>
      <c r="C374" s="1" t="n">
        <v>45725</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24721-2021</t>
        </is>
      </c>
      <c r="B375" s="1" t="n">
        <v>44340</v>
      </c>
      <c r="C375" s="1" t="n">
        <v>45725</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26254-2021</t>
        </is>
      </c>
      <c r="B376" s="1" t="n">
        <v>44347</v>
      </c>
      <c r="C376" s="1" t="n">
        <v>45725</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26259-2021</t>
        </is>
      </c>
      <c r="B377" s="1" t="n">
        <v>44347</v>
      </c>
      <c r="C377" s="1" t="n">
        <v>45725</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27061-2021</t>
        </is>
      </c>
      <c r="B378" s="1" t="n">
        <v>44349</v>
      </c>
      <c r="C378" s="1" t="n">
        <v>45725</v>
      </c>
      <c r="D378" t="inlineStr">
        <is>
          <t>JÄMTLANDS LÄN</t>
        </is>
      </c>
      <c r="E378" t="inlineStr">
        <is>
          <t>ÖSTERSUND</t>
        </is>
      </c>
      <c r="G378" t="n">
        <v>3.2</v>
      </c>
      <c r="H378" t="n">
        <v>0</v>
      </c>
      <c r="I378" t="n">
        <v>0</v>
      </c>
      <c r="J378" t="n">
        <v>0</v>
      </c>
      <c r="K378" t="n">
        <v>0</v>
      </c>
      <c r="L378" t="n">
        <v>0</v>
      </c>
      <c r="M378" t="n">
        <v>0</v>
      </c>
      <c r="N378" t="n">
        <v>0</v>
      </c>
      <c r="O378" t="n">
        <v>0</v>
      </c>
      <c r="P378" t="n">
        <v>0</v>
      </c>
      <c r="Q378" t="n">
        <v>0</v>
      </c>
      <c r="R378" s="2" t="inlineStr"/>
    </row>
    <row r="379" ht="15" customHeight="1">
      <c r="A379" t="inlineStr">
        <is>
          <t>A 27004-2021</t>
        </is>
      </c>
      <c r="B379" s="1" t="n">
        <v>44349</v>
      </c>
      <c r="C379" s="1" t="n">
        <v>45725</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29582-2021</t>
        </is>
      </c>
      <c r="B380" s="1" t="n">
        <v>44362</v>
      </c>
      <c r="C380" s="1" t="n">
        <v>45725</v>
      </c>
      <c r="D380" t="inlineStr">
        <is>
          <t>JÄMTLANDS LÄN</t>
        </is>
      </c>
      <c r="E380" t="inlineStr">
        <is>
          <t>ÖSTERSUND</t>
        </is>
      </c>
      <c r="G380" t="n">
        <v>31.5</v>
      </c>
      <c r="H380" t="n">
        <v>0</v>
      </c>
      <c r="I380" t="n">
        <v>0</v>
      </c>
      <c r="J380" t="n">
        <v>0</v>
      </c>
      <c r="K380" t="n">
        <v>0</v>
      </c>
      <c r="L380" t="n">
        <v>0</v>
      </c>
      <c r="M380" t="n">
        <v>0</v>
      </c>
      <c r="N380" t="n">
        <v>0</v>
      </c>
      <c r="O380" t="n">
        <v>0</v>
      </c>
      <c r="P380" t="n">
        <v>0</v>
      </c>
      <c r="Q380" t="n">
        <v>0</v>
      </c>
      <c r="R380" s="2" t="inlineStr"/>
    </row>
    <row r="381" ht="15" customHeight="1">
      <c r="A381" t="inlineStr">
        <is>
          <t>A 29707-2021</t>
        </is>
      </c>
      <c r="B381" s="1" t="n">
        <v>44362</v>
      </c>
      <c r="C381" s="1" t="n">
        <v>45725</v>
      </c>
      <c r="D381" t="inlineStr">
        <is>
          <t>JÄMTLANDS LÄN</t>
        </is>
      </c>
      <c r="E381" t="inlineStr">
        <is>
          <t>ÖSTERSUND</t>
        </is>
      </c>
      <c r="G381" t="n">
        <v>4</v>
      </c>
      <c r="H381" t="n">
        <v>0</v>
      </c>
      <c r="I381" t="n">
        <v>0</v>
      </c>
      <c r="J381" t="n">
        <v>0</v>
      </c>
      <c r="K381" t="n">
        <v>0</v>
      </c>
      <c r="L381" t="n">
        <v>0</v>
      </c>
      <c r="M381" t="n">
        <v>0</v>
      </c>
      <c r="N381" t="n">
        <v>0</v>
      </c>
      <c r="O381" t="n">
        <v>0</v>
      </c>
      <c r="P381" t="n">
        <v>0</v>
      </c>
      <c r="Q381" t="n">
        <v>0</v>
      </c>
      <c r="R381" s="2" t="inlineStr"/>
    </row>
    <row r="382" ht="15" customHeight="1">
      <c r="A382" t="inlineStr">
        <is>
          <t>A 31040-2021</t>
        </is>
      </c>
      <c r="B382" s="1" t="n">
        <v>44368</v>
      </c>
      <c r="C382" s="1" t="n">
        <v>45725</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32994-2021</t>
        </is>
      </c>
      <c r="B383" s="1" t="n">
        <v>44375</v>
      </c>
      <c r="C383" s="1" t="n">
        <v>45725</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33004-2021</t>
        </is>
      </c>
      <c r="B384" s="1" t="n">
        <v>44375</v>
      </c>
      <c r="C384" s="1" t="n">
        <v>45725</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32998-2021</t>
        </is>
      </c>
      <c r="B385" s="1" t="n">
        <v>44375</v>
      </c>
      <c r="C385" s="1" t="n">
        <v>45725</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32986-2021</t>
        </is>
      </c>
      <c r="B386" s="1" t="n">
        <v>44375</v>
      </c>
      <c r="C386" s="1" t="n">
        <v>45725</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33002-2021</t>
        </is>
      </c>
      <c r="B387" s="1" t="n">
        <v>44375</v>
      </c>
      <c r="C387" s="1" t="n">
        <v>45725</v>
      </c>
      <c r="D387" t="inlineStr">
        <is>
          <t>JÄMTLANDS LÄN</t>
        </is>
      </c>
      <c r="E387" t="inlineStr">
        <is>
          <t>ÖSTERSUND</t>
        </is>
      </c>
      <c r="G387" t="n">
        <v>0.2</v>
      </c>
      <c r="H387" t="n">
        <v>0</v>
      </c>
      <c r="I387" t="n">
        <v>0</v>
      </c>
      <c r="J387" t="n">
        <v>0</v>
      </c>
      <c r="K387" t="n">
        <v>0</v>
      </c>
      <c r="L387" t="n">
        <v>0</v>
      </c>
      <c r="M387" t="n">
        <v>0</v>
      </c>
      <c r="N387" t="n">
        <v>0</v>
      </c>
      <c r="O387" t="n">
        <v>0</v>
      </c>
      <c r="P387" t="n">
        <v>0</v>
      </c>
      <c r="Q387" t="n">
        <v>0</v>
      </c>
      <c r="R387" s="2" t="inlineStr"/>
    </row>
    <row r="388" ht="15" customHeight="1">
      <c r="A388" t="inlineStr">
        <is>
          <t>A 32990-2021</t>
        </is>
      </c>
      <c r="B388" s="1" t="n">
        <v>44375</v>
      </c>
      <c r="C388" s="1" t="n">
        <v>45725</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33831-2021</t>
        </is>
      </c>
      <c r="B389" s="1" t="n">
        <v>44378</v>
      </c>
      <c r="C389" s="1" t="n">
        <v>45725</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35032-2021</t>
        </is>
      </c>
      <c r="B390" s="1" t="n">
        <v>44383</v>
      </c>
      <c r="C390" s="1" t="n">
        <v>45725</v>
      </c>
      <c r="D390" t="inlineStr">
        <is>
          <t>JÄMTLANDS LÄN</t>
        </is>
      </c>
      <c r="E390" t="inlineStr">
        <is>
          <t>ÖSTERSUND</t>
        </is>
      </c>
      <c r="G390" t="n">
        <v>0.9</v>
      </c>
      <c r="H390" t="n">
        <v>0</v>
      </c>
      <c r="I390" t="n">
        <v>0</v>
      </c>
      <c r="J390" t="n">
        <v>0</v>
      </c>
      <c r="K390" t="n">
        <v>0</v>
      </c>
      <c r="L390" t="n">
        <v>0</v>
      </c>
      <c r="M390" t="n">
        <v>0</v>
      </c>
      <c r="N390" t="n">
        <v>0</v>
      </c>
      <c r="O390" t="n">
        <v>0</v>
      </c>
      <c r="P390" t="n">
        <v>0</v>
      </c>
      <c r="Q390" t="n">
        <v>0</v>
      </c>
      <c r="R390" s="2" t="inlineStr"/>
    </row>
    <row r="391" ht="15" customHeight="1">
      <c r="A391" t="inlineStr">
        <is>
          <t>A 35755-2021</t>
        </is>
      </c>
      <c r="B391" s="1" t="n">
        <v>44385</v>
      </c>
      <c r="C391" s="1" t="n">
        <v>45725</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38142-2021</t>
        </is>
      </c>
      <c r="B392" s="1" t="n">
        <v>44405</v>
      </c>
      <c r="C392" s="1" t="n">
        <v>45725</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38647-2021</t>
        </is>
      </c>
      <c r="B393" s="1" t="n">
        <v>44410</v>
      </c>
      <c r="C393" s="1" t="n">
        <v>45725</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38644-2021</t>
        </is>
      </c>
      <c r="B394" s="1" t="n">
        <v>44410</v>
      </c>
      <c r="C394" s="1" t="n">
        <v>45725</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39735-2021</t>
        </is>
      </c>
      <c r="B395" s="1" t="n">
        <v>44414</v>
      </c>
      <c r="C395" s="1" t="n">
        <v>45725</v>
      </c>
      <c r="D395" t="inlineStr">
        <is>
          <t>JÄMTLANDS LÄN</t>
        </is>
      </c>
      <c r="E395" t="inlineStr">
        <is>
          <t>ÖSTERSUND</t>
        </is>
      </c>
      <c r="G395" t="n">
        <v>4.5</v>
      </c>
      <c r="H395" t="n">
        <v>0</v>
      </c>
      <c r="I395" t="n">
        <v>0</v>
      </c>
      <c r="J395" t="n">
        <v>0</v>
      </c>
      <c r="K395" t="n">
        <v>0</v>
      </c>
      <c r="L395" t="n">
        <v>0</v>
      </c>
      <c r="M395" t="n">
        <v>0</v>
      </c>
      <c r="N395" t="n">
        <v>0</v>
      </c>
      <c r="O395" t="n">
        <v>0</v>
      </c>
      <c r="P395" t="n">
        <v>0</v>
      </c>
      <c r="Q395" t="n">
        <v>0</v>
      </c>
      <c r="R395" s="2" t="inlineStr"/>
    </row>
    <row r="396" ht="15" customHeight="1">
      <c r="A396" t="inlineStr">
        <is>
          <t>A 40038-2021</t>
        </is>
      </c>
      <c r="B396" s="1" t="n">
        <v>44418</v>
      </c>
      <c r="C396" s="1" t="n">
        <v>45725</v>
      </c>
      <c r="D396" t="inlineStr">
        <is>
          <t>JÄMTLANDS LÄN</t>
        </is>
      </c>
      <c r="E396" t="inlineStr">
        <is>
          <t>ÖSTERSUND</t>
        </is>
      </c>
      <c r="G396" t="n">
        <v>7</v>
      </c>
      <c r="H396" t="n">
        <v>0</v>
      </c>
      <c r="I396" t="n">
        <v>0</v>
      </c>
      <c r="J396" t="n">
        <v>0</v>
      </c>
      <c r="K396" t="n">
        <v>0</v>
      </c>
      <c r="L396" t="n">
        <v>0</v>
      </c>
      <c r="M396" t="n">
        <v>0</v>
      </c>
      <c r="N396" t="n">
        <v>0</v>
      </c>
      <c r="O396" t="n">
        <v>0</v>
      </c>
      <c r="P396" t="n">
        <v>0</v>
      </c>
      <c r="Q396" t="n">
        <v>0</v>
      </c>
      <c r="R396" s="2" t="inlineStr"/>
    </row>
    <row r="397" ht="15" customHeight="1">
      <c r="A397" t="inlineStr">
        <is>
          <t>A 41802-2021</t>
        </is>
      </c>
      <c r="B397" s="1" t="n">
        <v>44425</v>
      </c>
      <c r="C397" s="1" t="n">
        <v>45725</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42469-2021</t>
        </is>
      </c>
      <c r="B398" s="1" t="n">
        <v>44427</v>
      </c>
      <c r="C398" s="1" t="n">
        <v>45725</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42793-2021</t>
        </is>
      </c>
      <c r="B399" s="1" t="n">
        <v>44428</v>
      </c>
      <c r="C399" s="1" t="n">
        <v>45725</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42832-2021</t>
        </is>
      </c>
      <c r="B400" s="1" t="n">
        <v>44430</v>
      </c>
      <c r="C400" s="1" t="n">
        <v>45725</v>
      </c>
      <c r="D400" t="inlineStr">
        <is>
          <t>JÄMTLANDS LÄN</t>
        </is>
      </c>
      <c r="E400" t="inlineStr">
        <is>
          <t>ÖSTERSUND</t>
        </is>
      </c>
      <c r="G400" t="n">
        <v>9</v>
      </c>
      <c r="H400" t="n">
        <v>0</v>
      </c>
      <c r="I400" t="n">
        <v>0</v>
      </c>
      <c r="J400" t="n">
        <v>0</v>
      </c>
      <c r="K400" t="n">
        <v>0</v>
      </c>
      <c r="L400" t="n">
        <v>0</v>
      </c>
      <c r="M400" t="n">
        <v>0</v>
      </c>
      <c r="N400" t="n">
        <v>0</v>
      </c>
      <c r="O400" t="n">
        <v>0</v>
      </c>
      <c r="P400" t="n">
        <v>0</v>
      </c>
      <c r="Q400" t="n">
        <v>0</v>
      </c>
      <c r="R400" s="2" t="inlineStr"/>
    </row>
    <row r="401" ht="15" customHeight="1">
      <c r="A401" t="inlineStr">
        <is>
          <t>A 43310-2021</t>
        </is>
      </c>
      <c r="B401" s="1" t="n">
        <v>44432</v>
      </c>
      <c r="C401" s="1" t="n">
        <v>45725</v>
      </c>
      <c r="D401" t="inlineStr">
        <is>
          <t>JÄMTLANDS LÄN</t>
        </is>
      </c>
      <c r="E401" t="inlineStr">
        <is>
          <t>ÖSTERSUND</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44013-2021</t>
        </is>
      </c>
      <c r="B402" s="1" t="n">
        <v>44434</v>
      </c>
      <c r="C402" s="1" t="n">
        <v>45725</v>
      </c>
      <c r="D402" t="inlineStr">
        <is>
          <t>JÄMTLANDS LÄN</t>
        </is>
      </c>
      <c r="E402" t="inlineStr">
        <is>
          <t>ÖSTERSUND</t>
        </is>
      </c>
      <c r="G402" t="n">
        <v>1.9</v>
      </c>
      <c r="H402" t="n">
        <v>0</v>
      </c>
      <c r="I402" t="n">
        <v>0</v>
      </c>
      <c r="J402" t="n">
        <v>0</v>
      </c>
      <c r="K402" t="n">
        <v>0</v>
      </c>
      <c r="L402" t="n">
        <v>0</v>
      </c>
      <c r="M402" t="n">
        <v>0</v>
      </c>
      <c r="N402" t="n">
        <v>0</v>
      </c>
      <c r="O402" t="n">
        <v>0</v>
      </c>
      <c r="P402" t="n">
        <v>0</v>
      </c>
      <c r="Q402" t="n">
        <v>0</v>
      </c>
      <c r="R402" s="2" t="inlineStr"/>
    </row>
    <row r="403" ht="15" customHeight="1">
      <c r="A403" t="inlineStr">
        <is>
          <t>A 44051-2021</t>
        </is>
      </c>
      <c r="B403" s="1" t="n">
        <v>44434</v>
      </c>
      <c r="C403" s="1" t="n">
        <v>45725</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44267-2021</t>
        </is>
      </c>
      <c r="B404" s="1" t="n">
        <v>44434</v>
      </c>
      <c r="C404" s="1" t="n">
        <v>45725</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46002-2021</t>
        </is>
      </c>
      <c r="B405" s="1" t="n">
        <v>44441</v>
      </c>
      <c r="C405" s="1" t="n">
        <v>45725</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46004-2021</t>
        </is>
      </c>
      <c r="B406" s="1" t="n">
        <v>44441</v>
      </c>
      <c r="C406" s="1" t="n">
        <v>45725</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46111-2021</t>
        </is>
      </c>
      <c r="B407" s="1" t="n">
        <v>44441</v>
      </c>
      <c r="C407" s="1" t="n">
        <v>45725</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46139-2021</t>
        </is>
      </c>
      <c r="B408" s="1" t="n">
        <v>44441</v>
      </c>
      <c r="C408" s="1" t="n">
        <v>45725</v>
      </c>
      <c r="D408" t="inlineStr">
        <is>
          <t>JÄMTLANDS LÄN</t>
        </is>
      </c>
      <c r="E408" t="inlineStr">
        <is>
          <t>ÖSTERSUND</t>
        </is>
      </c>
      <c r="G408" t="n">
        <v>12.8</v>
      </c>
      <c r="H408" t="n">
        <v>0</v>
      </c>
      <c r="I408" t="n">
        <v>0</v>
      </c>
      <c r="J408" t="n">
        <v>0</v>
      </c>
      <c r="K408" t="n">
        <v>0</v>
      </c>
      <c r="L408" t="n">
        <v>0</v>
      </c>
      <c r="M408" t="n">
        <v>0</v>
      </c>
      <c r="N408" t="n">
        <v>0</v>
      </c>
      <c r="O408" t="n">
        <v>0</v>
      </c>
      <c r="P408" t="n">
        <v>0</v>
      </c>
      <c r="Q408" t="n">
        <v>0</v>
      </c>
      <c r="R408" s="2" t="inlineStr"/>
    </row>
    <row r="409" ht="15" customHeight="1">
      <c r="A409" t="inlineStr">
        <is>
          <t>A 48947-2021</t>
        </is>
      </c>
      <c r="B409" s="1" t="n">
        <v>44453</v>
      </c>
      <c r="C409" s="1" t="n">
        <v>45725</v>
      </c>
      <c r="D409" t="inlineStr">
        <is>
          <t>JÄMTLANDS LÄN</t>
        </is>
      </c>
      <c r="E409" t="inlineStr">
        <is>
          <t>ÖSTERSUND</t>
        </is>
      </c>
      <c r="G409" t="n">
        <v>22.3</v>
      </c>
      <c r="H409" t="n">
        <v>0</v>
      </c>
      <c r="I409" t="n">
        <v>0</v>
      </c>
      <c r="J409" t="n">
        <v>0</v>
      </c>
      <c r="K409" t="n">
        <v>0</v>
      </c>
      <c r="L409" t="n">
        <v>0</v>
      </c>
      <c r="M409" t="n">
        <v>0</v>
      </c>
      <c r="N409" t="n">
        <v>0</v>
      </c>
      <c r="O409" t="n">
        <v>0</v>
      </c>
      <c r="P409" t="n">
        <v>0</v>
      </c>
      <c r="Q409" t="n">
        <v>0</v>
      </c>
      <c r="R409" s="2" t="inlineStr"/>
    </row>
    <row r="410" ht="15" customHeight="1">
      <c r="A410" t="inlineStr">
        <is>
          <t>A 52913-2021</t>
        </is>
      </c>
      <c r="B410" s="1" t="n">
        <v>44466</v>
      </c>
      <c r="C410" s="1" t="n">
        <v>45725</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55302-2021</t>
        </is>
      </c>
      <c r="B411" s="1" t="n">
        <v>44475</v>
      </c>
      <c r="C411" s="1" t="n">
        <v>45725</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61631-2021</t>
        </is>
      </c>
      <c r="B412" s="1" t="n">
        <v>44501</v>
      </c>
      <c r="C412" s="1" t="n">
        <v>45725</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64092-2021</t>
        </is>
      </c>
      <c r="B413" s="1" t="n">
        <v>44510</v>
      </c>
      <c r="C413" s="1" t="n">
        <v>45725</v>
      </c>
      <c r="D413" t="inlineStr">
        <is>
          <t>JÄMTLANDS LÄN</t>
        </is>
      </c>
      <c r="E413" t="inlineStr">
        <is>
          <t>ÖSTERSUND</t>
        </is>
      </c>
      <c r="G413" t="n">
        <v>5.6</v>
      </c>
      <c r="H413" t="n">
        <v>0</v>
      </c>
      <c r="I413" t="n">
        <v>0</v>
      </c>
      <c r="J413" t="n">
        <v>0</v>
      </c>
      <c r="K413" t="n">
        <v>0</v>
      </c>
      <c r="L413" t="n">
        <v>0</v>
      </c>
      <c r="M413" t="n">
        <v>0</v>
      </c>
      <c r="N413" t="n">
        <v>0</v>
      </c>
      <c r="O413" t="n">
        <v>0</v>
      </c>
      <c r="P413" t="n">
        <v>0</v>
      </c>
      <c r="Q413" t="n">
        <v>0</v>
      </c>
      <c r="R413" s="2" t="inlineStr"/>
    </row>
    <row r="414" ht="15" customHeight="1">
      <c r="A414" t="inlineStr">
        <is>
          <t>A 64645-2021</t>
        </is>
      </c>
      <c r="B414" s="1" t="n">
        <v>44511</v>
      </c>
      <c r="C414" s="1" t="n">
        <v>45725</v>
      </c>
      <c r="D414" t="inlineStr">
        <is>
          <t>JÄMTLANDS LÄN</t>
        </is>
      </c>
      <c r="E414" t="inlineStr">
        <is>
          <t>ÖSTERSUND</t>
        </is>
      </c>
      <c r="G414" t="n">
        <v>3.2</v>
      </c>
      <c r="H414" t="n">
        <v>0</v>
      </c>
      <c r="I414" t="n">
        <v>0</v>
      </c>
      <c r="J414" t="n">
        <v>0</v>
      </c>
      <c r="K414" t="n">
        <v>0</v>
      </c>
      <c r="L414" t="n">
        <v>0</v>
      </c>
      <c r="M414" t="n">
        <v>0</v>
      </c>
      <c r="N414" t="n">
        <v>0</v>
      </c>
      <c r="O414" t="n">
        <v>0</v>
      </c>
      <c r="P414" t="n">
        <v>0</v>
      </c>
      <c r="Q414" t="n">
        <v>0</v>
      </c>
      <c r="R414" s="2" t="inlineStr"/>
    </row>
    <row r="415" ht="15" customHeight="1">
      <c r="A415" t="inlineStr">
        <is>
          <t>A 65428-2021</t>
        </is>
      </c>
      <c r="B415" s="1" t="n">
        <v>44515</v>
      </c>
      <c r="C415" s="1" t="n">
        <v>45725</v>
      </c>
      <c r="D415" t="inlineStr">
        <is>
          <t>JÄMTLANDS LÄN</t>
        </is>
      </c>
      <c r="E415" t="inlineStr">
        <is>
          <t>ÖSTERSUND</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65866-2021</t>
        </is>
      </c>
      <c r="B416" s="1" t="n">
        <v>44516</v>
      </c>
      <c r="C416" s="1" t="n">
        <v>45725</v>
      </c>
      <c r="D416" t="inlineStr">
        <is>
          <t>JÄMTLANDS LÄN</t>
        </is>
      </c>
      <c r="E416" t="inlineStr">
        <is>
          <t>ÖSTERSUND</t>
        </is>
      </c>
      <c r="G416" t="n">
        <v>2.6</v>
      </c>
      <c r="H416" t="n">
        <v>0</v>
      </c>
      <c r="I416" t="n">
        <v>0</v>
      </c>
      <c r="J416" t="n">
        <v>0</v>
      </c>
      <c r="K416" t="n">
        <v>0</v>
      </c>
      <c r="L416" t="n">
        <v>0</v>
      </c>
      <c r="M416" t="n">
        <v>0</v>
      </c>
      <c r="N416" t="n">
        <v>0</v>
      </c>
      <c r="O416" t="n">
        <v>0</v>
      </c>
      <c r="P416" t="n">
        <v>0</v>
      </c>
      <c r="Q416" t="n">
        <v>0</v>
      </c>
      <c r="R416" s="2" t="inlineStr"/>
    </row>
    <row r="417" ht="15" customHeight="1">
      <c r="A417" t="inlineStr">
        <is>
          <t>A 65991-2021</t>
        </is>
      </c>
      <c r="B417" s="1" t="n">
        <v>44517</v>
      </c>
      <c r="C417" s="1" t="n">
        <v>45725</v>
      </c>
      <c r="D417" t="inlineStr">
        <is>
          <t>JÄMTLANDS LÄN</t>
        </is>
      </c>
      <c r="E417" t="inlineStr">
        <is>
          <t>ÖSTERSUND</t>
        </is>
      </c>
      <c r="G417" t="n">
        <v>4.3</v>
      </c>
      <c r="H417" t="n">
        <v>0</v>
      </c>
      <c r="I417" t="n">
        <v>0</v>
      </c>
      <c r="J417" t="n">
        <v>0</v>
      </c>
      <c r="K417" t="n">
        <v>0</v>
      </c>
      <c r="L417" t="n">
        <v>0</v>
      </c>
      <c r="M417" t="n">
        <v>0</v>
      </c>
      <c r="N417" t="n">
        <v>0</v>
      </c>
      <c r="O417" t="n">
        <v>0</v>
      </c>
      <c r="P417" t="n">
        <v>0</v>
      </c>
      <c r="Q417" t="n">
        <v>0</v>
      </c>
      <c r="R417" s="2" t="inlineStr"/>
    </row>
    <row r="418" ht="15" customHeight="1">
      <c r="A418" t="inlineStr">
        <is>
          <t>A 66940-2021</t>
        </is>
      </c>
      <c r="B418" s="1" t="n">
        <v>44522</v>
      </c>
      <c r="C418" s="1" t="n">
        <v>45725</v>
      </c>
      <c r="D418" t="inlineStr">
        <is>
          <t>JÄMTLANDS LÄN</t>
        </is>
      </c>
      <c r="E418" t="inlineStr">
        <is>
          <t>ÖSTERSUND</t>
        </is>
      </c>
      <c r="G418" t="n">
        <v>3.6</v>
      </c>
      <c r="H418" t="n">
        <v>0</v>
      </c>
      <c r="I418" t="n">
        <v>0</v>
      </c>
      <c r="J418" t="n">
        <v>0</v>
      </c>
      <c r="K418" t="n">
        <v>0</v>
      </c>
      <c r="L418" t="n">
        <v>0</v>
      </c>
      <c r="M418" t="n">
        <v>0</v>
      </c>
      <c r="N418" t="n">
        <v>0</v>
      </c>
      <c r="O418" t="n">
        <v>0</v>
      </c>
      <c r="P418" t="n">
        <v>0</v>
      </c>
      <c r="Q418" t="n">
        <v>0</v>
      </c>
      <c r="R418" s="2" t="inlineStr"/>
    </row>
    <row r="419" ht="15" customHeight="1">
      <c r="A419" t="inlineStr">
        <is>
          <t>A 67695-2021</t>
        </is>
      </c>
      <c r="B419" s="1" t="n">
        <v>44524</v>
      </c>
      <c r="C419" s="1" t="n">
        <v>45725</v>
      </c>
      <c r="D419" t="inlineStr">
        <is>
          <t>JÄMTLANDS LÄN</t>
        </is>
      </c>
      <c r="E419" t="inlineStr">
        <is>
          <t>ÖSTERSUND</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67694-2021</t>
        </is>
      </c>
      <c r="B420" s="1" t="n">
        <v>44524</v>
      </c>
      <c r="C420" s="1" t="n">
        <v>45725</v>
      </c>
      <c r="D420" t="inlineStr">
        <is>
          <t>JÄMTLANDS LÄN</t>
        </is>
      </c>
      <c r="E420" t="inlineStr">
        <is>
          <t>ÖSTERSUND</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69190-2021</t>
        </is>
      </c>
      <c r="B421" s="1" t="n">
        <v>44529</v>
      </c>
      <c r="C421" s="1" t="n">
        <v>45725</v>
      </c>
      <c r="D421" t="inlineStr">
        <is>
          <t>JÄMTLANDS LÄN</t>
        </is>
      </c>
      <c r="E421" t="inlineStr">
        <is>
          <t>ÖSTERSUND</t>
        </is>
      </c>
      <c r="G421" t="n">
        <v>4.2</v>
      </c>
      <c r="H421" t="n">
        <v>0</v>
      </c>
      <c r="I421" t="n">
        <v>0</v>
      </c>
      <c r="J421" t="n">
        <v>0</v>
      </c>
      <c r="K421" t="n">
        <v>0</v>
      </c>
      <c r="L421" t="n">
        <v>0</v>
      </c>
      <c r="M421" t="n">
        <v>0</v>
      </c>
      <c r="N421" t="n">
        <v>0</v>
      </c>
      <c r="O421" t="n">
        <v>0</v>
      </c>
      <c r="P421" t="n">
        <v>0</v>
      </c>
      <c r="Q421" t="n">
        <v>0</v>
      </c>
      <c r="R421" s="2" t="inlineStr"/>
    </row>
    <row r="422" ht="15" customHeight="1">
      <c r="A422" t="inlineStr">
        <is>
          <t>A 70256-2021</t>
        </is>
      </c>
      <c r="B422" s="1" t="n">
        <v>44533</v>
      </c>
      <c r="C422" s="1" t="n">
        <v>45725</v>
      </c>
      <c r="D422" t="inlineStr">
        <is>
          <t>JÄMTLANDS LÄN</t>
        </is>
      </c>
      <c r="E422" t="inlineStr">
        <is>
          <t>ÖSTERSUND</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70678-2021</t>
        </is>
      </c>
      <c r="B423" s="1" t="n">
        <v>44537</v>
      </c>
      <c r="C423" s="1" t="n">
        <v>45725</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70816-2021</t>
        </is>
      </c>
      <c r="B424" s="1" t="n">
        <v>44537</v>
      </c>
      <c r="C424" s="1" t="n">
        <v>45725</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71823-2021</t>
        </is>
      </c>
      <c r="B425" s="1" t="n">
        <v>44539</v>
      </c>
      <c r="C425" s="1" t="n">
        <v>45725</v>
      </c>
      <c r="D425" t="inlineStr">
        <is>
          <t>JÄMTLANDS LÄN</t>
        </is>
      </c>
      <c r="E425" t="inlineStr">
        <is>
          <t>ÖSTERSUND</t>
        </is>
      </c>
      <c r="G425" t="n">
        <v>10.5</v>
      </c>
      <c r="H425" t="n">
        <v>0</v>
      </c>
      <c r="I425" t="n">
        <v>0</v>
      </c>
      <c r="J425" t="n">
        <v>0</v>
      </c>
      <c r="K425" t="n">
        <v>0</v>
      </c>
      <c r="L425" t="n">
        <v>0</v>
      </c>
      <c r="M425" t="n">
        <v>0</v>
      </c>
      <c r="N425" t="n">
        <v>0</v>
      </c>
      <c r="O425" t="n">
        <v>0</v>
      </c>
      <c r="P425" t="n">
        <v>0</v>
      </c>
      <c r="Q425" t="n">
        <v>0</v>
      </c>
      <c r="R425" s="2" t="inlineStr"/>
    </row>
    <row r="426" ht="15" customHeight="1">
      <c r="A426" t="inlineStr">
        <is>
          <t>A 72089-2021</t>
        </is>
      </c>
      <c r="B426" s="1" t="n">
        <v>44540</v>
      </c>
      <c r="C426" s="1" t="n">
        <v>45725</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72041-2021</t>
        </is>
      </c>
      <c r="B427" s="1" t="n">
        <v>44540</v>
      </c>
      <c r="C427" s="1" t="n">
        <v>45725</v>
      </c>
      <c r="D427" t="inlineStr">
        <is>
          <t>JÄMTLANDS LÄN</t>
        </is>
      </c>
      <c r="E427" t="inlineStr">
        <is>
          <t>ÖSTERSUND</t>
        </is>
      </c>
      <c r="G427" t="n">
        <v>0.4</v>
      </c>
      <c r="H427" t="n">
        <v>0</v>
      </c>
      <c r="I427" t="n">
        <v>0</v>
      </c>
      <c r="J427" t="n">
        <v>0</v>
      </c>
      <c r="K427" t="n">
        <v>0</v>
      </c>
      <c r="L427" t="n">
        <v>0</v>
      </c>
      <c r="M427" t="n">
        <v>0</v>
      </c>
      <c r="N427" t="n">
        <v>0</v>
      </c>
      <c r="O427" t="n">
        <v>0</v>
      </c>
      <c r="P427" t="n">
        <v>0</v>
      </c>
      <c r="Q427" t="n">
        <v>0</v>
      </c>
      <c r="R427" s="2" t="inlineStr"/>
    </row>
    <row r="428" ht="15" customHeight="1">
      <c r="A428" t="inlineStr">
        <is>
          <t>A 72258-2021</t>
        </is>
      </c>
      <c r="B428" s="1" t="n">
        <v>44540</v>
      </c>
      <c r="C428" s="1" t="n">
        <v>45725</v>
      </c>
      <c r="D428" t="inlineStr">
        <is>
          <t>JÄMTLANDS LÄN</t>
        </is>
      </c>
      <c r="E428" t="inlineStr">
        <is>
          <t>ÖSTERSUND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72061-2021</t>
        </is>
      </c>
      <c r="B429" s="1" t="n">
        <v>44540</v>
      </c>
      <c r="C429" s="1" t="n">
        <v>45725</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71956-2021</t>
        </is>
      </c>
      <c r="B430" s="1" t="n">
        <v>44544</v>
      </c>
      <c r="C430" s="1" t="n">
        <v>45725</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72938-2021</t>
        </is>
      </c>
      <c r="B431" s="1" t="n">
        <v>44547</v>
      </c>
      <c r="C431" s="1" t="n">
        <v>45725</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73078-2021</t>
        </is>
      </c>
      <c r="B432" s="1" t="n">
        <v>44550</v>
      </c>
      <c r="C432" s="1" t="n">
        <v>45725</v>
      </c>
      <c r="D432" t="inlineStr">
        <is>
          <t>JÄMTLANDS LÄN</t>
        </is>
      </c>
      <c r="E432" t="inlineStr">
        <is>
          <t>ÖSTERSUND</t>
        </is>
      </c>
      <c r="G432" t="n">
        <v>1.2</v>
      </c>
      <c r="H432" t="n">
        <v>0</v>
      </c>
      <c r="I432" t="n">
        <v>0</v>
      </c>
      <c r="J432" t="n">
        <v>0</v>
      </c>
      <c r="K432" t="n">
        <v>0</v>
      </c>
      <c r="L432" t="n">
        <v>0</v>
      </c>
      <c r="M432" t="n">
        <v>0</v>
      </c>
      <c r="N432" t="n">
        <v>0</v>
      </c>
      <c r="O432" t="n">
        <v>0</v>
      </c>
      <c r="P432" t="n">
        <v>0</v>
      </c>
      <c r="Q432" t="n">
        <v>0</v>
      </c>
      <c r="R432" s="2" t="inlineStr"/>
    </row>
    <row r="433" ht="15" customHeight="1">
      <c r="A433" t="inlineStr">
        <is>
          <t>A 73066-2021</t>
        </is>
      </c>
      <c r="B433" s="1" t="n">
        <v>44550</v>
      </c>
      <c r="C433" s="1" t="n">
        <v>45725</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73875-2021</t>
        </is>
      </c>
      <c r="B434" s="1" t="n">
        <v>44553</v>
      </c>
      <c r="C434" s="1" t="n">
        <v>45725</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73870-2021</t>
        </is>
      </c>
      <c r="B435" s="1" t="n">
        <v>44553</v>
      </c>
      <c r="C435" s="1" t="n">
        <v>45725</v>
      </c>
      <c r="D435" t="inlineStr">
        <is>
          <t>JÄMTLANDS LÄN</t>
        </is>
      </c>
      <c r="E435" t="inlineStr">
        <is>
          <t>ÖSTERSUND</t>
        </is>
      </c>
      <c r="G435" t="n">
        <v>5.3</v>
      </c>
      <c r="H435" t="n">
        <v>0</v>
      </c>
      <c r="I435" t="n">
        <v>0</v>
      </c>
      <c r="J435" t="n">
        <v>0</v>
      </c>
      <c r="K435" t="n">
        <v>0</v>
      </c>
      <c r="L435" t="n">
        <v>0</v>
      </c>
      <c r="M435" t="n">
        <v>0</v>
      </c>
      <c r="N435" t="n">
        <v>0</v>
      </c>
      <c r="O435" t="n">
        <v>0</v>
      </c>
      <c r="P435" t="n">
        <v>0</v>
      </c>
      <c r="Q435" t="n">
        <v>0</v>
      </c>
      <c r="R435" s="2" t="inlineStr"/>
    </row>
    <row r="436" ht="15" customHeight="1">
      <c r="A436" t="inlineStr">
        <is>
          <t>A 154-2022</t>
        </is>
      </c>
      <c r="B436" s="1" t="n">
        <v>44561</v>
      </c>
      <c r="C436" s="1" t="n">
        <v>45725</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231-2022</t>
        </is>
      </c>
      <c r="B437" s="1" t="n">
        <v>44564</v>
      </c>
      <c r="C437" s="1" t="n">
        <v>45725</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681-2022</t>
        </is>
      </c>
      <c r="B438" s="1" t="n">
        <v>44566</v>
      </c>
      <c r="C438" s="1" t="n">
        <v>45725</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695-2022</t>
        </is>
      </c>
      <c r="B439" s="1" t="n">
        <v>44566</v>
      </c>
      <c r="C439" s="1" t="n">
        <v>45725</v>
      </c>
      <c r="D439" t="inlineStr">
        <is>
          <t>JÄMTLANDS LÄN</t>
        </is>
      </c>
      <c r="E439" t="inlineStr">
        <is>
          <t>ÖSTERSUND</t>
        </is>
      </c>
      <c r="G439" t="n">
        <v>14.9</v>
      </c>
      <c r="H439" t="n">
        <v>0</v>
      </c>
      <c r="I439" t="n">
        <v>0</v>
      </c>
      <c r="J439" t="n">
        <v>0</v>
      </c>
      <c r="K439" t="n">
        <v>0</v>
      </c>
      <c r="L439" t="n">
        <v>0</v>
      </c>
      <c r="M439" t="n">
        <v>0</v>
      </c>
      <c r="N439" t="n">
        <v>0</v>
      </c>
      <c r="O439" t="n">
        <v>0</v>
      </c>
      <c r="P439" t="n">
        <v>0</v>
      </c>
      <c r="Q439" t="n">
        <v>0</v>
      </c>
      <c r="R439" s="2" t="inlineStr"/>
    </row>
    <row r="440" ht="15" customHeight="1">
      <c r="A440" t="inlineStr">
        <is>
          <t>A 2431-2022</t>
        </is>
      </c>
      <c r="B440" s="1" t="n">
        <v>44579</v>
      </c>
      <c r="C440" s="1" t="n">
        <v>45725</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45725</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2880-2022</t>
        </is>
      </c>
      <c r="B442" s="1" t="n">
        <v>44581</v>
      </c>
      <c r="C442" s="1" t="n">
        <v>45725</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3016-2022</t>
        </is>
      </c>
      <c r="B443" s="1" t="n">
        <v>44581</v>
      </c>
      <c r="C443" s="1" t="n">
        <v>45725</v>
      </c>
      <c r="D443" t="inlineStr">
        <is>
          <t>JÄMTLANDS LÄN</t>
        </is>
      </c>
      <c r="E443" t="inlineStr">
        <is>
          <t>ÖSTERSUND</t>
        </is>
      </c>
      <c r="G443" t="n">
        <v>3.3</v>
      </c>
      <c r="H443" t="n">
        <v>0</v>
      </c>
      <c r="I443" t="n">
        <v>0</v>
      </c>
      <c r="J443" t="n">
        <v>0</v>
      </c>
      <c r="K443" t="n">
        <v>0</v>
      </c>
      <c r="L443" t="n">
        <v>0</v>
      </c>
      <c r="M443" t="n">
        <v>0</v>
      </c>
      <c r="N443" t="n">
        <v>0</v>
      </c>
      <c r="O443" t="n">
        <v>0</v>
      </c>
      <c r="P443" t="n">
        <v>0</v>
      </c>
      <c r="Q443" t="n">
        <v>0</v>
      </c>
      <c r="R443" s="2" t="inlineStr"/>
    </row>
    <row r="444" ht="15" customHeight="1">
      <c r="A444" t="inlineStr">
        <is>
          <t>A 5145-2022</t>
        </is>
      </c>
      <c r="B444" s="1" t="n">
        <v>44594</v>
      </c>
      <c r="C444" s="1" t="n">
        <v>45725</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5670-2022</t>
        </is>
      </c>
      <c r="B445" s="1" t="n">
        <v>44595</v>
      </c>
      <c r="C445" s="1" t="n">
        <v>45725</v>
      </c>
      <c r="D445" t="inlineStr">
        <is>
          <t>JÄMTLANDS LÄN</t>
        </is>
      </c>
      <c r="E445" t="inlineStr">
        <is>
          <t>ÖSTERSUND</t>
        </is>
      </c>
      <c r="G445" t="n">
        <v>2.7</v>
      </c>
      <c r="H445" t="n">
        <v>0</v>
      </c>
      <c r="I445" t="n">
        <v>0</v>
      </c>
      <c r="J445" t="n">
        <v>0</v>
      </c>
      <c r="K445" t="n">
        <v>0</v>
      </c>
      <c r="L445" t="n">
        <v>0</v>
      </c>
      <c r="M445" t="n">
        <v>0</v>
      </c>
      <c r="N445" t="n">
        <v>0</v>
      </c>
      <c r="O445" t="n">
        <v>0</v>
      </c>
      <c r="P445" t="n">
        <v>0</v>
      </c>
      <c r="Q445" t="n">
        <v>0</v>
      </c>
      <c r="R445" s="2" t="inlineStr"/>
    </row>
    <row r="446" ht="15" customHeight="1">
      <c r="A446" t="inlineStr">
        <is>
          <t>A 6013-2022</t>
        </is>
      </c>
      <c r="B446" s="1" t="n">
        <v>44599</v>
      </c>
      <c r="C446" s="1" t="n">
        <v>45725</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6458-2022</t>
        </is>
      </c>
      <c r="B447" s="1" t="n">
        <v>44601</v>
      </c>
      <c r="C447" s="1" t="n">
        <v>45725</v>
      </c>
      <c r="D447" t="inlineStr">
        <is>
          <t>JÄMTLANDS LÄN</t>
        </is>
      </c>
      <c r="E447" t="inlineStr">
        <is>
          <t>ÖSTERSUND</t>
        </is>
      </c>
      <c r="G447" t="n">
        <v>3.1</v>
      </c>
      <c r="H447" t="n">
        <v>0</v>
      </c>
      <c r="I447" t="n">
        <v>0</v>
      </c>
      <c r="J447" t="n">
        <v>0</v>
      </c>
      <c r="K447" t="n">
        <v>0</v>
      </c>
      <c r="L447" t="n">
        <v>0</v>
      </c>
      <c r="M447" t="n">
        <v>0</v>
      </c>
      <c r="N447" t="n">
        <v>0</v>
      </c>
      <c r="O447" t="n">
        <v>0</v>
      </c>
      <c r="P447" t="n">
        <v>0</v>
      </c>
      <c r="Q447" t="n">
        <v>0</v>
      </c>
      <c r="R447" s="2" t="inlineStr"/>
    </row>
    <row r="448" ht="15" customHeight="1">
      <c r="A448" t="inlineStr">
        <is>
          <t>A 7573-2022</t>
        </is>
      </c>
      <c r="B448" s="1" t="n">
        <v>44607</v>
      </c>
      <c r="C448" s="1" t="n">
        <v>45725</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45725</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8227-2022</t>
        </is>
      </c>
      <c r="B450" s="1" t="n">
        <v>44609</v>
      </c>
      <c r="C450" s="1" t="n">
        <v>45725</v>
      </c>
      <c r="D450" t="inlineStr">
        <is>
          <t>JÄMTLANDS LÄN</t>
        </is>
      </c>
      <c r="E450" t="inlineStr">
        <is>
          <t>ÖSTERSUND</t>
        </is>
      </c>
      <c r="G450" t="n">
        <v>6.6</v>
      </c>
      <c r="H450" t="n">
        <v>0</v>
      </c>
      <c r="I450" t="n">
        <v>0</v>
      </c>
      <c r="J450" t="n">
        <v>0</v>
      </c>
      <c r="K450" t="n">
        <v>0</v>
      </c>
      <c r="L450" t="n">
        <v>0</v>
      </c>
      <c r="M450" t="n">
        <v>0</v>
      </c>
      <c r="N450" t="n">
        <v>0</v>
      </c>
      <c r="O450" t="n">
        <v>0</v>
      </c>
      <c r="P450" t="n">
        <v>0</v>
      </c>
      <c r="Q450" t="n">
        <v>0</v>
      </c>
      <c r="R450" s="2" t="inlineStr"/>
    </row>
    <row r="451" ht="15" customHeight="1">
      <c r="A451" t="inlineStr">
        <is>
          <t>A 8647-2022</t>
        </is>
      </c>
      <c r="B451" s="1" t="n">
        <v>44613</v>
      </c>
      <c r="C451" s="1" t="n">
        <v>45725</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8972-2022</t>
        </is>
      </c>
      <c r="B452" s="1" t="n">
        <v>44614</v>
      </c>
      <c r="C452" s="1" t="n">
        <v>45725</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11740-2022</t>
        </is>
      </c>
      <c r="B453" s="1" t="n">
        <v>44634</v>
      </c>
      <c r="C453" s="1" t="n">
        <v>45725</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11933-2022</t>
        </is>
      </c>
      <c r="B454" s="1" t="n">
        <v>44635</v>
      </c>
      <c r="C454" s="1" t="n">
        <v>45725</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12301-2022</t>
        </is>
      </c>
      <c r="B455" s="1" t="n">
        <v>44637</v>
      </c>
      <c r="C455" s="1" t="n">
        <v>45725</v>
      </c>
      <c r="D455" t="inlineStr">
        <is>
          <t>JÄMTLANDS LÄN</t>
        </is>
      </c>
      <c r="E455" t="inlineStr">
        <is>
          <t>ÖSTERSUND</t>
        </is>
      </c>
      <c r="G455" t="n">
        <v>5.8</v>
      </c>
      <c r="H455" t="n">
        <v>0</v>
      </c>
      <c r="I455" t="n">
        <v>0</v>
      </c>
      <c r="J455" t="n">
        <v>0</v>
      </c>
      <c r="K455" t="n">
        <v>0</v>
      </c>
      <c r="L455" t="n">
        <v>0</v>
      </c>
      <c r="M455" t="n">
        <v>0</v>
      </c>
      <c r="N455" t="n">
        <v>0</v>
      </c>
      <c r="O455" t="n">
        <v>0</v>
      </c>
      <c r="P455" t="n">
        <v>0</v>
      </c>
      <c r="Q455" t="n">
        <v>0</v>
      </c>
      <c r="R455" s="2" t="inlineStr"/>
    </row>
    <row r="456" ht="15" customHeight="1">
      <c r="A456" t="inlineStr">
        <is>
          <t>A 12285-2022</t>
        </is>
      </c>
      <c r="B456" s="1" t="n">
        <v>44637</v>
      </c>
      <c r="C456" s="1" t="n">
        <v>45725</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12946-2022</t>
        </is>
      </c>
      <c r="B457" s="1" t="n">
        <v>44642</v>
      </c>
      <c r="C457" s="1" t="n">
        <v>45725</v>
      </c>
      <c r="D457" t="inlineStr">
        <is>
          <t>JÄMTLANDS LÄN</t>
        </is>
      </c>
      <c r="E457" t="inlineStr">
        <is>
          <t>ÖSTERSUND</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13024-2022</t>
        </is>
      </c>
      <c r="B458" s="1" t="n">
        <v>44643</v>
      </c>
      <c r="C458" s="1" t="n">
        <v>45725</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14653-2022</t>
        </is>
      </c>
      <c r="B459" s="1" t="n">
        <v>44655</v>
      </c>
      <c r="C459" s="1" t="n">
        <v>45725</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14657-2022</t>
        </is>
      </c>
      <c r="B460" s="1" t="n">
        <v>44655</v>
      </c>
      <c r="C460" s="1" t="n">
        <v>45725</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14658-2022</t>
        </is>
      </c>
      <c r="B461" s="1" t="n">
        <v>44655</v>
      </c>
      <c r="C461" s="1" t="n">
        <v>45725</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16025-2022</t>
        </is>
      </c>
      <c r="B462" s="1" t="n">
        <v>44665</v>
      </c>
      <c r="C462" s="1" t="n">
        <v>45725</v>
      </c>
      <c r="D462" t="inlineStr">
        <is>
          <t>JÄMTLANDS LÄN</t>
        </is>
      </c>
      <c r="E462" t="inlineStr">
        <is>
          <t>ÖSTERSUND</t>
        </is>
      </c>
      <c r="G462" t="n">
        <v>6</v>
      </c>
      <c r="H462" t="n">
        <v>0</v>
      </c>
      <c r="I462" t="n">
        <v>0</v>
      </c>
      <c r="J462" t="n">
        <v>0</v>
      </c>
      <c r="K462" t="n">
        <v>0</v>
      </c>
      <c r="L462" t="n">
        <v>0</v>
      </c>
      <c r="M462" t="n">
        <v>0</v>
      </c>
      <c r="N462" t="n">
        <v>0</v>
      </c>
      <c r="O462" t="n">
        <v>0</v>
      </c>
      <c r="P462" t="n">
        <v>0</v>
      </c>
      <c r="Q462" t="n">
        <v>0</v>
      </c>
      <c r="R462" s="2" t="inlineStr"/>
    </row>
    <row r="463" ht="15" customHeight="1">
      <c r="A463" t="inlineStr">
        <is>
          <t>A 16034-2022</t>
        </is>
      </c>
      <c r="B463" s="1" t="n">
        <v>44665</v>
      </c>
      <c r="C463" s="1" t="n">
        <v>45725</v>
      </c>
      <c r="D463" t="inlineStr">
        <is>
          <t>JÄMTLANDS LÄN</t>
        </is>
      </c>
      <c r="E463" t="inlineStr">
        <is>
          <t>ÖSTERSUND</t>
        </is>
      </c>
      <c r="G463" t="n">
        <v>5.2</v>
      </c>
      <c r="H463" t="n">
        <v>0</v>
      </c>
      <c r="I463" t="n">
        <v>0</v>
      </c>
      <c r="J463" t="n">
        <v>0</v>
      </c>
      <c r="K463" t="n">
        <v>0</v>
      </c>
      <c r="L463" t="n">
        <v>0</v>
      </c>
      <c r="M463" t="n">
        <v>0</v>
      </c>
      <c r="N463" t="n">
        <v>0</v>
      </c>
      <c r="O463" t="n">
        <v>0</v>
      </c>
      <c r="P463" t="n">
        <v>0</v>
      </c>
      <c r="Q463" t="n">
        <v>0</v>
      </c>
      <c r="R463" s="2" t="inlineStr"/>
    </row>
    <row r="464" ht="15" customHeight="1">
      <c r="A464" t="inlineStr">
        <is>
          <t>A 17574-2022</t>
        </is>
      </c>
      <c r="B464" s="1" t="n">
        <v>44680</v>
      </c>
      <c r="C464" s="1" t="n">
        <v>45725</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17732-2022</t>
        </is>
      </c>
      <c r="B465" s="1" t="n">
        <v>44681</v>
      </c>
      <c r="C465" s="1" t="n">
        <v>45725</v>
      </c>
      <c r="D465" t="inlineStr">
        <is>
          <t>JÄMTLANDS LÄN</t>
        </is>
      </c>
      <c r="E465" t="inlineStr">
        <is>
          <t>ÖSTERSUND</t>
        </is>
      </c>
      <c r="G465" t="n">
        <v>5.4</v>
      </c>
      <c r="H465" t="n">
        <v>0</v>
      </c>
      <c r="I465" t="n">
        <v>0</v>
      </c>
      <c r="J465" t="n">
        <v>0</v>
      </c>
      <c r="K465" t="n">
        <v>0</v>
      </c>
      <c r="L465" t="n">
        <v>0</v>
      </c>
      <c r="M465" t="n">
        <v>0</v>
      </c>
      <c r="N465" t="n">
        <v>0</v>
      </c>
      <c r="O465" t="n">
        <v>0</v>
      </c>
      <c r="P465" t="n">
        <v>0</v>
      </c>
      <c r="Q465" t="n">
        <v>0</v>
      </c>
      <c r="R465" s="2" t="inlineStr"/>
    </row>
    <row r="466" ht="15" customHeight="1">
      <c r="A466" t="inlineStr">
        <is>
          <t>A 17734-2022</t>
        </is>
      </c>
      <c r="B466" s="1" t="n">
        <v>44680</v>
      </c>
      <c r="C466" s="1" t="n">
        <v>45725</v>
      </c>
      <c r="D466" t="inlineStr">
        <is>
          <t>JÄMTLANDS LÄN</t>
        </is>
      </c>
      <c r="E466" t="inlineStr">
        <is>
          <t>ÖSTERSUND</t>
        </is>
      </c>
      <c r="G466" t="n">
        <v>26.4</v>
      </c>
      <c r="H466" t="n">
        <v>0</v>
      </c>
      <c r="I466" t="n">
        <v>0</v>
      </c>
      <c r="J466" t="n">
        <v>0</v>
      </c>
      <c r="K466" t="n">
        <v>0</v>
      </c>
      <c r="L466" t="n">
        <v>0</v>
      </c>
      <c r="M466" t="n">
        <v>0</v>
      </c>
      <c r="N466" t="n">
        <v>0</v>
      </c>
      <c r="O466" t="n">
        <v>0</v>
      </c>
      <c r="P466" t="n">
        <v>0</v>
      </c>
      <c r="Q466" t="n">
        <v>0</v>
      </c>
      <c r="R466" s="2" t="inlineStr"/>
    </row>
    <row r="467" ht="15" customHeight="1">
      <c r="A467" t="inlineStr">
        <is>
          <t>A 20960-2022</t>
        </is>
      </c>
      <c r="B467" s="1" t="n">
        <v>44702</v>
      </c>
      <c r="C467" s="1" t="n">
        <v>45725</v>
      </c>
      <c r="D467" t="inlineStr">
        <is>
          <t>JÄMTLANDS LÄN</t>
        </is>
      </c>
      <c r="E467" t="inlineStr">
        <is>
          <t>ÖSTERSUND</t>
        </is>
      </c>
      <c r="G467" t="n">
        <v>3.6</v>
      </c>
      <c r="H467" t="n">
        <v>0</v>
      </c>
      <c r="I467" t="n">
        <v>0</v>
      </c>
      <c r="J467" t="n">
        <v>0</v>
      </c>
      <c r="K467" t="n">
        <v>0</v>
      </c>
      <c r="L467" t="n">
        <v>0</v>
      </c>
      <c r="M467" t="n">
        <v>0</v>
      </c>
      <c r="N467" t="n">
        <v>0</v>
      </c>
      <c r="O467" t="n">
        <v>0</v>
      </c>
      <c r="P467" t="n">
        <v>0</v>
      </c>
      <c r="Q467" t="n">
        <v>0</v>
      </c>
      <c r="R467" s="2" t="inlineStr"/>
    </row>
    <row r="468" ht="15" customHeight="1">
      <c r="A468" t="inlineStr">
        <is>
          <t>A 20983-2022</t>
        </is>
      </c>
      <c r="B468" s="1" t="n">
        <v>44703</v>
      </c>
      <c r="C468" s="1" t="n">
        <v>45725</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21211-2022</t>
        </is>
      </c>
      <c r="B469" s="1" t="n">
        <v>44705</v>
      </c>
      <c r="C469" s="1" t="n">
        <v>45725</v>
      </c>
      <c r="D469" t="inlineStr">
        <is>
          <t>JÄMTLANDS LÄN</t>
        </is>
      </c>
      <c r="E469" t="inlineStr">
        <is>
          <t>ÖSTERSUND</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21495-2022</t>
        </is>
      </c>
      <c r="B470" s="1" t="n">
        <v>44706</v>
      </c>
      <c r="C470" s="1" t="n">
        <v>45725</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22083-2022</t>
        </is>
      </c>
      <c r="B471" s="1" t="n">
        <v>44711</v>
      </c>
      <c r="C471" s="1" t="n">
        <v>45725</v>
      </c>
      <c r="D471" t="inlineStr">
        <is>
          <t>JÄMTLANDS LÄN</t>
        </is>
      </c>
      <c r="E471" t="inlineStr">
        <is>
          <t>ÖSTERSUND</t>
        </is>
      </c>
      <c r="G471" t="n">
        <v>2.1</v>
      </c>
      <c r="H471" t="n">
        <v>0</v>
      </c>
      <c r="I471" t="n">
        <v>0</v>
      </c>
      <c r="J471" t="n">
        <v>0</v>
      </c>
      <c r="K471" t="n">
        <v>0</v>
      </c>
      <c r="L471" t="n">
        <v>0</v>
      </c>
      <c r="M471" t="n">
        <v>0</v>
      </c>
      <c r="N471" t="n">
        <v>0</v>
      </c>
      <c r="O471" t="n">
        <v>0</v>
      </c>
      <c r="P471" t="n">
        <v>0</v>
      </c>
      <c r="Q471" t="n">
        <v>0</v>
      </c>
      <c r="R471" s="2" t="inlineStr"/>
    </row>
    <row r="472" ht="15" customHeight="1">
      <c r="A472" t="inlineStr">
        <is>
          <t>A 22085-2022</t>
        </is>
      </c>
      <c r="B472" s="1" t="n">
        <v>44711</v>
      </c>
      <c r="C472" s="1" t="n">
        <v>45725</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22084-2022</t>
        </is>
      </c>
      <c r="B473" s="1" t="n">
        <v>44711</v>
      </c>
      <c r="C473" s="1" t="n">
        <v>45725</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22082-2022</t>
        </is>
      </c>
      <c r="B474" s="1" t="n">
        <v>44712</v>
      </c>
      <c r="C474" s="1" t="n">
        <v>45725</v>
      </c>
      <c r="D474" t="inlineStr">
        <is>
          <t>JÄMTLANDS LÄN</t>
        </is>
      </c>
      <c r="E474" t="inlineStr">
        <is>
          <t>ÖSTERSUND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23555-2022</t>
        </is>
      </c>
      <c r="B475" s="1" t="n">
        <v>44721</v>
      </c>
      <c r="C475" s="1" t="n">
        <v>45725</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23563-2022</t>
        </is>
      </c>
      <c r="B476" s="1" t="n">
        <v>44721</v>
      </c>
      <c r="C476" s="1" t="n">
        <v>45725</v>
      </c>
      <c r="D476" t="inlineStr">
        <is>
          <t>JÄMTLANDS LÄN</t>
        </is>
      </c>
      <c r="E476" t="inlineStr">
        <is>
          <t>ÖSTERSUND</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23551-2022</t>
        </is>
      </c>
      <c r="B477" s="1" t="n">
        <v>44721</v>
      </c>
      <c r="C477" s="1" t="n">
        <v>45725</v>
      </c>
      <c r="D477" t="inlineStr">
        <is>
          <t>JÄMTLANDS LÄN</t>
        </is>
      </c>
      <c r="E477" t="inlineStr">
        <is>
          <t>ÖSTERSUND</t>
        </is>
      </c>
      <c r="G477" t="n">
        <v>0.3</v>
      </c>
      <c r="H477" t="n">
        <v>0</v>
      </c>
      <c r="I477" t="n">
        <v>0</v>
      </c>
      <c r="J477" t="n">
        <v>0</v>
      </c>
      <c r="K477" t="n">
        <v>0</v>
      </c>
      <c r="L477" t="n">
        <v>0</v>
      </c>
      <c r="M477" t="n">
        <v>0</v>
      </c>
      <c r="N477" t="n">
        <v>0</v>
      </c>
      <c r="O477" t="n">
        <v>0</v>
      </c>
      <c r="P477" t="n">
        <v>0</v>
      </c>
      <c r="Q477" t="n">
        <v>0</v>
      </c>
      <c r="R477" s="2" t="inlineStr"/>
    </row>
    <row r="478" ht="15" customHeight="1">
      <c r="A478" t="inlineStr">
        <is>
          <t>A 23992-2022</t>
        </is>
      </c>
      <c r="B478" s="1" t="n">
        <v>44722</v>
      </c>
      <c r="C478" s="1" t="n">
        <v>45725</v>
      </c>
      <c r="D478" t="inlineStr">
        <is>
          <t>JÄMTLANDS LÄN</t>
        </is>
      </c>
      <c r="E478" t="inlineStr">
        <is>
          <t>ÖSTERSUND</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23993-2022</t>
        </is>
      </c>
      <c r="B479" s="1" t="n">
        <v>44723</v>
      </c>
      <c r="C479" s="1" t="n">
        <v>45725</v>
      </c>
      <c r="D479" t="inlineStr">
        <is>
          <t>JÄMTLANDS LÄN</t>
        </is>
      </c>
      <c r="E479" t="inlineStr">
        <is>
          <t>ÖSTERSUND</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26321-2022</t>
        </is>
      </c>
      <c r="B480" s="1" t="n">
        <v>44735</v>
      </c>
      <c r="C480" s="1" t="n">
        <v>45725</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26731-2022</t>
        </is>
      </c>
      <c r="B481" s="1" t="n">
        <v>44740</v>
      </c>
      <c r="C481" s="1" t="n">
        <v>45725</v>
      </c>
      <c r="D481" t="inlineStr">
        <is>
          <t>JÄMTLANDS LÄN</t>
        </is>
      </c>
      <c r="E481" t="inlineStr">
        <is>
          <t>ÖSTERSUND</t>
        </is>
      </c>
      <c r="G481" t="n">
        <v>3.1</v>
      </c>
      <c r="H481" t="n">
        <v>0</v>
      </c>
      <c r="I481" t="n">
        <v>0</v>
      </c>
      <c r="J481" t="n">
        <v>0</v>
      </c>
      <c r="K481" t="n">
        <v>0</v>
      </c>
      <c r="L481" t="n">
        <v>0</v>
      </c>
      <c r="M481" t="n">
        <v>0</v>
      </c>
      <c r="N481" t="n">
        <v>0</v>
      </c>
      <c r="O481" t="n">
        <v>0</v>
      </c>
      <c r="P481" t="n">
        <v>0</v>
      </c>
      <c r="Q481" t="n">
        <v>0</v>
      </c>
      <c r="R481" s="2" t="inlineStr"/>
    </row>
    <row r="482" ht="15" customHeight="1">
      <c r="A482" t="inlineStr">
        <is>
          <t>A 27343-2022</t>
        </is>
      </c>
      <c r="B482" s="1" t="n">
        <v>44742</v>
      </c>
      <c r="C482" s="1" t="n">
        <v>45725</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27582-2022</t>
        </is>
      </c>
      <c r="B483" s="1" t="n">
        <v>44743</v>
      </c>
      <c r="C483" s="1" t="n">
        <v>45725</v>
      </c>
      <c r="D483" t="inlineStr">
        <is>
          <t>JÄMTLANDS LÄN</t>
        </is>
      </c>
      <c r="E483" t="inlineStr">
        <is>
          <t>ÖSTERSUND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27575-2022</t>
        </is>
      </c>
      <c r="B484" s="1" t="n">
        <v>44742</v>
      </c>
      <c r="C484" s="1" t="n">
        <v>45725</v>
      </c>
      <c r="D484" t="inlineStr">
        <is>
          <t>JÄMTLANDS LÄN</t>
        </is>
      </c>
      <c r="E484" t="inlineStr">
        <is>
          <t>ÖSTERSUND</t>
        </is>
      </c>
      <c r="F484" t="inlineStr">
        <is>
          <t>SCA</t>
        </is>
      </c>
      <c r="G484" t="n">
        <v>2.4</v>
      </c>
      <c r="H484" t="n">
        <v>0</v>
      </c>
      <c r="I484" t="n">
        <v>0</v>
      </c>
      <c r="J484" t="n">
        <v>0</v>
      </c>
      <c r="K484" t="n">
        <v>0</v>
      </c>
      <c r="L484" t="n">
        <v>0</v>
      </c>
      <c r="M484" t="n">
        <v>0</v>
      </c>
      <c r="N484" t="n">
        <v>0</v>
      </c>
      <c r="O484" t="n">
        <v>0</v>
      </c>
      <c r="P484" t="n">
        <v>0</v>
      </c>
      <c r="Q484" t="n">
        <v>0</v>
      </c>
      <c r="R484" s="2" t="inlineStr"/>
      <c r="U484">
        <f>HYPERLINK("https://klasma.github.io/Logging_2380/knärot/A 27575-2022 karta knärot.png", "A 27575-2022")</f>
        <v/>
      </c>
      <c r="V484">
        <f>HYPERLINK("https://klasma.github.io/Logging_2380/klagomål/A 27575-2022 FSC-klagomål.docx", "A 27575-2022")</f>
        <v/>
      </c>
      <c r="W484">
        <f>HYPERLINK("https://klasma.github.io/Logging_2380/klagomålsmail/A 27575-2022 FSC-klagomål mail.docx", "A 27575-2022")</f>
        <v/>
      </c>
      <c r="X484">
        <f>HYPERLINK("https://klasma.github.io/Logging_2380/tillsyn/A 27575-2022 tillsynsbegäran.docx", "A 27575-2022")</f>
        <v/>
      </c>
      <c r="Y484">
        <f>HYPERLINK("https://klasma.github.io/Logging_2380/tillsynsmail/A 27575-2022 tillsynsbegäran mail.docx", "A 27575-2022")</f>
        <v/>
      </c>
    </row>
    <row r="485" ht="15" customHeight="1">
      <c r="A485" t="inlineStr">
        <is>
          <t>A 27581-2022</t>
        </is>
      </c>
      <c r="B485" s="1" t="n">
        <v>44742</v>
      </c>
      <c r="C485" s="1" t="n">
        <v>45725</v>
      </c>
      <c r="D485" t="inlineStr">
        <is>
          <t>JÄMTLANDS LÄN</t>
        </is>
      </c>
      <c r="E485" t="inlineStr">
        <is>
          <t>ÖSTERSUND</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27780-2022</t>
        </is>
      </c>
      <c r="B486" s="1" t="n">
        <v>44743</v>
      </c>
      <c r="C486" s="1" t="n">
        <v>45725</v>
      </c>
      <c r="D486" t="inlineStr">
        <is>
          <t>JÄMTLANDS LÄN</t>
        </is>
      </c>
      <c r="E486" t="inlineStr">
        <is>
          <t>ÖSTERSUND</t>
        </is>
      </c>
      <c r="G486" t="n">
        <v>2.2</v>
      </c>
      <c r="H486" t="n">
        <v>0</v>
      </c>
      <c r="I486" t="n">
        <v>0</v>
      </c>
      <c r="J486" t="n">
        <v>0</v>
      </c>
      <c r="K486" t="n">
        <v>0</v>
      </c>
      <c r="L486" t="n">
        <v>0</v>
      </c>
      <c r="M486" t="n">
        <v>0</v>
      </c>
      <c r="N486" t="n">
        <v>0</v>
      </c>
      <c r="O486" t="n">
        <v>0</v>
      </c>
      <c r="P486" t="n">
        <v>0</v>
      </c>
      <c r="Q486" t="n">
        <v>0</v>
      </c>
      <c r="R486" s="2" t="inlineStr"/>
    </row>
    <row r="487" ht="15" customHeight="1">
      <c r="A487" t="inlineStr">
        <is>
          <t>A 29094-2022</t>
        </is>
      </c>
      <c r="B487" s="1" t="n">
        <v>44750</v>
      </c>
      <c r="C487" s="1" t="n">
        <v>45725</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29128-2022</t>
        </is>
      </c>
      <c r="B488" s="1" t="n">
        <v>44750</v>
      </c>
      <c r="C488" s="1" t="n">
        <v>45725</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29829-2022</t>
        </is>
      </c>
      <c r="B489" s="1" t="n">
        <v>44755</v>
      </c>
      <c r="C489" s="1" t="n">
        <v>45725</v>
      </c>
      <c r="D489" t="inlineStr">
        <is>
          <t>JÄMTLANDS LÄN</t>
        </is>
      </c>
      <c r="E489" t="inlineStr">
        <is>
          <t>ÖSTERSUND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29828-2022</t>
        </is>
      </c>
      <c r="B490" s="1" t="n">
        <v>44755</v>
      </c>
      <c r="C490" s="1" t="n">
        <v>45725</v>
      </c>
      <c r="D490" t="inlineStr">
        <is>
          <t>JÄMTLANDS LÄN</t>
        </is>
      </c>
      <c r="E490" t="inlineStr">
        <is>
          <t>ÖSTERSUND</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30217-2022</t>
        </is>
      </c>
      <c r="B491" s="1" t="n">
        <v>44758</v>
      </c>
      <c r="C491" s="1" t="n">
        <v>45725</v>
      </c>
      <c r="D491" t="inlineStr">
        <is>
          <t>JÄMTLANDS LÄN</t>
        </is>
      </c>
      <c r="E491" t="inlineStr">
        <is>
          <t>ÖSTERSUND</t>
        </is>
      </c>
      <c r="G491" t="n">
        <v>2.9</v>
      </c>
      <c r="H491" t="n">
        <v>0</v>
      </c>
      <c r="I491" t="n">
        <v>0</v>
      </c>
      <c r="J491" t="n">
        <v>0</v>
      </c>
      <c r="K491" t="n">
        <v>0</v>
      </c>
      <c r="L491" t="n">
        <v>0</v>
      </c>
      <c r="M491" t="n">
        <v>0</v>
      </c>
      <c r="N491" t="n">
        <v>0</v>
      </c>
      <c r="O491" t="n">
        <v>0</v>
      </c>
      <c r="P491" t="n">
        <v>0</v>
      </c>
      <c r="Q491" t="n">
        <v>0</v>
      </c>
      <c r="R491" s="2" t="inlineStr"/>
    </row>
    <row r="492" ht="15" customHeight="1">
      <c r="A492" t="inlineStr">
        <is>
          <t>A 33804-2022</t>
        </is>
      </c>
      <c r="B492" s="1" t="n">
        <v>44790</v>
      </c>
      <c r="C492" s="1" t="n">
        <v>45725</v>
      </c>
      <c r="D492" t="inlineStr">
        <is>
          <t>JÄMTLANDS LÄN</t>
        </is>
      </c>
      <c r="E492" t="inlineStr">
        <is>
          <t>ÖSTERSUND</t>
        </is>
      </c>
      <c r="G492" t="n">
        <v>1.8</v>
      </c>
      <c r="H492" t="n">
        <v>0</v>
      </c>
      <c r="I492" t="n">
        <v>0</v>
      </c>
      <c r="J492" t="n">
        <v>0</v>
      </c>
      <c r="K492" t="n">
        <v>0</v>
      </c>
      <c r="L492" t="n">
        <v>0</v>
      </c>
      <c r="M492" t="n">
        <v>0</v>
      </c>
      <c r="N492" t="n">
        <v>0</v>
      </c>
      <c r="O492" t="n">
        <v>0</v>
      </c>
      <c r="P492" t="n">
        <v>0</v>
      </c>
      <c r="Q492" t="n">
        <v>0</v>
      </c>
      <c r="R492" s="2" t="inlineStr"/>
    </row>
    <row r="493" ht="15" customHeight="1">
      <c r="A493" t="inlineStr">
        <is>
          <t>A 33808-2022</t>
        </is>
      </c>
      <c r="B493" s="1" t="n">
        <v>44790</v>
      </c>
      <c r="C493" s="1" t="n">
        <v>45725</v>
      </c>
      <c r="D493" t="inlineStr">
        <is>
          <t>JÄMTLANDS LÄN</t>
        </is>
      </c>
      <c r="E493" t="inlineStr">
        <is>
          <t>ÖSTERSUND</t>
        </is>
      </c>
      <c r="G493" t="n">
        <v>4.1</v>
      </c>
      <c r="H493" t="n">
        <v>0</v>
      </c>
      <c r="I493" t="n">
        <v>0</v>
      </c>
      <c r="J493" t="n">
        <v>0</v>
      </c>
      <c r="K493" t="n">
        <v>0</v>
      </c>
      <c r="L493" t="n">
        <v>0</v>
      </c>
      <c r="M493" t="n">
        <v>0</v>
      </c>
      <c r="N493" t="n">
        <v>0</v>
      </c>
      <c r="O493" t="n">
        <v>0</v>
      </c>
      <c r="P493" t="n">
        <v>0</v>
      </c>
      <c r="Q493" t="n">
        <v>0</v>
      </c>
      <c r="R493" s="2" t="inlineStr"/>
    </row>
    <row r="494" ht="15" customHeight="1">
      <c r="A494" t="inlineStr">
        <is>
          <t>A 33813-2022</t>
        </is>
      </c>
      <c r="B494" s="1" t="n">
        <v>44790</v>
      </c>
      <c r="C494" s="1" t="n">
        <v>45725</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33786-2022</t>
        </is>
      </c>
      <c r="B495" s="1" t="n">
        <v>44790</v>
      </c>
      <c r="C495" s="1" t="n">
        <v>45725</v>
      </c>
      <c r="D495" t="inlineStr">
        <is>
          <t>JÄMTLANDS LÄN</t>
        </is>
      </c>
      <c r="E495" t="inlineStr">
        <is>
          <t>ÖSTERSUND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33801-2022</t>
        </is>
      </c>
      <c r="B496" s="1" t="n">
        <v>44790</v>
      </c>
      <c r="C496" s="1" t="n">
        <v>45725</v>
      </c>
      <c r="D496" t="inlineStr">
        <is>
          <t>JÄMTLANDS LÄN</t>
        </is>
      </c>
      <c r="E496" t="inlineStr">
        <is>
          <t>ÖSTERSUND</t>
        </is>
      </c>
      <c r="G496" t="n">
        <v>7.6</v>
      </c>
      <c r="H496" t="n">
        <v>0</v>
      </c>
      <c r="I496" t="n">
        <v>0</v>
      </c>
      <c r="J496" t="n">
        <v>0</v>
      </c>
      <c r="K496" t="n">
        <v>0</v>
      </c>
      <c r="L496" t="n">
        <v>0</v>
      </c>
      <c r="M496" t="n">
        <v>0</v>
      </c>
      <c r="N496" t="n">
        <v>0</v>
      </c>
      <c r="O496" t="n">
        <v>0</v>
      </c>
      <c r="P496" t="n">
        <v>0</v>
      </c>
      <c r="Q496" t="n">
        <v>0</v>
      </c>
      <c r="R496" s="2" t="inlineStr"/>
    </row>
    <row r="497" ht="15" customHeight="1">
      <c r="A497" t="inlineStr">
        <is>
          <t>A 35556-2022</t>
        </is>
      </c>
      <c r="B497" s="1" t="n">
        <v>44799</v>
      </c>
      <c r="C497" s="1" t="n">
        <v>45725</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39828-2022</t>
        </is>
      </c>
      <c r="B498" s="1" t="n">
        <v>44817</v>
      </c>
      <c r="C498" s="1" t="n">
        <v>45725</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39928-2022</t>
        </is>
      </c>
      <c r="B499" s="1" t="n">
        <v>44819</v>
      </c>
      <c r="C499" s="1" t="n">
        <v>45725</v>
      </c>
      <c r="D499" t="inlineStr">
        <is>
          <t>JÄMTLANDS LÄN</t>
        </is>
      </c>
      <c r="E499" t="inlineStr">
        <is>
          <t>ÖSTERSUND</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40885-2022</t>
        </is>
      </c>
      <c r="B500" s="1" t="n">
        <v>44820</v>
      </c>
      <c r="C500" s="1" t="n">
        <v>45725</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v>
      </c>
      <c r="C501" s="1" t="n">
        <v>45725</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43951-2022</t>
        </is>
      </c>
      <c r="B502" s="1" t="n">
        <v>44838</v>
      </c>
      <c r="C502" s="1" t="n">
        <v>45725</v>
      </c>
      <c r="D502" t="inlineStr">
        <is>
          <t>JÄMTLANDS LÄN</t>
        </is>
      </c>
      <c r="E502" t="inlineStr">
        <is>
          <t>ÖSTERSUND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44909-2022</t>
        </is>
      </c>
      <c r="B503" s="1" t="n">
        <v>44840</v>
      </c>
      <c r="C503" s="1" t="n">
        <v>45725</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45004-2022</t>
        </is>
      </c>
      <c r="B504" s="1" t="n">
        <v>44840</v>
      </c>
      <c r="C504" s="1" t="n">
        <v>45725</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45654-2022</t>
        </is>
      </c>
      <c r="B505" s="1" t="n">
        <v>44845</v>
      </c>
      <c r="C505" s="1" t="n">
        <v>45725</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46913-2022</t>
        </is>
      </c>
      <c r="B506" s="1" t="n">
        <v>44851</v>
      </c>
      <c r="C506" s="1" t="n">
        <v>45725</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47296-2022</t>
        </is>
      </c>
      <c r="B507" s="1" t="n">
        <v>44853</v>
      </c>
      <c r="C507" s="1" t="n">
        <v>45725</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47294-2022</t>
        </is>
      </c>
      <c r="B508" s="1" t="n">
        <v>44852</v>
      </c>
      <c r="C508" s="1" t="n">
        <v>45725</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47295-2022</t>
        </is>
      </c>
      <c r="B509" s="1" t="n">
        <v>44852</v>
      </c>
      <c r="C509" s="1" t="n">
        <v>45725</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49389-2022</t>
        </is>
      </c>
      <c r="B510" s="1" t="n">
        <v>44861</v>
      </c>
      <c r="C510" s="1" t="n">
        <v>45725</v>
      </c>
      <c r="D510" t="inlineStr">
        <is>
          <t>JÄMTLANDS LÄN</t>
        </is>
      </c>
      <c r="E510" t="inlineStr">
        <is>
          <t>ÖSTERSUND</t>
        </is>
      </c>
      <c r="F510" t="inlineStr">
        <is>
          <t>Övriga Aktiebolag</t>
        </is>
      </c>
      <c r="G510" t="n">
        <v>19.2</v>
      </c>
      <c r="H510" t="n">
        <v>0</v>
      </c>
      <c r="I510" t="n">
        <v>0</v>
      </c>
      <c r="J510" t="n">
        <v>0</v>
      </c>
      <c r="K510" t="n">
        <v>0</v>
      </c>
      <c r="L510" t="n">
        <v>0</v>
      </c>
      <c r="M510" t="n">
        <v>0</v>
      </c>
      <c r="N510" t="n">
        <v>0</v>
      </c>
      <c r="O510" t="n">
        <v>0</v>
      </c>
      <c r="P510" t="n">
        <v>0</v>
      </c>
      <c r="Q510" t="n">
        <v>0</v>
      </c>
      <c r="R510" s="2" t="inlineStr"/>
    </row>
    <row r="511" ht="15" customHeight="1">
      <c r="A511" t="inlineStr">
        <is>
          <t>A 50932-2022</t>
        </is>
      </c>
      <c r="B511" s="1" t="n">
        <v>44867</v>
      </c>
      <c r="C511" s="1" t="n">
        <v>45725</v>
      </c>
      <c r="D511" t="inlineStr">
        <is>
          <t>JÄMTLANDS LÄN</t>
        </is>
      </c>
      <c r="E511" t="inlineStr">
        <is>
          <t>ÖSTERSUND</t>
        </is>
      </c>
      <c r="F511" t="inlineStr">
        <is>
          <t>Övriga Aktiebolag</t>
        </is>
      </c>
      <c r="G511" t="n">
        <v>3.9</v>
      </c>
      <c r="H511" t="n">
        <v>0</v>
      </c>
      <c r="I511" t="n">
        <v>0</v>
      </c>
      <c r="J511" t="n">
        <v>0</v>
      </c>
      <c r="K511" t="n">
        <v>0</v>
      </c>
      <c r="L511" t="n">
        <v>0</v>
      </c>
      <c r="M511" t="n">
        <v>0</v>
      </c>
      <c r="N511" t="n">
        <v>0</v>
      </c>
      <c r="O511" t="n">
        <v>0</v>
      </c>
      <c r="P511" t="n">
        <v>0</v>
      </c>
      <c r="Q511" t="n">
        <v>0</v>
      </c>
      <c r="R511" s="2" t="inlineStr"/>
    </row>
    <row r="512" ht="15" customHeight="1">
      <c r="A512" t="inlineStr">
        <is>
          <t>A 51164-2022</t>
        </is>
      </c>
      <c r="B512" s="1" t="n">
        <v>44868</v>
      </c>
      <c r="C512" s="1" t="n">
        <v>45725</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52155-2022</t>
        </is>
      </c>
      <c r="B513" s="1" t="n">
        <v>44873</v>
      </c>
      <c r="C513" s="1" t="n">
        <v>45725</v>
      </c>
      <c r="D513" t="inlineStr">
        <is>
          <t>JÄMTLANDS LÄN</t>
        </is>
      </c>
      <c r="E513" t="inlineStr">
        <is>
          <t>ÖSTERSUND</t>
        </is>
      </c>
      <c r="F513" t="inlineStr">
        <is>
          <t>Övriga Aktiebolag</t>
        </is>
      </c>
      <c r="G513" t="n">
        <v>3.4</v>
      </c>
      <c r="H513" t="n">
        <v>0</v>
      </c>
      <c r="I513" t="n">
        <v>0</v>
      </c>
      <c r="J513" t="n">
        <v>0</v>
      </c>
      <c r="K513" t="n">
        <v>0</v>
      </c>
      <c r="L513" t="n">
        <v>0</v>
      </c>
      <c r="M513" t="n">
        <v>0</v>
      </c>
      <c r="N513" t="n">
        <v>0</v>
      </c>
      <c r="O513" t="n">
        <v>0</v>
      </c>
      <c r="P513" t="n">
        <v>0</v>
      </c>
      <c r="Q513" t="n">
        <v>0</v>
      </c>
      <c r="R513" s="2" t="inlineStr"/>
    </row>
    <row r="514" ht="15" customHeight="1">
      <c r="A514" t="inlineStr">
        <is>
          <t>A 52898-2022</t>
        </is>
      </c>
      <c r="B514" s="1" t="n">
        <v>44875</v>
      </c>
      <c r="C514" s="1" t="n">
        <v>45725</v>
      </c>
      <c r="D514" t="inlineStr">
        <is>
          <t>JÄMTLANDS LÄN</t>
        </is>
      </c>
      <c r="E514" t="inlineStr">
        <is>
          <t>ÖSTERSUND</t>
        </is>
      </c>
      <c r="F514" t="inlineStr">
        <is>
          <t>Övriga Aktiebolag</t>
        </is>
      </c>
      <c r="G514" t="n">
        <v>12.1</v>
      </c>
      <c r="H514" t="n">
        <v>0</v>
      </c>
      <c r="I514" t="n">
        <v>0</v>
      </c>
      <c r="J514" t="n">
        <v>0</v>
      </c>
      <c r="K514" t="n">
        <v>0</v>
      </c>
      <c r="L514" t="n">
        <v>0</v>
      </c>
      <c r="M514" t="n">
        <v>0</v>
      </c>
      <c r="N514" t="n">
        <v>0</v>
      </c>
      <c r="O514" t="n">
        <v>0</v>
      </c>
      <c r="P514" t="n">
        <v>0</v>
      </c>
      <c r="Q514" t="n">
        <v>0</v>
      </c>
      <c r="R514" s="2" t="inlineStr"/>
    </row>
    <row r="515" ht="15" customHeight="1">
      <c r="A515" t="inlineStr">
        <is>
          <t>A 53802-2022</t>
        </is>
      </c>
      <c r="B515" s="1" t="n">
        <v>44875</v>
      </c>
      <c r="C515" s="1" t="n">
        <v>45725</v>
      </c>
      <c r="D515" t="inlineStr">
        <is>
          <t>JÄMTLANDS LÄN</t>
        </is>
      </c>
      <c r="E515" t="inlineStr">
        <is>
          <t>ÖSTERSUND</t>
        </is>
      </c>
      <c r="G515" t="n">
        <v>0.2</v>
      </c>
      <c r="H515" t="n">
        <v>0</v>
      </c>
      <c r="I515" t="n">
        <v>0</v>
      </c>
      <c r="J515" t="n">
        <v>0</v>
      </c>
      <c r="K515" t="n">
        <v>0</v>
      </c>
      <c r="L515" t="n">
        <v>0</v>
      </c>
      <c r="M515" t="n">
        <v>0</v>
      </c>
      <c r="N515" t="n">
        <v>0</v>
      </c>
      <c r="O515" t="n">
        <v>0</v>
      </c>
      <c r="P515" t="n">
        <v>0</v>
      </c>
      <c r="Q515" t="n">
        <v>0</v>
      </c>
      <c r="R515" s="2" t="inlineStr"/>
    </row>
    <row r="516" ht="15" customHeight="1">
      <c r="A516" t="inlineStr">
        <is>
          <t>A 53764-2022</t>
        </is>
      </c>
      <c r="B516" s="1" t="n">
        <v>44875</v>
      </c>
      <c r="C516" s="1" t="n">
        <v>45725</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53807-2022</t>
        </is>
      </c>
      <c r="B517" s="1" t="n">
        <v>44875</v>
      </c>
      <c r="C517" s="1" t="n">
        <v>45725</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53453-2022</t>
        </is>
      </c>
      <c r="B518" s="1" t="n">
        <v>44879</v>
      </c>
      <c r="C518" s="1" t="n">
        <v>45725</v>
      </c>
      <c r="D518" t="inlineStr">
        <is>
          <t>JÄMTLANDS LÄN</t>
        </is>
      </c>
      <c r="E518" t="inlineStr">
        <is>
          <t>ÖSTERSUND</t>
        </is>
      </c>
      <c r="G518" t="n">
        <v>22.2</v>
      </c>
      <c r="H518" t="n">
        <v>0</v>
      </c>
      <c r="I518" t="n">
        <v>0</v>
      </c>
      <c r="J518" t="n">
        <v>0</v>
      </c>
      <c r="K518" t="n">
        <v>0</v>
      </c>
      <c r="L518" t="n">
        <v>0</v>
      </c>
      <c r="M518" t="n">
        <v>0</v>
      </c>
      <c r="N518" t="n">
        <v>0</v>
      </c>
      <c r="O518" t="n">
        <v>0</v>
      </c>
      <c r="P518" t="n">
        <v>0</v>
      </c>
      <c r="Q518" t="n">
        <v>0</v>
      </c>
      <c r="R518" s="2" t="inlineStr"/>
    </row>
    <row r="519" ht="15" customHeight="1">
      <c r="A519" t="inlineStr">
        <is>
          <t>A 53556-2022</t>
        </is>
      </c>
      <c r="B519" s="1" t="n">
        <v>44879</v>
      </c>
      <c r="C519" s="1" t="n">
        <v>45725</v>
      </c>
      <c r="D519" t="inlineStr">
        <is>
          <t>JÄMTLANDS LÄN</t>
        </is>
      </c>
      <c r="E519" t="inlineStr">
        <is>
          <t>ÖSTERSUND</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53714-2022</t>
        </is>
      </c>
      <c r="B520" s="1" t="n">
        <v>44880</v>
      </c>
      <c r="C520" s="1" t="n">
        <v>45725</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54712-2022</t>
        </is>
      </c>
      <c r="B521" s="1" t="n">
        <v>44883</v>
      </c>
      <c r="C521" s="1" t="n">
        <v>45725</v>
      </c>
      <c r="D521" t="inlineStr">
        <is>
          <t>JÄMTLANDS LÄN</t>
        </is>
      </c>
      <c r="E521" t="inlineStr">
        <is>
          <t>ÖSTERSUND</t>
        </is>
      </c>
      <c r="F521" t="inlineStr">
        <is>
          <t>Övriga Aktiebolag</t>
        </is>
      </c>
      <c r="G521" t="n">
        <v>1.3</v>
      </c>
      <c r="H521" t="n">
        <v>0</v>
      </c>
      <c r="I521" t="n">
        <v>0</v>
      </c>
      <c r="J521" t="n">
        <v>0</v>
      </c>
      <c r="K521" t="n">
        <v>0</v>
      </c>
      <c r="L521" t="n">
        <v>0</v>
      </c>
      <c r="M521" t="n">
        <v>0</v>
      </c>
      <c r="N521" t="n">
        <v>0</v>
      </c>
      <c r="O521" t="n">
        <v>0</v>
      </c>
      <c r="P521" t="n">
        <v>0</v>
      </c>
      <c r="Q521" t="n">
        <v>0</v>
      </c>
      <c r="R521" s="2" t="inlineStr"/>
    </row>
    <row r="522" ht="15" customHeight="1">
      <c r="A522" t="inlineStr">
        <is>
          <t>A 54663-2022</t>
        </is>
      </c>
      <c r="B522" s="1" t="n">
        <v>44883</v>
      </c>
      <c r="C522" s="1" t="n">
        <v>45725</v>
      </c>
      <c r="D522" t="inlineStr">
        <is>
          <t>JÄMTLANDS LÄN</t>
        </is>
      </c>
      <c r="E522" t="inlineStr">
        <is>
          <t>ÖSTERSUND</t>
        </is>
      </c>
      <c r="G522" t="n">
        <v>0.8</v>
      </c>
      <c r="H522" t="n">
        <v>0</v>
      </c>
      <c r="I522" t="n">
        <v>0</v>
      </c>
      <c r="J522" t="n">
        <v>0</v>
      </c>
      <c r="K522" t="n">
        <v>0</v>
      </c>
      <c r="L522" t="n">
        <v>0</v>
      </c>
      <c r="M522" t="n">
        <v>0</v>
      </c>
      <c r="N522" t="n">
        <v>0</v>
      </c>
      <c r="O522" t="n">
        <v>0</v>
      </c>
      <c r="P522" t="n">
        <v>0</v>
      </c>
      <c r="Q522" t="n">
        <v>0</v>
      </c>
      <c r="R522" s="2" t="inlineStr"/>
    </row>
    <row r="523" ht="15" customHeight="1">
      <c r="A523" t="inlineStr">
        <is>
          <t>A 55102-2022</t>
        </is>
      </c>
      <c r="B523" s="1" t="n">
        <v>44886</v>
      </c>
      <c r="C523" s="1" t="n">
        <v>45725</v>
      </c>
      <c r="D523" t="inlineStr">
        <is>
          <t>JÄMTLANDS LÄN</t>
        </is>
      </c>
      <c r="E523" t="inlineStr">
        <is>
          <t>ÖSTERSUND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55008-2022</t>
        </is>
      </c>
      <c r="B524" s="1" t="n">
        <v>44886</v>
      </c>
      <c r="C524" s="1" t="n">
        <v>45725</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55105-2022</t>
        </is>
      </c>
      <c r="B525" s="1" t="n">
        <v>44886</v>
      </c>
      <c r="C525" s="1" t="n">
        <v>45725</v>
      </c>
      <c r="D525" t="inlineStr">
        <is>
          <t>JÄMTLANDS LÄN</t>
        </is>
      </c>
      <c r="E525" t="inlineStr">
        <is>
          <t>ÖSTERSUND</t>
        </is>
      </c>
      <c r="F525" t="inlineStr">
        <is>
          <t>Övriga Aktiebolag</t>
        </is>
      </c>
      <c r="G525" t="n">
        <v>2.4</v>
      </c>
      <c r="H525" t="n">
        <v>0</v>
      </c>
      <c r="I525" t="n">
        <v>0</v>
      </c>
      <c r="J525" t="n">
        <v>0</v>
      </c>
      <c r="K525" t="n">
        <v>0</v>
      </c>
      <c r="L525" t="n">
        <v>0</v>
      </c>
      <c r="M525" t="n">
        <v>0</v>
      </c>
      <c r="N525" t="n">
        <v>0</v>
      </c>
      <c r="O525" t="n">
        <v>0</v>
      </c>
      <c r="P525" t="n">
        <v>0</v>
      </c>
      <c r="Q525" t="n">
        <v>0</v>
      </c>
      <c r="R525" s="2" t="inlineStr"/>
      <c r="U525">
        <f>HYPERLINK("https://klasma.github.io/Logging_2380/knärot/A 55105-2022 karta knärot.png", "A 55105-2022")</f>
        <v/>
      </c>
      <c r="V525">
        <f>HYPERLINK("https://klasma.github.io/Logging_2380/klagomål/A 55105-2022 FSC-klagomål.docx", "A 55105-2022")</f>
        <v/>
      </c>
      <c r="W525">
        <f>HYPERLINK("https://klasma.github.io/Logging_2380/klagomålsmail/A 55105-2022 FSC-klagomål mail.docx", "A 55105-2022")</f>
        <v/>
      </c>
      <c r="X525">
        <f>HYPERLINK("https://klasma.github.io/Logging_2380/tillsyn/A 55105-2022 tillsynsbegäran.docx", "A 55105-2022")</f>
        <v/>
      </c>
      <c r="Y525">
        <f>HYPERLINK("https://klasma.github.io/Logging_2380/tillsynsmail/A 55105-2022 tillsynsbegäran mail.docx", "A 55105-2022")</f>
        <v/>
      </c>
    </row>
    <row r="526" ht="15" customHeight="1">
      <c r="A526" t="inlineStr">
        <is>
          <t>A 55371-2022</t>
        </is>
      </c>
      <c r="B526" s="1" t="n">
        <v>44887</v>
      </c>
      <c r="C526" s="1" t="n">
        <v>45725</v>
      </c>
      <c r="D526" t="inlineStr">
        <is>
          <t>JÄMTLANDS LÄN</t>
        </is>
      </c>
      <c r="E526" t="inlineStr">
        <is>
          <t>ÖSTERSUND</t>
        </is>
      </c>
      <c r="F526" t="inlineStr">
        <is>
          <t>Övriga Aktiebolag</t>
        </is>
      </c>
      <c r="G526" t="n">
        <v>15.4</v>
      </c>
      <c r="H526" t="n">
        <v>0</v>
      </c>
      <c r="I526" t="n">
        <v>0</v>
      </c>
      <c r="J526" t="n">
        <v>0</v>
      </c>
      <c r="K526" t="n">
        <v>0</v>
      </c>
      <c r="L526" t="n">
        <v>0</v>
      </c>
      <c r="M526" t="n">
        <v>0</v>
      </c>
      <c r="N526" t="n">
        <v>0</v>
      </c>
      <c r="O526" t="n">
        <v>0</v>
      </c>
      <c r="P526" t="n">
        <v>0</v>
      </c>
      <c r="Q526" t="n">
        <v>0</v>
      </c>
      <c r="R526" s="2" t="inlineStr"/>
    </row>
    <row r="527" ht="15" customHeight="1">
      <c r="A527" t="inlineStr">
        <is>
          <t>A 55448-2022</t>
        </is>
      </c>
      <c r="B527" s="1" t="n">
        <v>44887</v>
      </c>
      <c r="C527" s="1" t="n">
        <v>45725</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56067-2022</t>
        </is>
      </c>
      <c r="B528" s="1" t="n">
        <v>44889</v>
      </c>
      <c r="C528" s="1" t="n">
        <v>45725</v>
      </c>
      <c r="D528" t="inlineStr">
        <is>
          <t>JÄMTLANDS LÄN</t>
        </is>
      </c>
      <c r="E528" t="inlineStr">
        <is>
          <t>ÖSTERSUND</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56148-2022</t>
        </is>
      </c>
      <c r="B529" s="1" t="n">
        <v>44889</v>
      </c>
      <c r="C529" s="1" t="n">
        <v>45725</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56111-2022</t>
        </is>
      </c>
      <c r="B530" s="1" t="n">
        <v>44889</v>
      </c>
      <c r="C530" s="1" t="n">
        <v>45725</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57009-2022</t>
        </is>
      </c>
      <c r="B531" s="1" t="n">
        <v>44894</v>
      </c>
      <c r="C531" s="1" t="n">
        <v>45725</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59266-2022</t>
        </is>
      </c>
      <c r="B532" s="1" t="n">
        <v>44904</v>
      </c>
      <c r="C532" s="1" t="n">
        <v>45725</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59648-2022</t>
        </is>
      </c>
      <c r="B533" s="1" t="n">
        <v>44907</v>
      </c>
      <c r="C533" s="1" t="n">
        <v>45725</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59649-2022</t>
        </is>
      </c>
      <c r="B534" s="1" t="n">
        <v>44908</v>
      </c>
      <c r="C534" s="1" t="n">
        <v>45725</v>
      </c>
      <c r="D534" t="inlineStr">
        <is>
          <t>JÄMTLANDS LÄN</t>
        </is>
      </c>
      <c r="E534" t="inlineStr">
        <is>
          <t>ÖSTERSUND</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60174-2022</t>
        </is>
      </c>
      <c r="B535" s="1" t="n">
        <v>44910</v>
      </c>
      <c r="C535" s="1" t="n">
        <v>45725</v>
      </c>
      <c r="D535" t="inlineStr">
        <is>
          <t>JÄMTLANDS LÄN</t>
        </is>
      </c>
      <c r="E535" t="inlineStr">
        <is>
          <t>ÖSTERSUND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61256-2022</t>
        </is>
      </c>
      <c r="B536" s="1" t="n">
        <v>44909</v>
      </c>
      <c r="C536" s="1" t="n">
        <v>45725</v>
      </c>
      <c r="D536" t="inlineStr">
        <is>
          <t>JÄMTLANDS LÄN</t>
        </is>
      </c>
      <c r="E536" t="inlineStr">
        <is>
          <t>ÖSTERSUND</t>
        </is>
      </c>
      <c r="G536" t="n">
        <v>3.9</v>
      </c>
      <c r="H536" t="n">
        <v>0</v>
      </c>
      <c r="I536" t="n">
        <v>0</v>
      </c>
      <c r="J536" t="n">
        <v>0</v>
      </c>
      <c r="K536" t="n">
        <v>0</v>
      </c>
      <c r="L536" t="n">
        <v>0</v>
      </c>
      <c r="M536" t="n">
        <v>0</v>
      </c>
      <c r="N536" t="n">
        <v>0</v>
      </c>
      <c r="O536" t="n">
        <v>0</v>
      </c>
      <c r="P536" t="n">
        <v>0</v>
      </c>
      <c r="Q536" t="n">
        <v>0</v>
      </c>
      <c r="R536" s="2" t="inlineStr"/>
    </row>
    <row r="537" ht="15" customHeight="1">
      <c r="A537" t="inlineStr">
        <is>
          <t>A 60430-2022</t>
        </is>
      </c>
      <c r="B537" s="1" t="n">
        <v>44911</v>
      </c>
      <c r="C537" s="1" t="n">
        <v>45725</v>
      </c>
      <c r="D537" t="inlineStr">
        <is>
          <t>JÄMTLANDS LÄN</t>
        </is>
      </c>
      <c r="E537" t="inlineStr">
        <is>
          <t>ÖSTERSUND</t>
        </is>
      </c>
      <c r="F537" t="inlineStr">
        <is>
          <t>Övriga Aktiebolag</t>
        </is>
      </c>
      <c r="G537" t="n">
        <v>24.2</v>
      </c>
      <c r="H537" t="n">
        <v>0</v>
      </c>
      <c r="I537" t="n">
        <v>0</v>
      </c>
      <c r="J537" t="n">
        <v>0</v>
      </c>
      <c r="K537" t="n">
        <v>0</v>
      </c>
      <c r="L537" t="n">
        <v>0</v>
      </c>
      <c r="M537" t="n">
        <v>0</v>
      </c>
      <c r="N537" t="n">
        <v>0</v>
      </c>
      <c r="O537" t="n">
        <v>0</v>
      </c>
      <c r="P537" t="n">
        <v>0</v>
      </c>
      <c r="Q537" t="n">
        <v>0</v>
      </c>
      <c r="R537" s="2" t="inlineStr"/>
    </row>
    <row r="538" ht="15" customHeight="1">
      <c r="A538" t="inlineStr">
        <is>
          <t>A 60575-2022</t>
        </is>
      </c>
      <c r="B538" s="1" t="n">
        <v>44911</v>
      </c>
      <c r="C538" s="1" t="n">
        <v>45725</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60674-2022</t>
        </is>
      </c>
      <c r="B539" s="1" t="n">
        <v>44911</v>
      </c>
      <c r="C539" s="1" t="n">
        <v>45725</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60677-2022</t>
        </is>
      </c>
      <c r="B540" s="1" t="n">
        <v>44911</v>
      </c>
      <c r="C540" s="1" t="n">
        <v>45725</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60681-2022</t>
        </is>
      </c>
      <c r="B541" s="1" t="n">
        <v>44911</v>
      </c>
      <c r="C541" s="1" t="n">
        <v>45725</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60678-2022</t>
        </is>
      </c>
      <c r="B542" s="1" t="n">
        <v>44911</v>
      </c>
      <c r="C542" s="1" t="n">
        <v>45725</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60560-2022</t>
        </is>
      </c>
      <c r="B543" s="1" t="n">
        <v>44911</v>
      </c>
      <c r="C543" s="1" t="n">
        <v>45725</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60676-2022</t>
        </is>
      </c>
      <c r="B544" s="1" t="n">
        <v>44911</v>
      </c>
      <c r="C544" s="1" t="n">
        <v>45725</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60680-2022</t>
        </is>
      </c>
      <c r="B545" s="1" t="n">
        <v>44911</v>
      </c>
      <c r="C545" s="1" t="n">
        <v>45725</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60623-2022</t>
        </is>
      </c>
      <c r="B546" s="1" t="n">
        <v>44911</v>
      </c>
      <c r="C546" s="1" t="n">
        <v>45725</v>
      </c>
      <c r="D546" t="inlineStr">
        <is>
          <t>JÄMTLANDS LÄN</t>
        </is>
      </c>
      <c r="E546" t="inlineStr">
        <is>
          <t>ÖSTERSUND</t>
        </is>
      </c>
      <c r="G546" t="n">
        <v>10.9</v>
      </c>
      <c r="H546" t="n">
        <v>0</v>
      </c>
      <c r="I546" t="n">
        <v>0</v>
      </c>
      <c r="J546" t="n">
        <v>0</v>
      </c>
      <c r="K546" t="n">
        <v>0</v>
      </c>
      <c r="L546" t="n">
        <v>0</v>
      </c>
      <c r="M546" t="n">
        <v>0</v>
      </c>
      <c r="N546" t="n">
        <v>0</v>
      </c>
      <c r="O546" t="n">
        <v>0</v>
      </c>
      <c r="P546" t="n">
        <v>0</v>
      </c>
      <c r="Q546" t="n">
        <v>0</v>
      </c>
      <c r="R546" s="2" t="inlineStr"/>
    </row>
    <row r="547" ht="15" customHeight="1">
      <c r="A547" t="inlineStr">
        <is>
          <t>A 60675-2022</t>
        </is>
      </c>
      <c r="B547" s="1" t="n">
        <v>44911</v>
      </c>
      <c r="C547" s="1" t="n">
        <v>45725</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60679-2022</t>
        </is>
      </c>
      <c r="B548" s="1" t="n">
        <v>44911</v>
      </c>
      <c r="C548" s="1" t="n">
        <v>45725</v>
      </c>
      <c r="D548" t="inlineStr">
        <is>
          <t>JÄMTLANDS LÄN</t>
        </is>
      </c>
      <c r="E548" t="inlineStr">
        <is>
          <t>ÖSTERSUND</t>
        </is>
      </c>
      <c r="G548" t="n">
        <v>1.4</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v>
      </c>
      <c r="C549" s="1" t="n">
        <v>45725</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61653-2022</t>
        </is>
      </c>
      <c r="B550" s="1" t="n">
        <v>44916</v>
      </c>
      <c r="C550" s="1" t="n">
        <v>45725</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62040-2022</t>
        </is>
      </c>
      <c r="B551" s="1" t="n">
        <v>44918</v>
      </c>
      <c r="C551" s="1" t="n">
        <v>45725</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62043-2022</t>
        </is>
      </c>
      <c r="B552" s="1" t="n">
        <v>44918</v>
      </c>
      <c r="C552" s="1" t="n">
        <v>45725</v>
      </c>
      <c r="D552" t="inlineStr">
        <is>
          <t>JÄMTLANDS LÄN</t>
        </is>
      </c>
      <c r="E552" t="inlineStr">
        <is>
          <t>ÖSTERSUND</t>
        </is>
      </c>
      <c r="G552" t="n">
        <v>5.2</v>
      </c>
      <c r="H552" t="n">
        <v>0</v>
      </c>
      <c r="I552" t="n">
        <v>0</v>
      </c>
      <c r="J552" t="n">
        <v>0</v>
      </c>
      <c r="K552" t="n">
        <v>0</v>
      </c>
      <c r="L552" t="n">
        <v>0</v>
      </c>
      <c r="M552" t="n">
        <v>0</v>
      </c>
      <c r="N552" t="n">
        <v>0</v>
      </c>
      <c r="O552" t="n">
        <v>0</v>
      </c>
      <c r="P552" t="n">
        <v>0</v>
      </c>
      <c r="Q552" t="n">
        <v>0</v>
      </c>
      <c r="R552" s="2" t="inlineStr"/>
    </row>
    <row r="553" ht="15" customHeight="1">
      <c r="A553" t="inlineStr">
        <is>
          <t>A 62227-2022</t>
        </is>
      </c>
      <c r="B553" s="1" t="n">
        <v>44922</v>
      </c>
      <c r="C553" s="1" t="n">
        <v>45725</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62225-2022</t>
        </is>
      </c>
      <c r="B554" s="1" t="n">
        <v>44922</v>
      </c>
      <c r="C554" s="1" t="n">
        <v>45725</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62222-2022</t>
        </is>
      </c>
      <c r="B555" s="1" t="n">
        <v>44922</v>
      </c>
      <c r="C555" s="1" t="n">
        <v>45725</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296-2023</t>
        </is>
      </c>
      <c r="B556" s="1" t="n">
        <v>44922</v>
      </c>
      <c r="C556" s="1" t="n">
        <v>45725</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12-2023</t>
        </is>
      </c>
      <c r="B557" s="1" t="n">
        <v>44927</v>
      </c>
      <c r="C557" s="1" t="n">
        <v>45725</v>
      </c>
      <c r="D557" t="inlineStr">
        <is>
          <t>JÄMTLANDS LÄN</t>
        </is>
      </c>
      <c r="E557" t="inlineStr">
        <is>
          <t>ÖSTERSUND</t>
        </is>
      </c>
      <c r="G557" t="n">
        <v>4.7</v>
      </c>
      <c r="H557" t="n">
        <v>0</v>
      </c>
      <c r="I557" t="n">
        <v>0</v>
      </c>
      <c r="J557" t="n">
        <v>0</v>
      </c>
      <c r="K557" t="n">
        <v>0</v>
      </c>
      <c r="L557" t="n">
        <v>0</v>
      </c>
      <c r="M557" t="n">
        <v>0</v>
      </c>
      <c r="N557" t="n">
        <v>0</v>
      </c>
      <c r="O557" t="n">
        <v>0</v>
      </c>
      <c r="P557" t="n">
        <v>0</v>
      </c>
      <c r="Q557" t="n">
        <v>0</v>
      </c>
      <c r="R557" s="2" t="inlineStr"/>
    </row>
    <row r="558" ht="15" customHeight="1">
      <c r="A558" t="inlineStr">
        <is>
          <t>A 257-2023</t>
        </is>
      </c>
      <c r="B558" s="1" t="n">
        <v>44928</v>
      </c>
      <c r="C558" s="1" t="n">
        <v>45725</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55-2023</t>
        </is>
      </c>
      <c r="B559" s="1" t="n">
        <v>44928</v>
      </c>
      <c r="C559" s="1" t="n">
        <v>45725</v>
      </c>
      <c r="D559" t="inlineStr">
        <is>
          <t>JÄMTLANDS LÄN</t>
        </is>
      </c>
      <c r="E559" t="inlineStr">
        <is>
          <t>ÖSTERSUND</t>
        </is>
      </c>
      <c r="G559" t="n">
        <v>4</v>
      </c>
      <c r="H559" t="n">
        <v>0</v>
      </c>
      <c r="I559" t="n">
        <v>0</v>
      </c>
      <c r="J559" t="n">
        <v>0</v>
      </c>
      <c r="K559" t="n">
        <v>0</v>
      </c>
      <c r="L559" t="n">
        <v>0</v>
      </c>
      <c r="M559" t="n">
        <v>0</v>
      </c>
      <c r="N559" t="n">
        <v>0</v>
      </c>
      <c r="O559" t="n">
        <v>0</v>
      </c>
      <c r="P559" t="n">
        <v>0</v>
      </c>
      <c r="Q559" t="n">
        <v>0</v>
      </c>
      <c r="R559" s="2" t="inlineStr"/>
    </row>
    <row r="560" ht="15" customHeight="1">
      <c r="A560" t="inlineStr">
        <is>
          <t>A 1234-2023</t>
        </is>
      </c>
      <c r="B560" s="1" t="n">
        <v>44936</v>
      </c>
      <c r="C560" s="1" t="n">
        <v>45725</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1893-2023</t>
        </is>
      </c>
      <c r="B561" s="1" t="n">
        <v>44937</v>
      </c>
      <c r="C561" s="1" t="n">
        <v>45725</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2420-2023</t>
        </is>
      </c>
      <c r="B562" s="1" t="n">
        <v>44943</v>
      </c>
      <c r="C562" s="1" t="n">
        <v>45725</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3339-2023</t>
        </is>
      </c>
      <c r="B563" s="1" t="n">
        <v>44949</v>
      </c>
      <c r="C563" s="1" t="n">
        <v>45725</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3749-2023</t>
        </is>
      </c>
      <c r="B564" s="1" t="n">
        <v>44949</v>
      </c>
      <c r="C564" s="1" t="n">
        <v>45725</v>
      </c>
      <c r="D564" t="inlineStr">
        <is>
          <t>JÄMTLANDS LÄN</t>
        </is>
      </c>
      <c r="E564" t="inlineStr">
        <is>
          <t>ÖSTERSUND</t>
        </is>
      </c>
      <c r="G564" t="n">
        <v>0.2</v>
      </c>
      <c r="H564" t="n">
        <v>0</v>
      </c>
      <c r="I564" t="n">
        <v>0</v>
      </c>
      <c r="J564" t="n">
        <v>0</v>
      </c>
      <c r="K564" t="n">
        <v>0</v>
      </c>
      <c r="L564" t="n">
        <v>0</v>
      </c>
      <c r="M564" t="n">
        <v>0</v>
      </c>
      <c r="N564" t="n">
        <v>0</v>
      </c>
      <c r="O564" t="n">
        <v>0</v>
      </c>
      <c r="P564" t="n">
        <v>0</v>
      </c>
      <c r="Q564" t="n">
        <v>0</v>
      </c>
      <c r="R564" s="2" t="inlineStr"/>
    </row>
    <row r="565" ht="15" customHeight="1">
      <c r="A565" t="inlineStr">
        <is>
          <t>A 3949-2023</t>
        </is>
      </c>
      <c r="B565" s="1" t="n">
        <v>44950</v>
      </c>
      <c r="C565" s="1" t="n">
        <v>45725</v>
      </c>
      <c r="D565" t="inlineStr">
        <is>
          <t>JÄMTLANDS LÄN</t>
        </is>
      </c>
      <c r="E565" t="inlineStr">
        <is>
          <t>ÖSTERSUND</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4134-2023</t>
        </is>
      </c>
      <c r="B566" s="1" t="n">
        <v>44952</v>
      </c>
      <c r="C566" s="1" t="n">
        <v>45725</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45725</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4136-2023</t>
        </is>
      </c>
      <c r="B568" s="1" t="n">
        <v>44952</v>
      </c>
      <c r="C568" s="1" t="n">
        <v>45725</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4345-2023</t>
        </is>
      </c>
      <c r="B569" s="1" t="n">
        <v>44954</v>
      </c>
      <c r="C569" s="1" t="n">
        <v>45725</v>
      </c>
      <c r="D569" t="inlineStr">
        <is>
          <t>JÄMTLANDS LÄN</t>
        </is>
      </c>
      <c r="E569" t="inlineStr">
        <is>
          <t>ÖSTERSUND</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5197-2023</t>
        </is>
      </c>
      <c r="B570" s="1" t="n">
        <v>44953</v>
      </c>
      <c r="C570" s="1" t="n">
        <v>45725</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4872-2023</t>
        </is>
      </c>
      <c r="B571" s="1" t="n">
        <v>44957</v>
      </c>
      <c r="C571" s="1" t="n">
        <v>45725</v>
      </c>
      <c r="D571" t="inlineStr">
        <is>
          <t>JÄMTLANDS LÄN</t>
        </is>
      </c>
      <c r="E571" t="inlineStr">
        <is>
          <t>ÖSTERSUND</t>
        </is>
      </c>
      <c r="G571" t="n">
        <v>10.7</v>
      </c>
      <c r="H571" t="n">
        <v>0</v>
      </c>
      <c r="I571" t="n">
        <v>0</v>
      </c>
      <c r="J571" t="n">
        <v>0</v>
      </c>
      <c r="K571" t="n">
        <v>0</v>
      </c>
      <c r="L571" t="n">
        <v>0</v>
      </c>
      <c r="M571" t="n">
        <v>0</v>
      </c>
      <c r="N571" t="n">
        <v>0</v>
      </c>
      <c r="O571" t="n">
        <v>0</v>
      </c>
      <c r="P571" t="n">
        <v>0</v>
      </c>
      <c r="Q571" t="n">
        <v>0</v>
      </c>
      <c r="R571" s="2" t="inlineStr"/>
    </row>
    <row r="572" ht="15" customHeight="1">
      <c r="A572" t="inlineStr">
        <is>
          <t>A 5951-2023</t>
        </is>
      </c>
      <c r="B572" s="1" t="n">
        <v>44963</v>
      </c>
      <c r="C572" s="1" t="n">
        <v>45725</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5950-2023</t>
        </is>
      </c>
      <c r="B573" s="1" t="n">
        <v>44963</v>
      </c>
      <c r="C573" s="1" t="n">
        <v>45725</v>
      </c>
      <c r="D573" t="inlineStr">
        <is>
          <t>JÄMTLANDS LÄN</t>
        </is>
      </c>
      <c r="E573" t="inlineStr">
        <is>
          <t>ÖSTERSUND</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6341-2023</t>
        </is>
      </c>
      <c r="B574" s="1" t="n">
        <v>44965</v>
      </c>
      <c r="C574" s="1" t="n">
        <v>45725</v>
      </c>
      <c r="D574" t="inlineStr">
        <is>
          <t>JÄMTLANDS LÄN</t>
        </is>
      </c>
      <c r="E574" t="inlineStr">
        <is>
          <t>ÖSTERSUND</t>
        </is>
      </c>
      <c r="G574" t="n">
        <v>6</v>
      </c>
      <c r="H574" t="n">
        <v>0</v>
      </c>
      <c r="I574" t="n">
        <v>0</v>
      </c>
      <c r="J574" t="n">
        <v>0</v>
      </c>
      <c r="K574" t="n">
        <v>0</v>
      </c>
      <c r="L574" t="n">
        <v>0</v>
      </c>
      <c r="M574" t="n">
        <v>0</v>
      </c>
      <c r="N574" t="n">
        <v>0</v>
      </c>
      <c r="O574" t="n">
        <v>0</v>
      </c>
      <c r="P574" t="n">
        <v>0</v>
      </c>
      <c r="Q574" t="n">
        <v>0</v>
      </c>
      <c r="R574" s="2" t="inlineStr"/>
    </row>
    <row r="575" ht="15" customHeight="1">
      <c r="A575" t="inlineStr">
        <is>
          <t>A 7327-2023</t>
        </is>
      </c>
      <c r="B575" s="1" t="n">
        <v>44971</v>
      </c>
      <c r="C575" s="1" t="n">
        <v>45725</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7983-2023</t>
        </is>
      </c>
      <c r="B576" s="1" t="n">
        <v>44970</v>
      </c>
      <c r="C576" s="1" t="n">
        <v>45725</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8223-2023</t>
        </is>
      </c>
      <c r="B577" s="1" t="n">
        <v>44971</v>
      </c>
      <c r="C577" s="1" t="n">
        <v>45725</v>
      </c>
      <c r="D577" t="inlineStr">
        <is>
          <t>JÄMTLANDS LÄN</t>
        </is>
      </c>
      <c r="E577" t="inlineStr">
        <is>
          <t>ÖSTERSUND</t>
        </is>
      </c>
      <c r="G577" t="n">
        <v>7.6</v>
      </c>
      <c r="H577" t="n">
        <v>0</v>
      </c>
      <c r="I577" t="n">
        <v>0</v>
      </c>
      <c r="J577" t="n">
        <v>0</v>
      </c>
      <c r="K577" t="n">
        <v>0</v>
      </c>
      <c r="L577" t="n">
        <v>0</v>
      </c>
      <c r="M577" t="n">
        <v>0</v>
      </c>
      <c r="N577" t="n">
        <v>0</v>
      </c>
      <c r="O577" t="n">
        <v>0</v>
      </c>
      <c r="P577" t="n">
        <v>0</v>
      </c>
      <c r="Q577" t="n">
        <v>0</v>
      </c>
      <c r="R577" s="2" t="inlineStr"/>
    </row>
    <row r="578" ht="15" customHeight="1">
      <c r="A578" t="inlineStr">
        <is>
          <t>A 8423-2023</t>
        </is>
      </c>
      <c r="B578" s="1" t="n">
        <v>44977</v>
      </c>
      <c r="C578" s="1" t="n">
        <v>45725</v>
      </c>
      <c r="D578" t="inlineStr">
        <is>
          <t>JÄMTLANDS LÄN</t>
        </is>
      </c>
      <c r="E578" t="inlineStr">
        <is>
          <t>ÖSTERSUND</t>
        </is>
      </c>
      <c r="F578" t="inlineStr">
        <is>
          <t>Övriga Aktiebolag</t>
        </is>
      </c>
      <c r="G578" t="n">
        <v>53.1</v>
      </c>
      <c r="H578" t="n">
        <v>0</v>
      </c>
      <c r="I578" t="n">
        <v>0</v>
      </c>
      <c r="J578" t="n">
        <v>0</v>
      </c>
      <c r="K578" t="n">
        <v>0</v>
      </c>
      <c r="L578" t="n">
        <v>0</v>
      </c>
      <c r="M578" t="n">
        <v>0</v>
      </c>
      <c r="N578" t="n">
        <v>0</v>
      </c>
      <c r="O578" t="n">
        <v>0</v>
      </c>
      <c r="P578" t="n">
        <v>0</v>
      </c>
      <c r="Q578" t="n">
        <v>0</v>
      </c>
      <c r="R578" s="2" t="inlineStr"/>
    </row>
    <row r="579" ht="15" customHeight="1">
      <c r="A579" t="inlineStr">
        <is>
          <t>A 8675-2023</t>
        </is>
      </c>
      <c r="B579" s="1" t="n">
        <v>44978</v>
      </c>
      <c r="C579" s="1" t="n">
        <v>45725</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10306-2023</t>
        </is>
      </c>
      <c r="B580" s="1" t="n">
        <v>44986</v>
      </c>
      <c r="C580" s="1" t="n">
        <v>45725</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10308-2023</t>
        </is>
      </c>
      <c r="B581" s="1" t="n">
        <v>44986</v>
      </c>
      <c r="C581" s="1" t="n">
        <v>45725</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10307-2023</t>
        </is>
      </c>
      <c r="B582" s="1" t="n">
        <v>44986</v>
      </c>
      <c r="C582" s="1" t="n">
        <v>45725</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10315-2023</t>
        </is>
      </c>
      <c r="B583" s="1" t="n">
        <v>44986</v>
      </c>
      <c r="C583" s="1" t="n">
        <v>45725</v>
      </c>
      <c r="D583" t="inlineStr">
        <is>
          <t>JÄMTLANDS LÄN</t>
        </is>
      </c>
      <c r="E583" t="inlineStr">
        <is>
          <t>ÖSTERSUND</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10305-2023</t>
        </is>
      </c>
      <c r="B584" s="1" t="n">
        <v>44986</v>
      </c>
      <c r="C584" s="1" t="n">
        <v>45725</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11356-2023</t>
        </is>
      </c>
      <c r="B585" s="1" t="n">
        <v>44993</v>
      </c>
      <c r="C585" s="1" t="n">
        <v>45725</v>
      </c>
      <c r="D585" t="inlineStr">
        <is>
          <t>JÄMTLANDS LÄN</t>
        </is>
      </c>
      <c r="E585" t="inlineStr">
        <is>
          <t>ÖSTERSUND</t>
        </is>
      </c>
      <c r="G585" t="n">
        <v>8.1</v>
      </c>
      <c r="H585" t="n">
        <v>0</v>
      </c>
      <c r="I585" t="n">
        <v>0</v>
      </c>
      <c r="J585" t="n">
        <v>0</v>
      </c>
      <c r="K585" t="n">
        <v>0</v>
      </c>
      <c r="L585" t="n">
        <v>0</v>
      </c>
      <c r="M585" t="n">
        <v>0</v>
      </c>
      <c r="N585" t="n">
        <v>0</v>
      </c>
      <c r="O585" t="n">
        <v>0</v>
      </c>
      <c r="P585" t="n">
        <v>0</v>
      </c>
      <c r="Q585" t="n">
        <v>0</v>
      </c>
      <c r="R585" s="2" t="inlineStr"/>
    </row>
    <row r="586" ht="15" customHeight="1">
      <c r="A586" t="inlineStr">
        <is>
          <t>A 12821-2023</t>
        </is>
      </c>
      <c r="B586" s="1" t="n">
        <v>45000</v>
      </c>
      <c r="C586" s="1" t="n">
        <v>45725</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13166-2023</t>
        </is>
      </c>
      <c r="B587" s="1" t="n">
        <v>45002</v>
      </c>
      <c r="C587" s="1" t="n">
        <v>45725</v>
      </c>
      <c r="D587" t="inlineStr">
        <is>
          <t>JÄMTLANDS LÄN</t>
        </is>
      </c>
      <c r="E587" t="inlineStr">
        <is>
          <t>ÖSTERSUND</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13148-2023</t>
        </is>
      </c>
      <c r="B588" s="1" t="n">
        <v>45002</v>
      </c>
      <c r="C588" s="1" t="n">
        <v>45725</v>
      </c>
      <c r="D588" t="inlineStr">
        <is>
          <t>JÄMTLANDS LÄN</t>
        </is>
      </c>
      <c r="E588" t="inlineStr">
        <is>
          <t>ÖSTERSUND</t>
        </is>
      </c>
      <c r="G588" t="n">
        <v>1.8</v>
      </c>
      <c r="H588" t="n">
        <v>0</v>
      </c>
      <c r="I588" t="n">
        <v>0</v>
      </c>
      <c r="J588" t="n">
        <v>0</v>
      </c>
      <c r="K588" t="n">
        <v>0</v>
      </c>
      <c r="L588" t="n">
        <v>0</v>
      </c>
      <c r="M588" t="n">
        <v>0</v>
      </c>
      <c r="N588" t="n">
        <v>0</v>
      </c>
      <c r="O588" t="n">
        <v>0</v>
      </c>
      <c r="P588" t="n">
        <v>0</v>
      </c>
      <c r="Q588" t="n">
        <v>0</v>
      </c>
      <c r="R588" s="2" t="inlineStr"/>
    </row>
    <row r="589" ht="15" customHeight="1">
      <c r="A589" t="inlineStr">
        <is>
          <t>A 13152-2023</t>
        </is>
      </c>
      <c r="B589" s="1" t="n">
        <v>45002</v>
      </c>
      <c r="C589" s="1" t="n">
        <v>45725</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13282-2023</t>
        </is>
      </c>
      <c r="B590" s="1" t="n">
        <v>45004</v>
      </c>
      <c r="C590" s="1" t="n">
        <v>45725</v>
      </c>
      <c r="D590" t="inlineStr">
        <is>
          <t>JÄMTLANDS LÄN</t>
        </is>
      </c>
      <c r="E590" t="inlineStr">
        <is>
          <t>ÖSTERSUND</t>
        </is>
      </c>
      <c r="G590" t="n">
        <v>28.5</v>
      </c>
      <c r="H590" t="n">
        <v>0</v>
      </c>
      <c r="I590" t="n">
        <v>0</v>
      </c>
      <c r="J590" t="n">
        <v>0</v>
      </c>
      <c r="K590" t="n">
        <v>0</v>
      </c>
      <c r="L590" t="n">
        <v>0</v>
      </c>
      <c r="M590" t="n">
        <v>0</v>
      </c>
      <c r="N590" t="n">
        <v>0</v>
      </c>
      <c r="O590" t="n">
        <v>0</v>
      </c>
      <c r="P590" t="n">
        <v>0</v>
      </c>
      <c r="Q590" t="n">
        <v>0</v>
      </c>
      <c r="R590" s="2" t="inlineStr"/>
    </row>
    <row r="591" ht="15" customHeight="1">
      <c r="A591" t="inlineStr">
        <is>
          <t>A 13921-2023</t>
        </is>
      </c>
      <c r="B591" s="1" t="n">
        <v>45008</v>
      </c>
      <c r="C591" s="1" t="n">
        <v>45725</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14520-2023</t>
        </is>
      </c>
      <c r="B592" s="1" t="n">
        <v>45012</v>
      </c>
      <c r="C592" s="1" t="n">
        <v>45725</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14523-2023</t>
        </is>
      </c>
      <c r="B593" s="1" t="n">
        <v>45012</v>
      </c>
      <c r="C593" s="1" t="n">
        <v>45725</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14521-2023</t>
        </is>
      </c>
      <c r="B594" s="1" t="n">
        <v>45013</v>
      </c>
      <c r="C594" s="1" t="n">
        <v>45725</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14518-2023</t>
        </is>
      </c>
      <c r="B595" s="1" t="n">
        <v>45012</v>
      </c>
      <c r="C595" s="1" t="n">
        <v>45725</v>
      </c>
      <c r="D595" t="inlineStr">
        <is>
          <t>JÄMTLANDS LÄN</t>
        </is>
      </c>
      <c r="E595" t="inlineStr">
        <is>
          <t>ÖSTERSUND</t>
        </is>
      </c>
      <c r="G595" t="n">
        <v>14.4</v>
      </c>
      <c r="H595" t="n">
        <v>0</v>
      </c>
      <c r="I595" t="n">
        <v>0</v>
      </c>
      <c r="J595" t="n">
        <v>0</v>
      </c>
      <c r="K595" t="n">
        <v>0</v>
      </c>
      <c r="L595" t="n">
        <v>0</v>
      </c>
      <c r="M595" t="n">
        <v>0</v>
      </c>
      <c r="N595" t="n">
        <v>0</v>
      </c>
      <c r="O595" t="n">
        <v>0</v>
      </c>
      <c r="P595" t="n">
        <v>0</v>
      </c>
      <c r="Q595" t="n">
        <v>0</v>
      </c>
      <c r="R595" s="2" t="inlineStr"/>
    </row>
    <row r="596" ht="15" customHeight="1">
      <c r="A596" t="inlineStr">
        <is>
          <t>A 15984-2023</t>
        </is>
      </c>
      <c r="B596" s="1" t="n">
        <v>45022</v>
      </c>
      <c r="C596" s="1" t="n">
        <v>45725</v>
      </c>
      <c r="D596" t="inlineStr">
        <is>
          <t>JÄMTLANDS LÄN</t>
        </is>
      </c>
      <c r="E596" t="inlineStr">
        <is>
          <t>ÖSTERSUND</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16666-2023</t>
        </is>
      </c>
      <c r="B597" s="1" t="n">
        <v>45028</v>
      </c>
      <c r="C597" s="1" t="n">
        <v>45725</v>
      </c>
      <c r="D597" t="inlineStr">
        <is>
          <t>JÄMTLANDS LÄN</t>
        </is>
      </c>
      <c r="E597" t="inlineStr">
        <is>
          <t>ÖSTERSUND</t>
        </is>
      </c>
      <c r="G597" t="n">
        <v>2.4</v>
      </c>
      <c r="H597" t="n">
        <v>0</v>
      </c>
      <c r="I597" t="n">
        <v>0</v>
      </c>
      <c r="J597" t="n">
        <v>0</v>
      </c>
      <c r="K597" t="n">
        <v>0</v>
      </c>
      <c r="L597" t="n">
        <v>0</v>
      </c>
      <c r="M597" t="n">
        <v>0</v>
      </c>
      <c r="N597" t="n">
        <v>0</v>
      </c>
      <c r="O597" t="n">
        <v>0</v>
      </c>
      <c r="P597" t="n">
        <v>0</v>
      </c>
      <c r="Q597" t="n">
        <v>0</v>
      </c>
      <c r="R597" s="2" t="inlineStr"/>
    </row>
    <row r="598" ht="15" customHeight="1">
      <c r="A598" t="inlineStr">
        <is>
          <t>A 16682-2023</t>
        </is>
      </c>
      <c r="B598" s="1" t="n">
        <v>45028</v>
      </c>
      <c r="C598" s="1" t="n">
        <v>45725</v>
      </c>
      <c r="D598" t="inlineStr">
        <is>
          <t>JÄMTLANDS LÄN</t>
        </is>
      </c>
      <c r="E598" t="inlineStr">
        <is>
          <t>ÖSTERSUND</t>
        </is>
      </c>
      <c r="G598" t="n">
        <v>7.9</v>
      </c>
      <c r="H598" t="n">
        <v>0</v>
      </c>
      <c r="I598" t="n">
        <v>0</v>
      </c>
      <c r="J598" t="n">
        <v>0</v>
      </c>
      <c r="K598" t="n">
        <v>0</v>
      </c>
      <c r="L598" t="n">
        <v>0</v>
      </c>
      <c r="M598" t="n">
        <v>0</v>
      </c>
      <c r="N598" t="n">
        <v>0</v>
      </c>
      <c r="O598" t="n">
        <v>0</v>
      </c>
      <c r="P598" t="n">
        <v>0</v>
      </c>
      <c r="Q598" t="n">
        <v>0</v>
      </c>
      <c r="R598" s="2" t="inlineStr"/>
    </row>
    <row r="599" ht="15" customHeight="1">
      <c r="A599" t="inlineStr">
        <is>
          <t>A 17225-2023</t>
        </is>
      </c>
      <c r="B599" s="1" t="n">
        <v>45035</v>
      </c>
      <c r="C599" s="1" t="n">
        <v>45725</v>
      </c>
      <c r="D599" t="inlineStr">
        <is>
          <t>JÄMTLANDS LÄN</t>
        </is>
      </c>
      <c r="E599" t="inlineStr">
        <is>
          <t>ÖSTERSUND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19573-2023</t>
        </is>
      </c>
      <c r="B600" s="1" t="n">
        <v>45049</v>
      </c>
      <c r="C600" s="1" t="n">
        <v>45725</v>
      </c>
      <c r="D600" t="inlineStr">
        <is>
          <t>JÄMTLANDS LÄN</t>
        </is>
      </c>
      <c r="E600" t="inlineStr">
        <is>
          <t>ÖSTERSUND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19750-2023</t>
        </is>
      </c>
      <c r="B601" s="1" t="n">
        <v>45050</v>
      </c>
      <c r="C601" s="1" t="n">
        <v>45725</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20606-2023</t>
        </is>
      </c>
      <c r="B602" s="1" t="n">
        <v>45057</v>
      </c>
      <c r="C602" s="1" t="n">
        <v>45725</v>
      </c>
      <c r="D602" t="inlineStr">
        <is>
          <t>JÄMTLANDS LÄN</t>
        </is>
      </c>
      <c r="E602" t="inlineStr">
        <is>
          <t>ÖSTERSUND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20634-2023</t>
        </is>
      </c>
      <c r="B603" s="1" t="n">
        <v>45058</v>
      </c>
      <c r="C603" s="1" t="n">
        <v>45725</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45725</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20635-2023</t>
        </is>
      </c>
      <c r="B605" s="1" t="n">
        <v>45058</v>
      </c>
      <c r="C605" s="1" t="n">
        <v>45725</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20633-2023</t>
        </is>
      </c>
      <c r="B606" s="1" t="n">
        <v>45058</v>
      </c>
      <c r="C606" s="1" t="n">
        <v>45725</v>
      </c>
      <c r="D606" t="inlineStr">
        <is>
          <t>JÄMTLANDS LÄN</t>
        </is>
      </c>
      <c r="E606" t="inlineStr">
        <is>
          <t>ÖSTERSUND</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20636-2023</t>
        </is>
      </c>
      <c r="B607" s="1" t="n">
        <v>45058</v>
      </c>
      <c r="C607" s="1" t="n">
        <v>45725</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24515-2023</t>
        </is>
      </c>
      <c r="B608" s="1" t="n">
        <v>45077</v>
      </c>
      <c r="C608" s="1" t="n">
        <v>45725</v>
      </c>
      <c r="D608" t="inlineStr">
        <is>
          <t>JÄMTLANDS LÄN</t>
        </is>
      </c>
      <c r="E608" t="inlineStr">
        <is>
          <t>ÖSTERSUND</t>
        </is>
      </c>
      <c r="G608" t="n">
        <v>27.8</v>
      </c>
      <c r="H608" t="n">
        <v>0</v>
      </c>
      <c r="I608" t="n">
        <v>0</v>
      </c>
      <c r="J608" t="n">
        <v>0</v>
      </c>
      <c r="K608" t="n">
        <v>0</v>
      </c>
      <c r="L608" t="n">
        <v>0</v>
      </c>
      <c r="M608" t="n">
        <v>0</v>
      </c>
      <c r="N608" t="n">
        <v>0</v>
      </c>
      <c r="O608" t="n">
        <v>0</v>
      </c>
      <c r="P608" t="n">
        <v>0</v>
      </c>
      <c r="Q608" t="n">
        <v>0</v>
      </c>
      <c r="R608" s="2" t="inlineStr"/>
    </row>
    <row r="609" ht="15" customHeight="1">
      <c r="A609" t="inlineStr">
        <is>
          <t>A 24396-2023</t>
        </is>
      </c>
      <c r="B609" s="1" t="n">
        <v>45082</v>
      </c>
      <c r="C609" s="1" t="n">
        <v>45725</v>
      </c>
      <c r="D609" t="inlineStr">
        <is>
          <t>JÄMTLANDS LÄN</t>
        </is>
      </c>
      <c r="E609" t="inlineStr">
        <is>
          <t>ÖSTERSUND</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25727-2023</t>
        </is>
      </c>
      <c r="B610" s="1" t="n">
        <v>45084</v>
      </c>
      <c r="C610" s="1" t="n">
        <v>45725</v>
      </c>
      <c r="D610" t="inlineStr">
        <is>
          <t>JÄMTLANDS LÄN</t>
        </is>
      </c>
      <c r="E610" t="inlineStr">
        <is>
          <t>ÖSTERSUND</t>
        </is>
      </c>
      <c r="G610" t="n">
        <v>1.1</v>
      </c>
      <c r="H610" t="n">
        <v>0</v>
      </c>
      <c r="I610" t="n">
        <v>0</v>
      </c>
      <c r="J610" t="n">
        <v>0</v>
      </c>
      <c r="K610" t="n">
        <v>0</v>
      </c>
      <c r="L610" t="n">
        <v>0</v>
      </c>
      <c r="M610" t="n">
        <v>0</v>
      </c>
      <c r="N610" t="n">
        <v>0</v>
      </c>
      <c r="O610" t="n">
        <v>0</v>
      </c>
      <c r="P610" t="n">
        <v>0</v>
      </c>
      <c r="Q610" t="n">
        <v>0</v>
      </c>
      <c r="R610" s="2" t="inlineStr"/>
    </row>
    <row r="611" ht="15" customHeight="1">
      <c r="A611" t="inlineStr">
        <is>
          <t>A 25866-2023</t>
        </is>
      </c>
      <c r="B611" s="1" t="n">
        <v>45084</v>
      </c>
      <c r="C611" s="1" t="n">
        <v>45725</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25496-2023</t>
        </is>
      </c>
      <c r="B612" s="1" t="n">
        <v>45089</v>
      </c>
      <c r="C612" s="1" t="n">
        <v>45725</v>
      </c>
      <c r="D612" t="inlineStr">
        <is>
          <t>JÄMTLANDS LÄN</t>
        </is>
      </c>
      <c r="E612" t="inlineStr">
        <is>
          <t>ÖSTERSUND</t>
        </is>
      </c>
      <c r="F612" t="inlineStr">
        <is>
          <t>Kyrkan</t>
        </is>
      </c>
      <c r="G612" t="n">
        <v>5.7</v>
      </c>
      <c r="H612" t="n">
        <v>0</v>
      </c>
      <c r="I612" t="n">
        <v>0</v>
      </c>
      <c r="J612" t="n">
        <v>0</v>
      </c>
      <c r="K612" t="n">
        <v>0</v>
      </c>
      <c r="L612" t="n">
        <v>0</v>
      </c>
      <c r="M612" t="n">
        <v>0</v>
      </c>
      <c r="N612" t="n">
        <v>0</v>
      </c>
      <c r="O612" t="n">
        <v>0</v>
      </c>
      <c r="P612" t="n">
        <v>0</v>
      </c>
      <c r="Q612" t="n">
        <v>0</v>
      </c>
      <c r="R612" s="2" t="inlineStr"/>
    </row>
    <row r="613" ht="15" customHeight="1">
      <c r="A613" t="inlineStr">
        <is>
          <t>A 25535-2023</t>
        </is>
      </c>
      <c r="B613" s="1" t="n">
        <v>45089</v>
      </c>
      <c r="C613" s="1" t="n">
        <v>45725</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25514-2023</t>
        </is>
      </c>
      <c r="B614" s="1" t="n">
        <v>45089</v>
      </c>
      <c r="C614" s="1" t="n">
        <v>45725</v>
      </c>
      <c r="D614" t="inlineStr">
        <is>
          <t>JÄMTLANDS LÄN</t>
        </is>
      </c>
      <c r="E614" t="inlineStr">
        <is>
          <t>ÖSTERSUND</t>
        </is>
      </c>
      <c r="F614" t="inlineStr">
        <is>
          <t>Kyrkan</t>
        </is>
      </c>
      <c r="G614" t="n">
        <v>6.7</v>
      </c>
      <c r="H614" t="n">
        <v>0</v>
      </c>
      <c r="I614" t="n">
        <v>0</v>
      </c>
      <c r="J614" t="n">
        <v>0</v>
      </c>
      <c r="K614" t="n">
        <v>0</v>
      </c>
      <c r="L614" t="n">
        <v>0</v>
      </c>
      <c r="M614" t="n">
        <v>0</v>
      </c>
      <c r="N614" t="n">
        <v>0</v>
      </c>
      <c r="O614" t="n">
        <v>0</v>
      </c>
      <c r="P614" t="n">
        <v>0</v>
      </c>
      <c r="Q614" t="n">
        <v>0</v>
      </c>
      <c r="R614" s="2" t="inlineStr"/>
    </row>
    <row r="615" ht="15" customHeight="1">
      <c r="A615" t="inlineStr">
        <is>
          <t>A 26565-2023</t>
        </is>
      </c>
      <c r="B615" s="1" t="n">
        <v>45089</v>
      </c>
      <c r="C615" s="1" t="n">
        <v>45725</v>
      </c>
      <c r="D615" t="inlineStr">
        <is>
          <t>JÄMTLANDS LÄN</t>
        </is>
      </c>
      <c r="E615" t="inlineStr">
        <is>
          <t>ÖSTERSUND</t>
        </is>
      </c>
      <c r="G615" t="n">
        <v>5.2</v>
      </c>
      <c r="H615" t="n">
        <v>0</v>
      </c>
      <c r="I615" t="n">
        <v>0</v>
      </c>
      <c r="J615" t="n">
        <v>0</v>
      </c>
      <c r="K615" t="n">
        <v>0</v>
      </c>
      <c r="L615" t="n">
        <v>0</v>
      </c>
      <c r="M615" t="n">
        <v>0</v>
      </c>
      <c r="N615" t="n">
        <v>0</v>
      </c>
      <c r="O615" t="n">
        <v>0</v>
      </c>
      <c r="P615" t="n">
        <v>0</v>
      </c>
      <c r="Q615" t="n">
        <v>0</v>
      </c>
      <c r="R615" s="2" t="inlineStr"/>
    </row>
    <row r="616" ht="15" customHeight="1">
      <c r="A616" t="inlineStr">
        <is>
          <t>A 26521-2023</t>
        </is>
      </c>
      <c r="B616" s="1" t="n">
        <v>45089</v>
      </c>
      <c r="C616" s="1" t="n">
        <v>45725</v>
      </c>
      <c r="D616" t="inlineStr">
        <is>
          <t>JÄMTLANDS LÄN</t>
        </is>
      </c>
      <c r="E616" t="inlineStr">
        <is>
          <t>ÖSTERSUND</t>
        </is>
      </c>
      <c r="G616" t="n">
        <v>11.7</v>
      </c>
      <c r="H616" t="n">
        <v>0</v>
      </c>
      <c r="I616" t="n">
        <v>0</v>
      </c>
      <c r="J616" t="n">
        <v>0</v>
      </c>
      <c r="K616" t="n">
        <v>0</v>
      </c>
      <c r="L616" t="n">
        <v>0</v>
      </c>
      <c r="M616" t="n">
        <v>0</v>
      </c>
      <c r="N616" t="n">
        <v>0</v>
      </c>
      <c r="O616" t="n">
        <v>0</v>
      </c>
      <c r="P616" t="n">
        <v>0</v>
      </c>
      <c r="Q616" t="n">
        <v>0</v>
      </c>
      <c r="R616" s="2" t="inlineStr"/>
    </row>
    <row r="617" ht="15" customHeight="1">
      <c r="A617" t="inlineStr">
        <is>
          <t>A 25789-2023</t>
        </is>
      </c>
      <c r="B617" s="1" t="n">
        <v>45090</v>
      </c>
      <c r="C617" s="1" t="n">
        <v>45725</v>
      </c>
      <c r="D617" t="inlineStr">
        <is>
          <t>JÄMTLANDS LÄN</t>
        </is>
      </c>
      <c r="E617" t="inlineStr">
        <is>
          <t>ÖSTERSUND</t>
        </is>
      </c>
      <c r="G617" t="n">
        <v>3.1</v>
      </c>
      <c r="H617" t="n">
        <v>0</v>
      </c>
      <c r="I617" t="n">
        <v>0</v>
      </c>
      <c r="J617" t="n">
        <v>0</v>
      </c>
      <c r="K617" t="n">
        <v>0</v>
      </c>
      <c r="L617" t="n">
        <v>0</v>
      </c>
      <c r="M617" t="n">
        <v>0</v>
      </c>
      <c r="N617" t="n">
        <v>0</v>
      </c>
      <c r="O617" t="n">
        <v>0</v>
      </c>
      <c r="P617" t="n">
        <v>0</v>
      </c>
      <c r="Q617" t="n">
        <v>0</v>
      </c>
      <c r="R617" s="2" t="inlineStr"/>
    </row>
    <row r="618" ht="15" customHeight="1">
      <c r="A618" t="inlineStr">
        <is>
          <t>A 26012-2023</t>
        </is>
      </c>
      <c r="B618" s="1" t="n">
        <v>45091</v>
      </c>
      <c r="C618" s="1" t="n">
        <v>45725</v>
      </c>
      <c r="D618" t="inlineStr">
        <is>
          <t>JÄMTLANDS LÄN</t>
        </is>
      </c>
      <c r="E618" t="inlineStr">
        <is>
          <t>ÖSTERSUND</t>
        </is>
      </c>
      <c r="G618" t="n">
        <v>3.6</v>
      </c>
      <c r="H618" t="n">
        <v>0</v>
      </c>
      <c r="I618" t="n">
        <v>0</v>
      </c>
      <c r="J618" t="n">
        <v>0</v>
      </c>
      <c r="K618" t="n">
        <v>0</v>
      </c>
      <c r="L618" t="n">
        <v>0</v>
      </c>
      <c r="M618" t="n">
        <v>0</v>
      </c>
      <c r="N618" t="n">
        <v>0</v>
      </c>
      <c r="O618" t="n">
        <v>0</v>
      </c>
      <c r="P618" t="n">
        <v>0</v>
      </c>
      <c r="Q618" t="n">
        <v>0</v>
      </c>
      <c r="R618" s="2" t="inlineStr"/>
    </row>
    <row r="619" ht="15" customHeight="1">
      <c r="A619" t="inlineStr">
        <is>
          <t>A 27294-2023</t>
        </is>
      </c>
      <c r="B619" s="1" t="n">
        <v>45092</v>
      </c>
      <c r="C619" s="1" t="n">
        <v>45725</v>
      </c>
      <c r="D619" t="inlineStr">
        <is>
          <t>JÄMTLANDS LÄN</t>
        </is>
      </c>
      <c r="E619" t="inlineStr">
        <is>
          <t>ÖSTERSUND</t>
        </is>
      </c>
      <c r="G619" t="n">
        <v>2.8</v>
      </c>
      <c r="H619" t="n">
        <v>0</v>
      </c>
      <c r="I619" t="n">
        <v>0</v>
      </c>
      <c r="J619" t="n">
        <v>0</v>
      </c>
      <c r="K619" t="n">
        <v>0</v>
      </c>
      <c r="L619" t="n">
        <v>0</v>
      </c>
      <c r="M619" t="n">
        <v>0</v>
      </c>
      <c r="N619" t="n">
        <v>0</v>
      </c>
      <c r="O619" t="n">
        <v>0</v>
      </c>
      <c r="P619" t="n">
        <v>0</v>
      </c>
      <c r="Q619" t="n">
        <v>0</v>
      </c>
      <c r="R619" s="2" t="inlineStr"/>
    </row>
    <row r="620" ht="15" customHeight="1">
      <c r="A620" t="inlineStr">
        <is>
          <t>A 27004-2023</t>
        </is>
      </c>
      <c r="B620" s="1" t="n">
        <v>45094</v>
      </c>
      <c r="C620" s="1" t="n">
        <v>45725</v>
      </c>
      <c r="D620" t="inlineStr">
        <is>
          <t>JÄMTLANDS LÄN</t>
        </is>
      </c>
      <c r="E620" t="inlineStr">
        <is>
          <t>ÖSTERSUND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27124-2023</t>
        </is>
      </c>
      <c r="B621" s="1" t="n">
        <v>45096</v>
      </c>
      <c r="C621" s="1" t="n">
        <v>45725</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27118-2023</t>
        </is>
      </c>
      <c r="B622" s="1" t="n">
        <v>45096</v>
      </c>
      <c r="C622" s="1" t="n">
        <v>45725</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27130-2023</t>
        </is>
      </c>
      <c r="B623" s="1" t="n">
        <v>45096</v>
      </c>
      <c r="C623" s="1" t="n">
        <v>45725</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29548-2023</t>
        </is>
      </c>
      <c r="B624" s="1" t="n">
        <v>45098</v>
      </c>
      <c r="C624" s="1" t="n">
        <v>45725</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30244-2023</t>
        </is>
      </c>
      <c r="B625" s="1" t="n">
        <v>45099</v>
      </c>
      <c r="C625" s="1" t="n">
        <v>45725</v>
      </c>
      <c r="D625" t="inlineStr">
        <is>
          <t>JÄMTLANDS LÄN</t>
        </is>
      </c>
      <c r="E625" t="inlineStr">
        <is>
          <t>ÖSTERSUND</t>
        </is>
      </c>
      <c r="G625" t="n">
        <v>1.4</v>
      </c>
      <c r="H625" t="n">
        <v>0</v>
      </c>
      <c r="I625" t="n">
        <v>0</v>
      </c>
      <c r="J625" t="n">
        <v>0</v>
      </c>
      <c r="K625" t="n">
        <v>0</v>
      </c>
      <c r="L625" t="n">
        <v>0</v>
      </c>
      <c r="M625" t="n">
        <v>0</v>
      </c>
      <c r="N625" t="n">
        <v>0</v>
      </c>
      <c r="O625" t="n">
        <v>0</v>
      </c>
      <c r="P625" t="n">
        <v>0</v>
      </c>
      <c r="Q625" t="n">
        <v>0</v>
      </c>
      <c r="R625" s="2" t="inlineStr"/>
    </row>
    <row r="626" ht="15" customHeight="1">
      <c r="A626" t="inlineStr">
        <is>
          <t>A 30262-2023</t>
        </is>
      </c>
      <c r="B626" s="1" t="n">
        <v>45099</v>
      </c>
      <c r="C626" s="1" t="n">
        <v>45725</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30255-2023</t>
        </is>
      </c>
      <c r="B627" s="1" t="n">
        <v>45099</v>
      </c>
      <c r="C627" s="1" t="n">
        <v>45725</v>
      </c>
      <c r="D627" t="inlineStr">
        <is>
          <t>JÄMTLANDS LÄN</t>
        </is>
      </c>
      <c r="E627" t="inlineStr">
        <is>
          <t>ÖSTERSUND</t>
        </is>
      </c>
      <c r="G627" t="n">
        <v>20.2</v>
      </c>
      <c r="H627" t="n">
        <v>0</v>
      </c>
      <c r="I627" t="n">
        <v>0</v>
      </c>
      <c r="J627" t="n">
        <v>0</v>
      </c>
      <c r="K627" t="n">
        <v>0</v>
      </c>
      <c r="L627" t="n">
        <v>0</v>
      </c>
      <c r="M627" t="n">
        <v>0</v>
      </c>
      <c r="N627" t="n">
        <v>0</v>
      </c>
      <c r="O627" t="n">
        <v>0</v>
      </c>
      <c r="P627" t="n">
        <v>0</v>
      </c>
      <c r="Q627" t="n">
        <v>0</v>
      </c>
      <c r="R627" s="2" t="inlineStr"/>
    </row>
    <row r="628" ht="15" customHeight="1">
      <c r="A628" t="inlineStr">
        <is>
          <t>A 30264-2023</t>
        </is>
      </c>
      <c r="B628" s="1" t="n">
        <v>45099</v>
      </c>
      <c r="C628" s="1" t="n">
        <v>45725</v>
      </c>
      <c r="D628" t="inlineStr">
        <is>
          <t>JÄMTLANDS LÄN</t>
        </is>
      </c>
      <c r="E628" t="inlineStr">
        <is>
          <t>ÖSTERSUND</t>
        </is>
      </c>
      <c r="G628" t="n">
        <v>10</v>
      </c>
      <c r="H628" t="n">
        <v>0</v>
      </c>
      <c r="I628" t="n">
        <v>0</v>
      </c>
      <c r="J628" t="n">
        <v>0</v>
      </c>
      <c r="K628" t="n">
        <v>0</v>
      </c>
      <c r="L628" t="n">
        <v>0</v>
      </c>
      <c r="M628" t="n">
        <v>0</v>
      </c>
      <c r="N628" t="n">
        <v>0</v>
      </c>
      <c r="O628" t="n">
        <v>0</v>
      </c>
      <c r="P628" t="n">
        <v>0</v>
      </c>
      <c r="Q628" t="n">
        <v>0</v>
      </c>
      <c r="R628" s="2" t="inlineStr"/>
    </row>
    <row r="629" ht="15" customHeight="1">
      <c r="A629" t="inlineStr">
        <is>
          <t>A 30206-2023</t>
        </is>
      </c>
      <c r="B629" s="1" t="n">
        <v>45099</v>
      </c>
      <c r="C629" s="1" t="n">
        <v>45725</v>
      </c>
      <c r="D629" t="inlineStr">
        <is>
          <t>JÄMTLANDS LÄN</t>
        </is>
      </c>
      <c r="E629" t="inlineStr">
        <is>
          <t>ÖSTERSUND</t>
        </is>
      </c>
      <c r="G629" t="n">
        <v>3.9</v>
      </c>
      <c r="H629" t="n">
        <v>0</v>
      </c>
      <c r="I629" t="n">
        <v>0</v>
      </c>
      <c r="J629" t="n">
        <v>0</v>
      </c>
      <c r="K629" t="n">
        <v>0</v>
      </c>
      <c r="L629" t="n">
        <v>0</v>
      </c>
      <c r="M629" t="n">
        <v>0</v>
      </c>
      <c r="N629" t="n">
        <v>0</v>
      </c>
      <c r="O629" t="n">
        <v>0</v>
      </c>
      <c r="P629" t="n">
        <v>0</v>
      </c>
      <c r="Q629" t="n">
        <v>0</v>
      </c>
      <c r="R629" s="2" t="inlineStr"/>
    </row>
    <row r="630" ht="15" customHeight="1">
      <c r="A630" t="inlineStr">
        <is>
          <t>A 30236-2023</t>
        </is>
      </c>
      <c r="B630" s="1" t="n">
        <v>45099</v>
      </c>
      <c r="C630" s="1" t="n">
        <v>45725</v>
      </c>
      <c r="D630" t="inlineStr">
        <is>
          <t>JÄMTLANDS LÄN</t>
        </is>
      </c>
      <c r="E630" t="inlineStr">
        <is>
          <t>ÖSTERSUND</t>
        </is>
      </c>
      <c r="G630" t="n">
        <v>3.5</v>
      </c>
      <c r="H630" t="n">
        <v>0</v>
      </c>
      <c r="I630" t="n">
        <v>0</v>
      </c>
      <c r="J630" t="n">
        <v>0</v>
      </c>
      <c r="K630" t="n">
        <v>0</v>
      </c>
      <c r="L630" t="n">
        <v>0</v>
      </c>
      <c r="M630" t="n">
        <v>0</v>
      </c>
      <c r="N630" t="n">
        <v>0</v>
      </c>
      <c r="O630" t="n">
        <v>0</v>
      </c>
      <c r="P630" t="n">
        <v>0</v>
      </c>
      <c r="Q630" t="n">
        <v>0</v>
      </c>
      <c r="R630" s="2" t="inlineStr"/>
    </row>
    <row r="631" ht="15" customHeight="1">
      <c r="A631" t="inlineStr">
        <is>
          <t>A 28747-2023</t>
        </is>
      </c>
      <c r="B631" s="1" t="n">
        <v>45103</v>
      </c>
      <c r="C631" s="1" t="n">
        <v>45725</v>
      </c>
      <c r="D631" t="inlineStr">
        <is>
          <t>JÄMTLANDS LÄN</t>
        </is>
      </c>
      <c r="E631" t="inlineStr">
        <is>
          <t>ÖSTERSUND</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31870-2023</t>
        </is>
      </c>
      <c r="B632" s="1" t="n">
        <v>45106</v>
      </c>
      <c r="C632" s="1" t="n">
        <v>45725</v>
      </c>
      <c r="D632" t="inlineStr">
        <is>
          <t>JÄMTLANDS LÄN</t>
        </is>
      </c>
      <c r="E632" t="inlineStr">
        <is>
          <t>ÖSTERSUND</t>
        </is>
      </c>
      <c r="G632" t="n">
        <v>2.4</v>
      </c>
      <c r="H632" t="n">
        <v>0</v>
      </c>
      <c r="I632" t="n">
        <v>0</v>
      </c>
      <c r="J632" t="n">
        <v>0</v>
      </c>
      <c r="K632" t="n">
        <v>0</v>
      </c>
      <c r="L632" t="n">
        <v>0</v>
      </c>
      <c r="M632" t="n">
        <v>0</v>
      </c>
      <c r="N632" t="n">
        <v>0</v>
      </c>
      <c r="O632" t="n">
        <v>0</v>
      </c>
      <c r="P632" t="n">
        <v>0</v>
      </c>
      <c r="Q632" t="n">
        <v>0</v>
      </c>
      <c r="R632" s="2" t="inlineStr"/>
    </row>
    <row r="633" ht="15" customHeight="1">
      <c r="A633" t="inlineStr">
        <is>
          <t>A 29703-2023</t>
        </is>
      </c>
      <c r="B633" s="1" t="n">
        <v>45107</v>
      </c>
      <c r="C633" s="1" t="n">
        <v>45725</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29682-2023</t>
        </is>
      </c>
      <c r="B634" s="1" t="n">
        <v>45107</v>
      </c>
      <c r="C634" s="1" t="n">
        <v>45725</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30602-2023</t>
        </is>
      </c>
      <c r="B635" s="1" t="n">
        <v>45112</v>
      </c>
      <c r="C635" s="1" t="n">
        <v>45725</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31551-2023</t>
        </is>
      </c>
      <c r="B636" s="1" t="n">
        <v>45117</v>
      </c>
      <c r="C636" s="1" t="n">
        <v>45725</v>
      </c>
      <c r="D636" t="inlineStr">
        <is>
          <t>JÄMTLANDS LÄN</t>
        </is>
      </c>
      <c r="E636" t="inlineStr">
        <is>
          <t>ÖSTERSUND</t>
        </is>
      </c>
      <c r="G636" t="n">
        <v>0.6</v>
      </c>
      <c r="H636" t="n">
        <v>0</v>
      </c>
      <c r="I636" t="n">
        <v>0</v>
      </c>
      <c r="J636" t="n">
        <v>0</v>
      </c>
      <c r="K636" t="n">
        <v>0</v>
      </c>
      <c r="L636" t="n">
        <v>0</v>
      </c>
      <c r="M636" t="n">
        <v>0</v>
      </c>
      <c r="N636" t="n">
        <v>0</v>
      </c>
      <c r="O636" t="n">
        <v>0</v>
      </c>
      <c r="P636" t="n">
        <v>0</v>
      </c>
      <c r="Q636" t="n">
        <v>0</v>
      </c>
      <c r="R636" s="2" t="inlineStr"/>
    </row>
    <row r="637" ht="15" customHeight="1">
      <c r="A637" t="inlineStr">
        <is>
          <t>A 31600-2023</t>
        </is>
      </c>
      <c r="B637" s="1" t="n">
        <v>45117</v>
      </c>
      <c r="C637" s="1" t="n">
        <v>45725</v>
      </c>
      <c r="D637" t="inlineStr">
        <is>
          <t>JÄMTLANDS LÄN</t>
        </is>
      </c>
      <c r="E637" t="inlineStr">
        <is>
          <t>ÖSTERSUND</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31549-2023</t>
        </is>
      </c>
      <c r="B638" s="1" t="n">
        <v>45117</v>
      </c>
      <c r="C638" s="1" t="n">
        <v>45725</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33501-2023</t>
        </is>
      </c>
      <c r="B639" s="1" t="n">
        <v>45118</v>
      </c>
      <c r="C639" s="1" t="n">
        <v>45725</v>
      </c>
      <c r="D639" t="inlineStr">
        <is>
          <t>JÄMTLANDS LÄN</t>
        </is>
      </c>
      <c r="E639" t="inlineStr">
        <is>
          <t>ÖSTERSUND</t>
        </is>
      </c>
      <c r="G639" t="n">
        <v>5.8</v>
      </c>
      <c r="H639" t="n">
        <v>0</v>
      </c>
      <c r="I639" t="n">
        <v>0</v>
      </c>
      <c r="J639" t="n">
        <v>0</v>
      </c>
      <c r="K639" t="n">
        <v>0</v>
      </c>
      <c r="L639" t="n">
        <v>0</v>
      </c>
      <c r="M639" t="n">
        <v>0</v>
      </c>
      <c r="N639" t="n">
        <v>0</v>
      </c>
      <c r="O639" t="n">
        <v>0</v>
      </c>
      <c r="P639" t="n">
        <v>0</v>
      </c>
      <c r="Q639" t="n">
        <v>0</v>
      </c>
      <c r="R639" s="2" t="inlineStr"/>
    </row>
    <row r="640" ht="15" customHeight="1">
      <c r="A640" t="inlineStr">
        <is>
          <t>A 33502-2023</t>
        </is>
      </c>
      <c r="B640" s="1" t="n">
        <v>45118</v>
      </c>
      <c r="C640" s="1" t="n">
        <v>45725</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32568-2023</t>
        </is>
      </c>
      <c r="B641" s="1" t="n">
        <v>45121</v>
      </c>
      <c r="C641" s="1" t="n">
        <v>45725</v>
      </c>
      <c r="D641" t="inlineStr">
        <is>
          <t>JÄMTLANDS LÄN</t>
        </is>
      </c>
      <c r="E641" t="inlineStr">
        <is>
          <t>ÖSTERSUND</t>
        </is>
      </c>
      <c r="G641" t="n">
        <v>14.9</v>
      </c>
      <c r="H641" t="n">
        <v>0</v>
      </c>
      <c r="I641" t="n">
        <v>0</v>
      </c>
      <c r="J641" t="n">
        <v>0</v>
      </c>
      <c r="K641" t="n">
        <v>0</v>
      </c>
      <c r="L641" t="n">
        <v>0</v>
      </c>
      <c r="M641" t="n">
        <v>0</v>
      </c>
      <c r="N641" t="n">
        <v>0</v>
      </c>
      <c r="O641" t="n">
        <v>0</v>
      </c>
      <c r="P641" t="n">
        <v>0</v>
      </c>
      <c r="Q641" t="n">
        <v>0</v>
      </c>
      <c r="R641" s="2" t="inlineStr"/>
    </row>
    <row r="642" ht="15" customHeight="1">
      <c r="A642" t="inlineStr">
        <is>
          <t>A 34052-2023</t>
        </is>
      </c>
      <c r="B642" s="1" t="n">
        <v>45125</v>
      </c>
      <c r="C642" s="1" t="n">
        <v>45725</v>
      </c>
      <c r="D642" t="inlineStr">
        <is>
          <t>JÄMTLANDS LÄN</t>
        </is>
      </c>
      <c r="E642" t="inlineStr">
        <is>
          <t>ÖSTERSUND</t>
        </is>
      </c>
      <c r="G642" t="n">
        <v>4</v>
      </c>
      <c r="H642" t="n">
        <v>0</v>
      </c>
      <c r="I642" t="n">
        <v>0</v>
      </c>
      <c r="J642" t="n">
        <v>0</v>
      </c>
      <c r="K642" t="n">
        <v>0</v>
      </c>
      <c r="L642" t="n">
        <v>0</v>
      </c>
      <c r="M642" t="n">
        <v>0</v>
      </c>
      <c r="N642" t="n">
        <v>0</v>
      </c>
      <c r="O642" t="n">
        <v>0</v>
      </c>
      <c r="P642" t="n">
        <v>0</v>
      </c>
      <c r="Q642" t="n">
        <v>0</v>
      </c>
      <c r="R642" s="2" t="inlineStr"/>
    </row>
    <row r="643" ht="15" customHeight="1">
      <c r="A643" t="inlineStr">
        <is>
          <t>A 33875-2023</t>
        </is>
      </c>
      <c r="B643" s="1" t="n">
        <v>45134</v>
      </c>
      <c r="C643" s="1" t="n">
        <v>45725</v>
      </c>
      <c r="D643" t="inlineStr">
        <is>
          <t>JÄMTLANDS LÄN</t>
        </is>
      </c>
      <c r="E643" t="inlineStr">
        <is>
          <t>ÖSTERSUND</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34482-2023</t>
        </is>
      </c>
      <c r="B644" s="1" t="n">
        <v>45140</v>
      </c>
      <c r="C644" s="1" t="n">
        <v>45725</v>
      </c>
      <c r="D644" t="inlineStr">
        <is>
          <t>JÄMTLANDS LÄN</t>
        </is>
      </c>
      <c r="E644" t="inlineStr">
        <is>
          <t>ÖSTERSUND</t>
        </is>
      </c>
      <c r="F644" t="inlineStr">
        <is>
          <t>SCA</t>
        </is>
      </c>
      <c r="G644" t="n">
        <v>50</v>
      </c>
      <c r="H644" t="n">
        <v>0</v>
      </c>
      <c r="I644" t="n">
        <v>0</v>
      </c>
      <c r="J644" t="n">
        <v>0</v>
      </c>
      <c r="K644" t="n">
        <v>0</v>
      </c>
      <c r="L644" t="n">
        <v>0</v>
      </c>
      <c r="M644" t="n">
        <v>0</v>
      </c>
      <c r="N644" t="n">
        <v>0</v>
      </c>
      <c r="O644" t="n">
        <v>0</v>
      </c>
      <c r="P644" t="n">
        <v>0</v>
      </c>
      <c r="Q644" t="n">
        <v>0</v>
      </c>
      <c r="R644" s="2" t="inlineStr"/>
    </row>
    <row r="645" ht="15" customHeight="1">
      <c r="A645" t="inlineStr">
        <is>
          <t>A 34688-2023</t>
        </is>
      </c>
      <c r="B645" s="1" t="n">
        <v>45141</v>
      </c>
      <c r="C645" s="1" t="n">
        <v>45725</v>
      </c>
      <c r="D645" t="inlineStr">
        <is>
          <t>JÄMTLANDS LÄN</t>
        </is>
      </c>
      <c r="E645" t="inlineStr">
        <is>
          <t>ÖSTERSUND</t>
        </is>
      </c>
      <c r="G645" t="n">
        <v>7.4</v>
      </c>
      <c r="H645" t="n">
        <v>0</v>
      </c>
      <c r="I645" t="n">
        <v>0</v>
      </c>
      <c r="J645" t="n">
        <v>0</v>
      </c>
      <c r="K645" t="n">
        <v>0</v>
      </c>
      <c r="L645" t="n">
        <v>0</v>
      </c>
      <c r="M645" t="n">
        <v>0</v>
      </c>
      <c r="N645" t="n">
        <v>0</v>
      </c>
      <c r="O645" t="n">
        <v>0</v>
      </c>
      <c r="P645" t="n">
        <v>0</v>
      </c>
      <c r="Q645" t="n">
        <v>0</v>
      </c>
      <c r="R645" s="2" t="inlineStr"/>
    </row>
    <row r="646" ht="15" customHeight="1">
      <c r="A646" t="inlineStr">
        <is>
          <t>A 36406-2023</t>
        </is>
      </c>
      <c r="B646" s="1" t="n">
        <v>45149</v>
      </c>
      <c r="C646" s="1" t="n">
        <v>45725</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37140-2023</t>
        </is>
      </c>
      <c r="B647" s="1" t="n">
        <v>45154</v>
      </c>
      <c r="C647" s="1" t="n">
        <v>45725</v>
      </c>
      <c r="D647" t="inlineStr">
        <is>
          <t>JÄMTLANDS LÄN</t>
        </is>
      </c>
      <c r="E647" t="inlineStr">
        <is>
          <t>ÖSTERSUND</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37597-2023</t>
        </is>
      </c>
      <c r="B648" s="1" t="n">
        <v>45159</v>
      </c>
      <c r="C648" s="1" t="n">
        <v>45725</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37645-2023</t>
        </is>
      </c>
      <c r="B649" s="1" t="n">
        <v>45159</v>
      </c>
      <c r="C649" s="1" t="n">
        <v>45725</v>
      </c>
      <c r="D649" t="inlineStr">
        <is>
          <t>JÄMTLANDS LÄN</t>
        </is>
      </c>
      <c r="E649" t="inlineStr">
        <is>
          <t>ÖSTERSUND</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38335-2023</t>
        </is>
      </c>
      <c r="B650" s="1" t="n">
        <v>45161</v>
      </c>
      <c r="C650" s="1" t="n">
        <v>45725</v>
      </c>
      <c r="D650" t="inlineStr">
        <is>
          <t>JÄMTLANDS LÄN</t>
        </is>
      </c>
      <c r="E650" t="inlineStr">
        <is>
          <t>ÖSTERSUND</t>
        </is>
      </c>
      <c r="G650" t="n">
        <v>15.1</v>
      </c>
      <c r="H650" t="n">
        <v>0</v>
      </c>
      <c r="I650" t="n">
        <v>0</v>
      </c>
      <c r="J650" t="n">
        <v>0</v>
      </c>
      <c r="K650" t="n">
        <v>0</v>
      </c>
      <c r="L650" t="n">
        <v>0</v>
      </c>
      <c r="M650" t="n">
        <v>0</v>
      </c>
      <c r="N650" t="n">
        <v>0</v>
      </c>
      <c r="O650" t="n">
        <v>0</v>
      </c>
      <c r="P650" t="n">
        <v>0</v>
      </c>
      <c r="Q650" t="n">
        <v>0</v>
      </c>
      <c r="R650" s="2" t="inlineStr"/>
    </row>
    <row r="651" ht="15" customHeight="1">
      <c r="A651" t="inlineStr">
        <is>
          <t>A 38713-2023</t>
        </is>
      </c>
      <c r="B651" s="1" t="n">
        <v>45163</v>
      </c>
      <c r="C651" s="1" t="n">
        <v>45725</v>
      </c>
      <c r="D651" t="inlineStr">
        <is>
          <t>JÄMTLANDS LÄN</t>
        </is>
      </c>
      <c r="E651" t="inlineStr">
        <is>
          <t>ÖSTERSUND</t>
        </is>
      </c>
      <c r="G651" t="n">
        <v>6</v>
      </c>
      <c r="H651" t="n">
        <v>0</v>
      </c>
      <c r="I651" t="n">
        <v>0</v>
      </c>
      <c r="J651" t="n">
        <v>0</v>
      </c>
      <c r="K651" t="n">
        <v>0</v>
      </c>
      <c r="L651" t="n">
        <v>0</v>
      </c>
      <c r="M651" t="n">
        <v>0</v>
      </c>
      <c r="N651" t="n">
        <v>0</v>
      </c>
      <c r="O651" t="n">
        <v>0</v>
      </c>
      <c r="P651" t="n">
        <v>0</v>
      </c>
      <c r="Q651" t="n">
        <v>0</v>
      </c>
      <c r="R651" s="2" t="inlineStr"/>
    </row>
    <row r="652" ht="15" customHeight="1">
      <c r="A652" t="inlineStr">
        <is>
          <t>A 39494-2023</t>
        </is>
      </c>
      <c r="B652" s="1" t="n">
        <v>45166</v>
      </c>
      <c r="C652" s="1" t="n">
        <v>45725</v>
      </c>
      <c r="D652" t="inlineStr">
        <is>
          <t>JÄMTLANDS LÄN</t>
        </is>
      </c>
      <c r="E652" t="inlineStr">
        <is>
          <t>ÖSTERSUND</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39493-2023</t>
        </is>
      </c>
      <c r="B653" s="1" t="n">
        <v>45167</v>
      </c>
      <c r="C653" s="1" t="n">
        <v>45725</v>
      </c>
      <c r="D653" t="inlineStr">
        <is>
          <t>JÄMTLANDS LÄN</t>
        </is>
      </c>
      <c r="E653" t="inlineStr">
        <is>
          <t>ÖSTERSUND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39647-2023</t>
        </is>
      </c>
      <c r="B654" s="1" t="n">
        <v>45167</v>
      </c>
      <c r="C654" s="1" t="n">
        <v>45725</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39652-2023</t>
        </is>
      </c>
      <c r="B655" s="1" t="n">
        <v>45167</v>
      </c>
      <c r="C655" s="1" t="n">
        <v>45725</v>
      </c>
      <c r="D655" t="inlineStr">
        <is>
          <t>JÄMTLANDS LÄN</t>
        </is>
      </c>
      <c r="E655" t="inlineStr">
        <is>
          <t>ÖSTERSUND</t>
        </is>
      </c>
      <c r="G655" t="n">
        <v>2.6</v>
      </c>
      <c r="H655" t="n">
        <v>0</v>
      </c>
      <c r="I655" t="n">
        <v>0</v>
      </c>
      <c r="J655" t="n">
        <v>0</v>
      </c>
      <c r="K655" t="n">
        <v>0</v>
      </c>
      <c r="L655" t="n">
        <v>0</v>
      </c>
      <c r="M655" t="n">
        <v>0</v>
      </c>
      <c r="N655" t="n">
        <v>0</v>
      </c>
      <c r="O655" t="n">
        <v>0</v>
      </c>
      <c r="P655" t="n">
        <v>0</v>
      </c>
      <c r="Q655" t="n">
        <v>0</v>
      </c>
      <c r="R655" s="2" t="inlineStr"/>
    </row>
    <row r="656" ht="15" customHeight="1">
      <c r="A656" t="inlineStr">
        <is>
          <t>A 39805-2023</t>
        </is>
      </c>
      <c r="B656" s="1" t="n">
        <v>45168</v>
      </c>
      <c r="C656" s="1" t="n">
        <v>45725</v>
      </c>
      <c r="D656" t="inlineStr">
        <is>
          <t>JÄMTLANDS LÄN</t>
        </is>
      </c>
      <c r="E656" t="inlineStr">
        <is>
          <t>ÖSTERSUND</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40423-2023</t>
        </is>
      </c>
      <c r="B657" s="1" t="n">
        <v>45169</v>
      </c>
      <c r="C657" s="1" t="n">
        <v>45725</v>
      </c>
      <c r="D657" t="inlineStr">
        <is>
          <t>JÄMTLANDS LÄN</t>
        </is>
      </c>
      <c r="E657" t="inlineStr">
        <is>
          <t>ÖSTERSUND</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40422-2023</t>
        </is>
      </c>
      <c r="B658" s="1" t="n">
        <v>45170</v>
      </c>
      <c r="C658" s="1" t="n">
        <v>45725</v>
      </c>
      <c r="D658" t="inlineStr">
        <is>
          <t>JÄMTLANDS LÄN</t>
        </is>
      </c>
      <c r="E658" t="inlineStr">
        <is>
          <t>ÖSTERSUND</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40792-2023</t>
        </is>
      </c>
      <c r="B659" s="1" t="n">
        <v>45170</v>
      </c>
      <c r="C659" s="1" t="n">
        <v>45725</v>
      </c>
      <c r="D659" t="inlineStr">
        <is>
          <t>JÄMTLANDS LÄN</t>
        </is>
      </c>
      <c r="E659" t="inlineStr">
        <is>
          <t>ÖSTERSUND</t>
        </is>
      </c>
      <c r="G659" t="n">
        <v>22.4</v>
      </c>
      <c r="H659" t="n">
        <v>0</v>
      </c>
      <c r="I659" t="n">
        <v>0</v>
      </c>
      <c r="J659" t="n">
        <v>0</v>
      </c>
      <c r="K659" t="n">
        <v>0</v>
      </c>
      <c r="L659" t="n">
        <v>0</v>
      </c>
      <c r="M659" t="n">
        <v>0</v>
      </c>
      <c r="N659" t="n">
        <v>0</v>
      </c>
      <c r="O659" t="n">
        <v>0</v>
      </c>
      <c r="P659" t="n">
        <v>0</v>
      </c>
      <c r="Q659" t="n">
        <v>0</v>
      </c>
      <c r="R659" s="2" t="inlineStr"/>
    </row>
    <row r="660" ht="15" customHeight="1">
      <c r="A660" t="inlineStr">
        <is>
          <t>A 40772-2023</t>
        </is>
      </c>
      <c r="B660" s="1" t="n">
        <v>45171</v>
      </c>
      <c r="C660" s="1" t="n">
        <v>45725</v>
      </c>
      <c r="D660" t="inlineStr">
        <is>
          <t>JÄMTLANDS LÄN</t>
        </is>
      </c>
      <c r="E660" t="inlineStr">
        <is>
          <t>ÖSTERSUND</t>
        </is>
      </c>
      <c r="F660" t="inlineStr">
        <is>
          <t>SCA</t>
        </is>
      </c>
      <c r="G660" t="n">
        <v>17.6</v>
      </c>
      <c r="H660" t="n">
        <v>0</v>
      </c>
      <c r="I660" t="n">
        <v>0</v>
      </c>
      <c r="J660" t="n">
        <v>0</v>
      </c>
      <c r="K660" t="n">
        <v>0</v>
      </c>
      <c r="L660" t="n">
        <v>0</v>
      </c>
      <c r="M660" t="n">
        <v>0</v>
      </c>
      <c r="N660" t="n">
        <v>0</v>
      </c>
      <c r="O660" t="n">
        <v>0</v>
      </c>
      <c r="P660" t="n">
        <v>0</v>
      </c>
      <c r="Q660" t="n">
        <v>0</v>
      </c>
      <c r="R660" s="2" t="inlineStr"/>
    </row>
    <row r="661" ht="15" customHeight="1">
      <c r="A661" t="inlineStr">
        <is>
          <t>A 41224-2023</t>
        </is>
      </c>
      <c r="B661" s="1" t="n">
        <v>45174</v>
      </c>
      <c r="C661" s="1" t="n">
        <v>45725</v>
      </c>
      <c r="D661" t="inlineStr">
        <is>
          <t>JÄMTLANDS LÄN</t>
        </is>
      </c>
      <c r="E661" t="inlineStr">
        <is>
          <t>ÖSTERSUND</t>
        </is>
      </c>
      <c r="G661" t="n">
        <v>13.3</v>
      </c>
      <c r="H661" t="n">
        <v>0</v>
      </c>
      <c r="I661" t="n">
        <v>0</v>
      </c>
      <c r="J661" t="n">
        <v>0</v>
      </c>
      <c r="K661" t="n">
        <v>0</v>
      </c>
      <c r="L661" t="n">
        <v>0</v>
      </c>
      <c r="M661" t="n">
        <v>0</v>
      </c>
      <c r="N661" t="n">
        <v>0</v>
      </c>
      <c r="O661" t="n">
        <v>0</v>
      </c>
      <c r="P661" t="n">
        <v>0</v>
      </c>
      <c r="Q661" t="n">
        <v>0</v>
      </c>
      <c r="R661" s="2" t="inlineStr"/>
    </row>
    <row r="662" ht="15" customHeight="1">
      <c r="A662" t="inlineStr">
        <is>
          <t>A 41649-2023</t>
        </is>
      </c>
      <c r="B662" s="1" t="n">
        <v>45176</v>
      </c>
      <c r="C662" s="1" t="n">
        <v>45725</v>
      </c>
      <c r="D662" t="inlineStr">
        <is>
          <t>JÄMTLANDS LÄN</t>
        </is>
      </c>
      <c r="E662" t="inlineStr">
        <is>
          <t>ÖSTERSUND</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41919-2023</t>
        </is>
      </c>
      <c r="B663" s="1" t="n">
        <v>45177</v>
      </c>
      <c r="C663" s="1" t="n">
        <v>45725</v>
      </c>
      <c r="D663" t="inlineStr">
        <is>
          <t>JÄMTLANDS LÄN</t>
        </is>
      </c>
      <c r="E663" t="inlineStr">
        <is>
          <t>ÖSTERSUND</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41918-2023</t>
        </is>
      </c>
      <c r="B664" s="1" t="n">
        <v>45177</v>
      </c>
      <c r="C664" s="1" t="n">
        <v>45725</v>
      </c>
      <c r="D664" t="inlineStr">
        <is>
          <t>JÄMTLANDS LÄN</t>
        </is>
      </c>
      <c r="E664" t="inlineStr">
        <is>
          <t>ÖSTERSUND</t>
        </is>
      </c>
      <c r="F664" t="inlineStr">
        <is>
          <t>SCA</t>
        </is>
      </c>
      <c r="G664" t="n">
        <v>10.5</v>
      </c>
      <c r="H664" t="n">
        <v>0</v>
      </c>
      <c r="I664" t="n">
        <v>0</v>
      </c>
      <c r="J664" t="n">
        <v>0</v>
      </c>
      <c r="K664" t="n">
        <v>0</v>
      </c>
      <c r="L664" t="n">
        <v>0</v>
      </c>
      <c r="M664" t="n">
        <v>0</v>
      </c>
      <c r="N664" t="n">
        <v>0</v>
      </c>
      <c r="O664" t="n">
        <v>0</v>
      </c>
      <c r="P664" t="n">
        <v>0</v>
      </c>
      <c r="Q664" t="n">
        <v>0</v>
      </c>
      <c r="R664" s="2" t="inlineStr"/>
    </row>
    <row r="665" ht="15" customHeight="1">
      <c r="A665" t="inlineStr">
        <is>
          <t>A 41900-2023</t>
        </is>
      </c>
      <c r="B665" s="1" t="n">
        <v>45176</v>
      </c>
      <c r="C665" s="1" t="n">
        <v>45725</v>
      </c>
      <c r="D665" t="inlineStr">
        <is>
          <t>JÄMTLANDS LÄN</t>
        </is>
      </c>
      <c r="E665" t="inlineStr">
        <is>
          <t>ÖSTERSUND</t>
        </is>
      </c>
      <c r="G665" t="n">
        <v>24.4</v>
      </c>
      <c r="H665" t="n">
        <v>0</v>
      </c>
      <c r="I665" t="n">
        <v>0</v>
      </c>
      <c r="J665" t="n">
        <v>0</v>
      </c>
      <c r="K665" t="n">
        <v>0</v>
      </c>
      <c r="L665" t="n">
        <v>0</v>
      </c>
      <c r="M665" t="n">
        <v>0</v>
      </c>
      <c r="N665" t="n">
        <v>0</v>
      </c>
      <c r="O665" t="n">
        <v>0</v>
      </c>
      <c r="P665" t="n">
        <v>0</v>
      </c>
      <c r="Q665" t="n">
        <v>0</v>
      </c>
      <c r="R665" s="2" t="inlineStr"/>
    </row>
    <row r="666" ht="15" customHeight="1">
      <c r="A666" t="inlineStr">
        <is>
          <t>A 42151-2023</t>
        </is>
      </c>
      <c r="B666" s="1" t="n">
        <v>45178</v>
      </c>
      <c r="C666" s="1" t="n">
        <v>45725</v>
      </c>
      <c r="D666" t="inlineStr">
        <is>
          <t>JÄMTLANDS LÄN</t>
        </is>
      </c>
      <c r="E666" t="inlineStr">
        <is>
          <t>ÖSTERSUND</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43557-2023</t>
        </is>
      </c>
      <c r="B667" s="1" t="n">
        <v>45181</v>
      </c>
      <c r="C667" s="1" t="n">
        <v>45725</v>
      </c>
      <c r="D667" t="inlineStr">
        <is>
          <t>JÄMTLANDS LÄN</t>
        </is>
      </c>
      <c r="E667" t="inlineStr">
        <is>
          <t>ÖSTERSUND</t>
        </is>
      </c>
      <c r="G667" t="n">
        <v>0.9</v>
      </c>
      <c r="H667" t="n">
        <v>0</v>
      </c>
      <c r="I667" t="n">
        <v>0</v>
      </c>
      <c r="J667" t="n">
        <v>0</v>
      </c>
      <c r="K667" t="n">
        <v>0</v>
      </c>
      <c r="L667" t="n">
        <v>0</v>
      </c>
      <c r="M667" t="n">
        <v>0</v>
      </c>
      <c r="N667" t="n">
        <v>0</v>
      </c>
      <c r="O667" t="n">
        <v>0</v>
      </c>
      <c r="P667" t="n">
        <v>0</v>
      </c>
      <c r="Q667" t="n">
        <v>0</v>
      </c>
      <c r="R667" s="2" t="inlineStr"/>
    </row>
    <row r="668" ht="15" customHeight="1">
      <c r="A668" t="inlineStr">
        <is>
          <t>A 42664-2023</t>
        </is>
      </c>
      <c r="B668" s="1" t="n">
        <v>45181</v>
      </c>
      <c r="C668" s="1" t="n">
        <v>45725</v>
      </c>
      <c r="D668" t="inlineStr">
        <is>
          <t>JÄMTLANDS LÄN</t>
        </is>
      </c>
      <c r="E668" t="inlineStr">
        <is>
          <t>ÖSTERSUND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42679-2023</t>
        </is>
      </c>
      <c r="B669" s="1" t="n">
        <v>45181</v>
      </c>
      <c r="C669" s="1" t="n">
        <v>45725</v>
      </c>
      <c r="D669" t="inlineStr">
        <is>
          <t>JÄMTLANDS LÄN</t>
        </is>
      </c>
      <c r="E669" t="inlineStr">
        <is>
          <t>ÖSTERSUND</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43740-2023</t>
        </is>
      </c>
      <c r="B670" s="1" t="n">
        <v>45182</v>
      </c>
      <c r="C670" s="1" t="n">
        <v>45725</v>
      </c>
      <c r="D670" t="inlineStr">
        <is>
          <t>JÄMTLANDS LÄN</t>
        </is>
      </c>
      <c r="E670" t="inlineStr">
        <is>
          <t>ÖSTERSUND</t>
        </is>
      </c>
      <c r="G670" t="n">
        <v>10.2</v>
      </c>
      <c r="H670" t="n">
        <v>0</v>
      </c>
      <c r="I670" t="n">
        <v>0</v>
      </c>
      <c r="J670" t="n">
        <v>0</v>
      </c>
      <c r="K670" t="n">
        <v>0</v>
      </c>
      <c r="L670" t="n">
        <v>0</v>
      </c>
      <c r="M670" t="n">
        <v>0</v>
      </c>
      <c r="N670" t="n">
        <v>0</v>
      </c>
      <c r="O670" t="n">
        <v>0</v>
      </c>
      <c r="P670" t="n">
        <v>0</v>
      </c>
      <c r="Q670" t="n">
        <v>0</v>
      </c>
      <c r="R670" s="2" t="inlineStr"/>
    </row>
    <row r="671" ht="15" customHeight="1">
      <c r="A671" t="inlineStr">
        <is>
          <t>A 43135-2023</t>
        </is>
      </c>
      <c r="B671" s="1" t="n">
        <v>45183</v>
      </c>
      <c r="C671" s="1" t="n">
        <v>45725</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43252-2023</t>
        </is>
      </c>
      <c r="B672" s="1" t="n">
        <v>45183</v>
      </c>
      <c r="C672" s="1" t="n">
        <v>45725</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44327-2023</t>
        </is>
      </c>
      <c r="B673" s="1" t="n">
        <v>45188</v>
      </c>
      <c r="C673" s="1" t="n">
        <v>45725</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44359-2023</t>
        </is>
      </c>
      <c r="B674" s="1" t="n">
        <v>45188</v>
      </c>
      <c r="C674" s="1" t="n">
        <v>45725</v>
      </c>
      <c r="D674" t="inlineStr">
        <is>
          <t>JÄMTLANDS LÄN</t>
        </is>
      </c>
      <c r="E674" t="inlineStr">
        <is>
          <t>ÖSTERSUND</t>
        </is>
      </c>
      <c r="G674" t="n">
        <v>8.1</v>
      </c>
      <c r="H674" t="n">
        <v>0</v>
      </c>
      <c r="I674" t="n">
        <v>0</v>
      </c>
      <c r="J674" t="n">
        <v>0</v>
      </c>
      <c r="K674" t="n">
        <v>0</v>
      </c>
      <c r="L674" t="n">
        <v>0</v>
      </c>
      <c r="M674" t="n">
        <v>0</v>
      </c>
      <c r="N674" t="n">
        <v>0</v>
      </c>
      <c r="O674" t="n">
        <v>0</v>
      </c>
      <c r="P674" t="n">
        <v>0</v>
      </c>
      <c r="Q674" t="n">
        <v>0</v>
      </c>
      <c r="R674" s="2" t="inlineStr"/>
    </row>
    <row r="675" ht="15" customHeight="1">
      <c r="A675" t="inlineStr">
        <is>
          <t>A 45980-2023</t>
        </is>
      </c>
      <c r="B675" s="1" t="n">
        <v>45189</v>
      </c>
      <c r="C675" s="1" t="n">
        <v>45725</v>
      </c>
      <c r="D675" t="inlineStr">
        <is>
          <t>JÄMTLANDS LÄN</t>
        </is>
      </c>
      <c r="E675" t="inlineStr">
        <is>
          <t>ÖSTERSUND</t>
        </is>
      </c>
      <c r="G675" t="n">
        <v>0.5</v>
      </c>
      <c r="H675" t="n">
        <v>0</v>
      </c>
      <c r="I675" t="n">
        <v>0</v>
      </c>
      <c r="J675" t="n">
        <v>0</v>
      </c>
      <c r="K675" t="n">
        <v>0</v>
      </c>
      <c r="L675" t="n">
        <v>0</v>
      </c>
      <c r="M675" t="n">
        <v>0</v>
      </c>
      <c r="N675" t="n">
        <v>0</v>
      </c>
      <c r="O675" t="n">
        <v>0</v>
      </c>
      <c r="P675" t="n">
        <v>0</v>
      </c>
      <c r="Q675" t="n">
        <v>0</v>
      </c>
      <c r="R675" s="2" t="inlineStr"/>
    </row>
    <row r="676" ht="15" customHeight="1">
      <c r="A676" t="inlineStr">
        <is>
          <t>A 44719-2023</t>
        </is>
      </c>
      <c r="B676" s="1" t="n">
        <v>45190</v>
      </c>
      <c r="C676" s="1" t="n">
        <v>45725</v>
      </c>
      <c r="D676" t="inlineStr">
        <is>
          <t>JÄMTLANDS LÄN</t>
        </is>
      </c>
      <c r="E676" t="inlineStr">
        <is>
          <t>ÖSTERSUND</t>
        </is>
      </c>
      <c r="G676" t="n">
        <v>17.5</v>
      </c>
      <c r="H676" t="n">
        <v>0</v>
      </c>
      <c r="I676" t="n">
        <v>0</v>
      </c>
      <c r="J676" t="n">
        <v>0</v>
      </c>
      <c r="K676" t="n">
        <v>0</v>
      </c>
      <c r="L676" t="n">
        <v>0</v>
      </c>
      <c r="M676" t="n">
        <v>0</v>
      </c>
      <c r="N676" t="n">
        <v>0</v>
      </c>
      <c r="O676" t="n">
        <v>0</v>
      </c>
      <c r="P676" t="n">
        <v>0</v>
      </c>
      <c r="Q676" t="n">
        <v>0</v>
      </c>
      <c r="R676" s="2" t="inlineStr"/>
    </row>
    <row r="677" ht="15" customHeight="1">
      <c r="A677" t="inlineStr">
        <is>
          <t>A 44798-2023</t>
        </is>
      </c>
      <c r="B677" s="1" t="n">
        <v>45190</v>
      </c>
      <c r="C677" s="1" t="n">
        <v>45725</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46375-2023</t>
        </is>
      </c>
      <c r="B678" s="1" t="n">
        <v>45197</v>
      </c>
      <c r="C678" s="1" t="n">
        <v>45725</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46763-2023</t>
        </is>
      </c>
      <c r="B679" s="1" t="n">
        <v>45198</v>
      </c>
      <c r="C679" s="1" t="n">
        <v>45725</v>
      </c>
      <c r="D679" t="inlineStr">
        <is>
          <t>JÄMTLANDS LÄN</t>
        </is>
      </c>
      <c r="E679" t="inlineStr">
        <is>
          <t>ÖSTERSUND</t>
        </is>
      </c>
      <c r="F679" t="inlineStr">
        <is>
          <t>Sveaskog</t>
        </is>
      </c>
      <c r="G679" t="n">
        <v>13.3</v>
      </c>
      <c r="H679" t="n">
        <v>0</v>
      </c>
      <c r="I679" t="n">
        <v>0</v>
      </c>
      <c r="J679" t="n">
        <v>0</v>
      </c>
      <c r="K679" t="n">
        <v>0</v>
      </c>
      <c r="L679" t="n">
        <v>0</v>
      </c>
      <c r="M679" t="n">
        <v>0</v>
      </c>
      <c r="N679" t="n">
        <v>0</v>
      </c>
      <c r="O679" t="n">
        <v>0</v>
      </c>
      <c r="P679" t="n">
        <v>0</v>
      </c>
      <c r="Q679" t="n">
        <v>0</v>
      </c>
      <c r="R679" s="2" t="inlineStr"/>
    </row>
    <row r="680" ht="15" customHeight="1">
      <c r="A680" t="inlineStr">
        <is>
          <t>A 46748-2023</t>
        </is>
      </c>
      <c r="B680" s="1" t="n">
        <v>45198</v>
      </c>
      <c r="C680" s="1" t="n">
        <v>45725</v>
      </c>
      <c r="D680" t="inlineStr">
        <is>
          <t>JÄMTLANDS LÄN</t>
        </is>
      </c>
      <c r="E680" t="inlineStr">
        <is>
          <t>ÖSTERSUND</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47086-2023</t>
        </is>
      </c>
      <c r="B681" s="1" t="n">
        <v>45201</v>
      </c>
      <c r="C681" s="1" t="n">
        <v>45725</v>
      </c>
      <c r="D681" t="inlineStr">
        <is>
          <t>JÄMTLANDS LÄN</t>
        </is>
      </c>
      <c r="E681" t="inlineStr">
        <is>
          <t>ÖSTERSUND</t>
        </is>
      </c>
      <c r="G681" t="n">
        <v>12</v>
      </c>
      <c r="H681" t="n">
        <v>0</v>
      </c>
      <c r="I681" t="n">
        <v>0</v>
      </c>
      <c r="J681" t="n">
        <v>0</v>
      </c>
      <c r="K681" t="n">
        <v>0</v>
      </c>
      <c r="L681" t="n">
        <v>0</v>
      </c>
      <c r="M681" t="n">
        <v>0</v>
      </c>
      <c r="N681" t="n">
        <v>0</v>
      </c>
      <c r="O681" t="n">
        <v>0</v>
      </c>
      <c r="P681" t="n">
        <v>0</v>
      </c>
      <c r="Q681" t="n">
        <v>0</v>
      </c>
      <c r="R681" s="2" t="inlineStr"/>
    </row>
    <row r="682" ht="15" customHeight="1">
      <c r="A682" t="inlineStr">
        <is>
          <t>A 47252-2023</t>
        </is>
      </c>
      <c r="B682" s="1" t="n">
        <v>45202</v>
      </c>
      <c r="C682" s="1" t="n">
        <v>45725</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47727-2023</t>
        </is>
      </c>
      <c r="B683" s="1" t="n">
        <v>45203</v>
      </c>
      <c r="C683" s="1" t="n">
        <v>45725</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48374-2023</t>
        </is>
      </c>
      <c r="B684" s="1" t="n">
        <v>45205</v>
      </c>
      <c r="C684" s="1" t="n">
        <v>45725</v>
      </c>
      <c r="D684" t="inlineStr">
        <is>
          <t>JÄMTLANDS LÄN</t>
        </is>
      </c>
      <c r="E684" t="inlineStr">
        <is>
          <t>ÖSTERSUND</t>
        </is>
      </c>
      <c r="G684" t="n">
        <v>5.6</v>
      </c>
      <c r="H684" t="n">
        <v>0</v>
      </c>
      <c r="I684" t="n">
        <v>0</v>
      </c>
      <c r="J684" t="n">
        <v>0</v>
      </c>
      <c r="K684" t="n">
        <v>0</v>
      </c>
      <c r="L684" t="n">
        <v>0</v>
      </c>
      <c r="M684" t="n">
        <v>0</v>
      </c>
      <c r="N684" t="n">
        <v>0</v>
      </c>
      <c r="O684" t="n">
        <v>0</v>
      </c>
      <c r="P684" t="n">
        <v>0</v>
      </c>
      <c r="Q684" t="n">
        <v>0</v>
      </c>
      <c r="R684" s="2" t="inlineStr"/>
    </row>
    <row r="685" ht="15" customHeight="1">
      <c r="A685" t="inlineStr">
        <is>
          <t>A 50753-2023</t>
        </is>
      </c>
      <c r="B685" s="1" t="n">
        <v>45210</v>
      </c>
      <c r="C685" s="1" t="n">
        <v>45725</v>
      </c>
      <c r="D685" t="inlineStr">
        <is>
          <t>JÄMTLANDS LÄN</t>
        </is>
      </c>
      <c r="E685" t="inlineStr">
        <is>
          <t>ÖSTERSUND</t>
        </is>
      </c>
      <c r="G685" t="n">
        <v>29.3</v>
      </c>
      <c r="H685" t="n">
        <v>0</v>
      </c>
      <c r="I685" t="n">
        <v>0</v>
      </c>
      <c r="J685" t="n">
        <v>0</v>
      </c>
      <c r="K685" t="n">
        <v>0</v>
      </c>
      <c r="L685" t="n">
        <v>0</v>
      </c>
      <c r="M685" t="n">
        <v>0</v>
      </c>
      <c r="N685" t="n">
        <v>0</v>
      </c>
      <c r="O685" t="n">
        <v>0</v>
      </c>
      <c r="P685" t="n">
        <v>0</v>
      </c>
      <c r="Q685" t="n">
        <v>0</v>
      </c>
      <c r="R685" s="2" t="inlineStr"/>
    </row>
    <row r="686" ht="15" customHeight="1">
      <c r="A686" t="inlineStr">
        <is>
          <t>A 50953-2023</t>
        </is>
      </c>
      <c r="B686" s="1" t="n">
        <v>45211</v>
      </c>
      <c r="C686" s="1" t="n">
        <v>45725</v>
      </c>
      <c r="D686" t="inlineStr">
        <is>
          <t>JÄMTLANDS LÄN</t>
        </is>
      </c>
      <c r="E686" t="inlineStr">
        <is>
          <t>ÖSTERSUND</t>
        </is>
      </c>
      <c r="G686" t="n">
        <v>2.2</v>
      </c>
      <c r="H686" t="n">
        <v>0</v>
      </c>
      <c r="I686" t="n">
        <v>0</v>
      </c>
      <c r="J686" t="n">
        <v>0</v>
      </c>
      <c r="K686" t="n">
        <v>0</v>
      </c>
      <c r="L686" t="n">
        <v>0</v>
      </c>
      <c r="M686" t="n">
        <v>0</v>
      </c>
      <c r="N686" t="n">
        <v>0</v>
      </c>
      <c r="O686" t="n">
        <v>0</v>
      </c>
      <c r="P686" t="n">
        <v>0</v>
      </c>
      <c r="Q686" t="n">
        <v>0</v>
      </c>
      <c r="R686" s="2" t="inlineStr"/>
    </row>
    <row r="687" ht="15" customHeight="1">
      <c r="A687" t="inlineStr">
        <is>
          <t>A 51701-2023</t>
        </is>
      </c>
      <c r="B687" s="1" t="n">
        <v>45215</v>
      </c>
      <c r="C687" s="1" t="n">
        <v>45725</v>
      </c>
      <c r="D687" t="inlineStr">
        <is>
          <t>JÄMTLANDS LÄN</t>
        </is>
      </c>
      <c r="E687" t="inlineStr">
        <is>
          <t>ÖSTERSUND</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52209-2023</t>
        </is>
      </c>
      <c r="B688" s="1" t="n">
        <v>45217</v>
      </c>
      <c r="C688" s="1" t="n">
        <v>45725</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50965-2023</t>
        </is>
      </c>
      <c r="B689" s="1" t="n">
        <v>45218</v>
      </c>
      <c r="C689" s="1" t="n">
        <v>45725</v>
      </c>
      <c r="D689" t="inlineStr">
        <is>
          <t>JÄMTLANDS LÄN</t>
        </is>
      </c>
      <c r="E689" t="inlineStr">
        <is>
          <t>ÖSTERSUND</t>
        </is>
      </c>
      <c r="G689" t="n">
        <v>3.5</v>
      </c>
      <c r="H689" t="n">
        <v>0</v>
      </c>
      <c r="I689" t="n">
        <v>0</v>
      </c>
      <c r="J689" t="n">
        <v>0</v>
      </c>
      <c r="K689" t="n">
        <v>0</v>
      </c>
      <c r="L689" t="n">
        <v>0</v>
      </c>
      <c r="M689" t="n">
        <v>0</v>
      </c>
      <c r="N689" t="n">
        <v>0</v>
      </c>
      <c r="O689" t="n">
        <v>0</v>
      </c>
      <c r="P689" t="n">
        <v>0</v>
      </c>
      <c r="Q689" t="n">
        <v>0</v>
      </c>
      <c r="R689" s="2" t="inlineStr"/>
    </row>
    <row r="690" ht="15" customHeight="1">
      <c r="A690" t="inlineStr">
        <is>
          <t>A 51480-2023</t>
        </is>
      </c>
      <c r="B690" s="1" t="n">
        <v>45222</v>
      </c>
      <c r="C690" s="1" t="n">
        <v>45725</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51482-2023</t>
        </is>
      </c>
      <c r="B691" s="1" t="n">
        <v>45222</v>
      </c>
      <c r="C691" s="1" t="n">
        <v>45725</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51481-2023</t>
        </is>
      </c>
      <c r="B692" s="1" t="n">
        <v>45222</v>
      </c>
      <c r="C692" s="1" t="n">
        <v>45725</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51479-2023</t>
        </is>
      </c>
      <c r="B693" s="1" t="n">
        <v>45222</v>
      </c>
      <c r="C693" s="1" t="n">
        <v>45725</v>
      </c>
      <c r="D693" t="inlineStr">
        <is>
          <t>JÄMTLANDS LÄN</t>
        </is>
      </c>
      <c r="E693" t="inlineStr">
        <is>
          <t>ÖSTERSUND</t>
        </is>
      </c>
      <c r="G693" t="n">
        <v>1.9</v>
      </c>
      <c r="H693" t="n">
        <v>0</v>
      </c>
      <c r="I693" t="n">
        <v>0</v>
      </c>
      <c r="J693" t="n">
        <v>0</v>
      </c>
      <c r="K693" t="n">
        <v>0</v>
      </c>
      <c r="L693" t="n">
        <v>0</v>
      </c>
      <c r="M693" t="n">
        <v>0</v>
      </c>
      <c r="N693" t="n">
        <v>0</v>
      </c>
      <c r="O693" t="n">
        <v>0</v>
      </c>
      <c r="P693" t="n">
        <v>0</v>
      </c>
      <c r="Q693" t="n">
        <v>0</v>
      </c>
      <c r="R693" s="2" t="inlineStr"/>
    </row>
    <row r="694" ht="15" customHeight="1">
      <c r="A694" t="inlineStr">
        <is>
          <t>A 53152-2023</t>
        </is>
      </c>
      <c r="B694" s="1" t="n">
        <v>45222</v>
      </c>
      <c r="C694" s="1" t="n">
        <v>45725</v>
      </c>
      <c r="D694" t="inlineStr">
        <is>
          <t>JÄMTLANDS LÄN</t>
        </is>
      </c>
      <c r="E694" t="inlineStr">
        <is>
          <t>ÖSTERSUND</t>
        </is>
      </c>
      <c r="G694" t="n">
        <v>1</v>
      </c>
      <c r="H694" t="n">
        <v>0</v>
      </c>
      <c r="I694" t="n">
        <v>0</v>
      </c>
      <c r="J694" t="n">
        <v>0</v>
      </c>
      <c r="K694" t="n">
        <v>0</v>
      </c>
      <c r="L694" t="n">
        <v>0</v>
      </c>
      <c r="M694" t="n">
        <v>0</v>
      </c>
      <c r="N694" t="n">
        <v>0</v>
      </c>
      <c r="O694" t="n">
        <v>0</v>
      </c>
      <c r="P694" t="n">
        <v>0</v>
      </c>
      <c r="Q694" t="n">
        <v>0</v>
      </c>
      <c r="R694" s="2" t="inlineStr"/>
    </row>
    <row r="695" ht="15" customHeight="1">
      <c r="A695" t="inlineStr">
        <is>
          <t>A 51818-2023</t>
        </is>
      </c>
      <c r="B695" s="1" t="n">
        <v>45223</v>
      </c>
      <c r="C695" s="1" t="n">
        <v>45725</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51913-2023</t>
        </is>
      </c>
      <c r="B696" s="1" t="n">
        <v>45223</v>
      </c>
      <c r="C696" s="1" t="n">
        <v>45725</v>
      </c>
      <c r="D696" t="inlineStr">
        <is>
          <t>JÄMTLANDS LÄN</t>
        </is>
      </c>
      <c r="E696" t="inlineStr">
        <is>
          <t>ÖSTERSUND</t>
        </is>
      </c>
      <c r="F696" t="inlineStr">
        <is>
          <t>Övriga Aktiebolag</t>
        </is>
      </c>
      <c r="G696" t="n">
        <v>3.4</v>
      </c>
      <c r="H696" t="n">
        <v>0</v>
      </c>
      <c r="I696" t="n">
        <v>0</v>
      </c>
      <c r="J696" t="n">
        <v>0</v>
      </c>
      <c r="K696" t="n">
        <v>0</v>
      </c>
      <c r="L696" t="n">
        <v>0</v>
      </c>
      <c r="M696" t="n">
        <v>0</v>
      </c>
      <c r="N696" t="n">
        <v>0</v>
      </c>
      <c r="O696" t="n">
        <v>0</v>
      </c>
      <c r="P696" t="n">
        <v>0</v>
      </c>
      <c r="Q696" t="n">
        <v>0</v>
      </c>
      <c r="R696" s="2" t="inlineStr"/>
    </row>
    <row r="697" ht="15" customHeight="1">
      <c r="A697" t="inlineStr">
        <is>
          <t>A 51942-2023</t>
        </is>
      </c>
      <c r="B697" s="1" t="n">
        <v>45223</v>
      </c>
      <c r="C697" s="1" t="n">
        <v>45725</v>
      </c>
      <c r="D697" t="inlineStr">
        <is>
          <t>JÄMTLANDS LÄN</t>
        </is>
      </c>
      <c r="E697" t="inlineStr">
        <is>
          <t>ÖSTERSUND</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52128-2023</t>
        </is>
      </c>
      <c r="B698" s="1" t="n">
        <v>45223</v>
      </c>
      <c r="C698" s="1" t="n">
        <v>45725</v>
      </c>
      <c r="D698" t="inlineStr">
        <is>
          <t>JÄMTLANDS LÄN</t>
        </is>
      </c>
      <c r="E698" t="inlineStr">
        <is>
          <t>ÖSTERSUND</t>
        </is>
      </c>
      <c r="F698" t="inlineStr">
        <is>
          <t>SCA</t>
        </is>
      </c>
      <c r="G698" t="n">
        <v>11.9</v>
      </c>
      <c r="H698" t="n">
        <v>0</v>
      </c>
      <c r="I698" t="n">
        <v>0</v>
      </c>
      <c r="J698" t="n">
        <v>0</v>
      </c>
      <c r="K698" t="n">
        <v>0</v>
      </c>
      <c r="L698" t="n">
        <v>0</v>
      </c>
      <c r="M698" t="n">
        <v>0</v>
      </c>
      <c r="N698" t="n">
        <v>0</v>
      </c>
      <c r="O698" t="n">
        <v>0</v>
      </c>
      <c r="P698" t="n">
        <v>0</v>
      </c>
      <c r="Q698" t="n">
        <v>0</v>
      </c>
      <c r="R698" s="2" t="inlineStr"/>
    </row>
    <row r="699" ht="15" customHeight="1">
      <c r="A699" t="inlineStr">
        <is>
          <t>A 51936-2023</t>
        </is>
      </c>
      <c r="B699" s="1" t="n">
        <v>45223</v>
      </c>
      <c r="C699" s="1" t="n">
        <v>45725</v>
      </c>
      <c r="D699" t="inlineStr">
        <is>
          <t>JÄMTLANDS LÄN</t>
        </is>
      </c>
      <c r="E699" t="inlineStr">
        <is>
          <t>ÖSTERSUND</t>
        </is>
      </c>
      <c r="G699" t="n">
        <v>8.4</v>
      </c>
      <c r="H699" t="n">
        <v>0</v>
      </c>
      <c r="I699" t="n">
        <v>0</v>
      </c>
      <c r="J699" t="n">
        <v>0</v>
      </c>
      <c r="K699" t="n">
        <v>0</v>
      </c>
      <c r="L699" t="n">
        <v>0</v>
      </c>
      <c r="M699" t="n">
        <v>0</v>
      </c>
      <c r="N699" t="n">
        <v>0</v>
      </c>
      <c r="O699" t="n">
        <v>0</v>
      </c>
      <c r="P699" t="n">
        <v>0</v>
      </c>
      <c r="Q699" t="n">
        <v>0</v>
      </c>
      <c r="R699" s="2" t="inlineStr"/>
    </row>
    <row r="700" ht="15" customHeight="1">
      <c r="A700" t="inlineStr">
        <is>
          <t>A 51941-2023</t>
        </is>
      </c>
      <c r="B700" s="1" t="n">
        <v>45223</v>
      </c>
      <c r="C700" s="1" t="n">
        <v>45725</v>
      </c>
      <c r="D700" t="inlineStr">
        <is>
          <t>JÄMTLANDS LÄN</t>
        </is>
      </c>
      <c r="E700" t="inlineStr">
        <is>
          <t>ÖSTERSUND</t>
        </is>
      </c>
      <c r="G700" t="n">
        <v>4.6</v>
      </c>
      <c r="H700" t="n">
        <v>0</v>
      </c>
      <c r="I700" t="n">
        <v>0</v>
      </c>
      <c r="J700" t="n">
        <v>0</v>
      </c>
      <c r="K700" t="n">
        <v>0</v>
      </c>
      <c r="L700" t="n">
        <v>0</v>
      </c>
      <c r="M700" t="n">
        <v>0</v>
      </c>
      <c r="N700" t="n">
        <v>0</v>
      </c>
      <c r="O700" t="n">
        <v>0</v>
      </c>
      <c r="P700" t="n">
        <v>0</v>
      </c>
      <c r="Q700" t="n">
        <v>0</v>
      </c>
      <c r="R700" s="2" t="inlineStr"/>
    </row>
    <row r="701" ht="15" customHeight="1">
      <c r="A701" t="inlineStr">
        <is>
          <t>A 53378-2023</t>
        </is>
      </c>
      <c r="B701" s="1" t="n">
        <v>45223</v>
      </c>
      <c r="C701" s="1" t="n">
        <v>45725</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53380-2023</t>
        </is>
      </c>
      <c r="B702" s="1" t="n">
        <v>45223</v>
      </c>
      <c r="C702" s="1" t="n">
        <v>45725</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52553-2023</t>
        </is>
      </c>
      <c r="B703" s="1" t="n">
        <v>45225</v>
      </c>
      <c r="C703" s="1" t="n">
        <v>45725</v>
      </c>
      <c r="D703" t="inlineStr">
        <is>
          <t>JÄMTLANDS LÄN</t>
        </is>
      </c>
      <c r="E703" t="inlineStr">
        <is>
          <t>ÖSTERSUND</t>
        </is>
      </c>
      <c r="G703" t="n">
        <v>19.9</v>
      </c>
      <c r="H703" t="n">
        <v>0</v>
      </c>
      <c r="I703" t="n">
        <v>0</v>
      </c>
      <c r="J703" t="n">
        <v>0</v>
      </c>
      <c r="K703" t="n">
        <v>0</v>
      </c>
      <c r="L703" t="n">
        <v>0</v>
      </c>
      <c r="M703" t="n">
        <v>0</v>
      </c>
      <c r="N703" t="n">
        <v>0</v>
      </c>
      <c r="O703" t="n">
        <v>0</v>
      </c>
      <c r="P703" t="n">
        <v>0</v>
      </c>
      <c r="Q703" t="n">
        <v>0</v>
      </c>
      <c r="R703" s="2" t="inlineStr"/>
    </row>
    <row r="704" ht="15" customHeight="1">
      <c r="A704" t="inlineStr">
        <is>
          <t>A 55235-2023</t>
        </is>
      </c>
      <c r="B704" s="1" t="n">
        <v>45231</v>
      </c>
      <c r="C704" s="1" t="n">
        <v>45725</v>
      </c>
      <c r="D704" t="inlineStr">
        <is>
          <t>JÄMTLANDS LÄN</t>
        </is>
      </c>
      <c r="E704" t="inlineStr">
        <is>
          <t>ÖSTERSUND</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55251-2023</t>
        </is>
      </c>
      <c r="B705" s="1" t="n">
        <v>45231</v>
      </c>
      <c r="C705" s="1" t="n">
        <v>45725</v>
      </c>
      <c r="D705" t="inlineStr">
        <is>
          <t>JÄMTLANDS LÄN</t>
        </is>
      </c>
      <c r="E705" t="inlineStr">
        <is>
          <t>ÖSTERSUND</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55400-2023</t>
        </is>
      </c>
      <c r="B706" s="1" t="n">
        <v>45231</v>
      </c>
      <c r="C706" s="1" t="n">
        <v>45725</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54131-2023</t>
        </is>
      </c>
      <c r="B707" s="1" t="n">
        <v>45232</v>
      </c>
      <c r="C707" s="1" t="n">
        <v>45725</v>
      </c>
      <c r="D707" t="inlineStr">
        <is>
          <t>JÄMTLANDS LÄN</t>
        </is>
      </c>
      <c r="E707" t="inlineStr">
        <is>
          <t>ÖSTERSUND</t>
        </is>
      </c>
      <c r="G707" t="n">
        <v>5.5</v>
      </c>
      <c r="H707" t="n">
        <v>0</v>
      </c>
      <c r="I707" t="n">
        <v>0</v>
      </c>
      <c r="J707" t="n">
        <v>0</v>
      </c>
      <c r="K707" t="n">
        <v>0</v>
      </c>
      <c r="L707" t="n">
        <v>0</v>
      </c>
      <c r="M707" t="n">
        <v>0</v>
      </c>
      <c r="N707" t="n">
        <v>0</v>
      </c>
      <c r="O707" t="n">
        <v>0</v>
      </c>
      <c r="P707" t="n">
        <v>0</v>
      </c>
      <c r="Q707" t="n">
        <v>0</v>
      </c>
      <c r="R707" s="2" t="inlineStr"/>
    </row>
    <row r="708" ht="15" customHeight="1">
      <c r="A708" t="inlineStr">
        <is>
          <t>A 54608-2023</t>
        </is>
      </c>
      <c r="B708" s="1" t="n">
        <v>45233</v>
      </c>
      <c r="C708" s="1" t="n">
        <v>45725</v>
      </c>
      <c r="D708" t="inlineStr">
        <is>
          <t>JÄMTLANDS LÄN</t>
        </is>
      </c>
      <c r="E708" t="inlineStr">
        <is>
          <t>ÖSTERSUND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55996-2023</t>
        </is>
      </c>
      <c r="B709" s="1" t="n">
        <v>45233</v>
      </c>
      <c r="C709" s="1" t="n">
        <v>45725</v>
      </c>
      <c r="D709" t="inlineStr">
        <is>
          <t>JÄMTLANDS LÄN</t>
        </is>
      </c>
      <c r="E709" t="inlineStr">
        <is>
          <t>ÖSTERSUND</t>
        </is>
      </c>
      <c r="G709" t="n">
        <v>2.4</v>
      </c>
      <c r="H709" t="n">
        <v>0</v>
      </c>
      <c r="I709" t="n">
        <v>0</v>
      </c>
      <c r="J709" t="n">
        <v>0</v>
      </c>
      <c r="K709" t="n">
        <v>0</v>
      </c>
      <c r="L709" t="n">
        <v>0</v>
      </c>
      <c r="M709" t="n">
        <v>0</v>
      </c>
      <c r="N709" t="n">
        <v>0</v>
      </c>
      <c r="O709" t="n">
        <v>0</v>
      </c>
      <c r="P709" t="n">
        <v>0</v>
      </c>
      <c r="Q709" t="n">
        <v>0</v>
      </c>
      <c r="R709" s="2" t="inlineStr"/>
    </row>
    <row r="710" ht="15" customHeight="1">
      <c r="A710" t="inlineStr">
        <is>
          <t>A 56043-2023</t>
        </is>
      </c>
      <c r="B710" s="1" t="n">
        <v>45233</v>
      </c>
      <c r="C710" s="1" t="n">
        <v>45725</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54576-2023</t>
        </is>
      </c>
      <c r="B711" s="1" t="n">
        <v>45233</v>
      </c>
      <c r="C711" s="1" t="n">
        <v>45725</v>
      </c>
      <c r="D711" t="inlineStr">
        <is>
          <t>JÄMTLANDS LÄN</t>
        </is>
      </c>
      <c r="E711" t="inlineStr">
        <is>
          <t>ÖSTERSUND</t>
        </is>
      </c>
      <c r="F711" t="inlineStr">
        <is>
          <t>Övriga Aktiebolag</t>
        </is>
      </c>
      <c r="G711" t="n">
        <v>7.3</v>
      </c>
      <c r="H711" t="n">
        <v>0</v>
      </c>
      <c r="I711" t="n">
        <v>0</v>
      </c>
      <c r="J711" t="n">
        <v>0</v>
      </c>
      <c r="K711" t="n">
        <v>0</v>
      </c>
      <c r="L711" t="n">
        <v>0</v>
      </c>
      <c r="M711" t="n">
        <v>0</v>
      </c>
      <c r="N711" t="n">
        <v>0</v>
      </c>
      <c r="O711" t="n">
        <v>0</v>
      </c>
      <c r="P711" t="n">
        <v>0</v>
      </c>
      <c r="Q711" t="n">
        <v>0</v>
      </c>
      <c r="R711" s="2" t="inlineStr"/>
    </row>
    <row r="712" ht="15" customHeight="1">
      <c r="A712" t="inlineStr">
        <is>
          <t>A 54762-2023</t>
        </is>
      </c>
      <c r="B712" s="1" t="n">
        <v>45236</v>
      </c>
      <c r="C712" s="1" t="n">
        <v>45725</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54883-2023</t>
        </is>
      </c>
      <c r="B713" s="1" t="n">
        <v>45236</v>
      </c>
      <c r="C713" s="1" t="n">
        <v>45725</v>
      </c>
      <c r="D713" t="inlineStr">
        <is>
          <t>JÄMTLANDS LÄN</t>
        </is>
      </c>
      <c r="E713" t="inlineStr">
        <is>
          <t>ÖSTERSUND</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54973-2023</t>
        </is>
      </c>
      <c r="B714" s="1" t="n">
        <v>45236</v>
      </c>
      <c r="C714" s="1" t="n">
        <v>45725</v>
      </c>
      <c r="D714" t="inlineStr">
        <is>
          <t>JÄMTLANDS LÄN</t>
        </is>
      </c>
      <c r="E714" t="inlineStr">
        <is>
          <t>ÖSTERSUND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55140-2023</t>
        </is>
      </c>
      <c r="B715" s="1" t="n">
        <v>45237</v>
      </c>
      <c r="C715" s="1" t="n">
        <v>45725</v>
      </c>
      <c r="D715" t="inlineStr">
        <is>
          <t>JÄMTLANDS LÄN</t>
        </is>
      </c>
      <c r="E715" t="inlineStr">
        <is>
          <t>ÖSTERSUND</t>
        </is>
      </c>
      <c r="G715" t="n">
        <v>1.8</v>
      </c>
      <c r="H715" t="n">
        <v>0</v>
      </c>
      <c r="I715" t="n">
        <v>0</v>
      </c>
      <c r="J715" t="n">
        <v>0</v>
      </c>
      <c r="K715" t="n">
        <v>0</v>
      </c>
      <c r="L715" t="n">
        <v>0</v>
      </c>
      <c r="M715" t="n">
        <v>0</v>
      </c>
      <c r="N715" t="n">
        <v>0</v>
      </c>
      <c r="O715" t="n">
        <v>0</v>
      </c>
      <c r="P715" t="n">
        <v>0</v>
      </c>
      <c r="Q715" t="n">
        <v>0</v>
      </c>
      <c r="R715" s="2" t="inlineStr"/>
    </row>
    <row r="716" ht="15" customHeight="1">
      <c r="A716" t="inlineStr">
        <is>
          <t>A 55237-2023</t>
        </is>
      </c>
      <c r="B716" s="1" t="n">
        <v>45237</v>
      </c>
      <c r="C716" s="1" t="n">
        <v>45725</v>
      </c>
      <c r="D716" t="inlineStr">
        <is>
          <t>JÄMTLANDS LÄN</t>
        </is>
      </c>
      <c r="E716" t="inlineStr">
        <is>
          <t>ÖSTERSUND</t>
        </is>
      </c>
      <c r="G716" t="n">
        <v>2.7</v>
      </c>
      <c r="H716" t="n">
        <v>0</v>
      </c>
      <c r="I716" t="n">
        <v>0</v>
      </c>
      <c r="J716" t="n">
        <v>0</v>
      </c>
      <c r="K716" t="n">
        <v>0</v>
      </c>
      <c r="L716" t="n">
        <v>0</v>
      </c>
      <c r="M716" t="n">
        <v>0</v>
      </c>
      <c r="N716" t="n">
        <v>0</v>
      </c>
      <c r="O716" t="n">
        <v>0</v>
      </c>
      <c r="P716" t="n">
        <v>0</v>
      </c>
      <c r="Q716" t="n">
        <v>0</v>
      </c>
      <c r="R716" s="2" t="inlineStr"/>
    </row>
    <row r="717" ht="15" customHeight="1">
      <c r="A717" t="inlineStr">
        <is>
          <t>A 55233-2023</t>
        </is>
      </c>
      <c r="B717" s="1" t="n">
        <v>45237</v>
      </c>
      <c r="C717" s="1" t="n">
        <v>45725</v>
      </c>
      <c r="D717" t="inlineStr">
        <is>
          <t>JÄMTLANDS LÄN</t>
        </is>
      </c>
      <c r="E717" t="inlineStr">
        <is>
          <t>ÖSTERSUND</t>
        </is>
      </c>
      <c r="G717" t="n">
        <v>1.9</v>
      </c>
      <c r="H717" t="n">
        <v>0</v>
      </c>
      <c r="I717" t="n">
        <v>0</v>
      </c>
      <c r="J717" t="n">
        <v>0</v>
      </c>
      <c r="K717" t="n">
        <v>0</v>
      </c>
      <c r="L717" t="n">
        <v>0</v>
      </c>
      <c r="M717" t="n">
        <v>0</v>
      </c>
      <c r="N717" t="n">
        <v>0</v>
      </c>
      <c r="O717" t="n">
        <v>0</v>
      </c>
      <c r="P717" t="n">
        <v>0</v>
      </c>
      <c r="Q717" t="n">
        <v>0</v>
      </c>
      <c r="R717" s="2" t="inlineStr"/>
    </row>
    <row r="718" ht="15" customHeight="1">
      <c r="A718" t="inlineStr">
        <is>
          <t>A 56440-2023</t>
        </is>
      </c>
      <c r="B718" s="1" t="n">
        <v>45237</v>
      </c>
      <c r="C718" s="1" t="n">
        <v>45725</v>
      </c>
      <c r="D718" t="inlineStr">
        <is>
          <t>JÄMTLANDS LÄN</t>
        </is>
      </c>
      <c r="E718" t="inlineStr">
        <is>
          <t>ÖSTERSUND</t>
        </is>
      </c>
      <c r="G718" t="n">
        <v>10.2</v>
      </c>
      <c r="H718" t="n">
        <v>0</v>
      </c>
      <c r="I718" t="n">
        <v>0</v>
      </c>
      <c r="J718" t="n">
        <v>0</v>
      </c>
      <c r="K718" t="n">
        <v>0</v>
      </c>
      <c r="L718" t="n">
        <v>0</v>
      </c>
      <c r="M718" t="n">
        <v>0</v>
      </c>
      <c r="N718" t="n">
        <v>0</v>
      </c>
      <c r="O718" t="n">
        <v>0</v>
      </c>
      <c r="P718" t="n">
        <v>0</v>
      </c>
      <c r="Q718" t="n">
        <v>0</v>
      </c>
      <c r="R718" s="2" t="inlineStr"/>
    </row>
    <row r="719" ht="15" customHeight="1">
      <c r="A719" t="inlineStr">
        <is>
          <t>A 55666-2023</t>
        </is>
      </c>
      <c r="B719" s="1" t="n">
        <v>45239</v>
      </c>
      <c r="C719" s="1" t="n">
        <v>45725</v>
      </c>
      <c r="D719" t="inlineStr">
        <is>
          <t>JÄMTLANDS LÄN</t>
        </is>
      </c>
      <c r="E719" t="inlineStr">
        <is>
          <t>ÖSTERSUND</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56597-2023</t>
        </is>
      </c>
      <c r="B720" s="1" t="n">
        <v>45238</v>
      </c>
      <c r="C720" s="1" t="n">
        <v>45725</v>
      </c>
      <c r="D720" t="inlineStr">
        <is>
          <t>JÄMTLANDS LÄN</t>
        </is>
      </c>
      <c r="E720" t="inlineStr">
        <is>
          <t>ÖSTERSUND</t>
        </is>
      </c>
      <c r="G720" t="n">
        <v>5.1</v>
      </c>
      <c r="H720" t="n">
        <v>0</v>
      </c>
      <c r="I720" t="n">
        <v>0</v>
      </c>
      <c r="J720" t="n">
        <v>0</v>
      </c>
      <c r="K720" t="n">
        <v>0</v>
      </c>
      <c r="L720" t="n">
        <v>0</v>
      </c>
      <c r="M720" t="n">
        <v>0</v>
      </c>
      <c r="N720" t="n">
        <v>0</v>
      </c>
      <c r="O720" t="n">
        <v>0</v>
      </c>
      <c r="P720" t="n">
        <v>0</v>
      </c>
      <c r="Q720" t="n">
        <v>0</v>
      </c>
      <c r="R720" s="2" t="inlineStr"/>
    </row>
    <row r="721" ht="15" customHeight="1">
      <c r="A721" t="inlineStr">
        <is>
          <t>A 55678-2023</t>
        </is>
      </c>
      <c r="B721" s="1" t="n">
        <v>45239</v>
      </c>
      <c r="C721" s="1" t="n">
        <v>45725</v>
      </c>
      <c r="D721" t="inlineStr">
        <is>
          <t>JÄMTLANDS LÄN</t>
        </is>
      </c>
      <c r="E721" t="inlineStr">
        <is>
          <t>ÖSTERSUND</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55785-2023</t>
        </is>
      </c>
      <c r="B722" s="1" t="n">
        <v>45239</v>
      </c>
      <c r="C722" s="1" t="n">
        <v>45725</v>
      </c>
      <c r="D722" t="inlineStr">
        <is>
          <t>JÄMTLANDS LÄN</t>
        </is>
      </c>
      <c r="E722" t="inlineStr">
        <is>
          <t>ÖSTERSUND</t>
        </is>
      </c>
      <c r="F722" t="inlineStr">
        <is>
          <t>Övriga Aktiebolag</t>
        </is>
      </c>
      <c r="G722" t="n">
        <v>16.4</v>
      </c>
      <c r="H722" t="n">
        <v>0</v>
      </c>
      <c r="I722" t="n">
        <v>0</v>
      </c>
      <c r="J722" t="n">
        <v>0</v>
      </c>
      <c r="K722" t="n">
        <v>0</v>
      </c>
      <c r="L722" t="n">
        <v>0</v>
      </c>
      <c r="M722" t="n">
        <v>0</v>
      </c>
      <c r="N722" t="n">
        <v>0</v>
      </c>
      <c r="O722" t="n">
        <v>0</v>
      </c>
      <c r="P722" t="n">
        <v>0</v>
      </c>
      <c r="Q722" t="n">
        <v>0</v>
      </c>
      <c r="R722" s="2" t="inlineStr"/>
    </row>
    <row r="723" ht="15" customHeight="1">
      <c r="A723" t="inlineStr">
        <is>
          <t>A 55827-2023</t>
        </is>
      </c>
      <c r="B723" s="1" t="n">
        <v>45239</v>
      </c>
      <c r="C723" s="1" t="n">
        <v>45725</v>
      </c>
      <c r="D723" t="inlineStr">
        <is>
          <t>JÄMTLANDS LÄN</t>
        </is>
      </c>
      <c r="E723" t="inlineStr">
        <is>
          <t>ÖSTERSUND</t>
        </is>
      </c>
      <c r="F723" t="inlineStr">
        <is>
          <t>Övriga Aktiebolag</t>
        </is>
      </c>
      <c r="G723" t="n">
        <v>9.1</v>
      </c>
      <c r="H723" t="n">
        <v>0</v>
      </c>
      <c r="I723" t="n">
        <v>0</v>
      </c>
      <c r="J723" t="n">
        <v>0</v>
      </c>
      <c r="K723" t="n">
        <v>0</v>
      </c>
      <c r="L723" t="n">
        <v>0</v>
      </c>
      <c r="M723" t="n">
        <v>0</v>
      </c>
      <c r="N723" t="n">
        <v>0</v>
      </c>
      <c r="O723" t="n">
        <v>0</v>
      </c>
      <c r="P723" t="n">
        <v>0</v>
      </c>
      <c r="Q723" t="n">
        <v>0</v>
      </c>
      <c r="R723" s="2" t="inlineStr"/>
    </row>
    <row r="724" ht="15" customHeight="1">
      <c r="A724" t="inlineStr">
        <is>
          <t>A 56465-2023</t>
        </is>
      </c>
      <c r="B724" s="1" t="n">
        <v>45243</v>
      </c>
      <c r="C724" s="1" t="n">
        <v>45725</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56478-2023</t>
        </is>
      </c>
      <c r="B725" s="1" t="n">
        <v>45243</v>
      </c>
      <c r="C725" s="1" t="n">
        <v>45725</v>
      </c>
      <c r="D725" t="inlineStr">
        <is>
          <t>JÄMTLANDS LÄN</t>
        </is>
      </c>
      <c r="E725" t="inlineStr">
        <is>
          <t>ÖSTERSUND</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57863-2023</t>
        </is>
      </c>
      <c r="B726" s="1" t="n">
        <v>45244</v>
      </c>
      <c r="C726" s="1" t="n">
        <v>45725</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57398-2023</t>
        </is>
      </c>
      <c r="B727" s="1" t="n">
        <v>45245</v>
      </c>
      <c r="C727" s="1" t="n">
        <v>45725</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58809-2023</t>
        </is>
      </c>
      <c r="B728" s="1" t="n">
        <v>45247</v>
      </c>
      <c r="C728" s="1" t="n">
        <v>45725</v>
      </c>
      <c r="D728" t="inlineStr">
        <is>
          <t>JÄMTLANDS LÄN</t>
        </is>
      </c>
      <c r="E728" t="inlineStr">
        <is>
          <t>ÖSTERSUND</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58818-2023</t>
        </is>
      </c>
      <c r="B729" s="1" t="n">
        <v>45247</v>
      </c>
      <c r="C729" s="1" t="n">
        <v>45725</v>
      </c>
      <c r="D729" t="inlineStr">
        <is>
          <t>JÄMTLANDS LÄN</t>
        </is>
      </c>
      <c r="E729" t="inlineStr">
        <is>
          <t>ÖSTERSUND</t>
        </is>
      </c>
      <c r="G729" t="n">
        <v>6.7</v>
      </c>
      <c r="H729" t="n">
        <v>0</v>
      </c>
      <c r="I729" t="n">
        <v>0</v>
      </c>
      <c r="J729" t="n">
        <v>0</v>
      </c>
      <c r="K729" t="n">
        <v>0</v>
      </c>
      <c r="L729" t="n">
        <v>0</v>
      </c>
      <c r="M729" t="n">
        <v>0</v>
      </c>
      <c r="N729" t="n">
        <v>0</v>
      </c>
      <c r="O729" t="n">
        <v>0</v>
      </c>
      <c r="P729" t="n">
        <v>0</v>
      </c>
      <c r="Q729" t="n">
        <v>0</v>
      </c>
      <c r="R729" s="2" t="inlineStr"/>
    </row>
    <row r="730" ht="15" customHeight="1">
      <c r="A730" t="inlineStr">
        <is>
          <t>A 57839-2023</t>
        </is>
      </c>
      <c r="B730" s="1" t="n">
        <v>45247</v>
      </c>
      <c r="C730" s="1" t="n">
        <v>45725</v>
      </c>
      <c r="D730" t="inlineStr">
        <is>
          <t>JÄMTLANDS LÄN</t>
        </is>
      </c>
      <c r="E730" t="inlineStr">
        <is>
          <t>ÖSTERSUND</t>
        </is>
      </c>
      <c r="G730" t="n">
        <v>6.1</v>
      </c>
      <c r="H730" t="n">
        <v>0</v>
      </c>
      <c r="I730" t="n">
        <v>0</v>
      </c>
      <c r="J730" t="n">
        <v>0</v>
      </c>
      <c r="K730" t="n">
        <v>0</v>
      </c>
      <c r="L730" t="n">
        <v>0</v>
      </c>
      <c r="M730" t="n">
        <v>0</v>
      </c>
      <c r="N730" t="n">
        <v>0</v>
      </c>
      <c r="O730" t="n">
        <v>0</v>
      </c>
      <c r="P730" t="n">
        <v>0</v>
      </c>
      <c r="Q730" t="n">
        <v>0</v>
      </c>
      <c r="R730" s="2" t="inlineStr"/>
    </row>
    <row r="731" ht="15" customHeight="1">
      <c r="A731" t="inlineStr">
        <is>
          <t>A 59021-2023</t>
        </is>
      </c>
      <c r="B731" s="1" t="n">
        <v>45250</v>
      </c>
      <c r="C731" s="1" t="n">
        <v>45725</v>
      </c>
      <c r="D731" t="inlineStr">
        <is>
          <t>JÄMTLANDS LÄN</t>
        </is>
      </c>
      <c r="E731" t="inlineStr">
        <is>
          <t>ÖSTERSUND</t>
        </is>
      </c>
      <c r="G731" t="n">
        <v>7</v>
      </c>
      <c r="H731" t="n">
        <v>0</v>
      </c>
      <c r="I731" t="n">
        <v>0</v>
      </c>
      <c r="J731" t="n">
        <v>0</v>
      </c>
      <c r="K731" t="n">
        <v>0</v>
      </c>
      <c r="L731" t="n">
        <v>0</v>
      </c>
      <c r="M731" t="n">
        <v>0</v>
      </c>
      <c r="N731" t="n">
        <v>0</v>
      </c>
      <c r="O731" t="n">
        <v>0</v>
      </c>
      <c r="P731" t="n">
        <v>0</v>
      </c>
      <c r="Q731" t="n">
        <v>0</v>
      </c>
      <c r="R731" s="2" t="inlineStr"/>
    </row>
    <row r="732" ht="15" customHeight="1">
      <c r="A732" t="inlineStr">
        <is>
          <t>A 59094-2023</t>
        </is>
      </c>
      <c r="B732" s="1" t="n">
        <v>45253</v>
      </c>
      <c r="C732" s="1" t="n">
        <v>45725</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59095-2023</t>
        </is>
      </c>
      <c r="B733" s="1" t="n">
        <v>45253</v>
      </c>
      <c r="C733" s="1" t="n">
        <v>45725</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59611-2023</t>
        </is>
      </c>
      <c r="B734" s="1" t="n">
        <v>45254</v>
      </c>
      <c r="C734" s="1" t="n">
        <v>45725</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59953-2023</t>
        </is>
      </c>
      <c r="B735" s="1" t="n">
        <v>45254</v>
      </c>
      <c r="C735" s="1" t="n">
        <v>45725</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59694-2023</t>
        </is>
      </c>
      <c r="B736" s="1" t="n">
        <v>45256</v>
      </c>
      <c r="C736" s="1" t="n">
        <v>45725</v>
      </c>
      <c r="D736" t="inlineStr">
        <is>
          <t>JÄMTLANDS LÄN</t>
        </is>
      </c>
      <c r="E736" t="inlineStr">
        <is>
          <t>ÖSTERSUND</t>
        </is>
      </c>
      <c r="G736" t="n">
        <v>4.1</v>
      </c>
      <c r="H736" t="n">
        <v>0</v>
      </c>
      <c r="I736" t="n">
        <v>0</v>
      </c>
      <c r="J736" t="n">
        <v>0</v>
      </c>
      <c r="K736" t="n">
        <v>0</v>
      </c>
      <c r="L736" t="n">
        <v>0</v>
      </c>
      <c r="M736" t="n">
        <v>0</v>
      </c>
      <c r="N736" t="n">
        <v>0</v>
      </c>
      <c r="O736" t="n">
        <v>0</v>
      </c>
      <c r="P736" t="n">
        <v>0</v>
      </c>
      <c r="Q736" t="n">
        <v>0</v>
      </c>
      <c r="R736" s="2" t="inlineStr"/>
    </row>
    <row r="737" ht="15" customHeight="1">
      <c r="A737" t="inlineStr">
        <is>
          <t>A 59813-2023</t>
        </is>
      </c>
      <c r="B737" s="1" t="n">
        <v>45257</v>
      </c>
      <c r="C737" s="1" t="n">
        <v>45725</v>
      </c>
      <c r="D737" t="inlineStr">
        <is>
          <t>JÄMTLANDS LÄN</t>
        </is>
      </c>
      <c r="E737" t="inlineStr">
        <is>
          <t>ÖSTERSUND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60029-2023</t>
        </is>
      </c>
      <c r="B738" s="1" t="n">
        <v>45258</v>
      </c>
      <c r="C738" s="1" t="n">
        <v>45725</v>
      </c>
      <c r="D738" t="inlineStr">
        <is>
          <t>JÄMTLANDS LÄN</t>
        </is>
      </c>
      <c r="E738" t="inlineStr">
        <is>
          <t>ÖSTERSUND</t>
        </is>
      </c>
      <c r="G738" t="n">
        <v>1.8</v>
      </c>
      <c r="H738" t="n">
        <v>0</v>
      </c>
      <c r="I738" t="n">
        <v>0</v>
      </c>
      <c r="J738" t="n">
        <v>0</v>
      </c>
      <c r="K738" t="n">
        <v>0</v>
      </c>
      <c r="L738" t="n">
        <v>0</v>
      </c>
      <c r="M738" t="n">
        <v>0</v>
      </c>
      <c r="N738" t="n">
        <v>0</v>
      </c>
      <c r="O738" t="n">
        <v>0</v>
      </c>
      <c r="P738" t="n">
        <v>0</v>
      </c>
      <c r="Q738" t="n">
        <v>0</v>
      </c>
      <c r="R738" s="2" t="inlineStr"/>
    </row>
    <row r="739" ht="15" customHeight="1">
      <c r="A739" t="inlineStr">
        <is>
          <t>A 60477-2023</t>
        </is>
      </c>
      <c r="B739" s="1" t="n">
        <v>45258</v>
      </c>
      <c r="C739" s="1" t="n">
        <v>45725</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60794-2023</t>
        </is>
      </c>
      <c r="B740" s="1" t="n">
        <v>45260</v>
      </c>
      <c r="C740" s="1" t="n">
        <v>45725</v>
      </c>
      <c r="D740" t="inlineStr">
        <is>
          <t>JÄMTLANDS LÄN</t>
        </is>
      </c>
      <c r="E740" t="inlineStr">
        <is>
          <t>ÖSTERSUND</t>
        </is>
      </c>
      <c r="G740" t="n">
        <v>3.6</v>
      </c>
      <c r="H740" t="n">
        <v>0</v>
      </c>
      <c r="I740" t="n">
        <v>0</v>
      </c>
      <c r="J740" t="n">
        <v>0</v>
      </c>
      <c r="K740" t="n">
        <v>0</v>
      </c>
      <c r="L740" t="n">
        <v>0</v>
      </c>
      <c r="M740" t="n">
        <v>0</v>
      </c>
      <c r="N740" t="n">
        <v>0</v>
      </c>
      <c r="O740" t="n">
        <v>0</v>
      </c>
      <c r="P740" t="n">
        <v>0</v>
      </c>
      <c r="Q740" t="n">
        <v>0</v>
      </c>
      <c r="R740" s="2" t="inlineStr"/>
    </row>
    <row r="741" ht="15" customHeight="1">
      <c r="A741" t="inlineStr">
        <is>
          <t>A 60780-2023</t>
        </is>
      </c>
      <c r="B741" s="1" t="n">
        <v>45260</v>
      </c>
      <c r="C741" s="1" t="n">
        <v>45725</v>
      </c>
      <c r="D741" t="inlineStr">
        <is>
          <t>JÄMTLANDS LÄN</t>
        </is>
      </c>
      <c r="E741" t="inlineStr">
        <is>
          <t>ÖSTERSUND</t>
        </is>
      </c>
      <c r="G741" t="n">
        <v>3.7</v>
      </c>
      <c r="H741" t="n">
        <v>0</v>
      </c>
      <c r="I741" t="n">
        <v>0</v>
      </c>
      <c r="J741" t="n">
        <v>0</v>
      </c>
      <c r="K741" t="n">
        <v>0</v>
      </c>
      <c r="L741" t="n">
        <v>0</v>
      </c>
      <c r="M741" t="n">
        <v>0</v>
      </c>
      <c r="N741" t="n">
        <v>0</v>
      </c>
      <c r="O741" t="n">
        <v>0</v>
      </c>
      <c r="P741" t="n">
        <v>0</v>
      </c>
      <c r="Q741" t="n">
        <v>0</v>
      </c>
      <c r="R741" s="2" t="inlineStr"/>
    </row>
    <row r="742" ht="15" customHeight="1">
      <c r="A742" t="inlineStr">
        <is>
          <t>A 61135-2023</t>
        </is>
      </c>
      <c r="B742" s="1" t="n">
        <v>45261</v>
      </c>
      <c r="C742" s="1" t="n">
        <v>45725</v>
      </c>
      <c r="D742" t="inlineStr">
        <is>
          <t>JÄMTLANDS LÄN</t>
        </is>
      </c>
      <c r="E742" t="inlineStr">
        <is>
          <t>ÖSTERSUND</t>
        </is>
      </c>
      <c r="G742" t="n">
        <v>7.3</v>
      </c>
      <c r="H742" t="n">
        <v>0</v>
      </c>
      <c r="I742" t="n">
        <v>0</v>
      </c>
      <c r="J742" t="n">
        <v>0</v>
      </c>
      <c r="K742" t="n">
        <v>0</v>
      </c>
      <c r="L742" t="n">
        <v>0</v>
      </c>
      <c r="M742" t="n">
        <v>0</v>
      </c>
      <c r="N742" t="n">
        <v>0</v>
      </c>
      <c r="O742" t="n">
        <v>0</v>
      </c>
      <c r="P742" t="n">
        <v>0</v>
      </c>
      <c r="Q742" t="n">
        <v>0</v>
      </c>
      <c r="R742" s="2" t="inlineStr"/>
    </row>
    <row r="743" ht="15" customHeight="1">
      <c r="A743" t="inlineStr">
        <is>
          <t>A 61535-2023</t>
        </is>
      </c>
      <c r="B743" s="1" t="n">
        <v>45261</v>
      </c>
      <c r="C743" s="1" t="n">
        <v>45725</v>
      </c>
      <c r="D743" t="inlineStr">
        <is>
          <t>JÄMTLANDS LÄN</t>
        </is>
      </c>
      <c r="E743" t="inlineStr">
        <is>
          <t>ÖSTERSUND</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61530-2023</t>
        </is>
      </c>
      <c r="B744" s="1" t="n">
        <v>45261</v>
      </c>
      <c r="C744" s="1" t="n">
        <v>45725</v>
      </c>
      <c r="D744" t="inlineStr">
        <is>
          <t>JÄMTLANDS LÄN</t>
        </is>
      </c>
      <c r="E744" t="inlineStr">
        <is>
          <t>ÖSTERSUND</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61635-2023</t>
        </is>
      </c>
      <c r="B745" s="1" t="n">
        <v>45261</v>
      </c>
      <c r="C745" s="1" t="n">
        <v>45725</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61506-2023</t>
        </is>
      </c>
      <c r="B746" s="1" t="n">
        <v>45264</v>
      </c>
      <c r="C746" s="1" t="n">
        <v>45725</v>
      </c>
      <c r="D746" t="inlineStr">
        <is>
          <t>JÄMTLANDS LÄN</t>
        </is>
      </c>
      <c r="E746" t="inlineStr">
        <is>
          <t>ÖSTERSUND</t>
        </is>
      </c>
      <c r="G746" t="n">
        <v>3</v>
      </c>
      <c r="H746" t="n">
        <v>0</v>
      </c>
      <c r="I746" t="n">
        <v>0</v>
      </c>
      <c r="J746" t="n">
        <v>0</v>
      </c>
      <c r="K746" t="n">
        <v>0</v>
      </c>
      <c r="L746" t="n">
        <v>0</v>
      </c>
      <c r="M746" t="n">
        <v>0</v>
      </c>
      <c r="N746" t="n">
        <v>0</v>
      </c>
      <c r="O746" t="n">
        <v>0</v>
      </c>
      <c r="P746" t="n">
        <v>0</v>
      </c>
      <c r="Q746" t="n">
        <v>0</v>
      </c>
      <c r="R746" s="2" t="inlineStr"/>
    </row>
    <row r="747" ht="15" customHeight="1">
      <c r="A747" t="inlineStr">
        <is>
          <t>A 61499-2023</t>
        </is>
      </c>
      <c r="B747" s="1" t="n">
        <v>45264</v>
      </c>
      <c r="C747" s="1" t="n">
        <v>45725</v>
      </c>
      <c r="D747" t="inlineStr">
        <is>
          <t>JÄMTLANDS LÄN</t>
        </is>
      </c>
      <c r="E747" t="inlineStr">
        <is>
          <t>ÖSTERSUND</t>
        </is>
      </c>
      <c r="F747" t="inlineStr">
        <is>
          <t>SCA</t>
        </is>
      </c>
      <c r="G747" t="n">
        <v>7</v>
      </c>
      <c r="H747" t="n">
        <v>0</v>
      </c>
      <c r="I747" t="n">
        <v>0</v>
      </c>
      <c r="J747" t="n">
        <v>0</v>
      </c>
      <c r="K747" t="n">
        <v>0</v>
      </c>
      <c r="L747" t="n">
        <v>0</v>
      </c>
      <c r="M747" t="n">
        <v>0</v>
      </c>
      <c r="N747" t="n">
        <v>0</v>
      </c>
      <c r="O747" t="n">
        <v>0</v>
      </c>
      <c r="P747" t="n">
        <v>0</v>
      </c>
      <c r="Q747" t="n">
        <v>0</v>
      </c>
      <c r="R747" s="2" t="inlineStr"/>
    </row>
    <row r="748" ht="15" customHeight="1">
      <c r="A748" t="inlineStr">
        <is>
          <t>A 62052-2023</t>
        </is>
      </c>
      <c r="B748" s="1" t="n">
        <v>45265</v>
      </c>
      <c r="C748" s="1" t="n">
        <v>45725</v>
      </c>
      <c r="D748" t="inlineStr">
        <is>
          <t>JÄMTLANDS LÄN</t>
        </is>
      </c>
      <c r="E748" t="inlineStr">
        <is>
          <t>ÖSTERSUND</t>
        </is>
      </c>
      <c r="G748" t="n">
        <v>3.3</v>
      </c>
      <c r="H748" t="n">
        <v>0</v>
      </c>
      <c r="I748" t="n">
        <v>0</v>
      </c>
      <c r="J748" t="n">
        <v>0</v>
      </c>
      <c r="K748" t="n">
        <v>0</v>
      </c>
      <c r="L748" t="n">
        <v>0</v>
      </c>
      <c r="M748" t="n">
        <v>0</v>
      </c>
      <c r="N748" t="n">
        <v>0</v>
      </c>
      <c r="O748" t="n">
        <v>0</v>
      </c>
      <c r="P748" t="n">
        <v>0</v>
      </c>
      <c r="Q748" t="n">
        <v>0</v>
      </c>
      <c r="R748" s="2" t="inlineStr"/>
    </row>
    <row r="749" ht="15" customHeight="1">
      <c r="A749" t="inlineStr">
        <is>
          <t>A 61791-2023</t>
        </is>
      </c>
      <c r="B749" s="1" t="n">
        <v>45265</v>
      </c>
      <c r="C749" s="1" t="n">
        <v>45725</v>
      </c>
      <c r="D749" t="inlineStr">
        <is>
          <t>JÄMTLANDS LÄN</t>
        </is>
      </c>
      <c r="E749" t="inlineStr">
        <is>
          <t>ÖSTERSUND</t>
        </is>
      </c>
      <c r="F749" t="inlineStr">
        <is>
          <t>SCA</t>
        </is>
      </c>
      <c r="G749" t="n">
        <v>11.4</v>
      </c>
      <c r="H749" t="n">
        <v>0</v>
      </c>
      <c r="I749" t="n">
        <v>0</v>
      </c>
      <c r="J749" t="n">
        <v>0</v>
      </c>
      <c r="K749" t="n">
        <v>0</v>
      </c>
      <c r="L749" t="n">
        <v>0</v>
      </c>
      <c r="M749" t="n">
        <v>0</v>
      </c>
      <c r="N749" t="n">
        <v>0</v>
      </c>
      <c r="O749" t="n">
        <v>0</v>
      </c>
      <c r="P749" t="n">
        <v>0</v>
      </c>
      <c r="Q749" t="n">
        <v>0</v>
      </c>
      <c r="R749" s="2" t="inlineStr"/>
    </row>
    <row r="750" ht="15" customHeight="1">
      <c r="A750" t="inlineStr">
        <is>
          <t>A 62835-2023</t>
        </is>
      </c>
      <c r="B750" s="1" t="n">
        <v>45271</v>
      </c>
      <c r="C750" s="1" t="n">
        <v>45725</v>
      </c>
      <c r="D750" t="inlineStr">
        <is>
          <t>JÄMTLANDS LÄN</t>
        </is>
      </c>
      <c r="E750" t="inlineStr">
        <is>
          <t>ÖSTERSUND</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62834-2023</t>
        </is>
      </c>
      <c r="B751" s="1" t="n">
        <v>45271</v>
      </c>
      <c r="C751" s="1" t="n">
        <v>45725</v>
      </c>
      <c r="D751" t="inlineStr">
        <is>
          <t>JÄMTLANDS LÄN</t>
        </is>
      </c>
      <c r="E751" t="inlineStr">
        <is>
          <t>ÖSTERSUND</t>
        </is>
      </c>
      <c r="F751" t="inlineStr">
        <is>
          <t>SCA</t>
        </is>
      </c>
      <c r="G751" t="n">
        <v>12.2</v>
      </c>
      <c r="H751" t="n">
        <v>0</v>
      </c>
      <c r="I751" t="n">
        <v>0</v>
      </c>
      <c r="J751" t="n">
        <v>0</v>
      </c>
      <c r="K751" t="n">
        <v>0</v>
      </c>
      <c r="L751" t="n">
        <v>0</v>
      </c>
      <c r="M751" t="n">
        <v>0</v>
      </c>
      <c r="N751" t="n">
        <v>0</v>
      </c>
      <c r="O751" t="n">
        <v>0</v>
      </c>
      <c r="P751" t="n">
        <v>0</v>
      </c>
      <c r="Q751" t="n">
        <v>0</v>
      </c>
      <c r="R751" s="2" t="inlineStr"/>
    </row>
    <row r="752" ht="15" customHeight="1">
      <c r="A752" t="inlineStr">
        <is>
          <t>A 63086-2023</t>
        </is>
      </c>
      <c r="B752" s="1" t="n">
        <v>45272</v>
      </c>
      <c r="C752" s="1" t="n">
        <v>45725</v>
      </c>
      <c r="D752" t="inlineStr">
        <is>
          <t>JÄMTLANDS LÄN</t>
        </is>
      </c>
      <c r="E752" t="inlineStr">
        <is>
          <t>ÖSTERSUND</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63101-2023</t>
        </is>
      </c>
      <c r="B753" s="1" t="n">
        <v>45273</v>
      </c>
      <c r="C753" s="1" t="n">
        <v>45725</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63099-2023</t>
        </is>
      </c>
      <c r="B754" s="1" t="n">
        <v>45273</v>
      </c>
      <c r="C754" s="1" t="n">
        <v>45725</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63320-2023</t>
        </is>
      </c>
      <c r="B755" s="1" t="n">
        <v>45273</v>
      </c>
      <c r="C755" s="1" t="n">
        <v>45725</v>
      </c>
      <c r="D755" t="inlineStr">
        <is>
          <t>JÄMTLANDS LÄN</t>
        </is>
      </c>
      <c r="E755" t="inlineStr">
        <is>
          <t>ÖSTERSUND</t>
        </is>
      </c>
      <c r="G755" t="n">
        <v>11.3</v>
      </c>
      <c r="H755" t="n">
        <v>0</v>
      </c>
      <c r="I755" t="n">
        <v>0</v>
      </c>
      <c r="J755" t="n">
        <v>0</v>
      </c>
      <c r="K755" t="n">
        <v>0</v>
      </c>
      <c r="L755" t="n">
        <v>0</v>
      </c>
      <c r="M755" t="n">
        <v>0</v>
      </c>
      <c r="N755" t="n">
        <v>0</v>
      </c>
      <c r="O755" t="n">
        <v>0</v>
      </c>
      <c r="P755" t="n">
        <v>0</v>
      </c>
      <c r="Q755" t="n">
        <v>0</v>
      </c>
      <c r="R755" s="2" t="inlineStr"/>
    </row>
    <row r="756" ht="15" customHeight="1">
      <c r="A756" t="inlineStr">
        <is>
          <t>A 63739-2023</t>
        </is>
      </c>
      <c r="B756" s="1" t="n">
        <v>45277</v>
      </c>
      <c r="C756" s="1" t="n">
        <v>45725</v>
      </c>
      <c r="D756" t="inlineStr">
        <is>
          <t>JÄMTLANDS LÄN</t>
        </is>
      </c>
      <c r="E756" t="inlineStr">
        <is>
          <t>ÖSTERSUND</t>
        </is>
      </c>
      <c r="G756" t="n">
        <v>5.1</v>
      </c>
      <c r="H756" t="n">
        <v>0</v>
      </c>
      <c r="I756" t="n">
        <v>0</v>
      </c>
      <c r="J756" t="n">
        <v>0</v>
      </c>
      <c r="K756" t="n">
        <v>0</v>
      </c>
      <c r="L756" t="n">
        <v>0</v>
      </c>
      <c r="M756" t="n">
        <v>0</v>
      </c>
      <c r="N756" t="n">
        <v>0</v>
      </c>
      <c r="O756" t="n">
        <v>0</v>
      </c>
      <c r="P756" t="n">
        <v>0</v>
      </c>
      <c r="Q756" t="n">
        <v>0</v>
      </c>
      <c r="R756" s="2" t="inlineStr"/>
    </row>
    <row r="757" ht="15" customHeight="1">
      <c r="A757" t="inlineStr">
        <is>
          <t>A 63740-2023</t>
        </is>
      </c>
      <c r="B757" s="1" t="n">
        <v>45277</v>
      </c>
      <c r="C757" s="1" t="n">
        <v>45725</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64233-2023</t>
        </is>
      </c>
      <c r="B758" s="1" t="n">
        <v>45279</v>
      </c>
      <c r="C758" s="1" t="n">
        <v>45725</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64267-2023</t>
        </is>
      </c>
      <c r="B759" s="1" t="n">
        <v>45279</v>
      </c>
      <c r="C759" s="1" t="n">
        <v>45725</v>
      </c>
      <c r="D759" t="inlineStr">
        <is>
          <t>JÄMTLANDS LÄN</t>
        </is>
      </c>
      <c r="E759" t="inlineStr">
        <is>
          <t>ÖSTERSUND</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64314-2023</t>
        </is>
      </c>
      <c r="B760" s="1" t="n">
        <v>45280</v>
      </c>
      <c r="C760" s="1" t="n">
        <v>45725</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64309-2023</t>
        </is>
      </c>
      <c r="B761" s="1" t="n">
        <v>45280</v>
      </c>
      <c r="C761" s="1" t="n">
        <v>45725</v>
      </c>
      <c r="D761" t="inlineStr">
        <is>
          <t>JÄMTLANDS LÄN</t>
        </is>
      </c>
      <c r="E761" t="inlineStr">
        <is>
          <t>ÖSTERSUND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64811-2023</t>
        </is>
      </c>
      <c r="B762" s="1" t="n">
        <v>45281</v>
      </c>
      <c r="C762" s="1" t="n">
        <v>45725</v>
      </c>
      <c r="D762" t="inlineStr">
        <is>
          <t>JÄMTLANDS LÄN</t>
        </is>
      </c>
      <c r="E762" t="inlineStr">
        <is>
          <t>ÖSTERSUND</t>
        </is>
      </c>
      <c r="G762" t="n">
        <v>7.6</v>
      </c>
      <c r="H762" t="n">
        <v>0</v>
      </c>
      <c r="I762" t="n">
        <v>0</v>
      </c>
      <c r="J762" t="n">
        <v>0</v>
      </c>
      <c r="K762" t="n">
        <v>0</v>
      </c>
      <c r="L762" t="n">
        <v>0</v>
      </c>
      <c r="M762" t="n">
        <v>0</v>
      </c>
      <c r="N762" t="n">
        <v>0</v>
      </c>
      <c r="O762" t="n">
        <v>0</v>
      </c>
      <c r="P762" t="n">
        <v>0</v>
      </c>
      <c r="Q762" t="n">
        <v>0</v>
      </c>
      <c r="R762" s="2" t="inlineStr"/>
    </row>
    <row r="763" ht="15" customHeight="1">
      <c r="A763" t="inlineStr">
        <is>
          <t>A 64954-2023</t>
        </is>
      </c>
      <c r="B763" s="1" t="n">
        <v>45282</v>
      </c>
      <c r="C763" s="1" t="n">
        <v>45725</v>
      </c>
      <c r="D763" t="inlineStr">
        <is>
          <t>JÄMTLANDS LÄN</t>
        </is>
      </c>
      <c r="E763" t="inlineStr">
        <is>
          <t>ÖSTERSUND</t>
        </is>
      </c>
      <c r="G763" t="n">
        <v>0.9</v>
      </c>
      <c r="H763" t="n">
        <v>0</v>
      </c>
      <c r="I763" t="n">
        <v>0</v>
      </c>
      <c r="J763" t="n">
        <v>0</v>
      </c>
      <c r="K763" t="n">
        <v>0</v>
      </c>
      <c r="L763" t="n">
        <v>0</v>
      </c>
      <c r="M763" t="n">
        <v>0</v>
      </c>
      <c r="N763" t="n">
        <v>0</v>
      </c>
      <c r="O763" t="n">
        <v>0</v>
      </c>
      <c r="P763" t="n">
        <v>0</v>
      </c>
      <c r="Q763" t="n">
        <v>0</v>
      </c>
      <c r="R763" s="2" t="inlineStr"/>
    </row>
    <row r="764" ht="15" customHeight="1">
      <c r="A764" t="inlineStr">
        <is>
          <t>A 64953-2023</t>
        </is>
      </c>
      <c r="B764" s="1" t="n">
        <v>45282</v>
      </c>
      <c r="C764" s="1" t="n">
        <v>45725</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440-2024</t>
        </is>
      </c>
      <c r="B765" s="1" t="n">
        <v>45296</v>
      </c>
      <c r="C765" s="1" t="n">
        <v>45725</v>
      </c>
      <c r="D765" t="inlineStr">
        <is>
          <t>JÄMTLANDS LÄN</t>
        </is>
      </c>
      <c r="E765" t="inlineStr">
        <is>
          <t>ÖSTERSUND</t>
        </is>
      </c>
      <c r="F765" t="inlineStr">
        <is>
          <t>Kommuner</t>
        </is>
      </c>
      <c r="G765" t="n">
        <v>10.1</v>
      </c>
      <c r="H765" t="n">
        <v>0</v>
      </c>
      <c r="I765" t="n">
        <v>0</v>
      </c>
      <c r="J765" t="n">
        <v>0</v>
      </c>
      <c r="K765" t="n">
        <v>0</v>
      </c>
      <c r="L765" t="n">
        <v>0</v>
      </c>
      <c r="M765" t="n">
        <v>0</v>
      </c>
      <c r="N765" t="n">
        <v>0</v>
      </c>
      <c r="O765" t="n">
        <v>0</v>
      </c>
      <c r="P765" t="n">
        <v>0</v>
      </c>
      <c r="Q765" t="n">
        <v>0</v>
      </c>
      <c r="R765" s="2" t="inlineStr"/>
    </row>
    <row r="766" ht="15" customHeight="1">
      <c r="A766" t="inlineStr">
        <is>
          <t>A 484-2024</t>
        </is>
      </c>
      <c r="B766" s="1" t="n">
        <v>45298</v>
      </c>
      <c r="C766" s="1" t="n">
        <v>45725</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485-2024</t>
        </is>
      </c>
      <c r="B767" s="1" t="n">
        <v>45298</v>
      </c>
      <c r="C767" s="1" t="n">
        <v>45725</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846-2024</t>
        </is>
      </c>
      <c r="B768" s="1" t="n">
        <v>45300</v>
      </c>
      <c r="C768" s="1" t="n">
        <v>45725</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748-2024</t>
        </is>
      </c>
      <c r="B769" s="1" t="n">
        <v>45300</v>
      </c>
      <c r="C769" s="1" t="n">
        <v>45725</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1159-2024</t>
        </is>
      </c>
      <c r="B770" s="1" t="n">
        <v>45302</v>
      </c>
      <c r="C770" s="1" t="n">
        <v>45725</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1669-2024</t>
        </is>
      </c>
      <c r="B771" s="1" t="n">
        <v>45306</v>
      </c>
      <c r="C771" s="1" t="n">
        <v>45725</v>
      </c>
      <c r="D771" t="inlineStr">
        <is>
          <t>JÄMTLANDS LÄN</t>
        </is>
      </c>
      <c r="E771" t="inlineStr">
        <is>
          <t>ÖSTERSUND</t>
        </is>
      </c>
      <c r="G771" t="n">
        <v>1.6</v>
      </c>
      <c r="H771" t="n">
        <v>0</v>
      </c>
      <c r="I771" t="n">
        <v>0</v>
      </c>
      <c r="J771" t="n">
        <v>0</v>
      </c>
      <c r="K771" t="n">
        <v>0</v>
      </c>
      <c r="L771" t="n">
        <v>0</v>
      </c>
      <c r="M771" t="n">
        <v>0</v>
      </c>
      <c r="N771" t="n">
        <v>0</v>
      </c>
      <c r="O771" t="n">
        <v>0</v>
      </c>
      <c r="P771" t="n">
        <v>0</v>
      </c>
      <c r="Q771" t="n">
        <v>0</v>
      </c>
      <c r="R771" s="2" t="inlineStr"/>
    </row>
    <row r="772" ht="15" customHeight="1">
      <c r="A772" t="inlineStr">
        <is>
          <t>A 1670-2024</t>
        </is>
      </c>
      <c r="B772" s="1" t="n">
        <v>45306</v>
      </c>
      <c r="C772" s="1" t="n">
        <v>45725</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1873-2024</t>
        </is>
      </c>
      <c r="B773" s="1" t="n">
        <v>45307</v>
      </c>
      <c r="C773" s="1" t="n">
        <v>45725</v>
      </c>
      <c r="D773" t="inlineStr">
        <is>
          <t>JÄMTLANDS LÄN</t>
        </is>
      </c>
      <c r="E773" t="inlineStr">
        <is>
          <t>ÖSTERSUND</t>
        </is>
      </c>
      <c r="G773" t="n">
        <v>4.3</v>
      </c>
      <c r="H773" t="n">
        <v>0</v>
      </c>
      <c r="I773" t="n">
        <v>0</v>
      </c>
      <c r="J773" t="n">
        <v>0</v>
      </c>
      <c r="K773" t="n">
        <v>0</v>
      </c>
      <c r="L773" t="n">
        <v>0</v>
      </c>
      <c r="M773" t="n">
        <v>0</v>
      </c>
      <c r="N773" t="n">
        <v>0</v>
      </c>
      <c r="O773" t="n">
        <v>0</v>
      </c>
      <c r="P773" t="n">
        <v>0</v>
      </c>
      <c r="Q773" t="n">
        <v>0</v>
      </c>
      <c r="R773" s="2" t="inlineStr"/>
    </row>
    <row r="774" ht="15" customHeight="1">
      <c r="A774" t="inlineStr">
        <is>
          <t>A 2228-2024</t>
        </is>
      </c>
      <c r="B774" s="1" t="n">
        <v>45309</v>
      </c>
      <c r="C774" s="1" t="n">
        <v>45725</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2615-2024</t>
        </is>
      </c>
      <c r="B775" s="1" t="n">
        <v>45313</v>
      </c>
      <c r="C775" s="1" t="n">
        <v>45725</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2627-2024</t>
        </is>
      </c>
      <c r="B776" s="1" t="n">
        <v>45313</v>
      </c>
      <c r="C776" s="1" t="n">
        <v>45725</v>
      </c>
      <c r="D776" t="inlineStr">
        <is>
          <t>JÄMTLANDS LÄN</t>
        </is>
      </c>
      <c r="E776" t="inlineStr">
        <is>
          <t>ÖSTERSUND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2756-2024</t>
        </is>
      </c>
      <c r="B777" s="1" t="n">
        <v>45314</v>
      </c>
      <c r="C777" s="1" t="n">
        <v>45725</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2984-2024</t>
        </is>
      </c>
      <c r="B778" s="1" t="n">
        <v>45315</v>
      </c>
      <c r="C778" s="1" t="n">
        <v>45725</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2978-2024</t>
        </is>
      </c>
      <c r="B779" s="1" t="n">
        <v>45315</v>
      </c>
      <c r="C779" s="1" t="n">
        <v>45725</v>
      </c>
      <c r="D779" t="inlineStr">
        <is>
          <t>JÄMTLANDS LÄN</t>
        </is>
      </c>
      <c r="E779" t="inlineStr">
        <is>
          <t>ÖSTERSUND</t>
        </is>
      </c>
      <c r="G779" t="n">
        <v>1.7</v>
      </c>
      <c r="H779" t="n">
        <v>0</v>
      </c>
      <c r="I779" t="n">
        <v>0</v>
      </c>
      <c r="J779" t="n">
        <v>0</v>
      </c>
      <c r="K779" t="n">
        <v>0</v>
      </c>
      <c r="L779" t="n">
        <v>0</v>
      </c>
      <c r="M779" t="n">
        <v>0</v>
      </c>
      <c r="N779" t="n">
        <v>0</v>
      </c>
      <c r="O779" t="n">
        <v>0</v>
      </c>
      <c r="P779" t="n">
        <v>0</v>
      </c>
      <c r="Q779" t="n">
        <v>0</v>
      </c>
      <c r="R779" s="2" t="inlineStr"/>
    </row>
    <row r="780" ht="15" customHeight="1">
      <c r="A780" t="inlineStr">
        <is>
          <t>A 3186-2024</t>
        </is>
      </c>
      <c r="B780" s="1" t="n">
        <v>45316</v>
      </c>
      <c r="C780" s="1" t="n">
        <v>45725</v>
      </c>
      <c r="D780" t="inlineStr">
        <is>
          <t>JÄMTLANDS LÄN</t>
        </is>
      </c>
      <c r="E780" t="inlineStr">
        <is>
          <t>ÖSTERSUND</t>
        </is>
      </c>
      <c r="G780" t="n">
        <v>5.1</v>
      </c>
      <c r="H780" t="n">
        <v>0</v>
      </c>
      <c r="I780" t="n">
        <v>0</v>
      </c>
      <c r="J780" t="n">
        <v>0</v>
      </c>
      <c r="K780" t="n">
        <v>0</v>
      </c>
      <c r="L780" t="n">
        <v>0</v>
      </c>
      <c r="M780" t="n">
        <v>0</v>
      </c>
      <c r="N780" t="n">
        <v>0</v>
      </c>
      <c r="O780" t="n">
        <v>0</v>
      </c>
      <c r="P780" t="n">
        <v>0</v>
      </c>
      <c r="Q780" t="n">
        <v>0</v>
      </c>
      <c r="R780" s="2" t="inlineStr"/>
    </row>
    <row r="781" ht="15" customHeight="1">
      <c r="A781" t="inlineStr">
        <is>
          <t>A 3230-2024</t>
        </is>
      </c>
      <c r="B781" s="1" t="n">
        <v>45316</v>
      </c>
      <c r="C781" s="1" t="n">
        <v>45725</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3270-2024</t>
        </is>
      </c>
      <c r="B782" s="1" t="n">
        <v>45316</v>
      </c>
      <c r="C782" s="1" t="n">
        <v>45725</v>
      </c>
      <c r="D782" t="inlineStr">
        <is>
          <t>JÄMTLANDS LÄN</t>
        </is>
      </c>
      <c r="E782" t="inlineStr">
        <is>
          <t>ÖSTERSUND</t>
        </is>
      </c>
      <c r="G782" t="n">
        <v>7.5</v>
      </c>
      <c r="H782" t="n">
        <v>0</v>
      </c>
      <c r="I782" t="n">
        <v>0</v>
      </c>
      <c r="J782" t="n">
        <v>0</v>
      </c>
      <c r="K782" t="n">
        <v>0</v>
      </c>
      <c r="L782" t="n">
        <v>0</v>
      </c>
      <c r="M782" t="n">
        <v>0</v>
      </c>
      <c r="N782" t="n">
        <v>0</v>
      </c>
      <c r="O782" t="n">
        <v>0</v>
      </c>
      <c r="P782" t="n">
        <v>0</v>
      </c>
      <c r="Q782" t="n">
        <v>0</v>
      </c>
      <c r="R782" s="2" t="inlineStr"/>
    </row>
    <row r="783" ht="15" customHeight="1">
      <c r="A783" t="inlineStr">
        <is>
          <t>A 3610-2024</t>
        </is>
      </c>
      <c r="B783" s="1" t="n">
        <v>45320</v>
      </c>
      <c r="C783" s="1" t="n">
        <v>45725</v>
      </c>
      <c r="D783" t="inlineStr">
        <is>
          <t>JÄMTLANDS LÄN</t>
        </is>
      </c>
      <c r="E783" t="inlineStr">
        <is>
          <t>ÖSTERSUND</t>
        </is>
      </c>
      <c r="G783" t="n">
        <v>6.2</v>
      </c>
      <c r="H783" t="n">
        <v>0</v>
      </c>
      <c r="I783" t="n">
        <v>0</v>
      </c>
      <c r="J783" t="n">
        <v>0</v>
      </c>
      <c r="K783" t="n">
        <v>0</v>
      </c>
      <c r="L783" t="n">
        <v>0</v>
      </c>
      <c r="M783" t="n">
        <v>0</v>
      </c>
      <c r="N783" t="n">
        <v>0</v>
      </c>
      <c r="O783" t="n">
        <v>0</v>
      </c>
      <c r="P783" t="n">
        <v>0</v>
      </c>
      <c r="Q783" t="n">
        <v>0</v>
      </c>
      <c r="R783" s="2" t="inlineStr"/>
    </row>
    <row r="784" ht="15" customHeight="1">
      <c r="A784" t="inlineStr">
        <is>
          <t>A 3844-2024</t>
        </is>
      </c>
      <c r="B784" s="1" t="n">
        <v>45321</v>
      </c>
      <c r="C784" s="1" t="n">
        <v>45725</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4176-2024</t>
        </is>
      </c>
      <c r="B785" s="1" t="n">
        <v>45323</v>
      </c>
      <c r="C785" s="1" t="n">
        <v>45725</v>
      </c>
      <c r="D785" t="inlineStr">
        <is>
          <t>JÄMTLANDS LÄN</t>
        </is>
      </c>
      <c r="E785" t="inlineStr">
        <is>
          <t>ÖSTERSUND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4350-2024</t>
        </is>
      </c>
      <c r="B786" s="1" t="n">
        <v>45324</v>
      </c>
      <c r="C786" s="1" t="n">
        <v>45725</v>
      </c>
      <c r="D786" t="inlineStr">
        <is>
          <t>JÄMTLANDS LÄN</t>
        </is>
      </c>
      <c r="E786" t="inlineStr">
        <is>
          <t>ÖSTERSUND</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4707-2024</t>
        </is>
      </c>
      <c r="B787" s="1" t="n">
        <v>45328</v>
      </c>
      <c r="C787" s="1" t="n">
        <v>45725</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5455-2024</t>
        </is>
      </c>
      <c r="B788" s="1" t="n">
        <v>45331</v>
      </c>
      <c r="C788" s="1" t="n">
        <v>45725</v>
      </c>
      <c r="D788" t="inlineStr">
        <is>
          <t>JÄMTLANDS LÄN</t>
        </is>
      </c>
      <c r="E788" t="inlineStr">
        <is>
          <t>ÖSTERSUND</t>
        </is>
      </c>
      <c r="G788" t="n">
        <v>4.8</v>
      </c>
      <c r="H788" t="n">
        <v>0</v>
      </c>
      <c r="I788" t="n">
        <v>0</v>
      </c>
      <c r="J788" t="n">
        <v>0</v>
      </c>
      <c r="K788" t="n">
        <v>0</v>
      </c>
      <c r="L788" t="n">
        <v>0</v>
      </c>
      <c r="M788" t="n">
        <v>0</v>
      </c>
      <c r="N788" t="n">
        <v>0</v>
      </c>
      <c r="O788" t="n">
        <v>0</v>
      </c>
      <c r="P788" t="n">
        <v>0</v>
      </c>
      <c r="Q788" t="n">
        <v>0</v>
      </c>
      <c r="R788" s="2" t="inlineStr"/>
    </row>
    <row r="789" ht="15" customHeight="1">
      <c r="A789" t="inlineStr">
        <is>
          <t>A 5920-2024</t>
        </is>
      </c>
      <c r="B789" s="1" t="n">
        <v>45335</v>
      </c>
      <c r="C789" s="1" t="n">
        <v>45725</v>
      </c>
      <c r="D789" t="inlineStr">
        <is>
          <t>JÄMTLANDS LÄN</t>
        </is>
      </c>
      <c r="E789" t="inlineStr">
        <is>
          <t>ÖSTERSUND</t>
        </is>
      </c>
      <c r="F789" t="inlineStr">
        <is>
          <t>SCA</t>
        </is>
      </c>
      <c r="G789" t="n">
        <v>17.8</v>
      </c>
      <c r="H789" t="n">
        <v>0</v>
      </c>
      <c r="I789" t="n">
        <v>0</v>
      </c>
      <c r="J789" t="n">
        <v>0</v>
      </c>
      <c r="K789" t="n">
        <v>0</v>
      </c>
      <c r="L789" t="n">
        <v>0</v>
      </c>
      <c r="M789" t="n">
        <v>0</v>
      </c>
      <c r="N789" t="n">
        <v>0</v>
      </c>
      <c r="O789" t="n">
        <v>0</v>
      </c>
      <c r="P789" t="n">
        <v>0</v>
      </c>
      <c r="Q789" t="n">
        <v>0</v>
      </c>
      <c r="R789" s="2" t="inlineStr"/>
    </row>
    <row r="790" ht="15" customHeight="1">
      <c r="A790" t="inlineStr">
        <is>
          <t>A 6048-2024</t>
        </is>
      </c>
      <c r="B790" s="1" t="n">
        <v>45336</v>
      </c>
      <c r="C790" s="1" t="n">
        <v>45725</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6056-2024</t>
        </is>
      </c>
      <c r="B791" s="1" t="n">
        <v>45336</v>
      </c>
      <c r="C791" s="1" t="n">
        <v>45725</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row r="792" ht="15" customHeight="1">
      <c r="A792" t="inlineStr">
        <is>
          <t>A 6053-2024</t>
        </is>
      </c>
      <c r="B792" s="1" t="n">
        <v>45336</v>
      </c>
      <c r="C792" s="1" t="n">
        <v>45725</v>
      </c>
      <c r="D792" t="inlineStr">
        <is>
          <t>JÄMTLANDS LÄN</t>
        </is>
      </c>
      <c r="E792" t="inlineStr">
        <is>
          <t>ÖSTERSUND</t>
        </is>
      </c>
      <c r="G792" t="n">
        <v>1.4</v>
      </c>
      <c r="H792" t="n">
        <v>0</v>
      </c>
      <c r="I792" t="n">
        <v>0</v>
      </c>
      <c r="J792" t="n">
        <v>0</v>
      </c>
      <c r="K792" t="n">
        <v>0</v>
      </c>
      <c r="L792" t="n">
        <v>0</v>
      </c>
      <c r="M792" t="n">
        <v>0</v>
      </c>
      <c r="N792" t="n">
        <v>0</v>
      </c>
      <c r="O792" t="n">
        <v>0</v>
      </c>
      <c r="P792" t="n">
        <v>0</v>
      </c>
      <c r="Q792" t="n">
        <v>0</v>
      </c>
      <c r="R792" s="2" t="inlineStr"/>
    </row>
    <row r="793" ht="15" customHeight="1">
      <c r="A793" t="inlineStr">
        <is>
          <t>A 6351-2024</t>
        </is>
      </c>
      <c r="B793" s="1" t="n">
        <v>45338</v>
      </c>
      <c r="C793" s="1" t="n">
        <v>45725</v>
      </c>
      <c r="D793" t="inlineStr">
        <is>
          <t>JÄMTLANDS LÄN</t>
        </is>
      </c>
      <c r="E793" t="inlineStr">
        <is>
          <t>ÖSTERSUND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6353-2024</t>
        </is>
      </c>
      <c r="B794" s="1" t="n">
        <v>45338</v>
      </c>
      <c r="C794" s="1" t="n">
        <v>45725</v>
      </c>
      <c r="D794" t="inlineStr">
        <is>
          <t>JÄMTLANDS LÄN</t>
        </is>
      </c>
      <c r="E794" t="inlineStr">
        <is>
          <t>ÖSTERSUND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6376-2024</t>
        </is>
      </c>
      <c r="B795" s="1" t="n">
        <v>45338</v>
      </c>
      <c r="C795" s="1" t="n">
        <v>45725</v>
      </c>
      <c r="D795" t="inlineStr">
        <is>
          <t>JÄMTLANDS LÄN</t>
        </is>
      </c>
      <c r="E795" t="inlineStr">
        <is>
          <t>ÖSTERSUND</t>
        </is>
      </c>
      <c r="G795" t="n">
        <v>4.6</v>
      </c>
      <c r="H795" t="n">
        <v>0</v>
      </c>
      <c r="I795" t="n">
        <v>0</v>
      </c>
      <c r="J795" t="n">
        <v>0</v>
      </c>
      <c r="K795" t="n">
        <v>0</v>
      </c>
      <c r="L795" t="n">
        <v>0</v>
      </c>
      <c r="M795" t="n">
        <v>0</v>
      </c>
      <c r="N795" t="n">
        <v>0</v>
      </c>
      <c r="O795" t="n">
        <v>0</v>
      </c>
      <c r="P795" t="n">
        <v>0</v>
      </c>
      <c r="Q795" t="n">
        <v>0</v>
      </c>
      <c r="R795" s="2" t="inlineStr"/>
    </row>
    <row r="796" ht="15" customHeight="1">
      <c r="A796" t="inlineStr">
        <is>
          <t>A 6402-2024</t>
        </is>
      </c>
      <c r="B796" s="1" t="n">
        <v>45338</v>
      </c>
      <c r="C796" s="1" t="n">
        <v>45725</v>
      </c>
      <c r="D796" t="inlineStr">
        <is>
          <t>JÄMTLANDS LÄN</t>
        </is>
      </c>
      <c r="E796" t="inlineStr">
        <is>
          <t>ÖSTERSUND</t>
        </is>
      </c>
      <c r="G796" t="n">
        <v>4.4</v>
      </c>
      <c r="H796" t="n">
        <v>0</v>
      </c>
      <c r="I796" t="n">
        <v>0</v>
      </c>
      <c r="J796" t="n">
        <v>0</v>
      </c>
      <c r="K796" t="n">
        <v>0</v>
      </c>
      <c r="L796" t="n">
        <v>0</v>
      </c>
      <c r="M796" t="n">
        <v>0</v>
      </c>
      <c r="N796" t="n">
        <v>0</v>
      </c>
      <c r="O796" t="n">
        <v>0</v>
      </c>
      <c r="P796" t="n">
        <v>0</v>
      </c>
      <c r="Q796" t="n">
        <v>0</v>
      </c>
      <c r="R796" s="2" t="inlineStr"/>
    </row>
    <row r="797" ht="15" customHeight="1">
      <c r="A797" t="inlineStr">
        <is>
          <t>A 6481-2024</t>
        </is>
      </c>
      <c r="B797" s="1" t="n">
        <v>45338</v>
      </c>
      <c r="C797" s="1" t="n">
        <v>45725</v>
      </c>
      <c r="D797" t="inlineStr">
        <is>
          <t>JÄMTLANDS LÄN</t>
        </is>
      </c>
      <c r="E797" t="inlineStr">
        <is>
          <t>ÖSTERSUND</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6877-2024</t>
        </is>
      </c>
      <c r="B798" s="1" t="n">
        <v>45342</v>
      </c>
      <c r="C798" s="1" t="n">
        <v>45725</v>
      </c>
      <c r="D798" t="inlineStr">
        <is>
          <t>JÄMTLANDS LÄN</t>
        </is>
      </c>
      <c r="E798" t="inlineStr">
        <is>
          <t>ÖSTERSUND</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7233-2024</t>
        </is>
      </c>
      <c r="B799" s="1" t="n">
        <v>45344</v>
      </c>
      <c r="C799" s="1" t="n">
        <v>45725</v>
      </c>
      <c r="D799" t="inlineStr">
        <is>
          <t>JÄMTLANDS LÄN</t>
        </is>
      </c>
      <c r="E799" t="inlineStr">
        <is>
          <t>ÖSTERSUND</t>
        </is>
      </c>
      <c r="G799" t="n">
        <v>1.2</v>
      </c>
      <c r="H799" t="n">
        <v>0</v>
      </c>
      <c r="I799" t="n">
        <v>0</v>
      </c>
      <c r="J799" t="n">
        <v>0</v>
      </c>
      <c r="K799" t="n">
        <v>0</v>
      </c>
      <c r="L799" t="n">
        <v>0</v>
      </c>
      <c r="M799" t="n">
        <v>0</v>
      </c>
      <c r="N799" t="n">
        <v>0</v>
      </c>
      <c r="O799" t="n">
        <v>0</v>
      </c>
      <c r="P799" t="n">
        <v>0</v>
      </c>
      <c r="Q799" t="n">
        <v>0</v>
      </c>
      <c r="R799" s="2" t="inlineStr"/>
    </row>
    <row r="800" ht="15" customHeight="1">
      <c r="A800" t="inlineStr">
        <is>
          <t>A 7224-2024</t>
        </is>
      </c>
      <c r="B800" s="1" t="n">
        <v>45344</v>
      </c>
      <c r="C800" s="1" t="n">
        <v>45725</v>
      </c>
      <c r="D800" t="inlineStr">
        <is>
          <t>JÄMTLANDS LÄN</t>
        </is>
      </c>
      <c r="E800" t="inlineStr">
        <is>
          <t>ÖSTERSUND</t>
        </is>
      </c>
      <c r="G800" t="n">
        <v>2.9</v>
      </c>
      <c r="H800" t="n">
        <v>0</v>
      </c>
      <c r="I800" t="n">
        <v>0</v>
      </c>
      <c r="J800" t="n">
        <v>0</v>
      </c>
      <c r="K800" t="n">
        <v>0</v>
      </c>
      <c r="L800" t="n">
        <v>0</v>
      </c>
      <c r="M800" t="n">
        <v>0</v>
      </c>
      <c r="N800" t="n">
        <v>0</v>
      </c>
      <c r="O800" t="n">
        <v>0</v>
      </c>
      <c r="P800" t="n">
        <v>0</v>
      </c>
      <c r="Q800" t="n">
        <v>0</v>
      </c>
      <c r="R800" s="2" t="inlineStr"/>
    </row>
    <row r="801" ht="15" customHeight="1">
      <c r="A801" t="inlineStr">
        <is>
          <t>A 7228-2024</t>
        </is>
      </c>
      <c r="B801" s="1" t="n">
        <v>45344</v>
      </c>
      <c r="C801" s="1" t="n">
        <v>45725</v>
      </c>
      <c r="D801" t="inlineStr">
        <is>
          <t>JÄMTLANDS LÄN</t>
        </is>
      </c>
      <c r="E801" t="inlineStr">
        <is>
          <t>ÖSTERSUND</t>
        </is>
      </c>
      <c r="G801" t="n">
        <v>3</v>
      </c>
      <c r="H801" t="n">
        <v>0</v>
      </c>
      <c r="I801" t="n">
        <v>0</v>
      </c>
      <c r="J801" t="n">
        <v>0</v>
      </c>
      <c r="K801" t="n">
        <v>0</v>
      </c>
      <c r="L801" t="n">
        <v>0</v>
      </c>
      <c r="M801" t="n">
        <v>0</v>
      </c>
      <c r="N801" t="n">
        <v>0</v>
      </c>
      <c r="O801" t="n">
        <v>0</v>
      </c>
      <c r="P801" t="n">
        <v>0</v>
      </c>
      <c r="Q801" t="n">
        <v>0</v>
      </c>
      <c r="R801" s="2" t="inlineStr"/>
    </row>
    <row r="802" ht="15" customHeight="1">
      <c r="A802" t="inlineStr">
        <is>
          <t>A 7484-2024</t>
        </is>
      </c>
      <c r="B802" s="1" t="n">
        <v>45346</v>
      </c>
      <c r="C802" s="1" t="n">
        <v>45725</v>
      </c>
      <c r="D802" t="inlineStr">
        <is>
          <t>JÄMTLANDS LÄN</t>
        </is>
      </c>
      <c r="E802" t="inlineStr">
        <is>
          <t>ÖSTERSUND</t>
        </is>
      </c>
      <c r="G802" t="n">
        <v>5.4</v>
      </c>
      <c r="H802" t="n">
        <v>0</v>
      </c>
      <c r="I802" t="n">
        <v>0</v>
      </c>
      <c r="J802" t="n">
        <v>0</v>
      </c>
      <c r="K802" t="n">
        <v>0</v>
      </c>
      <c r="L802" t="n">
        <v>0</v>
      </c>
      <c r="M802" t="n">
        <v>0</v>
      </c>
      <c r="N802" t="n">
        <v>0</v>
      </c>
      <c r="O802" t="n">
        <v>0</v>
      </c>
      <c r="P802" t="n">
        <v>0</v>
      </c>
      <c r="Q802" t="n">
        <v>0</v>
      </c>
      <c r="R802" s="2" t="inlineStr"/>
    </row>
    <row r="803" ht="15" customHeight="1">
      <c r="A803" t="inlineStr">
        <is>
          <t>A 8166-2024</t>
        </is>
      </c>
      <c r="B803" s="1" t="n">
        <v>45349</v>
      </c>
      <c r="C803" s="1" t="n">
        <v>45725</v>
      </c>
      <c r="D803" t="inlineStr">
        <is>
          <t>JÄMTLANDS LÄN</t>
        </is>
      </c>
      <c r="E803" t="inlineStr">
        <is>
          <t>ÖSTERSUND</t>
        </is>
      </c>
      <c r="G803" t="n">
        <v>2.7</v>
      </c>
      <c r="H803" t="n">
        <v>0</v>
      </c>
      <c r="I803" t="n">
        <v>0</v>
      </c>
      <c r="J803" t="n">
        <v>0</v>
      </c>
      <c r="K803" t="n">
        <v>0</v>
      </c>
      <c r="L803" t="n">
        <v>0</v>
      </c>
      <c r="M803" t="n">
        <v>0</v>
      </c>
      <c r="N803" t="n">
        <v>0</v>
      </c>
      <c r="O803" t="n">
        <v>0</v>
      </c>
      <c r="P803" t="n">
        <v>0</v>
      </c>
      <c r="Q803" t="n">
        <v>0</v>
      </c>
      <c r="R803" s="2" t="inlineStr"/>
    </row>
    <row r="804" ht="15" customHeight="1">
      <c r="A804" t="inlineStr">
        <is>
          <t>A 9109-2024</t>
        </is>
      </c>
      <c r="B804" s="1" t="n">
        <v>45358</v>
      </c>
      <c r="C804" s="1" t="n">
        <v>45725</v>
      </c>
      <c r="D804" t="inlineStr">
        <is>
          <t>JÄMTLANDS LÄN</t>
        </is>
      </c>
      <c r="E804" t="inlineStr">
        <is>
          <t>ÖSTERSUND</t>
        </is>
      </c>
      <c r="G804" t="n">
        <v>17.1</v>
      </c>
      <c r="H804" t="n">
        <v>0</v>
      </c>
      <c r="I804" t="n">
        <v>0</v>
      </c>
      <c r="J804" t="n">
        <v>0</v>
      </c>
      <c r="K804" t="n">
        <v>0</v>
      </c>
      <c r="L804" t="n">
        <v>0</v>
      </c>
      <c r="M804" t="n">
        <v>0</v>
      </c>
      <c r="N804" t="n">
        <v>0</v>
      </c>
      <c r="O804" t="n">
        <v>0</v>
      </c>
      <c r="P804" t="n">
        <v>0</v>
      </c>
      <c r="Q804" t="n">
        <v>0</v>
      </c>
      <c r="R804" s="2" t="inlineStr"/>
    </row>
    <row r="805" ht="15" customHeight="1">
      <c r="A805" t="inlineStr">
        <is>
          <t>A 9151-2024</t>
        </is>
      </c>
      <c r="B805" s="1" t="n">
        <v>45358</v>
      </c>
      <c r="C805" s="1" t="n">
        <v>45725</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9859-2024</t>
        </is>
      </c>
      <c r="B806" s="1" t="n">
        <v>45363</v>
      </c>
      <c r="C806" s="1" t="n">
        <v>45725</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10064-2024</t>
        </is>
      </c>
      <c r="B807" s="1" t="n">
        <v>45364</v>
      </c>
      <c r="C807" s="1" t="n">
        <v>45725</v>
      </c>
      <c r="D807" t="inlineStr">
        <is>
          <t>JÄMTLANDS LÄN</t>
        </is>
      </c>
      <c r="E807" t="inlineStr">
        <is>
          <t>ÖSTERSUND</t>
        </is>
      </c>
      <c r="G807" t="n">
        <v>13.9</v>
      </c>
      <c r="H807" t="n">
        <v>0</v>
      </c>
      <c r="I807" t="n">
        <v>0</v>
      </c>
      <c r="J807" t="n">
        <v>0</v>
      </c>
      <c r="K807" t="n">
        <v>0</v>
      </c>
      <c r="L807" t="n">
        <v>0</v>
      </c>
      <c r="M807" t="n">
        <v>0</v>
      </c>
      <c r="N807" t="n">
        <v>0</v>
      </c>
      <c r="O807" t="n">
        <v>0</v>
      </c>
      <c r="P807" t="n">
        <v>0</v>
      </c>
      <c r="Q807" t="n">
        <v>0</v>
      </c>
      <c r="R807" s="2" t="inlineStr"/>
    </row>
    <row r="808" ht="15" customHeight="1">
      <c r="A808" t="inlineStr">
        <is>
          <t>A 10619-2024</t>
        </is>
      </c>
      <c r="B808" s="1" t="n">
        <v>45367</v>
      </c>
      <c r="C808" s="1" t="n">
        <v>45725</v>
      </c>
      <c r="D808" t="inlineStr">
        <is>
          <t>JÄMTLANDS LÄN</t>
        </is>
      </c>
      <c r="E808" t="inlineStr">
        <is>
          <t>ÖSTERSUND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11052-2024</t>
        </is>
      </c>
      <c r="B809" s="1" t="n">
        <v>45370</v>
      </c>
      <c r="C809" s="1" t="n">
        <v>45725</v>
      </c>
      <c r="D809" t="inlineStr">
        <is>
          <t>JÄMTLANDS LÄN</t>
        </is>
      </c>
      <c r="E809" t="inlineStr">
        <is>
          <t>ÖSTERSUND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11768-2024</t>
        </is>
      </c>
      <c r="B810" s="1" t="n">
        <v>45373</v>
      </c>
      <c r="C810" s="1" t="n">
        <v>45725</v>
      </c>
      <c r="D810" t="inlineStr">
        <is>
          <t>JÄMTLANDS LÄN</t>
        </is>
      </c>
      <c r="E810" t="inlineStr">
        <is>
          <t>ÖSTERSUND</t>
        </is>
      </c>
      <c r="F810" t="inlineStr">
        <is>
          <t>SCA</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11877-2024</t>
        </is>
      </c>
      <c r="B811" s="1" t="n">
        <v>45376</v>
      </c>
      <c r="C811" s="1" t="n">
        <v>45725</v>
      </c>
      <c r="D811" t="inlineStr">
        <is>
          <t>JÄMTLANDS LÄN</t>
        </is>
      </c>
      <c r="E811" t="inlineStr">
        <is>
          <t>ÖSTERSUND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11931-2024</t>
        </is>
      </c>
      <c r="B812" s="1" t="n">
        <v>45376</v>
      </c>
      <c r="C812" s="1" t="n">
        <v>45725</v>
      </c>
      <c r="D812" t="inlineStr">
        <is>
          <t>JÄMTLANDS LÄN</t>
        </is>
      </c>
      <c r="E812" t="inlineStr">
        <is>
          <t>ÖSTERSUND</t>
        </is>
      </c>
      <c r="G812" t="n">
        <v>1.6</v>
      </c>
      <c r="H812" t="n">
        <v>0</v>
      </c>
      <c r="I812" t="n">
        <v>0</v>
      </c>
      <c r="J812" t="n">
        <v>0</v>
      </c>
      <c r="K812" t="n">
        <v>0</v>
      </c>
      <c r="L812" t="n">
        <v>0</v>
      </c>
      <c r="M812" t="n">
        <v>0</v>
      </c>
      <c r="N812" t="n">
        <v>0</v>
      </c>
      <c r="O812" t="n">
        <v>0</v>
      </c>
      <c r="P812" t="n">
        <v>0</v>
      </c>
      <c r="Q812" t="n">
        <v>0</v>
      </c>
      <c r="R812" s="2" t="inlineStr"/>
    </row>
    <row r="813" ht="15" customHeight="1">
      <c r="A813" t="inlineStr">
        <is>
          <t>A 14142-2024</t>
        </is>
      </c>
      <c r="B813" s="1" t="n">
        <v>45392</v>
      </c>
      <c r="C813" s="1" t="n">
        <v>45725</v>
      </c>
      <c r="D813" t="inlineStr">
        <is>
          <t>JÄMTLANDS LÄN</t>
        </is>
      </c>
      <c r="E813" t="inlineStr">
        <is>
          <t>ÖSTERSUND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16068-2024</t>
        </is>
      </c>
      <c r="B814" s="1" t="n">
        <v>45406</v>
      </c>
      <c r="C814" s="1" t="n">
        <v>45725</v>
      </c>
      <c r="D814" t="inlineStr">
        <is>
          <t>JÄMTLANDS LÄN</t>
        </is>
      </c>
      <c r="E814" t="inlineStr">
        <is>
          <t>ÖSTERSUND</t>
        </is>
      </c>
      <c r="F814" t="inlineStr">
        <is>
          <t>SCA</t>
        </is>
      </c>
      <c r="G814" t="n">
        <v>35.6</v>
      </c>
      <c r="H814" t="n">
        <v>0</v>
      </c>
      <c r="I814" t="n">
        <v>0</v>
      </c>
      <c r="J814" t="n">
        <v>0</v>
      </c>
      <c r="K814" t="n">
        <v>0</v>
      </c>
      <c r="L814" t="n">
        <v>0</v>
      </c>
      <c r="M814" t="n">
        <v>0</v>
      </c>
      <c r="N814" t="n">
        <v>0</v>
      </c>
      <c r="O814" t="n">
        <v>0</v>
      </c>
      <c r="P814" t="n">
        <v>0</v>
      </c>
      <c r="Q814" t="n">
        <v>0</v>
      </c>
      <c r="R814" s="2" t="inlineStr"/>
    </row>
    <row r="815" ht="15" customHeight="1">
      <c r="A815" t="inlineStr">
        <is>
          <t>A 16065-2024</t>
        </is>
      </c>
      <c r="B815" s="1" t="n">
        <v>45406</v>
      </c>
      <c r="C815" s="1" t="n">
        <v>45725</v>
      </c>
      <c r="D815" t="inlineStr">
        <is>
          <t>JÄMTLANDS LÄN</t>
        </is>
      </c>
      <c r="E815" t="inlineStr">
        <is>
          <t>ÖSTERSUND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16459-2024</t>
        </is>
      </c>
      <c r="B816" s="1" t="n">
        <v>45407</v>
      </c>
      <c r="C816" s="1" t="n">
        <v>45725</v>
      </c>
      <c r="D816" t="inlineStr">
        <is>
          <t>JÄMTLANDS LÄN</t>
        </is>
      </c>
      <c r="E816" t="inlineStr">
        <is>
          <t>ÖSTERSUND</t>
        </is>
      </c>
      <c r="G816" t="n">
        <v>24</v>
      </c>
      <c r="H816" t="n">
        <v>0</v>
      </c>
      <c r="I816" t="n">
        <v>0</v>
      </c>
      <c r="J816" t="n">
        <v>0</v>
      </c>
      <c r="K816" t="n">
        <v>0</v>
      </c>
      <c r="L816" t="n">
        <v>0</v>
      </c>
      <c r="M816" t="n">
        <v>0</v>
      </c>
      <c r="N816" t="n">
        <v>0</v>
      </c>
      <c r="O816" t="n">
        <v>0</v>
      </c>
      <c r="P816" t="n">
        <v>0</v>
      </c>
      <c r="Q816" t="n">
        <v>0</v>
      </c>
      <c r="R816" s="2" t="inlineStr"/>
    </row>
    <row r="817" ht="15" customHeight="1">
      <c r="A817" t="inlineStr">
        <is>
          <t>A 16689-2024</t>
        </is>
      </c>
      <c r="B817" s="1" t="n">
        <v>45408</v>
      </c>
      <c r="C817" s="1" t="n">
        <v>45725</v>
      </c>
      <c r="D817" t="inlineStr">
        <is>
          <t>JÄMTLANDS LÄN</t>
        </is>
      </c>
      <c r="E817" t="inlineStr">
        <is>
          <t>ÖSTERSUND</t>
        </is>
      </c>
      <c r="G817" t="n">
        <v>0.6</v>
      </c>
      <c r="H817" t="n">
        <v>0</v>
      </c>
      <c r="I817" t="n">
        <v>0</v>
      </c>
      <c r="J817" t="n">
        <v>0</v>
      </c>
      <c r="K817" t="n">
        <v>0</v>
      </c>
      <c r="L817" t="n">
        <v>0</v>
      </c>
      <c r="M817" t="n">
        <v>0</v>
      </c>
      <c r="N817" t="n">
        <v>0</v>
      </c>
      <c r="O817" t="n">
        <v>0</v>
      </c>
      <c r="P817" t="n">
        <v>0</v>
      </c>
      <c r="Q817" t="n">
        <v>0</v>
      </c>
      <c r="R817" s="2" t="inlineStr"/>
    </row>
    <row r="818" ht="15" customHeight="1">
      <c r="A818" t="inlineStr">
        <is>
          <t>A 17188-2024</t>
        </is>
      </c>
      <c r="B818" s="1" t="n">
        <v>45413</v>
      </c>
      <c r="C818" s="1" t="n">
        <v>45725</v>
      </c>
      <c r="D818" t="inlineStr">
        <is>
          <t>JÄMTLANDS LÄN</t>
        </is>
      </c>
      <c r="E818" t="inlineStr">
        <is>
          <t>ÖSTERSUND</t>
        </is>
      </c>
      <c r="F818" t="inlineStr">
        <is>
          <t>SCA</t>
        </is>
      </c>
      <c r="G818" t="n">
        <v>14.6</v>
      </c>
      <c r="H818" t="n">
        <v>0</v>
      </c>
      <c r="I818" t="n">
        <v>0</v>
      </c>
      <c r="J818" t="n">
        <v>0</v>
      </c>
      <c r="K818" t="n">
        <v>0</v>
      </c>
      <c r="L818" t="n">
        <v>0</v>
      </c>
      <c r="M818" t="n">
        <v>0</v>
      </c>
      <c r="N818" t="n">
        <v>0</v>
      </c>
      <c r="O818" t="n">
        <v>0</v>
      </c>
      <c r="P818" t="n">
        <v>0</v>
      </c>
      <c r="Q818" t="n">
        <v>0</v>
      </c>
      <c r="R818" s="2" t="inlineStr"/>
    </row>
    <row r="819" ht="15" customHeight="1">
      <c r="A819" t="inlineStr">
        <is>
          <t>A 17062-2024</t>
        </is>
      </c>
      <c r="B819" s="1" t="n">
        <v>45412</v>
      </c>
      <c r="C819" s="1" t="n">
        <v>45725</v>
      </c>
      <c r="D819" t="inlineStr">
        <is>
          <t>JÄMTLANDS LÄN</t>
        </is>
      </c>
      <c r="E819" t="inlineStr">
        <is>
          <t>ÖSTERSUND</t>
        </is>
      </c>
      <c r="G819" t="n">
        <v>8</v>
      </c>
      <c r="H819" t="n">
        <v>0</v>
      </c>
      <c r="I819" t="n">
        <v>0</v>
      </c>
      <c r="J819" t="n">
        <v>0</v>
      </c>
      <c r="K819" t="n">
        <v>0</v>
      </c>
      <c r="L819" t="n">
        <v>0</v>
      </c>
      <c r="M819" t="n">
        <v>0</v>
      </c>
      <c r="N819" t="n">
        <v>0</v>
      </c>
      <c r="O819" t="n">
        <v>0</v>
      </c>
      <c r="P819" t="n">
        <v>0</v>
      </c>
      <c r="Q819" t="n">
        <v>0</v>
      </c>
      <c r="R819" s="2" t="inlineStr"/>
    </row>
    <row r="820" ht="15" customHeight="1">
      <c r="A820" t="inlineStr">
        <is>
          <t>A 17066-2024</t>
        </is>
      </c>
      <c r="B820" s="1" t="n">
        <v>45412</v>
      </c>
      <c r="C820" s="1" t="n">
        <v>45725</v>
      </c>
      <c r="D820" t="inlineStr">
        <is>
          <t>JÄMTLANDS LÄN</t>
        </is>
      </c>
      <c r="E820" t="inlineStr">
        <is>
          <t>ÖSTERSUND</t>
        </is>
      </c>
      <c r="G820" t="n">
        <v>4.2</v>
      </c>
      <c r="H820" t="n">
        <v>0</v>
      </c>
      <c r="I820" t="n">
        <v>0</v>
      </c>
      <c r="J820" t="n">
        <v>0</v>
      </c>
      <c r="K820" t="n">
        <v>0</v>
      </c>
      <c r="L820" t="n">
        <v>0</v>
      </c>
      <c r="M820" t="n">
        <v>0</v>
      </c>
      <c r="N820" t="n">
        <v>0</v>
      </c>
      <c r="O820" t="n">
        <v>0</v>
      </c>
      <c r="P820" t="n">
        <v>0</v>
      </c>
      <c r="Q820" t="n">
        <v>0</v>
      </c>
      <c r="R820" s="2" t="inlineStr"/>
    </row>
    <row r="821" ht="15" customHeight="1">
      <c r="A821" t="inlineStr">
        <is>
          <t>A 17547-2024</t>
        </is>
      </c>
      <c r="B821" s="1" t="n">
        <v>45415</v>
      </c>
      <c r="C821" s="1" t="n">
        <v>45725</v>
      </c>
      <c r="D821" t="inlineStr">
        <is>
          <t>JÄMTLANDS LÄN</t>
        </is>
      </c>
      <c r="E821" t="inlineStr">
        <is>
          <t>ÖSTERSUND</t>
        </is>
      </c>
      <c r="G821" t="n">
        <v>2.1</v>
      </c>
      <c r="H821" t="n">
        <v>0</v>
      </c>
      <c r="I821" t="n">
        <v>0</v>
      </c>
      <c r="J821" t="n">
        <v>0</v>
      </c>
      <c r="K821" t="n">
        <v>0</v>
      </c>
      <c r="L821" t="n">
        <v>0</v>
      </c>
      <c r="M821" t="n">
        <v>0</v>
      </c>
      <c r="N821" t="n">
        <v>0</v>
      </c>
      <c r="O821" t="n">
        <v>0</v>
      </c>
      <c r="P821" t="n">
        <v>0</v>
      </c>
      <c r="Q821" t="n">
        <v>0</v>
      </c>
      <c r="R821" s="2" t="inlineStr"/>
    </row>
    <row r="822" ht="15" customHeight="1">
      <c r="A822" t="inlineStr">
        <is>
          <t>A 17760-2024</t>
        </is>
      </c>
      <c r="B822" s="1" t="n">
        <v>45418</v>
      </c>
      <c r="C822" s="1" t="n">
        <v>45725</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17709-2024</t>
        </is>
      </c>
      <c r="B823" s="1" t="n">
        <v>45418</v>
      </c>
      <c r="C823" s="1" t="n">
        <v>45725</v>
      </c>
      <c r="D823" t="inlineStr">
        <is>
          <t>JÄMTLANDS LÄN</t>
        </is>
      </c>
      <c r="E823" t="inlineStr">
        <is>
          <t>ÖSTERSUND</t>
        </is>
      </c>
      <c r="G823" t="n">
        <v>2.9</v>
      </c>
      <c r="H823" t="n">
        <v>0</v>
      </c>
      <c r="I823" t="n">
        <v>0</v>
      </c>
      <c r="J823" t="n">
        <v>0</v>
      </c>
      <c r="K823" t="n">
        <v>0</v>
      </c>
      <c r="L823" t="n">
        <v>0</v>
      </c>
      <c r="M823" t="n">
        <v>0</v>
      </c>
      <c r="N823" t="n">
        <v>0</v>
      </c>
      <c r="O823" t="n">
        <v>0</v>
      </c>
      <c r="P823" t="n">
        <v>0</v>
      </c>
      <c r="Q823" t="n">
        <v>0</v>
      </c>
      <c r="R823" s="2" t="inlineStr"/>
    </row>
    <row r="824" ht="15" customHeight="1">
      <c r="A824" t="inlineStr">
        <is>
          <t>A 18627-2024</t>
        </is>
      </c>
      <c r="B824" s="1" t="n">
        <v>45426</v>
      </c>
      <c r="C824" s="1" t="n">
        <v>45725</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18643-2024</t>
        </is>
      </c>
      <c r="B825" s="1" t="n">
        <v>45426</v>
      </c>
      <c r="C825" s="1" t="n">
        <v>45725</v>
      </c>
      <c r="D825" t="inlineStr">
        <is>
          <t>JÄMTLANDS LÄN</t>
        </is>
      </c>
      <c r="E825" t="inlineStr">
        <is>
          <t>ÖSTERSUND</t>
        </is>
      </c>
      <c r="F825" t="inlineStr">
        <is>
          <t>SCA</t>
        </is>
      </c>
      <c r="G825" t="n">
        <v>10.3</v>
      </c>
      <c r="H825" t="n">
        <v>0</v>
      </c>
      <c r="I825" t="n">
        <v>0</v>
      </c>
      <c r="J825" t="n">
        <v>0</v>
      </c>
      <c r="K825" t="n">
        <v>0</v>
      </c>
      <c r="L825" t="n">
        <v>0</v>
      </c>
      <c r="M825" t="n">
        <v>0</v>
      </c>
      <c r="N825" t="n">
        <v>0</v>
      </c>
      <c r="O825" t="n">
        <v>0</v>
      </c>
      <c r="P825" t="n">
        <v>0</v>
      </c>
      <c r="Q825" t="n">
        <v>0</v>
      </c>
      <c r="R825" s="2" t="inlineStr"/>
    </row>
    <row r="826" ht="15" customHeight="1">
      <c r="A826" t="inlineStr">
        <is>
          <t>A 18624-2024</t>
        </is>
      </c>
      <c r="B826" s="1" t="n">
        <v>45426</v>
      </c>
      <c r="C826" s="1" t="n">
        <v>45725</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19112-2024</t>
        </is>
      </c>
      <c r="B827" s="1" t="n">
        <v>45427</v>
      </c>
      <c r="C827" s="1" t="n">
        <v>45725</v>
      </c>
      <c r="D827" t="inlineStr">
        <is>
          <t>JÄMTLANDS LÄN</t>
        </is>
      </c>
      <c r="E827" t="inlineStr">
        <is>
          <t>ÖSTERSUND</t>
        </is>
      </c>
      <c r="G827" t="n">
        <v>3.6</v>
      </c>
      <c r="H827" t="n">
        <v>0</v>
      </c>
      <c r="I827" t="n">
        <v>0</v>
      </c>
      <c r="J827" t="n">
        <v>0</v>
      </c>
      <c r="K827" t="n">
        <v>0</v>
      </c>
      <c r="L827" t="n">
        <v>0</v>
      </c>
      <c r="M827" t="n">
        <v>0</v>
      </c>
      <c r="N827" t="n">
        <v>0</v>
      </c>
      <c r="O827" t="n">
        <v>0</v>
      </c>
      <c r="P827" t="n">
        <v>0</v>
      </c>
      <c r="Q827" t="n">
        <v>0</v>
      </c>
      <c r="R827" s="2" t="inlineStr"/>
    </row>
    <row r="828" ht="15" customHeight="1">
      <c r="A828" t="inlineStr">
        <is>
          <t>A 19037-2024</t>
        </is>
      </c>
      <c r="B828" s="1" t="n">
        <v>45427</v>
      </c>
      <c r="C828" s="1" t="n">
        <v>45725</v>
      </c>
      <c r="D828" t="inlineStr">
        <is>
          <t>JÄMTLANDS LÄN</t>
        </is>
      </c>
      <c r="E828" t="inlineStr">
        <is>
          <t>ÖSTERSUND</t>
        </is>
      </c>
      <c r="G828" t="n">
        <v>2</v>
      </c>
      <c r="H828" t="n">
        <v>0</v>
      </c>
      <c r="I828" t="n">
        <v>0</v>
      </c>
      <c r="J828" t="n">
        <v>0</v>
      </c>
      <c r="K828" t="n">
        <v>0</v>
      </c>
      <c r="L828" t="n">
        <v>0</v>
      </c>
      <c r="M828" t="n">
        <v>0</v>
      </c>
      <c r="N828" t="n">
        <v>0</v>
      </c>
      <c r="O828" t="n">
        <v>0</v>
      </c>
      <c r="P828" t="n">
        <v>0</v>
      </c>
      <c r="Q828" t="n">
        <v>0</v>
      </c>
      <c r="R828" s="2" t="inlineStr"/>
    </row>
    <row r="829" ht="15" customHeight="1">
      <c r="A829" t="inlineStr">
        <is>
          <t>A 19138-2024</t>
        </is>
      </c>
      <c r="B829" s="1" t="n">
        <v>45428</v>
      </c>
      <c r="C829" s="1" t="n">
        <v>45725</v>
      </c>
      <c r="D829" t="inlineStr">
        <is>
          <t>JÄMTLANDS LÄN</t>
        </is>
      </c>
      <c r="E829" t="inlineStr">
        <is>
          <t>ÖSTERSUND</t>
        </is>
      </c>
      <c r="G829" t="n">
        <v>13.6</v>
      </c>
      <c r="H829" t="n">
        <v>0</v>
      </c>
      <c r="I829" t="n">
        <v>0</v>
      </c>
      <c r="J829" t="n">
        <v>0</v>
      </c>
      <c r="K829" t="n">
        <v>0</v>
      </c>
      <c r="L829" t="n">
        <v>0</v>
      </c>
      <c r="M829" t="n">
        <v>0</v>
      </c>
      <c r="N829" t="n">
        <v>0</v>
      </c>
      <c r="O829" t="n">
        <v>0</v>
      </c>
      <c r="P829" t="n">
        <v>0</v>
      </c>
      <c r="Q829" t="n">
        <v>0</v>
      </c>
      <c r="R829" s="2" t="inlineStr"/>
    </row>
    <row r="830" ht="15" customHeight="1">
      <c r="A830" t="inlineStr">
        <is>
          <t>A 19233-2024</t>
        </is>
      </c>
      <c r="B830" s="1" t="n">
        <v>45428</v>
      </c>
      <c r="C830" s="1" t="n">
        <v>45725</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19408-2024</t>
        </is>
      </c>
      <c r="B831" s="1" t="n">
        <v>45428</v>
      </c>
      <c r="C831" s="1" t="n">
        <v>45725</v>
      </c>
      <c r="D831" t="inlineStr">
        <is>
          <t>JÄMTLANDS LÄN</t>
        </is>
      </c>
      <c r="E831" t="inlineStr">
        <is>
          <t>ÖSTERSUND</t>
        </is>
      </c>
      <c r="G831" t="n">
        <v>11.1</v>
      </c>
      <c r="H831" t="n">
        <v>0</v>
      </c>
      <c r="I831" t="n">
        <v>0</v>
      </c>
      <c r="J831" t="n">
        <v>0</v>
      </c>
      <c r="K831" t="n">
        <v>0</v>
      </c>
      <c r="L831" t="n">
        <v>0</v>
      </c>
      <c r="M831" t="n">
        <v>0</v>
      </c>
      <c r="N831" t="n">
        <v>0</v>
      </c>
      <c r="O831" t="n">
        <v>0</v>
      </c>
      <c r="P831" t="n">
        <v>0</v>
      </c>
      <c r="Q831" t="n">
        <v>0</v>
      </c>
      <c r="R831" s="2" t="inlineStr"/>
    </row>
    <row r="832" ht="15" customHeight="1">
      <c r="A832" t="inlineStr">
        <is>
          <t>A 19323-2024</t>
        </is>
      </c>
      <c r="B832" s="1" t="n">
        <v>45429</v>
      </c>
      <c r="C832" s="1" t="n">
        <v>45725</v>
      </c>
      <c r="D832" t="inlineStr">
        <is>
          <t>JÄMTLANDS LÄN</t>
        </is>
      </c>
      <c r="E832" t="inlineStr">
        <is>
          <t>ÖSTERSUND</t>
        </is>
      </c>
      <c r="F832" t="inlineStr">
        <is>
          <t>Kommuner</t>
        </is>
      </c>
      <c r="G832" t="n">
        <v>0.2</v>
      </c>
      <c r="H832" t="n">
        <v>0</v>
      </c>
      <c r="I832" t="n">
        <v>0</v>
      </c>
      <c r="J832" t="n">
        <v>0</v>
      </c>
      <c r="K832" t="n">
        <v>0</v>
      </c>
      <c r="L832" t="n">
        <v>0</v>
      </c>
      <c r="M832" t="n">
        <v>0</v>
      </c>
      <c r="N832" t="n">
        <v>0</v>
      </c>
      <c r="O832" t="n">
        <v>0</v>
      </c>
      <c r="P832" t="n">
        <v>0</v>
      </c>
      <c r="Q832" t="n">
        <v>0</v>
      </c>
      <c r="R832" s="2" t="inlineStr"/>
    </row>
    <row r="833" ht="15" customHeight="1">
      <c r="A833" t="inlineStr">
        <is>
          <t>A 19566-2024</t>
        </is>
      </c>
      <c r="B833" s="1" t="n">
        <v>45430</v>
      </c>
      <c r="C833" s="1" t="n">
        <v>45725</v>
      </c>
      <c r="D833" t="inlineStr">
        <is>
          <t>JÄMTLANDS LÄN</t>
        </is>
      </c>
      <c r="E833" t="inlineStr">
        <is>
          <t>ÖSTERSUND</t>
        </is>
      </c>
      <c r="G833" t="n">
        <v>0</v>
      </c>
      <c r="H833" t="n">
        <v>0</v>
      </c>
      <c r="I833" t="n">
        <v>0</v>
      </c>
      <c r="J833" t="n">
        <v>0</v>
      </c>
      <c r="K833" t="n">
        <v>0</v>
      </c>
      <c r="L833" t="n">
        <v>0</v>
      </c>
      <c r="M833" t="n">
        <v>0</v>
      </c>
      <c r="N833" t="n">
        <v>0</v>
      </c>
      <c r="O833" t="n">
        <v>0</v>
      </c>
      <c r="P833" t="n">
        <v>0</v>
      </c>
      <c r="Q833" t="n">
        <v>0</v>
      </c>
      <c r="R833" s="2" t="inlineStr"/>
    </row>
    <row r="834" ht="15" customHeight="1">
      <c r="A834" t="inlineStr">
        <is>
          <t>A 19570-2024</t>
        </is>
      </c>
      <c r="B834" s="1" t="n">
        <v>45430</v>
      </c>
      <c r="C834" s="1" t="n">
        <v>45725</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19725-2024</t>
        </is>
      </c>
      <c r="B835" s="1" t="n">
        <v>45432</v>
      </c>
      <c r="C835" s="1" t="n">
        <v>45725</v>
      </c>
      <c r="D835" t="inlineStr">
        <is>
          <t>JÄMTLANDS LÄN</t>
        </is>
      </c>
      <c r="E835" t="inlineStr">
        <is>
          <t>ÖSTERSUND</t>
        </is>
      </c>
      <c r="G835" t="n">
        <v>7.2</v>
      </c>
      <c r="H835" t="n">
        <v>0</v>
      </c>
      <c r="I835" t="n">
        <v>0</v>
      </c>
      <c r="J835" t="n">
        <v>0</v>
      </c>
      <c r="K835" t="n">
        <v>0</v>
      </c>
      <c r="L835" t="n">
        <v>0</v>
      </c>
      <c r="M835" t="n">
        <v>0</v>
      </c>
      <c r="N835" t="n">
        <v>0</v>
      </c>
      <c r="O835" t="n">
        <v>0</v>
      </c>
      <c r="P835" t="n">
        <v>0</v>
      </c>
      <c r="Q835" t="n">
        <v>0</v>
      </c>
      <c r="R835" s="2" t="inlineStr"/>
    </row>
    <row r="836" ht="15" customHeight="1">
      <c r="A836" t="inlineStr">
        <is>
          <t>A 20068-2024</t>
        </is>
      </c>
      <c r="B836" s="1" t="n">
        <v>45434</v>
      </c>
      <c r="C836" s="1" t="n">
        <v>45725</v>
      </c>
      <c r="D836" t="inlineStr">
        <is>
          <t>JÄMTLANDS LÄN</t>
        </is>
      </c>
      <c r="E836" t="inlineStr">
        <is>
          <t>ÖSTERSUND</t>
        </is>
      </c>
      <c r="G836" t="n">
        <v>10.2</v>
      </c>
      <c r="H836" t="n">
        <v>0</v>
      </c>
      <c r="I836" t="n">
        <v>0</v>
      </c>
      <c r="J836" t="n">
        <v>0</v>
      </c>
      <c r="K836" t="n">
        <v>0</v>
      </c>
      <c r="L836" t="n">
        <v>0</v>
      </c>
      <c r="M836" t="n">
        <v>0</v>
      </c>
      <c r="N836" t="n">
        <v>0</v>
      </c>
      <c r="O836" t="n">
        <v>0</v>
      </c>
      <c r="P836" t="n">
        <v>0</v>
      </c>
      <c r="Q836" t="n">
        <v>0</v>
      </c>
      <c r="R836" s="2" t="inlineStr"/>
    </row>
    <row r="837" ht="15" customHeight="1">
      <c r="A837" t="inlineStr">
        <is>
          <t>A 20400-2024</t>
        </is>
      </c>
      <c r="B837" s="1" t="n">
        <v>45435</v>
      </c>
      <c r="C837" s="1" t="n">
        <v>45725</v>
      </c>
      <c r="D837" t="inlineStr">
        <is>
          <t>JÄMTLANDS LÄN</t>
        </is>
      </c>
      <c r="E837" t="inlineStr">
        <is>
          <t>ÖSTERSUND</t>
        </is>
      </c>
      <c r="G837" t="n">
        <v>0.9</v>
      </c>
      <c r="H837" t="n">
        <v>0</v>
      </c>
      <c r="I837" t="n">
        <v>0</v>
      </c>
      <c r="J837" t="n">
        <v>0</v>
      </c>
      <c r="K837" t="n">
        <v>0</v>
      </c>
      <c r="L837" t="n">
        <v>0</v>
      </c>
      <c r="M837" t="n">
        <v>0</v>
      </c>
      <c r="N837" t="n">
        <v>0</v>
      </c>
      <c r="O837" t="n">
        <v>0</v>
      </c>
      <c r="P837" t="n">
        <v>0</v>
      </c>
      <c r="Q837" t="n">
        <v>0</v>
      </c>
      <c r="R837" s="2" t="inlineStr"/>
    </row>
    <row r="838" ht="15" customHeight="1">
      <c r="A838" t="inlineStr">
        <is>
          <t>A 20632-2024</t>
        </is>
      </c>
      <c r="B838" s="1" t="n">
        <v>45436</v>
      </c>
      <c r="C838" s="1" t="n">
        <v>45725</v>
      </c>
      <c r="D838" t="inlineStr">
        <is>
          <t>JÄMTLANDS LÄN</t>
        </is>
      </c>
      <c r="E838" t="inlineStr">
        <is>
          <t>ÖSTERSUND</t>
        </is>
      </c>
      <c r="G838" t="n">
        <v>5.6</v>
      </c>
      <c r="H838" t="n">
        <v>0</v>
      </c>
      <c r="I838" t="n">
        <v>0</v>
      </c>
      <c r="J838" t="n">
        <v>0</v>
      </c>
      <c r="K838" t="n">
        <v>0</v>
      </c>
      <c r="L838" t="n">
        <v>0</v>
      </c>
      <c r="M838" t="n">
        <v>0</v>
      </c>
      <c r="N838" t="n">
        <v>0</v>
      </c>
      <c r="O838" t="n">
        <v>0</v>
      </c>
      <c r="P838" t="n">
        <v>0</v>
      </c>
      <c r="Q838" t="n">
        <v>0</v>
      </c>
      <c r="R838" s="2" t="inlineStr"/>
    </row>
    <row r="839" ht="15" customHeight="1">
      <c r="A839" t="inlineStr">
        <is>
          <t>A 20629-2024</t>
        </is>
      </c>
      <c r="B839" s="1" t="n">
        <v>45436</v>
      </c>
      <c r="C839" s="1" t="n">
        <v>45725</v>
      </c>
      <c r="D839" t="inlineStr">
        <is>
          <t>JÄMTLANDS LÄN</t>
        </is>
      </c>
      <c r="E839" t="inlineStr">
        <is>
          <t>ÖSTERSUND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20736-2024</t>
        </is>
      </c>
      <c r="B840" s="1" t="n">
        <v>45436</v>
      </c>
      <c r="C840" s="1" t="n">
        <v>45725</v>
      </c>
      <c r="D840" t="inlineStr">
        <is>
          <t>JÄMTLANDS LÄN</t>
        </is>
      </c>
      <c r="E840" t="inlineStr">
        <is>
          <t>ÖSTERSUND</t>
        </is>
      </c>
      <c r="G840" t="n">
        <v>5.3</v>
      </c>
      <c r="H840" t="n">
        <v>0</v>
      </c>
      <c r="I840" t="n">
        <v>0</v>
      </c>
      <c r="J840" t="n">
        <v>0</v>
      </c>
      <c r="K840" t="n">
        <v>0</v>
      </c>
      <c r="L840" t="n">
        <v>0</v>
      </c>
      <c r="M840" t="n">
        <v>0</v>
      </c>
      <c r="N840" t="n">
        <v>0</v>
      </c>
      <c r="O840" t="n">
        <v>0</v>
      </c>
      <c r="P840" t="n">
        <v>0</v>
      </c>
      <c r="Q840" t="n">
        <v>0</v>
      </c>
      <c r="R840" s="2" t="inlineStr"/>
    </row>
    <row r="841" ht="15" customHeight="1">
      <c r="A841" t="inlineStr">
        <is>
          <t>A 21094-2024</t>
        </is>
      </c>
      <c r="B841" s="1" t="n">
        <v>45440</v>
      </c>
      <c r="C841" s="1" t="n">
        <v>45725</v>
      </c>
      <c r="D841" t="inlineStr">
        <is>
          <t>JÄMTLANDS LÄN</t>
        </is>
      </c>
      <c r="E841" t="inlineStr">
        <is>
          <t>ÖSTERSUND</t>
        </is>
      </c>
      <c r="F841" t="inlineStr">
        <is>
          <t>SCA</t>
        </is>
      </c>
      <c r="G841" t="n">
        <v>7.6</v>
      </c>
      <c r="H841" t="n">
        <v>0</v>
      </c>
      <c r="I841" t="n">
        <v>0</v>
      </c>
      <c r="J841" t="n">
        <v>0</v>
      </c>
      <c r="K841" t="n">
        <v>0</v>
      </c>
      <c r="L841" t="n">
        <v>0</v>
      </c>
      <c r="M841" t="n">
        <v>0</v>
      </c>
      <c r="N841" t="n">
        <v>0</v>
      </c>
      <c r="O841" t="n">
        <v>0</v>
      </c>
      <c r="P841" t="n">
        <v>0</v>
      </c>
      <c r="Q841" t="n">
        <v>0</v>
      </c>
      <c r="R841" s="2" t="inlineStr"/>
    </row>
    <row r="842" ht="15" customHeight="1">
      <c r="A842" t="inlineStr">
        <is>
          <t>A 21093-2024</t>
        </is>
      </c>
      <c r="B842" s="1" t="n">
        <v>45440</v>
      </c>
      <c r="C842" s="1" t="n">
        <v>45725</v>
      </c>
      <c r="D842" t="inlineStr">
        <is>
          <t>JÄMTLANDS LÄN</t>
        </is>
      </c>
      <c r="E842" t="inlineStr">
        <is>
          <t>ÖSTERSUND</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21373-2024</t>
        </is>
      </c>
      <c r="B843" s="1" t="n">
        <v>45441</v>
      </c>
      <c r="C843" s="1" t="n">
        <v>45725</v>
      </c>
      <c r="D843" t="inlineStr">
        <is>
          <t>JÄMTLANDS LÄN</t>
        </is>
      </c>
      <c r="E843" t="inlineStr">
        <is>
          <t>ÖSTERSUND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21822-2024</t>
        </is>
      </c>
      <c r="B844" s="1" t="n">
        <v>45442</v>
      </c>
      <c r="C844" s="1" t="n">
        <v>45725</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21667-2024</t>
        </is>
      </c>
      <c r="B845" s="1" t="n">
        <v>45442</v>
      </c>
      <c r="C845" s="1" t="n">
        <v>45725</v>
      </c>
      <c r="D845" t="inlineStr">
        <is>
          <t>JÄMTLANDS LÄN</t>
        </is>
      </c>
      <c r="E845" t="inlineStr">
        <is>
          <t>ÖSTERSUND</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22123-2024</t>
        </is>
      </c>
      <c r="B846" s="1" t="n">
        <v>45444</v>
      </c>
      <c r="C846" s="1" t="n">
        <v>45725</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22478-2024</t>
        </is>
      </c>
      <c r="B847" s="1" t="n">
        <v>45447</v>
      </c>
      <c r="C847" s="1" t="n">
        <v>45725</v>
      </c>
      <c r="D847" t="inlineStr">
        <is>
          <t>JÄMTLANDS LÄN</t>
        </is>
      </c>
      <c r="E847" t="inlineStr">
        <is>
          <t>ÖSTERSUND</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23124-2024</t>
        </is>
      </c>
      <c r="B848" s="1" t="n">
        <v>45450</v>
      </c>
      <c r="C848" s="1" t="n">
        <v>45725</v>
      </c>
      <c r="D848" t="inlineStr">
        <is>
          <t>JÄMTLANDS LÄN</t>
        </is>
      </c>
      <c r="E848" t="inlineStr">
        <is>
          <t>ÖSTERSUND</t>
        </is>
      </c>
      <c r="G848" t="n">
        <v>5.8</v>
      </c>
      <c r="H848" t="n">
        <v>0</v>
      </c>
      <c r="I848" t="n">
        <v>0</v>
      </c>
      <c r="J848" t="n">
        <v>0</v>
      </c>
      <c r="K848" t="n">
        <v>0</v>
      </c>
      <c r="L848" t="n">
        <v>0</v>
      </c>
      <c r="M848" t="n">
        <v>0</v>
      </c>
      <c r="N848" t="n">
        <v>0</v>
      </c>
      <c r="O848" t="n">
        <v>0</v>
      </c>
      <c r="P848" t="n">
        <v>0</v>
      </c>
      <c r="Q848" t="n">
        <v>0</v>
      </c>
      <c r="R848" s="2" t="inlineStr"/>
    </row>
    <row r="849" ht="15" customHeight="1">
      <c r="A849" t="inlineStr">
        <is>
          <t>A 23191-2024</t>
        </is>
      </c>
      <c r="B849" s="1" t="n">
        <v>45450</v>
      </c>
      <c r="C849" s="1" t="n">
        <v>45725</v>
      </c>
      <c r="D849" t="inlineStr">
        <is>
          <t>JÄMTLANDS LÄN</t>
        </is>
      </c>
      <c r="E849" t="inlineStr">
        <is>
          <t>ÖSTERSUND</t>
        </is>
      </c>
      <c r="G849" t="n">
        <v>7</v>
      </c>
      <c r="H849" t="n">
        <v>0</v>
      </c>
      <c r="I849" t="n">
        <v>0</v>
      </c>
      <c r="J849" t="n">
        <v>0</v>
      </c>
      <c r="K849" t="n">
        <v>0</v>
      </c>
      <c r="L849" t="n">
        <v>0</v>
      </c>
      <c r="M849" t="n">
        <v>0</v>
      </c>
      <c r="N849" t="n">
        <v>0</v>
      </c>
      <c r="O849" t="n">
        <v>0</v>
      </c>
      <c r="P849" t="n">
        <v>0</v>
      </c>
      <c r="Q849" t="n">
        <v>0</v>
      </c>
      <c r="R849" s="2" t="inlineStr"/>
    </row>
    <row r="850" ht="15" customHeight="1">
      <c r="A850" t="inlineStr">
        <is>
          <t>A 23492-2024</t>
        </is>
      </c>
      <c r="B850" s="1" t="n">
        <v>45453</v>
      </c>
      <c r="C850" s="1" t="n">
        <v>45725</v>
      </c>
      <c r="D850" t="inlineStr">
        <is>
          <t>JÄMTLANDS LÄN</t>
        </is>
      </c>
      <c r="E850" t="inlineStr">
        <is>
          <t>ÖSTERSUND</t>
        </is>
      </c>
      <c r="G850" t="n">
        <v>9.1</v>
      </c>
      <c r="H850" t="n">
        <v>0</v>
      </c>
      <c r="I850" t="n">
        <v>0</v>
      </c>
      <c r="J850" t="n">
        <v>0</v>
      </c>
      <c r="K850" t="n">
        <v>0</v>
      </c>
      <c r="L850" t="n">
        <v>0</v>
      </c>
      <c r="M850" t="n">
        <v>0</v>
      </c>
      <c r="N850" t="n">
        <v>0</v>
      </c>
      <c r="O850" t="n">
        <v>0</v>
      </c>
      <c r="P850" t="n">
        <v>0</v>
      </c>
      <c r="Q850" t="n">
        <v>0</v>
      </c>
      <c r="R850" s="2" t="inlineStr"/>
    </row>
    <row r="851" ht="15" customHeight="1">
      <c r="A851" t="inlineStr">
        <is>
          <t>A 24246-2024</t>
        </is>
      </c>
      <c r="B851" s="1" t="n">
        <v>45457</v>
      </c>
      <c r="C851" s="1" t="n">
        <v>45725</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24781-2024</t>
        </is>
      </c>
      <c r="B852" s="1" t="n">
        <v>45460</v>
      </c>
      <c r="C852" s="1" t="n">
        <v>45725</v>
      </c>
      <c r="D852" t="inlineStr">
        <is>
          <t>JÄMTLANDS LÄN</t>
        </is>
      </c>
      <c r="E852" t="inlineStr">
        <is>
          <t>ÖSTERSUND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24786-2024</t>
        </is>
      </c>
      <c r="B853" s="1" t="n">
        <v>45460</v>
      </c>
      <c r="C853" s="1" t="n">
        <v>45725</v>
      </c>
      <c r="D853" t="inlineStr">
        <is>
          <t>JÄMTLANDS LÄN</t>
        </is>
      </c>
      <c r="E853" t="inlineStr">
        <is>
          <t>ÖSTERSUND</t>
        </is>
      </c>
      <c r="G853" t="n">
        <v>0.1</v>
      </c>
      <c r="H853" t="n">
        <v>0</v>
      </c>
      <c r="I853" t="n">
        <v>0</v>
      </c>
      <c r="J853" t="n">
        <v>0</v>
      </c>
      <c r="K853" t="n">
        <v>0</v>
      </c>
      <c r="L853" t="n">
        <v>0</v>
      </c>
      <c r="M853" t="n">
        <v>0</v>
      </c>
      <c r="N853" t="n">
        <v>0</v>
      </c>
      <c r="O853" t="n">
        <v>0</v>
      </c>
      <c r="P853" t="n">
        <v>0</v>
      </c>
      <c r="Q853" t="n">
        <v>0</v>
      </c>
      <c r="R853" s="2" t="inlineStr"/>
    </row>
    <row r="854" ht="15" customHeight="1">
      <c r="A854" t="inlineStr">
        <is>
          <t>A 24605-2024</t>
        </is>
      </c>
      <c r="B854" s="1" t="n">
        <v>45460</v>
      </c>
      <c r="C854" s="1" t="n">
        <v>45725</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25388-2024</t>
        </is>
      </c>
      <c r="B855" s="1" t="n">
        <v>45463</v>
      </c>
      <c r="C855" s="1" t="n">
        <v>45725</v>
      </c>
      <c r="D855" t="inlineStr">
        <is>
          <t>JÄMTLANDS LÄN</t>
        </is>
      </c>
      <c r="E855" t="inlineStr">
        <is>
          <t>ÖSTERSUND</t>
        </is>
      </c>
      <c r="G855" t="n">
        <v>2.7</v>
      </c>
      <c r="H855" t="n">
        <v>0</v>
      </c>
      <c r="I855" t="n">
        <v>0</v>
      </c>
      <c r="J855" t="n">
        <v>0</v>
      </c>
      <c r="K855" t="n">
        <v>0</v>
      </c>
      <c r="L855" t="n">
        <v>0</v>
      </c>
      <c r="M855" t="n">
        <v>0</v>
      </c>
      <c r="N855" t="n">
        <v>0</v>
      </c>
      <c r="O855" t="n">
        <v>0</v>
      </c>
      <c r="P855" t="n">
        <v>0</v>
      </c>
      <c r="Q855" t="n">
        <v>0</v>
      </c>
      <c r="R855" s="2" t="inlineStr"/>
    </row>
    <row r="856" ht="15" customHeight="1">
      <c r="A856" t="inlineStr">
        <is>
          <t>A 25385-2024</t>
        </is>
      </c>
      <c r="B856" s="1" t="n">
        <v>45463</v>
      </c>
      <c r="C856" s="1" t="n">
        <v>45725</v>
      </c>
      <c r="D856" t="inlineStr">
        <is>
          <t>JÄMTLANDS LÄN</t>
        </is>
      </c>
      <c r="E856" t="inlineStr">
        <is>
          <t>ÖSTERSUND</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25187-2024</t>
        </is>
      </c>
      <c r="B857" s="1" t="n">
        <v>45462</v>
      </c>
      <c r="C857" s="1" t="n">
        <v>45725</v>
      </c>
      <c r="D857" t="inlineStr">
        <is>
          <t>JÄMTLANDS LÄN</t>
        </is>
      </c>
      <c r="E857" t="inlineStr">
        <is>
          <t>ÖSTERSUND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26202-2024</t>
        </is>
      </c>
      <c r="B858" s="1" t="n">
        <v>45468</v>
      </c>
      <c r="C858" s="1" t="n">
        <v>45725</v>
      </c>
      <c r="D858" t="inlineStr">
        <is>
          <t>JÄMTLANDS LÄN</t>
        </is>
      </c>
      <c r="E858" t="inlineStr">
        <is>
          <t>ÖSTERSUND</t>
        </is>
      </c>
      <c r="G858" t="n">
        <v>6.7</v>
      </c>
      <c r="H858" t="n">
        <v>0</v>
      </c>
      <c r="I858" t="n">
        <v>0</v>
      </c>
      <c r="J858" t="n">
        <v>0</v>
      </c>
      <c r="K858" t="n">
        <v>0</v>
      </c>
      <c r="L858" t="n">
        <v>0</v>
      </c>
      <c r="M858" t="n">
        <v>0</v>
      </c>
      <c r="N858" t="n">
        <v>0</v>
      </c>
      <c r="O858" t="n">
        <v>0</v>
      </c>
      <c r="P858" t="n">
        <v>0</v>
      </c>
      <c r="Q858" t="n">
        <v>0</v>
      </c>
      <c r="R858" s="2" t="inlineStr"/>
    </row>
    <row r="859" ht="15" customHeight="1">
      <c r="A859" t="inlineStr">
        <is>
          <t>A 27906-2024</t>
        </is>
      </c>
      <c r="B859" s="1" t="n">
        <v>45476</v>
      </c>
      <c r="C859" s="1" t="n">
        <v>45725</v>
      </c>
      <c r="D859" t="inlineStr">
        <is>
          <t>JÄMTLANDS LÄN</t>
        </is>
      </c>
      <c r="E859" t="inlineStr">
        <is>
          <t>ÖSTERSUND</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27689-2024</t>
        </is>
      </c>
      <c r="B860" s="1" t="n">
        <v>45475</v>
      </c>
      <c r="C860" s="1" t="n">
        <v>45725</v>
      </c>
      <c r="D860" t="inlineStr">
        <is>
          <t>JÄMTLANDS LÄN</t>
        </is>
      </c>
      <c r="E860" t="inlineStr">
        <is>
          <t>ÖSTERSUND</t>
        </is>
      </c>
      <c r="G860" t="n">
        <v>0.6</v>
      </c>
      <c r="H860" t="n">
        <v>0</v>
      </c>
      <c r="I860" t="n">
        <v>0</v>
      </c>
      <c r="J860" t="n">
        <v>0</v>
      </c>
      <c r="K860" t="n">
        <v>0</v>
      </c>
      <c r="L860" t="n">
        <v>0</v>
      </c>
      <c r="M860" t="n">
        <v>0</v>
      </c>
      <c r="N860" t="n">
        <v>0</v>
      </c>
      <c r="O860" t="n">
        <v>0</v>
      </c>
      <c r="P860" t="n">
        <v>0</v>
      </c>
      <c r="Q860" t="n">
        <v>0</v>
      </c>
      <c r="R860" s="2" t="inlineStr"/>
    </row>
    <row r="861" ht="15" customHeight="1">
      <c r="A861" t="inlineStr">
        <is>
          <t>A 27764-2024</t>
        </is>
      </c>
      <c r="B861" s="1" t="n">
        <v>45475</v>
      </c>
      <c r="C861" s="1" t="n">
        <v>45725</v>
      </c>
      <c r="D861" t="inlineStr">
        <is>
          <t>JÄMTLANDS LÄN</t>
        </is>
      </c>
      <c r="E861" t="inlineStr">
        <is>
          <t>ÖSTERSUND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27779-2024</t>
        </is>
      </c>
      <c r="B862" s="1" t="n">
        <v>45475</v>
      </c>
      <c r="C862" s="1" t="n">
        <v>45725</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28277-2024</t>
        </is>
      </c>
      <c r="B863" s="1" t="n">
        <v>45477</v>
      </c>
      <c r="C863" s="1" t="n">
        <v>45725</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28179-2024</t>
        </is>
      </c>
      <c r="B864" s="1" t="n">
        <v>45477</v>
      </c>
      <c r="C864" s="1" t="n">
        <v>45725</v>
      </c>
      <c r="D864" t="inlineStr">
        <is>
          <t>JÄMTLANDS LÄN</t>
        </is>
      </c>
      <c r="E864" t="inlineStr">
        <is>
          <t>ÖSTERSUND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28180-2024</t>
        </is>
      </c>
      <c r="B865" s="1" t="n">
        <v>45477</v>
      </c>
      <c r="C865" s="1" t="n">
        <v>45725</v>
      </c>
      <c r="D865" t="inlineStr">
        <is>
          <t>JÄMTLANDS LÄN</t>
        </is>
      </c>
      <c r="E865" t="inlineStr">
        <is>
          <t>ÖSTERSUND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28181-2024</t>
        </is>
      </c>
      <c r="B866" s="1" t="n">
        <v>45477</v>
      </c>
      <c r="C866" s="1" t="n">
        <v>45725</v>
      </c>
      <c r="D866" t="inlineStr">
        <is>
          <t>JÄMTLANDS LÄN</t>
        </is>
      </c>
      <c r="E866" t="inlineStr">
        <is>
          <t>ÖSTERSUND</t>
        </is>
      </c>
      <c r="G866" t="n">
        <v>0.7</v>
      </c>
      <c r="H866" t="n">
        <v>0</v>
      </c>
      <c r="I866" t="n">
        <v>0</v>
      </c>
      <c r="J866" t="n">
        <v>0</v>
      </c>
      <c r="K866" t="n">
        <v>0</v>
      </c>
      <c r="L866" t="n">
        <v>0</v>
      </c>
      <c r="M866" t="n">
        <v>0</v>
      </c>
      <c r="N866" t="n">
        <v>0</v>
      </c>
      <c r="O866" t="n">
        <v>0</v>
      </c>
      <c r="P866" t="n">
        <v>0</v>
      </c>
      <c r="Q866" t="n">
        <v>0</v>
      </c>
      <c r="R866" s="2" t="inlineStr"/>
    </row>
    <row r="867" ht="15" customHeight="1">
      <c r="A867" t="inlineStr">
        <is>
          <t>A 28543-2024</t>
        </is>
      </c>
      <c r="B867" s="1" t="n">
        <v>45478</v>
      </c>
      <c r="C867" s="1" t="n">
        <v>45725</v>
      </c>
      <c r="D867" t="inlineStr">
        <is>
          <t>JÄMTLANDS LÄN</t>
        </is>
      </c>
      <c r="E867" t="inlineStr">
        <is>
          <t>ÖSTERSUND</t>
        </is>
      </c>
      <c r="G867" t="n">
        <v>5.6</v>
      </c>
      <c r="H867" t="n">
        <v>0</v>
      </c>
      <c r="I867" t="n">
        <v>0</v>
      </c>
      <c r="J867" t="n">
        <v>0</v>
      </c>
      <c r="K867" t="n">
        <v>0</v>
      </c>
      <c r="L867" t="n">
        <v>0</v>
      </c>
      <c r="M867" t="n">
        <v>0</v>
      </c>
      <c r="N867" t="n">
        <v>0</v>
      </c>
      <c r="O867" t="n">
        <v>0</v>
      </c>
      <c r="P867" t="n">
        <v>0</v>
      </c>
      <c r="Q867" t="n">
        <v>0</v>
      </c>
      <c r="R867" s="2" t="inlineStr"/>
    </row>
    <row r="868" ht="15" customHeight="1">
      <c r="A868" t="inlineStr">
        <is>
          <t>A 29496-2024</t>
        </is>
      </c>
      <c r="B868" s="1" t="n">
        <v>45484</v>
      </c>
      <c r="C868" s="1" t="n">
        <v>45725</v>
      </c>
      <c r="D868" t="inlineStr">
        <is>
          <t>JÄMTLANDS LÄN</t>
        </is>
      </c>
      <c r="E868" t="inlineStr">
        <is>
          <t>ÖSTERSUND</t>
        </is>
      </c>
      <c r="G868" t="n">
        <v>4.3</v>
      </c>
      <c r="H868" t="n">
        <v>0</v>
      </c>
      <c r="I868" t="n">
        <v>0</v>
      </c>
      <c r="J868" t="n">
        <v>0</v>
      </c>
      <c r="K868" t="n">
        <v>0</v>
      </c>
      <c r="L868" t="n">
        <v>0</v>
      </c>
      <c r="M868" t="n">
        <v>0</v>
      </c>
      <c r="N868" t="n">
        <v>0</v>
      </c>
      <c r="O868" t="n">
        <v>0</v>
      </c>
      <c r="P868" t="n">
        <v>0</v>
      </c>
      <c r="Q868" t="n">
        <v>0</v>
      </c>
      <c r="R868" s="2" t="inlineStr"/>
    </row>
    <row r="869" ht="15" customHeight="1">
      <c r="A869" t="inlineStr">
        <is>
          <t>A 30539-2024</t>
        </is>
      </c>
      <c r="B869" s="1" t="n">
        <v>45492</v>
      </c>
      <c r="C869" s="1" t="n">
        <v>45725</v>
      </c>
      <c r="D869" t="inlineStr">
        <is>
          <t>JÄMTLANDS LÄN</t>
        </is>
      </c>
      <c r="E869" t="inlineStr">
        <is>
          <t>ÖSTERSUND</t>
        </is>
      </c>
      <c r="G869" t="n">
        <v>4.9</v>
      </c>
      <c r="H869" t="n">
        <v>0</v>
      </c>
      <c r="I869" t="n">
        <v>0</v>
      </c>
      <c r="J869" t="n">
        <v>0</v>
      </c>
      <c r="K869" t="n">
        <v>0</v>
      </c>
      <c r="L869" t="n">
        <v>0</v>
      </c>
      <c r="M869" t="n">
        <v>0</v>
      </c>
      <c r="N869" t="n">
        <v>0</v>
      </c>
      <c r="O869" t="n">
        <v>0</v>
      </c>
      <c r="P869" t="n">
        <v>0</v>
      </c>
      <c r="Q869" t="n">
        <v>0</v>
      </c>
      <c r="R869" s="2" t="inlineStr"/>
    </row>
    <row r="870" ht="15" customHeight="1">
      <c r="A870" t="inlineStr">
        <is>
          <t>A 30821-2024</t>
        </is>
      </c>
      <c r="B870" s="1" t="n">
        <v>45497</v>
      </c>
      <c r="C870" s="1" t="n">
        <v>45725</v>
      </c>
      <c r="D870" t="inlineStr">
        <is>
          <t>JÄMTLANDS LÄN</t>
        </is>
      </c>
      <c r="E870" t="inlineStr">
        <is>
          <t>ÖSTERSUND</t>
        </is>
      </c>
      <c r="G870" t="n">
        <v>3.4</v>
      </c>
      <c r="H870" t="n">
        <v>0</v>
      </c>
      <c r="I870" t="n">
        <v>0</v>
      </c>
      <c r="J870" t="n">
        <v>0</v>
      </c>
      <c r="K870" t="n">
        <v>0</v>
      </c>
      <c r="L870" t="n">
        <v>0</v>
      </c>
      <c r="M870" t="n">
        <v>0</v>
      </c>
      <c r="N870" t="n">
        <v>0</v>
      </c>
      <c r="O870" t="n">
        <v>0</v>
      </c>
      <c r="P870" t="n">
        <v>0</v>
      </c>
      <c r="Q870" t="n">
        <v>0</v>
      </c>
      <c r="R870" s="2" t="inlineStr"/>
    </row>
    <row r="871" ht="15" customHeight="1">
      <c r="A871" t="inlineStr">
        <is>
          <t>A 31464-2024</t>
        </is>
      </c>
      <c r="B871" s="1" t="n">
        <v>45506</v>
      </c>
      <c r="C871" s="1" t="n">
        <v>45725</v>
      </c>
      <c r="D871" t="inlineStr">
        <is>
          <t>JÄMTLANDS LÄN</t>
        </is>
      </c>
      <c r="E871" t="inlineStr">
        <is>
          <t>ÖSTERSUND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31446-2024</t>
        </is>
      </c>
      <c r="B872" s="1" t="n">
        <v>45506</v>
      </c>
      <c r="C872" s="1" t="n">
        <v>45725</v>
      </c>
      <c r="D872" t="inlineStr">
        <is>
          <t>JÄMTLANDS LÄN</t>
        </is>
      </c>
      <c r="E872" t="inlineStr">
        <is>
          <t>ÖSTERSUND</t>
        </is>
      </c>
      <c r="G872" t="n">
        <v>5.5</v>
      </c>
      <c r="H872" t="n">
        <v>0</v>
      </c>
      <c r="I872" t="n">
        <v>0</v>
      </c>
      <c r="J872" t="n">
        <v>0</v>
      </c>
      <c r="K872" t="n">
        <v>0</v>
      </c>
      <c r="L872" t="n">
        <v>0</v>
      </c>
      <c r="M872" t="n">
        <v>0</v>
      </c>
      <c r="N872" t="n">
        <v>0</v>
      </c>
      <c r="O872" t="n">
        <v>0</v>
      </c>
      <c r="P872" t="n">
        <v>0</v>
      </c>
      <c r="Q872" t="n">
        <v>0</v>
      </c>
      <c r="R872" s="2" t="inlineStr"/>
    </row>
    <row r="873" ht="15" customHeight="1">
      <c r="A873" t="inlineStr">
        <is>
          <t>A 31445-2024</t>
        </is>
      </c>
      <c r="B873" s="1" t="n">
        <v>45506</v>
      </c>
      <c r="C873" s="1" t="n">
        <v>45725</v>
      </c>
      <c r="D873" t="inlineStr">
        <is>
          <t>JÄMTLANDS LÄN</t>
        </is>
      </c>
      <c r="E873" t="inlineStr">
        <is>
          <t>ÖSTERSUND</t>
        </is>
      </c>
      <c r="G873" t="n">
        <v>0.8</v>
      </c>
      <c r="H873" t="n">
        <v>0</v>
      </c>
      <c r="I873" t="n">
        <v>0</v>
      </c>
      <c r="J873" t="n">
        <v>0</v>
      </c>
      <c r="K873" t="n">
        <v>0</v>
      </c>
      <c r="L873" t="n">
        <v>0</v>
      </c>
      <c r="M873" t="n">
        <v>0</v>
      </c>
      <c r="N873" t="n">
        <v>0</v>
      </c>
      <c r="O873" t="n">
        <v>0</v>
      </c>
      <c r="P873" t="n">
        <v>0</v>
      </c>
      <c r="Q873" t="n">
        <v>0</v>
      </c>
      <c r="R873" s="2" t="inlineStr"/>
    </row>
    <row r="874" ht="15" customHeight="1">
      <c r="A874" t="inlineStr">
        <is>
          <t>A 32224-2024</t>
        </is>
      </c>
      <c r="B874" s="1" t="n">
        <v>45512</v>
      </c>
      <c r="C874" s="1" t="n">
        <v>45725</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32225-2024</t>
        </is>
      </c>
      <c r="B875" s="1" t="n">
        <v>45512</v>
      </c>
      <c r="C875" s="1" t="n">
        <v>45725</v>
      </c>
      <c r="D875" t="inlineStr">
        <is>
          <t>JÄMTLANDS LÄN</t>
        </is>
      </c>
      <c r="E875" t="inlineStr">
        <is>
          <t>ÖSTERSUND</t>
        </is>
      </c>
      <c r="G875" t="n">
        <v>2</v>
      </c>
      <c r="H875" t="n">
        <v>0</v>
      </c>
      <c r="I875" t="n">
        <v>0</v>
      </c>
      <c r="J875" t="n">
        <v>0</v>
      </c>
      <c r="K875" t="n">
        <v>0</v>
      </c>
      <c r="L875" t="n">
        <v>0</v>
      </c>
      <c r="M875" t="n">
        <v>0</v>
      </c>
      <c r="N875" t="n">
        <v>0</v>
      </c>
      <c r="O875" t="n">
        <v>0</v>
      </c>
      <c r="P875" t="n">
        <v>0</v>
      </c>
      <c r="Q875" t="n">
        <v>0</v>
      </c>
      <c r="R875" s="2" t="inlineStr"/>
    </row>
    <row r="876" ht="15" customHeight="1">
      <c r="A876" t="inlineStr">
        <is>
          <t>A 33091-2024</t>
        </is>
      </c>
      <c r="B876" s="1" t="n">
        <v>45517</v>
      </c>
      <c r="C876" s="1" t="n">
        <v>45725</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33015-2024</t>
        </is>
      </c>
      <c r="B877" s="1" t="n">
        <v>45517</v>
      </c>
      <c r="C877" s="1" t="n">
        <v>45725</v>
      </c>
      <c r="D877" t="inlineStr">
        <is>
          <t>JÄMTLANDS LÄN</t>
        </is>
      </c>
      <c r="E877" t="inlineStr">
        <is>
          <t>ÖSTERSUND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33621-2024</t>
        </is>
      </c>
      <c r="B878" s="1" t="n">
        <v>45520</v>
      </c>
      <c r="C878" s="1" t="n">
        <v>45725</v>
      </c>
      <c r="D878" t="inlineStr">
        <is>
          <t>JÄMTLANDS LÄN</t>
        </is>
      </c>
      <c r="E878" t="inlineStr">
        <is>
          <t>ÖSTERSUND</t>
        </is>
      </c>
      <c r="G878" t="n">
        <v>2.1</v>
      </c>
      <c r="H878" t="n">
        <v>0</v>
      </c>
      <c r="I878" t="n">
        <v>0</v>
      </c>
      <c r="J878" t="n">
        <v>0</v>
      </c>
      <c r="K878" t="n">
        <v>0</v>
      </c>
      <c r="L878" t="n">
        <v>0</v>
      </c>
      <c r="M878" t="n">
        <v>0</v>
      </c>
      <c r="N878" t="n">
        <v>0</v>
      </c>
      <c r="O878" t="n">
        <v>0</v>
      </c>
      <c r="P878" t="n">
        <v>0</v>
      </c>
      <c r="Q878" t="n">
        <v>0</v>
      </c>
      <c r="R878" s="2" t="inlineStr"/>
    </row>
    <row r="879" ht="15" customHeight="1">
      <c r="A879" t="inlineStr">
        <is>
          <t>A 33779-2024</t>
        </is>
      </c>
      <c r="B879" s="1" t="n">
        <v>45520</v>
      </c>
      <c r="C879" s="1" t="n">
        <v>45725</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34112-2024</t>
        </is>
      </c>
      <c r="B880" s="1" t="n">
        <v>45524</v>
      </c>
      <c r="C880" s="1" t="n">
        <v>45725</v>
      </c>
      <c r="D880" t="inlineStr">
        <is>
          <t>JÄMTLANDS LÄN</t>
        </is>
      </c>
      <c r="E880" t="inlineStr">
        <is>
          <t>ÖSTERSUND</t>
        </is>
      </c>
      <c r="G880" t="n">
        <v>1.2</v>
      </c>
      <c r="H880" t="n">
        <v>0</v>
      </c>
      <c r="I880" t="n">
        <v>0</v>
      </c>
      <c r="J880" t="n">
        <v>0</v>
      </c>
      <c r="K880" t="n">
        <v>0</v>
      </c>
      <c r="L880" t="n">
        <v>0</v>
      </c>
      <c r="M880" t="n">
        <v>0</v>
      </c>
      <c r="N880" t="n">
        <v>0</v>
      </c>
      <c r="O880" t="n">
        <v>0</v>
      </c>
      <c r="P880" t="n">
        <v>0</v>
      </c>
      <c r="Q880" t="n">
        <v>0</v>
      </c>
      <c r="R880" s="2" t="inlineStr"/>
    </row>
    <row r="881" ht="15" customHeight="1">
      <c r="A881" t="inlineStr">
        <is>
          <t>A 34118-2024</t>
        </is>
      </c>
      <c r="B881" s="1" t="n">
        <v>45524</v>
      </c>
      <c r="C881" s="1" t="n">
        <v>45725</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34470-2024</t>
        </is>
      </c>
      <c r="B882" s="1" t="n">
        <v>45525</v>
      </c>
      <c r="C882" s="1" t="n">
        <v>45725</v>
      </c>
      <c r="D882" t="inlineStr">
        <is>
          <t>JÄMTLANDS LÄN</t>
        </is>
      </c>
      <c r="E882" t="inlineStr">
        <is>
          <t>ÖSTERSUND</t>
        </is>
      </c>
      <c r="G882" t="n">
        <v>7.6</v>
      </c>
      <c r="H882" t="n">
        <v>0</v>
      </c>
      <c r="I882" t="n">
        <v>0</v>
      </c>
      <c r="J882" t="n">
        <v>0</v>
      </c>
      <c r="K882" t="n">
        <v>0</v>
      </c>
      <c r="L882" t="n">
        <v>0</v>
      </c>
      <c r="M882" t="n">
        <v>0</v>
      </c>
      <c r="N882" t="n">
        <v>0</v>
      </c>
      <c r="O882" t="n">
        <v>0</v>
      </c>
      <c r="P882" t="n">
        <v>0</v>
      </c>
      <c r="Q882" t="n">
        <v>0</v>
      </c>
      <c r="R882" s="2" t="inlineStr"/>
    </row>
    <row r="883" ht="15" customHeight="1">
      <c r="A883" t="inlineStr">
        <is>
          <t>A 34507-2024</t>
        </is>
      </c>
      <c r="B883" s="1" t="n">
        <v>45525</v>
      </c>
      <c r="C883" s="1" t="n">
        <v>45725</v>
      </c>
      <c r="D883" t="inlineStr">
        <is>
          <t>JÄMTLANDS LÄN</t>
        </is>
      </c>
      <c r="E883" t="inlineStr">
        <is>
          <t>ÖSTERSUND</t>
        </is>
      </c>
      <c r="G883" t="n">
        <v>0.6</v>
      </c>
      <c r="H883" t="n">
        <v>0</v>
      </c>
      <c r="I883" t="n">
        <v>0</v>
      </c>
      <c r="J883" t="n">
        <v>0</v>
      </c>
      <c r="K883" t="n">
        <v>0</v>
      </c>
      <c r="L883" t="n">
        <v>0</v>
      </c>
      <c r="M883" t="n">
        <v>0</v>
      </c>
      <c r="N883" t="n">
        <v>0</v>
      </c>
      <c r="O883" t="n">
        <v>0</v>
      </c>
      <c r="P883" t="n">
        <v>0</v>
      </c>
      <c r="Q883" t="n">
        <v>0</v>
      </c>
      <c r="R883" s="2" t="inlineStr"/>
    </row>
    <row r="884" ht="15" customHeight="1">
      <c r="A884" t="inlineStr">
        <is>
          <t>A 35984-2024</t>
        </is>
      </c>
      <c r="B884" s="1" t="n">
        <v>45533</v>
      </c>
      <c r="C884" s="1" t="n">
        <v>45725</v>
      </c>
      <c r="D884" t="inlineStr">
        <is>
          <t>JÄMTLANDS LÄN</t>
        </is>
      </c>
      <c r="E884" t="inlineStr">
        <is>
          <t>ÖSTERSUND</t>
        </is>
      </c>
      <c r="G884" t="n">
        <v>2.9</v>
      </c>
      <c r="H884" t="n">
        <v>0</v>
      </c>
      <c r="I884" t="n">
        <v>0</v>
      </c>
      <c r="J884" t="n">
        <v>0</v>
      </c>
      <c r="K884" t="n">
        <v>0</v>
      </c>
      <c r="L884" t="n">
        <v>0</v>
      </c>
      <c r="M884" t="n">
        <v>0</v>
      </c>
      <c r="N884" t="n">
        <v>0</v>
      </c>
      <c r="O884" t="n">
        <v>0</v>
      </c>
      <c r="P884" t="n">
        <v>0</v>
      </c>
      <c r="Q884" t="n">
        <v>0</v>
      </c>
      <c r="R884" s="2" t="inlineStr"/>
    </row>
    <row r="885" ht="15" customHeight="1">
      <c r="A885" t="inlineStr">
        <is>
          <t>A 36465-2024</t>
        </is>
      </c>
      <c r="B885" s="1" t="n">
        <v>45537</v>
      </c>
      <c r="C885" s="1" t="n">
        <v>45725</v>
      </c>
      <c r="D885" t="inlineStr">
        <is>
          <t>JÄMTLANDS LÄN</t>
        </is>
      </c>
      <c r="E885" t="inlineStr">
        <is>
          <t>ÖSTERSUND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36469-2024</t>
        </is>
      </c>
      <c r="B886" s="1" t="n">
        <v>45537</v>
      </c>
      <c r="C886" s="1" t="n">
        <v>45725</v>
      </c>
      <c r="D886" t="inlineStr">
        <is>
          <t>JÄMTLANDS LÄN</t>
        </is>
      </c>
      <c r="E886" t="inlineStr">
        <is>
          <t>ÖSTERSUND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37270-2024</t>
        </is>
      </c>
      <c r="B887" s="1" t="n">
        <v>45540</v>
      </c>
      <c r="C887" s="1" t="n">
        <v>45725</v>
      </c>
      <c r="D887" t="inlineStr">
        <is>
          <t>JÄMTLANDS LÄN</t>
        </is>
      </c>
      <c r="E887" t="inlineStr">
        <is>
          <t>ÖSTERSUND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37685-2024</t>
        </is>
      </c>
      <c r="B888" s="1" t="n">
        <v>45541</v>
      </c>
      <c r="C888" s="1" t="n">
        <v>45725</v>
      </c>
      <c r="D888" t="inlineStr">
        <is>
          <t>JÄMTLANDS LÄN</t>
        </is>
      </c>
      <c r="E888" t="inlineStr">
        <is>
          <t>ÖSTERSUND</t>
        </is>
      </c>
      <c r="F888" t="inlineStr">
        <is>
          <t>SCA</t>
        </is>
      </c>
      <c r="G888" t="n">
        <v>11.2</v>
      </c>
      <c r="H888" t="n">
        <v>0</v>
      </c>
      <c r="I888" t="n">
        <v>0</v>
      </c>
      <c r="J888" t="n">
        <v>0</v>
      </c>
      <c r="K888" t="n">
        <v>0</v>
      </c>
      <c r="L888" t="n">
        <v>0</v>
      </c>
      <c r="M888" t="n">
        <v>0</v>
      </c>
      <c r="N888" t="n">
        <v>0</v>
      </c>
      <c r="O888" t="n">
        <v>0</v>
      </c>
      <c r="P888" t="n">
        <v>0</v>
      </c>
      <c r="Q888" t="n">
        <v>0</v>
      </c>
      <c r="R888" s="2" t="inlineStr"/>
    </row>
    <row r="889" ht="15" customHeight="1">
      <c r="A889" t="inlineStr">
        <is>
          <t>A 38926-2024</t>
        </is>
      </c>
      <c r="B889" s="1" t="n">
        <v>45547</v>
      </c>
      <c r="C889" s="1" t="n">
        <v>45725</v>
      </c>
      <c r="D889" t="inlineStr">
        <is>
          <t>JÄMTLANDS LÄN</t>
        </is>
      </c>
      <c r="E889" t="inlineStr">
        <is>
          <t>ÖSTERSUND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38920-2024</t>
        </is>
      </c>
      <c r="B890" s="1" t="n">
        <v>45547</v>
      </c>
      <c r="C890" s="1" t="n">
        <v>45725</v>
      </c>
      <c r="D890" t="inlineStr">
        <is>
          <t>JÄMTLANDS LÄN</t>
        </is>
      </c>
      <c r="E890" t="inlineStr">
        <is>
          <t>ÖSTERSUND</t>
        </is>
      </c>
      <c r="G890" t="n">
        <v>1.9</v>
      </c>
      <c r="H890" t="n">
        <v>0</v>
      </c>
      <c r="I890" t="n">
        <v>0</v>
      </c>
      <c r="J890" t="n">
        <v>0</v>
      </c>
      <c r="K890" t="n">
        <v>0</v>
      </c>
      <c r="L890" t="n">
        <v>0</v>
      </c>
      <c r="M890" t="n">
        <v>0</v>
      </c>
      <c r="N890" t="n">
        <v>0</v>
      </c>
      <c r="O890" t="n">
        <v>0</v>
      </c>
      <c r="P890" t="n">
        <v>0</v>
      </c>
      <c r="Q890" t="n">
        <v>0</v>
      </c>
      <c r="R890" s="2" t="inlineStr"/>
    </row>
    <row r="891" ht="15" customHeight="1">
      <c r="A891" t="inlineStr">
        <is>
          <t>A 38924-2024</t>
        </is>
      </c>
      <c r="B891" s="1" t="n">
        <v>45547</v>
      </c>
      <c r="C891" s="1" t="n">
        <v>45725</v>
      </c>
      <c r="D891" t="inlineStr">
        <is>
          <t>JÄMTLANDS LÄN</t>
        </is>
      </c>
      <c r="E891" t="inlineStr">
        <is>
          <t>ÖSTERSUND</t>
        </is>
      </c>
      <c r="G891" t="n">
        <v>3.5</v>
      </c>
      <c r="H891" t="n">
        <v>0</v>
      </c>
      <c r="I891" t="n">
        <v>0</v>
      </c>
      <c r="J891" t="n">
        <v>0</v>
      </c>
      <c r="K891" t="n">
        <v>0</v>
      </c>
      <c r="L891" t="n">
        <v>0</v>
      </c>
      <c r="M891" t="n">
        <v>0</v>
      </c>
      <c r="N891" t="n">
        <v>0</v>
      </c>
      <c r="O891" t="n">
        <v>0</v>
      </c>
      <c r="P891" t="n">
        <v>0</v>
      </c>
      <c r="Q891" t="n">
        <v>0</v>
      </c>
      <c r="R891" s="2" t="inlineStr"/>
    </row>
    <row r="892" ht="15" customHeight="1">
      <c r="A892" t="inlineStr">
        <is>
          <t>A 39065-2024</t>
        </is>
      </c>
      <c r="B892" s="1" t="n">
        <v>45548</v>
      </c>
      <c r="C892" s="1" t="n">
        <v>45725</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39510-2024</t>
        </is>
      </c>
      <c r="B893" s="1" t="n">
        <v>45551</v>
      </c>
      <c r="C893" s="1" t="n">
        <v>45725</v>
      </c>
      <c r="D893" t="inlineStr">
        <is>
          <t>JÄMTLANDS LÄN</t>
        </is>
      </c>
      <c r="E893" t="inlineStr">
        <is>
          <t>ÖSTERSUND</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39509-2024</t>
        </is>
      </c>
      <c r="B894" s="1" t="n">
        <v>45551</v>
      </c>
      <c r="C894" s="1" t="n">
        <v>45725</v>
      </c>
      <c r="D894" t="inlineStr">
        <is>
          <t>JÄMTLANDS LÄN</t>
        </is>
      </c>
      <c r="E894" t="inlineStr">
        <is>
          <t>ÖSTERSUND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39915-2024</t>
        </is>
      </c>
      <c r="B895" s="1" t="n">
        <v>45553</v>
      </c>
      <c r="C895" s="1" t="n">
        <v>45725</v>
      </c>
      <c r="D895" t="inlineStr">
        <is>
          <t>JÄMTLANDS LÄN</t>
        </is>
      </c>
      <c r="E895" t="inlineStr">
        <is>
          <t>ÖSTERSUND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39975-2024</t>
        </is>
      </c>
      <c r="B896" s="1" t="n">
        <v>45553</v>
      </c>
      <c r="C896" s="1" t="n">
        <v>45725</v>
      </c>
      <c r="D896" t="inlineStr">
        <is>
          <t>JÄMTLANDS LÄN</t>
        </is>
      </c>
      <c r="E896" t="inlineStr">
        <is>
          <t>ÖSTERSUND</t>
        </is>
      </c>
      <c r="G896" t="n">
        <v>3.8</v>
      </c>
      <c r="H896" t="n">
        <v>0</v>
      </c>
      <c r="I896" t="n">
        <v>0</v>
      </c>
      <c r="J896" t="n">
        <v>0</v>
      </c>
      <c r="K896" t="n">
        <v>0</v>
      </c>
      <c r="L896" t="n">
        <v>0</v>
      </c>
      <c r="M896" t="n">
        <v>0</v>
      </c>
      <c r="N896" t="n">
        <v>0</v>
      </c>
      <c r="O896" t="n">
        <v>0</v>
      </c>
      <c r="P896" t="n">
        <v>0</v>
      </c>
      <c r="Q896" t="n">
        <v>0</v>
      </c>
      <c r="R896" s="2" t="inlineStr"/>
    </row>
    <row r="897" ht="15" customHeight="1">
      <c r="A897" t="inlineStr">
        <is>
          <t>A 40672-2024</t>
        </is>
      </c>
      <c r="B897" s="1" t="n">
        <v>45557</v>
      </c>
      <c r="C897" s="1" t="n">
        <v>45725</v>
      </c>
      <c r="D897" t="inlineStr">
        <is>
          <t>JÄMTLANDS LÄN</t>
        </is>
      </c>
      <c r="E897" t="inlineStr">
        <is>
          <t>ÖSTERSUND</t>
        </is>
      </c>
      <c r="G897" t="n">
        <v>5.2</v>
      </c>
      <c r="H897" t="n">
        <v>0</v>
      </c>
      <c r="I897" t="n">
        <v>0</v>
      </c>
      <c r="J897" t="n">
        <v>0</v>
      </c>
      <c r="K897" t="n">
        <v>0</v>
      </c>
      <c r="L897" t="n">
        <v>0</v>
      </c>
      <c r="M897" t="n">
        <v>0</v>
      </c>
      <c r="N897" t="n">
        <v>0</v>
      </c>
      <c r="O897" t="n">
        <v>0</v>
      </c>
      <c r="P897" t="n">
        <v>0</v>
      </c>
      <c r="Q897" t="n">
        <v>0</v>
      </c>
      <c r="R897" s="2" t="inlineStr"/>
    </row>
    <row r="898" ht="15" customHeight="1">
      <c r="A898" t="inlineStr">
        <is>
          <t>A 40983-2024</t>
        </is>
      </c>
      <c r="B898" s="1" t="n">
        <v>45558</v>
      </c>
      <c r="C898" s="1" t="n">
        <v>45725</v>
      </c>
      <c r="D898" t="inlineStr">
        <is>
          <t>JÄMTLANDS LÄN</t>
        </is>
      </c>
      <c r="E898" t="inlineStr">
        <is>
          <t>ÖSTERSUND</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41280-2024</t>
        </is>
      </c>
      <c r="B899" s="1" t="n">
        <v>45559</v>
      </c>
      <c r="C899" s="1" t="n">
        <v>45725</v>
      </c>
      <c r="D899" t="inlineStr">
        <is>
          <t>JÄMTLANDS LÄN</t>
        </is>
      </c>
      <c r="E899" t="inlineStr">
        <is>
          <t>ÖSTERSUND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41483-2024</t>
        </is>
      </c>
      <c r="B900" s="1" t="n">
        <v>45560</v>
      </c>
      <c r="C900" s="1" t="n">
        <v>45725</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41780-2024</t>
        </is>
      </c>
      <c r="B901" s="1" t="n">
        <v>45561</v>
      </c>
      <c r="C901" s="1" t="n">
        <v>45725</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42550-2024</t>
        </is>
      </c>
      <c r="B902" s="1" t="n">
        <v>45565</v>
      </c>
      <c r="C902" s="1" t="n">
        <v>45725</v>
      </c>
      <c r="D902" t="inlineStr">
        <is>
          <t>JÄMTLANDS LÄN</t>
        </is>
      </c>
      <c r="E902" t="inlineStr">
        <is>
          <t>ÖSTERSUND</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42547-2024</t>
        </is>
      </c>
      <c r="B903" s="1" t="n">
        <v>45565</v>
      </c>
      <c r="C903" s="1" t="n">
        <v>45725</v>
      </c>
      <c r="D903" t="inlineStr">
        <is>
          <t>JÄMTLANDS LÄN</t>
        </is>
      </c>
      <c r="E903" t="inlineStr">
        <is>
          <t>ÖSTERSUND</t>
        </is>
      </c>
      <c r="F903" t="inlineStr">
        <is>
          <t>Övriga Aktiebolag</t>
        </is>
      </c>
      <c r="G903" t="n">
        <v>7.1</v>
      </c>
      <c r="H903" t="n">
        <v>0</v>
      </c>
      <c r="I903" t="n">
        <v>0</v>
      </c>
      <c r="J903" t="n">
        <v>0</v>
      </c>
      <c r="K903" t="n">
        <v>0</v>
      </c>
      <c r="L903" t="n">
        <v>0</v>
      </c>
      <c r="M903" t="n">
        <v>0</v>
      </c>
      <c r="N903" t="n">
        <v>0</v>
      </c>
      <c r="O903" t="n">
        <v>0</v>
      </c>
      <c r="P903" t="n">
        <v>0</v>
      </c>
      <c r="Q903" t="n">
        <v>0</v>
      </c>
      <c r="R903" s="2" t="inlineStr"/>
    </row>
    <row r="904" ht="15" customHeight="1">
      <c r="A904" t="inlineStr">
        <is>
          <t>A 43082-2024</t>
        </is>
      </c>
      <c r="B904" s="1" t="n">
        <v>45567</v>
      </c>
      <c r="C904" s="1" t="n">
        <v>45725</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43118-2024</t>
        </is>
      </c>
      <c r="B905" s="1" t="n">
        <v>45567</v>
      </c>
      <c r="C905" s="1" t="n">
        <v>45725</v>
      </c>
      <c r="D905" t="inlineStr">
        <is>
          <t>JÄMTLANDS LÄN</t>
        </is>
      </c>
      <c r="E905" t="inlineStr">
        <is>
          <t>ÖSTERSUND</t>
        </is>
      </c>
      <c r="G905" t="n">
        <v>5.1</v>
      </c>
      <c r="H905" t="n">
        <v>0</v>
      </c>
      <c r="I905" t="n">
        <v>0</v>
      </c>
      <c r="J905" t="n">
        <v>0</v>
      </c>
      <c r="K905" t="n">
        <v>0</v>
      </c>
      <c r="L905" t="n">
        <v>0</v>
      </c>
      <c r="M905" t="n">
        <v>0</v>
      </c>
      <c r="N905" t="n">
        <v>0</v>
      </c>
      <c r="O905" t="n">
        <v>0</v>
      </c>
      <c r="P905" t="n">
        <v>0</v>
      </c>
      <c r="Q905" t="n">
        <v>0</v>
      </c>
      <c r="R905" s="2" t="inlineStr"/>
    </row>
    <row r="906" ht="15" customHeight="1">
      <c r="A906" t="inlineStr">
        <is>
          <t>A 43016-2024</t>
        </is>
      </c>
      <c r="B906" s="1" t="n">
        <v>45567</v>
      </c>
      <c r="C906" s="1" t="n">
        <v>45725</v>
      </c>
      <c r="D906" t="inlineStr">
        <is>
          <t>JÄMTLANDS LÄN</t>
        </is>
      </c>
      <c r="E906" t="inlineStr">
        <is>
          <t>ÖSTERSUND</t>
        </is>
      </c>
      <c r="G906" t="n">
        <v>5.3</v>
      </c>
      <c r="H906" t="n">
        <v>0</v>
      </c>
      <c r="I906" t="n">
        <v>0</v>
      </c>
      <c r="J906" t="n">
        <v>0</v>
      </c>
      <c r="K906" t="n">
        <v>0</v>
      </c>
      <c r="L906" t="n">
        <v>0</v>
      </c>
      <c r="M906" t="n">
        <v>0</v>
      </c>
      <c r="N906" t="n">
        <v>0</v>
      </c>
      <c r="O906" t="n">
        <v>0</v>
      </c>
      <c r="P906" t="n">
        <v>0</v>
      </c>
      <c r="Q906" t="n">
        <v>0</v>
      </c>
      <c r="R906" s="2" t="inlineStr"/>
    </row>
    <row r="907" ht="15" customHeight="1">
      <c r="A907" t="inlineStr">
        <is>
          <t>A 43148-2024</t>
        </is>
      </c>
      <c r="B907" s="1" t="n">
        <v>45567</v>
      </c>
      <c r="C907" s="1" t="n">
        <v>45725</v>
      </c>
      <c r="D907" t="inlineStr">
        <is>
          <t>JÄMTLANDS LÄN</t>
        </is>
      </c>
      <c r="E907" t="inlineStr">
        <is>
          <t>ÖSTERSUND</t>
        </is>
      </c>
      <c r="G907" t="n">
        <v>3</v>
      </c>
      <c r="H907" t="n">
        <v>0</v>
      </c>
      <c r="I907" t="n">
        <v>0</v>
      </c>
      <c r="J907" t="n">
        <v>0</v>
      </c>
      <c r="K907" t="n">
        <v>0</v>
      </c>
      <c r="L907" t="n">
        <v>0</v>
      </c>
      <c r="M907" t="n">
        <v>0</v>
      </c>
      <c r="N907" t="n">
        <v>0</v>
      </c>
      <c r="O907" t="n">
        <v>0</v>
      </c>
      <c r="P907" t="n">
        <v>0</v>
      </c>
      <c r="Q907" t="n">
        <v>0</v>
      </c>
      <c r="R907" s="2" t="inlineStr"/>
    </row>
    <row r="908" ht="15" customHeight="1">
      <c r="A908" t="inlineStr">
        <is>
          <t>A 43557-2024</t>
        </is>
      </c>
      <c r="B908" s="1" t="n">
        <v>45569</v>
      </c>
      <c r="C908" s="1" t="n">
        <v>45725</v>
      </c>
      <c r="D908" t="inlineStr">
        <is>
          <t>JÄMTLANDS LÄN</t>
        </is>
      </c>
      <c r="E908" t="inlineStr">
        <is>
          <t>ÖSTERSUND</t>
        </is>
      </c>
      <c r="G908" t="n">
        <v>3.6</v>
      </c>
      <c r="H908" t="n">
        <v>0</v>
      </c>
      <c r="I908" t="n">
        <v>0</v>
      </c>
      <c r="J908" t="n">
        <v>0</v>
      </c>
      <c r="K908" t="n">
        <v>0</v>
      </c>
      <c r="L908" t="n">
        <v>0</v>
      </c>
      <c r="M908" t="n">
        <v>0</v>
      </c>
      <c r="N908" t="n">
        <v>0</v>
      </c>
      <c r="O908" t="n">
        <v>0</v>
      </c>
      <c r="P908" t="n">
        <v>0</v>
      </c>
      <c r="Q908" t="n">
        <v>0</v>
      </c>
      <c r="R908" s="2" t="inlineStr"/>
    </row>
    <row r="909" ht="15" customHeight="1">
      <c r="A909" t="inlineStr">
        <is>
          <t>A 43560-2024</t>
        </is>
      </c>
      <c r="B909" s="1" t="n">
        <v>45569</v>
      </c>
      <c r="C909" s="1" t="n">
        <v>45725</v>
      </c>
      <c r="D909" t="inlineStr">
        <is>
          <t>JÄMTLANDS LÄN</t>
        </is>
      </c>
      <c r="E909" t="inlineStr">
        <is>
          <t>ÖSTERSUND</t>
        </is>
      </c>
      <c r="G909" t="n">
        <v>2.7</v>
      </c>
      <c r="H909" t="n">
        <v>0</v>
      </c>
      <c r="I909" t="n">
        <v>0</v>
      </c>
      <c r="J909" t="n">
        <v>0</v>
      </c>
      <c r="K909" t="n">
        <v>0</v>
      </c>
      <c r="L909" t="n">
        <v>0</v>
      </c>
      <c r="M909" t="n">
        <v>0</v>
      </c>
      <c r="N909" t="n">
        <v>0</v>
      </c>
      <c r="O909" t="n">
        <v>0</v>
      </c>
      <c r="P909" t="n">
        <v>0</v>
      </c>
      <c r="Q909" t="n">
        <v>0</v>
      </c>
      <c r="R909" s="2" t="inlineStr"/>
    </row>
    <row r="910" ht="15" customHeight="1">
      <c r="A910" t="inlineStr">
        <is>
          <t>A 44048-2024</t>
        </is>
      </c>
      <c r="B910" s="1" t="n">
        <v>45572</v>
      </c>
      <c r="C910" s="1" t="n">
        <v>45725</v>
      </c>
      <c r="D910" t="inlineStr">
        <is>
          <t>JÄMTLANDS LÄN</t>
        </is>
      </c>
      <c r="E910" t="inlineStr">
        <is>
          <t>ÖSTERSUND</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44489-2024</t>
        </is>
      </c>
      <c r="B911" s="1" t="n">
        <v>45574</v>
      </c>
      <c r="C911" s="1" t="n">
        <v>45725</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44707-2024</t>
        </is>
      </c>
      <c r="B912" s="1" t="n">
        <v>45574</v>
      </c>
      <c r="C912" s="1" t="n">
        <v>45725</v>
      </c>
      <c r="D912" t="inlineStr">
        <is>
          <t>JÄMTLANDS LÄN</t>
        </is>
      </c>
      <c r="E912" t="inlineStr">
        <is>
          <t>ÖSTERSUND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45341-2024</t>
        </is>
      </c>
      <c r="B913" s="1" t="n">
        <v>45576</v>
      </c>
      <c r="C913" s="1" t="n">
        <v>45725</v>
      </c>
      <c r="D913" t="inlineStr">
        <is>
          <t>JÄMTLANDS LÄN</t>
        </is>
      </c>
      <c r="E913" t="inlineStr">
        <is>
          <t>ÖSTERSUND</t>
        </is>
      </c>
      <c r="G913" t="n">
        <v>5.9</v>
      </c>
      <c r="H913" t="n">
        <v>0</v>
      </c>
      <c r="I913" t="n">
        <v>0</v>
      </c>
      <c r="J913" t="n">
        <v>0</v>
      </c>
      <c r="K913" t="n">
        <v>0</v>
      </c>
      <c r="L913" t="n">
        <v>0</v>
      </c>
      <c r="M913" t="n">
        <v>0</v>
      </c>
      <c r="N913" t="n">
        <v>0</v>
      </c>
      <c r="O913" t="n">
        <v>0</v>
      </c>
      <c r="P913" t="n">
        <v>0</v>
      </c>
      <c r="Q913" t="n">
        <v>0</v>
      </c>
      <c r="R913" s="2" t="inlineStr"/>
    </row>
    <row r="914" ht="15" customHeight="1">
      <c r="A914" t="inlineStr">
        <is>
          <t>A 45338-2024</t>
        </is>
      </c>
      <c r="B914" s="1" t="n">
        <v>45576</v>
      </c>
      <c r="C914" s="1" t="n">
        <v>45725</v>
      </c>
      <c r="D914" t="inlineStr">
        <is>
          <t>JÄMTLANDS LÄN</t>
        </is>
      </c>
      <c r="E914" t="inlineStr">
        <is>
          <t>ÖSTERSUND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45340-2024</t>
        </is>
      </c>
      <c r="B915" s="1" t="n">
        <v>45576</v>
      </c>
      <c r="C915" s="1" t="n">
        <v>45725</v>
      </c>
      <c r="D915" t="inlineStr">
        <is>
          <t>JÄMTLANDS LÄN</t>
        </is>
      </c>
      <c r="E915" t="inlineStr">
        <is>
          <t>ÖSTERSUND</t>
        </is>
      </c>
      <c r="G915" t="n">
        <v>1.6</v>
      </c>
      <c r="H915" t="n">
        <v>0</v>
      </c>
      <c r="I915" t="n">
        <v>0</v>
      </c>
      <c r="J915" t="n">
        <v>0</v>
      </c>
      <c r="K915" t="n">
        <v>0</v>
      </c>
      <c r="L915" t="n">
        <v>0</v>
      </c>
      <c r="M915" t="n">
        <v>0</v>
      </c>
      <c r="N915" t="n">
        <v>0</v>
      </c>
      <c r="O915" t="n">
        <v>0</v>
      </c>
      <c r="P915" t="n">
        <v>0</v>
      </c>
      <c r="Q915" t="n">
        <v>0</v>
      </c>
      <c r="R915" s="2" t="inlineStr"/>
    </row>
    <row r="916" ht="15" customHeight="1">
      <c r="A916" t="inlineStr">
        <is>
          <t>A 45610-2024</t>
        </is>
      </c>
      <c r="B916" s="1" t="n">
        <v>45579</v>
      </c>
      <c r="C916" s="1" t="n">
        <v>45725</v>
      </c>
      <c r="D916" t="inlineStr">
        <is>
          <t>JÄMTLANDS LÄN</t>
        </is>
      </c>
      <c r="E916" t="inlineStr">
        <is>
          <t>ÖSTERSUND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45742-2024</t>
        </is>
      </c>
      <c r="B917" s="1" t="n">
        <v>45579</v>
      </c>
      <c r="C917" s="1" t="n">
        <v>45725</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45895-2024</t>
        </is>
      </c>
      <c r="B918" s="1" t="n">
        <v>45580</v>
      </c>
      <c r="C918" s="1" t="n">
        <v>45725</v>
      </c>
      <c r="D918" t="inlineStr">
        <is>
          <t>JÄMTLANDS LÄN</t>
        </is>
      </c>
      <c r="E918" t="inlineStr">
        <is>
          <t>ÖSTERSUND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45856-2024</t>
        </is>
      </c>
      <c r="B919" s="1" t="n">
        <v>45580</v>
      </c>
      <c r="C919" s="1" t="n">
        <v>45725</v>
      </c>
      <c r="D919" t="inlineStr">
        <is>
          <t>JÄMTLANDS LÄN</t>
        </is>
      </c>
      <c r="E919" t="inlineStr">
        <is>
          <t>ÖSTERSUND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46732-2024</t>
        </is>
      </c>
      <c r="B920" s="1" t="n">
        <v>45583</v>
      </c>
      <c r="C920" s="1" t="n">
        <v>45725</v>
      </c>
      <c r="D920" t="inlineStr">
        <is>
          <t>JÄMTLANDS LÄN</t>
        </is>
      </c>
      <c r="E920" t="inlineStr">
        <is>
          <t>ÖSTERSUND</t>
        </is>
      </c>
      <c r="G920" t="n">
        <v>3.3</v>
      </c>
      <c r="H920" t="n">
        <v>0</v>
      </c>
      <c r="I920" t="n">
        <v>0</v>
      </c>
      <c r="J920" t="n">
        <v>0</v>
      </c>
      <c r="K920" t="n">
        <v>0</v>
      </c>
      <c r="L920" t="n">
        <v>0</v>
      </c>
      <c r="M920" t="n">
        <v>0</v>
      </c>
      <c r="N920" t="n">
        <v>0</v>
      </c>
      <c r="O920" t="n">
        <v>0</v>
      </c>
      <c r="P920" t="n">
        <v>0</v>
      </c>
      <c r="Q920" t="n">
        <v>0</v>
      </c>
      <c r="R920" s="2" t="inlineStr"/>
    </row>
    <row r="921" ht="15" customHeight="1">
      <c r="A921" t="inlineStr">
        <is>
          <t>A 47245-2024</t>
        </is>
      </c>
      <c r="B921" s="1" t="n">
        <v>45586</v>
      </c>
      <c r="C921" s="1" t="n">
        <v>45725</v>
      </c>
      <c r="D921" t="inlineStr">
        <is>
          <t>JÄMTLANDS LÄN</t>
        </is>
      </c>
      <c r="E921" t="inlineStr">
        <is>
          <t>ÖSTERSUND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47022-2024</t>
        </is>
      </c>
      <c r="B922" s="1" t="n">
        <v>45586</v>
      </c>
      <c r="C922" s="1" t="n">
        <v>45725</v>
      </c>
      <c r="D922" t="inlineStr">
        <is>
          <t>JÄMTLANDS LÄN</t>
        </is>
      </c>
      <c r="E922" t="inlineStr">
        <is>
          <t>ÖSTERSUND</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47357-2024</t>
        </is>
      </c>
      <c r="B923" s="1" t="n">
        <v>45587</v>
      </c>
      <c r="C923" s="1" t="n">
        <v>45725</v>
      </c>
      <c r="D923" t="inlineStr">
        <is>
          <t>JÄMTLANDS LÄN</t>
        </is>
      </c>
      <c r="E923" t="inlineStr">
        <is>
          <t>ÖSTERSUND</t>
        </is>
      </c>
      <c r="G923" t="n">
        <v>2.4</v>
      </c>
      <c r="H923" t="n">
        <v>0</v>
      </c>
      <c r="I923" t="n">
        <v>0</v>
      </c>
      <c r="J923" t="n">
        <v>0</v>
      </c>
      <c r="K923" t="n">
        <v>0</v>
      </c>
      <c r="L923" t="n">
        <v>0</v>
      </c>
      <c r="M923" t="n">
        <v>0</v>
      </c>
      <c r="N923" t="n">
        <v>0</v>
      </c>
      <c r="O923" t="n">
        <v>0</v>
      </c>
      <c r="P923" t="n">
        <v>0</v>
      </c>
      <c r="Q923" t="n">
        <v>0</v>
      </c>
      <c r="R923" s="2" t="inlineStr"/>
    </row>
    <row r="924" ht="15" customHeight="1">
      <c r="A924" t="inlineStr">
        <is>
          <t>A 47804-2024</t>
        </is>
      </c>
      <c r="B924" s="1" t="n">
        <v>45588</v>
      </c>
      <c r="C924" s="1" t="n">
        <v>45725</v>
      </c>
      <c r="D924" t="inlineStr">
        <is>
          <t>JÄMTLANDS LÄN</t>
        </is>
      </c>
      <c r="E924" t="inlineStr">
        <is>
          <t>ÖSTERSUND</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47630-2024</t>
        </is>
      </c>
      <c r="B925" s="1" t="n">
        <v>45588</v>
      </c>
      <c r="C925" s="1" t="n">
        <v>45725</v>
      </c>
      <c r="D925" t="inlineStr">
        <is>
          <t>JÄMTLANDS LÄN</t>
        </is>
      </c>
      <c r="E925" t="inlineStr">
        <is>
          <t>ÖSTERSUND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47628-2024</t>
        </is>
      </c>
      <c r="B926" s="1" t="n">
        <v>45588</v>
      </c>
      <c r="C926" s="1" t="n">
        <v>45725</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47789-2024</t>
        </is>
      </c>
      <c r="B927" s="1" t="n">
        <v>45588</v>
      </c>
      <c r="C927" s="1" t="n">
        <v>45725</v>
      </c>
      <c r="D927" t="inlineStr">
        <is>
          <t>JÄMTLANDS LÄN</t>
        </is>
      </c>
      <c r="E927" t="inlineStr">
        <is>
          <t>ÖSTERSUND</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47805-2024</t>
        </is>
      </c>
      <c r="B928" s="1" t="n">
        <v>45588</v>
      </c>
      <c r="C928" s="1" t="n">
        <v>45725</v>
      </c>
      <c r="D928" t="inlineStr">
        <is>
          <t>JÄMTLANDS LÄN</t>
        </is>
      </c>
      <c r="E928" t="inlineStr">
        <is>
          <t>ÖSTERSUND</t>
        </is>
      </c>
      <c r="G928" t="n">
        <v>7.4</v>
      </c>
      <c r="H928" t="n">
        <v>0</v>
      </c>
      <c r="I928" t="n">
        <v>0</v>
      </c>
      <c r="J928" t="n">
        <v>0</v>
      </c>
      <c r="K928" t="n">
        <v>0</v>
      </c>
      <c r="L928" t="n">
        <v>0</v>
      </c>
      <c r="M928" t="n">
        <v>0</v>
      </c>
      <c r="N928" t="n">
        <v>0</v>
      </c>
      <c r="O928" t="n">
        <v>0</v>
      </c>
      <c r="P928" t="n">
        <v>0</v>
      </c>
      <c r="Q928" t="n">
        <v>0</v>
      </c>
      <c r="R928" s="2" t="inlineStr"/>
    </row>
    <row r="929" ht="15" customHeight="1">
      <c r="A929" t="inlineStr">
        <is>
          <t>A 47627-2024</t>
        </is>
      </c>
      <c r="B929" s="1" t="n">
        <v>45588</v>
      </c>
      <c r="C929" s="1" t="n">
        <v>45725</v>
      </c>
      <c r="D929" t="inlineStr">
        <is>
          <t>JÄMTLANDS LÄN</t>
        </is>
      </c>
      <c r="E929" t="inlineStr">
        <is>
          <t>ÖSTERSUND</t>
        </is>
      </c>
      <c r="G929" t="n">
        <v>0.8</v>
      </c>
      <c r="H929" t="n">
        <v>0</v>
      </c>
      <c r="I929" t="n">
        <v>0</v>
      </c>
      <c r="J929" t="n">
        <v>0</v>
      </c>
      <c r="K929" t="n">
        <v>0</v>
      </c>
      <c r="L929" t="n">
        <v>0</v>
      </c>
      <c r="M929" t="n">
        <v>0</v>
      </c>
      <c r="N929" t="n">
        <v>0</v>
      </c>
      <c r="O929" t="n">
        <v>0</v>
      </c>
      <c r="P929" t="n">
        <v>0</v>
      </c>
      <c r="Q929" t="n">
        <v>0</v>
      </c>
      <c r="R929" s="2" t="inlineStr"/>
    </row>
    <row r="930" ht="15" customHeight="1">
      <c r="A930" t="inlineStr">
        <is>
          <t>A 48131-2024</t>
        </is>
      </c>
      <c r="B930" s="1" t="n">
        <v>45589</v>
      </c>
      <c r="C930" s="1" t="n">
        <v>45725</v>
      </c>
      <c r="D930" t="inlineStr">
        <is>
          <t>JÄMTLANDS LÄN</t>
        </is>
      </c>
      <c r="E930" t="inlineStr">
        <is>
          <t>ÖSTERSUND</t>
        </is>
      </c>
      <c r="G930" t="n">
        <v>2.6</v>
      </c>
      <c r="H930" t="n">
        <v>0</v>
      </c>
      <c r="I930" t="n">
        <v>0</v>
      </c>
      <c r="J930" t="n">
        <v>0</v>
      </c>
      <c r="K930" t="n">
        <v>0</v>
      </c>
      <c r="L930" t="n">
        <v>0</v>
      </c>
      <c r="M930" t="n">
        <v>0</v>
      </c>
      <c r="N930" t="n">
        <v>0</v>
      </c>
      <c r="O930" t="n">
        <v>0</v>
      </c>
      <c r="P930" t="n">
        <v>0</v>
      </c>
      <c r="Q930" t="n">
        <v>0</v>
      </c>
      <c r="R930" s="2" t="inlineStr"/>
    </row>
    <row r="931" ht="15" customHeight="1">
      <c r="A931" t="inlineStr">
        <is>
          <t>A 48106-2024</t>
        </is>
      </c>
      <c r="B931" s="1" t="n">
        <v>45589</v>
      </c>
      <c r="C931" s="1" t="n">
        <v>45725</v>
      </c>
      <c r="D931" t="inlineStr">
        <is>
          <t>JÄMTLANDS LÄN</t>
        </is>
      </c>
      <c r="E931" t="inlineStr">
        <is>
          <t>ÖSTERSUND</t>
        </is>
      </c>
      <c r="G931" t="n">
        <v>3.5</v>
      </c>
      <c r="H931" t="n">
        <v>0</v>
      </c>
      <c r="I931" t="n">
        <v>0</v>
      </c>
      <c r="J931" t="n">
        <v>0</v>
      </c>
      <c r="K931" t="n">
        <v>0</v>
      </c>
      <c r="L931" t="n">
        <v>0</v>
      </c>
      <c r="M931" t="n">
        <v>0</v>
      </c>
      <c r="N931" t="n">
        <v>0</v>
      </c>
      <c r="O931" t="n">
        <v>0</v>
      </c>
      <c r="P931" t="n">
        <v>0</v>
      </c>
      <c r="Q931" t="n">
        <v>0</v>
      </c>
      <c r="R931" s="2" t="inlineStr"/>
    </row>
    <row r="932" ht="15" customHeight="1">
      <c r="A932" t="inlineStr">
        <is>
          <t>A 48421-2024</t>
        </is>
      </c>
      <c r="B932" s="1" t="n">
        <v>45590</v>
      </c>
      <c r="C932" s="1" t="n">
        <v>45725</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48422-2024</t>
        </is>
      </c>
      <c r="B933" s="1" t="n">
        <v>45590</v>
      </c>
      <c r="C933" s="1" t="n">
        <v>45725</v>
      </c>
      <c r="D933" t="inlineStr">
        <is>
          <t>JÄMTLANDS LÄN</t>
        </is>
      </c>
      <c r="E933" t="inlineStr">
        <is>
          <t>ÖSTERSUND</t>
        </is>
      </c>
      <c r="G933" t="n">
        <v>14.6</v>
      </c>
      <c r="H933" t="n">
        <v>0</v>
      </c>
      <c r="I933" t="n">
        <v>0</v>
      </c>
      <c r="J933" t="n">
        <v>0</v>
      </c>
      <c r="K933" t="n">
        <v>0</v>
      </c>
      <c r="L933" t="n">
        <v>0</v>
      </c>
      <c r="M933" t="n">
        <v>0</v>
      </c>
      <c r="N933" t="n">
        <v>0</v>
      </c>
      <c r="O933" t="n">
        <v>0</v>
      </c>
      <c r="P933" t="n">
        <v>0</v>
      </c>
      <c r="Q933" t="n">
        <v>0</v>
      </c>
      <c r="R933" s="2" t="inlineStr"/>
    </row>
    <row r="934" ht="15" customHeight="1">
      <c r="A934" t="inlineStr">
        <is>
          <t>A 48696-2024</t>
        </is>
      </c>
      <c r="B934" s="1" t="n">
        <v>45593</v>
      </c>
      <c r="C934" s="1" t="n">
        <v>45725</v>
      </c>
      <c r="D934" t="inlineStr">
        <is>
          <t>JÄMTLANDS LÄN</t>
        </is>
      </c>
      <c r="E934" t="inlineStr">
        <is>
          <t>ÖSTERSUND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48737-2024</t>
        </is>
      </c>
      <c r="B935" s="1" t="n">
        <v>45593</v>
      </c>
      <c r="C935" s="1" t="n">
        <v>45725</v>
      </c>
      <c r="D935" t="inlineStr">
        <is>
          <t>JÄMTLANDS LÄN</t>
        </is>
      </c>
      <c r="E935" t="inlineStr">
        <is>
          <t>ÖSTERSUND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49192-2024</t>
        </is>
      </c>
      <c r="B936" s="1" t="n">
        <v>45595</v>
      </c>
      <c r="C936" s="1" t="n">
        <v>45725</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49240-2024</t>
        </is>
      </c>
      <c r="B937" s="1" t="n">
        <v>45595</v>
      </c>
      <c r="C937" s="1" t="n">
        <v>45725</v>
      </c>
      <c r="D937" t="inlineStr">
        <is>
          <t>JÄMTLANDS LÄN</t>
        </is>
      </c>
      <c r="E937" t="inlineStr">
        <is>
          <t>ÖSTERSUND</t>
        </is>
      </c>
      <c r="G937" t="n">
        <v>5.1</v>
      </c>
      <c r="H937" t="n">
        <v>0</v>
      </c>
      <c r="I937" t="n">
        <v>0</v>
      </c>
      <c r="J937" t="n">
        <v>0</v>
      </c>
      <c r="K937" t="n">
        <v>0</v>
      </c>
      <c r="L937" t="n">
        <v>0</v>
      </c>
      <c r="M937" t="n">
        <v>0</v>
      </c>
      <c r="N937" t="n">
        <v>0</v>
      </c>
      <c r="O937" t="n">
        <v>0</v>
      </c>
      <c r="P937" t="n">
        <v>0</v>
      </c>
      <c r="Q937" t="n">
        <v>0</v>
      </c>
      <c r="R937" s="2" t="inlineStr"/>
    </row>
    <row r="938" ht="15" customHeight="1">
      <c r="A938" t="inlineStr">
        <is>
          <t>A 49546-2024</t>
        </is>
      </c>
      <c r="B938" s="1" t="n">
        <v>45596</v>
      </c>
      <c r="C938" s="1" t="n">
        <v>45725</v>
      </c>
      <c r="D938" t="inlineStr">
        <is>
          <t>JÄMTLANDS LÄN</t>
        </is>
      </c>
      <c r="E938" t="inlineStr">
        <is>
          <t>ÖSTERSUND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49592-2024</t>
        </is>
      </c>
      <c r="B939" s="1" t="n">
        <v>45596</v>
      </c>
      <c r="C939" s="1" t="n">
        <v>45725</v>
      </c>
      <c r="D939" t="inlineStr">
        <is>
          <t>JÄMTLANDS LÄN</t>
        </is>
      </c>
      <c r="E939" t="inlineStr">
        <is>
          <t>ÖSTERSUND</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49788-2024</t>
        </is>
      </c>
      <c r="B940" s="1" t="n">
        <v>45597</v>
      </c>
      <c r="C940" s="1" t="n">
        <v>45725</v>
      </c>
      <c r="D940" t="inlineStr">
        <is>
          <t>JÄMTLANDS LÄN</t>
        </is>
      </c>
      <c r="E940" t="inlineStr">
        <is>
          <t>ÖSTERSUND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50088-2024</t>
        </is>
      </c>
      <c r="B941" s="1" t="n">
        <v>45600</v>
      </c>
      <c r="C941" s="1" t="n">
        <v>45725</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50218-2024</t>
        </is>
      </c>
      <c r="B942" s="1" t="n">
        <v>45600</v>
      </c>
      <c r="C942" s="1" t="n">
        <v>45725</v>
      </c>
      <c r="D942" t="inlineStr">
        <is>
          <t>JÄMTLANDS LÄN</t>
        </is>
      </c>
      <c r="E942" t="inlineStr">
        <is>
          <t>ÖSTERSUND</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50560-2024</t>
        </is>
      </c>
      <c r="B943" s="1" t="n">
        <v>45601</v>
      </c>
      <c r="C943" s="1" t="n">
        <v>45725</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50860-2024</t>
        </is>
      </c>
      <c r="B944" s="1" t="n">
        <v>45602</v>
      </c>
      <c r="C944" s="1" t="n">
        <v>45725</v>
      </c>
      <c r="D944" t="inlineStr">
        <is>
          <t>JÄMTLANDS LÄN</t>
        </is>
      </c>
      <c r="E944" t="inlineStr">
        <is>
          <t>ÖSTERSUND</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50861-2024</t>
        </is>
      </c>
      <c r="B945" s="1" t="n">
        <v>45602</v>
      </c>
      <c r="C945" s="1" t="n">
        <v>45725</v>
      </c>
      <c r="D945" t="inlineStr">
        <is>
          <t>JÄMTLANDS LÄN</t>
        </is>
      </c>
      <c r="E945" t="inlineStr">
        <is>
          <t>ÖSTERSUND</t>
        </is>
      </c>
      <c r="G945" t="n">
        <v>5</v>
      </c>
      <c r="H945" t="n">
        <v>0</v>
      </c>
      <c r="I945" t="n">
        <v>0</v>
      </c>
      <c r="J945" t="n">
        <v>0</v>
      </c>
      <c r="K945" t="n">
        <v>0</v>
      </c>
      <c r="L945" t="n">
        <v>0</v>
      </c>
      <c r="M945" t="n">
        <v>0</v>
      </c>
      <c r="N945" t="n">
        <v>0</v>
      </c>
      <c r="O945" t="n">
        <v>0</v>
      </c>
      <c r="P945" t="n">
        <v>0</v>
      </c>
      <c r="Q945" t="n">
        <v>0</v>
      </c>
      <c r="R945" s="2" t="inlineStr"/>
    </row>
    <row r="946" ht="15" customHeight="1">
      <c r="A946" t="inlineStr">
        <is>
          <t>A 50971-2024</t>
        </is>
      </c>
      <c r="B946" s="1" t="n">
        <v>45603</v>
      </c>
      <c r="C946" s="1" t="n">
        <v>45725</v>
      </c>
      <c r="D946" t="inlineStr">
        <is>
          <t>JÄMTLANDS LÄN</t>
        </is>
      </c>
      <c r="E946" t="inlineStr">
        <is>
          <t>ÖSTERSUND</t>
        </is>
      </c>
      <c r="G946" t="n">
        <v>3.2</v>
      </c>
      <c r="H946" t="n">
        <v>0</v>
      </c>
      <c r="I946" t="n">
        <v>0</v>
      </c>
      <c r="J946" t="n">
        <v>0</v>
      </c>
      <c r="K946" t="n">
        <v>0</v>
      </c>
      <c r="L946" t="n">
        <v>0</v>
      </c>
      <c r="M946" t="n">
        <v>0</v>
      </c>
      <c r="N946" t="n">
        <v>0</v>
      </c>
      <c r="O946" t="n">
        <v>0</v>
      </c>
      <c r="P946" t="n">
        <v>0</v>
      </c>
      <c r="Q946" t="n">
        <v>0</v>
      </c>
      <c r="R946" s="2" t="inlineStr"/>
    </row>
    <row r="947" ht="15" customHeight="1">
      <c r="A947" t="inlineStr">
        <is>
          <t>A 51379-2024</t>
        </is>
      </c>
      <c r="B947" s="1" t="n">
        <v>45604</v>
      </c>
      <c r="C947" s="1" t="n">
        <v>45725</v>
      </c>
      <c r="D947" t="inlineStr">
        <is>
          <t>JÄMTLANDS LÄN</t>
        </is>
      </c>
      <c r="E947" t="inlineStr">
        <is>
          <t>ÖSTERSUND</t>
        </is>
      </c>
      <c r="G947" t="n">
        <v>2</v>
      </c>
      <c r="H947" t="n">
        <v>0</v>
      </c>
      <c r="I947" t="n">
        <v>0</v>
      </c>
      <c r="J947" t="n">
        <v>0</v>
      </c>
      <c r="K947" t="n">
        <v>0</v>
      </c>
      <c r="L947" t="n">
        <v>0</v>
      </c>
      <c r="M947" t="n">
        <v>0</v>
      </c>
      <c r="N947" t="n">
        <v>0</v>
      </c>
      <c r="O947" t="n">
        <v>0</v>
      </c>
      <c r="P947" t="n">
        <v>0</v>
      </c>
      <c r="Q947" t="n">
        <v>0</v>
      </c>
      <c r="R947" s="2" t="inlineStr"/>
    </row>
    <row r="948" ht="15" customHeight="1">
      <c r="A948" t="inlineStr">
        <is>
          <t>A 51856-2024</t>
        </is>
      </c>
      <c r="B948" s="1" t="n">
        <v>45607</v>
      </c>
      <c r="C948" s="1" t="n">
        <v>45725</v>
      </c>
      <c r="D948" t="inlineStr">
        <is>
          <t>JÄMTLANDS LÄN</t>
        </is>
      </c>
      <c r="E948" t="inlineStr">
        <is>
          <t>ÖSTERSUND</t>
        </is>
      </c>
      <c r="G948" t="n">
        <v>13.5</v>
      </c>
      <c r="H948" t="n">
        <v>0</v>
      </c>
      <c r="I948" t="n">
        <v>0</v>
      </c>
      <c r="J948" t="n">
        <v>0</v>
      </c>
      <c r="K948" t="n">
        <v>0</v>
      </c>
      <c r="L948" t="n">
        <v>0</v>
      </c>
      <c r="M948" t="n">
        <v>0</v>
      </c>
      <c r="N948" t="n">
        <v>0</v>
      </c>
      <c r="O948" t="n">
        <v>0</v>
      </c>
      <c r="P948" t="n">
        <v>0</v>
      </c>
      <c r="Q948" t="n">
        <v>0</v>
      </c>
      <c r="R948" s="2" t="inlineStr"/>
    </row>
    <row r="949" ht="15" customHeight="1">
      <c r="A949" t="inlineStr">
        <is>
          <t>A 51865-2024</t>
        </is>
      </c>
      <c r="B949" s="1" t="n">
        <v>45607</v>
      </c>
      <c r="C949" s="1" t="n">
        <v>45725</v>
      </c>
      <c r="D949" t="inlineStr">
        <is>
          <t>JÄMTLANDS LÄN</t>
        </is>
      </c>
      <c r="E949" t="inlineStr">
        <is>
          <t>ÖSTERSUND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51818-2024</t>
        </is>
      </c>
      <c r="B950" s="1" t="n">
        <v>45607</v>
      </c>
      <c r="C950" s="1" t="n">
        <v>45725</v>
      </c>
      <c r="D950" t="inlineStr">
        <is>
          <t>JÄMTLANDS LÄN</t>
        </is>
      </c>
      <c r="E950" t="inlineStr">
        <is>
          <t>ÖSTERSUND</t>
        </is>
      </c>
      <c r="G950" t="n">
        <v>4.6</v>
      </c>
      <c r="H950" t="n">
        <v>0</v>
      </c>
      <c r="I950" t="n">
        <v>0</v>
      </c>
      <c r="J950" t="n">
        <v>0</v>
      </c>
      <c r="K950" t="n">
        <v>0</v>
      </c>
      <c r="L950" t="n">
        <v>0</v>
      </c>
      <c r="M950" t="n">
        <v>0</v>
      </c>
      <c r="N950" t="n">
        <v>0</v>
      </c>
      <c r="O950" t="n">
        <v>0</v>
      </c>
      <c r="P950" t="n">
        <v>0</v>
      </c>
      <c r="Q950" t="n">
        <v>0</v>
      </c>
      <c r="R950" s="2" t="inlineStr"/>
    </row>
    <row r="951" ht="15" customHeight="1">
      <c r="A951" t="inlineStr">
        <is>
          <t>A 51826-2024</t>
        </is>
      </c>
      <c r="B951" s="1" t="n">
        <v>45607</v>
      </c>
      <c r="C951" s="1" t="n">
        <v>45725</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52405-2024</t>
        </is>
      </c>
      <c r="B952" s="1" t="n">
        <v>45609</v>
      </c>
      <c r="C952" s="1" t="n">
        <v>45725</v>
      </c>
      <c r="D952" t="inlineStr">
        <is>
          <t>JÄMTLANDS LÄN</t>
        </is>
      </c>
      <c r="E952" t="inlineStr">
        <is>
          <t>ÖSTERSUND</t>
        </is>
      </c>
      <c r="G952" t="n">
        <v>4.3</v>
      </c>
      <c r="H952" t="n">
        <v>0</v>
      </c>
      <c r="I952" t="n">
        <v>0</v>
      </c>
      <c r="J952" t="n">
        <v>0</v>
      </c>
      <c r="K952" t="n">
        <v>0</v>
      </c>
      <c r="L952" t="n">
        <v>0</v>
      </c>
      <c r="M952" t="n">
        <v>0</v>
      </c>
      <c r="N952" t="n">
        <v>0</v>
      </c>
      <c r="O952" t="n">
        <v>0</v>
      </c>
      <c r="P952" t="n">
        <v>0</v>
      </c>
      <c r="Q952" t="n">
        <v>0</v>
      </c>
      <c r="R952" s="2" t="inlineStr"/>
    </row>
    <row r="953" ht="15" customHeight="1">
      <c r="A953" t="inlineStr">
        <is>
          <t>A 52480-2024</t>
        </is>
      </c>
      <c r="B953" s="1" t="n">
        <v>45609</v>
      </c>
      <c r="C953" s="1" t="n">
        <v>45725</v>
      </c>
      <c r="D953" t="inlineStr">
        <is>
          <t>JÄMTLANDS LÄN</t>
        </is>
      </c>
      <c r="E953" t="inlineStr">
        <is>
          <t>ÖSTERSUND</t>
        </is>
      </c>
      <c r="G953" t="n">
        <v>20.2</v>
      </c>
      <c r="H953" t="n">
        <v>0</v>
      </c>
      <c r="I953" t="n">
        <v>0</v>
      </c>
      <c r="J953" t="n">
        <v>0</v>
      </c>
      <c r="K953" t="n">
        <v>0</v>
      </c>
      <c r="L953" t="n">
        <v>0</v>
      </c>
      <c r="M953" t="n">
        <v>0</v>
      </c>
      <c r="N953" t="n">
        <v>0</v>
      </c>
      <c r="O953" t="n">
        <v>0</v>
      </c>
      <c r="P953" t="n">
        <v>0</v>
      </c>
      <c r="Q953" t="n">
        <v>0</v>
      </c>
      <c r="R953" s="2" t="inlineStr"/>
    </row>
    <row r="954" ht="15" customHeight="1">
      <c r="A954" t="inlineStr">
        <is>
          <t>A 52483-2024</t>
        </is>
      </c>
      <c r="B954" s="1" t="n">
        <v>45609</v>
      </c>
      <c r="C954" s="1" t="n">
        <v>45725</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52481-2024</t>
        </is>
      </c>
      <c r="B955" s="1" t="n">
        <v>45609</v>
      </c>
      <c r="C955" s="1" t="n">
        <v>45725</v>
      </c>
      <c r="D955" t="inlineStr">
        <is>
          <t>JÄMTLANDS LÄN</t>
        </is>
      </c>
      <c r="E955" t="inlineStr">
        <is>
          <t>ÖSTERSUND</t>
        </is>
      </c>
      <c r="G955" t="n">
        <v>1.9</v>
      </c>
      <c r="H955" t="n">
        <v>0</v>
      </c>
      <c r="I955" t="n">
        <v>0</v>
      </c>
      <c r="J955" t="n">
        <v>0</v>
      </c>
      <c r="K955" t="n">
        <v>0</v>
      </c>
      <c r="L955" t="n">
        <v>0</v>
      </c>
      <c r="M955" t="n">
        <v>0</v>
      </c>
      <c r="N955" t="n">
        <v>0</v>
      </c>
      <c r="O955" t="n">
        <v>0</v>
      </c>
      <c r="P955" t="n">
        <v>0</v>
      </c>
      <c r="Q955" t="n">
        <v>0</v>
      </c>
      <c r="R955" s="2" t="inlineStr"/>
    </row>
    <row r="956" ht="15" customHeight="1">
      <c r="A956" t="inlineStr">
        <is>
          <t>A 52482-2024</t>
        </is>
      </c>
      <c r="B956" s="1" t="n">
        <v>45609</v>
      </c>
      <c r="C956" s="1" t="n">
        <v>45725</v>
      </c>
      <c r="D956" t="inlineStr">
        <is>
          <t>JÄMTLANDS LÄN</t>
        </is>
      </c>
      <c r="E956" t="inlineStr">
        <is>
          <t>ÖSTERSUND</t>
        </is>
      </c>
      <c r="G956" t="n">
        <v>7.3</v>
      </c>
      <c r="H956" t="n">
        <v>0</v>
      </c>
      <c r="I956" t="n">
        <v>0</v>
      </c>
      <c r="J956" t="n">
        <v>0</v>
      </c>
      <c r="K956" t="n">
        <v>0</v>
      </c>
      <c r="L956" t="n">
        <v>0</v>
      </c>
      <c r="M956" t="n">
        <v>0</v>
      </c>
      <c r="N956" t="n">
        <v>0</v>
      </c>
      <c r="O956" t="n">
        <v>0</v>
      </c>
      <c r="P956" t="n">
        <v>0</v>
      </c>
      <c r="Q956" t="n">
        <v>0</v>
      </c>
      <c r="R956" s="2" t="inlineStr"/>
    </row>
    <row r="957" ht="15" customHeight="1">
      <c r="A957" t="inlineStr">
        <is>
          <t>A 52854-2024</t>
        </is>
      </c>
      <c r="B957" s="1" t="n">
        <v>45610</v>
      </c>
      <c r="C957" s="1" t="n">
        <v>45725</v>
      </c>
      <c r="D957" t="inlineStr">
        <is>
          <t>JÄMTLANDS LÄN</t>
        </is>
      </c>
      <c r="E957" t="inlineStr">
        <is>
          <t>ÖSTERSUND</t>
        </is>
      </c>
      <c r="G957" t="n">
        <v>2.5</v>
      </c>
      <c r="H957" t="n">
        <v>0</v>
      </c>
      <c r="I957" t="n">
        <v>0</v>
      </c>
      <c r="J957" t="n">
        <v>0</v>
      </c>
      <c r="K957" t="n">
        <v>0</v>
      </c>
      <c r="L957" t="n">
        <v>0</v>
      </c>
      <c r="M957" t="n">
        <v>0</v>
      </c>
      <c r="N957" t="n">
        <v>0</v>
      </c>
      <c r="O957" t="n">
        <v>0</v>
      </c>
      <c r="P957" t="n">
        <v>0</v>
      </c>
      <c r="Q957" t="n">
        <v>0</v>
      </c>
      <c r="R957" s="2" t="inlineStr"/>
    </row>
    <row r="958" ht="15" customHeight="1">
      <c r="A958" t="inlineStr">
        <is>
          <t>A 53060-2024</t>
        </is>
      </c>
      <c r="B958" s="1" t="n">
        <v>45611</v>
      </c>
      <c r="C958" s="1" t="n">
        <v>45725</v>
      </c>
      <c r="D958" t="inlineStr">
        <is>
          <t>JÄMTLANDS LÄN</t>
        </is>
      </c>
      <c r="E958" t="inlineStr">
        <is>
          <t>ÖSTERSUND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53176-2024</t>
        </is>
      </c>
      <c r="B959" s="1" t="n">
        <v>45611</v>
      </c>
      <c r="C959" s="1" t="n">
        <v>45725</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53130-2024</t>
        </is>
      </c>
      <c r="B960" s="1" t="n">
        <v>45611</v>
      </c>
      <c r="C960" s="1" t="n">
        <v>45725</v>
      </c>
      <c r="D960" t="inlineStr">
        <is>
          <t>JÄMTLANDS LÄN</t>
        </is>
      </c>
      <c r="E960" t="inlineStr">
        <is>
          <t>ÖSTERSUND</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53516-2024</t>
        </is>
      </c>
      <c r="B961" s="1" t="n">
        <v>45614</v>
      </c>
      <c r="C961" s="1" t="n">
        <v>45725</v>
      </c>
      <c r="D961" t="inlineStr">
        <is>
          <t>JÄMTLANDS LÄN</t>
        </is>
      </c>
      <c r="E961" t="inlineStr">
        <is>
          <t>ÖSTERSUND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53520-2024</t>
        </is>
      </c>
      <c r="B962" s="1" t="n">
        <v>45614</v>
      </c>
      <c r="C962" s="1" t="n">
        <v>45725</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53536-2024</t>
        </is>
      </c>
      <c r="B963" s="1" t="n">
        <v>45614</v>
      </c>
      <c r="C963" s="1" t="n">
        <v>45725</v>
      </c>
      <c r="D963" t="inlineStr">
        <is>
          <t>JÄMTLANDS LÄN</t>
        </is>
      </c>
      <c r="E963" t="inlineStr">
        <is>
          <t>ÖSTERSUND</t>
        </is>
      </c>
      <c r="G963" t="n">
        <v>4.1</v>
      </c>
      <c r="H963" t="n">
        <v>0</v>
      </c>
      <c r="I963" t="n">
        <v>0</v>
      </c>
      <c r="J963" t="n">
        <v>0</v>
      </c>
      <c r="K963" t="n">
        <v>0</v>
      </c>
      <c r="L963" t="n">
        <v>0</v>
      </c>
      <c r="M963" t="n">
        <v>0</v>
      </c>
      <c r="N963" t="n">
        <v>0</v>
      </c>
      <c r="O963" t="n">
        <v>0</v>
      </c>
      <c r="P963" t="n">
        <v>0</v>
      </c>
      <c r="Q963" t="n">
        <v>0</v>
      </c>
      <c r="R963" s="2" t="inlineStr"/>
    </row>
    <row r="964" ht="15" customHeight="1">
      <c r="A964" t="inlineStr">
        <is>
          <t>A 53745-2024</t>
        </is>
      </c>
      <c r="B964" s="1" t="n">
        <v>45615</v>
      </c>
      <c r="C964" s="1" t="n">
        <v>45725</v>
      </c>
      <c r="D964" t="inlineStr">
        <is>
          <t>JÄMTLANDS LÄN</t>
        </is>
      </c>
      <c r="E964" t="inlineStr">
        <is>
          <t>ÖSTERSUND</t>
        </is>
      </c>
      <c r="G964" t="n">
        <v>2.3</v>
      </c>
      <c r="H964" t="n">
        <v>0</v>
      </c>
      <c r="I964" t="n">
        <v>0</v>
      </c>
      <c r="J964" t="n">
        <v>0</v>
      </c>
      <c r="K964" t="n">
        <v>0</v>
      </c>
      <c r="L964" t="n">
        <v>0</v>
      </c>
      <c r="M964" t="n">
        <v>0</v>
      </c>
      <c r="N964" t="n">
        <v>0</v>
      </c>
      <c r="O964" t="n">
        <v>0</v>
      </c>
      <c r="P964" t="n">
        <v>0</v>
      </c>
      <c r="Q964" t="n">
        <v>0</v>
      </c>
      <c r="R964" s="2" t="inlineStr"/>
    </row>
    <row r="965" ht="15" customHeight="1">
      <c r="A965" t="inlineStr">
        <is>
          <t>A 53864-2024</t>
        </is>
      </c>
      <c r="B965" s="1" t="n">
        <v>45615</v>
      </c>
      <c r="C965" s="1" t="n">
        <v>45725</v>
      </c>
      <c r="D965" t="inlineStr">
        <is>
          <t>JÄMTLANDS LÄN</t>
        </is>
      </c>
      <c r="E965" t="inlineStr">
        <is>
          <t>ÖSTERSUND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53660-2024</t>
        </is>
      </c>
      <c r="B966" s="1" t="n">
        <v>45615</v>
      </c>
      <c r="C966" s="1" t="n">
        <v>45725</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54237-2024</t>
        </is>
      </c>
      <c r="B967" s="1" t="n">
        <v>45616</v>
      </c>
      <c r="C967" s="1" t="n">
        <v>45725</v>
      </c>
      <c r="D967" t="inlineStr">
        <is>
          <t>JÄMTLANDS LÄN</t>
        </is>
      </c>
      <c r="E967" t="inlineStr">
        <is>
          <t>ÖSTERSUND</t>
        </is>
      </c>
      <c r="F967" t="inlineStr">
        <is>
          <t>SCA</t>
        </is>
      </c>
      <c r="G967" t="n">
        <v>8.9</v>
      </c>
      <c r="H967" t="n">
        <v>0</v>
      </c>
      <c r="I967" t="n">
        <v>0</v>
      </c>
      <c r="J967" t="n">
        <v>0</v>
      </c>
      <c r="K967" t="n">
        <v>0</v>
      </c>
      <c r="L967" t="n">
        <v>0</v>
      </c>
      <c r="M967" t="n">
        <v>0</v>
      </c>
      <c r="N967" t="n">
        <v>0</v>
      </c>
      <c r="O967" t="n">
        <v>0</v>
      </c>
      <c r="P967" t="n">
        <v>0</v>
      </c>
      <c r="Q967" t="n">
        <v>0</v>
      </c>
      <c r="R967" s="2" t="inlineStr"/>
    </row>
    <row r="968" ht="15" customHeight="1">
      <c r="A968" t="inlineStr">
        <is>
          <t>A 54354-2024</t>
        </is>
      </c>
      <c r="B968" s="1" t="n">
        <v>45617</v>
      </c>
      <c r="C968" s="1" t="n">
        <v>45725</v>
      </c>
      <c r="D968" t="inlineStr">
        <is>
          <t>JÄMTLANDS LÄN</t>
        </is>
      </c>
      <c r="E968" t="inlineStr">
        <is>
          <t>ÖSTERSUND</t>
        </is>
      </c>
      <c r="G968" t="n">
        <v>7</v>
      </c>
      <c r="H968" t="n">
        <v>0</v>
      </c>
      <c r="I968" t="n">
        <v>0</v>
      </c>
      <c r="J968" t="n">
        <v>0</v>
      </c>
      <c r="K968" t="n">
        <v>0</v>
      </c>
      <c r="L968" t="n">
        <v>0</v>
      </c>
      <c r="M968" t="n">
        <v>0</v>
      </c>
      <c r="N968" t="n">
        <v>0</v>
      </c>
      <c r="O968" t="n">
        <v>0</v>
      </c>
      <c r="P968" t="n">
        <v>0</v>
      </c>
      <c r="Q968" t="n">
        <v>0</v>
      </c>
      <c r="R968" s="2" t="inlineStr"/>
    </row>
    <row r="969" ht="15" customHeight="1">
      <c r="A969" t="inlineStr">
        <is>
          <t>A 54317-2024</t>
        </is>
      </c>
      <c r="B969" s="1" t="n">
        <v>45617</v>
      </c>
      <c r="C969" s="1" t="n">
        <v>45725</v>
      </c>
      <c r="D969" t="inlineStr">
        <is>
          <t>JÄMTLANDS LÄN</t>
        </is>
      </c>
      <c r="E969" t="inlineStr">
        <is>
          <t>ÖSTERSUND</t>
        </is>
      </c>
      <c r="G969" t="n">
        <v>4.3</v>
      </c>
      <c r="H969" t="n">
        <v>0</v>
      </c>
      <c r="I969" t="n">
        <v>0</v>
      </c>
      <c r="J969" t="n">
        <v>0</v>
      </c>
      <c r="K969" t="n">
        <v>0</v>
      </c>
      <c r="L969" t="n">
        <v>0</v>
      </c>
      <c r="M969" t="n">
        <v>0</v>
      </c>
      <c r="N969" t="n">
        <v>0</v>
      </c>
      <c r="O969" t="n">
        <v>0</v>
      </c>
      <c r="P969" t="n">
        <v>0</v>
      </c>
      <c r="Q969" t="n">
        <v>0</v>
      </c>
      <c r="R969" s="2" t="inlineStr"/>
    </row>
    <row r="970" ht="15" customHeight="1">
      <c r="A970" t="inlineStr">
        <is>
          <t>A 54359-2024</t>
        </is>
      </c>
      <c r="B970" s="1" t="n">
        <v>45617</v>
      </c>
      <c r="C970" s="1" t="n">
        <v>45725</v>
      </c>
      <c r="D970" t="inlineStr">
        <is>
          <t>JÄMTLANDS LÄN</t>
        </is>
      </c>
      <c r="E970" t="inlineStr">
        <is>
          <t>ÖSTERSUND</t>
        </is>
      </c>
      <c r="G970" t="n">
        <v>3.2</v>
      </c>
      <c r="H970" t="n">
        <v>0</v>
      </c>
      <c r="I970" t="n">
        <v>0</v>
      </c>
      <c r="J970" t="n">
        <v>0</v>
      </c>
      <c r="K970" t="n">
        <v>0</v>
      </c>
      <c r="L970" t="n">
        <v>0</v>
      </c>
      <c r="M970" t="n">
        <v>0</v>
      </c>
      <c r="N970" t="n">
        <v>0</v>
      </c>
      <c r="O970" t="n">
        <v>0</v>
      </c>
      <c r="P970" t="n">
        <v>0</v>
      </c>
      <c r="Q970" t="n">
        <v>0</v>
      </c>
      <c r="R970" s="2" t="inlineStr"/>
    </row>
    <row r="971" ht="15" customHeight="1">
      <c r="A971" t="inlineStr">
        <is>
          <t>A 54587-2024</t>
        </is>
      </c>
      <c r="B971" s="1" t="n">
        <v>45617</v>
      </c>
      <c r="C971" s="1" t="n">
        <v>45725</v>
      </c>
      <c r="D971" t="inlineStr">
        <is>
          <t>JÄMTLANDS LÄN</t>
        </is>
      </c>
      <c r="E971" t="inlineStr">
        <is>
          <t>ÖSTERSUND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54913-2024</t>
        </is>
      </c>
      <c r="B972" s="1" t="n">
        <v>45618</v>
      </c>
      <c r="C972" s="1" t="n">
        <v>45725</v>
      </c>
      <c r="D972" t="inlineStr">
        <is>
          <t>JÄMTLANDS LÄN</t>
        </is>
      </c>
      <c r="E972" t="inlineStr">
        <is>
          <t>ÖSTERSUND</t>
        </is>
      </c>
      <c r="G972" t="n">
        <v>4.7</v>
      </c>
      <c r="H972" t="n">
        <v>0</v>
      </c>
      <c r="I972" t="n">
        <v>0</v>
      </c>
      <c r="J972" t="n">
        <v>0</v>
      </c>
      <c r="K972" t="n">
        <v>0</v>
      </c>
      <c r="L972" t="n">
        <v>0</v>
      </c>
      <c r="M972" t="n">
        <v>0</v>
      </c>
      <c r="N972" t="n">
        <v>0</v>
      </c>
      <c r="O972" t="n">
        <v>0</v>
      </c>
      <c r="P972" t="n">
        <v>0</v>
      </c>
      <c r="Q972" t="n">
        <v>0</v>
      </c>
      <c r="R972" s="2" t="inlineStr"/>
    </row>
    <row r="973" ht="15" customHeight="1">
      <c r="A973" t="inlineStr">
        <is>
          <t>A 55064-2024</t>
        </is>
      </c>
      <c r="B973" s="1" t="n">
        <v>45621</v>
      </c>
      <c r="C973" s="1" t="n">
        <v>45725</v>
      </c>
      <c r="D973" t="inlineStr">
        <is>
          <t>JÄMTLANDS LÄN</t>
        </is>
      </c>
      <c r="E973" t="inlineStr">
        <is>
          <t>ÖSTERSUND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55002-2024</t>
        </is>
      </c>
      <c r="B974" s="1" t="n">
        <v>45621</v>
      </c>
      <c r="C974" s="1" t="n">
        <v>45725</v>
      </c>
      <c r="D974" t="inlineStr">
        <is>
          <t>JÄMTLANDS LÄN</t>
        </is>
      </c>
      <c r="E974" t="inlineStr">
        <is>
          <t>ÖSTERSUND</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55294-2024</t>
        </is>
      </c>
      <c r="B975" s="1" t="n">
        <v>45621</v>
      </c>
      <c r="C975" s="1" t="n">
        <v>45725</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55302-2024</t>
        </is>
      </c>
      <c r="B976" s="1" t="n">
        <v>45621</v>
      </c>
      <c r="C976" s="1" t="n">
        <v>45725</v>
      </c>
      <c r="D976" t="inlineStr">
        <is>
          <t>JÄMTLANDS LÄN</t>
        </is>
      </c>
      <c r="E976" t="inlineStr">
        <is>
          <t>ÖSTERSUND</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55319-2024</t>
        </is>
      </c>
      <c r="B977" s="1" t="n">
        <v>45621</v>
      </c>
      <c r="C977" s="1" t="n">
        <v>45725</v>
      </c>
      <c r="D977" t="inlineStr">
        <is>
          <t>JÄMTLANDS LÄN</t>
        </is>
      </c>
      <c r="E977" t="inlineStr">
        <is>
          <t>ÖSTERSUND</t>
        </is>
      </c>
      <c r="G977" t="n">
        <v>7.1</v>
      </c>
      <c r="H977" t="n">
        <v>0</v>
      </c>
      <c r="I977" t="n">
        <v>0</v>
      </c>
      <c r="J977" t="n">
        <v>0</v>
      </c>
      <c r="K977" t="n">
        <v>0</v>
      </c>
      <c r="L977" t="n">
        <v>0</v>
      </c>
      <c r="M977" t="n">
        <v>0</v>
      </c>
      <c r="N977" t="n">
        <v>0</v>
      </c>
      <c r="O977" t="n">
        <v>0</v>
      </c>
      <c r="P977" t="n">
        <v>0</v>
      </c>
      <c r="Q977" t="n">
        <v>0</v>
      </c>
      <c r="R977" s="2" t="inlineStr"/>
    </row>
    <row r="978" ht="15" customHeight="1">
      <c r="A978" t="inlineStr">
        <is>
          <t>A 55323-2024</t>
        </is>
      </c>
      <c r="B978" s="1" t="n">
        <v>45621</v>
      </c>
      <c r="C978" s="1" t="n">
        <v>45725</v>
      </c>
      <c r="D978" t="inlineStr">
        <is>
          <t>JÄMTLANDS LÄN</t>
        </is>
      </c>
      <c r="E978" t="inlineStr">
        <is>
          <t>ÖSTERSUND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55061-2024</t>
        </is>
      </c>
      <c r="B979" s="1" t="n">
        <v>45621</v>
      </c>
      <c r="C979" s="1" t="n">
        <v>45725</v>
      </c>
      <c r="D979" t="inlineStr">
        <is>
          <t>JÄMTLANDS LÄN</t>
        </is>
      </c>
      <c r="E979" t="inlineStr">
        <is>
          <t>ÖSTERSUND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55365-2024</t>
        </is>
      </c>
      <c r="B980" s="1" t="n">
        <v>45621</v>
      </c>
      <c r="C980" s="1" t="n">
        <v>45725</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55572-2024</t>
        </is>
      </c>
      <c r="B981" s="1" t="n">
        <v>45622</v>
      </c>
      <c r="C981" s="1" t="n">
        <v>45725</v>
      </c>
      <c r="D981" t="inlineStr">
        <is>
          <t>JÄMTLANDS LÄN</t>
        </is>
      </c>
      <c r="E981" t="inlineStr">
        <is>
          <t>ÖSTERSUND</t>
        </is>
      </c>
      <c r="F981" t="inlineStr">
        <is>
          <t>SCA</t>
        </is>
      </c>
      <c r="G981" t="n">
        <v>11.2</v>
      </c>
      <c r="H981" t="n">
        <v>0</v>
      </c>
      <c r="I981" t="n">
        <v>0</v>
      </c>
      <c r="J981" t="n">
        <v>0</v>
      </c>
      <c r="K981" t="n">
        <v>0</v>
      </c>
      <c r="L981" t="n">
        <v>0</v>
      </c>
      <c r="M981" t="n">
        <v>0</v>
      </c>
      <c r="N981" t="n">
        <v>0</v>
      </c>
      <c r="O981" t="n">
        <v>0</v>
      </c>
      <c r="P981" t="n">
        <v>0</v>
      </c>
      <c r="Q981" t="n">
        <v>0</v>
      </c>
      <c r="R981" s="2" t="inlineStr"/>
    </row>
    <row r="982" ht="15" customHeight="1">
      <c r="A982" t="inlineStr">
        <is>
          <t>A 55600-2024</t>
        </is>
      </c>
      <c r="B982" s="1" t="n">
        <v>45622</v>
      </c>
      <c r="C982" s="1" t="n">
        <v>45725</v>
      </c>
      <c r="D982" t="inlineStr">
        <is>
          <t>JÄMTLANDS LÄN</t>
        </is>
      </c>
      <c r="E982" t="inlineStr">
        <is>
          <t>ÖSTERSUND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55700-2024</t>
        </is>
      </c>
      <c r="B983" s="1" t="n">
        <v>45622</v>
      </c>
      <c r="C983" s="1" t="n">
        <v>45725</v>
      </c>
      <c r="D983" t="inlineStr">
        <is>
          <t>JÄMTLANDS LÄN</t>
        </is>
      </c>
      <c r="E983" t="inlineStr">
        <is>
          <t>ÖSTERSUND</t>
        </is>
      </c>
      <c r="G983" t="n">
        <v>1.7</v>
      </c>
      <c r="H983" t="n">
        <v>0</v>
      </c>
      <c r="I983" t="n">
        <v>0</v>
      </c>
      <c r="J983" t="n">
        <v>0</v>
      </c>
      <c r="K983" t="n">
        <v>0</v>
      </c>
      <c r="L983" t="n">
        <v>0</v>
      </c>
      <c r="M983" t="n">
        <v>0</v>
      </c>
      <c r="N983" t="n">
        <v>0</v>
      </c>
      <c r="O983" t="n">
        <v>0</v>
      </c>
      <c r="P983" t="n">
        <v>0</v>
      </c>
      <c r="Q983" t="n">
        <v>0</v>
      </c>
      <c r="R983" s="2" t="inlineStr"/>
    </row>
    <row r="984" ht="15" customHeight="1">
      <c r="A984" t="inlineStr">
        <is>
          <t>A 56649-2024</t>
        </is>
      </c>
      <c r="B984" s="1" t="n">
        <v>45625</v>
      </c>
      <c r="C984" s="1" t="n">
        <v>45725</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56646-2024</t>
        </is>
      </c>
      <c r="B985" s="1" t="n">
        <v>45625</v>
      </c>
      <c r="C985" s="1" t="n">
        <v>45725</v>
      </c>
      <c r="D985" t="inlineStr">
        <is>
          <t>JÄMTLANDS LÄN</t>
        </is>
      </c>
      <c r="E985" t="inlineStr">
        <is>
          <t>ÖSTERSUND</t>
        </is>
      </c>
      <c r="G985" t="n">
        <v>18.9</v>
      </c>
      <c r="H985" t="n">
        <v>0</v>
      </c>
      <c r="I985" t="n">
        <v>0</v>
      </c>
      <c r="J985" t="n">
        <v>0</v>
      </c>
      <c r="K985" t="n">
        <v>0</v>
      </c>
      <c r="L985" t="n">
        <v>0</v>
      </c>
      <c r="M985" t="n">
        <v>0</v>
      </c>
      <c r="N985" t="n">
        <v>0</v>
      </c>
      <c r="O985" t="n">
        <v>0</v>
      </c>
      <c r="P985" t="n">
        <v>0</v>
      </c>
      <c r="Q985" t="n">
        <v>0</v>
      </c>
      <c r="R985" s="2" t="inlineStr"/>
    </row>
    <row r="986" ht="15" customHeight="1">
      <c r="A986" t="inlineStr">
        <is>
          <t>A 56847-2024</t>
        </is>
      </c>
      <c r="B986" s="1" t="n">
        <v>45628</v>
      </c>
      <c r="C986" s="1" t="n">
        <v>45725</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57702-2024</t>
        </is>
      </c>
      <c r="B987" s="1" t="n">
        <v>45628</v>
      </c>
      <c r="C987" s="1" t="n">
        <v>45725</v>
      </c>
      <c r="D987" t="inlineStr">
        <is>
          <t>JÄMTLANDS LÄN</t>
        </is>
      </c>
      <c r="E987" t="inlineStr">
        <is>
          <t>ÖSTERSUND</t>
        </is>
      </c>
      <c r="G987" t="n">
        <v>2.3</v>
      </c>
      <c r="H987" t="n">
        <v>0</v>
      </c>
      <c r="I987" t="n">
        <v>0</v>
      </c>
      <c r="J987" t="n">
        <v>0</v>
      </c>
      <c r="K987" t="n">
        <v>0</v>
      </c>
      <c r="L987" t="n">
        <v>0</v>
      </c>
      <c r="M987" t="n">
        <v>0</v>
      </c>
      <c r="N987" t="n">
        <v>0</v>
      </c>
      <c r="O987" t="n">
        <v>0</v>
      </c>
      <c r="P987" t="n">
        <v>0</v>
      </c>
      <c r="Q987" t="n">
        <v>0</v>
      </c>
      <c r="R987" s="2" t="inlineStr"/>
    </row>
    <row r="988" ht="15" customHeight="1">
      <c r="A988" t="inlineStr">
        <is>
          <t>A 57397-2024</t>
        </is>
      </c>
      <c r="B988" s="1" t="n">
        <v>45629</v>
      </c>
      <c r="C988" s="1" t="n">
        <v>45725</v>
      </c>
      <c r="D988" t="inlineStr">
        <is>
          <t>JÄMTLANDS LÄN</t>
        </is>
      </c>
      <c r="E988" t="inlineStr">
        <is>
          <t>ÖSTERSUND</t>
        </is>
      </c>
      <c r="G988" t="n">
        <v>3.8</v>
      </c>
      <c r="H988" t="n">
        <v>0</v>
      </c>
      <c r="I988" t="n">
        <v>0</v>
      </c>
      <c r="J988" t="n">
        <v>0</v>
      </c>
      <c r="K988" t="n">
        <v>0</v>
      </c>
      <c r="L988" t="n">
        <v>0</v>
      </c>
      <c r="M988" t="n">
        <v>0</v>
      </c>
      <c r="N988" t="n">
        <v>0</v>
      </c>
      <c r="O988" t="n">
        <v>0</v>
      </c>
      <c r="P988" t="n">
        <v>0</v>
      </c>
      <c r="Q988" t="n">
        <v>0</v>
      </c>
      <c r="R988" s="2" t="inlineStr"/>
    </row>
    <row r="989" ht="15" customHeight="1">
      <c r="A989" t="inlineStr">
        <is>
          <t>A 57589-2024</t>
        </is>
      </c>
      <c r="B989" s="1" t="n">
        <v>45630</v>
      </c>
      <c r="C989" s="1" t="n">
        <v>45725</v>
      </c>
      <c r="D989" t="inlineStr">
        <is>
          <t>JÄMTLANDS LÄN</t>
        </is>
      </c>
      <c r="E989" t="inlineStr">
        <is>
          <t>ÖSTERSUND</t>
        </is>
      </c>
      <c r="G989" t="n">
        <v>1.8</v>
      </c>
      <c r="H989" t="n">
        <v>0</v>
      </c>
      <c r="I989" t="n">
        <v>0</v>
      </c>
      <c r="J989" t="n">
        <v>0</v>
      </c>
      <c r="K989" t="n">
        <v>0</v>
      </c>
      <c r="L989" t="n">
        <v>0</v>
      </c>
      <c r="M989" t="n">
        <v>0</v>
      </c>
      <c r="N989" t="n">
        <v>0</v>
      </c>
      <c r="O989" t="n">
        <v>0</v>
      </c>
      <c r="P989" t="n">
        <v>0</v>
      </c>
      <c r="Q989" t="n">
        <v>0</v>
      </c>
      <c r="R989" s="2" t="inlineStr"/>
    </row>
    <row r="990" ht="15" customHeight="1">
      <c r="A990" t="inlineStr">
        <is>
          <t>A 57706-2024</t>
        </is>
      </c>
      <c r="B990" s="1" t="n">
        <v>45630</v>
      </c>
      <c r="C990" s="1" t="n">
        <v>45725</v>
      </c>
      <c r="D990" t="inlineStr">
        <is>
          <t>JÄMTLANDS LÄN</t>
        </is>
      </c>
      <c r="E990" t="inlineStr">
        <is>
          <t>ÖSTERSUND</t>
        </is>
      </c>
      <c r="G990" t="n">
        <v>13.2</v>
      </c>
      <c r="H990" t="n">
        <v>0</v>
      </c>
      <c r="I990" t="n">
        <v>0</v>
      </c>
      <c r="J990" t="n">
        <v>0</v>
      </c>
      <c r="K990" t="n">
        <v>0</v>
      </c>
      <c r="L990" t="n">
        <v>0</v>
      </c>
      <c r="M990" t="n">
        <v>0</v>
      </c>
      <c r="N990" t="n">
        <v>0</v>
      </c>
      <c r="O990" t="n">
        <v>0</v>
      </c>
      <c r="P990" t="n">
        <v>0</v>
      </c>
      <c r="Q990" t="n">
        <v>0</v>
      </c>
      <c r="R990" s="2" t="inlineStr"/>
    </row>
    <row r="991" ht="15" customHeight="1">
      <c r="A991" t="inlineStr">
        <is>
          <t>A 57556-2024</t>
        </is>
      </c>
      <c r="B991" s="1" t="n">
        <v>45630</v>
      </c>
      <c r="C991" s="1" t="n">
        <v>45725</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57547-2024</t>
        </is>
      </c>
      <c r="B992" s="1" t="n">
        <v>45630</v>
      </c>
      <c r="C992" s="1" t="n">
        <v>45725</v>
      </c>
      <c r="D992" t="inlineStr">
        <is>
          <t>JÄMTLANDS LÄN</t>
        </is>
      </c>
      <c r="E992" t="inlineStr">
        <is>
          <t>ÖSTERSUND</t>
        </is>
      </c>
      <c r="G992" t="n">
        <v>16.8</v>
      </c>
      <c r="H992" t="n">
        <v>0</v>
      </c>
      <c r="I992" t="n">
        <v>0</v>
      </c>
      <c r="J992" t="n">
        <v>0</v>
      </c>
      <c r="K992" t="n">
        <v>0</v>
      </c>
      <c r="L992" t="n">
        <v>0</v>
      </c>
      <c r="M992" t="n">
        <v>0</v>
      </c>
      <c r="N992" t="n">
        <v>0</v>
      </c>
      <c r="O992" t="n">
        <v>0</v>
      </c>
      <c r="P992" t="n">
        <v>0</v>
      </c>
      <c r="Q992" t="n">
        <v>0</v>
      </c>
      <c r="R992" s="2" t="inlineStr"/>
    </row>
    <row r="993" ht="15" customHeight="1">
      <c r="A993" t="inlineStr">
        <is>
          <t>A 57917-2024</t>
        </is>
      </c>
      <c r="B993" s="1" t="n">
        <v>45630</v>
      </c>
      <c r="C993" s="1" t="n">
        <v>45725</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58286-2024</t>
        </is>
      </c>
      <c r="B994" s="1" t="n">
        <v>45632</v>
      </c>
      <c r="C994" s="1" t="n">
        <v>45725</v>
      </c>
      <c r="D994" t="inlineStr">
        <is>
          <t>JÄMTLANDS LÄN</t>
        </is>
      </c>
      <c r="E994" t="inlineStr">
        <is>
          <t>ÖSTERSUND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58364-2024</t>
        </is>
      </c>
      <c r="B995" s="1" t="n">
        <v>45632</v>
      </c>
      <c r="C995" s="1" t="n">
        <v>45725</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58407-2024</t>
        </is>
      </c>
      <c r="B996" s="1" t="n">
        <v>45634</v>
      </c>
      <c r="C996" s="1" t="n">
        <v>45725</v>
      </c>
      <c r="D996" t="inlineStr">
        <is>
          <t>JÄMTLANDS LÄN</t>
        </is>
      </c>
      <c r="E996" t="inlineStr">
        <is>
          <t>ÖSTERSUND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58406-2024</t>
        </is>
      </c>
      <c r="B997" s="1" t="n">
        <v>45634</v>
      </c>
      <c r="C997" s="1" t="n">
        <v>45725</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58952-2024</t>
        </is>
      </c>
      <c r="B998" s="1" t="n">
        <v>45636</v>
      </c>
      <c r="C998" s="1" t="n">
        <v>45725</v>
      </c>
      <c r="D998" t="inlineStr">
        <is>
          <t>JÄMTLANDS LÄN</t>
        </is>
      </c>
      <c r="E998" t="inlineStr">
        <is>
          <t>ÖSTERSUND</t>
        </is>
      </c>
      <c r="G998" t="n">
        <v>3.7</v>
      </c>
      <c r="H998" t="n">
        <v>0</v>
      </c>
      <c r="I998" t="n">
        <v>0</v>
      </c>
      <c r="J998" t="n">
        <v>0</v>
      </c>
      <c r="K998" t="n">
        <v>0</v>
      </c>
      <c r="L998" t="n">
        <v>0</v>
      </c>
      <c r="M998" t="n">
        <v>0</v>
      </c>
      <c r="N998" t="n">
        <v>0</v>
      </c>
      <c r="O998" t="n">
        <v>0</v>
      </c>
      <c r="P998" t="n">
        <v>0</v>
      </c>
      <c r="Q998" t="n">
        <v>0</v>
      </c>
      <c r="R998" s="2" t="inlineStr"/>
    </row>
    <row r="999" ht="15" customHeight="1">
      <c r="A999" t="inlineStr">
        <is>
          <t>A 59107-2024</t>
        </is>
      </c>
      <c r="B999" s="1" t="n">
        <v>45637</v>
      </c>
      <c r="C999" s="1" t="n">
        <v>45725</v>
      </c>
      <c r="D999" t="inlineStr">
        <is>
          <t>JÄMTLANDS LÄN</t>
        </is>
      </c>
      <c r="E999" t="inlineStr">
        <is>
          <t>ÖSTERSUND</t>
        </is>
      </c>
      <c r="F999" t="inlineStr">
        <is>
          <t>SCA</t>
        </is>
      </c>
      <c r="G999" t="n">
        <v>34.8</v>
      </c>
      <c r="H999" t="n">
        <v>0</v>
      </c>
      <c r="I999" t="n">
        <v>0</v>
      </c>
      <c r="J999" t="n">
        <v>0</v>
      </c>
      <c r="K999" t="n">
        <v>0</v>
      </c>
      <c r="L999" t="n">
        <v>0</v>
      </c>
      <c r="M999" t="n">
        <v>0</v>
      </c>
      <c r="N999" t="n">
        <v>0</v>
      </c>
      <c r="O999" t="n">
        <v>0</v>
      </c>
      <c r="P999" t="n">
        <v>0</v>
      </c>
      <c r="Q999" t="n">
        <v>0</v>
      </c>
      <c r="R999" s="2" t="inlineStr"/>
    </row>
    <row r="1000" ht="15" customHeight="1">
      <c r="A1000" t="inlineStr">
        <is>
          <t>A 59487-2024</t>
        </is>
      </c>
      <c r="B1000" s="1" t="n">
        <v>45638</v>
      </c>
      <c r="C1000" s="1" t="n">
        <v>45725</v>
      </c>
      <c r="D1000" t="inlineStr">
        <is>
          <t>JÄMTLANDS LÄN</t>
        </is>
      </c>
      <c r="E1000" t="inlineStr">
        <is>
          <t>ÖSTERSUND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59574-2024</t>
        </is>
      </c>
      <c r="B1001" s="1" t="n">
        <v>45638</v>
      </c>
      <c r="C1001" s="1" t="n">
        <v>45725</v>
      </c>
      <c r="D1001" t="inlineStr">
        <is>
          <t>JÄMTLANDS LÄN</t>
        </is>
      </c>
      <c r="E1001" t="inlineStr">
        <is>
          <t>ÖSTERSUND</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59691-2024</t>
        </is>
      </c>
      <c r="B1002" s="1" t="n">
        <v>45639</v>
      </c>
      <c r="C1002" s="1" t="n">
        <v>45725</v>
      </c>
      <c r="D1002" t="inlineStr">
        <is>
          <t>JÄMTLANDS LÄN</t>
        </is>
      </c>
      <c r="E1002" t="inlineStr">
        <is>
          <t>ÖSTERSUND</t>
        </is>
      </c>
      <c r="F1002" t="inlineStr">
        <is>
          <t>SCA</t>
        </is>
      </c>
      <c r="G1002" t="n">
        <v>15.9</v>
      </c>
      <c r="H1002" t="n">
        <v>0</v>
      </c>
      <c r="I1002" t="n">
        <v>0</v>
      </c>
      <c r="J1002" t="n">
        <v>0</v>
      </c>
      <c r="K1002" t="n">
        <v>0</v>
      </c>
      <c r="L1002" t="n">
        <v>0</v>
      </c>
      <c r="M1002" t="n">
        <v>0</v>
      </c>
      <c r="N1002" t="n">
        <v>0</v>
      </c>
      <c r="O1002" t="n">
        <v>0</v>
      </c>
      <c r="P1002" t="n">
        <v>0</v>
      </c>
      <c r="Q1002" t="n">
        <v>0</v>
      </c>
      <c r="R1002" s="2" t="inlineStr"/>
    </row>
    <row r="1003" ht="15" customHeight="1">
      <c r="A1003" t="inlineStr">
        <is>
          <t>A 60499-2024</t>
        </is>
      </c>
      <c r="B1003" s="1" t="n">
        <v>45642</v>
      </c>
      <c r="C1003" s="1" t="n">
        <v>45725</v>
      </c>
      <c r="D1003" t="inlineStr">
        <is>
          <t>JÄMTLANDS LÄN</t>
        </is>
      </c>
      <c r="E1003" t="inlineStr">
        <is>
          <t>ÖSTERSUND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60088-2024</t>
        </is>
      </c>
      <c r="B1004" s="1" t="n">
        <v>45642</v>
      </c>
      <c r="C1004" s="1" t="n">
        <v>45725</v>
      </c>
      <c r="D1004" t="inlineStr">
        <is>
          <t>JÄMTLANDS LÄN</t>
        </is>
      </c>
      <c r="E1004" t="inlineStr">
        <is>
          <t>ÖSTERSUND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60349-2024</t>
        </is>
      </c>
      <c r="B1005" s="1" t="n">
        <v>45643</v>
      </c>
      <c r="C1005" s="1" t="n">
        <v>45725</v>
      </c>
      <c r="D1005" t="inlineStr">
        <is>
          <t>JÄMTLANDS LÄN</t>
        </is>
      </c>
      <c r="E1005" t="inlineStr">
        <is>
          <t>ÖSTERSUND</t>
        </is>
      </c>
      <c r="F1005" t="inlineStr">
        <is>
          <t>Sveaskog</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60836-2024</t>
        </is>
      </c>
      <c r="B1006" s="1" t="n">
        <v>45644</v>
      </c>
      <c r="C1006" s="1" t="n">
        <v>45725</v>
      </c>
      <c r="D1006" t="inlineStr">
        <is>
          <t>JÄMTLANDS LÄN</t>
        </is>
      </c>
      <c r="E1006" t="inlineStr">
        <is>
          <t>ÖSTERSUND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61002-2024</t>
        </is>
      </c>
      <c r="B1007" s="1" t="n">
        <v>45645</v>
      </c>
      <c r="C1007" s="1" t="n">
        <v>45725</v>
      </c>
      <c r="D1007" t="inlineStr">
        <is>
          <t>JÄMTLANDS LÄN</t>
        </is>
      </c>
      <c r="E1007" t="inlineStr">
        <is>
          <t>ÖSTERSUND</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61040-2024</t>
        </is>
      </c>
      <c r="B1008" s="1" t="n">
        <v>45645</v>
      </c>
      <c r="C1008" s="1" t="n">
        <v>45725</v>
      </c>
      <c r="D1008" t="inlineStr">
        <is>
          <t>JÄMTLANDS LÄN</t>
        </is>
      </c>
      <c r="E1008" t="inlineStr">
        <is>
          <t>ÖSTERSUND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61332-2024</t>
        </is>
      </c>
      <c r="B1009" s="1" t="n">
        <v>45646</v>
      </c>
      <c r="C1009" s="1" t="n">
        <v>45725</v>
      </c>
      <c r="D1009" t="inlineStr">
        <is>
          <t>JÄMTLANDS LÄN</t>
        </is>
      </c>
      <c r="E1009" t="inlineStr">
        <is>
          <t>ÖSTERSUND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61349-2024</t>
        </is>
      </c>
      <c r="B1010" s="1" t="n">
        <v>45646</v>
      </c>
      <c r="C1010" s="1" t="n">
        <v>45725</v>
      </c>
      <c r="D1010" t="inlineStr">
        <is>
          <t>JÄMTLANDS LÄN</t>
        </is>
      </c>
      <c r="E1010" t="inlineStr">
        <is>
          <t>ÖSTERSUND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61451-2024</t>
        </is>
      </c>
      <c r="B1011" s="1" t="n">
        <v>45646</v>
      </c>
      <c r="C1011" s="1" t="n">
        <v>45725</v>
      </c>
      <c r="D1011" t="inlineStr">
        <is>
          <t>JÄMTLANDS LÄN</t>
        </is>
      </c>
      <c r="E1011" t="inlineStr">
        <is>
          <t>ÖSTERSUND</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61449-2024</t>
        </is>
      </c>
      <c r="B1012" s="1" t="n">
        <v>45646</v>
      </c>
      <c r="C1012" s="1" t="n">
        <v>45725</v>
      </c>
      <c r="D1012" t="inlineStr">
        <is>
          <t>JÄMTLANDS LÄN</t>
        </is>
      </c>
      <c r="E1012" t="inlineStr">
        <is>
          <t>ÖSTERSUND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61376-2024</t>
        </is>
      </c>
      <c r="B1013" s="1" t="n">
        <v>45646</v>
      </c>
      <c r="C1013" s="1" t="n">
        <v>45725</v>
      </c>
      <c r="D1013" t="inlineStr">
        <is>
          <t>JÄMTLANDS LÄN</t>
        </is>
      </c>
      <c r="E1013" t="inlineStr">
        <is>
          <t>ÖSTERSUND</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61450-2024</t>
        </is>
      </c>
      <c r="B1014" s="1" t="n">
        <v>45646</v>
      </c>
      <c r="C1014" s="1" t="n">
        <v>45725</v>
      </c>
      <c r="D1014" t="inlineStr">
        <is>
          <t>JÄMTLANDS LÄN</t>
        </is>
      </c>
      <c r="E1014" t="inlineStr">
        <is>
          <t>ÖSTERSUND</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62111-2024</t>
        </is>
      </c>
      <c r="B1015" s="1" t="n">
        <v>45656</v>
      </c>
      <c r="C1015" s="1" t="n">
        <v>45725</v>
      </c>
      <c r="D1015" t="inlineStr">
        <is>
          <t>JÄMTLANDS LÄN</t>
        </is>
      </c>
      <c r="E1015" t="inlineStr">
        <is>
          <t>ÖSTERSUND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79-2025</t>
        </is>
      </c>
      <c r="B1016" s="1" t="n">
        <v>45659</v>
      </c>
      <c r="C1016" s="1" t="n">
        <v>45725</v>
      </c>
      <c r="D1016" t="inlineStr">
        <is>
          <t>JÄMTLANDS LÄN</t>
        </is>
      </c>
      <c r="E1016" t="inlineStr">
        <is>
          <t>ÖSTERSUND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207-2025</t>
        </is>
      </c>
      <c r="B1017" s="1" t="n">
        <v>45660</v>
      </c>
      <c r="C1017" s="1" t="n">
        <v>45725</v>
      </c>
      <c r="D1017" t="inlineStr">
        <is>
          <t>JÄMTLANDS LÄN</t>
        </is>
      </c>
      <c r="E1017" t="inlineStr">
        <is>
          <t>ÖSTERSUND</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582-2025</t>
        </is>
      </c>
      <c r="B1018" s="1" t="n">
        <v>45664</v>
      </c>
      <c r="C1018" s="1" t="n">
        <v>45725</v>
      </c>
      <c r="D1018" t="inlineStr">
        <is>
          <t>JÄMTLANDS LÄN</t>
        </is>
      </c>
      <c r="E1018" t="inlineStr">
        <is>
          <t>ÖSTERSUND</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1179-2025</t>
        </is>
      </c>
      <c r="B1019" s="1" t="n">
        <v>45667</v>
      </c>
      <c r="C1019" s="1" t="n">
        <v>45725</v>
      </c>
      <c r="D1019" t="inlineStr">
        <is>
          <t>JÄMTLANDS LÄN</t>
        </is>
      </c>
      <c r="E1019" t="inlineStr">
        <is>
          <t>ÖSTERSUND</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1211-2025</t>
        </is>
      </c>
      <c r="B1020" s="1" t="n">
        <v>45667</v>
      </c>
      <c r="C1020" s="1" t="n">
        <v>45725</v>
      </c>
      <c r="D1020" t="inlineStr">
        <is>
          <t>JÄMTLANDS LÄN</t>
        </is>
      </c>
      <c r="E1020" t="inlineStr">
        <is>
          <t>ÖSTERSUND</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1255-2025</t>
        </is>
      </c>
      <c r="B1021" s="1" t="n">
        <v>45667</v>
      </c>
      <c r="C1021" s="1" t="n">
        <v>45725</v>
      </c>
      <c r="D1021" t="inlineStr">
        <is>
          <t>JÄMTLANDS LÄN</t>
        </is>
      </c>
      <c r="E1021" t="inlineStr">
        <is>
          <t>ÖSTERSUND</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1762-2025</t>
        </is>
      </c>
      <c r="B1022" s="1" t="n">
        <v>45671</v>
      </c>
      <c r="C1022" s="1" t="n">
        <v>45725</v>
      </c>
      <c r="D1022" t="inlineStr">
        <is>
          <t>JÄMTLANDS LÄN</t>
        </is>
      </c>
      <c r="E1022" t="inlineStr">
        <is>
          <t>ÖSTERSUND</t>
        </is>
      </c>
      <c r="F1022" t="inlineStr">
        <is>
          <t>SCA</t>
        </is>
      </c>
      <c r="G1022" t="n">
        <v>51.9</v>
      </c>
      <c r="H1022" t="n">
        <v>0</v>
      </c>
      <c r="I1022" t="n">
        <v>0</v>
      </c>
      <c r="J1022" t="n">
        <v>0</v>
      </c>
      <c r="K1022" t="n">
        <v>0</v>
      </c>
      <c r="L1022" t="n">
        <v>0</v>
      </c>
      <c r="M1022" t="n">
        <v>0</v>
      </c>
      <c r="N1022" t="n">
        <v>0</v>
      </c>
      <c r="O1022" t="n">
        <v>0</v>
      </c>
      <c r="P1022" t="n">
        <v>0</v>
      </c>
      <c r="Q1022" t="n">
        <v>0</v>
      </c>
      <c r="R1022" s="2" t="inlineStr"/>
    </row>
    <row r="1023" ht="15" customHeight="1">
      <c r="A1023" t="inlineStr">
        <is>
          <t>A 2730-2025</t>
        </is>
      </c>
      <c r="B1023" s="1" t="n">
        <v>45677</v>
      </c>
      <c r="C1023" s="1" t="n">
        <v>45725</v>
      </c>
      <c r="D1023" t="inlineStr">
        <is>
          <t>JÄMTLANDS LÄN</t>
        </is>
      </c>
      <c r="E1023" t="inlineStr">
        <is>
          <t>ÖSTERSUND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2747-2025</t>
        </is>
      </c>
      <c r="B1024" s="1" t="n">
        <v>45677</v>
      </c>
      <c r="C1024" s="1" t="n">
        <v>45725</v>
      </c>
      <c r="D1024" t="inlineStr">
        <is>
          <t>JÄMTLANDS LÄN</t>
        </is>
      </c>
      <c r="E1024" t="inlineStr">
        <is>
          <t>ÖSTERSUND</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2753-2025</t>
        </is>
      </c>
      <c r="B1025" s="1" t="n">
        <v>45677</v>
      </c>
      <c r="C1025" s="1" t="n">
        <v>45725</v>
      </c>
      <c r="D1025" t="inlineStr">
        <is>
          <t>JÄMTLANDS LÄN</t>
        </is>
      </c>
      <c r="E1025" t="inlineStr">
        <is>
          <t>ÖSTERSUND</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2706-2025</t>
        </is>
      </c>
      <c r="B1026" s="1" t="n">
        <v>45677</v>
      </c>
      <c r="C1026" s="1" t="n">
        <v>45725</v>
      </c>
      <c r="D1026" t="inlineStr">
        <is>
          <t>JÄMTLANDS LÄN</t>
        </is>
      </c>
      <c r="E1026" t="inlineStr">
        <is>
          <t>ÖSTERSUND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3122-2025</t>
        </is>
      </c>
      <c r="B1027" s="1" t="n">
        <v>45678</v>
      </c>
      <c r="C1027" s="1" t="n">
        <v>45725</v>
      </c>
      <c r="D1027" t="inlineStr">
        <is>
          <t>JÄMTLANDS LÄN</t>
        </is>
      </c>
      <c r="E1027" t="inlineStr">
        <is>
          <t>ÖSTERSUND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3053-2025</t>
        </is>
      </c>
      <c r="B1028" s="1" t="n">
        <v>45678</v>
      </c>
      <c r="C1028" s="1" t="n">
        <v>45725</v>
      </c>
      <c r="D1028" t="inlineStr">
        <is>
          <t>JÄMTLANDS LÄN</t>
        </is>
      </c>
      <c r="E1028" t="inlineStr">
        <is>
          <t>ÖSTERSUND</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3255-2025</t>
        </is>
      </c>
      <c r="B1029" s="1" t="n">
        <v>45679</v>
      </c>
      <c r="C1029" s="1" t="n">
        <v>45725</v>
      </c>
      <c r="D1029" t="inlineStr">
        <is>
          <t>JÄMTLANDS LÄN</t>
        </is>
      </c>
      <c r="E1029" t="inlineStr">
        <is>
          <t>ÖSTERSUND</t>
        </is>
      </c>
      <c r="F1029" t="inlineStr">
        <is>
          <t>SCA</t>
        </is>
      </c>
      <c r="G1029" t="n">
        <v>16.7</v>
      </c>
      <c r="H1029" t="n">
        <v>0</v>
      </c>
      <c r="I1029" t="n">
        <v>0</v>
      </c>
      <c r="J1029" t="n">
        <v>0</v>
      </c>
      <c r="K1029" t="n">
        <v>0</v>
      </c>
      <c r="L1029" t="n">
        <v>0</v>
      </c>
      <c r="M1029" t="n">
        <v>0</v>
      </c>
      <c r="N1029" t="n">
        <v>0</v>
      </c>
      <c r="O1029" t="n">
        <v>0</v>
      </c>
      <c r="P1029" t="n">
        <v>0</v>
      </c>
      <c r="Q1029" t="n">
        <v>0</v>
      </c>
      <c r="R1029" s="2" t="inlineStr"/>
    </row>
    <row r="1030" ht="15" customHeight="1">
      <c r="A1030" t="inlineStr">
        <is>
          <t>A 3204-2025</t>
        </is>
      </c>
      <c r="B1030" s="1" t="n">
        <v>45679</v>
      </c>
      <c r="C1030" s="1" t="n">
        <v>45725</v>
      </c>
      <c r="D1030" t="inlineStr">
        <is>
          <t>JÄMTLANDS LÄN</t>
        </is>
      </c>
      <c r="E1030" t="inlineStr">
        <is>
          <t>ÖSTERSUND</t>
        </is>
      </c>
      <c r="F1030" t="inlineStr">
        <is>
          <t>SCA</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3265-2025</t>
        </is>
      </c>
      <c r="B1031" s="1" t="n">
        <v>45679</v>
      </c>
      <c r="C1031" s="1" t="n">
        <v>45725</v>
      </c>
      <c r="D1031" t="inlineStr">
        <is>
          <t>JÄMTLANDS LÄN</t>
        </is>
      </c>
      <c r="E1031" t="inlineStr">
        <is>
          <t>ÖSTERSUND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3615-2025</t>
        </is>
      </c>
      <c r="B1032" s="1" t="n">
        <v>45681</v>
      </c>
      <c r="C1032" s="1" t="n">
        <v>45725</v>
      </c>
      <c r="D1032" t="inlineStr">
        <is>
          <t>JÄMTLANDS LÄN</t>
        </is>
      </c>
      <c r="E1032" t="inlineStr">
        <is>
          <t>ÖSTERSUND</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3651-2025</t>
        </is>
      </c>
      <c r="B1033" s="1" t="n">
        <v>45681</v>
      </c>
      <c r="C1033" s="1" t="n">
        <v>45725</v>
      </c>
      <c r="D1033" t="inlineStr">
        <is>
          <t>JÄMTLANDS LÄN</t>
        </is>
      </c>
      <c r="E1033" t="inlineStr">
        <is>
          <t>ÖSTERSUND</t>
        </is>
      </c>
      <c r="F1033" t="inlineStr">
        <is>
          <t>SCA</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3664-2025</t>
        </is>
      </c>
      <c r="B1034" s="1" t="n">
        <v>45681</v>
      </c>
      <c r="C1034" s="1" t="n">
        <v>45725</v>
      </c>
      <c r="D1034" t="inlineStr">
        <is>
          <t>JÄMTLANDS LÄN</t>
        </is>
      </c>
      <c r="E1034" t="inlineStr">
        <is>
          <t>ÖSTERSUND</t>
        </is>
      </c>
      <c r="F1034" t="inlineStr">
        <is>
          <t>SCA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4063-2025</t>
        </is>
      </c>
      <c r="B1035" s="1" t="n">
        <v>45684</v>
      </c>
      <c r="C1035" s="1" t="n">
        <v>45725</v>
      </c>
      <c r="D1035" t="inlineStr">
        <is>
          <t>JÄMTLANDS LÄN</t>
        </is>
      </c>
      <c r="E1035" t="inlineStr">
        <is>
          <t>ÖSTERSUND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3914-2025</t>
        </is>
      </c>
      <c r="B1036" s="1" t="n">
        <v>45684</v>
      </c>
      <c r="C1036" s="1" t="n">
        <v>45725</v>
      </c>
      <c r="D1036" t="inlineStr">
        <is>
          <t>JÄMTLANDS LÄN</t>
        </is>
      </c>
      <c r="E1036" t="inlineStr">
        <is>
          <t>ÖSTERSUND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3985-2025</t>
        </is>
      </c>
      <c r="B1037" s="1" t="n">
        <v>45684</v>
      </c>
      <c r="C1037" s="1" t="n">
        <v>45725</v>
      </c>
      <c r="D1037" t="inlineStr">
        <is>
          <t>JÄMTLANDS LÄN</t>
        </is>
      </c>
      <c r="E1037" t="inlineStr">
        <is>
          <t>ÖSTERSUND</t>
        </is>
      </c>
      <c r="F1037" t="inlineStr">
        <is>
          <t>SCA</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3997-2025</t>
        </is>
      </c>
      <c r="B1038" s="1" t="n">
        <v>45684</v>
      </c>
      <c r="C1038" s="1" t="n">
        <v>45725</v>
      </c>
      <c r="D1038" t="inlineStr">
        <is>
          <t>JÄMTLANDS LÄN</t>
        </is>
      </c>
      <c r="E1038" t="inlineStr">
        <is>
          <t>ÖSTERSUND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4143-2025</t>
        </is>
      </c>
      <c r="B1039" s="1" t="n">
        <v>45685</v>
      </c>
      <c r="C1039" s="1" t="n">
        <v>45725</v>
      </c>
      <c r="D1039" t="inlineStr">
        <is>
          <t>JÄMTLANDS LÄN</t>
        </is>
      </c>
      <c r="E1039" t="inlineStr">
        <is>
          <t>ÖSTERSUND</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4311-2025</t>
        </is>
      </c>
      <c r="B1040" s="1" t="n">
        <v>45685</v>
      </c>
      <c r="C1040" s="1" t="n">
        <v>45725</v>
      </c>
      <c r="D1040" t="inlineStr">
        <is>
          <t>JÄMTLANDS LÄN</t>
        </is>
      </c>
      <c r="E1040" t="inlineStr">
        <is>
          <t>ÖSTERSUND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45725</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4480-2025</t>
        </is>
      </c>
      <c r="B1042" s="1" t="n">
        <v>45686</v>
      </c>
      <c r="C1042" s="1" t="n">
        <v>45725</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45725</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45725</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45725</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4384-2025</t>
        </is>
      </c>
      <c r="B1046" s="1" t="n">
        <v>45686</v>
      </c>
      <c r="C1046" s="1" t="n">
        <v>45725</v>
      </c>
      <c r="D1046" t="inlineStr">
        <is>
          <t>JÄMTLANDS LÄN</t>
        </is>
      </c>
      <c r="E1046" t="inlineStr">
        <is>
          <t>ÖSTERSUND</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4523-2025</t>
        </is>
      </c>
      <c r="B1047" s="1" t="n">
        <v>45686</v>
      </c>
      <c r="C1047" s="1" t="n">
        <v>45725</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4521-2025</t>
        </is>
      </c>
      <c r="B1048" s="1" t="n">
        <v>45686</v>
      </c>
      <c r="C1048" s="1" t="n">
        <v>45725</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45725</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4901-2025</t>
        </is>
      </c>
      <c r="B1050" s="1" t="n">
        <v>45688</v>
      </c>
      <c r="C1050" s="1" t="n">
        <v>45725</v>
      </c>
      <c r="D1050" t="inlineStr">
        <is>
          <t>JÄMTLANDS LÄN</t>
        </is>
      </c>
      <c r="E1050" t="inlineStr">
        <is>
          <t>ÖSTERSUND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4936-2025</t>
        </is>
      </c>
      <c r="B1051" s="1" t="n">
        <v>45688</v>
      </c>
      <c r="C1051" s="1" t="n">
        <v>45725</v>
      </c>
      <c r="D1051" t="inlineStr">
        <is>
          <t>JÄMTLANDS LÄN</t>
        </is>
      </c>
      <c r="E1051" t="inlineStr">
        <is>
          <t>ÖSTERSUND</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4864-2025</t>
        </is>
      </c>
      <c r="B1052" s="1" t="n">
        <v>45688</v>
      </c>
      <c r="C1052" s="1" t="n">
        <v>45725</v>
      </c>
      <c r="D1052" t="inlineStr">
        <is>
          <t>JÄMTLANDS LÄN</t>
        </is>
      </c>
      <c r="E1052" t="inlineStr">
        <is>
          <t>ÖSTERSUND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4966-2025</t>
        </is>
      </c>
      <c r="B1053" s="1" t="n">
        <v>45690</v>
      </c>
      <c r="C1053" s="1" t="n">
        <v>45725</v>
      </c>
      <c r="D1053" t="inlineStr">
        <is>
          <t>JÄMTLANDS LÄN</t>
        </is>
      </c>
      <c r="E1053" t="inlineStr">
        <is>
          <t>ÖSTERSUND</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45725</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45725</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45725</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5025-2025</t>
        </is>
      </c>
      <c r="B1057" s="1" t="n">
        <v>45691</v>
      </c>
      <c r="C1057" s="1" t="n">
        <v>45725</v>
      </c>
      <c r="D1057" t="inlineStr">
        <is>
          <t>JÄMTLANDS LÄN</t>
        </is>
      </c>
      <c r="E1057" t="inlineStr">
        <is>
          <t>ÖSTERSUND</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5024-2025</t>
        </is>
      </c>
      <c r="B1058" s="1" t="n">
        <v>45691</v>
      </c>
      <c r="C1058" s="1" t="n">
        <v>45725</v>
      </c>
      <c r="D1058" t="inlineStr">
        <is>
          <t>JÄMTLANDS LÄN</t>
        </is>
      </c>
      <c r="E1058" t="inlineStr">
        <is>
          <t>ÖSTERSUND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5341-2025</t>
        </is>
      </c>
      <c r="B1059" s="1" t="n">
        <v>45692</v>
      </c>
      <c r="C1059" s="1" t="n">
        <v>45725</v>
      </c>
      <c r="D1059" t="inlineStr">
        <is>
          <t>JÄMTLANDS LÄN</t>
        </is>
      </c>
      <c r="E1059" t="inlineStr">
        <is>
          <t>ÖSTERSUND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45725</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45725</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45725</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45725</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45725</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45725</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7005-2025</t>
        </is>
      </c>
      <c r="B1066" s="1" t="n">
        <v>45701</v>
      </c>
      <c r="C1066" s="1" t="n">
        <v>45725</v>
      </c>
      <c r="D1066" t="inlineStr">
        <is>
          <t>JÄMTLANDS LÄN</t>
        </is>
      </c>
      <c r="E1066" t="inlineStr">
        <is>
          <t>ÖSTERSUND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45725</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45725</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45725</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45725</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45725</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45725</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45725</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45725</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45725</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45725</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45725</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45725</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45725</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45725</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45725</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45725</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45725</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45725</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45725</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45725</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45725</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45725</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45725</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45725</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45725</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45725</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45725</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45725</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45725</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c r="A1096" t="inlineStr">
        <is>
          <t>A 10756-2025</t>
        </is>
      </c>
      <c r="B1096" s="1" t="n">
        <v>45722</v>
      </c>
      <c r="C1096" s="1" t="n">
        <v>45725</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2025-03-09T17:26:43Z</dcterms:created>
  <dcterms:modified xmlns:dcterms="http://purl.org/dc/terms/" xmlns:xsi="http://www.w3.org/2001/XMLSchema-instance" xsi:type="dcterms:W3CDTF">2025-03-09T17:26:44Z</dcterms:modified>
</cp:coreProperties>
</file>