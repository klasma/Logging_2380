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46025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46025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46025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46025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46025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46025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46025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46025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46025</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46025</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46025</v>
      </c>
      <c r="D13" t="inlineStr">
        <is>
          <t>JÄMTLANDS LÄN</t>
        </is>
      </c>
      <c r="E13" t="inlineStr">
        <is>
          <t>ÖSTERSUND</t>
        </is>
      </c>
      <c r="F13" t="inlineStr">
        <is>
          <t>Kommuner</t>
        </is>
      </c>
      <c r="G13" t="n">
        <v>5.7</v>
      </c>
      <c r="H13" t="n">
        <v>3</v>
      </c>
      <c r="I13" t="n">
        <v>4</v>
      </c>
      <c r="J13" t="n">
        <v>10</v>
      </c>
      <c r="K13" t="n">
        <v>3</v>
      </c>
      <c r="L13" t="n">
        <v>0</v>
      </c>
      <c r="M13" t="n">
        <v>0</v>
      </c>
      <c r="N13" t="n">
        <v>0</v>
      </c>
      <c r="O13" t="n">
        <v>13</v>
      </c>
      <c r="P13" t="n">
        <v>3</v>
      </c>
      <c r="Q13" t="n">
        <v>17</v>
      </c>
      <c r="R13" s="2" t="inlineStr">
        <is>
          <t>Knärot
Rynkskinn
Sprickporing
Garnlav
Granticka
Gränsticka
Harticka
Liten svartspik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2237-2022</t>
        </is>
      </c>
      <c r="B14" s="1" t="n">
        <v>44578</v>
      </c>
      <c r="C14" s="1" t="n">
        <v>46025</v>
      </c>
      <c r="D14" t="inlineStr">
        <is>
          <t>JÄMTLANDS LÄN</t>
        </is>
      </c>
      <c r="E14" t="inlineStr">
        <is>
          <t>ÖSTERSUND</t>
        </is>
      </c>
      <c r="G14" t="n">
        <v>13.5</v>
      </c>
      <c r="H14" t="n">
        <v>6</v>
      </c>
      <c r="I14" t="n">
        <v>7</v>
      </c>
      <c r="J14" t="n">
        <v>7</v>
      </c>
      <c r="K14" t="n">
        <v>2</v>
      </c>
      <c r="L14" t="n">
        <v>0</v>
      </c>
      <c r="M14" t="n">
        <v>0</v>
      </c>
      <c r="N14" t="n">
        <v>0</v>
      </c>
      <c r="O14" t="n">
        <v>9</v>
      </c>
      <c r="P14" t="n">
        <v>2</v>
      </c>
      <c r="Q14" t="n">
        <v>17</v>
      </c>
      <c r="R14" s="2" t="inlineStr">
        <is>
          <t>Bitter taggsvamp
Doftticka
Garnlav
Granticka
Lunglav
Orange taggsvamp
Rödvingetrast
Skrovellav
Ullticka
Bårdlav
Fjällig taggsvamp s.str.
Luddlav
Plattlummer
Spindelblomster
Stuplav
Tvåblad
Kungsfågel</t>
        </is>
      </c>
      <c r="S14">
        <f>HYPERLINK("https://klasma.github.io/Logging_2380/artfynd/A 2237-2022 artfynd.xlsx", "A 2237-2022")</f>
        <v/>
      </c>
      <c r="T14">
        <f>HYPERLINK("https://klasma.github.io/Logging_2380/kartor/A 2237-2022 karta.png", "A 2237-2022")</f>
        <v/>
      </c>
      <c r="V14">
        <f>HYPERLINK("https://klasma.github.io/Logging_2380/klagomål/A 2237-2022 FSC-klagomål.docx", "A 2237-2022")</f>
        <v/>
      </c>
      <c r="W14">
        <f>HYPERLINK("https://klasma.github.io/Logging_2380/klagomålsmail/A 2237-2022 FSC-klagomål mail.docx", "A 2237-2022")</f>
        <v/>
      </c>
      <c r="X14">
        <f>HYPERLINK("https://klasma.github.io/Logging_2380/tillsyn/A 2237-2022 tillsynsbegäran.docx", "A 2237-2022")</f>
        <v/>
      </c>
      <c r="Y14">
        <f>HYPERLINK("https://klasma.github.io/Logging_2380/tillsynsmail/A 2237-2022 tillsynsbegäran mail.docx", "A 2237-2022")</f>
        <v/>
      </c>
      <c r="Z14">
        <f>HYPERLINK("https://klasma.github.io/Logging_2380/fåglar/A 2237-2022 prioriterade fågelarter.docx", "A 2237-2022")</f>
        <v/>
      </c>
    </row>
    <row r="15" ht="15" customHeight="1">
      <c r="A15" t="inlineStr">
        <is>
          <t>A 15382-2025</t>
        </is>
      </c>
      <c r="B15" s="1" t="n">
        <v>45747</v>
      </c>
      <c r="C15" s="1" t="n">
        <v>46025</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46025</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46025</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46025</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46025</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46025</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46025</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46025</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46025</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56899-2025</t>
        </is>
      </c>
      <c r="B24" s="1" t="n">
        <v>45978.57238425926</v>
      </c>
      <c r="C24" s="1" t="n">
        <v>46025</v>
      </c>
      <c r="D24" t="inlineStr">
        <is>
          <t>JÄMTLANDS LÄN</t>
        </is>
      </c>
      <c r="E24" t="inlineStr">
        <is>
          <t>ÖSTERSUND</t>
        </is>
      </c>
      <c r="G24" t="n">
        <v>23.2</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56899-2025 artfynd.xlsx", "A 56899-2025")</f>
        <v/>
      </c>
      <c r="T24">
        <f>HYPERLINK("https://klasma.github.io/Logging_2380/kartor/A 56899-2025 karta.png", "A 56899-2025")</f>
        <v/>
      </c>
      <c r="V24">
        <f>HYPERLINK("https://klasma.github.io/Logging_2380/klagomål/A 56899-2025 FSC-klagomål.docx", "A 56899-2025")</f>
        <v/>
      </c>
      <c r="W24">
        <f>HYPERLINK("https://klasma.github.io/Logging_2380/klagomålsmail/A 56899-2025 FSC-klagomål mail.docx", "A 56899-2025")</f>
        <v/>
      </c>
      <c r="X24">
        <f>HYPERLINK("https://klasma.github.io/Logging_2380/tillsyn/A 56899-2025 tillsynsbegäran.docx", "A 56899-2025")</f>
        <v/>
      </c>
      <c r="Y24">
        <f>HYPERLINK("https://klasma.github.io/Logging_2380/tillsynsmail/A 56899-2025 tillsynsbegäran mail.docx", "A 56899-2025")</f>
        <v/>
      </c>
      <c r="Z24">
        <f>HYPERLINK("https://klasma.github.io/Logging_2380/fåglar/A 56899-2025 prioriterade fågelarter.docx", "A 56899-2025")</f>
        <v/>
      </c>
    </row>
    <row r="25" ht="15" customHeight="1">
      <c r="A25" t="inlineStr">
        <is>
          <t>A 39541-2025</t>
        </is>
      </c>
      <c r="B25" s="1" t="n">
        <v>45890.45399305555</v>
      </c>
      <c r="C25" s="1" t="n">
        <v>46025</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46025</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48959-2025</t>
        </is>
      </c>
      <c r="B27" s="1" t="n">
        <v>45937.55055555556</v>
      </c>
      <c r="C27" s="1" t="n">
        <v>46025</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48030-2025</t>
        </is>
      </c>
      <c r="B28" s="1" t="n">
        <v>45932.65210648148</v>
      </c>
      <c r="C28" s="1" t="n">
        <v>46025</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55314-2024</t>
        </is>
      </c>
      <c r="B29" s="1" t="n">
        <v>45621</v>
      </c>
      <c r="C29" s="1" t="n">
        <v>46025</v>
      </c>
      <c r="D29" t="inlineStr">
        <is>
          <t>JÄMTLANDS LÄN</t>
        </is>
      </c>
      <c r="E29" t="inlineStr">
        <is>
          <t>ÖSTERSUND</t>
        </is>
      </c>
      <c r="G29" t="n">
        <v>14.2</v>
      </c>
      <c r="H29" t="n">
        <v>4</v>
      </c>
      <c r="I29" t="n">
        <v>3</v>
      </c>
      <c r="J29" t="n">
        <v>7</v>
      </c>
      <c r="K29" t="n">
        <v>0</v>
      </c>
      <c r="L29" t="n">
        <v>0</v>
      </c>
      <c r="M29" t="n">
        <v>0</v>
      </c>
      <c r="N29" t="n">
        <v>0</v>
      </c>
      <c r="O29" t="n">
        <v>7</v>
      </c>
      <c r="P29" t="n">
        <v>0</v>
      </c>
      <c r="Q29" t="n">
        <v>11</v>
      </c>
      <c r="R29" s="2" t="inlineStr">
        <is>
          <t>Garnlav
Granticka
Lunglav
Skrovellav
Spillkråka
Talltita
Tretåig hackspett
Bårdlav
Luddlav
Stuplav
Tjäder</t>
        </is>
      </c>
      <c r="S29">
        <f>HYPERLINK("https://klasma.github.io/Logging_2380/artfynd/A 55314-2024 artfynd.xlsx", "A 55314-2024")</f>
        <v/>
      </c>
      <c r="T29">
        <f>HYPERLINK("https://klasma.github.io/Logging_2380/kartor/A 55314-2024 karta.png", "A 55314-2024")</f>
        <v/>
      </c>
      <c r="V29">
        <f>HYPERLINK("https://klasma.github.io/Logging_2380/klagomål/A 55314-2024 FSC-klagomål.docx", "A 55314-2024")</f>
        <v/>
      </c>
      <c r="W29">
        <f>HYPERLINK("https://klasma.github.io/Logging_2380/klagomålsmail/A 55314-2024 FSC-klagomål mail.docx", "A 55314-2024")</f>
        <v/>
      </c>
      <c r="X29">
        <f>HYPERLINK("https://klasma.github.io/Logging_2380/tillsyn/A 55314-2024 tillsynsbegäran.docx", "A 55314-2024")</f>
        <v/>
      </c>
      <c r="Y29">
        <f>HYPERLINK("https://klasma.github.io/Logging_2380/tillsynsmail/A 55314-2024 tillsynsbegäran mail.docx", "A 55314-2024")</f>
        <v/>
      </c>
      <c r="Z29">
        <f>HYPERLINK("https://klasma.github.io/Logging_2380/fåglar/A 55314-2024 prioriterade fågelarter.docx", "A 55314-2024")</f>
        <v/>
      </c>
    </row>
    <row r="30" ht="15" customHeight="1">
      <c r="A30" t="inlineStr">
        <is>
          <t>A 61766-2024</t>
        </is>
      </c>
      <c r="B30" s="1" t="n">
        <v>45649</v>
      </c>
      <c r="C30" s="1" t="n">
        <v>46025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46025</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46025</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46025</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16845-2025</t>
        </is>
      </c>
      <c r="B34" s="1" t="n">
        <v>45754.67761574074</v>
      </c>
      <c r="C34" s="1" t="n">
        <v>46025</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45224-2024</t>
        </is>
      </c>
      <c r="B35" s="1" t="n">
        <v>45575.77440972222</v>
      </c>
      <c r="C35" s="1" t="n">
        <v>46025</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46025</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46025</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34816-2024</t>
        </is>
      </c>
      <c r="B38" s="1" t="n">
        <v>45526</v>
      </c>
      <c r="C38" s="1" t="n">
        <v>46025</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17716-2024</t>
        </is>
      </c>
      <c r="B39" s="1" t="n">
        <v>45415</v>
      </c>
      <c r="C39" s="1" t="n">
        <v>46025</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7710-2024</t>
        </is>
      </c>
      <c r="B40" s="1" t="n">
        <v>45349</v>
      </c>
      <c r="C40" s="1" t="n">
        <v>46025</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21753-2023</t>
        </is>
      </c>
      <c r="B41" s="1" t="n">
        <v>45063</v>
      </c>
      <c r="C41" s="1" t="n">
        <v>46025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46025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55039-2025</t>
        </is>
      </c>
      <c r="B43" s="1" t="n">
        <v>45967.65594907408</v>
      </c>
      <c r="C43" s="1" t="n">
        <v>46025</v>
      </c>
      <c r="D43" t="inlineStr">
        <is>
          <t>JÄMTLANDS LÄN</t>
        </is>
      </c>
      <c r="E43" t="inlineStr">
        <is>
          <t>ÖSTERSUND</t>
        </is>
      </c>
      <c r="G43" t="n">
        <v>19.6</v>
      </c>
      <c r="H43" t="n">
        <v>5</v>
      </c>
      <c r="I43" t="n">
        <v>1</v>
      </c>
      <c r="J43" t="n">
        <v>5</v>
      </c>
      <c r="K43" t="n">
        <v>0</v>
      </c>
      <c r="L43" t="n">
        <v>0</v>
      </c>
      <c r="M43" t="n">
        <v>0</v>
      </c>
      <c r="N43" t="n">
        <v>0</v>
      </c>
      <c r="O43" t="n">
        <v>5</v>
      </c>
      <c r="P43" t="n">
        <v>0</v>
      </c>
      <c r="Q43" t="n">
        <v>8</v>
      </c>
      <c r="R43" s="2" t="inlineStr">
        <is>
          <t>Garnlav
Granticka
Harticka
Järpe
Spillkråka
Guckusko
Lavskrika
Revlummer</t>
        </is>
      </c>
      <c r="S43">
        <f>HYPERLINK("https://klasma.github.io/Logging_2380/artfynd/A 55039-2025 artfynd.xlsx", "A 55039-2025")</f>
        <v/>
      </c>
      <c r="T43">
        <f>HYPERLINK("https://klasma.github.io/Logging_2380/kartor/A 55039-2025 karta.png", "A 55039-2025")</f>
        <v/>
      </c>
      <c r="V43">
        <f>HYPERLINK("https://klasma.github.io/Logging_2380/klagomål/A 55039-2025 FSC-klagomål.docx", "A 55039-2025")</f>
        <v/>
      </c>
      <c r="W43">
        <f>HYPERLINK("https://klasma.github.io/Logging_2380/klagomålsmail/A 55039-2025 FSC-klagomål mail.docx", "A 55039-2025")</f>
        <v/>
      </c>
      <c r="X43">
        <f>HYPERLINK("https://klasma.github.io/Logging_2380/tillsyn/A 55039-2025 tillsynsbegäran.docx", "A 55039-2025")</f>
        <v/>
      </c>
      <c r="Y43">
        <f>HYPERLINK("https://klasma.github.io/Logging_2380/tillsynsmail/A 55039-2025 tillsynsbegäran mail.docx", "A 55039-2025")</f>
        <v/>
      </c>
      <c r="Z43">
        <f>HYPERLINK("https://klasma.github.io/Logging_2380/fåglar/A 55039-2025 prioriterade fågelarter.docx", "A 55039-2025")</f>
        <v/>
      </c>
    </row>
    <row r="44" ht="15" customHeight="1">
      <c r="A44" t="inlineStr">
        <is>
          <t>A 56648-2025</t>
        </is>
      </c>
      <c r="B44" s="1" t="n">
        <v>45975.63604166666</v>
      </c>
      <c r="C44" s="1" t="n">
        <v>46025</v>
      </c>
      <c r="D44" t="inlineStr">
        <is>
          <t>JÄMTLANDS LÄN</t>
        </is>
      </c>
      <c r="E44" t="inlineStr">
        <is>
          <t>ÖSTERSUND</t>
        </is>
      </c>
      <c r="G44" t="n">
        <v>4.3</v>
      </c>
      <c r="H44" t="n">
        <v>4</v>
      </c>
      <c r="I44" t="n">
        <v>1</v>
      </c>
      <c r="J44" t="n">
        <v>6</v>
      </c>
      <c r="K44" t="n">
        <v>0</v>
      </c>
      <c r="L44" t="n">
        <v>0</v>
      </c>
      <c r="M44" t="n">
        <v>0</v>
      </c>
      <c r="N44" t="n">
        <v>0</v>
      </c>
      <c r="O44" t="n">
        <v>6</v>
      </c>
      <c r="P44" t="n">
        <v>0</v>
      </c>
      <c r="Q44" t="n">
        <v>8</v>
      </c>
      <c r="R44" s="2" t="inlineStr">
        <is>
          <t>Garnlav
Granticka
Spillkråka
Talltita
Tretåig hackspett
Ullticka
Stuplav
Revlummer</t>
        </is>
      </c>
      <c r="S44">
        <f>HYPERLINK("https://klasma.github.io/Logging_2380/artfynd/A 56648-2025 artfynd.xlsx", "A 56648-2025")</f>
        <v/>
      </c>
      <c r="T44">
        <f>HYPERLINK("https://klasma.github.io/Logging_2380/kartor/A 56648-2025 karta.png", "A 56648-2025")</f>
        <v/>
      </c>
      <c r="V44">
        <f>HYPERLINK("https://klasma.github.io/Logging_2380/klagomål/A 56648-2025 FSC-klagomål.docx", "A 56648-2025")</f>
        <v/>
      </c>
      <c r="W44">
        <f>HYPERLINK("https://klasma.github.io/Logging_2380/klagomålsmail/A 56648-2025 FSC-klagomål mail.docx", "A 56648-2025")</f>
        <v/>
      </c>
      <c r="X44">
        <f>HYPERLINK("https://klasma.github.io/Logging_2380/tillsyn/A 56648-2025 tillsynsbegäran.docx", "A 56648-2025")</f>
        <v/>
      </c>
      <c r="Y44">
        <f>HYPERLINK("https://klasma.github.io/Logging_2380/tillsynsmail/A 56648-2025 tillsynsbegäran mail.docx", "A 56648-2025")</f>
        <v/>
      </c>
      <c r="Z44">
        <f>HYPERLINK("https://klasma.github.io/Logging_2380/fåglar/A 56648-2025 prioriterade fågelarter.docx", "A 56648-2025")</f>
        <v/>
      </c>
    </row>
    <row r="45" ht="15" customHeight="1">
      <c r="A45" t="inlineStr">
        <is>
          <t>A 10744-2024</t>
        </is>
      </c>
      <c r="B45" s="1" t="n">
        <v>45369</v>
      </c>
      <c r="C45" s="1" t="n">
        <v>46025</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39735-2021</t>
        </is>
      </c>
      <c r="B46" s="1" t="n">
        <v>44414</v>
      </c>
      <c r="C46" s="1" t="n">
        <v>46025</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46025</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52297-2025</t>
        </is>
      </c>
      <c r="B48" s="1" t="n">
        <v>45953.61092592592</v>
      </c>
      <c r="C48" s="1" t="n">
        <v>46025</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53292-2025</t>
        </is>
      </c>
      <c r="B49" s="1" t="n">
        <v>45958</v>
      </c>
      <c r="C49" s="1" t="n">
        <v>46025</v>
      </c>
      <c r="D49" t="inlineStr">
        <is>
          <t>JÄMTLANDS LÄN</t>
        </is>
      </c>
      <c r="E49" t="inlineStr">
        <is>
          <t>ÖSTERSUND</t>
        </is>
      </c>
      <c r="G49" t="n">
        <v>3</v>
      </c>
      <c r="H49" t="n">
        <v>5</v>
      </c>
      <c r="I49" t="n">
        <v>0</v>
      </c>
      <c r="J49" t="n">
        <v>3</v>
      </c>
      <c r="K49" t="n">
        <v>1</v>
      </c>
      <c r="L49" t="n">
        <v>0</v>
      </c>
      <c r="M49" t="n">
        <v>0</v>
      </c>
      <c r="N49" t="n">
        <v>0</v>
      </c>
      <c r="O49" t="n">
        <v>4</v>
      </c>
      <c r="P49" t="n">
        <v>1</v>
      </c>
      <c r="Q49" t="n">
        <v>7</v>
      </c>
      <c r="R49" s="2" t="inlineStr">
        <is>
          <t>Knärot
Garnlav
Granticka
Talltita
Kungsfågel
Blåsippa
Revlummer</t>
        </is>
      </c>
      <c r="S49">
        <f>HYPERLINK("https://klasma.github.io/Logging_2380/artfynd/A 53292-2025 artfynd.xlsx", "A 53292-2025")</f>
        <v/>
      </c>
      <c r="T49">
        <f>HYPERLINK("https://klasma.github.io/Logging_2380/kartor/A 53292-2025 karta.png", "A 53292-2025")</f>
        <v/>
      </c>
      <c r="U49">
        <f>HYPERLINK("https://klasma.github.io/Logging_2380/knärot/A 53292-2025 karta knärot.png", "A 53292-2025")</f>
        <v/>
      </c>
      <c r="V49">
        <f>HYPERLINK("https://klasma.github.io/Logging_2380/klagomål/A 53292-2025 FSC-klagomål.docx", "A 53292-2025")</f>
        <v/>
      </c>
      <c r="W49">
        <f>HYPERLINK("https://klasma.github.io/Logging_2380/klagomålsmail/A 53292-2025 FSC-klagomål mail.docx", "A 53292-2025")</f>
        <v/>
      </c>
      <c r="X49">
        <f>HYPERLINK("https://klasma.github.io/Logging_2380/tillsyn/A 53292-2025 tillsynsbegäran.docx", "A 53292-2025")</f>
        <v/>
      </c>
      <c r="Y49">
        <f>HYPERLINK("https://klasma.github.io/Logging_2380/tillsynsmail/A 53292-2025 tillsynsbegäran mail.docx", "A 53292-2025")</f>
        <v/>
      </c>
      <c r="Z49">
        <f>HYPERLINK("https://klasma.github.io/Logging_2380/fåglar/A 53292-2025 prioriterade fågelarter.docx", "A 53292-2025")</f>
        <v/>
      </c>
    </row>
    <row r="50" ht="15" customHeight="1">
      <c r="A50" t="inlineStr">
        <is>
          <t>A 39586-2025</t>
        </is>
      </c>
      <c r="B50" s="1" t="n">
        <v>45890</v>
      </c>
      <c r="C50" s="1" t="n">
        <v>46025</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26372-2025</t>
        </is>
      </c>
      <c r="B51" s="1" t="n">
        <v>45806</v>
      </c>
      <c r="C51" s="1" t="n">
        <v>46025</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44741-2025</t>
        </is>
      </c>
      <c r="B52" s="1" t="n">
        <v>45917.66619212963</v>
      </c>
      <c r="C52" s="1" t="n">
        <v>46025</v>
      </c>
      <c r="D52" t="inlineStr">
        <is>
          <t>JÄMTLANDS LÄN</t>
        </is>
      </c>
      <c r="E52" t="inlineStr">
        <is>
          <t>ÖSTERSUND</t>
        </is>
      </c>
      <c r="G52" t="n">
        <v>14.4</v>
      </c>
      <c r="H52" t="n">
        <v>3</v>
      </c>
      <c r="I52" t="n">
        <v>2</v>
      </c>
      <c r="J52" t="n">
        <v>3</v>
      </c>
      <c r="K52" t="n">
        <v>1</v>
      </c>
      <c r="L52" t="n">
        <v>0</v>
      </c>
      <c r="M52" t="n">
        <v>0</v>
      </c>
      <c r="N52" t="n">
        <v>0</v>
      </c>
      <c r="O52" t="n">
        <v>4</v>
      </c>
      <c r="P52" t="n">
        <v>1</v>
      </c>
      <c r="Q52" t="n">
        <v>7</v>
      </c>
      <c r="R52" s="2" t="inlineStr">
        <is>
          <t>Knärot
Garnlav
Talltita
Ullticka
Kransrams
Svavelriska
Revlummer</t>
        </is>
      </c>
      <c r="S52">
        <f>HYPERLINK("https://klasma.github.io/Logging_2380/artfynd/A 44741-2025 artfynd.xlsx", "A 44741-2025")</f>
        <v/>
      </c>
      <c r="T52">
        <f>HYPERLINK("https://klasma.github.io/Logging_2380/kartor/A 44741-2025 karta.png", "A 44741-2025")</f>
        <v/>
      </c>
      <c r="U52">
        <f>HYPERLINK("https://klasma.github.io/Logging_2380/knärot/A 44741-2025 karta knärot.png", "A 44741-2025")</f>
        <v/>
      </c>
      <c r="V52">
        <f>HYPERLINK("https://klasma.github.io/Logging_2380/klagomål/A 44741-2025 FSC-klagomål.docx", "A 44741-2025")</f>
        <v/>
      </c>
      <c r="W52">
        <f>HYPERLINK("https://klasma.github.io/Logging_2380/klagomålsmail/A 44741-2025 FSC-klagomål mail.docx", "A 44741-2025")</f>
        <v/>
      </c>
      <c r="X52">
        <f>HYPERLINK("https://klasma.github.io/Logging_2380/tillsyn/A 44741-2025 tillsynsbegäran.docx", "A 44741-2025")</f>
        <v/>
      </c>
      <c r="Y52">
        <f>HYPERLINK("https://klasma.github.io/Logging_2380/tillsynsmail/A 44741-2025 tillsynsbegäran mail.docx", "A 44741-2025")</f>
        <v/>
      </c>
      <c r="Z52">
        <f>HYPERLINK("https://klasma.github.io/Logging_2380/fåglar/A 44741-2025 prioriterade fågelarter.docx", "A 44741-2025")</f>
        <v/>
      </c>
    </row>
    <row r="53" ht="15" customHeight="1">
      <c r="A53" t="inlineStr">
        <is>
          <t>A 50529-2025</t>
        </is>
      </c>
      <c r="B53" s="1" t="n">
        <v>45945.47331018518</v>
      </c>
      <c r="C53" s="1" t="n">
        <v>46025</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48736-2025</t>
        </is>
      </c>
      <c r="B54" s="1" t="n">
        <v>45936.66547453704</v>
      </c>
      <c r="C54" s="1" t="n">
        <v>46025</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57729-2025</t>
        </is>
      </c>
      <c r="B55" s="1" t="n">
        <v>45981.50630787037</v>
      </c>
      <c r="C55" s="1" t="n">
        <v>46025</v>
      </c>
      <c r="D55" t="inlineStr">
        <is>
          <t>JÄMTLANDS LÄN</t>
        </is>
      </c>
      <c r="E55" t="inlineStr">
        <is>
          <t>ÖSTERSUND</t>
        </is>
      </c>
      <c r="G55" t="n">
        <v>5.2</v>
      </c>
      <c r="H55" t="n">
        <v>3</v>
      </c>
      <c r="I55" t="n">
        <v>2</v>
      </c>
      <c r="J55" t="n">
        <v>4</v>
      </c>
      <c r="K55" t="n">
        <v>0</v>
      </c>
      <c r="L55" t="n">
        <v>0</v>
      </c>
      <c r="M55" t="n">
        <v>0</v>
      </c>
      <c r="N55" t="n">
        <v>0</v>
      </c>
      <c r="O55" t="n">
        <v>4</v>
      </c>
      <c r="P55" t="n">
        <v>0</v>
      </c>
      <c r="Q55" t="n">
        <v>7</v>
      </c>
      <c r="R55" s="2" t="inlineStr">
        <is>
          <t>Granticka
Kråka
Talltita
Ullticka
Stuplav
Vedticka
Revlummer</t>
        </is>
      </c>
      <c r="S55">
        <f>HYPERLINK("https://klasma.github.io/Logging_2380/artfynd/A 57729-2025 artfynd.xlsx", "A 57729-2025")</f>
        <v/>
      </c>
      <c r="T55">
        <f>HYPERLINK("https://klasma.github.io/Logging_2380/kartor/A 57729-2025 karta.png", "A 57729-2025")</f>
        <v/>
      </c>
      <c r="V55">
        <f>HYPERLINK("https://klasma.github.io/Logging_2380/klagomål/A 57729-2025 FSC-klagomål.docx", "A 57729-2025")</f>
        <v/>
      </c>
      <c r="W55">
        <f>HYPERLINK("https://klasma.github.io/Logging_2380/klagomålsmail/A 57729-2025 FSC-klagomål mail.docx", "A 57729-2025")</f>
        <v/>
      </c>
      <c r="X55">
        <f>HYPERLINK("https://klasma.github.io/Logging_2380/tillsyn/A 57729-2025 tillsynsbegäran.docx", "A 57729-2025")</f>
        <v/>
      </c>
      <c r="Y55">
        <f>HYPERLINK("https://klasma.github.io/Logging_2380/tillsynsmail/A 57729-2025 tillsynsbegäran mail.docx", "A 57729-2025")</f>
        <v/>
      </c>
      <c r="Z55">
        <f>HYPERLINK("https://klasma.github.io/Logging_2380/fåglar/A 57729-2025 prioriterade fågelarter.docx", "A 57729-2025")</f>
        <v/>
      </c>
    </row>
    <row r="56" ht="15" customHeight="1">
      <c r="A56" t="inlineStr">
        <is>
          <t>A 54608-2023</t>
        </is>
      </c>
      <c r="B56" s="1" t="n">
        <v>45233</v>
      </c>
      <c r="C56" s="1" t="n">
        <v>46025</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16369-2023</t>
        </is>
      </c>
      <c r="B57" s="1" t="n">
        <v>45028</v>
      </c>
      <c r="C57" s="1" t="n">
        <v>46025</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28512-2021</t>
        </is>
      </c>
      <c r="B58" s="1" t="n">
        <v>44356</v>
      </c>
      <c r="C58" s="1" t="n">
        <v>46025</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46025</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46025</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46025</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40815-2025</t>
        </is>
      </c>
      <c r="B62" s="1" t="n">
        <v>45897</v>
      </c>
      <c r="C62" s="1" t="n">
        <v>46025</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61153-2024</t>
        </is>
      </c>
      <c r="B63" s="1" t="n">
        <v>45645</v>
      </c>
      <c r="C63" s="1" t="n">
        <v>46025</v>
      </c>
      <c r="D63" t="inlineStr">
        <is>
          <t>JÄMTLANDS LÄN</t>
        </is>
      </c>
      <c r="E63" t="inlineStr">
        <is>
          <t>ÖSTERSUND</t>
        </is>
      </c>
      <c r="G63" t="n">
        <v>8.699999999999999</v>
      </c>
      <c r="H63" t="n">
        <v>5</v>
      </c>
      <c r="I63" t="n">
        <v>0</v>
      </c>
      <c r="J63" t="n">
        <v>4</v>
      </c>
      <c r="K63" t="n">
        <v>1</v>
      </c>
      <c r="L63" t="n">
        <v>0</v>
      </c>
      <c r="M63" t="n">
        <v>0</v>
      </c>
      <c r="N63" t="n">
        <v>0</v>
      </c>
      <c r="O63" t="n">
        <v>5</v>
      </c>
      <c r="P63" t="n">
        <v>1</v>
      </c>
      <c r="Q63" t="n">
        <v>6</v>
      </c>
      <c r="R63" s="2" t="inlineStr">
        <is>
          <t>Knärot
Garnlav
Mindre hackspett
Spillkråka
Talltita
Tjäder</t>
        </is>
      </c>
      <c r="S63">
        <f>HYPERLINK("https://klasma.github.io/Logging_2380/artfynd/A 61153-2024 artfynd.xlsx", "A 61153-2024")</f>
        <v/>
      </c>
      <c r="T63">
        <f>HYPERLINK("https://klasma.github.io/Logging_2380/kartor/A 61153-2024 karta.png", "A 61153-2024")</f>
        <v/>
      </c>
      <c r="U63">
        <f>HYPERLINK("https://klasma.github.io/Logging_2380/knärot/A 61153-2024 karta knärot.png", "A 61153-2024")</f>
        <v/>
      </c>
      <c r="V63">
        <f>HYPERLINK("https://klasma.github.io/Logging_2380/klagomål/A 61153-2024 FSC-klagomål.docx", "A 61153-2024")</f>
        <v/>
      </c>
      <c r="W63">
        <f>HYPERLINK("https://klasma.github.io/Logging_2380/klagomålsmail/A 61153-2024 FSC-klagomål mail.docx", "A 61153-2024")</f>
        <v/>
      </c>
      <c r="X63">
        <f>HYPERLINK("https://klasma.github.io/Logging_2380/tillsyn/A 61153-2024 tillsynsbegäran.docx", "A 61153-2024")</f>
        <v/>
      </c>
      <c r="Y63">
        <f>HYPERLINK("https://klasma.github.io/Logging_2380/tillsynsmail/A 61153-2024 tillsynsbegäran mail.docx", "A 61153-2024")</f>
        <v/>
      </c>
      <c r="Z63">
        <f>HYPERLINK("https://klasma.github.io/Logging_2380/fåglar/A 61153-2024 prioriterade fågelarter.docx", "A 61153-2024")</f>
        <v/>
      </c>
    </row>
    <row r="64" ht="15" customHeight="1">
      <c r="A64" t="inlineStr">
        <is>
          <t>A 18338-2025</t>
        </is>
      </c>
      <c r="B64" s="1" t="n">
        <v>45762.51075231482</v>
      </c>
      <c r="C64" s="1" t="n">
        <v>46025</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HYPERLINK("https://klasma.github.io/Logging_2380/artfynd/A 18338-2025 artfynd.xlsx", "A 18338-2025")</f>
        <v/>
      </c>
      <c r="T64">
        <f>HYPERLINK("https://klasma.github.io/Logging_2380/kartor/A 18338-2025 karta.png", "A 18338-2025")</f>
        <v/>
      </c>
      <c r="V64">
        <f>HYPERLINK("https://klasma.github.io/Logging_2380/klagomål/A 18338-2025 FSC-klagomål.docx", "A 18338-2025")</f>
        <v/>
      </c>
      <c r="W64">
        <f>HYPERLINK("https://klasma.github.io/Logging_2380/klagomålsmail/A 18338-2025 FSC-klagomål mail.docx", "A 18338-2025")</f>
        <v/>
      </c>
      <c r="X64">
        <f>HYPERLINK("https://klasma.github.io/Logging_2380/tillsyn/A 18338-2025 tillsynsbegäran.docx", "A 18338-2025")</f>
        <v/>
      </c>
      <c r="Y64">
        <f>HYPERLINK("https://klasma.github.io/Logging_2380/tillsynsmail/A 18338-2025 tillsynsbegäran mail.docx", "A 18338-2025")</f>
        <v/>
      </c>
    </row>
    <row r="65" ht="15" customHeight="1">
      <c r="A65" t="inlineStr">
        <is>
          <t>A 40555-2024</t>
        </is>
      </c>
      <c r="B65" s="1" t="n">
        <v>45555</v>
      </c>
      <c r="C65" s="1" t="n">
        <v>46025</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61212-2025</t>
        </is>
      </c>
      <c r="B66" s="1" t="n">
        <v>46000.61640046296</v>
      </c>
      <c r="C66" s="1" t="n">
        <v>46025</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46025</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46025</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46025</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46025</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46025</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39941-2024</t>
        </is>
      </c>
      <c r="B72" s="1" t="n">
        <v>45553</v>
      </c>
      <c r="C72" s="1" t="n">
        <v>46025</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45979-2023</t>
        </is>
      </c>
      <c r="B73" s="1" t="n">
        <v>45189</v>
      </c>
      <c r="C73" s="1" t="n">
        <v>46025</v>
      </c>
      <c r="D73" t="inlineStr">
        <is>
          <t>JÄMTLANDS LÄN</t>
        </is>
      </c>
      <c r="E73" t="inlineStr">
        <is>
          <t>ÖSTERSUND</t>
        </is>
      </c>
      <c r="G73" t="n">
        <v>3.3</v>
      </c>
      <c r="H73" t="n">
        <v>3</v>
      </c>
      <c r="I73" t="n">
        <v>2</v>
      </c>
      <c r="J73" t="n">
        <v>0</v>
      </c>
      <c r="K73" t="n">
        <v>0</v>
      </c>
      <c r="L73" t="n">
        <v>1</v>
      </c>
      <c r="M73" t="n">
        <v>0</v>
      </c>
      <c r="N73" t="n">
        <v>0</v>
      </c>
      <c r="O73" t="n">
        <v>1</v>
      </c>
      <c r="P73" t="n">
        <v>1</v>
      </c>
      <c r="Q73" t="n">
        <v>5</v>
      </c>
      <c r="R73" s="2" t="inlineStr">
        <is>
          <t>Trolldruvemätare
Svart trolldruva
Tvåblad
Dactylorhiza incarnata subsp. incarnata
Ängsnycklar</t>
        </is>
      </c>
      <c r="S73">
        <f>HYPERLINK("https://klasma.github.io/Logging_2380/artfynd/A 45979-2023 artfynd.xlsx", "A 45979-2023")</f>
        <v/>
      </c>
      <c r="T73">
        <f>HYPERLINK("https://klasma.github.io/Logging_2380/kartor/A 45979-2023 karta.png", "A 45979-2023")</f>
        <v/>
      </c>
      <c r="V73">
        <f>HYPERLINK("https://klasma.github.io/Logging_2380/klagomål/A 45979-2023 FSC-klagomål.docx", "A 45979-2023")</f>
        <v/>
      </c>
      <c r="W73">
        <f>HYPERLINK("https://klasma.github.io/Logging_2380/klagomålsmail/A 45979-2023 FSC-klagomål mail.docx", "A 45979-2023")</f>
        <v/>
      </c>
      <c r="X73">
        <f>HYPERLINK("https://klasma.github.io/Logging_2380/tillsyn/A 45979-2023 tillsynsbegäran.docx", "A 45979-2023")</f>
        <v/>
      </c>
      <c r="Y73">
        <f>HYPERLINK("https://klasma.github.io/Logging_2380/tillsynsmail/A 45979-2023 tillsynsbegäran mail.docx", "A 45979-2023")</f>
        <v/>
      </c>
    </row>
    <row r="74" ht="15" customHeight="1">
      <c r="A74" t="inlineStr">
        <is>
          <t>A 58372-2025</t>
        </is>
      </c>
      <c r="B74" s="1" t="n">
        <v>45985.53155092592</v>
      </c>
      <c r="C74" s="1" t="n">
        <v>46025</v>
      </c>
      <c r="D74" t="inlineStr">
        <is>
          <t>JÄMTLANDS LÄN</t>
        </is>
      </c>
      <c r="E74" t="inlineStr">
        <is>
          <t>ÖSTERSUND</t>
        </is>
      </c>
      <c r="G74" t="n">
        <v>7.1</v>
      </c>
      <c r="H74" t="n">
        <v>1</v>
      </c>
      <c r="I74" t="n">
        <v>0</v>
      </c>
      <c r="J74" t="n">
        <v>5</v>
      </c>
      <c r="K74" t="n">
        <v>0</v>
      </c>
      <c r="L74" t="n">
        <v>0</v>
      </c>
      <c r="M74" t="n">
        <v>0</v>
      </c>
      <c r="N74" t="n">
        <v>0</v>
      </c>
      <c r="O74" t="n">
        <v>5</v>
      </c>
      <c r="P74" t="n">
        <v>0</v>
      </c>
      <c r="Q74" t="n">
        <v>5</v>
      </c>
      <c r="R74" s="2" t="inlineStr">
        <is>
          <t>Garnlav
Harticka
Lunglav
Tretåig hackspett
Ullticka</t>
        </is>
      </c>
      <c r="S74">
        <f>HYPERLINK("https://klasma.github.io/Logging_2380/artfynd/A 58372-2025 artfynd.xlsx", "A 58372-2025")</f>
        <v/>
      </c>
      <c r="T74">
        <f>HYPERLINK("https://klasma.github.io/Logging_2380/kartor/A 58372-2025 karta.png", "A 58372-2025")</f>
        <v/>
      </c>
      <c r="V74">
        <f>HYPERLINK("https://klasma.github.io/Logging_2380/klagomål/A 58372-2025 FSC-klagomål.docx", "A 58372-2025")</f>
        <v/>
      </c>
      <c r="W74">
        <f>HYPERLINK("https://klasma.github.io/Logging_2380/klagomålsmail/A 58372-2025 FSC-klagomål mail.docx", "A 58372-2025")</f>
        <v/>
      </c>
      <c r="X74">
        <f>HYPERLINK("https://klasma.github.io/Logging_2380/tillsyn/A 58372-2025 tillsynsbegäran.docx", "A 58372-2025")</f>
        <v/>
      </c>
      <c r="Y74">
        <f>HYPERLINK("https://klasma.github.io/Logging_2380/tillsynsmail/A 58372-2025 tillsynsbegäran mail.docx", "A 58372-2025")</f>
        <v/>
      </c>
      <c r="Z74">
        <f>HYPERLINK("https://klasma.github.io/Logging_2380/fåglar/A 58372-2025 prioriterade fågelarter.docx", "A 58372-2025")</f>
        <v/>
      </c>
    </row>
    <row r="75" ht="15" customHeight="1">
      <c r="A75" t="inlineStr">
        <is>
          <t>A 62060-2025</t>
        </is>
      </c>
      <c r="B75" s="1" t="n">
        <v>46006.34435185185</v>
      </c>
      <c r="C75" s="1" t="n">
        <v>46025</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54731-2024</t>
        </is>
      </c>
      <c r="B76" s="1" t="n">
        <v>45618.43853009259</v>
      </c>
      <c r="C76" s="1" t="n">
        <v>46025</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38334-2023</t>
        </is>
      </c>
      <c r="B77" s="1" t="n">
        <v>45161</v>
      </c>
      <c r="C77" s="1" t="n">
        <v>46025</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56934-2025</t>
        </is>
      </c>
      <c r="B78" s="1" t="n">
        <v>45978.61351851852</v>
      </c>
      <c r="C78" s="1" t="n">
        <v>46025</v>
      </c>
      <c r="D78" t="inlineStr">
        <is>
          <t>JÄMTLANDS LÄN</t>
        </is>
      </c>
      <c r="E78" t="inlineStr">
        <is>
          <t>ÖSTERSUND</t>
        </is>
      </c>
      <c r="G78" t="n">
        <v>4.3</v>
      </c>
      <c r="H78" t="n">
        <v>2</v>
      </c>
      <c r="I78" t="n">
        <v>0</v>
      </c>
      <c r="J78" t="n">
        <v>4</v>
      </c>
      <c r="K78" t="n">
        <v>0</v>
      </c>
      <c r="L78" t="n">
        <v>0</v>
      </c>
      <c r="M78" t="n">
        <v>0</v>
      </c>
      <c r="N78" t="n">
        <v>0</v>
      </c>
      <c r="O78" t="n">
        <v>4</v>
      </c>
      <c r="P78" t="n">
        <v>0</v>
      </c>
      <c r="Q78" t="n">
        <v>5</v>
      </c>
      <c r="R78" s="2" t="inlineStr">
        <is>
          <t>Garnlav
Granticka
Harticka
Talltita
Revlummer</t>
        </is>
      </c>
      <c r="S78">
        <f>HYPERLINK("https://klasma.github.io/Logging_2380/artfynd/A 56934-2025 artfynd.xlsx", "A 56934-2025")</f>
        <v/>
      </c>
      <c r="T78">
        <f>HYPERLINK("https://klasma.github.io/Logging_2380/kartor/A 56934-2025 karta.png", "A 56934-2025")</f>
        <v/>
      </c>
      <c r="V78">
        <f>HYPERLINK("https://klasma.github.io/Logging_2380/klagomål/A 56934-2025 FSC-klagomål.docx", "A 56934-2025")</f>
        <v/>
      </c>
      <c r="W78">
        <f>HYPERLINK("https://klasma.github.io/Logging_2380/klagomålsmail/A 56934-2025 FSC-klagomål mail.docx", "A 56934-2025")</f>
        <v/>
      </c>
      <c r="X78">
        <f>HYPERLINK("https://klasma.github.io/Logging_2380/tillsyn/A 56934-2025 tillsynsbegäran.docx", "A 56934-2025")</f>
        <v/>
      </c>
      <c r="Y78">
        <f>HYPERLINK("https://klasma.github.io/Logging_2380/tillsynsmail/A 56934-2025 tillsynsbegäran mail.docx", "A 56934-2025")</f>
        <v/>
      </c>
      <c r="Z78">
        <f>HYPERLINK("https://klasma.github.io/Logging_2380/fåglar/A 56934-2025 prioriterade fågelarter.docx", "A 56934-2025")</f>
        <v/>
      </c>
    </row>
    <row r="79" ht="15" customHeight="1">
      <c r="A79" t="inlineStr">
        <is>
          <t>A 56499-2025</t>
        </is>
      </c>
      <c r="B79" s="1" t="n">
        <v>45975.43427083334</v>
      </c>
      <c r="C79" s="1" t="n">
        <v>46025</v>
      </c>
      <c r="D79" t="inlineStr">
        <is>
          <t>JÄMTLANDS LÄN</t>
        </is>
      </c>
      <c r="E79" t="inlineStr">
        <is>
          <t>ÖSTERSUND</t>
        </is>
      </c>
      <c r="G79" t="n">
        <v>7.4</v>
      </c>
      <c r="H79" t="n">
        <v>2</v>
      </c>
      <c r="I79" t="n">
        <v>1</v>
      </c>
      <c r="J79" t="n">
        <v>3</v>
      </c>
      <c r="K79" t="n">
        <v>0</v>
      </c>
      <c r="L79" t="n">
        <v>0</v>
      </c>
      <c r="M79" t="n">
        <v>0</v>
      </c>
      <c r="N79" t="n">
        <v>0</v>
      </c>
      <c r="O79" t="n">
        <v>3</v>
      </c>
      <c r="P79" t="n">
        <v>0</v>
      </c>
      <c r="Q79" t="n">
        <v>5</v>
      </c>
      <c r="R79" s="2" t="inlineStr">
        <is>
          <t>Garnlav
Lunglav
Tretåig hackspett
Luddlav
Revlummer</t>
        </is>
      </c>
      <c r="S79">
        <f>HYPERLINK("https://klasma.github.io/Logging_2380/artfynd/A 56499-2025 artfynd.xlsx", "A 56499-2025")</f>
        <v/>
      </c>
      <c r="T79">
        <f>HYPERLINK("https://klasma.github.io/Logging_2380/kartor/A 56499-2025 karta.png", "A 56499-2025")</f>
        <v/>
      </c>
      <c r="V79">
        <f>HYPERLINK("https://klasma.github.io/Logging_2380/klagomål/A 56499-2025 FSC-klagomål.docx", "A 56499-2025")</f>
        <v/>
      </c>
      <c r="W79">
        <f>HYPERLINK("https://klasma.github.io/Logging_2380/klagomålsmail/A 56499-2025 FSC-klagomål mail.docx", "A 56499-2025")</f>
        <v/>
      </c>
      <c r="X79">
        <f>HYPERLINK("https://klasma.github.io/Logging_2380/tillsyn/A 56499-2025 tillsynsbegäran.docx", "A 56499-2025")</f>
        <v/>
      </c>
      <c r="Y79">
        <f>HYPERLINK("https://klasma.github.io/Logging_2380/tillsynsmail/A 56499-2025 tillsynsbegäran mail.docx", "A 56499-2025")</f>
        <v/>
      </c>
      <c r="Z79">
        <f>HYPERLINK("https://klasma.github.io/Logging_2380/fåglar/A 56499-2025 prioriterade fågelarter.docx", "A 56499-2025")</f>
        <v/>
      </c>
    </row>
    <row r="80" ht="15" customHeight="1">
      <c r="A80" t="inlineStr">
        <is>
          <t>A 7717-2024</t>
        </is>
      </c>
      <c r="B80" s="1" t="n">
        <v>45349</v>
      </c>
      <c r="C80" s="1" t="n">
        <v>46025</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46025</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60580-2024</t>
        </is>
      </c>
      <c r="B82" s="1" t="n">
        <v>45644</v>
      </c>
      <c r="C82" s="1" t="n">
        <v>46025</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55344-2023</t>
        </is>
      </c>
      <c r="B83" s="1" t="n">
        <v>45237</v>
      </c>
      <c r="C83" s="1" t="n">
        <v>46025</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7698-2024</t>
        </is>
      </c>
      <c r="B84" s="1" t="n">
        <v>45349</v>
      </c>
      <c r="C84" s="1" t="n">
        <v>46025</v>
      </c>
      <c r="D84" t="inlineStr">
        <is>
          <t>JÄMTLANDS LÄN</t>
        </is>
      </c>
      <c r="E84" t="inlineStr">
        <is>
          <t>ÖSTERSUND</t>
        </is>
      </c>
      <c r="F84" t="inlineStr">
        <is>
          <t>Övriga Aktiebolag</t>
        </is>
      </c>
      <c r="G84" t="n">
        <v>4.5</v>
      </c>
      <c r="H84" t="n">
        <v>2</v>
      </c>
      <c r="I84" t="n">
        <v>1</v>
      </c>
      <c r="J84" t="n">
        <v>2</v>
      </c>
      <c r="K84" t="n">
        <v>0</v>
      </c>
      <c r="L84" t="n">
        <v>0</v>
      </c>
      <c r="M84" t="n">
        <v>0</v>
      </c>
      <c r="N84" t="n">
        <v>0</v>
      </c>
      <c r="O84" t="n">
        <v>2</v>
      </c>
      <c r="P84" t="n">
        <v>0</v>
      </c>
      <c r="Q84" t="n">
        <v>4</v>
      </c>
      <c r="R84" s="2" t="inlineStr">
        <is>
          <t>Brunklöver
Månlåsbräken
Tvåblad
Brudsporre</t>
        </is>
      </c>
      <c r="S84">
        <f>HYPERLINK("https://klasma.github.io/Logging_2380/artfynd/A 7698-2024 artfynd.xlsx", "A 7698-2024")</f>
        <v/>
      </c>
      <c r="T84">
        <f>HYPERLINK("https://klasma.github.io/Logging_2380/kartor/A 7698-2024 karta.png", "A 7698-2024")</f>
        <v/>
      </c>
      <c r="V84">
        <f>HYPERLINK("https://klasma.github.io/Logging_2380/klagomål/A 7698-2024 FSC-klagomål.docx", "A 7698-2024")</f>
        <v/>
      </c>
      <c r="W84">
        <f>HYPERLINK("https://klasma.github.io/Logging_2380/klagomålsmail/A 7698-2024 FSC-klagomål mail.docx", "A 7698-2024")</f>
        <v/>
      </c>
      <c r="X84">
        <f>HYPERLINK("https://klasma.github.io/Logging_2380/tillsyn/A 7698-2024 tillsynsbegäran.docx", "A 7698-2024")</f>
        <v/>
      </c>
      <c r="Y84">
        <f>HYPERLINK("https://klasma.github.io/Logging_2380/tillsynsmail/A 7698-2024 tillsynsbegäran mail.docx", "A 7698-2024")</f>
        <v/>
      </c>
    </row>
    <row r="85" ht="15" customHeight="1">
      <c r="A85" t="inlineStr">
        <is>
          <t>A 41493-2025</t>
        </is>
      </c>
      <c r="B85" s="1" t="n">
        <v>45901.49171296296</v>
      </c>
      <c r="C85" s="1" t="n">
        <v>46025</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46025</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46025</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2962-2023</t>
        </is>
      </c>
      <c r="B88" s="1" t="n">
        <v>44945</v>
      </c>
      <c r="C88" s="1" t="n">
        <v>46025</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55258-2025</t>
        </is>
      </c>
      <c r="B89" s="1" t="n">
        <v>45968.6444212963</v>
      </c>
      <c r="C89" s="1" t="n">
        <v>46025</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38335-2023</t>
        </is>
      </c>
      <c r="B90" s="1" t="n">
        <v>45161</v>
      </c>
      <c r="C90" s="1" t="n">
        <v>46025</v>
      </c>
      <c r="D90" t="inlineStr">
        <is>
          <t>JÄMTLANDS LÄN</t>
        </is>
      </c>
      <c r="E90" t="inlineStr">
        <is>
          <t>ÖSTERSUND</t>
        </is>
      </c>
      <c r="G90" t="n">
        <v>15.1</v>
      </c>
      <c r="H90" t="n">
        <v>3</v>
      </c>
      <c r="I90" t="n">
        <v>0</v>
      </c>
      <c r="J90" t="n">
        <v>2</v>
      </c>
      <c r="K90" t="n">
        <v>1</v>
      </c>
      <c r="L90" t="n">
        <v>0</v>
      </c>
      <c r="M90" t="n">
        <v>0</v>
      </c>
      <c r="N90" t="n">
        <v>0</v>
      </c>
      <c r="O90" t="n">
        <v>3</v>
      </c>
      <c r="P90" t="n">
        <v>1</v>
      </c>
      <c r="Q90" t="n">
        <v>4</v>
      </c>
      <c r="R90" s="2" t="inlineStr">
        <is>
          <t>Tallbit
Rosenticka
Tretåig hackspett
Lavskrika</t>
        </is>
      </c>
      <c r="S90">
        <f>HYPERLINK("https://klasma.github.io/Logging_2380/artfynd/A 38335-2023 artfynd.xlsx", "A 38335-2023")</f>
        <v/>
      </c>
      <c r="T90">
        <f>HYPERLINK("https://klasma.github.io/Logging_2380/kartor/A 38335-2023 karta.png", "A 38335-2023")</f>
        <v/>
      </c>
      <c r="V90">
        <f>HYPERLINK("https://klasma.github.io/Logging_2380/klagomål/A 38335-2023 FSC-klagomål.docx", "A 38335-2023")</f>
        <v/>
      </c>
      <c r="W90">
        <f>HYPERLINK("https://klasma.github.io/Logging_2380/klagomålsmail/A 38335-2023 FSC-klagomål mail.docx", "A 38335-2023")</f>
        <v/>
      </c>
      <c r="X90">
        <f>HYPERLINK("https://klasma.github.io/Logging_2380/tillsyn/A 38335-2023 tillsynsbegäran.docx", "A 38335-2023")</f>
        <v/>
      </c>
      <c r="Y90">
        <f>HYPERLINK("https://klasma.github.io/Logging_2380/tillsynsmail/A 38335-2023 tillsynsbegäran mail.docx", "A 38335-2023")</f>
        <v/>
      </c>
      <c r="Z90">
        <f>HYPERLINK("https://klasma.github.io/Logging_2380/fåglar/A 38335-2023 prioriterade fågelarter.docx", "A 38335-2023")</f>
        <v/>
      </c>
    </row>
    <row r="91" ht="15" customHeight="1">
      <c r="A91" t="inlineStr">
        <is>
          <t>A 56539-2025</t>
        </is>
      </c>
      <c r="B91" s="1" t="n">
        <v>45975.47357638889</v>
      </c>
      <c r="C91" s="1" t="n">
        <v>46025</v>
      </c>
      <c r="D91" t="inlineStr">
        <is>
          <t>JÄMTLANDS LÄN</t>
        </is>
      </c>
      <c r="E91" t="inlineStr">
        <is>
          <t>ÖSTERSUND</t>
        </is>
      </c>
      <c r="G91" t="n">
        <v>7.5</v>
      </c>
      <c r="H91" t="n">
        <v>1</v>
      </c>
      <c r="I91" t="n">
        <v>0</v>
      </c>
      <c r="J91" t="n">
        <v>4</v>
      </c>
      <c r="K91" t="n">
        <v>0</v>
      </c>
      <c r="L91" t="n">
        <v>0</v>
      </c>
      <c r="M91" t="n">
        <v>0</v>
      </c>
      <c r="N91" t="n">
        <v>0</v>
      </c>
      <c r="O91" t="n">
        <v>4</v>
      </c>
      <c r="P91" t="n">
        <v>0</v>
      </c>
      <c r="Q91" t="n">
        <v>4</v>
      </c>
      <c r="R91" s="2" t="inlineStr">
        <is>
          <t>Garnlav
Granticka
Tretåig hackspett
Vitgrynig nållav</t>
        </is>
      </c>
      <c r="S91">
        <f>HYPERLINK("https://klasma.github.io/Logging_2380/artfynd/A 56539-2025 artfynd.xlsx", "A 56539-2025")</f>
        <v/>
      </c>
      <c r="T91">
        <f>HYPERLINK("https://klasma.github.io/Logging_2380/kartor/A 56539-2025 karta.png", "A 56539-2025")</f>
        <v/>
      </c>
      <c r="V91">
        <f>HYPERLINK("https://klasma.github.io/Logging_2380/klagomål/A 56539-2025 FSC-klagomål.docx", "A 56539-2025")</f>
        <v/>
      </c>
      <c r="W91">
        <f>HYPERLINK("https://klasma.github.io/Logging_2380/klagomålsmail/A 56539-2025 FSC-klagomål mail.docx", "A 56539-2025")</f>
        <v/>
      </c>
      <c r="X91">
        <f>HYPERLINK("https://klasma.github.io/Logging_2380/tillsyn/A 56539-2025 tillsynsbegäran.docx", "A 56539-2025")</f>
        <v/>
      </c>
      <c r="Y91">
        <f>HYPERLINK("https://klasma.github.io/Logging_2380/tillsynsmail/A 56539-2025 tillsynsbegäran mail.docx", "A 56539-2025")</f>
        <v/>
      </c>
      <c r="Z91">
        <f>HYPERLINK("https://klasma.github.io/Logging_2380/fåglar/A 56539-2025 prioriterade fågelarter.docx", "A 56539-2025")</f>
        <v/>
      </c>
    </row>
    <row r="92" ht="15" customHeight="1">
      <c r="A92" t="inlineStr">
        <is>
          <t>A 57711-2025</t>
        </is>
      </c>
      <c r="B92" s="1" t="n">
        <v>45981.47217592593</v>
      </c>
      <c r="C92" s="1" t="n">
        <v>46025</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29135-2022</t>
        </is>
      </c>
      <c r="B93" s="1" t="n">
        <v>44750</v>
      </c>
      <c r="C93" s="1" t="n">
        <v>46025</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59291-2022</t>
        </is>
      </c>
      <c r="B94" s="1" t="n">
        <v>44904</v>
      </c>
      <c r="C94" s="1" t="n">
        <v>46025</v>
      </c>
      <c r="D94" t="inlineStr">
        <is>
          <t>JÄMTLANDS LÄN</t>
        </is>
      </c>
      <c r="E94" t="inlineStr">
        <is>
          <t>ÖSTERSUND</t>
        </is>
      </c>
      <c r="G94" t="n">
        <v>9.199999999999999</v>
      </c>
      <c r="H94" t="n">
        <v>1</v>
      </c>
      <c r="I94" t="n">
        <v>0</v>
      </c>
      <c r="J94" t="n">
        <v>3</v>
      </c>
      <c r="K94" t="n">
        <v>0</v>
      </c>
      <c r="L94" t="n">
        <v>0</v>
      </c>
      <c r="M94" t="n">
        <v>0</v>
      </c>
      <c r="N94" t="n">
        <v>0</v>
      </c>
      <c r="O94" t="n">
        <v>3</v>
      </c>
      <c r="P94" t="n">
        <v>0</v>
      </c>
      <c r="Q94" t="n">
        <v>4</v>
      </c>
      <c r="R94" s="2" t="inlineStr">
        <is>
          <t>Garnlav
Lunglav
Skrovellav
Revlummer</t>
        </is>
      </c>
      <c r="S94">
        <f>HYPERLINK("https://klasma.github.io/Logging_2380/artfynd/A 59291-2022 artfynd.xlsx", "A 59291-2022")</f>
        <v/>
      </c>
      <c r="T94">
        <f>HYPERLINK("https://klasma.github.io/Logging_2380/kartor/A 59291-2022 karta.png", "A 59291-2022")</f>
        <v/>
      </c>
      <c r="V94">
        <f>HYPERLINK("https://klasma.github.io/Logging_2380/klagomål/A 59291-2022 FSC-klagomål.docx", "A 59291-2022")</f>
        <v/>
      </c>
      <c r="W94">
        <f>HYPERLINK("https://klasma.github.io/Logging_2380/klagomålsmail/A 59291-2022 FSC-klagomål mail.docx", "A 59291-2022")</f>
        <v/>
      </c>
      <c r="X94">
        <f>HYPERLINK("https://klasma.github.io/Logging_2380/tillsyn/A 59291-2022 tillsynsbegäran.docx", "A 59291-2022")</f>
        <v/>
      </c>
      <c r="Y94">
        <f>HYPERLINK("https://klasma.github.io/Logging_2380/tillsynsmail/A 59291-2022 tillsynsbegäran mail.docx", "A 59291-2022")</f>
        <v/>
      </c>
    </row>
    <row r="95" ht="15" customHeight="1">
      <c r="A95" t="inlineStr">
        <is>
          <t>A 25369-2024</t>
        </is>
      </c>
      <c r="B95" s="1" t="n">
        <v>45462.95982638889</v>
      </c>
      <c r="C95" s="1" t="n">
        <v>46025</v>
      </c>
      <c r="D95" t="inlineStr">
        <is>
          <t>JÄMTLANDS LÄN</t>
        </is>
      </c>
      <c r="E95" t="inlineStr">
        <is>
          <t>ÖSTERSUND</t>
        </is>
      </c>
      <c r="G95" t="n">
        <v>14.7</v>
      </c>
      <c r="H95" t="n">
        <v>1</v>
      </c>
      <c r="I95" t="n">
        <v>2</v>
      </c>
      <c r="J95" t="n">
        <v>1</v>
      </c>
      <c r="K95" t="n">
        <v>0</v>
      </c>
      <c r="L95" t="n">
        <v>0</v>
      </c>
      <c r="M95" t="n">
        <v>0</v>
      </c>
      <c r="N95" t="n">
        <v>0</v>
      </c>
      <c r="O95" t="n">
        <v>1</v>
      </c>
      <c r="P95" t="n">
        <v>0</v>
      </c>
      <c r="Q95" t="n">
        <v>4</v>
      </c>
      <c r="R95" s="2" t="inlineStr">
        <is>
          <t>Ullticka
Kransrams
Underviol
Blåsippa</t>
        </is>
      </c>
      <c r="S95">
        <f>HYPERLINK("https://klasma.github.io/Logging_2380/artfynd/A 25369-2024 artfynd.xlsx", "A 25369-2024")</f>
        <v/>
      </c>
      <c r="T95">
        <f>HYPERLINK("https://klasma.github.io/Logging_2380/kartor/A 25369-2024 karta.png", "A 25369-2024")</f>
        <v/>
      </c>
      <c r="V95">
        <f>HYPERLINK("https://klasma.github.io/Logging_2380/klagomål/A 25369-2024 FSC-klagomål.docx", "A 25369-2024")</f>
        <v/>
      </c>
      <c r="W95">
        <f>HYPERLINK("https://klasma.github.io/Logging_2380/klagomålsmail/A 25369-2024 FSC-klagomål mail.docx", "A 25369-2024")</f>
        <v/>
      </c>
      <c r="X95">
        <f>HYPERLINK("https://klasma.github.io/Logging_2380/tillsyn/A 25369-2024 tillsynsbegäran.docx", "A 25369-2024")</f>
        <v/>
      </c>
      <c r="Y95">
        <f>HYPERLINK("https://klasma.github.io/Logging_2380/tillsynsmail/A 25369-2024 tillsynsbegäran mail.docx", "A 25369-2024")</f>
        <v/>
      </c>
    </row>
    <row r="96" ht="15" customHeight="1">
      <c r="A96" t="inlineStr">
        <is>
          <t>A 54421-2021</t>
        </is>
      </c>
      <c r="B96" s="1" t="n">
        <v>44473.43114583333</v>
      </c>
      <c r="C96" s="1" t="n">
        <v>46025</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60565-2022</t>
        </is>
      </c>
      <c r="B97" s="1" t="n">
        <v>44904</v>
      </c>
      <c r="C97" s="1" t="n">
        <v>46025</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53652-2024</t>
        </is>
      </c>
      <c r="B98" s="1" t="n">
        <v>45615.29761574074</v>
      </c>
      <c r="C98" s="1" t="n">
        <v>46025</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5100-2023</t>
        </is>
      </c>
      <c r="B99" s="1" t="n">
        <v>44956</v>
      </c>
      <c r="C99" s="1" t="n">
        <v>46025</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46025</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36806-2025</t>
        </is>
      </c>
      <c r="B101" s="1" t="n">
        <v>45873.69988425926</v>
      </c>
      <c r="C101" s="1" t="n">
        <v>46025</v>
      </c>
      <c r="D101" t="inlineStr">
        <is>
          <t>JÄMTLANDS LÄN</t>
        </is>
      </c>
      <c r="E101" t="inlineStr">
        <is>
          <t>ÖSTERSUND</t>
        </is>
      </c>
      <c r="G101" t="n">
        <v>9.800000000000001</v>
      </c>
      <c r="H101" t="n">
        <v>2</v>
      </c>
      <c r="I101" t="n">
        <v>2</v>
      </c>
      <c r="J101" t="n">
        <v>0</v>
      </c>
      <c r="K101" t="n">
        <v>0</v>
      </c>
      <c r="L101" t="n">
        <v>0</v>
      </c>
      <c r="M101" t="n">
        <v>0</v>
      </c>
      <c r="N101" t="n">
        <v>0</v>
      </c>
      <c r="O101" t="n">
        <v>0</v>
      </c>
      <c r="P101" t="n">
        <v>0</v>
      </c>
      <c r="Q101" t="n">
        <v>3</v>
      </c>
      <c r="R101" s="2" t="inlineStr">
        <is>
          <t>Grönkulla
Vårärt
Blåsippa</t>
        </is>
      </c>
      <c r="S101">
        <f>HYPERLINK("https://klasma.github.io/Logging_2380/artfynd/A 36806-2025 artfynd.xlsx", "A 36806-2025")</f>
        <v/>
      </c>
      <c r="T101">
        <f>HYPERLINK("https://klasma.github.io/Logging_2380/kartor/A 36806-2025 karta.png", "A 36806-2025")</f>
        <v/>
      </c>
      <c r="V101">
        <f>HYPERLINK("https://klasma.github.io/Logging_2380/klagomål/A 36806-2025 FSC-klagomål.docx", "A 36806-2025")</f>
        <v/>
      </c>
      <c r="W101">
        <f>HYPERLINK("https://klasma.github.io/Logging_2380/klagomålsmail/A 36806-2025 FSC-klagomål mail.docx", "A 36806-2025")</f>
        <v/>
      </c>
      <c r="X101">
        <f>HYPERLINK("https://klasma.github.io/Logging_2380/tillsyn/A 36806-2025 tillsynsbegäran.docx", "A 36806-2025")</f>
        <v/>
      </c>
      <c r="Y101">
        <f>HYPERLINK("https://klasma.github.io/Logging_2380/tillsynsmail/A 36806-2025 tillsynsbegäran mail.docx", "A 36806-2025")</f>
        <v/>
      </c>
    </row>
    <row r="102" ht="15" customHeight="1">
      <c r="A102" t="inlineStr">
        <is>
          <t>A 46705-2023</t>
        </is>
      </c>
      <c r="B102" s="1" t="n">
        <v>45198</v>
      </c>
      <c r="C102" s="1" t="n">
        <v>46025</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43981-2023</t>
        </is>
      </c>
      <c r="B103" s="1" t="n">
        <v>45187</v>
      </c>
      <c r="C103" s="1" t="n">
        <v>46025</v>
      </c>
      <c r="D103" t="inlineStr">
        <is>
          <t>JÄMTLANDS LÄN</t>
        </is>
      </c>
      <c r="E103" t="inlineStr">
        <is>
          <t>ÖSTERSUND</t>
        </is>
      </c>
      <c r="F103" t="inlineStr">
        <is>
          <t>SCA</t>
        </is>
      </c>
      <c r="G103" t="n">
        <v>7.5</v>
      </c>
      <c r="H103" t="n">
        <v>1</v>
      </c>
      <c r="I103" t="n">
        <v>0</v>
      </c>
      <c r="J103" t="n">
        <v>2</v>
      </c>
      <c r="K103" t="n">
        <v>1</v>
      </c>
      <c r="L103" t="n">
        <v>0</v>
      </c>
      <c r="M103" t="n">
        <v>0</v>
      </c>
      <c r="N103" t="n">
        <v>0</v>
      </c>
      <c r="O103" t="n">
        <v>3</v>
      </c>
      <c r="P103" t="n">
        <v>1</v>
      </c>
      <c r="Q103" t="n">
        <v>3</v>
      </c>
      <c r="R103" s="2" t="inlineStr">
        <is>
          <t>Knärot
Lunglav
Ullticka</t>
        </is>
      </c>
      <c r="S103">
        <f>HYPERLINK("https://klasma.github.io/Logging_2380/artfynd/A 43981-2023 artfynd.xlsx", "A 43981-2023")</f>
        <v/>
      </c>
      <c r="T103">
        <f>HYPERLINK("https://klasma.github.io/Logging_2380/kartor/A 43981-2023 karta.png", "A 43981-2023")</f>
        <v/>
      </c>
      <c r="U103">
        <f>HYPERLINK("https://klasma.github.io/Logging_2380/knärot/A 43981-2023 karta knärot.png", "A 43981-2023")</f>
        <v/>
      </c>
      <c r="V103">
        <f>HYPERLINK("https://klasma.github.io/Logging_2380/klagomål/A 43981-2023 FSC-klagomål.docx", "A 43981-2023")</f>
        <v/>
      </c>
      <c r="W103">
        <f>HYPERLINK("https://klasma.github.io/Logging_2380/klagomålsmail/A 43981-2023 FSC-klagomål mail.docx", "A 43981-2023")</f>
        <v/>
      </c>
      <c r="X103">
        <f>HYPERLINK("https://klasma.github.io/Logging_2380/tillsyn/A 43981-2023 tillsynsbegäran.docx", "A 43981-2023")</f>
        <v/>
      </c>
      <c r="Y103">
        <f>HYPERLINK("https://klasma.github.io/Logging_2380/tillsynsmail/A 43981-2023 tillsynsbegäran mail.docx", "A 43981-2023")</f>
        <v/>
      </c>
    </row>
    <row r="104" ht="15" customHeight="1">
      <c r="A104" t="inlineStr">
        <is>
          <t>A 56647-2025</t>
        </is>
      </c>
      <c r="B104" s="1" t="n">
        <v>45975.63585648148</v>
      </c>
      <c r="C104" s="1" t="n">
        <v>46025</v>
      </c>
      <c r="D104" t="inlineStr">
        <is>
          <t>JÄMTLANDS LÄN</t>
        </is>
      </c>
      <c r="E104" t="inlineStr">
        <is>
          <t>ÖSTERSUND</t>
        </is>
      </c>
      <c r="G104" t="n">
        <v>12.1</v>
      </c>
      <c r="H104" t="n">
        <v>1</v>
      </c>
      <c r="I104" t="n">
        <v>0</v>
      </c>
      <c r="J104" t="n">
        <v>2</v>
      </c>
      <c r="K104" t="n">
        <v>1</v>
      </c>
      <c r="L104" t="n">
        <v>0</v>
      </c>
      <c r="M104" t="n">
        <v>0</v>
      </c>
      <c r="N104" t="n">
        <v>0</v>
      </c>
      <c r="O104" t="n">
        <v>3</v>
      </c>
      <c r="P104" t="n">
        <v>1</v>
      </c>
      <c r="Q104" t="n">
        <v>3</v>
      </c>
      <c r="R104" s="2" t="inlineStr">
        <is>
          <t>Rynkskinn
Garnlav
Tretåig hackspett</t>
        </is>
      </c>
      <c r="S104">
        <f>HYPERLINK("https://klasma.github.io/Logging_2380/artfynd/A 56647-2025 artfynd.xlsx", "A 56647-2025")</f>
        <v/>
      </c>
      <c r="T104">
        <f>HYPERLINK("https://klasma.github.io/Logging_2380/kartor/A 56647-2025 karta.png", "A 56647-2025")</f>
        <v/>
      </c>
      <c r="V104">
        <f>HYPERLINK("https://klasma.github.io/Logging_2380/klagomål/A 56647-2025 FSC-klagomål.docx", "A 56647-2025")</f>
        <v/>
      </c>
      <c r="W104">
        <f>HYPERLINK("https://klasma.github.io/Logging_2380/klagomålsmail/A 56647-2025 FSC-klagomål mail.docx", "A 56647-2025")</f>
        <v/>
      </c>
      <c r="X104">
        <f>HYPERLINK("https://klasma.github.io/Logging_2380/tillsyn/A 56647-2025 tillsynsbegäran.docx", "A 56647-2025")</f>
        <v/>
      </c>
      <c r="Y104">
        <f>HYPERLINK("https://klasma.github.io/Logging_2380/tillsynsmail/A 56647-2025 tillsynsbegäran mail.docx", "A 56647-2025")</f>
        <v/>
      </c>
      <c r="Z104">
        <f>HYPERLINK("https://klasma.github.io/Logging_2380/fåglar/A 56647-2025 prioriterade fågelarter.docx", "A 56647-2025")</f>
        <v/>
      </c>
    </row>
    <row r="105" ht="15" customHeight="1">
      <c r="A105" t="inlineStr">
        <is>
          <t>A 3846-2024</t>
        </is>
      </c>
      <c r="B105" s="1" t="n">
        <v>45321</v>
      </c>
      <c r="C105" s="1" t="n">
        <v>46025</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60565-2022</t>
        </is>
      </c>
      <c r="B106" s="1" t="n">
        <v>44904</v>
      </c>
      <c r="C106" s="1" t="n">
        <v>46025</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46025</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40695-2024</t>
        </is>
      </c>
      <c r="B108" s="1" t="n">
        <v>45558</v>
      </c>
      <c r="C108" s="1" t="n">
        <v>46025</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7965-2025</t>
        </is>
      </c>
      <c r="B109" s="1" t="n">
        <v>45707.45219907408</v>
      </c>
      <c r="C109" s="1" t="n">
        <v>46025</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36742-2024</t>
        </is>
      </c>
      <c r="B110" s="1" t="n">
        <v>45538.33584490741</v>
      </c>
      <c r="C110" s="1" t="n">
        <v>46025</v>
      </c>
      <c r="D110" t="inlineStr">
        <is>
          <t>JÄMTLANDS LÄN</t>
        </is>
      </c>
      <c r="E110" t="inlineStr">
        <is>
          <t>ÖSTERSUND</t>
        </is>
      </c>
      <c r="G110" t="n">
        <v>13.6</v>
      </c>
      <c r="H110" t="n">
        <v>0</v>
      </c>
      <c r="I110" t="n">
        <v>2</v>
      </c>
      <c r="J110" t="n">
        <v>1</v>
      </c>
      <c r="K110" t="n">
        <v>0</v>
      </c>
      <c r="L110" t="n">
        <v>0</v>
      </c>
      <c r="M110" t="n">
        <v>0</v>
      </c>
      <c r="N110" t="n">
        <v>0</v>
      </c>
      <c r="O110" t="n">
        <v>1</v>
      </c>
      <c r="P110" t="n">
        <v>0</v>
      </c>
      <c r="Q110" t="n">
        <v>3</v>
      </c>
      <c r="R110" s="2" t="inlineStr">
        <is>
          <t>Granticka
Skinnlav
Vedticka</t>
        </is>
      </c>
      <c r="S110">
        <f>HYPERLINK("https://klasma.github.io/Logging_2380/artfynd/A 36742-2024 artfynd.xlsx", "A 36742-2024")</f>
        <v/>
      </c>
      <c r="T110">
        <f>HYPERLINK("https://klasma.github.io/Logging_2380/kartor/A 36742-2024 karta.png", "A 36742-2024")</f>
        <v/>
      </c>
      <c r="V110">
        <f>HYPERLINK("https://klasma.github.io/Logging_2380/klagomål/A 36742-2024 FSC-klagomål.docx", "A 36742-2024")</f>
        <v/>
      </c>
      <c r="W110">
        <f>HYPERLINK("https://klasma.github.io/Logging_2380/klagomålsmail/A 36742-2024 FSC-klagomål mail.docx", "A 36742-2024")</f>
        <v/>
      </c>
      <c r="X110">
        <f>HYPERLINK("https://klasma.github.io/Logging_2380/tillsyn/A 36742-2024 tillsynsbegäran.docx", "A 36742-2024")</f>
        <v/>
      </c>
      <c r="Y110">
        <f>HYPERLINK("https://klasma.github.io/Logging_2380/tillsynsmail/A 36742-2024 tillsynsbegäran mail.docx", "A 36742-2024")</f>
        <v/>
      </c>
    </row>
    <row r="111" ht="15" customHeight="1">
      <c r="A111" t="inlineStr">
        <is>
          <t>A 52129-2023</t>
        </is>
      </c>
      <c r="B111" s="1" t="n">
        <v>45223</v>
      </c>
      <c r="C111" s="1" t="n">
        <v>46025</v>
      </c>
      <c r="D111" t="inlineStr">
        <is>
          <t>JÄMTLANDS LÄN</t>
        </is>
      </c>
      <c r="E111" t="inlineStr">
        <is>
          <t>ÖSTERSUND</t>
        </is>
      </c>
      <c r="F111" t="inlineStr">
        <is>
          <t>SCA</t>
        </is>
      </c>
      <c r="G111" t="n">
        <v>2</v>
      </c>
      <c r="H111" t="n">
        <v>0</v>
      </c>
      <c r="I111" t="n">
        <v>0</v>
      </c>
      <c r="J111" t="n">
        <v>2</v>
      </c>
      <c r="K111" t="n">
        <v>0</v>
      </c>
      <c r="L111" t="n">
        <v>0</v>
      </c>
      <c r="M111" t="n">
        <v>0</v>
      </c>
      <c r="N111" t="n">
        <v>0</v>
      </c>
      <c r="O111" t="n">
        <v>2</v>
      </c>
      <c r="P111" t="n">
        <v>0</v>
      </c>
      <c r="Q111" t="n">
        <v>2</v>
      </c>
      <c r="R111" s="2" t="inlineStr">
        <is>
          <t>Dvärgbägarlav
Kolflarnlav</t>
        </is>
      </c>
      <c r="S111">
        <f>HYPERLINK("https://klasma.github.io/Logging_2380/artfynd/A 52129-2023 artfynd.xlsx", "A 52129-2023")</f>
        <v/>
      </c>
      <c r="T111">
        <f>HYPERLINK("https://klasma.github.io/Logging_2380/kartor/A 52129-2023 karta.png", "A 52129-2023")</f>
        <v/>
      </c>
      <c r="V111">
        <f>HYPERLINK("https://klasma.github.io/Logging_2380/klagomål/A 52129-2023 FSC-klagomål.docx", "A 52129-2023")</f>
        <v/>
      </c>
      <c r="W111">
        <f>HYPERLINK("https://klasma.github.io/Logging_2380/klagomålsmail/A 52129-2023 FSC-klagomål mail.docx", "A 52129-2023")</f>
        <v/>
      </c>
      <c r="X111">
        <f>HYPERLINK("https://klasma.github.io/Logging_2380/tillsyn/A 52129-2023 tillsynsbegäran.docx", "A 52129-2023")</f>
        <v/>
      </c>
      <c r="Y111">
        <f>HYPERLINK("https://klasma.github.io/Logging_2380/tillsynsmail/A 52129-2023 tillsynsbegäran mail.docx", "A 52129-2023")</f>
        <v/>
      </c>
    </row>
    <row r="112" ht="15" customHeight="1">
      <c r="A112" t="inlineStr">
        <is>
          <t>A 63930-2023</t>
        </is>
      </c>
      <c r="B112" s="1" t="n">
        <v>45278</v>
      </c>
      <c r="C112" s="1" t="n">
        <v>46025</v>
      </c>
      <c r="D112" t="inlineStr">
        <is>
          <t>JÄMTLANDS LÄN</t>
        </is>
      </c>
      <c r="E112" t="inlineStr">
        <is>
          <t>ÖSTERSUND</t>
        </is>
      </c>
      <c r="G112" t="n">
        <v>2.1</v>
      </c>
      <c r="H112" t="n">
        <v>0</v>
      </c>
      <c r="I112" t="n">
        <v>2</v>
      </c>
      <c r="J112" t="n">
        <v>0</v>
      </c>
      <c r="K112" t="n">
        <v>0</v>
      </c>
      <c r="L112" t="n">
        <v>0</v>
      </c>
      <c r="M112" t="n">
        <v>0</v>
      </c>
      <c r="N112" t="n">
        <v>0</v>
      </c>
      <c r="O112" t="n">
        <v>0</v>
      </c>
      <c r="P112" t="n">
        <v>0</v>
      </c>
      <c r="Q112" t="n">
        <v>2</v>
      </c>
      <c r="R112" s="2" t="inlineStr">
        <is>
          <t>Strimspindling
Svavelriska</t>
        </is>
      </c>
      <c r="S112">
        <f>HYPERLINK("https://klasma.github.io/Logging_2380/artfynd/A 63930-2023 artfynd.xlsx", "A 63930-2023")</f>
        <v/>
      </c>
      <c r="T112">
        <f>HYPERLINK("https://klasma.github.io/Logging_2380/kartor/A 63930-2023 karta.png", "A 63930-2023")</f>
        <v/>
      </c>
      <c r="V112">
        <f>HYPERLINK("https://klasma.github.io/Logging_2380/klagomål/A 63930-2023 FSC-klagomål.docx", "A 63930-2023")</f>
        <v/>
      </c>
      <c r="W112">
        <f>HYPERLINK("https://klasma.github.io/Logging_2380/klagomålsmail/A 63930-2023 FSC-klagomål mail.docx", "A 63930-2023")</f>
        <v/>
      </c>
      <c r="X112">
        <f>HYPERLINK("https://klasma.github.io/Logging_2380/tillsyn/A 63930-2023 tillsynsbegäran.docx", "A 63930-2023")</f>
        <v/>
      </c>
      <c r="Y112">
        <f>HYPERLINK("https://klasma.github.io/Logging_2380/tillsynsmail/A 63930-2023 tillsynsbegäran mail.docx", "A 63930-2023")</f>
        <v/>
      </c>
    </row>
    <row r="113" ht="15" customHeight="1">
      <c r="A113" t="inlineStr">
        <is>
          <t>A 59793-2022</t>
        </is>
      </c>
      <c r="B113" s="1" t="n">
        <v>44908</v>
      </c>
      <c r="C113" s="1" t="n">
        <v>46025</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39968-2024</t>
        </is>
      </c>
      <c r="B114" s="1" t="n">
        <v>45553.59296296296</v>
      </c>
      <c r="C114" s="1" t="n">
        <v>46025</v>
      </c>
      <c r="D114" t="inlineStr">
        <is>
          <t>JÄMTLANDS LÄN</t>
        </is>
      </c>
      <c r="E114" t="inlineStr">
        <is>
          <t>ÖSTERSUND</t>
        </is>
      </c>
      <c r="G114" t="n">
        <v>1.8</v>
      </c>
      <c r="H114" t="n">
        <v>2</v>
      </c>
      <c r="I114" t="n">
        <v>1</v>
      </c>
      <c r="J114" t="n">
        <v>0</v>
      </c>
      <c r="K114" t="n">
        <v>1</v>
      </c>
      <c r="L114" t="n">
        <v>0</v>
      </c>
      <c r="M114" t="n">
        <v>0</v>
      </c>
      <c r="N114" t="n">
        <v>0</v>
      </c>
      <c r="O114" t="n">
        <v>1</v>
      </c>
      <c r="P114" t="n">
        <v>1</v>
      </c>
      <c r="Q114" t="n">
        <v>2</v>
      </c>
      <c r="R114" s="2" t="inlineStr">
        <is>
          <t>Knärot
Spindelblomster</t>
        </is>
      </c>
      <c r="S114">
        <f>HYPERLINK("https://klasma.github.io/Logging_2380/artfynd/A 39968-2024 artfynd.xlsx", "A 39968-2024")</f>
        <v/>
      </c>
      <c r="T114">
        <f>HYPERLINK("https://klasma.github.io/Logging_2380/kartor/A 39968-2024 karta.png", "A 39968-2024")</f>
        <v/>
      </c>
      <c r="U114">
        <f>HYPERLINK("https://klasma.github.io/Logging_2380/knärot/A 39968-2024 karta knärot.png", "A 39968-2024")</f>
        <v/>
      </c>
      <c r="V114">
        <f>HYPERLINK("https://klasma.github.io/Logging_2380/klagomål/A 39968-2024 FSC-klagomål.docx", "A 39968-2024")</f>
        <v/>
      </c>
      <c r="W114">
        <f>HYPERLINK("https://klasma.github.io/Logging_2380/klagomålsmail/A 39968-2024 FSC-klagomål mail.docx", "A 39968-2024")</f>
        <v/>
      </c>
      <c r="X114">
        <f>HYPERLINK("https://klasma.github.io/Logging_2380/tillsyn/A 39968-2024 tillsynsbegäran.docx", "A 39968-2024")</f>
        <v/>
      </c>
      <c r="Y114">
        <f>HYPERLINK("https://klasma.github.io/Logging_2380/tillsynsmail/A 39968-2024 tillsynsbegäran mail.docx", "A 39968-2024")</f>
        <v/>
      </c>
    </row>
    <row r="115" ht="15" customHeight="1">
      <c r="A115" t="inlineStr">
        <is>
          <t>A 40207-2025</t>
        </is>
      </c>
      <c r="B115" s="1" t="n">
        <v>45894.67988425926</v>
      </c>
      <c r="C115" s="1" t="n">
        <v>46025</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15700-2025</t>
        </is>
      </c>
      <c r="B116" s="1" t="n">
        <v>45748.47314814815</v>
      </c>
      <c r="C116" s="1" t="n">
        <v>46025</v>
      </c>
      <c r="D116" t="inlineStr">
        <is>
          <t>JÄMTLANDS LÄN</t>
        </is>
      </c>
      <c r="E116" t="inlineStr">
        <is>
          <t>ÖSTERSUND</t>
        </is>
      </c>
      <c r="G116" t="n">
        <v>0.9</v>
      </c>
      <c r="H116" t="n">
        <v>0</v>
      </c>
      <c r="I116" t="n">
        <v>2</v>
      </c>
      <c r="J116" t="n">
        <v>0</v>
      </c>
      <c r="K116" t="n">
        <v>0</v>
      </c>
      <c r="L116" t="n">
        <v>0</v>
      </c>
      <c r="M116" t="n">
        <v>0</v>
      </c>
      <c r="N116" t="n">
        <v>0</v>
      </c>
      <c r="O116" t="n">
        <v>0</v>
      </c>
      <c r="P116" t="n">
        <v>0</v>
      </c>
      <c r="Q116" t="n">
        <v>2</v>
      </c>
      <c r="R116" s="2" t="inlineStr">
        <is>
          <t>Brun klibbskivling
Droppklibbskivling</t>
        </is>
      </c>
      <c r="S116">
        <f>HYPERLINK("https://klasma.github.io/Logging_2380/artfynd/A 15700-2025 artfynd.xlsx", "A 15700-2025")</f>
        <v/>
      </c>
      <c r="T116">
        <f>HYPERLINK("https://klasma.github.io/Logging_2380/kartor/A 15700-2025 karta.png", "A 15700-2025")</f>
        <v/>
      </c>
      <c r="V116">
        <f>HYPERLINK("https://klasma.github.io/Logging_2380/klagomål/A 15700-2025 FSC-klagomål.docx", "A 15700-2025")</f>
        <v/>
      </c>
      <c r="W116">
        <f>HYPERLINK("https://klasma.github.io/Logging_2380/klagomålsmail/A 15700-2025 FSC-klagomål mail.docx", "A 15700-2025")</f>
        <v/>
      </c>
      <c r="X116">
        <f>HYPERLINK("https://klasma.github.io/Logging_2380/tillsyn/A 15700-2025 tillsynsbegäran.docx", "A 15700-2025")</f>
        <v/>
      </c>
      <c r="Y116">
        <f>HYPERLINK("https://klasma.github.io/Logging_2380/tillsynsmail/A 15700-2025 tillsynsbegäran mail.docx", "A 15700-2025")</f>
        <v/>
      </c>
    </row>
    <row r="117" ht="15" customHeight="1">
      <c r="A117" t="inlineStr">
        <is>
          <t>A 60614-2022</t>
        </is>
      </c>
      <c r="B117" s="1" t="n">
        <v>44911</v>
      </c>
      <c r="C117" s="1" t="n">
        <v>46025</v>
      </c>
      <c r="D117" t="inlineStr">
        <is>
          <t>JÄMTLANDS LÄN</t>
        </is>
      </c>
      <c r="E117" t="inlineStr">
        <is>
          <t>ÖSTERSUND</t>
        </is>
      </c>
      <c r="G117" t="n">
        <v>17.6</v>
      </c>
      <c r="H117" t="n">
        <v>1</v>
      </c>
      <c r="I117" t="n">
        <v>1</v>
      </c>
      <c r="J117" t="n">
        <v>0</v>
      </c>
      <c r="K117" t="n">
        <v>0</v>
      </c>
      <c r="L117" t="n">
        <v>0</v>
      </c>
      <c r="M117" t="n">
        <v>0</v>
      </c>
      <c r="N117" t="n">
        <v>0</v>
      </c>
      <c r="O117" t="n">
        <v>0</v>
      </c>
      <c r="P117" t="n">
        <v>0</v>
      </c>
      <c r="Q117" t="n">
        <v>2</v>
      </c>
      <c r="R117" s="2" t="inlineStr">
        <is>
          <t>Dropptaggsvamp
Blåsippa</t>
        </is>
      </c>
      <c r="S117">
        <f>HYPERLINK("https://klasma.github.io/Logging_2380/artfynd/A 60614-2022 artfynd.xlsx", "A 60614-2022")</f>
        <v/>
      </c>
      <c r="T117">
        <f>HYPERLINK("https://klasma.github.io/Logging_2380/kartor/A 60614-2022 karta.png", "A 60614-2022")</f>
        <v/>
      </c>
      <c r="V117">
        <f>HYPERLINK("https://klasma.github.io/Logging_2380/klagomål/A 60614-2022 FSC-klagomål.docx", "A 60614-2022")</f>
        <v/>
      </c>
      <c r="W117">
        <f>HYPERLINK("https://klasma.github.io/Logging_2380/klagomålsmail/A 60614-2022 FSC-klagomål mail.docx", "A 60614-2022")</f>
        <v/>
      </c>
      <c r="X117">
        <f>HYPERLINK("https://klasma.github.io/Logging_2380/tillsyn/A 60614-2022 tillsynsbegäran.docx", "A 60614-2022")</f>
        <v/>
      </c>
      <c r="Y117">
        <f>HYPERLINK("https://klasma.github.io/Logging_2380/tillsynsmail/A 60614-2022 tillsynsbegäran mail.docx", "A 60614-2022")</f>
        <v/>
      </c>
    </row>
    <row r="118" ht="15" customHeight="1">
      <c r="A118" t="inlineStr">
        <is>
          <t>A 45237-2025</t>
        </is>
      </c>
      <c r="B118" s="1" t="n">
        <v>45919.59467592592</v>
      </c>
      <c r="C118" s="1" t="n">
        <v>46025</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47385-2022</t>
        </is>
      </c>
      <c r="B119" s="1" t="n">
        <v>44853</v>
      </c>
      <c r="C119" s="1" t="n">
        <v>46025</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60446-2024</t>
        </is>
      </c>
      <c r="B120" s="1" t="n">
        <v>45643.59420138889</v>
      </c>
      <c r="C120" s="1" t="n">
        <v>46025</v>
      </c>
      <c r="D120" t="inlineStr">
        <is>
          <t>JÄMTLANDS LÄN</t>
        </is>
      </c>
      <c r="E120" t="inlineStr">
        <is>
          <t>ÖSTERSUND</t>
        </is>
      </c>
      <c r="F120" t="inlineStr">
        <is>
          <t>SCA</t>
        </is>
      </c>
      <c r="G120" t="n">
        <v>3.6</v>
      </c>
      <c r="H120" t="n">
        <v>0</v>
      </c>
      <c r="I120" t="n">
        <v>1</v>
      </c>
      <c r="J120" t="n">
        <v>1</v>
      </c>
      <c r="K120" t="n">
        <v>0</v>
      </c>
      <c r="L120" t="n">
        <v>0</v>
      </c>
      <c r="M120" t="n">
        <v>0</v>
      </c>
      <c r="N120" t="n">
        <v>0</v>
      </c>
      <c r="O120" t="n">
        <v>1</v>
      </c>
      <c r="P120" t="n">
        <v>0</v>
      </c>
      <c r="Q120" t="n">
        <v>2</v>
      </c>
      <c r="R120" s="2" t="inlineStr">
        <is>
          <t>Ullticka
Vedticka</t>
        </is>
      </c>
      <c r="S120">
        <f>HYPERLINK("https://klasma.github.io/Logging_2380/artfynd/A 60446-2024 artfynd.xlsx", "A 60446-2024")</f>
        <v/>
      </c>
      <c r="T120">
        <f>HYPERLINK("https://klasma.github.io/Logging_2380/kartor/A 60446-2024 karta.png", "A 60446-2024")</f>
        <v/>
      </c>
      <c r="V120">
        <f>HYPERLINK("https://klasma.github.io/Logging_2380/klagomål/A 60446-2024 FSC-klagomål.docx", "A 60446-2024")</f>
        <v/>
      </c>
      <c r="W120">
        <f>HYPERLINK("https://klasma.github.io/Logging_2380/klagomålsmail/A 60446-2024 FSC-klagomål mail.docx", "A 60446-2024")</f>
        <v/>
      </c>
      <c r="X120">
        <f>HYPERLINK("https://klasma.github.io/Logging_2380/tillsyn/A 60446-2024 tillsynsbegäran.docx", "A 60446-2024")</f>
        <v/>
      </c>
      <c r="Y120">
        <f>HYPERLINK("https://klasma.github.io/Logging_2380/tillsynsmail/A 60446-2024 tillsynsbegäran mail.docx", "A 60446-2024")</f>
        <v/>
      </c>
    </row>
    <row r="121" ht="15" customHeight="1">
      <c r="A121" t="inlineStr">
        <is>
          <t>A 21615-2024</t>
        </is>
      </c>
      <c r="B121" s="1" t="n">
        <v>45441.95357638889</v>
      </c>
      <c r="C121" s="1" t="n">
        <v>46025</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58931-2025</t>
        </is>
      </c>
      <c r="B122" s="1" t="n">
        <v>45987.55831018519</v>
      </c>
      <c r="C122" s="1" t="n">
        <v>46025</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54872-2025</t>
        </is>
      </c>
      <c r="B123" s="1" t="n">
        <v>45966.94104166667</v>
      </c>
      <c r="C123" s="1" t="n">
        <v>46025</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35977-2024</t>
        </is>
      </c>
      <c r="B124" s="1" t="n">
        <v>45533.49601851852</v>
      </c>
      <c r="C124" s="1" t="n">
        <v>46025</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50125-2024</t>
        </is>
      </c>
      <c r="B125" s="1" t="n">
        <v>45600.42737268518</v>
      </c>
      <c r="C125" s="1" t="n">
        <v>46025</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56750-2025</t>
        </is>
      </c>
      <c r="B126" s="1" t="n">
        <v>45975</v>
      </c>
      <c r="C126" s="1" t="n">
        <v>46025</v>
      </c>
      <c r="D126" t="inlineStr">
        <is>
          <t>JÄMTLANDS LÄN</t>
        </is>
      </c>
      <c r="E126" t="inlineStr">
        <is>
          <t>ÖSTERSUND</t>
        </is>
      </c>
      <c r="G126" t="n">
        <v>5.1</v>
      </c>
      <c r="H126" t="n">
        <v>1</v>
      </c>
      <c r="I126" t="n">
        <v>0</v>
      </c>
      <c r="J126" t="n">
        <v>1</v>
      </c>
      <c r="K126" t="n">
        <v>0</v>
      </c>
      <c r="L126" t="n">
        <v>0</v>
      </c>
      <c r="M126" t="n">
        <v>0</v>
      </c>
      <c r="N126" t="n">
        <v>0</v>
      </c>
      <c r="O126" t="n">
        <v>1</v>
      </c>
      <c r="P126" t="n">
        <v>0</v>
      </c>
      <c r="Q126" t="n">
        <v>2</v>
      </c>
      <c r="R126" s="2" t="inlineStr">
        <is>
          <t>Garnlav
Revlummer</t>
        </is>
      </c>
      <c r="S126">
        <f>HYPERLINK("https://klasma.github.io/Logging_2380/artfynd/A 56750-2025 artfynd.xlsx", "A 56750-2025")</f>
        <v/>
      </c>
      <c r="T126">
        <f>HYPERLINK("https://klasma.github.io/Logging_2380/kartor/A 56750-2025 karta.png", "A 56750-2025")</f>
        <v/>
      </c>
      <c r="V126">
        <f>HYPERLINK("https://klasma.github.io/Logging_2380/klagomål/A 56750-2025 FSC-klagomål.docx", "A 56750-2025")</f>
        <v/>
      </c>
      <c r="W126">
        <f>HYPERLINK("https://klasma.github.io/Logging_2380/klagomålsmail/A 56750-2025 FSC-klagomål mail.docx", "A 56750-2025")</f>
        <v/>
      </c>
      <c r="X126">
        <f>HYPERLINK("https://klasma.github.io/Logging_2380/tillsyn/A 56750-2025 tillsynsbegäran.docx", "A 56750-2025")</f>
        <v/>
      </c>
      <c r="Y126">
        <f>HYPERLINK("https://klasma.github.io/Logging_2380/tillsynsmail/A 56750-2025 tillsynsbegäran mail.docx", "A 56750-2025")</f>
        <v/>
      </c>
    </row>
    <row r="127" ht="15" customHeight="1">
      <c r="A127" t="inlineStr">
        <is>
          <t>A 10529-2025</t>
        </is>
      </c>
      <c r="B127" s="1" t="n">
        <v>45721.44840277778</v>
      </c>
      <c r="C127" s="1" t="n">
        <v>46025</v>
      </c>
      <c r="D127" t="inlineStr">
        <is>
          <t>JÄMTLANDS LÄN</t>
        </is>
      </c>
      <c r="E127" t="inlineStr">
        <is>
          <t>ÖSTERSUND</t>
        </is>
      </c>
      <c r="F127" t="inlineStr">
        <is>
          <t>SCA</t>
        </is>
      </c>
      <c r="G127" t="n">
        <v>1.4</v>
      </c>
      <c r="H127" t="n">
        <v>0</v>
      </c>
      <c r="I127" t="n">
        <v>2</v>
      </c>
      <c r="J127" t="n">
        <v>0</v>
      </c>
      <c r="K127" t="n">
        <v>0</v>
      </c>
      <c r="L127" t="n">
        <v>0</v>
      </c>
      <c r="M127" t="n">
        <v>0</v>
      </c>
      <c r="N127" t="n">
        <v>0</v>
      </c>
      <c r="O127" t="n">
        <v>0</v>
      </c>
      <c r="P127" t="n">
        <v>0</v>
      </c>
      <c r="Q127" t="n">
        <v>2</v>
      </c>
      <c r="R127" s="2" t="inlineStr">
        <is>
          <t>Gräsull
Ögonpyrola</t>
        </is>
      </c>
      <c r="S127">
        <f>HYPERLINK("https://klasma.github.io/Logging_2380/artfynd/A 10529-2025 artfynd.xlsx", "A 10529-2025")</f>
        <v/>
      </c>
      <c r="T127">
        <f>HYPERLINK("https://klasma.github.io/Logging_2380/kartor/A 10529-2025 karta.png", "A 10529-2025")</f>
        <v/>
      </c>
      <c r="V127">
        <f>HYPERLINK("https://klasma.github.io/Logging_2380/klagomål/A 10529-2025 FSC-klagomål.docx", "A 10529-2025")</f>
        <v/>
      </c>
      <c r="W127">
        <f>HYPERLINK("https://klasma.github.io/Logging_2380/klagomålsmail/A 10529-2025 FSC-klagomål mail.docx", "A 10529-2025")</f>
        <v/>
      </c>
      <c r="X127">
        <f>HYPERLINK("https://klasma.github.io/Logging_2380/tillsyn/A 10529-2025 tillsynsbegäran.docx", "A 10529-2025")</f>
        <v/>
      </c>
      <c r="Y127">
        <f>HYPERLINK("https://klasma.github.io/Logging_2380/tillsynsmail/A 10529-2025 tillsynsbegäran mail.docx", "A 10529-2025")</f>
        <v/>
      </c>
    </row>
    <row r="128" ht="15" customHeight="1">
      <c r="A128" t="inlineStr">
        <is>
          <t>A 56006-2023</t>
        </is>
      </c>
      <c r="B128" s="1" t="n">
        <v>45233</v>
      </c>
      <c r="C128" s="1" t="n">
        <v>46025</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4916-2023</t>
        </is>
      </c>
      <c r="B129" s="1" t="n">
        <v>44956</v>
      </c>
      <c r="C129" s="1" t="n">
        <v>46025</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46105-2021</t>
        </is>
      </c>
      <c r="B130" s="1" t="n">
        <v>44441</v>
      </c>
      <c r="C130" s="1" t="n">
        <v>46025</v>
      </c>
      <c r="D130" t="inlineStr">
        <is>
          <t>JÄMTLANDS LÄN</t>
        </is>
      </c>
      <c r="E130" t="inlineStr">
        <is>
          <t>ÖSTERSUND</t>
        </is>
      </c>
      <c r="G130" t="n">
        <v>4.4</v>
      </c>
      <c r="H130" t="n">
        <v>2</v>
      </c>
      <c r="I130" t="n">
        <v>0</v>
      </c>
      <c r="J130" t="n">
        <v>1</v>
      </c>
      <c r="K130" t="n">
        <v>1</v>
      </c>
      <c r="L130" t="n">
        <v>0</v>
      </c>
      <c r="M130" t="n">
        <v>0</v>
      </c>
      <c r="N130" t="n">
        <v>0</v>
      </c>
      <c r="O130" t="n">
        <v>2</v>
      </c>
      <c r="P130" t="n">
        <v>1</v>
      </c>
      <c r="Q130" t="n">
        <v>2</v>
      </c>
      <c r="R130" s="2" t="inlineStr">
        <is>
          <t>Tallbit
Tretåig hackspett</t>
        </is>
      </c>
      <c r="S130">
        <f>HYPERLINK("https://klasma.github.io/Logging_2380/artfynd/A 46105-2021 artfynd.xlsx", "A 46105-2021")</f>
        <v/>
      </c>
      <c r="T130">
        <f>HYPERLINK("https://klasma.github.io/Logging_2380/kartor/A 46105-2021 karta.png", "A 46105-2021")</f>
        <v/>
      </c>
      <c r="V130">
        <f>HYPERLINK("https://klasma.github.io/Logging_2380/klagomål/A 46105-2021 FSC-klagomål.docx", "A 46105-2021")</f>
        <v/>
      </c>
      <c r="W130">
        <f>HYPERLINK("https://klasma.github.io/Logging_2380/klagomålsmail/A 46105-2021 FSC-klagomål mail.docx", "A 46105-2021")</f>
        <v/>
      </c>
      <c r="X130">
        <f>HYPERLINK("https://klasma.github.io/Logging_2380/tillsyn/A 46105-2021 tillsynsbegäran.docx", "A 46105-2021")</f>
        <v/>
      </c>
      <c r="Y130">
        <f>HYPERLINK("https://klasma.github.io/Logging_2380/tillsynsmail/A 46105-2021 tillsynsbegäran mail.docx", "A 46105-2021")</f>
        <v/>
      </c>
      <c r="Z130">
        <f>HYPERLINK("https://klasma.github.io/Logging_2380/fåglar/A 46105-2021 prioriterade fågelarter.docx", "A 46105-2021")</f>
        <v/>
      </c>
    </row>
    <row r="131" ht="15" customHeight="1">
      <c r="A131" t="inlineStr">
        <is>
          <t>A 60534-2022</t>
        </is>
      </c>
      <c r="B131" s="1" t="n">
        <v>44904</v>
      </c>
      <c r="C131" s="1" t="n">
        <v>46025</v>
      </c>
      <c r="D131" t="inlineStr">
        <is>
          <t>JÄMTLANDS LÄN</t>
        </is>
      </c>
      <c r="E131" t="inlineStr">
        <is>
          <t>ÖSTERSUND</t>
        </is>
      </c>
      <c r="G131" t="n">
        <v>9.9</v>
      </c>
      <c r="H131" t="n">
        <v>0</v>
      </c>
      <c r="I131" t="n">
        <v>0</v>
      </c>
      <c r="J131" t="n">
        <v>2</v>
      </c>
      <c r="K131" t="n">
        <v>0</v>
      </c>
      <c r="L131" t="n">
        <v>0</v>
      </c>
      <c r="M131" t="n">
        <v>0</v>
      </c>
      <c r="N131" t="n">
        <v>0</v>
      </c>
      <c r="O131" t="n">
        <v>2</v>
      </c>
      <c r="P131" t="n">
        <v>0</v>
      </c>
      <c r="Q131" t="n">
        <v>2</v>
      </c>
      <c r="R131" s="2" t="inlineStr">
        <is>
          <t>Rosenticka
Ullticka</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13795-2025</t>
        </is>
      </c>
      <c r="B132" s="1" t="n">
        <v>45737</v>
      </c>
      <c r="C132" s="1" t="n">
        <v>46025</v>
      </c>
      <c r="D132" t="inlineStr">
        <is>
          <t>JÄMTLANDS LÄN</t>
        </is>
      </c>
      <c r="E132" t="inlineStr">
        <is>
          <t>ÖSTERSUND</t>
        </is>
      </c>
      <c r="G132" t="n">
        <v>13.4</v>
      </c>
      <c r="H132" t="n">
        <v>1</v>
      </c>
      <c r="I132" t="n">
        <v>0</v>
      </c>
      <c r="J132" t="n">
        <v>1</v>
      </c>
      <c r="K132" t="n">
        <v>1</v>
      </c>
      <c r="L132" t="n">
        <v>0</v>
      </c>
      <c r="M132" t="n">
        <v>0</v>
      </c>
      <c r="N132" t="n">
        <v>0</v>
      </c>
      <c r="O132" t="n">
        <v>2</v>
      </c>
      <c r="P132" t="n">
        <v>1</v>
      </c>
      <c r="Q132" t="n">
        <v>2</v>
      </c>
      <c r="R132" s="2" t="inlineStr">
        <is>
          <t>Knärot
Lunglav</t>
        </is>
      </c>
      <c r="S132">
        <f>HYPERLINK("https://klasma.github.io/Logging_2380/artfynd/A 13795-2025 artfynd.xlsx", "A 13795-2025")</f>
        <v/>
      </c>
      <c r="T132">
        <f>HYPERLINK("https://klasma.github.io/Logging_2380/kartor/A 13795-2025 karta.png", "A 13795-2025")</f>
        <v/>
      </c>
      <c r="U132">
        <f>HYPERLINK("https://klasma.github.io/Logging_2380/knärot/A 13795-2025 karta knärot.png", "A 13795-2025")</f>
        <v/>
      </c>
      <c r="V132">
        <f>HYPERLINK("https://klasma.github.io/Logging_2380/klagomål/A 13795-2025 FSC-klagomål.docx", "A 13795-2025")</f>
        <v/>
      </c>
      <c r="W132">
        <f>HYPERLINK("https://klasma.github.io/Logging_2380/klagomålsmail/A 13795-2025 FSC-klagomål mail.docx", "A 13795-2025")</f>
        <v/>
      </c>
      <c r="X132">
        <f>HYPERLINK("https://klasma.github.io/Logging_2380/tillsyn/A 13795-2025 tillsynsbegäran.docx", "A 13795-2025")</f>
        <v/>
      </c>
      <c r="Y132">
        <f>HYPERLINK("https://klasma.github.io/Logging_2380/tillsynsmail/A 13795-2025 tillsynsbegäran mail.docx", "A 13795-2025")</f>
        <v/>
      </c>
    </row>
    <row r="133" ht="15" customHeight="1">
      <c r="A133" t="inlineStr">
        <is>
          <t>A 26612-2025</t>
        </is>
      </c>
      <c r="B133" s="1" t="n">
        <v>45810</v>
      </c>
      <c r="C133" s="1" t="n">
        <v>46025</v>
      </c>
      <c r="D133" t="inlineStr">
        <is>
          <t>JÄMTLANDS LÄN</t>
        </is>
      </c>
      <c r="E133" t="inlineStr">
        <is>
          <t>ÖSTERSUND</t>
        </is>
      </c>
      <c r="G133" t="n">
        <v>20.6</v>
      </c>
      <c r="H133" t="n">
        <v>1</v>
      </c>
      <c r="I133" t="n">
        <v>0</v>
      </c>
      <c r="J133" t="n">
        <v>0</v>
      </c>
      <c r="K133" t="n">
        <v>1</v>
      </c>
      <c r="L133" t="n">
        <v>1</v>
      </c>
      <c r="M133" t="n">
        <v>0</v>
      </c>
      <c r="N133" t="n">
        <v>0</v>
      </c>
      <c r="O133" t="n">
        <v>2</v>
      </c>
      <c r="P133" t="n">
        <v>2</v>
      </c>
      <c r="Q133" t="n">
        <v>2</v>
      </c>
      <c r="R133" s="2" t="inlineStr">
        <is>
          <t>Violett guldvinge
Turkos blåvinge</t>
        </is>
      </c>
      <c r="S133">
        <f>HYPERLINK("https://klasma.github.io/Logging_2380/artfynd/A 26612-2025 artfynd.xlsx", "A 26612-2025")</f>
        <v/>
      </c>
      <c r="T133">
        <f>HYPERLINK("https://klasma.github.io/Logging_2380/kartor/A 26612-2025 karta.png", "A 26612-2025")</f>
        <v/>
      </c>
      <c r="V133">
        <f>HYPERLINK("https://klasma.github.io/Logging_2380/klagomål/A 26612-2025 FSC-klagomål.docx", "A 26612-2025")</f>
        <v/>
      </c>
      <c r="W133">
        <f>HYPERLINK("https://klasma.github.io/Logging_2380/klagomålsmail/A 26612-2025 FSC-klagomål mail.docx", "A 26612-2025")</f>
        <v/>
      </c>
      <c r="X133">
        <f>HYPERLINK("https://klasma.github.io/Logging_2380/tillsyn/A 26612-2025 tillsynsbegäran.docx", "A 26612-2025")</f>
        <v/>
      </c>
      <c r="Y133">
        <f>HYPERLINK("https://klasma.github.io/Logging_2380/tillsynsmail/A 26612-2025 tillsynsbegäran mail.docx", "A 26612-2025")</f>
        <v/>
      </c>
    </row>
    <row r="134" ht="15" customHeight="1">
      <c r="A134" t="inlineStr">
        <is>
          <t>A 33137-2021</t>
        </is>
      </c>
      <c r="B134" s="1" t="n">
        <v>44376</v>
      </c>
      <c r="C134" s="1" t="n">
        <v>46025</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46025</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46025</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46025</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58181-2022</t>
        </is>
      </c>
      <c r="B138" s="1" t="n">
        <v>44900</v>
      </c>
      <c r="C138" s="1" t="n">
        <v>46025</v>
      </c>
      <c r="D138" t="inlineStr">
        <is>
          <t>JÄMTLANDS LÄN</t>
        </is>
      </c>
      <c r="E138" t="inlineStr">
        <is>
          <t>ÖSTERSUND</t>
        </is>
      </c>
      <c r="G138" t="n">
        <v>14.8</v>
      </c>
      <c r="H138" t="n">
        <v>0</v>
      </c>
      <c r="I138" t="n">
        <v>1</v>
      </c>
      <c r="J138" t="n">
        <v>0</v>
      </c>
      <c r="K138" t="n">
        <v>0</v>
      </c>
      <c r="L138" t="n">
        <v>0</v>
      </c>
      <c r="M138" t="n">
        <v>0</v>
      </c>
      <c r="N138" t="n">
        <v>0</v>
      </c>
      <c r="O138" t="n">
        <v>0</v>
      </c>
      <c r="P138" t="n">
        <v>0</v>
      </c>
      <c r="Q138" t="n">
        <v>1</v>
      </c>
      <c r="R138" s="2" t="inlineStr">
        <is>
          <t>Finbräken</t>
        </is>
      </c>
      <c r="S138">
        <f>HYPERLINK("https://klasma.github.io/Logging_2380/artfynd/A 58181-2022 artfynd.xlsx", "A 58181-2022")</f>
        <v/>
      </c>
      <c r="T138">
        <f>HYPERLINK("https://klasma.github.io/Logging_2380/kartor/A 58181-2022 karta.png", "A 58181-2022")</f>
        <v/>
      </c>
      <c r="V138">
        <f>HYPERLINK("https://klasma.github.io/Logging_2380/klagomål/A 58181-2022 FSC-klagomål.docx", "A 58181-2022")</f>
        <v/>
      </c>
      <c r="W138">
        <f>HYPERLINK("https://klasma.github.io/Logging_2380/klagomålsmail/A 58181-2022 FSC-klagomål mail.docx", "A 58181-2022")</f>
        <v/>
      </c>
      <c r="X138">
        <f>HYPERLINK("https://klasma.github.io/Logging_2380/tillsyn/A 58181-2022 tillsynsbegäran.docx", "A 58181-2022")</f>
        <v/>
      </c>
      <c r="Y138">
        <f>HYPERLINK("https://klasma.github.io/Logging_2380/tillsynsmail/A 58181-2022 tillsynsbegäran mail.docx", "A 58181-2022")</f>
        <v/>
      </c>
    </row>
    <row r="139" ht="15" customHeight="1">
      <c r="A139" t="inlineStr">
        <is>
          <t>A 41279-2024</t>
        </is>
      </c>
      <c r="B139" s="1" t="n">
        <v>45559</v>
      </c>
      <c r="C139" s="1" t="n">
        <v>46025</v>
      </c>
      <c r="D139" t="inlineStr">
        <is>
          <t>JÄMTLANDS LÄN</t>
        </is>
      </c>
      <c r="E139" t="inlineStr">
        <is>
          <t>ÖSTERSUND</t>
        </is>
      </c>
      <c r="F139" t="inlineStr">
        <is>
          <t>SCA</t>
        </is>
      </c>
      <c r="G139" t="n">
        <v>1.6</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41279-2024 artfynd.xlsx", "A 41279-2024")</f>
        <v/>
      </c>
      <c r="T139">
        <f>HYPERLINK("https://klasma.github.io/Logging_2380/kartor/A 41279-2024 karta.png", "A 41279-2024")</f>
        <v/>
      </c>
      <c r="V139">
        <f>HYPERLINK("https://klasma.github.io/Logging_2380/klagomål/A 41279-2024 FSC-klagomål.docx", "A 41279-2024")</f>
        <v/>
      </c>
      <c r="W139">
        <f>HYPERLINK("https://klasma.github.io/Logging_2380/klagomålsmail/A 41279-2024 FSC-klagomål mail.docx", "A 41279-2024")</f>
        <v/>
      </c>
      <c r="X139">
        <f>HYPERLINK("https://klasma.github.io/Logging_2380/tillsyn/A 41279-2024 tillsynsbegäran.docx", "A 41279-2024")</f>
        <v/>
      </c>
      <c r="Y139">
        <f>HYPERLINK("https://klasma.github.io/Logging_2380/tillsynsmail/A 41279-2024 tillsynsbegäran mail.docx", "A 41279-2024")</f>
        <v/>
      </c>
    </row>
    <row r="140" ht="15" customHeight="1">
      <c r="A140" t="inlineStr">
        <is>
          <t>A 57065-2024</t>
        </is>
      </c>
      <c r="B140" s="1" t="n">
        <v>45629.35344907407</v>
      </c>
      <c r="C140" s="1" t="n">
        <v>46025</v>
      </c>
      <c r="D140" t="inlineStr">
        <is>
          <t>JÄMTLANDS LÄN</t>
        </is>
      </c>
      <c r="E140" t="inlineStr">
        <is>
          <t>ÖSTERSUND</t>
        </is>
      </c>
      <c r="F140" t="inlineStr">
        <is>
          <t>SCA</t>
        </is>
      </c>
      <c r="G140" t="n">
        <v>6.3</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57065-2024 artfynd.xlsx", "A 57065-2024")</f>
        <v/>
      </c>
      <c r="T140">
        <f>HYPERLINK("https://klasma.github.io/Logging_2380/kartor/A 57065-2024 karta.png", "A 57065-2024")</f>
        <v/>
      </c>
      <c r="V140">
        <f>HYPERLINK("https://klasma.github.io/Logging_2380/klagomål/A 57065-2024 FSC-klagomål.docx", "A 57065-2024")</f>
        <v/>
      </c>
      <c r="W140">
        <f>HYPERLINK("https://klasma.github.io/Logging_2380/klagomålsmail/A 57065-2024 FSC-klagomål mail.docx", "A 57065-2024")</f>
        <v/>
      </c>
      <c r="X140">
        <f>HYPERLINK("https://klasma.github.io/Logging_2380/tillsyn/A 57065-2024 tillsynsbegäran.docx", "A 57065-2024")</f>
        <v/>
      </c>
      <c r="Y140">
        <f>HYPERLINK("https://klasma.github.io/Logging_2380/tillsynsmail/A 57065-2024 tillsynsbegäran mail.docx", "A 57065-2024")</f>
        <v/>
      </c>
      <c r="Z140">
        <f>HYPERLINK("https://klasma.github.io/Logging_2380/fåglar/A 57065-2024 prioriterade fågelarter.docx", "A 57065-2024")</f>
        <v/>
      </c>
    </row>
    <row r="141" ht="15" customHeight="1">
      <c r="A141" t="inlineStr">
        <is>
          <t>A 40692-2024</t>
        </is>
      </c>
      <c r="B141" s="1" t="n">
        <v>45558</v>
      </c>
      <c r="C141" s="1" t="n">
        <v>46025</v>
      </c>
      <c r="D141" t="inlineStr">
        <is>
          <t>JÄMTLANDS LÄN</t>
        </is>
      </c>
      <c r="E141" t="inlineStr">
        <is>
          <t>ÖSTERSUND</t>
        </is>
      </c>
      <c r="F141" t="inlineStr">
        <is>
          <t>SCA</t>
        </is>
      </c>
      <c r="G141" t="n">
        <v>0.9</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40692-2024 artfynd.xlsx", "A 40692-2024")</f>
        <v/>
      </c>
      <c r="T141">
        <f>HYPERLINK("https://klasma.github.io/Logging_2380/kartor/A 40692-2024 karta.png", "A 40692-2024")</f>
        <v/>
      </c>
      <c r="V141">
        <f>HYPERLINK("https://klasma.github.io/Logging_2380/klagomål/A 40692-2024 FSC-klagomål.docx", "A 40692-2024")</f>
        <v/>
      </c>
      <c r="W141">
        <f>HYPERLINK("https://klasma.github.io/Logging_2380/klagomålsmail/A 40692-2024 FSC-klagomål mail.docx", "A 40692-2024")</f>
        <v/>
      </c>
      <c r="X141">
        <f>HYPERLINK("https://klasma.github.io/Logging_2380/tillsyn/A 40692-2024 tillsynsbegäran.docx", "A 40692-2024")</f>
        <v/>
      </c>
      <c r="Y141">
        <f>HYPERLINK("https://klasma.github.io/Logging_2380/tillsynsmail/A 40692-2024 tillsynsbegäran mail.docx", "A 40692-2024")</f>
        <v/>
      </c>
    </row>
    <row r="142" ht="15" customHeight="1">
      <c r="A142" t="inlineStr">
        <is>
          <t>A 43883-2024</t>
        </is>
      </c>
      <c r="B142" s="1" t="n">
        <v>45570</v>
      </c>
      <c r="C142" s="1" t="n">
        <v>46025</v>
      </c>
      <c r="D142" t="inlineStr">
        <is>
          <t>JÄMTLANDS LÄN</t>
        </is>
      </c>
      <c r="E142" t="inlineStr">
        <is>
          <t>ÖSTERSUND</t>
        </is>
      </c>
      <c r="G142" t="n">
        <v>3.8</v>
      </c>
      <c r="H142" t="n">
        <v>0</v>
      </c>
      <c r="I142" t="n">
        <v>0</v>
      </c>
      <c r="J142" t="n">
        <v>0</v>
      </c>
      <c r="K142" t="n">
        <v>1</v>
      </c>
      <c r="L142" t="n">
        <v>0</v>
      </c>
      <c r="M142" t="n">
        <v>0</v>
      </c>
      <c r="N142" t="n">
        <v>0</v>
      </c>
      <c r="O142" t="n">
        <v>1</v>
      </c>
      <c r="P142" t="n">
        <v>1</v>
      </c>
      <c r="Q142" t="n">
        <v>1</v>
      </c>
      <c r="R142" s="2" t="inlineStr">
        <is>
          <t>Frösöstarr</t>
        </is>
      </c>
      <c r="S142">
        <f>HYPERLINK("https://klasma.github.io/Logging_2380/artfynd/A 43883-2024 artfynd.xlsx", "A 43883-2024")</f>
        <v/>
      </c>
      <c r="T142">
        <f>HYPERLINK("https://klasma.github.io/Logging_2380/kartor/A 43883-2024 karta.png", "A 43883-2024")</f>
        <v/>
      </c>
      <c r="V142">
        <f>HYPERLINK("https://klasma.github.io/Logging_2380/klagomål/A 43883-2024 FSC-klagomål.docx", "A 43883-2024")</f>
        <v/>
      </c>
      <c r="W142">
        <f>HYPERLINK("https://klasma.github.io/Logging_2380/klagomålsmail/A 43883-2024 FSC-klagomål mail.docx", "A 43883-2024")</f>
        <v/>
      </c>
      <c r="X142">
        <f>HYPERLINK("https://klasma.github.io/Logging_2380/tillsyn/A 43883-2024 tillsynsbegäran.docx", "A 43883-2024")</f>
        <v/>
      </c>
      <c r="Y142">
        <f>HYPERLINK("https://klasma.github.io/Logging_2380/tillsynsmail/A 43883-2024 tillsynsbegäran mail.docx", "A 43883-2024")</f>
        <v/>
      </c>
    </row>
    <row r="143" ht="15" customHeight="1">
      <c r="A143" t="inlineStr">
        <is>
          <t>A 28980-2023</t>
        </is>
      </c>
      <c r="B143" s="1" t="n">
        <v>45096</v>
      </c>
      <c r="C143" s="1" t="n">
        <v>46025</v>
      </c>
      <c r="D143" t="inlineStr">
        <is>
          <t>JÄMTLANDS LÄN</t>
        </is>
      </c>
      <c r="E143" t="inlineStr">
        <is>
          <t>ÖSTERSUND</t>
        </is>
      </c>
      <c r="G143" t="n">
        <v>2.7</v>
      </c>
      <c r="H143" t="n">
        <v>0</v>
      </c>
      <c r="I143" t="n">
        <v>1</v>
      </c>
      <c r="J143" t="n">
        <v>0</v>
      </c>
      <c r="K143" t="n">
        <v>0</v>
      </c>
      <c r="L143" t="n">
        <v>0</v>
      </c>
      <c r="M143" t="n">
        <v>0</v>
      </c>
      <c r="N143" t="n">
        <v>0</v>
      </c>
      <c r="O143" t="n">
        <v>0</v>
      </c>
      <c r="P143" t="n">
        <v>0</v>
      </c>
      <c r="Q143" t="n">
        <v>1</v>
      </c>
      <c r="R143" s="2" t="inlineStr">
        <is>
          <t>Finbräken</t>
        </is>
      </c>
      <c r="S143">
        <f>HYPERLINK("https://klasma.github.io/Logging_2380/artfynd/A 28980-2023 artfynd.xlsx", "A 28980-2023")</f>
        <v/>
      </c>
      <c r="T143">
        <f>HYPERLINK("https://klasma.github.io/Logging_2380/kartor/A 28980-2023 karta.png", "A 28980-2023")</f>
        <v/>
      </c>
      <c r="V143">
        <f>HYPERLINK("https://klasma.github.io/Logging_2380/klagomål/A 28980-2023 FSC-klagomål.docx", "A 28980-2023")</f>
        <v/>
      </c>
      <c r="W143">
        <f>HYPERLINK("https://klasma.github.io/Logging_2380/klagomålsmail/A 28980-2023 FSC-klagomål mail.docx", "A 28980-2023")</f>
        <v/>
      </c>
      <c r="X143">
        <f>HYPERLINK("https://klasma.github.io/Logging_2380/tillsyn/A 28980-2023 tillsynsbegäran.docx", "A 28980-2023")</f>
        <v/>
      </c>
      <c r="Y143">
        <f>HYPERLINK("https://klasma.github.io/Logging_2380/tillsynsmail/A 28980-2023 tillsynsbegäran mail.docx", "A 28980-2023")</f>
        <v/>
      </c>
    </row>
    <row r="144" ht="15" customHeight="1">
      <c r="A144" t="inlineStr">
        <is>
          <t>A 40781-2025</t>
        </is>
      </c>
      <c r="B144" s="1" t="n">
        <v>45897</v>
      </c>
      <c r="C144" s="1" t="n">
        <v>46025</v>
      </c>
      <c r="D144" t="inlineStr">
        <is>
          <t>JÄMTLANDS LÄN</t>
        </is>
      </c>
      <c r="E144" t="inlineStr">
        <is>
          <t>ÖSTERSUND</t>
        </is>
      </c>
      <c r="F144" t="inlineStr">
        <is>
          <t>Övriga Aktiebolag</t>
        </is>
      </c>
      <c r="G144" t="n">
        <v>2.2</v>
      </c>
      <c r="H144" t="n">
        <v>1</v>
      </c>
      <c r="I144" t="n">
        <v>0</v>
      </c>
      <c r="J144" t="n">
        <v>0</v>
      </c>
      <c r="K144" t="n">
        <v>0</v>
      </c>
      <c r="L144" t="n">
        <v>0</v>
      </c>
      <c r="M144" t="n">
        <v>0</v>
      </c>
      <c r="N144" t="n">
        <v>0</v>
      </c>
      <c r="O144" t="n">
        <v>0</v>
      </c>
      <c r="P144" t="n">
        <v>0</v>
      </c>
      <c r="Q144" t="n">
        <v>1</v>
      </c>
      <c r="R144" s="2" t="inlineStr">
        <is>
          <t>Blåsippa</t>
        </is>
      </c>
      <c r="S144">
        <f>HYPERLINK("https://klasma.github.io/Logging_2380/artfynd/A 40781-2025 artfynd.xlsx", "A 40781-2025")</f>
        <v/>
      </c>
      <c r="T144">
        <f>HYPERLINK("https://klasma.github.io/Logging_2380/kartor/A 40781-2025 karta.png", "A 40781-2025")</f>
        <v/>
      </c>
      <c r="V144">
        <f>HYPERLINK("https://klasma.github.io/Logging_2380/klagomål/A 40781-2025 FSC-klagomål.docx", "A 40781-2025")</f>
        <v/>
      </c>
      <c r="W144">
        <f>HYPERLINK("https://klasma.github.io/Logging_2380/klagomålsmail/A 40781-2025 FSC-klagomål mail.docx", "A 40781-2025")</f>
        <v/>
      </c>
      <c r="X144">
        <f>HYPERLINK("https://klasma.github.io/Logging_2380/tillsyn/A 40781-2025 tillsynsbegäran.docx", "A 40781-2025")</f>
        <v/>
      </c>
      <c r="Y144">
        <f>HYPERLINK("https://klasma.github.io/Logging_2380/tillsynsmail/A 40781-2025 tillsynsbegäran mail.docx", "A 40781-2025")</f>
        <v/>
      </c>
    </row>
    <row r="145" ht="15" customHeight="1">
      <c r="A145" t="inlineStr">
        <is>
          <t>A 41312-2024</t>
        </is>
      </c>
      <c r="B145" s="1" t="n">
        <v>45559.63584490741</v>
      </c>
      <c r="C145" s="1" t="n">
        <v>46025</v>
      </c>
      <c r="D145" t="inlineStr">
        <is>
          <t>JÄMTLANDS LÄN</t>
        </is>
      </c>
      <c r="E145" t="inlineStr">
        <is>
          <t>ÖSTERSUND</t>
        </is>
      </c>
      <c r="F145" t="inlineStr">
        <is>
          <t>SCA</t>
        </is>
      </c>
      <c r="G145" t="n">
        <v>2.6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41312-2024 artfynd.xlsx", "A 41312-2024")</f>
        <v/>
      </c>
      <c r="T145">
        <f>HYPERLINK("https://klasma.github.io/Logging_2380/kartor/A 41312-2024 karta.png", "A 41312-2024")</f>
        <v/>
      </c>
      <c r="V145">
        <f>HYPERLINK("https://klasma.github.io/Logging_2380/klagomål/A 41312-2024 FSC-klagomål.docx", "A 41312-2024")</f>
        <v/>
      </c>
      <c r="W145">
        <f>HYPERLINK("https://klasma.github.io/Logging_2380/klagomålsmail/A 41312-2024 FSC-klagomål mail.docx", "A 41312-2024")</f>
        <v/>
      </c>
      <c r="X145">
        <f>HYPERLINK("https://klasma.github.io/Logging_2380/tillsyn/A 41312-2024 tillsynsbegäran.docx", "A 41312-2024")</f>
        <v/>
      </c>
      <c r="Y145">
        <f>HYPERLINK("https://klasma.github.io/Logging_2380/tillsynsmail/A 41312-2024 tillsynsbegäran mail.docx", "A 41312-2024")</f>
        <v/>
      </c>
    </row>
    <row r="146" ht="15" customHeight="1">
      <c r="A146" t="inlineStr">
        <is>
          <t>A 56201-2024</t>
        </is>
      </c>
      <c r="B146" s="1" t="n">
        <v>45624.59462962963</v>
      </c>
      <c r="C146" s="1" t="n">
        <v>46025</v>
      </c>
      <c r="D146" t="inlineStr">
        <is>
          <t>JÄMTLANDS LÄN</t>
        </is>
      </c>
      <c r="E146" t="inlineStr">
        <is>
          <t>ÖSTERSUND</t>
        </is>
      </c>
      <c r="F146" t="inlineStr">
        <is>
          <t>SCA</t>
        </is>
      </c>
      <c r="G146" t="n">
        <v>5.9</v>
      </c>
      <c r="H146" t="n">
        <v>1</v>
      </c>
      <c r="I146" t="n">
        <v>0</v>
      </c>
      <c r="J146" t="n">
        <v>0</v>
      </c>
      <c r="K146" t="n">
        <v>1</v>
      </c>
      <c r="L146" t="n">
        <v>0</v>
      </c>
      <c r="M146" t="n">
        <v>0</v>
      </c>
      <c r="N146" t="n">
        <v>0</v>
      </c>
      <c r="O146" t="n">
        <v>1</v>
      </c>
      <c r="P146" t="n">
        <v>1</v>
      </c>
      <c r="Q146" t="n">
        <v>1</v>
      </c>
      <c r="R146" s="2" t="inlineStr">
        <is>
          <t>Doftticka</t>
        </is>
      </c>
      <c r="S146">
        <f>HYPERLINK("https://klasma.github.io/Logging_2380/artfynd/A 56201-2024 artfynd.xlsx", "A 56201-2024")</f>
        <v/>
      </c>
      <c r="T146">
        <f>HYPERLINK("https://klasma.github.io/Logging_2380/kartor/A 56201-2024 karta.png", "A 56201-2024")</f>
        <v/>
      </c>
      <c r="V146">
        <f>HYPERLINK("https://klasma.github.io/Logging_2380/klagomål/A 56201-2024 FSC-klagomål.docx", "A 56201-2024")</f>
        <v/>
      </c>
      <c r="W146">
        <f>HYPERLINK("https://klasma.github.io/Logging_2380/klagomålsmail/A 56201-2024 FSC-klagomål mail.docx", "A 56201-2024")</f>
        <v/>
      </c>
      <c r="X146">
        <f>HYPERLINK("https://klasma.github.io/Logging_2380/tillsyn/A 56201-2024 tillsynsbegäran.docx", "A 56201-2024")</f>
        <v/>
      </c>
      <c r="Y146">
        <f>HYPERLINK("https://klasma.github.io/Logging_2380/tillsynsmail/A 56201-2024 tillsynsbegäran mail.docx", "A 56201-2024")</f>
        <v/>
      </c>
    </row>
    <row r="147" ht="15" customHeight="1">
      <c r="A147" t="inlineStr">
        <is>
          <t>A 59108-2024</t>
        </is>
      </c>
      <c r="B147" s="1" t="n">
        <v>45637.34469907408</v>
      </c>
      <c r="C147" s="1" t="n">
        <v>46025</v>
      </c>
      <c r="D147" t="inlineStr">
        <is>
          <t>JÄMTLANDS LÄN</t>
        </is>
      </c>
      <c r="E147" t="inlineStr">
        <is>
          <t>ÖSTERSUND</t>
        </is>
      </c>
      <c r="F147" t="inlineStr">
        <is>
          <t>SCA</t>
        </is>
      </c>
      <c r="G147" t="n">
        <v>10.6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59108-2024 artfynd.xlsx", "A 59108-2024")</f>
        <v/>
      </c>
      <c r="T147">
        <f>HYPERLINK("https://klasma.github.io/Logging_2380/kartor/A 59108-2024 karta.png", "A 59108-2024")</f>
        <v/>
      </c>
      <c r="V147">
        <f>HYPERLINK("https://klasma.github.io/Logging_2380/klagomål/A 59108-2024 FSC-klagomål.docx", "A 59108-2024")</f>
        <v/>
      </c>
      <c r="W147">
        <f>HYPERLINK("https://klasma.github.io/Logging_2380/klagomålsmail/A 59108-2024 FSC-klagomål mail.docx", "A 59108-2024")</f>
        <v/>
      </c>
      <c r="X147">
        <f>HYPERLINK("https://klasma.github.io/Logging_2380/tillsyn/A 59108-2024 tillsynsbegäran.docx", "A 59108-2024")</f>
        <v/>
      </c>
      <c r="Y147">
        <f>HYPERLINK("https://klasma.github.io/Logging_2380/tillsynsmail/A 59108-2024 tillsynsbegäran mail.docx", "A 59108-2024")</f>
        <v/>
      </c>
      <c r="Z147">
        <f>HYPERLINK("https://klasma.github.io/Logging_2380/fåglar/A 59108-2024 prioriterade fågelarter.docx", "A 59108-2024")</f>
        <v/>
      </c>
    </row>
    <row r="148" ht="15" customHeight="1">
      <c r="A148" t="inlineStr">
        <is>
          <t>A 43188-2025</t>
        </is>
      </c>
      <c r="B148" s="1" t="n">
        <v>45910.41201388889</v>
      </c>
      <c r="C148" s="1" t="n">
        <v>46025</v>
      </c>
      <c r="D148" t="inlineStr">
        <is>
          <t>JÄMTLANDS LÄN</t>
        </is>
      </c>
      <c r="E148" t="inlineStr">
        <is>
          <t>ÖSTERSUND</t>
        </is>
      </c>
      <c r="G148" t="n">
        <v>8.6</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43188-2025 artfynd.xlsx", "A 43188-2025")</f>
        <v/>
      </c>
      <c r="T148">
        <f>HYPERLINK("https://klasma.github.io/Logging_2380/kartor/A 43188-2025 karta.png", "A 43188-2025")</f>
        <v/>
      </c>
      <c r="V148">
        <f>HYPERLINK("https://klasma.github.io/Logging_2380/klagomål/A 43188-2025 FSC-klagomål.docx", "A 43188-2025")</f>
        <v/>
      </c>
      <c r="W148">
        <f>HYPERLINK("https://klasma.github.io/Logging_2380/klagomålsmail/A 43188-2025 FSC-klagomål mail.docx", "A 43188-2025")</f>
        <v/>
      </c>
      <c r="X148">
        <f>HYPERLINK("https://klasma.github.io/Logging_2380/tillsyn/A 43188-2025 tillsynsbegäran.docx", "A 43188-2025")</f>
        <v/>
      </c>
      <c r="Y148">
        <f>HYPERLINK("https://klasma.github.io/Logging_2380/tillsynsmail/A 43188-2025 tillsynsbegäran mail.docx", "A 43188-2025")</f>
        <v/>
      </c>
      <c r="Z148">
        <f>HYPERLINK("https://klasma.github.io/Logging_2380/fåglar/A 43188-2025 prioriterade fågelarter.docx", "A 43188-2025")</f>
        <v/>
      </c>
    </row>
    <row r="149" ht="15" customHeight="1">
      <c r="A149" t="inlineStr">
        <is>
          <t>A 33550-2025</t>
        </is>
      </c>
      <c r="B149" s="1" t="n">
        <v>45841.57331018519</v>
      </c>
      <c r="C149" s="1" t="n">
        <v>46025</v>
      </c>
      <c r="D149" t="inlineStr">
        <is>
          <t>JÄMTLANDS LÄN</t>
        </is>
      </c>
      <c r="E149" t="inlineStr">
        <is>
          <t>ÖSTERSUND</t>
        </is>
      </c>
      <c r="F149" t="inlineStr">
        <is>
          <t>SCA</t>
        </is>
      </c>
      <c r="G149" t="n">
        <v>7.3</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33550-2025 artfynd.xlsx", "A 33550-2025")</f>
        <v/>
      </c>
      <c r="T149">
        <f>HYPERLINK("https://klasma.github.io/Logging_2380/kartor/A 33550-2025 karta.png", "A 33550-2025")</f>
        <v/>
      </c>
      <c r="V149">
        <f>HYPERLINK("https://klasma.github.io/Logging_2380/klagomål/A 33550-2025 FSC-klagomål.docx", "A 33550-2025")</f>
        <v/>
      </c>
      <c r="W149">
        <f>HYPERLINK("https://klasma.github.io/Logging_2380/klagomålsmail/A 33550-2025 FSC-klagomål mail.docx", "A 33550-2025")</f>
        <v/>
      </c>
      <c r="X149">
        <f>HYPERLINK("https://klasma.github.io/Logging_2380/tillsyn/A 33550-2025 tillsynsbegäran.docx", "A 33550-2025")</f>
        <v/>
      </c>
      <c r="Y149">
        <f>HYPERLINK("https://klasma.github.io/Logging_2380/tillsynsmail/A 33550-2025 tillsynsbegäran mail.docx", "A 33550-2025")</f>
        <v/>
      </c>
    </row>
    <row r="150" ht="15" customHeight="1">
      <c r="A150" t="inlineStr">
        <is>
          <t>A 47580-2025</t>
        </is>
      </c>
      <c r="B150" s="1" t="n">
        <v>45931.40935185185</v>
      </c>
      <c r="C150" s="1" t="n">
        <v>46025</v>
      </c>
      <c r="D150" t="inlineStr">
        <is>
          <t>JÄMTLANDS LÄN</t>
        </is>
      </c>
      <c r="E150" t="inlineStr">
        <is>
          <t>ÖSTERSUND</t>
        </is>
      </c>
      <c r="G150" t="n">
        <v>4.1</v>
      </c>
      <c r="H150" t="n">
        <v>1</v>
      </c>
      <c r="I150" t="n">
        <v>0</v>
      </c>
      <c r="J150" t="n">
        <v>0</v>
      </c>
      <c r="K150" t="n">
        <v>0</v>
      </c>
      <c r="L150" t="n">
        <v>0</v>
      </c>
      <c r="M150" t="n">
        <v>0</v>
      </c>
      <c r="N150" t="n">
        <v>0</v>
      </c>
      <c r="O150" t="n">
        <v>0</v>
      </c>
      <c r="P150" t="n">
        <v>0</v>
      </c>
      <c r="Q150" t="n">
        <v>1</v>
      </c>
      <c r="R150" s="2" t="inlineStr">
        <is>
          <t>Revlummer</t>
        </is>
      </c>
      <c r="S150">
        <f>HYPERLINK("https://klasma.github.io/Logging_2380/artfynd/A 47580-2025 artfynd.xlsx", "A 47580-2025")</f>
        <v/>
      </c>
      <c r="T150">
        <f>HYPERLINK("https://klasma.github.io/Logging_2380/kartor/A 47580-2025 karta.png", "A 47580-2025")</f>
        <v/>
      </c>
      <c r="V150">
        <f>HYPERLINK("https://klasma.github.io/Logging_2380/klagomål/A 47580-2025 FSC-klagomål.docx", "A 47580-2025")</f>
        <v/>
      </c>
      <c r="W150">
        <f>HYPERLINK("https://klasma.github.io/Logging_2380/klagomålsmail/A 47580-2025 FSC-klagomål mail.docx", "A 47580-2025")</f>
        <v/>
      </c>
      <c r="X150">
        <f>HYPERLINK("https://klasma.github.io/Logging_2380/tillsyn/A 47580-2025 tillsynsbegäran.docx", "A 47580-2025")</f>
        <v/>
      </c>
      <c r="Y150">
        <f>HYPERLINK("https://klasma.github.io/Logging_2380/tillsynsmail/A 47580-2025 tillsynsbegäran mail.docx", "A 47580-2025")</f>
        <v/>
      </c>
    </row>
    <row r="151" ht="15" customHeight="1">
      <c r="A151" t="inlineStr">
        <is>
          <t>A 9739-2022</t>
        </is>
      </c>
      <c r="B151" s="1" t="n">
        <v>44617</v>
      </c>
      <c r="C151" s="1" t="n">
        <v>46025</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31883-2024</t>
        </is>
      </c>
      <c r="B152" s="1" t="n">
        <v>45509.9572800926</v>
      </c>
      <c r="C152" s="1" t="n">
        <v>46025</v>
      </c>
      <c r="D152" t="inlineStr">
        <is>
          <t>JÄMTLANDS LÄN</t>
        </is>
      </c>
      <c r="E152" t="inlineStr">
        <is>
          <t>ÖSTERSUND</t>
        </is>
      </c>
      <c r="F152" t="inlineStr">
        <is>
          <t>SCA</t>
        </is>
      </c>
      <c r="G152" t="n">
        <v>3.3</v>
      </c>
      <c r="H152" t="n">
        <v>1</v>
      </c>
      <c r="I152" t="n">
        <v>0</v>
      </c>
      <c r="J152" t="n">
        <v>0</v>
      </c>
      <c r="K152" t="n">
        <v>1</v>
      </c>
      <c r="L152" t="n">
        <v>0</v>
      </c>
      <c r="M152" t="n">
        <v>0</v>
      </c>
      <c r="N152" t="n">
        <v>0</v>
      </c>
      <c r="O152" t="n">
        <v>1</v>
      </c>
      <c r="P152" t="n">
        <v>1</v>
      </c>
      <c r="Q152" t="n">
        <v>1</v>
      </c>
      <c r="R152" s="2" t="inlineStr">
        <is>
          <t>Doftticka</t>
        </is>
      </c>
      <c r="S152">
        <f>HYPERLINK("https://klasma.github.io/Logging_2380/artfynd/A 31883-2024 artfynd.xlsx", "A 31883-2024")</f>
        <v/>
      </c>
      <c r="T152">
        <f>HYPERLINK("https://klasma.github.io/Logging_2380/kartor/A 31883-2024 karta.png", "A 31883-2024")</f>
        <v/>
      </c>
      <c r="V152">
        <f>HYPERLINK("https://klasma.github.io/Logging_2380/klagomål/A 31883-2024 FSC-klagomål.docx", "A 31883-2024")</f>
        <v/>
      </c>
      <c r="W152">
        <f>HYPERLINK("https://klasma.github.io/Logging_2380/klagomålsmail/A 31883-2024 FSC-klagomål mail.docx", "A 31883-2024")</f>
        <v/>
      </c>
      <c r="X152">
        <f>HYPERLINK("https://klasma.github.io/Logging_2380/tillsyn/A 31883-2024 tillsynsbegäran.docx", "A 31883-2024")</f>
        <v/>
      </c>
      <c r="Y152">
        <f>HYPERLINK("https://klasma.github.io/Logging_2380/tillsynsmail/A 31883-2024 tillsynsbegäran mail.docx", "A 31883-2024")</f>
        <v/>
      </c>
    </row>
    <row r="153" ht="15" customHeight="1">
      <c r="A153" t="inlineStr">
        <is>
          <t>A 58274-2025</t>
        </is>
      </c>
      <c r="B153" s="1" t="n">
        <v>45985.43086805556</v>
      </c>
      <c r="C153" s="1" t="n">
        <v>46025</v>
      </c>
      <c r="D153" t="inlineStr">
        <is>
          <t>JÄMTLANDS LÄN</t>
        </is>
      </c>
      <c r="E153" t="inlineStr">
        <is>
          <t>ÖSTERSUND</t>
        </is>
      </c>
      <c r="F153" t="inlineStr">
        <is>
          <t>Övriga Aktiebolag</t>
        </is>
      </c>
      <c r="G153" t="n">
        <v>18.7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58274-2025 artfynd.xlsx", "A 58274-2025")</f>
        <v/>
      </c>
      <c r="T153">
        <f>HYPERLINK("https://klasma.github.io/Logging_2380/kartor/A 58274-2025 karta.png", "A 58274-2025")</f>
        <v/>
      </c>
      <c r="V153">
        <f>HYPERLINK("https://klasma.github.io/Logging_2380/klagomål/A 58274-2025 FSC-klagomål.docx", "A 58274-2025")</f>
        <v/>
      </c>
      <c r="W153">
        <f>HYPERLINK("https://klasma.github.io/Logging_2380/klagomålsmail/A 58274-2025 FSC-klagomål mail.docx", "A 58274-2025")</f>
        <v/>
      </c>
      <c r="X153">
        <f>HYPERLINK("https://klasma.github.io/Logging_2380/tillsyn/A 58274-2025 tillsynsbegäran.docx", "A 58274-2025")</f>
        <v/>
      </c>
      <c r="Y153">
        <f>HYPERLINK("https://klasma.github.io/Logging_2380/tillsynsmail/A 58274-2025 tillsynsbegäran mail.docx", "A 58274-2025")</f>
        <v/>
      </c>
      <c r="Z153">
        <f>HYPERLINK("https://klasma.github.io/Logging_2380/fåglar/A 58274-2025 prioriterade fågelarter.docx", "A 58274-2025")</f>
        <v/>
      </c>
    </row>
    <row r="154" ht="15" customHeight="1">
      <c r="A154" t="inlineStr">
        <is>
          <t>A 36225-2025</t>
        </is>
      </c>
      <c r="B154" s="1" t="n">
        <v>45867.51128472222</v>
      </c>
      <c r="C154" s="1" t="n">
        <v>46025</v>
      </c>
      <c r="D154" t="inlineStr">
        <is>
          <t>JÄMTLANDS LÄN</t>
        </is>
      </c>
      <c r="E154" t="inlineStr">
        <is>
          <t>ÖSTERSUND</t>
        </is>
      </c>
      <c r="F154" t="inlineStr">
        <is>
          <t>SCA</t>
        </is>
      </c>
      <c r="G154" t="n">
        <v>1.8</v>
      </c>
      <c r="H154" t="n">
        <v>0</v>
      </c>
      <c r="I154" t="n">
        <v>0</v>
      </c>
      <c r="J154" t="n">
        <v>1</v>
      </c>
      <c r="K154" t="n">
        <v>0</v>
      </c>
      <c r="L154" t="n">
        <v>0</v>
      </c>
      <c r="M154" t="n">
        <v>0</v>
      </c>
      <c r="N154" t="n">
        <v>0</v>
      </c>
      <c r="O154" t="n">
        <v>1</v>
      </c>
      <c r="P154" t="n">
        <v>0</v>
      </c>
      <c r="Q154" t="n">
        <v>1</v>
      </c>
      <c r="R154" s="2" t="inlineStr">
        <is>
          <t>Kolflarnlav</t>
        </is>
      </c>
      <c r="S154">
        <f>HYPERLINK("https://klasma.github.io/Logging_2380/artfynd/A 36225-2025 artfynd.xlsx", "A 36225-2025")</f>
        <v/>
      </c>
      <c r="T154">
        <f>HYPERLINK("https://klasma.github.io/Logging_2380/kartor/A 36225-2025 karta.png", "A 36225-2025")</f>
        <v/>
      </c>
      <c r="V154">
        <f>HYPERLINK("https://klasma.github.io/Logging_2380/klagomål/A 36225-2025 FSC-klagomål.docx", "A 36225-2025")</f>
        <v/>
      </c>
      <c r="W154">
        <f>HYPERLINK("https://klasma.github.io/Logging_2380/klagomålsmail/A 36225-2025 FSC-klagomål mail.docx", "A 36225-2025")</f>
        <v/>
      </c>
      <c r="X154">
        <f>HYPERLINK("https://klasma.github.io/Logging_2380/tillsyn/A 36225-2025 tillsynsbegäran.docx", "A 36225-2025")</f>
        <v/>
      </c>
      <c r="Y154">
        <f>HYPERLINK("https://klasma.github.io/Logging_2380/tillsynsmail/A 36225-2025 tillsynsbegäran mail.docx", "A 36225-2025")</f>
        <v/>
      </c>
    </row>
    <row r="155" ht="15" customHeight="1">
      <c r="A155" t="inlineStr">
        <is>
          <t>A 46163-2021</t>
        </is>
      </c>
      <c r="B155" s="1" t="n">
        <v>44441</v>
      </c>
      <c r="C155" s="1" t="n">
        <v>46025</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64380-2023</t>
        </is>
      </c>
      <c r="B156" s="1" t="n">
        <v>45280.56451388889</v>
      </c>
      <c r="C156" s="1" t="n">
        <v>46025</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40696-2024</t>
        </is>
      </c>
      <c r="B157" s="1" t="n">
        <v>45558</v>
      </c>
      <c r="C157" s="1" t="n">
        <v>46025</v>
      </c>
      <c r="D157" t="inlineStr">
        <is>
          <t>JÄMTLANDS LÄN</t>
        </is>
      </c>
      <c r="E157" t="inlineStr">
        <is>
          <t>ÖSTERSUND</t>
        </is>
      </c>
      <c r="F157" t="inlineStr">
        <is>
          <t>SCA</t>
        </is>
      </c>
      <c r="G157" t="n">
        <v>2.7</v>
      </c>
      <c r="H157" t="n">
        <v>0</v>
      </c>
      <c r="I157" t="n">
        <v>0</v>
      </c>
      <c r="J157" t="n">
        <v>1</v>
      </c>
      <c r="K157" t="n">
        <v>0</v>
      </c>
      <c r="L157" t="n">
        <v>0</v>
      </c>
      <c r="M157" t="n">
        <v>0</v>
      </c>
      <c r="N157" t="n">
        <v>0</v>
      </c>
      <c r="O157" t="n">
        <v>1</v>
      </c>
      <c r="P157" t="n">
        <v>0</v>
      </c>
      <c r="Q157" t="n">
        <v>1</v>
      </c>
      <c r="R157" s="2" t="inlineStr">
        <is>
          <t>Lunglav</t>
        </is>
      </c>
      <c r="S157">
        <f>HYPERLINK("https://klasma.github.io/Logging_2380/artfynd/A 40696-2024 artfynd.xlsx", "A 40696-2024")</f>
        <v/>
      </c>
      <c r="T157">
        <f>HYPERLINK("https://klasma.github.io/Logging_2380/kartor/A 40696-2024 karta.png", "A 40696-2024")</f>
        <v/>
      </c>
      <c r="V157">
        <f>HYPERLINK("https://klasma.github.io/Logging_2380/klagomål/A 40696-2024 FSC-klagomål.docx", "A 40696-2024")</f>
        <v/>
      </c>
      <c r="W157">
        <f>HYPERLINK("https://klasma.github.io/Logging_2380/klagomålsmail/A 40696-2024 FSC-klagomål mail.docx", "A 40696-2024")</f>
        <v/>
      </c>
      <c r="X157">
        <f>HYPERLINK("https://klasma.github.io/Logging_2380/tillsyn/A 40696-2024 tillsynsbegäran.docx", "A 40696-2024")</f>
        <v/>
      </c>
      <c r="Y157">
        <f>HYPERLINK("https://klasma.github.io/Logging_2380/tillsynsmail/A 40696-2024 tillsynsbegäran mail.docx", "A 40696-2024")</f>
        <v/>
      </c>
    </row>
    <row r="158" ht="15" customHeight="1">
      <c r="A158" t="inlineStr">
        <is>
          <t>A 24368-2025</t>
        </is>
      </c>
      <c r="B158" s="1" t="n">
        <v>45797.60623842593</v>
      </c>
      <c r="C158" s="1" t="n">
        <v>46025</v>
      </c>
      <c r="D158" t="inlineStr">
        <is>
          <t>JÄMTLANDS LÄN</t>
        </is>
      </c>
      <c r="E158" t="inlineStr">
        <is>
          <t>ÖSTERSUND</t>
        </is>
      </c>
      <c r="G158" t="n">
        <v>2.9</v>
      </c>
      <c r="H158" t="n">
        <v>0</v>
      </c>
      <c r="I158" t="n">
        <v>0</v>
      </c>
      <c r="J158" t="n">
        <v>0</v>
      </c>
      <c r="K158" t="n">
        <v>1</v>
      </c>
      <c r="L158" t="n">
        <v>0</v>
      </c>
      <c r="M158" t="n">
        <v>0</v>
      </c>
      <c r="N158" t="n">
        <v>0</v>
      </c>
      <c r="O158" t="n">
        <v>1</v>
      </c>
      <c r="P158" t="n">
        <v>1</v>
      </c>
      <c r="Q158" t="n">
        <v>1</v>
      </c>
      <c r="R158" s="2" t="inlineStr">
        <is>
          <t>Fjällfotad fingersvamp</t>
        </is>
      </c>
      <c r="S158">
        <f>HYPERLINK("https://klasma.github.io/Logging_2380/artfynd/A 24368-2025 artfynd.xlsx", "A 24368-2025")</f>
        <v/>
      </c>
      <c r="T158">
        <f>HYPERLINK("https://klasma.github.io/Logging_2380/kartor/A 24368-2025 karta.png", "A 24368-2025")</f>
        <v/>
      </c>
      <c r="V158">
        <f>HYPERLINK("https://klasma.github.io/Logging_2380/klagomål/A 24368-2025 FSC-klagomål.docx", "A 24368-2025")</f>
        <v/>
      </c>
      <c r="W158">
        <f>HYPERLINK("https://klasma.github.io/Logging_2380/klagomålsmail/A 24368-2025 FSC-klagomål mail.docx", "A 24368-2025")</f>
        <v/>
      </c>
      <c r="X158">
        <f>HYPERLINK("https://klasma.github.io/Logging_2380/tillsyn/A 24368-2025 tillsynsbegäran.docx", "A 24368-2025")</f>
        <v/>
      </c>
      <c r="Y158">
        <f>HYPERLINK("https://klasma.github.io/Logging_2380/tillsynsmail/A 24368-2025 tillsynsbegäran mail.docx", "A 24368-2025")</f>
        <v/>
      </c>
    </row>
    <row r="159" ht="15" customHeight="1">
      <c r="A159" t="inlineStr">
        <is>
          <t>A 60966-2025</t>
        </is>
      </c>
      <c r="B159" s="1" t="n">
        <v>45999.67758101852</v>
      </c>
      <c r="C159" s="1" t="n">
        <v>46025</v>
      </c>
      <c r="D159" t="inlineStr">
        <is>
          <t>JÄMTLANDS LÄN</t>
        </is>
      </c>
      <c r="E159" t="inlineStr">
        <is>
          <t>ÖSTERSUND</t>
        </is>
      </c>
      <c r="F159" t="inlineStr">
        <is>
          <t>SCA</t>
        </is>
      </c>
      <c r="G159" t="n">
        <v>1.9</v>
      </c>
      <c r="H159" t="n">
        <v>1</v>
      </c>
      <c r="I159" t="n">
        <v>1</v>
      </c>
      <c r="J159" t="n">
        <v>0</v>
      </c>
      <c r="K159" t="n">
        <v>0</v>
      </c>
      <c r="L159" t="n">
        <v>0</v>
      </c>
      <c r="M159" t="n">
        <v>0</v>
      </c>
      <c r="N159" t="n">
        <v>0</v>
      </c>
      <c r="O159" t="n">
        <v>0</v>
      </c>
      <c r="P159" t="n">
        <v>0</v>
      </c>
      <c r="Q159" t="n">
        <v>1</v>
      </c>
      <c r="R159" s="2" t="inlineStr">
        <is>
          <t>Tvåblad</t>
        </is>
      </c>
      <c r="S159">
        <f>HYPERLINK("https://klasma.github.io/Logging_2380/artfynd/A 60966-2025 artfynd.xlsx", "A 60966-2025")</f>
        <v/>
      </c>
      <c r="T159">
        <f>HYPERLINK("https://klasma.github.io/Logging_2380/kartor/A 60966-2025 karta.png", "A 60966-2025")</f>
        <v/>
      </c>
      <c r="V159">
        <f>HYPERLINK("https://klasma.github.io/Logging_2380/klagomål/A 60966-2025 FSC-klagomål.docx", "A 60966-2025")</f>
        <v/>
      </c>
      <c r="W159">
        <f>HYPERLINK("https://klasma.github.io/Logging_2380/klagomålsmail/A 60966-2025 FSC-klagomål mail.docx", "A 60966-2025")</f>
        <v/>
      </c>
      <c r="X159">
        <f>HYPERLINK("https://klasma.github.io/Logging_2380/tillsyn/A 60966-2025 tillsynsbegäran.docx", "A 60966-2025")</f>
        <v/>
      </c>
      <c r="Y159">
        <f>HYPERLINK("https://klasma.github.io/Logging_2380/tillsynsmail/A 60966-2025 tillsynsbegäran mail.docx", "A 60966-2025")</f>
        <v/>
      </c>
    </row>
    <row r="160" ht="15" customHeight="1">
      <c r="A160" t="inlineStr">
        <is>
          <t>A 59433-2021</t>
        </is>
      </c>
      <c r="B160" s="1" t="n">
        <v>44491</v>
      </c>
      <c r="C160" s="1" t="n">
        <v>46025</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53300-2025</t>
        </is>
      </c>
      <c r="B161" s="1" t="n">
        <v>45959.32394675926</v>
      </c>
      <c r="C161" s="1" t="n">
        <v>46025</v>
      </c>
      <c r="D161" t="inlineStr">
        <is>
          <t>JÄMTLANDS LÄN</t>
        </is>
      </c>
      <c r="E161" t="inlineStr">
        <is>
          <t>ÖSTERSUND</t>
        </is>
      </c>
      <c r="F161" t="inlineStr">
        <is>
          <t>Sveaskog</t>
        </is>
      </c>
      <c r="G161" t="n">
        <v>12.2</v>
      </c>
      <c r="H161" t="n">
        <v>0</v>
      </c>
      <c r="I161" t="n">
        <v>1</v>
      </c>
      <c r="J161" t="n">
        <v>0</v>
      </c>
      <c r="K161" t="n">
        <v>0</v>
      </c>
      <c r="L161" t="n">
        <v>0</v>
      </c>
      <c r="M161" t="n">
        <v>0</v>
      </c>
      <c r="N161" t="n">
        <v>0</v>
      </c>
      <c r="O161" t="n">
        <v>0</v>
      </c>
      <c r="P161" t="n">
        <v>0</v>
      </c>
      <c r="Q161" t="n">
        <v>1</v>
      </c>
      <c r="R161" s="2" t="inlineStr">
        <is>
          <t>Rödgul trumpetsvamp</t>
        </is>
      </c>
      <c r="S161">
        <f>HYPERLINK("https://klasma.github.io/Logging_2380/artfynd/A 53300-2025 artfynd.xlsx", "A 53300-2025")</f>
        <v/>
      </c>
      <c r="T161">
        <f>HYPERLINK("https://klasma.github.io/Logging_2380/kartor/A 53300-2025 karta.png", "A 53300-2025")</f>
        <v/>
      </c>
      <c r="V161">
        <f>HYPERLINK("https://klasma.github.io/Logging_2380/klagomål/A 53300-2025 FSC-klagomål.docx", "A 53300-2025")</f>
        <v/>
      </c>
      <c r="W161">
        <f>HYPERLINK("https://klasma.github.io/Logging_2380/klagomålsmail/A 53300-2025 FSC-klagomål mail.docx", "A 53300-2025")</f>
        <v/>
      </c>
      <c r="X161">
        <f>HYPERLINK("https://klasma.github.io/Logging_2380/tillsyn/A 53300-2025 tillsynsbegäran.docx", "A 53300-2025")</f>
        <v/>
      </c>
      <c r="Y161">
        <f>HYPERLINK("https://klasma.github.io/Logging_2380/tillsynsmail/A 53300-2025 tillsynsbegäran mail.docx", "A 53300-2025")</f>
        <v/>
      </c>
    </row>
    <row r="162" ht="15" customHeight="1">
      <c r="A162" t="inlineStr">
        <is>
          <t>A 62835-2025</t>
        </is>
      </c>
      <c r="B162" s="1" t="n">
        <v>46008.67969907408</v>
      </c>
      <c r="C162" s="1" t="n">
        <v>46025</v>
      </c>
      <c r="D162" t="inlineStr">
        <is>
          <t>JÄMTLANDS LÄN</t>
        </is>
      </c>
      <c r="E162" t="inlineStr">
        <is>
          <t>ÖSTERSUND</t>
        </is>
      </c>
      <c r="G162" t="n">
        <v>2.2</v>
      </c>
      <c r="H162" t="n">
        <v>0</v>
      </c>
      <c r="I162" t="n">
        <v>0</v>
      </c>
      <c r="J162" t="n">
        <v>1</v>
      </c>
      <c r="K162" t="n">
        <v>0</v>
      </c>
      <c r="L162" t="n">
        <v>0</v>
      </c>
      <c r="M162" t="n">
        <v>0</v>
      </c>
      <c r="N162" t="n">
        <v>0</v>
      </c>
      <c r="O162" t="n">
        <v>1</v>
      </c>
      <c r="P162" t="n">
        <v>0</v>
      </c>
      <c r="Q162" t="n">
        <v>1</v>
      </c>
      <c r="R162" s="2" t="inlineStr">
        <is>
          <t>Åkerkål</t>
        </is>
      </c>
      <c r="S162">
        <f>HYPERLINK("https://klasma.github.io/Logging_2380/artfynd/A 62835-2025 artfynd.xlsx", "A 62835-2025")</f>
        <v/>
      </c>
      <c r="T162">
        <f>HYPERLINK("https://klasma.github.io/Logging_2380/kartor/A 62835-2025 karta.png", "A 62835-2025")</f>
        <v/>
      </c>
      <c r="V162">
        <f>HYPERLINK("https://klasma.github.io/Logging_2380/klagomål/A 62835-2025 FSC-klagomål.docx", "A 62835-2025")</f>
        <v/>
      </c>
      <c r="W162">
        <f>HYPERLINK("https://klasma.github.io/Logging_2380/klagomålsmail/A 62835-2025 FSC-klagomål mail.docx", "A 62835-2025")</f>
        <v/>
      </c>
      <c r="X162">
        <f>HYPERLINK("https://klasma.github.io/Logging_2380/tillsyn/A 62835-2025 tillsynsbegäran.docx", "A 62835-2025")</f>
        <v/>
      </c>
      <c r="Y162">
        <f>HYPERLINK("https://klasma.github.io/Logging_2380/tillsynsmail/A 62835-2025 tillsynsbegäran mail.docx", "A 62835-2025")</f>
        <v/>
      </c>
    </row>
    <row r="163" ht="15" customHeight="1">
      <c r="A163" t="inlineStr">
        <is>
          <t>A 55821-2021</t>
        </is>
      </c>
      <c r="B163" s="1" t="n">
        <v>44476</v>
      </c>
      <c r="C163" s="1" t="n">
        <v>46025</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63201-2025</t>
        </is>
      </c>
      <c r="B164" s="1" t="n">
        <v>46010.46366898148</v>
      </c>
      <c r="C164" s="1" t="n">
        <v>46025</v>
      </c>
      <c r="D164" t="inlineStr">
        <is>
          <t>JÄMTLANDS LÄN</t>
        </is>
      </c>
      <c r="E164" t="inlineStr">
        <is>
          <t>ÖSTERSUND</t>
        </is>
      </c>
      <c r="G164" t="n">
        <v>5.8</v>
      </c>
      <c r="H164" t="n">
        <v>1</v>
      </c>
      <c r="I164" t="n">
        <v>0</v>
      </c>
      <c r="J164" t="n">
        <v>0</v>
      </c>
      <c r="K164" t="n">
        <v>0</v>
      </c>
      <c r="L164" t="n">
        <v>0</v>
      </c>
      <c r="M164" t="n">
        <v>0</v>
      </c>
      <c r="N164" t="n">
        <v>0</v>
      </c>
      <c r="O164" t="n">
        <v>0</v>
      </c>
      <c r="P164" t="n">
        <v>0</v>
      </c>
      <c r="Q164" t="n">
        <v>1</v>
      </c>
      <c r="R164" s="2" t="inlineStr">
        <is>
          <t>Lavskrika</t>
        </is>
      </c>
      <c r="S164">
        <f>HYPERLINK("https://klasma.github.io/Logging_2380/artfynd/A 63201-2025 artfynd.xlsx", "A 63201-2025")</f>
        <v/>
      </c>
      <c r="T164">
        <f>HYPERLINK("https://klasma.github.io/Logging_2380/kartor/A 63201-2025 karta.png", "A 63201-2025")</f>
        <v/>
      </c>
      <c r="V164">
        <f>HYPERLINK("https://klasma.github.io/Logging_2380/klagomål/A 63201-2025 FSC-klagomål.docx", "A 63201-2025")</f>
        <v/>
      </c>
      <c r="W164">
        <f>HYPERLINK("https://klasma.github.io/Logging_2380/klagomålsmail/A 63201-2025 FSC-klagomål mail.docx", "A 63201-2025")</f>
        <v/>
      </c>
      <c r="X164">
        <f>HYPERLINK("https://klasma.github.io/Logging_2380/tillsyn/A 63201-2025 tillsynsbegäran.docx", "A 63201-2025")</f>
        <v/>
      </c>
      <c r="Y164">
        <f>HYPERLINK("https://klasma.github.io/Logging_2380/tillsynsmail/A 63201-2025 tillsynsbegäran mail.docx", "A 63201-2025")</f>
        <v/>
      </c>
      <c r="Z164">
        <f>HYPERLINK("https://klasma.github.io/Logging_2380/fåglar/A 63201-2025 prioriterade fågelarter.docx", "A 63201-2025")</f>
        <v/>
      </c>
    </row>
    <row r="165" ht="15" customHeight="1">
      <c r="A165" t="inlineStr">
        <is>
          <t>A 54354-2024</t>
        </is>
      </c>
      <c r="B165" s="1" t="n">
        <v>45617.40244212963</v>
      </c>
      <c r="C165" s="1" t="n">
        <v>46025</v>
      </c>
      <c r="D165" t="inlineStr">
        <is>
          <t>JÄMTLANDS LÄN</t>
        </is>
      </c>
      <c r="E165" t="inlineStr">
        <is>
          <t>ÖSTERSUND</t>
        </is>
      </c>
      <c r="G165" t="n">
        <v>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54354-2024 artfynd.xlsx", "A 54354-2024")</f>
        <v/>
      </c>
      <c r="T165">
        <f>HYPERLINK("https://klasma.github.io/Logging_2380/kartor/A 54354-2024 karta.png", "A 54354-2024")</f>
        <v/>
      </c>
      <c r="V165">
        <f>HYPERLINK("https://klasma.github.io/Logging_2380/klagomål/A 54354-2024 FSC-klagomål.docx", "A 54354-2024")</f>
        <v/>
      </c>
      <c r="W165">
        <f>HYPERLINK("https://klasma.github.io/Logging_2380/klagomålsmail/A 54354-2024 FSC-klagomål mail.docx", "A 54354-2024")</f>
        <v/>
      </c>
      <c r="X165">
        <f>HYPERLINK("https://klasma.github.io/Logging_2380/tillsyn/A 54354-2024 tillsynsbegäran.docx", "A 54354-2024")</f>
        <v/>
      </c>
      <c r="Y165">
        <f>HYPERLINK("https://klasma.github.io/Logging_2380/tillsynsmail/A 54354-2024 tillsynsbegäran mail.docx", "A 54354-2024")</f>
        <v/>
      </c>
      <c r="Z165">
        <f>HYPERLINK("https://klasma.github.io/Logging_2380/fåglar/A 54354-2024 prioriterade fågelarter.docx", "A 54354-2024")</f>
        <v/>
      </c>
    </row>
    <row r="166" ht="15" customHeight="1">
      <c r="A166" t="inlineStr">
        <is>
          <t>A 44049-2024</t>
        </is>
      </c>
      <c r="B166" s="1" t="n">
        <v>45572.59462962963</v>
      </c>
      <c r="C166" s="1" t="n">
        <v>46025</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11513-2024</t>
        </is>
      </c>
      <c r="B167" s="1" t="n">
        <v>45372</v>
      </c>
      <c r="C167" s="1" t="n">
        <v>46025</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41770-2024</t>
        </is>
      </c>
      <c r="B168" s="1" t="n">
        <v>45561.34641203703</v>
      </c>
      <c r="C168" s="1" t="n">
        <v>46025</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33267-2022</t>
        </is>
      </c>
      <c r="B169" s="1" t="n">
        <v>44785</v>
      </c>
      <c r="C169" s="1" t="n">
        <v>46025</v>
      </c>
      <c r="D169" t="inlineStr">
        <is>
          <t>JÄMTLANDS LÄN</t>
        </is>
      </c>
      <c r="E169" t="inlineStr">
        <is>
          <t>ÖSTERSUND</t>
        </is>
      </c>
      <c r="G169" t="n">
        <v>0.9</v>
      </c>
      <c r="H169" t="n">
        <v>1</v>
      </c>
      <c r="I169" t="n">
        <v>0</v>
      </c>
      <c r="J169" t="n">
        <v>1</v>
      </c>
      <c r="K169" t="n">
        <v>0</v>
      </c>
      <c r="L169" t="n">
        <v>0</v>
      </c>
      <c r="M169" t="n">
        <v>0</v>
      </c>
      <c r="N169" t="n">
        <v>0</v>
      </c>
      <c r="O169" t="n">
        <v>1</v>
      </c>
      <c r="P169" t="n">
        <v>0</v>
      </c>
      <c r="Q169" t="n">
        <v>1</v>
      </c>
      <c r="R169" s="2" t="inlineStr">
        <is>
          <t>Talltita</t>
        </is>
      </c>
      <c r="S169">
        <f>HYPERLINK("https://klasma.github.io/Logging_2380/artfynd/A 33267-2022 artfynd.xlsx", "A 33267-2022")</f>
        <v/>
      </c>
      <c r="T169">
        <f>HYPERLINK("https://klasma.github.io/Logging_2380/kartor/A 33267-2022 karta.png", "A 33267-2022")</f>
        <v/>
      </c>
      <c r="V169">
        <f>HYPERLINK("https://klasma.github.io/Logging_2380/klagomål/A 33267-2022 FSC-klagomål.docx", "A 33267-2022")</f>
        <v/>
      </c>
      <c r="W169">
        <f>HYPERLINK("https://klasma.github.io/Logging_2380/klagomålsmail/A 33267-2022 FSC-klagomål mail.docx", "A 33267-2022")</f>
        <v/>
      </c>
      <c r="X169">
        <f>HYPERLINK("https://klasma.github.io/Logging_2380/tillsyn/A 33267-2022 tillsynsbegäran.docx", "A 33267-2022")</f>
        <v/>
      </c>
      <c r="Y169">
        <f>HYPERLINK("https://klasma.github.io/Logging_2380/tillsynsmail/A 33267-2022 tillsynsbegäran mail.docx", "A 33267-2022")</f>
        <v/>
      </c>
      <c r="Z169">
        <f>HYPERLINK("https://klasma.github.io/Logging_2380/fåglar/A 33267-2022 prioriterade fågelarter.docx", "A 33267-2022")</f>
        <v/>
      </c>
    </row>
    <row r="170" ht="15" customHeight="1">
      <c r="A170" t="inlineStr">
        <is>
          <t>A 55-2023</t>
        </is>
      </c>
      <c r="B170" s="1" t="n">
        <v>44928</v>
      </c>
      <c r="C170" s="1" t="n">
        <v>46025</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17217-2021</t>
        </is>
      </c>
      <c r="B171" s="1" t="n">
        <v>44298</v>
      </c>
      <c r="C171" s="1" t="n">
        <v>46025</v>
      </c>
      <c r="D171" t="inlineStr">
        <is>
          <t>JÄMTLANDS LÄN</t>
        </is>
      </c>
      <c r="E171" t="inlineStr">
        <is>
          <t>ÖSTERSUND</t>
        </is>
      </c>
      <c r="G171" t="n">
        <v>10.4</v>
      </c>
      <c r="H171" t="n">
        <v>0</v>
      </c>
      <c r="I171" t="n">
        <v>0</v>
      </c>
      <c r="J171" t="n">
        <v>1</v>
      </c>
      <c r="K171" t="n">
        <v>0</v>
      </c>
      <c r="L171" t="n">
        <v>0</v>
      </c>
      <c r="M171" t="n">
        <v>0</v>
      </c>
      <c r="N171" t="n">
        <v>0</v>
      </c>
      <c r="O171" t="n">
        <v>1</v>
      </c>
      <c r="P171" t="n">
        <v>0</v>
      </c>
      <c r="Q171" t="n">
        <v>1</v>
      </c>
      <c r="R171" s="2" t="inlineStr">
        <is>
          <t>Rödbrun klubbdyna</t>
        </is>
      </c>
      <c r="S171">
        <f>HYPERLINK("https://klasma.github.io/Logging_2380/artfynd/A 17217-2021 artfynd.xlsx", "A 17217-2021")</f>
        <v/>
      </c>
      <c r="T171">
        <f>HYPERLINK("https://klasma.github.io/Logging_2380/kartor/A 17217-2021 karta.png", "A 17217-2021")</f>
        <v/>
      </c>
      <c r="V171">
        <f>HYPERLINK("https://klasma.github.io/Logging_2380/klagomål/A 17217-2021 FSC-klagomål.docx", "A 17217-2021")</f>
        <v/>
      </c>
      <c r="W171">
        <f>HYPERLINK("https://klasma.github.io/Logging_2380/klagomålsmail/A 17217-2021 FSC-klagomål mail.docx", "A 17217-2021")</f>
        <v/>
      </c>
      <c r="X171">
        <f>HYPERLINK("https://klasma.github.io/Logging_2380/tillsyn/A 17217-2021 tillsynsbegäran.docx", "A 17217-2021")</f>
        <v/>
      </c>
      <c r="Y171">
        <f>HYPERLINK("https://klasma.github.io/Logging_2380/tillsynsmail/A 17217-2021 tillsynsbegäran mail.docx", "A 17217-2021")</f>
        <v/>
      </c>
    </row>
    <row r="172" ht="15" customHeight="1">
      <c r="A172" t="inlineStr">
        <is>
          <t>A 40694-2024</t>
        </is>
      </c>
      <c r="B172" s="1" t="n">
        <v>45558</v>
      </c>
      <c r="C172" s="1" t="n">
        <v>46025</v>
      </c>
      <c r="D172" t="inlineStr">
        <is>
          <t>JÄMTLANDS LÄN</t>
        </is>
      </c>
      <c r="E172" t="inlineStr">
        <is>
          <t>ÖSTERSUND</t>
        </is>
      </c>
      <c r="F172" t="inlineStr">
        <is>
          <t>SCA</t>
        </is>
      </c>
      <c r="G172" t="n">
        <v>6.2</v>
      </c>
      <c r="H172" t="n">
        <v>0</v>
      </c>
      <c r="I172" t="n">
        <v>0</v>
      </c>
      <c r="J172" t="n">
        <v>1</v>
      </c>
      <c r="K172" t="n">
        <v>0</v>
      </c>
      <c r="L172" t="n">
        <v>0</v>
      </c>
      <c r="M172" t="n">
        <v>0</v>
      </c>
      <c r="N172" t="n">
        <v>0</v>
      </c>
      <c r="O172" t="n">
        <v>1</v>
      </c>
      <c r="P172" t="n">
        <v>0</v>
      </c>
      <c r="Q172" t="n">
        <v>1</v>
      </c>
      <c r="R172" s="2" t="inlineStr">
        <is>
          <t>Reliktbock</t>
        </is>
      </c>
      <c r="S172">
        <f>HYPERLINK("https://klasma.github.io/Logging_2380/artfynd/A 40694-2024 artfynd.xlsx", "A 40694-2024")</f>
        <v/>
      </c>
      <c r="T172">
        <f>HYPERLINK("https://klasma.github.io/Logging_2380/kartor/A 40694-2024 karta.png", "A 40694-2024")</f>
        <v/>
      </c>
      <c r="V172">
        <f>HYPERLINK("https://klasma.github.io/Logging_2380/klagomål/A 40694-2024 FSC-klagomål.docx", "A 40694-2024")</f>
        <v/>
      </c>
      <c r="W172">
        <f>HYPERLINK("https://klasma.github.io/Logging_2380/klagomålsmail/A 40694-2024 FSC-klagomål mail.docx", "A 40694-2024")</f>
        <v/>
      </c>
      <c r="X172">
        <f>HYPERLINK("https://klasma.github.io/Logging_2380/tillsyn/A 40694-2024 tillsynsbegäran.docx", "A 40694-2024")</f>
        <v/>
      </c>
      <c r="Y172">
        <f>HYPERLINK("https://klasma.github.io/Logging_2380/tillsynsmail/A 40694-2024 tillsynsbegäran mail.docx", "A 40694-2024")</f>
        <v/>
      </c>
    </row>
    <row r="173" ht="15" customHeight="1">
      <c r="A173" t="inlineStr">
        <is>
          <t>A 26605-2025</t>
        </is>
      </c>
      <c r="B173" s="1" t="n">
        <v>45809.86790509259</v>
      </c>
      <c r="C173" s="1" t="n">
        <v>46025</v>
      </c>
      <c r="D173" t="inlineStr">
        <is>
          <t>JÄMTLANDS LÄN</t>
        </is>
      </c>
      <c r="E173" t="inlineStr">
        <is>
          <t>ÖSTERSUND</t>
        </is>
      </c>
      <c r="G173" t="n">
        <v>1.3</v>
      </c>
      <c r="H173" t="n">
        <v>0</v>
      </c>
      <c r="I173" t="n">
        <v>0</v>
      </c>
      <c r="J173" t="n">
        <v>1</v>
      </c>
      <c r="K173" t="n">
        <v>0</v>
      </c>
      <c r="L173" t="n">
        <v>0</v>
      </c>
      <c r="M173" t="n">
        <v>0</v>
      </c>
      <c r="N173" t="n">
        <v>0</v>
      </c>
      <c r="O173" t="n">
        <v>1</v>
      </c>
      <c r="P173" t="n">
        <v>0</v>
      </c>
      <c r="Q173" t="n">
        <v>1</v>
      </c>
      <c r="R173" s="2" t="inlineStr">
        <is>
          <t>Garnlav</t>
        </is>
      </c>
      <c r="S173">
        <f>HYPERLINK("https://klasma.github.io/Logging_2380/artfynd/A 26605-2025 artfynd.xlsx", "A 26605-2025")</f>
        <v/>
      </c>
      <c r="T173">
        <f>HYPERLINK("https://klasma.github.io/Logging_2380/kartor/A 26605-2025 karta.png", "A 26605-2025")</f>
        <v/>
      </c>
      <c r="V173">
        <f>HYPERLINK("https://klasma.github.io/Logging_2380/klagomål/A 26605-2025 FSC-klagomål.docx", "A 26605-2025")</f>
        <v/>
      </c>
      <c r="W173">
        <f>HYPERLINK("https://klasma.github.io/Logging_2380/klagomålsmail/A 26605-2025 FSC-klagomål mail.docx", "A 26605-2025")</f>
        <v/>
      </c>
      <c r="X173">
        <f>HYPERLINK("https://klasma.github.io/Logging_2380/tillsyn/A 26605-2025 tillsynsbegäran.docx", "A 26605-2025")</f>
        <v/>
      </c>
      <c r="Y173">
        <f>HYPERLINK("https://klasma.github.io/Logging_2380/tillsynsmail/A 26605-2025 tillsynsbegäran mail.docx", "A 26605-2025")</f>
        <v/>
      </c>
    </row>
    <row r="174" ht="15" customHeight="1">
      <c r="A174" t="inlineStr">
        <is>
          <t>A 20620-2021</t>
        </is>
      </c>
      <c r="B174" s="1" t="n">
        <v>44316</v>
      </c>
      <c r="C174" s="1" t="n">
        <v>46025</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46025</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501-2021</t>
        </is>
      </c>
      <c r="B176" s="1" t="n">
        <v>44200</v>
      </c>
      <c r="C176" s="1" t="n">
        <v>46025</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23187-2021</t>
        </is>
      </c>
      <c r="B177" s="1" t="n">
        <v>44328</v>
      </c>
      <c r="C177" s="1" t="n">
        <v>46025</v>
      </c>
      <c r="D177" t="inlineStr">
        <is>
          <t>JÄMTLANDS LÄN</t>
        </is>
      </c>
      <c r="E177" t="inlineStr">
        <is>
          <t>ÖSTERSUND</t>
        </is>
      </c>
      <c r="G177" t="n">
        <v>1.8</v>
      </c>
      <c r="H177" t="n">
        <v>0</v>
      </c>
      <c r="I177" t="n">
        <v>0</v>
      </c>
      <c r="J177" t="n">
        <v>0</v>
      </c>
      <c r="K177" t="n">
        <v>0</v>
      </c>
      <c r="L177" t="n">
        <v>0</v>
      </c>
      <c r="M177" t="n">
        <v>0</v>
      </c>
      <c r="N177" t="n">
        <v>0</v>
      </c>
      <c r="O177" t="n">
        <v>0</v>
      </c>
      <c r="P177" t="n">
        <v>0</v>
      </c>
      <c r="Q177" t="n">
        <v>0</v>
      </c>
      <c r="R177" s="2" t="inlineStr"/>
    </row>
    <row r="178" ht="15" customHeight="1">
      <c r="A178" t="inlineStr">
        <is>
          <t>A 53453-2022</t>
        </is>
      </c>
      <c r="B178" s="1" t="n">
        <v>44879.49488425926</v>
      </c>
      <c r="C178" s="1" t="n">
        <v>46025</v>
      </c>
      <c r="D178" t="inlineStr">
        <is>
          <t>JÄMTLANDS LÄN</t>
        </is>
      </c>
      <c r="E178" t="inlineStr">
        <is>
          <t>ÖSTERSUND</t>
        </is>
      </c>
      <c r="G178" t="n">
        <v>22.2</v>
      </c>
      <c r="H178" t="n">
        <v>0</v>
      </c>
      <c r="I178" t="n">
        <v>0</v>
      </c>
      <c r="J178" t="n">
        <v>0</v>
      </c>
      <c r="K178" t="n">
        <v>0</v>
      </c>
      <c r="L178" t="n">
        <v>0</v>
      </c>
      <c r="M178" t="n">
        <v>0</v>
      </c>
      <c r="N178" t="n">
        <v>0</v>
      </c>
      <c r="O178" t="n">
        <v>0</v>
      </c>
      <c r="P178" t="n">
        <v>0</v>
      </c>
      <c r="Q178" t="n">
        <v>0</v>
      </c>
      <c r="R178" s="2" t="inlineStr"/>
    </row>
    <row r="179" ht="15" customHeight="1">
      <c r="A179" t="inlineStr">
        <is>
          <t>A 8396-2021</t>
        </is>
      </c>
      <c r="B179" s="1" t="n">
        <v>44238</v>
      </c>
      <c r="C179" s="1" t="n">
        <v>46025</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64092-2021</t>
        </is>
      </c>
      <c r="B180" s="1" t="n">
        <v>44510.44064814815</v>
      </c>
      <c r="C180" s="1" t="n">
        <v>46025</v>
      </c>
      <c r="D180" t="inlineStr">
        <is>
          <t>JÄMTLANDS LÄN</t>
        </is>
      </c>
      <c r="E180" t="inlineStr">
        <is>
          <t>ÖSTERSUND</t>
        </is>
      </c>
      <c r="G180" t="n">
        <v>5.6</v>
      </c>
      <c r="H180" t="n">
        <v>0</v>
      </c>
      <c r="I180" t="n">
        <v>0</v>
      </c>
      <c r="J180" t="n">
        <v>0</v>
      </c>
      <c r="K180" t="n">
        <v>0</v>
      </c>
      <c r="L180" t="n">
        <v>0</v>
      </c>
      <c r="M180" t="n">
        <v>0</v>
      </c>
      <c r="N180" t="n">
        <v>0</v>
      </c>
      <c r="O180" t="n">
        <v>0</v>
      </c>
      <c r="P180" t="n">
        <v>0</v>
      </c>
      <c r="Q180" t="n">
        <v>0</v>
      </c>
      <c r="R180" s="2" t="inlineStr"/>
    </row>
    <row r="181" ht="15" customHeight="1">
      <c r="A181" t="inlineStr">
        <is>
          <t>A 40038-2021</t>
        </is>
      </c>
      <c r="B181" s="1" t="n">
        <v>44418.45925925926</v>
      </c>
      <c r="C181" s="1" t="n">
        <v>46025</v>
      </c>
      <c r="D181" t="inlineStr">
        <is>
          <t>JÄMTLANDS LÄN</t>
        </is>
      </c>
      <c r="E181" t="inlineStr">
        <is>
          <t>ÖSTERSUND</t>
        </is>
      </c>
      <c r="G181" t="n">
        <v>7</v>
      </c>
      <c r="H181" t="n">
        <v>0</v>
      </c>
      <c r="I181" t="n">
        <v>0</v>
      </c>
      <c r="J181" t="n">
        <v>0</v>
      </c>
      <c r="K181" t="n">
        <v>0</v>
      </c>
      <c r="L181" t="n">
        <v>0</v>
      </c>
      <c r="M181" t="n">
        <v>0</v>
      </c>
      <c r="N181" t="n">
        <v>0</v>
      </c>
      <c r="O181" t="n">
        <v>0</v>
      </c>
      <c r="P181" t="n">
        <v>0</v>
      </c>
      <c r="Q181" t="n">
        <v>0</v>
      </c>
      <c r="R181" s="2" t="inlineStr"/>
    </row>
    <row r="182" ht="15" customHeight="1">
      <c r="A182" t="inlineStr">
        <is>
          <t>A 67695-2021</t>
        </is>
      </c>
      <c r="B182" s="1" t="n">
        <v>44524.94607638889</v>
      </c>
      <c r="C182" s="1" t="n">
        <v>46025</v>
      </c>
      <c r="D182" t="inlineStr">
        <is>
          <t>JÄMTLANDS LÄN</t>
        </is>
      </c>
      <c r="E182" t="inlineStr">
        <is>
          <t>ÖSTERSUND</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32986-2021</t>
        </is>
      </c>
      <c r="B183" s="1" t="n">
        <v>44375</v>
      </c>
      <c r="C183" s="1" t="n">
        <v>46025</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29707-2021</t>
        </is>
      </c>
      <c r="B184" s="1" t="n">
        <v>44362</v>
      </c>
      <c r="C184" s="1" t="n">
        <v>46025</v>
      </c>
      <c r="D184" t="inlineStr">
        <is>
          <t>JÄMTLANDS LÄN</t>
        </is>
      </c>
      <c r="E184" t="inlineStr">
        <is>
          <t>ÖSTERSUND</t>
        </is>
      </c>
      <c r="G184" t="n">
        <v>4</v>
      </c>
      <c r="H184" t="n">
        <v>0</v>
      </c>
      <c r="I184" t="n">
        <v>0</v>
      </c>
      <c r="J184" t="n">
        <v>0</v>
      </c>
      <c r="K184" t="n">
        <v>0</v>
      </c>
      <c r="L184" t="n">
        <v>0</v>
      </c>
      <c r="M184" t="n">
        <v>0</v>
      </c>
      <c r="N184" t="n">
        <v>0</v>
      </c>
      <c r="O184" t="n">
        <v>0</v>
      </c>
      <c r="P184" t="n">
        <v>0</v>
      </c>
      <c r="Q184" t="n">
        <v>0</v>
      </c>
      <c r="R184" s="2" t="inlineStr"/>
    </row>
    <row r="185" ht="15" customHeight="1">
      <c r="A185" t="inlineStr">
        <is>
          <t>A 43951-2022</t>
        </is>
      </c>
      <c r="B185" s="1" t="n">
        <v>44838</v>
      </c>
      <c r="C185" s="1" t="n">
        <v>46025</v>
      </c>
      <c r="D185" t="inlineStr">
        <is>
          <t>JÄMTLANDS LÄN</t>
        </is>
      </c>
      <c r="E185" t="inlineStr">
        <is>
          <t>ÖSTERSUND</t>
        </is>
      </c>
      <c r="F185" t="inlineStr">
        <is>
          <t>Övriga Aktiebolag</t>
        </is>
      </c>
      <c r="G185" t="n">
        <v>2.9</v>
      </c>
      <c r="H185" t="n">
        <v>0</v>
      </c>
      <c r="I185" t="n">
        <v>0</v>
      </c>
      <c r="J185" t="n">
        <v>0</v>
      </c>
      <c r="K185" t="n">
        <v>0</v>
      </c>
      <c r="L185" t="n">
        <v>0</v>
      </c>
      <c r="M185" t="n">
        <v>0</v>
      </c>
      <c r="N185" t="n">
        <v>0</v>
      </c>
      <c r="O185" t="n">
        <v>0</v>
      </c>
      <c r="P185" t="n">
        <v>0</v>
      </c>
      <c r="Q185" t="n">
        <v>0</v>
      </c>
      <c r="R185" s="2" t="inlineStr"/>
    </row>
    <row r="186" ht="15" customHeight="1">
      <c r="A186" t="inlineStr">
        <is>
          <t>A 72089-2021</t>
        </is>
      </c>
      <c r="B186" s="1" t="n">
        <v>44540</v>
      </c>
      <c r="C186" s="1" t="n">
        <v>46025</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33808-2022</t>
        </is>
      </c>
      <c r="B187" s="1" t="n">
        <v>44790</v>
      </c>
      <c r="C187" s="1" t="n">
        <v>46025</v>
      </c>
      <c r="D187" t="inlineStr">
        <is>
          <t>JÄMTLANDS LÄN</t>
        </is>
      </c>
      <c r="E187" t="inlineStr">
        <is>
          <t>ÖSTERSUND</t>
        </is>
      </c>
      <c r="G187" t="n">
        <v>4.1</v>
      </c>
      <c r="H187" t="n">
        <v>0</v>
      </c>
      <c r="I187" t="n">
        <v>0</v>
      </c>
      <c r="J187" t="n">
        <v>0</v>
      </c>
      <c r="K187" t="n">
        <v>0</v>
      </c>
      <c r="L187" t="n">
        <v>0</v>
      </c>
      <c r="M187" t="n">
        <v>0</v>
      </c>
      <c r="N187" t="n">
        <v>0</v>
      </c>
      <c r="O187" t="n">
        <v>0</v>
      </c>
      <c r="P187" t="n">
        <v>0</v>
      </c>
      <c r="Q187" t="n">
        <v>0</v>
      </c>
      <c r="R187" s="2" t="inlineStr"/>
    </row>
    <row r="188" ht="15" customHeight="1">
      <c r="A188" t="inlineStr">
        <is>
          <t>A 8647-2022</t>
        </is>
      </c>
      <c r="B188" s="1" t="n">
        <v>44613</v>
      </c>
      <c r="C188" s="1" t="n">
        <v>46025</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126-2021</t>
        </is>
      </c>
      <c r="B189" s="1" t="n">
        <v>44200</v>
      </c>
      <c r="C189" s="1" t="n">
        <v>46025</v>
      </c>
      <c r="D189" t="inlineStr">
        <is>
          <t>JÄMTLANDS LÄN</t>
        </is>
      </c>
      <c r="E189" t="inlineStr">
        <is>
          <t>ÖSTERSUND</t>
        </is>
      </c>
      <c r="G189" t="n">
        <v>1.6</v>
      </c>
      <c r="H189" t="n">
        <v>0</v>
      </c>
      <c r="I189" t="n">
        <v>0</v>
      </c>
      <c r="J189" t="n">
        <v>0</v>
      </c>
      <c r="K189" t="n">
        <v>0</v>
      </c>
      <c r="L189" t="n">
        <v>0</v>
      </c>
      <c r="M189" t="n">
        <v>0</v>
      </c>
      <c r="N189" t="n">
        <v>0</v>
      </c>
      <c r="O189" t="n">
        <v>0</v>
      </c>
      <c r="P189" t="n">
        <v>0</v>
      </c>
      <c r="Q189" t="n">
        <v>0</v>
      </c>
      <c r="R189" s="2" t="inlineStr"/>
    </row>
    <row r="190" ht="15" customHeight="1">
      <c r="A190" t="inlineStr">
        <is>
          <t>A 19541-2021</t>
        </is>
      </c>
      <c r="B190" s="1" t="n">
        <v>44312.41724537037</v>
      </c>
      <c r="C190" s="1" t="n">
        <v>46025</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2880-2022</t>
        </is>
      </c>
      <c r="B191" s="1" t="n">
        <v>44581</v>
      </c>
      <c r="C191" s="1" t="n">
        <v>46025</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10834-2021</t>
        </is>
      </c>
      <c r="B192" s="1" t="n">
        <v>44259</v>
      </c>
      <c r="C192" s="1" t="n">
        <v>46025</v>
      </c>
      <c r="D192" t="inlineStr">
        <is>
          <t>JÄMTLANDS LÄN</t>
        </is>
      </c>
      <c r="E192" t="inlineStr">
        <is>
          <t>ÖSTERSUND</t>
        </is>
      </c>
      <c r="G192" t="n">
        <v>12.2</v>
      </c>
      <c r="H192" t="n">
        <v>0</v>
      </c>
      <c r="I192" t="n">
        <v>0</v>
      </c>
      <c r="J192" t="n">
        <v>0</v>
      </c>
      <c r="K192" t="n">
        <v>0</v>
      </c>
      <c r="L192" t="n">
        <v>0</v>
      </c>
      <c r="M192" t="n">
        <v>0</v>
      </c>
      <c r="N192" t="n">
        <v>0</v>
      </c>
      <c r="O192" t="n">
        <v>0</v>
      </c>
      <c r="P192" t="n">
        <v>0</v>
      </c>
      <c r="Q192" t="n">
        <v>0</v>
      </c>
      <c r="R192" s="2" t="inlineStr"/>
    </row>
    <row r="193" ht="15" customHeight="1">
      <c r="A193" t="inlineStr">
        <is>
          <t>A 47295-2022</t>
        </is>
      </c>
      <c r="B193" s="1" t="n">
        <v>44852</v>
      </c>
      <c r="C193" s="1" t="n">
        <v>46025</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154-2022</t>
        </is>
      </c>
      <c r="B194" s="1" t="n">
        <v>44561</v>
      </c>
      <c r="C194" s="1" t="n">
        <v>46025</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14155-2021</t>
        </is>
      </c>
      <c r="B195" s="1" t="n">
        <v>44278.42459490741</v>
      </c>
      <c r="C195" s="1" t="n">
        <v>46025</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35032-2021</t>
        </is>
      </c>
      <c r="B196" s="1" t="n">
        <v>44383.85295138889</v>
      </c>
      <c r="C196" s="1" t="n">
        <v>46025</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46025</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26254-2021</t>
        </is>
      </c>
      <c r="B198" s="1" t="n">
        <v>44347</v>
      </c>
      <c r="C198" s="1" t="n">
        <v>46025</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24706-2021</t>
        </is>
      </c>
      <c r="B199" s="1" t="n">
        <v>44340</v>
      </c>
      <c r="C199" s="1" t="n">
        <v>46025</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46025</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27061-2021</t>
        </is>
      </c>
      <c r="B201" s="1" t="n">
        <v>44349</v>
      </c>
      <c r="C201" s="1" t="n">
        <v>46025</v>
      </c>
      <c r="D201" t="inlineStr">
        <is>
          <t>JÄMTLANDS LÄN</t>
        </is>
      </c>
      <c r="E201" t="inlineStr">
        <is>
          <t>ÖSTERSUND</t>
        </is>
      </c>
      <c r="G201" t="n">
        <v>3.2</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46025</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17362-2021</t>
        </is>
      </c>
      <c r="B203" s="1" t="n">
        <v>44298</v>
      </c>
      <c r="C203" s="1" t="n">
        <v>46025</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695-2022</t>
        </is>
      </c>
      <c r="B204" s="1" t="n">
        <v>44566</v>
      </c>
      <c r="C204" s="1" t="n">
        <v>46025</v>
      </c>
      <c r="D204" t="inlineStr">
        <is>
          <t>JÄMTLANDS LÄN</t>
        </is>
      </c>
      <c r="E204" t="inlineStr">
        <is>
          <t>ÖSTERSUND</t>
        </is>
      </c>
      <c r="G204" t="n">
        <v>14.9</v>
      </c>
      <c r="H204" t="n">
        <v>0</v>
      </c>
      <c r="I204" t="n">
        <v>0</v>
      </c>
      <c r="J204" t="n">
        <v>0</v>
      </c>
      <c r="K204" t="n">
        <v>0</v>
      </c>
      <c r="L204" t="n">
        <v>0</v>
      </c>
      <c r="M204" t="n">
        <v>0</v>
      </c>
      <c r="N204" t="n">
        <v>0</v>
      </c>
      <c r="O204" t="n">
        <v>0</v>
      </c>
      <c r="P204" t="n">
        <v>0</v>
      </c>
      <c r="Q204" t="n">
        <v>0</v>
      </c>
      <c r="R204" s="2" t="inlineStr"/>
    </row>
    <row r="205" ht="15" customHeight="1">
      <c r="A205" t="inlineStr">
        <is>
          <t>A 29828-2022</t>
        </is>
      </c>
      <c r="B205" s="1" t="n">
        <v>44755</v>
      </c>
      <c r="C205" s="1" t="n">
        <v>46025</v>
      </c>
      <c r="D205" t="inlineStr">
        <is>
          <t>JÄMTLANDS LÄN</t>
        </is>
      </c>
      <c r="E205" t="inlineStr">
        <is>
          <t>ÖSTERSUND</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44267-2021</t>
        </is>
      </c>
      <c r="B206" s="1" t="n">
        <v>44434</v>
      </c>
      <c r="C206" s="1" t="n">
        <v>46025</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47296-2022</t>
        </is>
      </c>
      <c r="B207" s="1" t="n">
        <v>44852.95248842592</v>
      </c>
      <c r="C207" s="1" t="n">
        <v>46025</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46025</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17596-2021</t>
        </is>
      </c>
      <c r="B209" s="1" t="n">
        <v>44299</v>
      </c>
      <c r="C209" s="1" t="n">
        <v>46025</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23895-2021</t>
        </is>
      </c>
      <c r="B210" s="1" t="n">
        <v>44335</v>
      </c>
      <c r="C210" s="1" t="n">
        <v>46025</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70816-2021</t>
        </is>
      </c>
      <c r="B211" s="1" t="n">
        <v>44537.935</v>
      </c>
      <c r="C211" s="1" t="n">
        <v>46025</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8227-2022</t>
        </is>
      </c>
      <c r="B212" s="1" t="n">
        <v>44609.93075231482</v>
      </c>
      <c r="C212" s="1" t="n">
        <v>46025</v>
      </c>
      <c r="D212" t="inlineStr">
        <is>
          <t>JÄMTLANDS LÄN</t>
        </is>
      </c>
      <c r="E212" t="inlineStr">
        <is>
          <t>ÖSTERSUND</t>
        </is>
      </c>
      <c r="G212" t="n">
        <v>6.6</v>
      </c>
      <c r="H212" t="n">
        <v>0</v>
      </c>
      <c r="I212" t="n">
        <v>0</v>
      </c>
      <c r="J212" t="n">
        <v>0</v>
      </c>
      <c r="K212" t="n">
        <v>0</v>
      </c>
      <c r="L212" t="n">
        <v>0</v>
      </c>
      <c r="M212" t="n">
        <v>0</v>
      </c>
      <c r="N212" t="n">
        <v>0</v>
      </c>
      <c r="O212" t="n">
        <v>0</v>
      </c>
      <c r="P212" t="n">
        <v>0</v>
      </c>
      <c r="Q212" t="n">
        <v>0</v>
      </c>
      <c r="R212" s="2" t="inlineStr"/>
    </row>
    <row r="213" ht="15" customHeight="1">
      <c r="A213" t="inlineStr">
        <is>
          <t>A 56148-2022</t>
        </is>
      </c>
      <c r="B213" s="1" t="n">
        <v>44889.89929398148</v>
      </c>
      <c r="C213" s="1" t="n">
        <v>46025</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65866-2021</t>
        </is>
      </c>
      <c r="B214" s="1" t="n">
        <v>44516</v>
      </c>
      <c r="C214" s="1" t="n">
        <v>46025</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46913-2022</t>
        </is>
      </c>
      <c r="B215" s="1" t="n">
        <v>44851</v>
      </c>
      <c r="C215" s="1" t="n">
        <v>46025</v>
      </c>
      <c r="D215" t="inlineStr">
        <is>
          <t>JÄMTLANDS LÄN</t>
        </is>
      </c>
      <c r="E215" t="inlineStr">
        <is>
          <t>ÖSTERSUND</t>
        </is>
      </c>
      <c r="G215" t="n">
        <v>2.5</v>
      </c>
      <c r="H215" t="n">
        <v>0</v>
      </c>
      <c r="I215" t="n">
        <v>0</v>
      </c>
      <c r="J215" t="n">
        <v>0</v>
      </c>
      <c r="K215" t="n">
        <v>0</v>
      </c>
      <c r="L215" t="n">
        <v>0</v>
      </c>
      <c r="M215" t="n">
        <v>0</v>
      </c>
      <c r="N215" t="n">
        <v>0</v>
      </c>
      <c r="O215" t="n">
        <v>0</v>
      </c>
      <c r="P215" t="n">
        <v>0</v>
      </c>
      <c r="Q215" t="n">
        <v>0</v>
      </c>
      <c r="R215" s="2" t="inlineStr"/>
    </row>
    <row r="216" ht="15" customHeight="1">
      <c r="A216" t="inlineStr">
        <is>
          <t>A 32994-2021</t>
        </is>
      </c>
      <c r="B216" s="1" t="n">
        <v>44375</v>
      </c>
      <c r="C216" s="1" t="n">
        <v>46025</v>
      </c>
      <c r="D216" t="inlineStr">
        <is>
          <t>JÄMTLANDS LÄN</t>
        </is>
      </c>
      <c r="E216" t="inlineStr">
        <is>
          <t>ÖSTERSUND</t>
        </is>
      </c>
      <c r="G216" t="n">
        <v>0.1</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46025</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46025</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46025</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29094-2022</t>
        </is>
      </c>
      <c r="B220" s="1" t="n">
        <v>44750</v>
      </c>
      <c r="C220" s="1" t="n">
        <v>46025</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71956-2021</t>
        </is>
      </c>
      <c r="B221" s="1" t="n">
        <v>44544</v>
      </c>
      <c r="C221" s="1" t="n">
        <v>46025</v>
      </c>
      <c r="D221" t="inlineStr">
        <is>
          <t>JÄMTLANDS LÄN</t>
        </is>
      </c>
      <c r="E221" t="inlineStr">
        <is>
          <t>ÖSTERSUND</t>
        </is>
      </c>
      <c r="G221" t="n">
        <v>0.8</v>
      </c>
      <c r="H221" t="n">
        <v>0</v>
      </c>
      <c r="I221" t="n">
        <v>0</v>
      </c>
      <c r="J221" t="n">
        <v>0</v>
      </c>
      <c r="K221" t="n">
        <v>0</v>
      </c>
      <c r="L221" t="n">
        <v>0</v>
      </c>
      <c r="M221" t="n">
        <v>0</v>
      </c>
      <c r="N221" t="n">
        <v>0</v>
      </c>
      <c r="O221" t="n">
        <v>0</v>
      </c>
      <c r="P221" t="n">
        <v>0</v>
      </c>
      <c r="Q221" t="n">
        <v>0</v>
      </c>
      <c r="R221" s="2" t="inlineStr"/>
    </row>
    <row r="222" ht="15" customHeight="1">
      <c r="A222" t="inlineStr">
        <is>
          <t>A 27575-2022</t>
        </is>
      </c>
      <c r="B222" s="1" t="n">
        <v>44742</v>
      </c>
      <c r="C222" s="1" t="n">
        <v>46025</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c r="U222">
        <f>HYPERLINK("https://klasma.github.io/Logging_2380/knärot/A 27575-2022 karta knärot.png", "A 27575-2022")</f>
        <v/>
      </c>
      <c r="V222">
        <f>HYPERLINK("https://klasma.github.io/Logging_2380/klagomål/A 27575-2022 FSC-klagomål.docx", "A 27575-2022")</f>
        <v/>
      </c>
      <c r="W222">
        <f>HYPERLINK("https://klasma.github.io/Logging_2380/klagomålsmail/A 27575-2022 FSC-klagomål mail.docx", "A 27575-2022")</f>
        <v/>
      </c>
      <c r="X222">
        <f>HYPERLINK("https://klasma.github.io/Logging_2380/tillsyn/A 27575-2022 tillsynsbegäran.docx", "A 27575-2022")</f>
        <v/>
      </c>
      <c r="Y222">
        <f>HYPERLINK("https://klasma.github.io/Logging_2380/tillsynsmail/A 27575-2022 tillsynsbegäran mail.docx", "A 27575-2022")</f>
        <v/>
      </c>
    </row>
    <row r="223" ht="15" customHeight="1">
      <c r="A223" t="inlineStr">
        <is>
          <t>A 65991-2021</t>
        </is>
      </c>
      <c r="B223" s="1" t="n">
        <v>44517.55134259259</v>
      </c>
      <c r="C223" s="1" t="n">
        <v>46025</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6458-2022</t>
        </is>
      </c>
      <c r="B224" s="1" t="n">
        <v>44601.36165509259</v>
      </c>
      <c r="C224" s="1" t="n">
        <v>46025</v>
      </c>
      <c r="D224" t="inlineStr">
        <is>
          <t>JÄMTLANDS LÄN</t>
        </is>
      </c>
      <c r="E224" t="inlineStr">
        <is>
          <t>ÖSTERSUND</t>
        </is>
      </c>
      <c r="G224" t="n">
        <v>3.1</v>
      </c>
      <c r="H224" t="n">
        <v>0</v>
      </c>
      <c r="I224" t="n">
        <v>0</v>
      </c>
      <c r="J224" t="n">
        <v>0</v>
      </c>
      <c r="K224" t="n">
        <v>0</v>
      </c>
      <c r="L224" t="n">
        <v>0</v>
      </c>
      <c r="M224" t="n">
        <v>0</v>
      </c>
      <c r="N224" t="n">
        <v>0</v>
      </c>
      <c r="O224" t="n">
        <v>0</v>
      </c>
      <c r="P224" t="n">
        <v>0</v>
      </c>
      <c r="Q224" t="n">
        <v>0</v>
      </c>
      <c r="R224" s="2" t="inlineStr"/>
    </row>
    <row r="225" ht="15" customHeight="1">
      <c r="A225" t="inlineStr">
        <is>
          <t>A 23992-2022</t>
        </is>
      </c>
      <c r="B225" s="1" t="n">
        <v>44722</v>
      </c>
      <c r="C225" s="1" t="n">
        <v>46025</v>
      </c>
      <c r="D225" t="inlineStr">
        <is>
          <t>JÄMTLANDS LÄN</t>
        </is>
      </c>
      <c r="E225" t="inlineStr">
        <is>
          <t>ÖSTERSUND</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23993-2022</t>
        </is>
      </c>
      <c r="B226" s="1" t="n">
        <v>44722.94023148148</v>
      </c>
      <c r="C226" s="1" t="n">
        <v>46025</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23551-2022</t>
        </is>
      </c>
      <c r="B227" s="1" t="n">
        <v>44721</v>
      </c>
      <c r="C227" s="1" t="n">
        <v>46025</v>
      </c>
      <c r="D227" t="inlineStr">
        <is>
          <t>JÄMTLANDS LÄN</t>
        </is>
      </c>
      <c r="E227" t="inlineStr">
        <is>
          <t>ÖSTERSUND</t>
        </is>
      </c>
      <c r="G227" t="n">
        <v>0.3</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46025</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46025</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46025</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46025</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46025</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46025</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46025</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46025</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21849-2021</t>
        </is>
      </c>
      <c r="B236" s="1" t="n">
        <v>44322</v>
      </c>
      <c r="C236" s="1" t="n">
        <v>46025</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46025</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46025</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21211-2022</t>
        </is>
      </c>
      <c r="B239" s="1" t="n">
        <v>44704.94370370371</v>
      </c>
      <c r="C239" s="1" t="n">
        <v>46025</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55002-2024</t>
        </is>
      </c>
      <c r="B240" s="1" t="n">
        <v>45621</v>
      </c>
      <c r="C240" s="1" t="n">
        <v>46025</v>
      </c>
      <c r="D240" t="inlineStr">
        <is>
          <t>JÄMTLANDS LÄN</t>
        </is>
      </c>
      <c r="E240" t="inlineStr">
        <is>
          <t>ÖSTERSUND</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14867-2025</t>
        </is>
      </c>
      <c r="B241" s="1" t="n">
        <v>45743.44207175926</v>
      </c>
      <c r="C241" s="1" t="n">
        <v>46025</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14947-2025</t>
        </is>
      </c>
      <c r="B242" s="1" t="n">
        <v>45743.57336805556</v>
      </c>
      <c r="C242" s="1" t="n">
        <v>46025</v>
      </c>
      <c r="D242" t="inlineStr">
        <is>
          <t>JÄMTLANDS LÄN</t>
        </is>
      </c>
      <c r="E242" t="inlineStr">
        <is>
          <t>ÖSTERSUND</t>
        </is>
      </c>
      <c r="G242" t="n">
        <v>0.5</v>
      </c>
      <c r="H242" t="n">
        <v>0</v>
      </c>
      <c r="I242" t="n">
        <v>0</v>
      </c>
      <c r="J242" t="n">
        <v>0</v>
      </c>
      <c r="K242" t="n">
        <v>0</v>
      </c>
      <c r="L242" t="n">
        <v>0</v>
      </c>
      <c r="M242" t="n">
        <v>0</v>
      </c>
      <c r="N242" t="n">
        <v>0</v>
      </c>
      <c r="O242" t="n">
        <v>0</v>
      </c>
      <c r="P242" t="n">
        <v>0</v>
      </c>
      <c r="Q242" t="n">
        <v>0</v>
      </c>
      <c r="R242" s="2" t="inlineStr"/>
    </row>
    <row r="243" ht="15" customHeight="1">
      <c r="A243" t="inlineStr">
        <is>
          <t>A 11182-2025</t>
        </is>
      </c>
      <c r="B243" s="1" t="n">
        <v>45725.44297453704</v>
      </c>
      <c r="C243" s="1" t="n">
        <v>46025</v>
      </c>
      <c r="D243" t="inlineStr">
        <is>
          <t>JÄMTLANDS LÄN</t>
        </is>
      </c>
      <c r="E243" t="inlineStr">
        <is>
          <t>ÖSTERSUND</t>
        </is>
      </c>
      <c r="G243" t="n">
        <v>3.3</v>
      </c>
      <c r="H243" t="n">
        <v>0</v>
      </c>
      <c r="I243" t="n">
        <v>0</v>
      </c>
      <c r="J243" t="n">
        <v>0</v>
      </c>
      <c r="K243" t="n">
        <v>0</v>
      </c>
      <c r="L243" t="n">
        <v>0</v>
      </c>
      <c r="M243" t="n">
        <v>0</v>
      </c>
      <c r="N243" t="n">
        <v>0</v>
      </c>
      <c r="O243" t="n">
        <v>0</v>
      </c>
      <c r="P243" t="n">
        <v>0</v>
      </c>
      <c r="Q243" t="n">
        <v>0</v>
      </c>
      <c r="R243" s="2" t="inlineStr"/>
    </row>
    <row r="244" ht="15" customHeight="1">
      <c r="A244" t="inlineStr">
        <is>
          <t>A 44013-2021</t>
        </is>
      </c>
      <c r="B244" s="1" t="n">
        <v>44434</v>
      </c>
      <c r="C244" s="1" t="n">
        <v>46025</v>
      </c>
      <c r="D244" t="inlineStr">
        <is>
          <t>JÄMTLANDS LÄN</t>
        </is>
      </c>
      <c r="E244" t="inlineStr">
        <is>
          <t>ÖSTERSUND</t>
        </is>
      </c>
      <c r="G244" t="n">
        <v>1.9</v>
      </c>
      <c r="H244" t="n">
        <v>0</v>
      </c>
      <c r="I244" t="n">
        <v>0</v>
      </c>
      <c r="J244" t="n">
        <v>0</v>
      </c>
      <c r="K244" t="n">
        <v>0</v>
      </c>
      <c r="L244" t="n">
        <v>0</v>
      </c>
      <c r="M244" t="n">
        <v>0</v>
      </c>
      <c r="N244" t="n">
        <v>0</v>
      </c>
      <c r="O244" t="n">
        <v>0</v>
      </c>
      <c r="P244" t="n">
        <v>0</v>
      </c>
      <c r="Q244" t="n">
        <v>0</v>
      </c>
      <c r="R244" s="2" t="inlineStr"/>
    </row>
    <row r="245" ht="15" customHeight="1">
      <c r="A245" t="inlineStr">
        <is>
          <t>A 52128-2023</t>
        </is>
      </c>
      <c r="B245" s="1" t="n">
        <v>45223</v>
      </c>
      <c r="C245" s="1" t="n">
        <v>46025</v>
      </c>
      <c r="D245" t="inlineStr">
        <is>
          <t>JÄMTLANDS LÄN</t>
        </is>
      </c>
      <c r="E245" t="inlineStr">
        <is>
          <t>ÖSTERSUND</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30217-2022</t>
        </is>
      </c>
      <c r="B246" s="1" t="n">
        <v>44757.92671296297</v>
      </c>
      <c r="C246" s="1" t="n">
        <v>46025</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17066-2024</t>
        </is>
      </c>
      <c r="B247" s="1" t="n">
        <v>45412.46636574074</v>
      </c>
      <c r="C247" s="1" t="n">
        <v>46025</v>
      </c>
      <c r="D247" t="inlineStr">
        <is>
          <t>JÄMTLANDS LÄN</t>
        </is>
      </c>
      <c r="E247" t="inlineStr">
        <is>
          <t>ÖSTERSUND</t>
        </is>
      </c>
      <c r="G247" t="n">
        <v>4.2</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46025</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38142-2021</t>
        </is>
      </c>
      <c r="B249" s="1" t="n">
        <v>44405</v>
      </c>
      <c r="C249" s="1" t="n">
        <v>46025</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7233-2025</t>
        </is>
      </c>
      <c r="B250" s="1" t="n">
        <v>45702.51765046296</v>
      </c>
      <c r="C250" s="1" t="n">
        <v>46025</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11052-2024</t>
        </is>
      </c>
      <c r="B251" s="1" t="n">
        <v>45370</v>
      </c>
      <c r="C251" s="1" t="n">
        <v>46025</v>
      </c>
      <c r="D251" t="inlineStr">
        <is>
          <t>JÄMTLANDS LÄN</t>
        </is>
      </c>
      <c r="E251" t="inlineStr">
        <is>
          <t>ÖSTERSUND</t>
        </is>
      </c>
      <c r="G251" t="n">
        <v>2.3</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46025</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2984-2024</t>
        </is>
      </c>
      <c r="B253" s="1" t="n">
        <v>45315</v>
      </c>
      <c r="C253" s="1" t="n">
        <v>46025</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25385-2024</t>
        </is>
      </c>
      <c r="B254" s="1" t="n">
        <v>45462.96347222223</v>
      </c>
      <c r="C254" s="1" t="n">
        <v>46025</v>
      </c>
      <c r="D254" t="inlineStr">
        <is>
          <t>JÄMTLANDS LÄN</t>
        </is>
      </c>
      <c r="E254" t="inlineStr">
        <is>
          <t>ÖSTERSUND</t>
        </is>
      </c>
      <c r="F254" t="inlineStr">
        <is>
          <t>SCA</t>
        </is>
      </c>
      <c r="G254" t="n">
        <v>5.2</v>
      </c>
      <c r="H254" t="n">
        <v>0</v>
      </c>
      <c r="I254" t="n">
        <v>0</v>
      </c>
      <c r="J254" t="n">
        <v>0</v>
      </c>
      <c r="K254" t="n">
        <v>0</v>
      </c>
      <c r="L254" t="n">
        <v>0</v>
      </c>
      <c r="M254" t="n">
        <v>0</v>
      </c>
      <c r="N254" t="n">
        <v>0</v>
      </c>
      <c r="O254" t="n">
        <v>0</v>
      </c>
      <c r="P254" t="n">
        <v>0</v>
      </c>
      <c r="Q254" t="n">
        <v>0</v>
      </c>
      <c r="R254" s="2" t="inlineStr"/>
    </row>
    <row r="255" ht="15" customHeight="1">
      <c r="A255" t="inlineStr">
        <is>
          <t>A 33002-2021</t>
        </is>
      </c>
      <c r="B255" s="1" t="n">
        <v>44375</v>
      </c>
      <c r="C255" s="1" t="n">
        <v>46025</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21667-2024</t>
        </is>
      </c>
      <c r="B256" s="1" t="n">
        <v>45442.38511574074</v>
      </c>
      <c r="C256" s="1" t="n">
        <v>46025</v>
      </c>
      <c r="D256" t="inlineStr">
        <is>
          <t>JÄMTLANDS LÄN</t>
        </is>
      </c>
      <c r="E256" t="inlineStr">
        <is>
          <t>ÖSTERSUND</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6351-2024</t>
        </is>
      </c>
      <c r="B257" s="1" t="n">
        <v>45338</v>
      </c>
      <c r="C257" s="1" t="n">
        <v>46025</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20400-2024</t>
        </is>
      </c>
      <c r="B258" s="1" t="n">
        <v>45435.55372685185</v>
      </c>
      <c r="C258" s="1" t="n">
        <v>46025</v>
      </c>
      <c r="D258" t="inlineStr">
        <is>
          <t>JÄMTLANDS LÄN</t>
        </is>
      </c>
      <c r="E258" t="inlineStr">
        <is>
          <t>ÖSTERSUND</t>
        </is>
      </c>
      <c r="G258" t="n">
        <v>0.9</v>
      </c>
      <c r="H258" t="n">
        <v>0</v>
      </c>
      <c r="I258" t="n">
        <v>0</v>
      </c>
      <c r="J258" t="n">
        <v>0</v>
      </c>
      <c r="K258" t="n">
        <v>0</v>
      </c>
      <c r="L258" t="n">
        <v>0</v>
      </c>
      <c r="M258" t="n">
        <v>0</v>
      </c>
      <c r="N258" t="n">
        <v>0</v>
      </c>
      <c r="O258" t="n">
        <v>0</v>
      </c>
      <c r="P258" t="n">
        <v>0</v>
      </c>
      <c r="Q258" t="n">
        <v>0</v>
      </c>
      <c r="R258" s="2" t="inlineStr"/>
    </row>
    <row r="259" ht="15" customHeight="1">
      <c r="A259" t="inlineStr">
        <is>
          <t>A 2228-2024</t>
        </is>
      </c>
      <c r="B259" s="1" t="n">
        <v>45309</v>
      </c>
      <c r="C259" s="1" t="n">
        <v>46025</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13166-2023</t>
        </is>
      </c>
      <c r="B260" s="1" t="n">
        <v>45002</v>
      </c>
      <c r="C260" s="1" t="n">
        <v>46025</v>
      </c>
      <c r="D260" t="inlineStr">
        <is>
          <t>JÄMTLANDS LÄN</t>
        </is>
      </c>
      <c r="E260" t="inlineStr">
        <is>
          <t>ÖSTERSUND</t>
        </is>
      </c>
      <c r="F260" t="inlineStr">
        <is>
          <t>Övriga statliga verk och myndigheter</t>
        </is>
      </c>
      <c r="G260" t="n">
        <v>1</v>
      </c>
      <c r="H260" t="n">
        <v>0</v>
      </c>
      <c r="I260" t="n">
        <v>0</v>
      </c>
      <c r="J260" t="n">
        <v>0</v>
      </c>
      <c r="K260" t="n">
        <v>0</v>
      </c>
      <c r="L260" t="n">
        <v>0</v>
      </c>
      <c r="M260" t="n">
        <v>0</v>
      </c>
      <c r="N260" t="n">
        <v>0</v>
      </c>
      <c r="O260" t="n">
        <v>0</v>
      </c>
      <c r="P260" t="n">
        <v>0</v>
      </c>
      <c r="Q260" t="n">
        <v>0</v>
      </c>
      <c r="R260" s="2" t="inlineStr"/>
    </row>
    <row r="261" ht="15" customHeight="1">
      <c r="A261" t="inlineStr">
        <is>
          <t>A 28179-2024</t>
        </is>
      </c>
      <c r="B261" s="1" t="n">
        <v>45477.26746527778</v>
      </c>
      <c r="C261" s="1" t="n">
        <v>46025</v>
      </c>
      <c r="D261" t="inlineStr">
        <is>
          <t>JÄMTLANDS LÄN</t>
        </is>
      </c>
      <c r="E261" t="inlineStr">
        <is>
          <t>ÖSTERSUND</t>
        </is>
      </c>
      <c r="G261" t="n">
        <v>2.2</v>
      </c>
      <c r="H261" t="n">
        <v>0</v>
      </c>
      <c r="I261" t="n">
        <v>0</v>
      </c>
      <c r="J261" t="n">
        <v>0</v>
      </c>
      <c r="K261" t="n">
        <v>0</v>
      </c>
      <c r="L261" t="n">
        <v>0</v>
      </c>
      <c r="M261" t="n">
        <v>0</v>
      </c>
      <c r="N261" t="n">
        <v>0</v>
      </c>
      <c r="O261" t="n">
        <v>0</v>
      </c>
      <c r="P261" t="n">
        <v>0</v>
      </c>
      <c r="Q261" t="n">
        <v>0</v>
      </c>
      <c r="R261" s="2" t="inlineStr"/>
    </row>
    <row r="262" ht="15" customHeight="1">
      <c r="A262" t="inlineStr">
        <is>
          <t>A 14518-2023</t>
        </is>
      </c>
      <c r="B262" s="1" t="n">
        <v>45012</v>
      </c>
      <c r="C262" s="1" t="n">
        <v>46025</v>
      </c>
      <c r="D262" t="inlineStr">
        <is>
          <t>JÄMTLANDS LÄN</t>
        </is>
      </c>
      <c r="E262" t="inlineStr">
        <is>
          <t>ÖSTERSUND</t>
        </is>
      </c>
      <c r="G262" t="n">
        <v>14.4</v>
      </c>
      <c r="H262" t="n">
        <v>0</v>
      </c>
      <c r="I262" t="n">
        <v>0</v>
      </c>
      <c r="J262" t="n">
        <v>0</v>
      </c>
      <c r="K262" t="n">
        <v>0</v>
      </c>
      <c r="L262" t="n">
        <v>0</v>
      </c>
      <c r="M262" t="n">
        <v>0</v>
      </c>
      <c r="N262" t="n">
        <v>0</v>
      </c>
      <c r="O262" t="n">
        <v>0</v>
      </c>
      <c r="P262" t="n">
        <v>0</v>
      </c>
      <c r="Q262" t="n">
        <v>0</v>
      </c>
      <c r="R262" s="2" t="inlineStr"/>
    </row>
    <row r="263" ht="15" customHeight="1">
      <c r="A263" t="inlineStr">
        <is>
          <t>A 27906-2024</t>
        </is>
      </c>
      <c r="B263" s="1" t="n">
        <v>45475.94585648148</v>
      </c>
      <c r="C263" s="1" t="n">
        <v>46025</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9109-2024</t>
        </is>
      </c>
      <c r="B264" s="1" t="n">
        <v>45357.96106481482</v>
      </c>
      <c r="C264" s="1" t="n">
        <v>46025</v>
      </c>
      <c r="D264" t="inlineStr">
        <is>
          <t>JÄMTLANDS LÄN</t>
        </is>
      </c>
      <c r="E264" t="inlineStr">
        <is>
          <t>ÖSTERSUND</t>
        </is>
      </c>
      <c r="G264" t="n">
        <v>17.1</v>
      </c>
      <c r="H264" t="n">
        <v>0</v>
      </c>
      <c r="I264" t="n">
        <v>0</v>
      </c>
      <c r="J264" t="n">
        <v>0</v>
      </c>
      <c r="K264" t="n">
        <v>0</v>
      </c>
      <c r="L264" t="n">
        <v>0</v>
      </c>
      <c r="M264" t="n">
        <v>0</v>
      </c>
      <c r="N264" t="n">
        <v>0</v>
      </c>
      <c r="O264" t="n">
        <v>0</v>
      </c>
      <c r="P264" t="n">
        <v>0</v>
      </c>
      <c r="Q264" t="n">
        <v>0</v>
      </c>
      <c r="R264" s="2" t="inlineStr"/>
    </row>
    <row r="265" ht="15" customHeight="1">
      <c r="A265" t="inlineStr">
        <is>
          <t>A 60560-2022</t>
        </is>
      </c>
      <c r="B265" s="1" t="n">
        <v>44911.54984953703</v>
      </c>
      <c r="C265" s="1" t="n">
        <v>46025</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25187-2024</t>
        </is>
      </c>
      <c r="B266" s="1" t="n">
        <v>45462.56172453704</v>
      </c>
      <c r="C266" s="1" t="n">
        <v>46025</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61256-2022</t>
        </is>
      </c>
      <c r="B267" s="1" t="n">
        <v>44909</v>
      </c>
      <c r="C267" s="1" t="n">
        <v>46025</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61449-2024</t>
        </is>
      </c>
      <c r="B268" s="1" t="n">
        <v>45646.48988425926</v>
      </c>
      <c r="C268" s="1" t="n">
        <v>46025</v>
      </c>
      <c r="D268" t="inlineStr">
        <is>
          <t>JÄMTLANDS LÄN</t>
        </is>
      </c>
      <c r="E268" t="inlineStr">
        <is>
          <t>ÖSTERSUND</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61450-2024</t>
        </is>
      </c>
      <c r="B269" s="1" t="n">
        <v>45646.49012731481</v>
      </c>
      <c r="C269" s="1" t="n">
        <v>46025</v>
      </c>
      <c r="D269" t="inlineStr">
        <is>
          <t>JÄMTLANDS LÄN</t>
        </is>
      </c>
      <c r="E269" t="inlineStr">
        <is>
          <t>ÖSTERSUND</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61451-2024</t>
        </is>
      </c>
      <c r="B270" s="1" t="n">
        <v>45646.49017361111</v>
      </c>
      <c r="C270" s="1" t="n">
        <v>46025</v>
      </c>
      <c r="D270" t="inlineStr">
        <is>
          <t>JÄMTLANDS LÄN</t>
        </is>
      </c>
      <c r="E270" t="inlineStr">
        <is>
          <t>ÖSTERSUND</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28181-2024</t>
        </is>
      </c>
      <c r="B271" s="1" t="n">
        <v>45477.28482638889</v>
      </c>
      <c r="C271" s="1" t="n">
        <v>46025</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55302-2021</t>
        </is>
      </c>
      <c r="B272" s="1" t="n">
        <v>44475</v>
      </c>
      <c r="C272" s="1" t="n">
        <v>46025</v>
      </c>
      <c r="D272" t="inlineStr">
        <is>
          <t>JÄMTLANDS LÄN</t>
        </is>
      </c>
      <c r="E272" t="inlineStr">
        <is>
          <t>ÖSTERSUND</t>
        </is>
      </c>
      <c r="G272" t="n">
        <v>0.3</v>
      </c>
      <c r="H272" t="n">
        <v>0</v>
      </c>
      <c r="I272" t="n">
        <v>0</v>
      </c>
      <c r="J272" t="n">
        <v>0</v>
      </c>
      <c r="K272" t="n">
        <v>0</v>
      </c>
      <c r="L272" t="n">
        <v>0</v>
      </c>
      <c r="M272" t="n">
        <v>0</v>
      </c>
      <c r="N272" t="n">
        <v>0</v>
      </c>
      <c r="O272" t="n">
        <v>0</v>
      </c>
      <c r="P272" t="n">
        <v>0</v>
      </c>
      <c r="Q272" t="n">
        <v>0</v>
      </c>
      <c r="R272" s="2" t="inlineStr"/>
    </row>
    <row r="273" ht="15" customHeight="1">
      <c r="A273" t="inlineStr">
        <is>
          <t>A 846-2024</t>
        </is>
      </c>
      <c r="B273" s="1" t="n">
        <v>45300</v>
      </c>
      <c r="C273" s="1" t="n">
        <v>46025</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6013-2022</t>
        </is>
      </c>
      <c r="B274" s="1" t="n">
        <v>44599.45850694444</v>
      </c>
      <c r="C274" s="1" t="n">
        <v>46025</v>
      </c>
      <c r="D274" t="inlineStr">
        <is>
          <t>JÄMTLANDS LÄN</t>
        </is>
      </c>
      <c r="E274" t="inlineStr">
        <is>
          <t>ÖSTERSUND</t>
        </is>
      </c>
      <c r="G274" t="n">
        <v>2.5</v>
      </c>
      <c r="H274" t="n">
        <v>0</v>
      </c>
      <c r="I274" t="n">
        <v>0</v>
      </c>
      <c r="J274" t="n">
        <v>0</v>
      </c>
      <c r="K274" t="n">
        <v>0</v>
      </c>
      <c r="L274" t="n">
        <v>0</v>
      </c>
      <c r="M274" t="n">
        <v>0</v>
      </c>
      <c r="N274" t="n">
        <v>0</v>
      </c>
      <c r="O274" t="n">
        <v>0</v>
      </c>
      <c r="P274" t="n">
        <v>0</v>
      </c>
      <c r="Q274" t="n">
        <v>0</v>
      </c>
      <c r="R274" s="2" t="inlineStr"/>
    </row>
    <row r="275" ht="15" customHeight="1">
      <c r="A275" t="inlineStr">
        <is>
          <t>A 53060-2024</t>
        </is>
      </c>
      <c r="B275" s="1" t="n">
        <v>45611.46912037037</v>
      </c>
      <c r="C275" s="1" t="n">
        <v>46025</v>
      </c>
      <c r="D275" t="inlineStr">
        <is>
          <t>JÄMTLANDS LÄN</t>
        </is>
      </c>
      <c r="E275" t="inlineStr">
        <is>
          <t>ÖSTERSUND</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28595-2025</t>
        </is>
      </c>
      <c r="B276" s="1" t="n">
        <v>45819.59429398148</v>
      </c>
      <c r="C276" s="1" t="n">
        <v>46025</v>
      </c>
      <c r="D276" t="inlineStr">
        <is>
          <t>JÄMTLANDS LÄN</t>
        </is>
      </c>
      <c r="E276" t="inlineStr">
        <is>
          <t>ÖSTERSUND</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58952-2024</t>
        </is>
      </c>
      <c r="B277" s="1" t="n">
        <v>45636.5674537037</v>
      </c>
      <c r="C277" s="1" t="n">
        <v>46025</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43082-2024</t>
        </is>
      </c>
      <c r="B278" s="1" t="n">
        <v>45567.51068287037</v>
      </c>
      <c r="C278" s="1" t="n">
        <v>46025</v>
      </c>
      <c r="D278" t="inlineStr">
        <is>
          <t>JÄMTLANDS LÄN</t>
        </is>
      </c>
      <c r="E278" t="inlineStr">
        <is>
          <t>ÖSTERSUND</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5544-2025</t>
        </is>
      </c>
      <c r="B279" s="1" t="n">
        <v>45693</v>
      </c>
      <c r="C279" s="1" t="n">
        <v>46025</v>
      </c>
      <c r="D279" t="inlineStr">
        <is>
          <t>JÄMTLANDS LÄN</t>
        </is>
      </c>
      <c r="E279" t="inlineStr">
        <is>
          <t>ÖSTERSUND</t>
        </is>
      </c>
      <c r="G279" t="n">
        <v>5.8</v>
      </c>
      <c r="H279" t="n">
        <v>0</v>
      </c>
      <c r="I279" t="n">
        <v>0</v>
      </c>
      <c r="J279" t="n">
        <v>0</v>
      </c>
      <c r="K279" t="n">
        <v>0</v>
      </c>
      <c r="L279" t="n">
        <v>0</v>
      </c>
      <c r="M279" t="n">
        <v>0</v>
      </c>
      <c r="N279" t="n">
        <v>0</v>
      </c>
      <c r="O279" t="n">
        <v>0</v>
      </c>
      <c r="P279" t="n">
        <v>0</v>
      </c>
      <c r="Q279" t="n">
        <v>0</v>
      </c>
      <c r="R279" s="2" t="inlineStr"/>
    </row>
    <row r="280" ht="15" customHeight="1">
      <c r="A280" t="inlineStr">
        <is>
          <t>A 24781-2024</t>
        </is>
      </c>
      <c r="B280" s="1" t="n">
        <v>45460.7772800926</v>
      </c>
      <c r="C280" s="1" t="n">
        <v>46025</v>
      </c>
      <c r="D280" t="inlineStr">
        <is>
          <t>JÄMTLANDS LÄN</t>
        </is>
      </c>
      <c r="E280" t="inlineStr">
        <is>
          <t>ÖSTERSUND</t>
        </is>
      </c>
      <c r="G280" t="n">
        <v>2.2</v>
      </c>
      <c r="H280" t="n">
        <v>0</v>
      </c>
      <c r="I280" t="n">
        <v>0</v>
      </c>
      <c r="J280" t="n">
        <v>0</v>
      </c>
      <c r="K280" t="n">
        <v>0</v>
      </c>
      <c r="L280" t="n">
        <v>0</v>
      </c>
      <c r="M280" t="n">
        <v>0</v>
      </c>
      <c r="N280" t="n">
        <v>0</v>
      </c>
      <c r="O280" t="n">
        <v>0</v>
      </c>
      <c r="P280" t="n">
        <v>0</v>
      </c>
      <c r="Q280" t="n">
        <v>0</v>
      </c>
      <c r="R280" s="2" t="inlineStr"/>
    </row>
    <row r="281" ht="15" customHeight="1">
      <c r="A281" t="inlineStr">
        <is>
          <t>A 58407-2024</t>
        </is>
      </c>
      <c r="B281" s="1" t="n">
        <v>45634.72633101852</v>
      </c>
      <c r="C281" s="1" t="n">
        <v>46025</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38871-2025</t>
        </is>
      </c>
      <c r="B282" s="1" t="n">
        <v>45887.57407407407</v>
      </c>
      <c r="C282" s="1" t="n">
        <v>46025</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39030-2025</t>
        </is>
      </c>
      <c r="B283" s="1" t="n">
        <v>45888.40700231482</v>
      </c>
      <c r="C283" s="1" t="n">
        <v>46025</v>
      </c>
      <c r="D283" t="inlineStr">
        <is>
          <t>JÄMTLANDS LÄN</t>
        </is>
      </c>
      <c r="E283" t="inlineStr">
        <is>
          <t>ÖSTERSUND</t>
        </is>
      </c>
      <c r="G283" t="n">
        <v>1.8</v>
      </c>
      <c r="H283" t="n">
        <v>0</v>
      </c>
      <c r="I283" t="n">
        <v>0</v>
      </c>
      <c r="J283" t="n">
        <v>0</v>
      </c>
      <c r="K283" t="n">
        <v>0</v>
      </c>
      <c r="L283" t="n">
        <v>0</v>
      </c>
      <c r="M283" t="n">
        <v>0</v>
      </c>
      <c r="N283" t="n">
        <v>0</v>
      </c>
      <c r="O283" t="n">
        <v>0</v>
      </c>
      <c r="P283" t="n">
        <v>0</v>
      </c>
      <c r="Q283" t="n">
        <v>0</v>
      </c>
      <c r="R283" s="2" t="inlineStr"/>
    </row>
    <row r="284" ht="15" customHeight="1">
      <c r="A284" t="inlineStr">
        <is>
          <t>A 17732-2022</t>
        </is>
      </c>
      <c r="B284" s="1" t="n">
        <v>44680.92873842592</v>
      </c>
      <c r="C284" s="1" t="n">
        <v>46025</v>
      </c>
      <c r="D284" t="inlineStr">
        <is>
          <t>JÄMTLANDS LÄN</t>
        </is>
      </c>
      <c r="E284" t="inlineStr">
        <is>
          <t>ÖSTERSUND</t>
        </is>
      </c>
      <c r="G284" t="n">
        <v>5.4</v>
      </c>
      <c r="H284" t="n">
        <v>0</v>
      </c>
      <c r="I284" t="n">
        <v>0</v>
      </c>
      <c r="J284" t="n">
        <v>0</v>
      </c>
      <c r="K284" t="n">
        <v>0</v>
      </c>
      <c r="L284" t="n">
        <v>0</v>
      </c>
      <c r="M284" t="n">
        <v>0</v>
      </c>
      <c r="N284" t="n">
        <v>0</v>
      </c>
      <c r="O284" t="n">
        <v>0</v>
      </c>
      <c r="P284" t="n">
        <v>0</v>
      </c>
      <c r="Q284" t="n">
        <v>0</v>
      </c>
      <c r="R284" s="2" t="inlineStr"/>
    </row>
    <row r="285" ht="15" customHeight="1">
      <c r="A285" t="inlineStr">
        <is>
          <t>A 52913-2021</t>
        </is>
      </c>
      <c r="B285" s="1" t="n">
        <v>44466</v>
      </c>
      <c r="C285" s="1" t="n">
        <v>46025</v>
      </c>
      <c r="D285" t="inlineStr">
        <is>
          <t>JÄMTLANDS LÄN</t>
        </is>
      </c>
      <c r="E285" t="inlineStr">
        <is>
          <t>ÖSTERSUND</t>
        </is>
      </c>
      <c r="G285" t="n">
        <v>4.2</v>
      </c>
      <c r="H285" t="n">
        <v>0</v>
      </c>
      <c r="I285" t="n">
        <v>0</v>
      </c>
      <c r="J285" t="n">
        <v>0</v>
      </c>
      <c r="K285" t="n">
        <v>0</v>
      </c>
      <c r="L285" t="n">
        <v>0</v>
      </c>
      <c r="M285" t="n">
        <v>0</v>
      </c>
      <c r="N285" t="n">
        <v>0</v>
      </c>
      <c r="O285" t="n">
        <v>0</v>
      </c>
      <c r="P285" t="n">
        <v>0</v>
      </c>
      <c r="Q285" t="n">
        <v>0</v>
      </c>
      <c r="R285" s="2" t="inlineStr"/>
    </row>
    <row r="286" ht="15" customHeight="1">
      <c r="A286" t="inlineStr">
        <is>
          <t>A 38853-2025</t>
        </is>
      </c>
      <c r="B286" s="1" t="n">
        <v>45887.55666666666</v>
      </c>
      <c r="C286" s="1" t="n">
        <v>46025</v>
      </c>
      <c r="D286" t="inlineStr">
        <is>
          <t>JÄMTLANDS LÄN</t>
        </is>
      </c>
      <c r="E286" t="inlineStr">
        <is>
          <t>ÖSTERSUND</t>
        </is>
      </c>
      <c r="G286" t="n">
        <v>2.5</v>
      </c>
      <c r="H286" t="n">
        <v>0</v>
      </c>
      <c r="I286" t="n">
        <v>0</v>
      </c>
      <c r="J286" t="n">
        <v>0</v>
      </c>
      <c r="K286" t="n">
        <v>0</v>
      </c>
      <c r="L286" t="n">
        <v>0</v>
      </c>
      <c r="M286" t="n">
        <v>0</v>
      </c>
      <c r="N286" t="n">
        <v>0</v>
      </c>
      <c r="O286" t="n">
        <v>0</v>
      </c>
      <c r="P286" t="n">
        <v>0</v>
      </c>
      <c r="Q286" t="n">
        <v>0</v>
      </c>
      <c r="R286" s="2" t="inlineStr"/>
    </row>
    <row r="287" ht="15" customHeight="1">
      <c r="A287" t="inlineStr">
        <is>
          <t>A 16335-2025</t>
        </is>
      </c>
      <c r="B287" s="1" t="n">
        <v>45751.36518518518</v>
      </c>
      <c r="C287" s="1" t="n">
        <v>46025</v>
      </c>
      <c r="D287" t="inlineStr">
        <is>
          <t>JÄMTLANDS LÄN</t>
        </is>
      </c>
      <c r="E287" t="inlineStr">
        <is>
          <t>ÖSTERSUND</t>
        </is>
      </c>
      <c r="G287" t="n">
        <v>3.7</v>
      </c>
      <c r="H287" t="n">
        <v>0</v>
      </c>
      <c r="I287" t="n">
        <v>0</v>
      </c>
      <c r="J287" t="n">
        <v>0</v>
      </c>
      <c r="K287" t="n">
        <v>0</v>
      </c>
      <c r="L287" t="n">
        <v>0</v>
      </c>
      <c r="M287" t="n">
        <v>0</v>
      </c>
      <c r="N287" t="n">
        <v>0</v>
      </c>
      <c r="O287" t="n">
        <v>0</v>
      </c>
      <c r="P287" t="n">
        <v>0</v>
      </c>
      <c r="Q287" t="n">
        <v>0</v>
      </c>
      <c r="R287" s="2" t="inlineStr"/>
    </row>
    <row r="288" ht="15" customHeight="1">
      <c r="A288" t="inlineStr">
        <is>
          <t>A 56646-2024</t>
        </is>
      </c>
      <c r="B288" s="1" t="n">
        <v>45625</v>
      </c>
      <c r="C288" s="1" t="n">
        <v>46025</v>
      </c>
      <c r="D288" t="inlineStr">
        <is>
          <t>JÄMTLANDS LÄN</t>
        </is>
      </c>
      <c r="E288" t="inlineStr">
        <is>
          <t>ÖSTERSUND</t>
        </is>
      </c>
      <c r="G288" t="n">
        <v>18.9</v>
      </c>
      <c r="H288" t="n">
        <v>0</v>
      </c>
      <c r="I288" t="n">
        <v>0</v>
      </c>
      <c r="J288" t="n">
        <v>0</v>
      </c>
      <c r="K288" t="n">
        <v>0</v>
      </c>
      <c r="L288" t="n">
        <v>0</v>
      </c>
      <c r="M288" t="n">
        <v>0</v>
      </c>
      <c r="N288" t="n">
        <v>0</v>
      </c>
      <c r="O288" t="n">
        <v>0</v>
      </c>
      <c r="P288" t="n">
        <v>0</v>
      </c>
      <c r="Q288" t="n">
        <v>0</v>
      </c>
      <c r="R288" s="2" t="inlineStr"/>
    </row>
    <row r="289" ht="15" customHeight="1">
      <c r="A289" t="inlineStr">
        <is>
          <t>A 15686-2025</t>
        </is>
      </c>
      <c r="B289" s="1" t="n">
        <v>45748.46021990741</v>
      </c>
      <c r="C289" s="1" t="n">
        <v>46025</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54883-2023</t>
        </is>
      </c>
      <c r="B290" s="1" t="n">
        <v>45236.62300925926</v>
      </c>
      <c r="C290" s="1" t="n">
        <v>46025</v>
      </c>
      <c r="D290" t="inlineStr">
        <is>
          <t>JÄMTLANDS LÄN</t>
        </is>
      </c>
      <c r="E290" t="inlineStr">
        <is>
          <t>ÖSTERSUND</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3122-2025</t>
        </is>
      </c>
      <c r="B291" s="1" t="n">
        <v>45678</v>
      </c>
      <c r="C291" s="1" t="n">
        <v>46025</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39103-2025</t>
        </is>
      </c>
      <c r="B292" s="1" t="n">
        <v>45888.52440972222</v>
      </c>
      <c r="C292" s="1" t="n">
        <v>46025</v>
      </c>
      <c r="D292" t="inlineStr">
        <is>
          <t>JÄMTLANDS LÄN</t>
        </is>
      </c>
      <c r="E292" t="inlineStr">
        <is>
          <t>ÖSTERSUND</t>
        </is>
      </c>
      <c r="G292" t="n">
        <v>23.9</v>
      </c>
      <c r="H292" t="n">
        <v>0</v>
      </c>
      <c r="I292" t="n">
        <v>0</v>
      </c>
      <c r="J292" t="n">
        <v>0</v>
      </c>
      <c r="K292" t="n">
        <v>0</v>
      </c>
      <c r="L292" t="n">
        <v>0</v>
      </c>
      <c r="M292" t="n">
        <v>0</v>
      </c>
      <c r="N292" t="n">
        <v>0</v>
      </c>
      <c r="O292" t="n">
        <v>0</v>
      </c>
      <c r="P292" t="n">
        <v>0</v>
      </c>
      <c r="Q292" t="n">
        <v>0</v>
      </c>
      <c r="R292" s="2" t="inlineStr"/>
    </row>
    <row r="293" ht="15" customHeight="1">
      <c r="A293" t="inlineStr">
        <is>
          <t>A 30320-2025</t>
        </is>
      </c>
      <c r="B293" s="1" t="n">
        <v>45827.49415509259</v>
      </c>
      <c r="C293" s="1" t="n">
        <v>46025</v>
      </c>
      <c r="D293" t="inlineStr">
        <is>
          <t>JÄMTLANDS LÄN</t>
        </is>
      </c>
      <c r="E293" t="inlineStr">
        <is>
          <t>ÖSTERSUND</t>
        </is>
      </c>
      <c r="G293" t="n">
        <v>4.6</v>
      </c>
      <c r="H293" t="n">
        <v>0</v>
      </c>
      <c r="I293" t="n">
        <v>0</v>
      </c>
      <c r="J293" t="n">
        <v>0</v>
      </c>
      <c r="K293" t="n">
        <v>0</v>
      </c>
      <c r="L293" t="n">
        <v>0</v>
      </c>
      <c r="M293" t="n">
        <v>0</v>
      </c>
      <c r="N293" t="n">
        <v>0</v>
      </c>
      <c r="O293" t="n">
        <v>0</v>
      </c>
      <c r="P293" t="n">
        <v>0</v>
      </c>
      <c r="Q293" t="n">
        <v>0</v>
      </c>
      <c r="R293" s="2" t="inlineStr"/>
    </row>
    <row r="294" ht="15" customHeight="1">
      <c r="A294" t="inlineStr">
        <is>
          <t>A 62222-2022</t>
        </is>
      </c>
      <c r="B294" s="1" t="n">
        <v>44922</v>
      </c>
      <c r="C294" s="1" t="n">
        <v>46025</v>
      </c>
      <c r="D294" t="inlineStr">
        <is>
          <t>JÄMTLANDS LÄN</t>
        </is>
      </c>
      <c r="E294" t="inlineStr">
        <is>
          <t>ÖSTERSUND</t>
        </is>
      </c>
      <c r="G294" t="n">
        <v>4.1</v>
      </c>
      <c r="H294" t="n">
        <v>0</v>
      </c>
      <c r="I294" t="n">
        <v>0</v>
      </c>
      <c r="J294" t="n">
        <v>0</v>
      </c>
      <c r="K294" t="n">
        <v>0</v>
      </c>
      <c r="L294" t="n">
        <v>0</v>
      </c>
      <c r="M294" t="n">
        <v>0</v>
      </c>
      <c r="N294" t="n">
        <v>0</v>
      </c>
      <c r="O294" t="n">
        <v>0</v>
      </c>
      <c r="P294" t="n">
        <v>0</v>
      </c>
      <c r="Q294" t="n">
        <v>0</v>
      </c>
      <c r="R294" s="2" t="inlineStr"/>
    </row>
    <row r="295" ht="15" customHeight="1">
      <c r="A295" t="inlineStr">
        <is>
          <t>A 25221-2025</t>
        </is>
      </c>
      <c r="B295" s="1" t="n">
        <v>45800.47802083333</v>
      </c>
      <c r="C295" s="1" t="n">
        <v>46025</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41280-2024</t>
        </is>
      </c>
      <c r="B296" s="1" t="n">
        <v>45559.59476851852</v>
      </c>
      <c r="C296" s="1" t="n">
        <v>46025</v>
      </c>
      <c r="D296" t="inlineStr">
        <is>
          <t>JÄMTLANDS LÄN</t>
        </is>
      </c>
      <c r="E296" t="inlineStr">
        <is>
          <t>ÖSTERSUND</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7224-2024</t>
        </is>
      </c>
      <c r="B297" s="1" t="n">
        <v>45344</v>
      </c>
      <c r="C297" s="1" t="n">
        <v>46025</v>
      </c>
      <c r="D297" t="inlineStr">
        <is>
          <t>JÄMTLANDS LÄN</t>
        </is>
      </c>
      <c r="E297" t="inlineStr">
        <is>
          <t>ÖSTERSUND</t>
        </is>
      </c>
      <c r="G297" t="n">
        <v>2.9</v>
      </c>
      <c r="H297" t="n">
        <v>0</v>
      </c>
      <c r="I297" t="n">
        <v>0</v>
      </c>
      <c r="J297" t="n">
        <v>0</v>
      </c>
      <c r="K297" t="n">
        <v>0</v>
      </c>
      <c r="L297" t="n">
        <v>0</v>
      </c>
      <c r="M297" t="n">
        <v>0</v>
      </c>
      <c r="N297" t="n">
        <v>0</v>
      </c>
      <c r="O297" t="n">
        <v>0</v>
      </c>
      <c r="P297" t="n">
        <v>0</v>
      </c>
      <c r="Q297" t="n">
        <v>0</v>
      </c>
      <c r="R297" s="2" t="inlineStr"/>
    </row>
    <row r="298" ht="15" customHeight="1">
      <c r="A298" t="inlineStr">
        <is>
          <t>A 11181-2025</t>
        </is>
      </c>
      <c r="B298" s="1" t="n">
        <v>45725.44039351852</v>
      </c>
      <c r="C298" s="1" t="n">
        <v>46025</v>
      </c>
      <c r="D298" t="inlineStr">
        <is>
          <t>JÄMTLANDS LÄN</t>
        </is>
      </c>
      <c r="E298" t="inlineStr">
        <is>
          <t>ÖSTERSUND</t>
        </is>
      </c>
      <c r="G298" t="n">
        <v>15.4</v>
      </c>
      <c r="H298" t="n">
        <v>0</v>
      </c>
      <c r="I298" t="n">
        <v>0</v>
      </c>
      <c r="J298" t="n">
        <v>0</v>
      </c>
      <c r="K298" t="n">
        <v>0</v>
      </c>
      <c r="L298" t="n">
        <v>0</v>
      </c>
      <c r="M298" t="n">
        <v>0</v>
      </c>
      <c r="N298" t="n">
        <v>0</v>
      </c>
      <c r="O298" t="n">
        <v>0</v>
      </c>
      <c r="P298" t="n">
        <v>0</v>
      </c>
      <c r="Q298" t="n">
        <v>0</v>
      </c>
      <c r="R298" s="2" t="inlineStr"/>
    </row>
    <row r="299" ht="15" customHeight="1">
      <c r="A299" t="inlineStr">
        <is>
          <t>A 8675-2023</t>
        </is>
      </c>
      <c r="B299" s="1" t="n">
        <v>44977.98629629629</v>
      </c>
      <c r="C299" s="1" t="n">
        <v>46025</v>
      </c>
      <c r="D299" t="inlineStr">
        <is>
          <t>JÄMTLANDS LÄN</t>
        </is>
      </c>
      <c r="E299" t="inlineStr">
        <is>
          <t>ÖSTERSUND</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12-2023</t>
        </is>
      </c>
      <c r="B300" s="1" t="n">
        <v>44927.88021990741</v>
      </c>
      <c r="C300" s="1" t="n">
        <v>46025</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55666-2023</t>
        </is>
      </c>
      <c r="B301" s="1" t="n">
        <v>45238.96770833333</v>
      </c>
      <c r="C301" s="1" t="n">
        <v>46025</v>
      </c>
      <c r="D301" t="inlineStr">
        <is>
          <t>JÄMTLANDS LÄN</t>
        </is>
      </c>
      <c r="E301" t="inlineStr">
        <is>
          <t>ÖSTERSUND</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30210-2025</t>
        </is>
      </c>
      <c r="B302" s="1" t="n">
        <v>45827.36590277778</v>
      </c>
      <c r="C302" s="1" t="n">
        <v>46025</v>
      </c>
      <c r="D302" t="inlineStr">
        <is>
          <t>JÄMTLANDS LÄN</t>
        </is>
      </c>
      <c r="E302" t="inlineStr">
        <is>
          <t>ÖSTERSUND</t>
        </is>
      </c>
      <c r="G302" t="n">
        <v>0.7</v>
      </c>
      <c r="H302" t="n">
        <v>0</v>
      </c>
      <c r="I302" t="n">
        <v>0</v>
      </c>
      <c r="J302" t="n">
        <v>0</v>
      </c>
      <c r="K302" t="n">
        <v>0</v>
      </c>
      <c r="L302" t="n">
        <v>0</v>
      </c>
      <c r="M302" t="n">
        <v>0</v>
      </c>
      <c r="N302" t="n">
        <v>0</v>
      </c>
      <c r="O302" t="n">
        <v>0</v>
      </c>
      <c r="P302" t="n">
        <v>0</v>
      </c>
      <c r="Q302" t="n">
        <v>0</v>
      </c>
      <c r="R302" s="2" t="inlineStr"/>
    </row>
    <row r="303" ht="15" customHeight="1">
      <c r="A303" t="inlineStr">
        <is>
          <t>A 51481-2023</t>
        </is>
      </c>
      <c r="B303" s="1" t="n">
        <v>45221.92440972223</v>
      </c>
      <c r="C303" s="1" t="n">
        <v>46025</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55140-2023</t>
        </is>
      </c>
      <c r="B304" s="1" t="n">
        <v>45237.50966435186</v>
      </c>
      <c r="C304" s="1" t="n">
        <v>46025</v>
      </c>
      <c r="D304" t="inlineStr">
        <is>
          <t>JÄMTLANDS LÄN</t>
        </is>
      </c>
      <c r="E304" t="inlineStr">
        <is>
          <t>ÖSTERSUND</t>
        </is>
      </c>
      <c r="G304" t="n">
        <v>1.8</v>
      </c>
      <c r="H304" t="n">
        <v>0</v>
      </c>
      <c r="I304" t="n">
        <v>0</v>
      </c>
      <c r="J304" t="n">
        <v>0</v>
      </c>
      <c r="K304" t="n">
        <v>0</v>
      </c>
      <c r="L304" t="n">
        <v>0</v>
      </c>
      <c r="M304" t="n">
        <v>0</v>
      </c>
      <c r="N304" t="n">
        <v>0</v>
      </c>
      <c r="O304" t="n">
        <v>0</v>
      </c>
      <c r="P304" t="n">
        <v>0</v>
      </c>
      <c r="Q304" t="n">
        <v>0</v>
      </c>
      <c r="R304" s="2" t="inlineStr"/>
    </row>
    <row r="305" ht="15" customHeight="1">
      <c r="A305" t="inlineStr">
        <is>
          <t>A 60623-2022</t>
        </is>
      </c>
      <c r="B305" s="1" t="n">
        <v>44911.6459837963</v>
      </c>
      <c r="C305" s="1" t="n">
        <v>46025</v>
      </c>
      <c r="D305" t="inlineStr">
        <is>
          <t>JÄMTLANDS LÄN</t>
        </is>
      </c>
      <c r="E305" t="inlineStr">
        <is>
          <t>ÖSTERSUND</t>
        </is>
      </c>
      <c r="G305" t="n">
        <v>10.9</v>
      </c>
      <c r="H305" t="n">
        <v>0</v>
      </c>
      <c r="I305" t="n">
        <v>0</v>
      </c>
      <c r="J305" t="n">
        <v>0</v>
      </c>
      <c r="K305" t="n">
        <v>0</v>
      </c>
      <c r="L305" t="n">
        <v>0</v>
      </c>
      <c r="M305" t="n">
        <v>0</v>
      </c>
      <c r="N305" t="n">
        <v>0</v>
      </c>
      <c r="O305" t="n">
        <v>0</v>
      </c>
      <c r="P305" t="n">
        <v>0</v>
      </c>
      <c r="Q305" t="n">
        <v>0</v>
      </c>
      <c r="R305" s="2" t="inlineStr"/>
    </row>
    <row r="306" ht="15" customHeight="1">
      <c r="A306" t="inlineStr">
        <is>
          <t>A 51818-2024</t>
        </is>
      </c>
      <c r="B306" s="1" t="n">
        <v>45607.49265046296</v>
      </c>
      <c r="C306" s="1" t="n">
        <v>46025</v>
      </c>
      <c r="D306" t="inlineStr">
        <is>
          <t>JÄMTLANDS LÄN</t>
        </is>
      </c>
      <c r="E306" t="inlineStr">
        <is>
          <t>ÖSTERSUND</t>
        </is>
      </c>
      <c r="G306" t="n">
        <v>4.6</v>
      </c>
      <c r="H306" t="n">
        <v>0</v>
      </c>
      <c r="I306" t="n">
        <v>0</v>
      </c>
      <c r="J306" t="n">
        <v>0</v>
      </c>
      <c r="K306" t="n">
        <v>0</v>
      </c>
      <c r="L306" t="n">
        <v>0</v>
      </c>
      <c r="M306" t="n">
        <v>0</v>
      </c>
      <c r="N306" t="n">
        <v>0</v>
      </c>
      <c r="O306" t="n">
        <v>0</v>
      </c>
      <c r="P306" t="n">
        <v>0</v>
      </c>
      <c r="Q306" t="n">
        <v>0</v>
      </c>
      <c r="R306" s="2" t="inlineStr"/>
    </row>
    <row r="307" ht="15" customHeight="1">
      <c r="A307" t="inlineStr">
        <is>
          <t>A 40360-2025</t>
        </is>
      </c>
      <c r="B307" s="1" t="n">
        <v>45895.49024305555</v>
      </c>
      <c r="C307" s="1" t="n">
        <v>46025</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14653-2022</t>
        </is>
      </c>
      <c r="B308" s="1" t="n">
        <v>44655.69303240741</v>
      </c>
      <c r="C308" s="1" t="n">
        <v>46025</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48106-2024</t>
        </is>
      </c>
      <c r="B309" s="1" t="n">
        <v>45589.62625</v>
      </c>
      <c r="C309" s="1" t="n">
        <v>46025</v>
      </c>
      <c r="D309" t="inlineStr">
        <is>
          <t>JÄMTLANDS LÄN</t>
        </is>
      </c>
      <c r="E309" t="inlineStr">
        <is>
          <t>ÖSTERSUND</t>
        </is>
      </c>
      <c r="G309" t="n">
        <v>3.5</v>
      </c>
      <c r="H309" t="n">
        <v>0</v>
      </c>
      <c r="I309" t="n">
        <v>0</v>
      </c>
      <c r="J309" t="n">
        <v>0</v>
      </c>
      <c r="K309" t="n">
        <v>0</v>
      </c>
      <c r="L309" t="n">
        <v>0</v>
      </c>
      <c r="M309" t="n">
        <v>0</v>
      </c>
      <c r="N309" t="n">
        <v>0</v>
      </c>
      <c r="O309" t="n">
        <v>0</v>
      </c>
      <c r="P309" t="n">
        <v>0</v>
      </c>
      <c r="Q309" t="n">
        <v>0</v>
      </c>
      <c r="R309" s="2" t="inlineStr"/>
    </row>
    <row r="310" ht="15" customHeight="1">
      <c r="A310" t="inlineStr">
        <is>
          <t>A 40325-2025</t>
        </is>
      </c>
      <c r="B310" s="1" t="n">
        <v>45895.4484837963</v>
      </c>
      <c r="C310" s="1" t="n">
        <v>46025</v>
      </c>
      <c r="D310" t="inlineStr">
        <is>
          <t>JÄMTLANDS LÄN</t>
        </is>
      </c>
      <c r="E310" t="inlineStr">
        <is>
          <t>ÖSTERSUND</t>
        </is>
      </c>
      <c r="G310" t="n">
        <v>1</v>
      </c>
      <c r="H310" t="n">
        <v>0</v>
      </c>
      <c r="I310" t="n">
        <v>0</v>
      </c>
      <c r="J310" t="n">
        <v>0</v>
      </c>
      <c r="K310" t="n">
        <v>0</v>
      </c>
      <c r="L310" t="n">
        <v>0</v>
      </c>
      <c r="M310" t="n">
        <v>0</v>
      </c>
      <c r="N310" t="n">
        <v>0</v>
      </c>
      <c r="O310" t="n">
        <v>0</v>
      </c>
      <c r="P310" t="n">
        <v>0</v>
      </c>
      <c r="Q310" t="n">
        <v>0</v>
      </c>
      <c r="R310" s="2" t="inlineStr"/>
    </row>
    <row r="311" ht="15" customHeight="1">
      <c r="A311" t="inlineStr">
        <is>
          <t>A 20960-2022</t>
        </is>
      </c>
      <c r="B311" s="1" t="n">
        <v>44701.94034722223</v>
      </c>
      <c r="C311" s="1" t="n">
        <v>46025</v>
      </c>
      <c r="D311" t="inlineStr">
        <is>
          <t>JÄMTLANDS LÄN</t>
        </is>
      </c>
      <c r="E311" t="inlineStr">
        <is>
          <t>ÖSTERSUND</t>
        </is>
      </c>
      <c r="G311" t="n">
        <v>3.6</v>
      </c>
      <c r="H311" t="n">
        <v>0</v>
      </c>
      <c r="I311" t="n">
        <v>0</v>
      </c>
      <c r="J311" t="n">
        <v>0</v>
      </c>
      <c r="K311" t="n">
        <v>0</v>
      </c>
      <c r="L311" t="n">
        <v>0</v>
      </c>
      <c r="M311" t="n">
        <v>0</v>
      </c>
      <c r="N311" t="n">
        <v>0</v>
      </c>
      <c r="O311" t="n">
        <v>0</v>
      </c>
      <c r="P311" t="n">
        <v>0</v>
      </c>
      <c r="Q311" t="n">
        <v>0</v>
      </c>
      <c r="R311" s="2" t="inlineStr"/>
    </row>
    <row r="312" ht="15" customHeight="1">
      <c r="A312" t="inlineStr">
        <is>
          <t>A 40361-2025</t>
        </is>
      </c>
      <c r="B312" s="1" t="n">
        <v>45895.49026620371</v>
      </c>
      <c r="C312" s="1" t="n">
        <v>46025</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60780-2023</t>
        </is>
      </c>
      <c r="B313" s="1" t="n">
        <v>45260</v>
      </c>
      <c r="C313" s="1" t="n">
        <v>46025</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40326-2025</t>
        </is>
      </c>
      <c r="B314" s="1" t="n">
        <v>45895.44856481482</v>
      </c>
      <c r="C314" s="1" t="n">
        <v>46025</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14182-2025</t>
        </is>
      </c>
      <c r="B315" s="1" t="n">
        <v>45740.54168981482</v>
      </c>
      <c r="C315" s="1" t="n">
        <v>46025</v>
      </c>
      <c r="D315" t="inlineStr">
        <is>
          <t>JÄMTLANDS LÄN</t>
        </is>
      </c>
      <c r="E315" t="inlineStr">
        <is>
          <t>ÖSTERSUND</t>
        </is>
      </c>
      <c r="F315" t="inlineStr">
        <is>
          <t>Övriga Aktiebolag</t>
        </is>
      </c>
      <c r="G315" t="n">
        <v>20.1</v>
      </c>
      <c r="H315" t="n">
        <v>0</v>
      </c>
      <c r="I315" t="n">
        <v>0</v>
      </c>
      <c r="J315" t="n">
        <v>0</v>
      </c>
      <c r="K315" t="n">
        <v>0</v>
      </c>
      <c r="L315" t="n">
        <v>0</v>
      </c>
      <c r="M315" t="n">
        <v>0</v>
      </c>
      <c r="N315" t="n">
        <v>0</v>
      </c>
      <c r="O315" t="n">
        <v>0</v>
      </c>
      <c r="P315" t="n">
        <v>0</v>
      </c>
      <c r="Q315" t="n">
        <v>0</v>
      </c>
      <c r="R315" s="2" t="inlineStr"/>
    </row>
    <row r="316" ht="15" customHeight="1">
      <c r="A316" t="inlineStr">
        <is>
          <t>A 57589-2024</t>
        </is>
      </c>
      <c r="B316" s="1" t="n">
        <v>45630.49710648148</v>
      </c>
      <c r="C316" s="1" t="n">
        <v>46025</v>
      </c>
      <c r="D316" t="inlineStr">
        <is>
          <t>JÄMTLANDS LÄN</t>
        </is>
      </c>
      <c r="E316" t="inlineStr">
        <is>
          <t>ÖSTERSUND</t>
        </is>
      </c>
      <c r="G316" t="n">
        <v>1.8</v>
      </c>
      <c r="H316" t="n">
        <v>0</v>
      </c>
      <c r="I316" t="n">
        <v>0</v>
      </c>
      <c r="J316" t="n">
        <v>0</v>
      </c>
      <c r="K316" t="n">
        <v>0</v>
      </c>
      <c r="L316" t="n">
        <v>0</v>
      </c>
      <c r="M316" t="n">
        <v>0</v>
      </c>
      <c r="N316" t="n">
        <v>0</v>
      </c>
      <c r="O316" t="n">
        <v>0</v>
      </c>
      <c r="P316" t="n">
        <v>0</v>
      </c>
      <c r="Q316" t="n">
        <v>0</v>
      </c>
      <c r="R316" s="2" t="inlineStr"/>
    </row>
    <row r="317" ht="15" customHeight="1">
      <c r="A317" t="inlineStr">
        <is>
          <t>A 11740-2022</t>
        </is>
      </c>
      <c r="B317" s="1" t="n">
        <v>44634.52982638889</v>
      </c>
      <c r="C317" s="1" t="n">
        <v>46025</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38926-2024</t>
        </is>
      </c>
      <c r="B318" s="1" t="n">
        <v>45547.90777777778</v>
      </c>
      <c r="C318" s="1" t="n">
        <v>46025</v>
      </c>
      <c r="D318" t="inlineStr">
        <is>
          <t>JÄMTLANDS LÄN</t>
        </is>
      </c>
      <c r="E318" t="inlineStr">
        <is>
          <t>ÖSTERSUND</t>
        </is>
      </c>
      <c r="G318" t="n">
        <v>0.4</v>
      </c>
      <c r="H318" t="n">
        <v>0</v>
      </c>
      <c r="I318" t="n">
        <v>0</v>
      </c>
      <c r="J318" t="n">
        <v>0</v>
      </c>
      <c r="K318" t="n">
        <v>0</v>
      </c>
      <c r="L318" t="n">
        <v>0</v>
      </c>
      <c r="M318" t="n">
        <v>0</v>
      </c>
      <c r="N318" t="n">
        <v>0</v>
      </c>
      <c r="O318" t="n">
        <v>0</v>
      </c>
      <c r="P318" t="n">
        <v>0</v>
      </c>
      <c r="Q318" t="n">
        <v>0</v>
      </c>
      <c r="R318" s="2" t="inlineStr"/>
    </row>
    <row r="319" ht="15" customHeight="1">
      <c r="A319" t="inlineStr">
        <is>
          <t>A 20588-2023</t>
        </is>
      </c>
      <c r="B319" s="1" t="n">
        <v>45057</v>
      </c>
      <c r="C319" s="1" t="n">
        <v>46025</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26321-2022</t>
        </is>
      </c>
      <c r="B320" s="1" t="n">
        <v>44735</v>
      </c>
      <c r="C320" s="1" t="n">
        <v>46025</v>
      </c>
      <c r="D320" t="inlineStr">
        <is>
          <t>JÄMTLANDS LÄN</t>
        </is>
      </c>
      <c r="E320" t="inlineStr">
        <is>
          <t>ÖSTERSUND</t>
        </is>
      </c>
      <c r="G320" t="n">
        <v>1</v>
      </c>
      <c r="H320" t="n">
        <v>0</v>
      </c>
      <c r="I320" t="n">
        <v>0</v>
      </c>
      <c r="J320" t="n">
        <v>0</v>
      </c>
      <c r="K320" t="n">
        <v>0</v>
      </c>
      <c r="L320" t="n">
        <v>0</v>
      </c>
      <c r="M320" t="n">
        <v>0</v>
      </c>
      <c r="N320" t="n">
        <v>0</v>
      </c>
      <c r="O320" t="n">
        <v>0</v>
      </c>
      <c r="P320" t="n">
        <v>0</v>
      </c>
      <c r="Q320" t="n">
        <v>0</v>
      </c>
      <c r="R320" s="2" t="inlineStr"/>
    </row>
    <row r="321" ht="15" customHeight="1">
      <c r="A321" t="inlineStr">
        <is>
          <t>A 14542-2025</t>
        </is>
      </c>
      <c r="B321" s="1" t="n">
        <v>45741.68631944444</v>
      </c>
      <c r="C321" s="1" t="n">
        <v>46025</v>
      </c>
      <c r="D321" t="inlineStr">
        <is>
          <t>JÄMTLANDS LÄN</t>
        </is>
      </c>
      <c r="E321" t="inlineStr">
        <is>
          <t>ÖSTERSUND</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41675-2025</t>
        </is>
      </c>
      <c r="B322" s="1" t="n">
        <v>45902.36641203704</v>
      </c>
      <c r="C322" s="1" t="n">
        <v>46025</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41708-2025</t>
        </is>
      </c>
      <c r="B323" s="1" t="n">
        <v>45902.42280092592</v>
      </c>
      <c r="C323" s="1" t="n">
        <v>46025</v>
      </c>
      <c r="D323" t="inlineStr">
        <is>
          <t>JÄMTLANDS LÄN</t>
        </is>
      </c>
      <c r="E323" t="inlineStr">
        <is>
          <t>ÖSTERSUND</t>
        </is>
      </c>
      <c r="G323" t="n">
        <v>1.2</v>
      </c>
      <c r="H323" t="n">
        <v>0</v>
      </c>
      <c r="I323" t="n">
        <v>0</v>
      </c>
      <c r="J323" t="n">
        <v>0</v>
      </c>
      <c r="K323" t="n">
        <v>0</v>
      </c>
      <c r="L323" t="n">
        <v>0</v>
      </c>
      <c r="M323" t="n">
        <v>0</v>
      </c>
      <c r="N323" t="n">
        <v>0</v>
      </c>
      <c r="O323" t="n">
        <v>0</v>
      </c>
      <c r="P323" t="n">
        <v>0</v>
      </c>
      <c r="Q323" t="n">
        <v>0</v>
      </c>
      <c r="R323" s="2" t="inlineStr"/>
    </row>
    <row r="324" ht="15" customHeight="1">
      <c r="A324" t="inlineStr">
        <is>
          <t>A 41582-2025</t>
        </is>
      </c>
      <c r="B324" s="1" t="n">
        <v>45901</v>
      </c>
      <c r="C324" s="1" t="n">
        <v>46025</v>
      </c>
      <c r="D324" t="inlineStr">
        <is>
          <t>JÄMTLANDS LÄN</t>
        </is>
      </c>
      <c r="E324" t="inlineStr">
        <is>
          <t>ÖSTERSUND</t>
        </is>
      </c>
      <c r="G324" t="n">
        <v>0.9</v>
      </c>
      <c r="H324" t="n">
        <v>0</v>
      </c>
      <c r="I324" t="n">
        <v>0</v>
      </c>
      <c r="J324" t="n">
        <v>0</v>
      </c>
      <c r="K324" t="n">
        <v>0</v>
      </c>
      <c r="L324" t="n">
        <v>0</v>
      </c>
      <c r="M324" t="n">
        <v>0</v>
      </c>
      <c r="N324" t="n">
        <v>0</v>
      </c>
      <c r="O324" t="n">
        <v>0</v>
      </c>
      <c r="P324" t="n">
        <v>0</v>
      </c>
      <c r="Q324" t="n">
        <v>0</v>
      </c>
      <c r="R324" s="2" t="inlineStr"/>
    </row>
    <row r="325" ht="15" customHeight="1">
      <c r="A325" t="inlineStr">
        <is>
          <t>A 4936-2025</t>
        </is>
      </c>
      <c r="B325" s="1" t="n">
        <v>45688.69356481481</v>
      </c>
      <c r="C325" s="1" t="n">
        <v>46025</v>
      </c>
      <c r="D325" t="inlineStr">
        <is>
          <t>JÄMTLANDS LÄN</t>
        </is>
      </c>
      <c r="E325" t="inlineStr">
        <is>
          <t>ÖSTERSUND</t>
        </is>
      </c>
      <c r="G325" t="n">
        <v>8.1</v>
      </c>
      <c r="H325" t="n">
        <v>0</v>
      </c>
      <c r="I325" t="n">
        <v>0</v>
      </c>
      <c r="J325" t="n">
        <v>0</v>
      </c>
      <c r="K325" t="n">
        <v>0</v>
      </c>
      <c r="L325" t="n">
        <v>0</v>
      </c>
      <c r="M325" t="n">
        <v>0</v>
      </c>
      <c r="N325" t="n">
        <v>0</v>
      </c>
      <c r="O325" t="n">
        <v>0</v>
      </c>
      <c r="P325" t="n">
        <v>0</v>
      </c>
      <c r="Q325" t="n">
        <v>0</v>
      </c>
      <c r="R325" s="2" t="inlineStr"/>
    </row>
    <row r="326" ht="15" customHeight="1">
      <c r="A326" t="inlineStr">
        <is>
          <t>A 42129-2025</t>
        </is>
      </c>
      <c r="B326" s="1" t="n">
        <v>45904.3452662037</v>
      </c>
      <c r="C326" s="1" t="n">
        <v>46025</v>
      </c>
      <c r="D326" t="inlineStr">
        <is>
          <t>JÄMTLANDS LÄN</t>
        </is>
      </c>
      <c r="E326" t="inlineStr">
        <is>
          <t>ÖSTERSUND</t>
        </is>
      </c>
      <c r="G326" t="n">
        <v>0.4</v>
      </c>
      <c r="H326" t="n">
        <v>0</v>
      </c>
      <c r="I326" t="n">
        <v>0</v>
      </c>
      <c r="J326" t="n">
        <v>0</v>
      </c>
      <c r="K326" t="n">
        <v>0</v>
      </c>
      <c r="L326" t="n">
        <v>0</v>
      </c>
      <c r="M326" t="n">
        <v>0</v>
      </c>
      <c r="N326" t="n">
        <v>0</v>
      </c>
      <c r="O326" t="n">
        <v>0</v>
      </c>
      <c r="P326" t="n">
        <v>0</v>
      </c>
      <c r="Q326" t="n">
        <v>0</v>
      </c>
      <c r="R326" s="2" t="inlineStr"/>
    </row>
    <row r="327" ht="15" customHeight="1">
      <c r="A327" t="inlineStr">
        <is>
          <t>A 25995-2025</t>
        </is>
      </c>
      <c r="B327" s="1" t="n">
        <v>45804.656875</v>
      </c>
      <c r="C327" s="1" t="n">
        <v>46025</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18627-2024</t>
        </is>
      </c>
      <c r="B328" s="1" t="n">
        <v>45425.96443287037</v>
      </c>
      <c r="C328" s="1" t="n">
        <v>46025</v>
      </c>
      <c r="D328" t="inlineStr">
        <is>
          <t>JÄMTLANDS LÄN</t>
        </is>
      </c>
      <c r="E328" t="inlineStr">
        <is>
          <t>ÖSTERSUND</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36099-2025</t>
        </is>
      </c>
      <c r="B329" s="1" t="n">
        <v>45866.51630787037</v>
      </c>
      <c r="C329" s="1" t="n">
        <v>46025</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32279-2025</t>
        </is>
      </c>
      <c r="B330" s="1" t="n">
        <v>45835.67109953704</v>
      </c>
      <c r="C330" s="1" t="n">
        <v>46025</v>
      </c>
      <c r="D330" t="inlineStr">
        <is>
          <t>JÄMTLANDS LÄN</t>
        </is>
      </c>
      <c r="E330" t="inlineStr">
        <is>
          <t>ÖSTERSUND</t>
        </is>
      </c>
      <c r="G330" t="n">
        <v>3.5</v>
      </c>
      <c r="H330" t="n">
        <v>0</v>
      </c>
      <c r="I330" t="n">
        <v>0</v>
      </c>
      <c r="J330" t="n">
        <v>0</v>
      </c>
      <c r="K330" t="n">
        <v>0</v>
      </c>
      <c r="L330" t="n">
        <v>0</v>
      </c>
      <c r="M330" t="n">
        <v>0</v>
      </c>
      <c r="N330" t="n">
        <v>0</v>
      </c>
      <c r="O330" t="n">
        <v>0</v>
      </c>
      <c r="P330" t="n">
        <v>0</v>
      </c>
      <c r="Q330" t="n">
        <v>0</v>
      </c>
      <c r="R330" s="2" t="inlineStr"/>
    </row>
    <row r="331" ht="15" customHeight="1">
      <c r="A331" t="inlineStr">
        <is>
          <t>A 32353-2025</t>
        </is>
      </c>
      <c r="B331" s="1" t="n">
        <v>45837.51741898148</v>
      </c>
      <c r="C331" s="1" t="n">
        <v>46025</v>
      </c>
      <c r="D331" t="inlineStr">
        <is>
          <t>JÄMTLANDS LÄN</t>
        </is>
      </c>
      <c r="E331" t="inlineStr">
        <is>
          <t>ÖSTERSUND</t>
        </is>
      </c>
      <c r="F331" t="inlineStr">
        <is>
          <t>Övriga Aktiebolag</t>
        </is>
      </c>
      <c r="G331" t="n">
        <v>4.8</v>
      </c>
      <c r="H331" t="n">
        <v>0</v>
      </c>
      <c r="I331" t="n">
        <v>0</v>
      </c>
      <c r="J331" t="n">
        <v>0</v>
      </c>
      <c r="K331" t="n">
        <v>0</v>
      </c>
      <c r="L331" t="n">
        <v>0</v>
      </c>
      <c r="M331" t="n">
        <v>0</v>
      </c>
      <c r="N331" t="n">
        <v>0</v>
      </c>
      <c r="O331" t="n">
        <v>0</v>
      </c>
      <c r="P331" t="n">
        <v>0</v>
      </c>
      <c r="Q331" t="n">
        <v>0</v>
      </c>
      <c r="R331" s="2" t="inlineStr"/>
    </row>
    <row r="332" ht="15" customHeight="1">
      <c r="A332" t="inlineStr">
        <is>
          <t>A 32358-2025</t>
        </is>
      </c>
      <c r="B332" s="1" t="n">
        <v>45837.57481481481</v>
      </c>
      <c r="C332" s="1" t="n">
        <v>46025</v>
      </c>
      <c r="D332" t="inlineStr">
        <is>
          <t>JÄMTLANDS LÄN</t>
        </is>
      </c>
      <c r="E332" t="inlineStr">
        <is>
          <t>ÖSTERSUND</t>
        </is>
      </c>
      <c r="F332" t="inlineStr">
        <is>
          <t>Övriga Aktiebolag</t>
        </is>
      </c>
      <c r="G332" t="n">
        <v>4.8</v>
      </c>
      <c r="H332" t="n">
        <v>0</v>
      </c>
      <c r="I332" t="n">
        <v>0</v>
      </c>
      <c r="J332" t="n">
        <v>0</v>
      </c>
      <c r="K332" t="n">
        <v>0</v>
      </c>
      <c r="L332" t="n">
        <v>0</v>
      </c>
      <c r="M332" t="n">
        <v>0</v>
      </c>
      <c r="N332" t="n">
        <v>0</v>
      </c>
      <c r="O332" t="n">
        <v>0</v>
      </c>
      <c r="P332" t="n">
        <v>0</v>
      </c>
      <c r="Q332" t="n">
        <v>0</v>
      </c>
      <c r="R332" s="2" t="inlineStr"/>
    </row>
    <row r="333" ht="15" customHeight="1">
      <c r="A333" t="inlineStr">
        <is>
          <t>A 32369-2025</t>
        </is>
      </c>
      <c r="B333" s="1" t="n">
        <v>45837.67381944445</v>
      </c>
      <c r="C333" s="1" t="n">
        <v>46025</v>
      </c>
      <c r="D333" t="inlineStr">
        <is>
          <t>JÄMTLANDS LÄN</t>
        </is>
      </c>
      <c r="E333" t="inlineStr">
        <is>
          <t>ÖSTERSUND</t>
        </is>
      </c>
      <c r="F333" t="inlineStr">
        <is>
          <t>Övriga Aktiebolag</t>
        </is>
      </c>
      <c r="G333" t="n">
        <v>5.7</v>
      </c>
      <c r="H333" t="n">
        <v>0</v>
      </c>
      <c r="I333" t="n">
        <v>0</v>
      </c>
      <c r="J333" t="n">
        <v>0</v>
      </c>
      <c r="K333" t="n">
        <v>0</v>
      </c>
      <c r="L333" t="n">
        <v>0</v>
      </c>
      <c r="M333" t="n">
        <v>0</v>
      </c>
      <c r="N333" t="n">
        <v>0</v>
      </c>
      <c r="O333" t="n">
        <v>0</v>
      </c>
      <c r="P333" t="n">
        <v>0</v>
      </c>
      <c r="Q333" t="n">
        <v>0</v>
      </c>
      <c r="R333" s="2" t="inlineStr"/>
    </row>
    <row r="334" ht="15" customHeight="1">
      <c r="A334" t="inlineStr">
        <is>
          <t>A 42989-2025</t>
        </is>
      </c>
      <c r="B334" s="1" t="n">
        <v>45909.44971064815</v>
      </c>
      <c r="C334" s="1" t="n">
        <v>46025</v>
      </c>
      <c r="D334" t="inlineStr">
        <is>
          <t>JÄMTLANDS LÄN</t>
        </is>
      </c>
      <c r="E334" t="inlineStr">
        <is>
          <t>ÖSTERSUND</t>
        </is>
      </c>
      <c r="G334" t="n">
        <v>3</v>
      </c>
      <c r="H334" t="n">
        <v>0</v>
      </c>
      <c r="I334" t="n">
        <v>0</v>
      </c>
      <c r="J334" t="n">
        <v>0</v>
      </c>
      <c r="K334" t="n">
        <v>0</v>
      </c>
      <c r="L334" t="n">
        <v>0</v>
      </c>
      <c r="M334" t="n">
        <v>0</v>
      </c>
      <c r="N334" t="n">
        <v>0</v>
      </c>
      <c r="O334" t="n">
        <v>0</v>
      </c>
      <c r="P334" t="n">
        <v>0</v>
      </c>
      <c r="Q334" t="n">
        <v>0</v>
      </c>
      <c r="R334" s="2" t="inlineStr"/>
    </row>
    <row r="335" ht="15" customHeight="1">
      <c r="A335" t="inlineStr">
        <is>
          <t>A 12821-2023</t>
        </is>
      </c>
      <c r="B335" s="1" t="n">
        <v>45000</v>
      </c>
      <c r="C335" s="1" t="n">
        <v>46025</v>
      </c>
      <c r="D335" t="inlineStr">
        <is>
          <t>JÄMTLANDS LÄN</t>
        </is>
      </c>
      <c r="E335" t="inlineStr">
        <is>
          <t>ÖSTERSUND</t>
        </is>
      </c>
      <c r="G335" t="n">
        <v>0.7</v>
      </c>
      <c r="H335" t="n">
        <v>0</v>
      </c>
      <c r="I335" t="n">
        <v>0</v>
      </c>
      <c r="J335" t="n">
        <v>0</v>
      </c>
      <c r="K335" t="n">
        <v>0</v>
      </c>
      <c r="L335" t="n">
        <v>0</v>
      </c>
      <c r="M335" t="n">
        <v>0</v>
      </c>
      <c r="N335" t="n">
        <v>0</v>
      </c>
      <c r="O335" t="n">
        <v>0</v>
      </c>
      <c r="P335" t="n">
        <v>0</v>
      </c>
      <c r="Q335" t="n">
        <v>0</v>
      </c>
      <c r="R335" s="2" t="inlineStr"/>
    </row>
    <row r="336" ht="15" customHeight="1">
      <c r="A336" t="inlineStr">
        <is>
          <t>A 50088-2024</t>
        </is>
      </c>
      <c r="B336" s="1" t="n">
        <v>45600.38585648148</v>
      </c>
      <c r="C336" s="1" t="n">
        <v>46025</v>
      </c>
      <c r="D336" t="inlineStr">
        <is>
          <t>JÄMTLANDS LÄN</t>
        </is>
      </c>
      <c r="E336" t="inlineStr">
        <is>
          <t>ÖSTERSUND</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43225-2025</t>
        </is>
      </c>
      <c r="B337" s="1" t="n">
        <v>45910.4900462963</v>
      </c>
      <c r="C337" s="1" t="n">
        <v>46025</v>
      </c>
      <c r="D337" t="inlineStr">
        <is>
          <t>JÄMTLANDS LÄN</t>
        </is>
      </c>
      <c r="E337" t="inlineStr">
        <is>
          <t>ÖSTERSUND</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32368-2025</t>
        </is>
      </c>
      <c r="B338" s="1" t="n">
        <v>45837.66230324074</v>
      </c>
      <c r="C338" s="1" t="n">
        <v>46025</v>
      </c>
      <c r="D338" t="inlineStr">
        <is>
          <t>JÄMTLANDS LÄN</t>
        </is>
      </c>
      <c r="E338" t="inlineStr">
        <is>
          <t>ÖSTERSUND</t>
        </is>
      </c>
      <c r="F338" t="inlineStr">
        <is>
          <t>Övriga Aktiebolag</t>
        </is>
      </c>
      <c r="G338" t="n">
        <v>19.5</v>
      </c>
      <c r="H338" t="n">
        <v>0</v>
      </c>
      <c r="I338" t="n">
        <v>0</v>
      </c>
      <c r="J338" t="n">
        <v>0</v>
      </c>
      <c r="K338" t="n">
        <v>0</v>
      </c>
      <c r="L338" t="n">
        <v>0</v>
      </c>
      <c r="M338" t="n">
        <v>0</v>
      </c>
      <c r="N338" t="n">
        <v>0</v>
      </c>
      <c r="O338" t="n">
        <v>0</v>
      </c>
      <c r="P338" t="n">
        <v>0</v>
      </c>
      <c r="Q338" t="n">
        <v>0</v>
      </c>
      <c r="R338" s="2" t="inlineStr"/>
    </row>
    <row r="339" ht="15" customHeight="1">
      <c r="A339" t="inlineStr">
        <is>
          <t>A 32071-2025</t>
        </is>
      </c>
      <c r="B339" s="1" t="n">
        <v>45835.4491087963</v>
      </c>
      <c r="C339" s="1" t="n">
        <v>46025</v>
      </c>
      <c r="D339" t="inlineStr">
        <is>
          <t>JÄMTLANDS LÄN</t>
        </is>
      </c>
      <c r="E339" t="inlineStr">
        <is>
          <t>ÖSTERSUND</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24786-2024</t>
        </is>
      </c>
      <c r="B340" s="1" t="n">
        <v>45460.81277777778</v>
      </c>
      <c r="C340" s="1" t="n">
        <v>46025</v>
      </c>
      <c r="D340" t="inlineStr">
        <is>
          <t>JÄMTLANDS LÄN</t>
        </is>
      </c>
      <c r="E340" t="inlineStr">
        <is>
          <t>ÖSTERSUND</t>
        </is>
      </c>
      <c r="G340" t="n">
        <v>0.1</v>
      </c>
      <c r="H340" t="n">
        <v>0</v>
      </c>
      <c r="I340" t="n">
        <v>0</v>
      </c>
      <c r="J340" t="n">
        <v>0</v>
      </c>
      <c r="K340" t="n">
        <v>0</v>
      </c>
      <c r="L340" t="n">
        <v>0</v>
      </c>
      <c r="M340" t="n">
        <v>0</v>
      </c>
      <c r="N340" t="n">
        <v>0</v>
      </c>
      <c r="O340" t="n">
        <v>0</v>
      </c>
      <c r="P340" t="n">
        <v>0</v>
      </c>
      <c r="Q340" t="n">
        <v>0</v>
      </c>
      <c r="R340" s="2" t="inlineStr"/>
    </row>
    <row r="341" ht="15" customHeight="1">
      <c r="A341" t="inlineStr">
        <is>
          <t>A 43411-2025</t>
        </is>
      </c>
      <c r="B341" s="1" t="n">
        <v>45911.40074074074</v>
      </c>
      <c r="C341" s="1" t="n">
        <v>46025</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43548-2025</t>
        </is>
      </c>
      <c r="B342" s="1" t="n">
        <v>45911.61579861111</v>
      </c>
      <c r="C342" s="1" t="n">
        <v>46025</v>
      </c>
      <c r="D342" t="inlineStr">
        <is>
          <t>JÄMTLANDS LÄN</t>
        </is>
      </c>
      <c r="E342" t="inlineStr">
        <is>
          <t>ÖSTERSUND</t>
        </is>
      </c>
      <c r="F342" t="inlineStr">
        <is>
          <t>SCA</t>
        </is>
      </c>
      <c r="G342" t="n">
        <v>17.3</v>
      </c>
      <c r="H342" t="n">
        <v>0</v>
      </c>
      <c r="I342" t="n">
        <v>0</v>
      </c>
      <c r="J342" t="n">
        <v>0</v>
      </c>
      <c r="K342" t="n">
        <v>0</v>
      </c>
      <c r="L342" t="n">
        <v>0</v>
      </c>
      <c r="M342" t="n">
        <v>0</v>
      </c>
      <c r="N342" t="n">
        <v>0</v>
      </c>
      <c r="O342" t="n">
        <v>0</v>
      </c>
      <c r="P342" t="n">
        <v>0</v>
      </c>
      <c r="Q342" t="n">
        <v>0</v>
      </c>
      <c r="R342" s="2" t="inlineStr"/>
    </row>
    <row r="343" ht="15" customHeight="1">
      <c r="A343" t="inlineStr">
        <is>
          <t>A 43519-2025</t>
        </is>
      </c>
      <c r="B343" s="1" t="n">
        <v>45911.57349537037</v>
      </c>
      <c r="C343" s="1" t="n">
        <v>46025</v>
      </c>
      <c r="D343" t="inlineStr">
        <is>
          <t>JÄMTLANDS LÄN</t>
        </is>
      </c>
      <c r="E343" t="inlineStr">
        <is>
          <t>ÖSTERSUND</t>
        </is>
      </c>
      <c r="F343" t="inlineStr">
        <is>
          <t>SCA</t>
        </is>
      </c>
      <c r="G343" t="n">
        <v>14.4</v>
      </c>
      <c r="H343" t="n">
        <v>0</v>
      </c>
      <c r="I343" t="n">
        <v>0</v>
      </c>
      <c r="J343" t="n">
        <v>0</v>
      </c>
      <c r="K343" t="n">
        <v>0</v>
      </c>
      <c r="L343" t="n">
        <v>0</v>
      </c>
      <c r="M343" t="n">
        <v>0</v>
      </c>
      <c r="N343" t="n">
        <v>0</v>
      </c>
      <c r="O343" t="n">
        <v>0</v>
      </c>
      <c r="P343" t="n">
        <v>0</v>
      </c>
      <c r="Q343" t="n">
        <v>0</v>
      </c>
      <c r="R343" s="2" t="inlineStr"/>
    </row>
    <row r="344" ht="15" customHeight="1">
      <c r="A344" t="inlineStr">
        <is>
          <t>A 13024-2022</t>
        </is>
      </c>
      <c r="B344" s="1" t="n">
        <v>44643</v>
      </c>
      <c r="C344" s="1" t="n">
        <v>46025</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44446-2025</t>
        </is>
      </c>
      <c r="B345" s="1" t="n">
        <v>45916.59773148148</v>
      </c>
      <c r="C345" s="1" t="n">
        <v>46025</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44429-2025</t>
        </is>
      </c>
      <c r="B346" s="1" t="n">
        <v>45916.57010416667</v>
      </c>
      <c r="C346" s="1" t="n">
        <v>46025</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29128-2022</t>
        </is>
      </c>
      <c r="B347" s="1" t="n">
        <v>44750</v>
      </c>
      <c r="C347" s="1" t="n">
        <v>46025</v>
      </c>
      <c r="D347" t="inlineStr">
        <is>
          <t>JÄMTLANDS LÄN</t>
        </is>
      </c>
      <c r="E347" t="inlineStr">
        <is>
          <t>ÖSTERSUND</t>
        </is>
      </c>
      <c r="G347" t="n">
        <v>3</v>
      </c>
      <c r="H347" t="n">
        <v>0</v>
      </c>
      <c r="I347" t="n">
        <v>0</v>
      </c>
      <c r="J347" t="n">
        <v>0</v>
      </c>
      <c r="K347" t="n">
        <v>0</v>
      </c>
      <c r="L347" t="n">
        <v>0</v>
      </c>
      <c r="M347" t="n">
        <v>0</v>
      </c>
      <c r="N347" t="n">
        <v>0</v>
      </c>
      <c r="O347" t="n">
        <v>0</v>
      </c>
      <c r="P347" t="n">
        <v>0</v>
      </c>
      <c r="Q347" t="n">
        <v>0</v>
      </c>
      <c r="R347" s="2" t="inlineStr"/>
    </row>
    <row r="348" ht="15" customHeight="1">
      <c r="A348" t="inlineStr">
        <is>
          <t>A 24312-2021</t>
        </is>
      </c>
      <c r="B348" s="1" t="n">
        <v>44336</v>
      </c>
      <c r="C348" s="1" t="n">
        <v>46025</v>
      </c>
      <c r="D348" t="inlineStr">
        <is>
          <t>JÄMTLANDS LÄN</t>
        </is>
      </c>
      <c r="E348" t="inlineStr">
        <is>
          <t>ÖSTERSUND</t>
        </is>
      </c>
      <c r="G348" t="n">
        <v>10.6</v>
      </c>
      <c r="H348" t="n">
        <v>0</v>
      </c>
      <c r="I348" t="n">
        <v>0</v>
      </c>
      <c r="J348" t="n">
        <v>0</v>
      </c>
      <c r="K348" t="n">
        <v>0</v>
      </c>
      <c r="L348" t="n">
        <v>0</v>
      </c>
      <c r="M348" t="n">
        <v>0</v>
      </c>
      <c r="N348" t="n">
        <v>0</v>
      </c>
      <c r="O348" t="n">
        <v>0</v>
      </c>
      <c r="P348" t="n">
        <v>0</v>
      </c>
      <c r="Q348" t="n">
        <v>0</v>
      </c>
      <c r="R348" s="2" t="inlineStr"/>
    </row>
    <row r="349" ht="15" customHeight="1">
      <c r="A349" t="inlineStr">
        <is>
          <t>A 33358-2025</t>
        </is>
      </c>
      <c r="B349" s="1" t="n">
        <v>45841.38054398148</v>
      </c>
      <c r="C349" s="1" t="n">
        <v>46025</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15659-2021</t>
        </is>
      </c>
      <c r="B350" s="1" t="n">
        <v>44298</v>
      </c>
      <c r="C350" s="1" t="n">
        <v>46025</v>
      </c>
      <c r="D350" t="inlineStr">
        <is>
          <t>JÄMTLANDS LÄN</t>
        </is>
      </c>
      <c r="E350" t="inlineStr">
        <is>
          <t>ÖSTERSUND</t>
        </is>
      </c>
      <c r="G350" t="n">
        <v>13.3</v>
      </c>
      <c r="H350" t="n">
        <v>0</v>
      </c>
      <c r="I350" t="n">
        <v>0</v>
      </c>
      <c r="J350" t="n">
        <v>0</v>
      </c>
      <c r="K350" t="n">
        <v>0</v>
      </c>
      <c r="L350" t="n">
        <v>0</v>
      </c>
      <c r="M350" t="n">
        <v>0</v>
      </c>
      <c r="N350" t="n">
        <v>0</v>
      </c>
      <c r="O350" t="n">
        <v>0</v>
      </c>
      <c r="P350" t="n">
        <v>0</v>
      </c>
      <c r="Q350" t="n">
        <v>0</v>
      </c>
      <c r="R350" s="2" t="inlineStr"/>
    </row>
    <row r="351" ht="15" customHeight="1">
      <c r="A351" t="inlineStr">
        <is>
          <t>A 45391-2025</t>
        </is>
      </c>
      <c r="B351" s="1" t="n">
        <v>45922.4077662037</v>
      </c>
      <c r="C351" s="1" t="n">
        <v>46025</v>
      </c>
      <c r="D351" t="inlineStr">
        <is>
          <t>JÄMTLANDS LÄN</t>
        </is>
      </c>
      <c r="E351" t="inlineStr">
        <is>
          <t>ÖSTERSUND</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45389-2025</t>
        </is>
      </c>
      <c r="B352" s="1" t="n">
        <v>45922.4075</v>
      </c>
      <c r="C352" s="1" t="n">
        <v>46025</v>
      </c>
      <c r="D352" t="inlineStr">
        <is>
          <t>JÄMTLANDS LÄN</t>
        </is>
      </c>
      <c r="E352" t="inlineStr">
        <is>
          <t>ÖSTERSUND</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45558-2025</t>
        </is>
      </c>
      <c r="B353" s="1" t="n">
        <v>45922</v>
      </c>
      <c r="C353" s="1" t="n">
        <v>46025</v>
      </c>
      <c r="D353" t="inlineStr">
        <is>
          <t>JÄMTLANDS LÄN</t>
        </is>
      </c>
      <c r="E353" t="inlineStr">
        <is>
          <t>ÖSTERSUND</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45297-2025</t>
        </is>
      </c>
      <c r="B354" s="1" t="n">
        <v>45920.8446412037</v>
      </c>
      <c r="C354" s="1" t="n">
        <v>46025</v>
      </c>
      <c r="D354" t="inlineStr">
        <is>
          <t>JÄMTLANDS LÄN</t>
        </is>
      </c>
      <c r="E354" t="inlineStr">
        <is>
          <t>ÖSTERSUND</t>
        </is>
      </c>
      <c r="G354" t="n">
        <v>1.8</v>
      </c>
      <c r="H354" t="n">
        <v>0</v>
      </c>
      <c r="I354" t="n">
        <v>0</v>
      </c>
      <c r="J354" t="n">
        <v>0</v>
      </c>
      <c r="K354" t="n">
        <v>0</v>
      </c>
      <c r="L354" t="n">
        <v>0</v>
      </c>
      <c r="M354" t="n">
        <v>0</v>
      </c>
      <c r="N354" t="n">
        <v>0</v>
      </c>
      <c r="O354" t="n">
        <v>0</v>
      </c>
      <c r="P354" t="n">
        <v>0</v>
      </c>
      <c r="Q354" t="n">
        <v>0</v>
      </c>
      <c r="R354" s="2" t="inlineStr"/>
    </row>
    <row r="355" ht="15" customHeight="1">
      <c r="A355" t="inlineStr">
        <is>
          <t>A 45386-2025</t>
        </is>
      </c>
      <c r="B355" s="1" t="n">
        <v>45922.40697916667</v>
      </c>
      <c r="C355" s="1" t="n">
        <v>46025</v>
      </c>
      <c r="D355" t="inlineStr">
        <is>
          <t>JÄMTLANDS LÄN</t>
        </is>
      </c>
      <c r="E355" t="inlineStr">
        <is>
          <t>ÖSTERSUND</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45388-2025</t>
        </is>
      </c>
      <c r="B356" s="1" t="n">
        <v>45922.4074537037</v>
      </c>
      <c r="C356" s="1" t="n">
        <v>46025</v>
      </c>
      <c r="D356" t="inlineStr">
        <is>
          <t>JÄMTLANDS LÄN</t>
        </is>
      </c>
      <c r="E356" t="inlineStr">
        <is>
          <t>ÖSTERSUND</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5341-2025</t>
        </is>
      </c>
      <c r="B357" s="1" t="n">
        <v>45692.55256944444</v>
      </c>
      <c r="C357" s="1" t="n">
        <v>46025</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45385-2025</t>
        </is>
      </c>
      <c r="B358" s="1" t="n">
        <v>45922.40680555555</v>
      </c>
      <c r="C358" s="1" t="n">
        <v>46025</v>
      </c>
      <c r="D358" t="inlineStr">
        <is>
          <t>JÄMTLANDS LÄN</t>
        </is>
      </c>
      <c r="E358" t="inlineStr">
        <is>
          <t>ÖSTERSUND</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45481-2025</t>
        </is>
      </c>
      <c r="B359" s="1" t="n">
        <v>45922.53217592592</v>
      </c>
      <c r="C359" s="1" t="n">
        <v>46025</v>
      </c>
      <c r="D359" t="inlineStr">
        <is>
          <t>JÄMTLANDS LÄN</t>
        </is>
      </c>
      <c r="E359" t="inlineStr">
        <is>
          <t>ÖSTERSUND</t>
        </is>
      </c>
      <c r="G359" t="n">
        <v>3</v>
      </c>
      <c r="H359" t="n">
        <v>0</v>
      </c>
      <c r="I359" t="n">
        <v>0</v>
      </c>
      <c r="J359" t="n">
        <v>0</v>
      </c>
      <c r="K359" t="n">
        <v>0</v>
      </c>
      <c r="L359" t="n">
        <v>0</v>
      </c>
      <c r="M359" t="n">
        <v>0</v>
      </c>
      <c r="N359" t="n">
        <v>0</v>
      </c>
      <c r="O359" t="n">
        <v>0</v>
      </c>
      <c r="P359" t="n">
        <v>0</v>
      </c>
      <c r="Q359" t="n">
        <v>0</v>
      </c>
      <c r="R359" s="2" t="inlineStr"/>
    </row>
    <row r="360" ht="15" customHeight="1">
      <c r="A360" t="inlineStr">
        <is>
          <t>A 46152-2025</t>
        </is>
      </c>
      <c r="B360" s="1" t="n">
        <v>45924.61512731481</v>
      </c>
      <c r="C360" s="1" t="n">
        <v>46025</v>
      </c>
      <c r="D360" t="inlineStr">
        <is>
          <t>JÄMTLANDS LÄN</t>
        </is>
      </c>
      <c r="E360" t="inlineStr">
        <is>
          <t>ÖSTERSUND</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46202-2025</t>
        </is>
      </c>
      <c r="B361" s="1" t="n">
        <v>45924.70346064815</v>
      </c>
      <c r="C361" s="1" t="n">
        <v>46025</v>
      </c>
      <c r="D361" t="inlineStr">
        <is>
          <t>JÄMTLANDS LÄN</t>
        </is>
      </c>
      <c r="E361" t="inlineStr">
        <is>
          <t>ÖSTERSUND</t>
        </is>
      </c>
      <c r="G361" t="n">
        <v>1</v>
      </c>
      <c r="H361" t="n">
        <v>0</v>
      </c>
      <c r="I361" t="n">
        <v>0</v>
      </c>
      <c r="J361" t="n">
        <v>0</v>
      </c>
      <c r="K361" t="n">
        <v>0</v>
      </c>
      <c r="L361" t="n">
        <v>0</v>
      </c>
      <c r="M361" t="n">
        <v>0</v>
      </c>
      <c r="N361" t="n">
        <v>0</v>
      </c>
      <c r="O361" t="n">
        <v>0</v>
      </c>
      <c r="P361" t="n">
        <v>0</v>
      </c>
      <c r="Q361" t="n">
        <v>0</v>
      </c>
      <c r="R361" s="2" t="inlineStr"/>
    </row>
    <row r="362" ht="15" customHeight="1">
      <c r="A362" t="inlineStr">
        <is>
          <t>A 46132-2025</t>
        </is>
      </c>
      <c r="B362" s="1" t="n">
        <v>45924.59484953704</v>
      </c>
      <c r="C362" s="1" t="n">
        <v>46025</v>
      </c>
      <c r="D362" t="inlineStr">
        <is>
          <t>JÄMTLANDS LÄN</t>
        </is>
      </c>
      <c r="E362" t="inlineStr">
        <is>
          <t>ÖSTERSUND</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1255-2025</t>
        </is>
      </c>
      <c r="B363" s="1" t="n">
        <v>45667.46922453704</v>
      </c>
      <c r="C363" s="1" t="n">
        <v>46025</v>
      </c>
      <c r="D363" t="inlineStr">
        <is>
          <t>JÄMTLANDS LÄN</t>
        </is>
      </c>
      <c r="E363" t="inlineStr">
        <is>
          <t>ÖSTERSUND</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5549-2025</t>
        </is>
      </c>
      <c r="B364" s="1" t="n">
        <v>45693</v>
      </c>
      <c r="C364" s="1" t="n">
        <v>46025</v>
      </c>
      <c r="D364" t="inlineStr">
        <is>
          <t>JÄMTLANDS LÄN</t>
        </is>
      </c>
      <c r="E364" t="inlineStr">
        <is>
          <t>ÖSTERSUND</t>
        </is>
      </c>
      <c r="G364" t="n">
        <v>1.5</v>
      </c>
      <c r="H364" t="n">
        <v>0</v>
      </c>
      <c r="I364" t="n">
        <v>0</v>
      </c>
      <c r="J364" t="n">
        <v>0</v>
      </c>
      <c r="K364" t="n">
        <v>0</v>
      </c>
      <c r="L364" t="n">
        <v>0</v>
      </c>
      <c r="M364" t="n">
        <v>0</v>
      </c>
      <c r="N364" t="n">
        <v>0</v>
      </c>
      <c r="O364" t="n">
        <v>0</v>
      </c>
      <c r="P364" t="n">
        <v>0</v>
      </c>
      <c r="Q364" t="n">
        <v>0</v>
      </c>
      <c r="R364" s="2" t="inlineStr"/>
    </row>
    <row r="365" ht="15" customHeight="1">
      <c r="A365" t="inlineStr">
        <is>
          <t>A 33831-2021</t>
        </is>
      </c>
      <c r="B365" s="1" t="n">
        <v>44378</v>
      </c>
      <c r="C365" s="1" t="n">
        <v>46025</v>
      </c>
      <c r="D365" t="inlineStr">
        <is>
          <t>JÄMTLANDS LÄN</t>
        </is>
      </c>
      <c r="E365" t="inlineStr">
        <is>
          <t>ÖSTERSUND</t>
        </is>
      </c>
      <c r="G365" t="n">
        <v>2.5</v>
      </c>
      <c r="H365" t="n">
        <v>0</v>
      </c>
      <c r="I365" t="n">
        <v>0</v>
      </c>
      <c r="J365" t="n">
        <v>0</v>
      </c>
      <c r="K365" t="n">
        <v>0</v>
      </c>
      <c r="L365" t="n">
        <v>0</v>
      </c>
      <c r="M365" t="n">
        <v>0</v>
      </c>
      <c r="N365" t="n">
        <v>0</v>
      </c>
      <c r="O365" t="n">
        <v>0</v>
      </c>
      <c r="P365" t="n">
        <v>0</v>
      </c>
      <c r="Q365" t="n">
        <v>0</v>
      </c>
      <c r="R365" s="2" t="inlineStr"/>
    </row>
    <row r="366" ht="15" customHeight="1">
      <c r="A366" t="inlineStr">
        <is>
          <t>A 10756-2025</t>
        </is>
      </c>
      <c r="B366" s="1" t="n">
        <v>45722.44892361111</v>
      </c>
      <c r="C366" s="1" t="n">
        <v>46025</v>
      </c>
      <c r="D366" t="inlineStr">
        <is>
          <t>JÄMTLANDS LÄN</t>
        </is>
      </c>
      <c r="E366" t="inlineStr">
        <is>
          <t>ÖSTERSUND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34331-2025</t>
        </is>
      </c>
      <c r="B367" s="1" t="n">
        <v>45846.44827546296</v>
      </c>
      <c r="C367" s="1" t="n">
        <v>46025</v>
      </c>
      <c r="D367" t="inlineStr">
        <is>
          <t>JÄMTLANDS LÄN</t>
        </is>
      </c>
      <c r="E367" t="inlineStr">
        <is>
          <t>ÖSTERSUND</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9971-2025</t>
        </is>
      </c>
      <c r="B368" s="1" t="n">
        <v>45719.38630787037</v>
      </c>
      <c r="C368" s="1" t="n">
        <v>46025</v>
      </c>
      <c r="D368" t="inlineStr">
        <is>
          <t>JÄMTLANDS LÄN</t>
        </is>
      </c>
      <c r="E368" t="inlineStr">
        <is>
          <t>ÖSTERSUND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34490-2025</t>
        </is>
      </c>
      <c r="B369" s="1" t="n">
        <v>45847.40722222222</v>
      </c>
      <c r="C369" s="1" t="n">
        <v>46025</v>
      </c>
      <c r="D369" t="inlineStr">
        <is>
          <t>JÄMTLANDS LÄN</t>
        </is>
      </c>
      <c r="E369" t="inlineStr">
        <is>
          <t>ÖSTERSUND</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46748-2023</t>
        </is>
      </c>
      <c r="B370" s="1" t="n">
        <v>45198</v>
      </c>
      <c r="C370" s="1" t="n">
        <v>46025</v>
      </c>
      <c r="D370" t="inlineStr">
        <is>
          <t>JÄMTLANDS LÄN</t>
        </is>
      </c>
      <c r="E370" t="inlineStr">
        <is>
          <t>ÖSTERSUND</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46763-2023</t>
        </is>
      </c>
      <c r="B371" s="1" t="n">
        <v>45198</v>
      </c>
      <c r="C371" s="1" t="n">
        <v>46025</v>
      </c>
      <c r="D371" t="inlineStr">
        <is>
          <t>JÄMTLANDS LÄN</t>
        </is>
      </c>
      <c r="E371" t="inlineStr">
        <is>
          <t>ÖSTERSUND</t>
        </is>
      </c>
      <c r="F371" t="inlineStr">
        <is>
          <t>Sveaskog</t>
        </is>
      </c>
      <c r="G371" t="n">
        <v>13.3</v>
      </c>
      <c r="H371" t="n">
        <v>0</v>
      </c>
      <c r="I371" t="n">
        <v>0</v>
      </c>
      <c r="J371" t="n">
        <v>0</v>
      </c>
      <c r="K371" t="n">
        <v>0</v>
      </c>
      <c r="L371" t="n">
        <v>0</v>
      </c>
      <c r="M371" t="n">
        <v>0</v>
      </c>
      <c r="N371" t="n">
        <v>0</v>
      </c>
      <c r="O371" t="n">
        <v>0</v>
      </c>
      <c r="P371" t="n">
        <v>0</v>
      </c>
      <c r="Q371" t="n">
        <v>0</v>
      </c>
      <c r="R371" s="2" t="inlineStr"/>
    </row>
    <row r="372" ht="15" customHeight="1">
      <c r="A372" t="inlineStr">
        <is>
          <t>A 57398-2023</t>
        </is>
      </c>
      <c r="B372" s="1" t="n">
        <v>45245</v>
      </c>
      <c r="C372" s="1" t="n">
        <v>46025</v>
      </c>
      <c r="D372" t="inlineStr">
        <is>
          <t>JÄMTLANDS LÄN</t>
        </is>
      </c>
      <c r="E372" t="inlineStr">
        <is>
          <t>ÖSTERSUND</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5024-2025</t>
        </is>
      </c>
      <c r="B373" s="1" t="n">
        <v>45691.40832175926</v>
      </c>
      <c r="C373" s="1" t="n">
        <v>46025</v>
      </c>
      <c r="D373" t="inlineStr">
        <is>
          <t>JÄMTLANDS LÄN</t>
        </is>
      </c>
      <c r="E373" t="inlineStr">
        <is>
          <t>ÖSTERSUND</t>
        </is>
      </c>
      <c r="G373" t="n">
        <v>0.9</v>
      </c>
      <c r="H373" t="n">
        <v>0</v>
      </c>
      <c r="I373" t="n">
        <v>0</v>
      </c>
      <c r="J373" t="n">
        <v>0</v>
      </c>
      <c r="K373" t="n">
        <v>0</v>
      </c>
      <c r="L373" t="n">
        <v>0</v>
      </c>
      <c r="M373" t="n">
        <v>0</v>
      </c>
      <c r="N373" t="n">
        <v>0</v>
      </c>
      <c r="O373" t="n">
        <v>0</v>
      </c>
      <c r="P373" t="n">
        <v>0</v>
      </c>
      <c r="Q373" t="n">
        <v>0</v>
      </c>
      <c r="R373" s="2" t="inlineStr"/>
    </row>
    <row r="374" ht="15" customHeight="1">
      <c r="A374" t="inlineStr">
        <is>
          <t>A 5025-2025</t>
        </is>
      </c>
      <c r="B374" s="1" t="n">
        <v>45691.40836805556</v>
      </c>
      <c r="C374" s="1" t="n">
        <v>46025</v>
      </c>
      <c r="D374" t="inlineStr">
        <is>
          <t>JÄMTLANDS LÄN</t>
        </is>
      </c>
      <c r="E374" t="inlineStr">
        <is>
          <t>ÖSTERSUND</t>
        </is>
      </c>
      <c r="G374" t="n">
        <v>0.1</v>
      </c>
      <c r="H374" t="n">
        <v>0</v>
      </c>
      <c r="I374" t="n">
        <v>0</v>
      </c>
      <c r="J374" t="n">
        <v>0</v>
      </c>
      <c r="K374" t="n">
        <v>0</v>
      </c>
      <c r="L374" t="n">
        <v>0</v>
      </c>
      <c r="M374" t="n">
        <v>0</v>
      </c>
      <c r="N374" t="n">
        <v>0</v>
      </c>
      <c r="O374" t="n">
        <v>0</v>
      </c>
      <c r="P374" t="n">
        <v>0</v>
      </c>
      <c r="Q374" t="n">
        <v>0</v>
      </c>
      <c r="R374" s="2" t="inlineStr"/>
    </row>
    <row r="375" ht="15" customHeight="1">
      <c r="A375" t="inlineStr">
        <is>
          <t>A 34589-2025</t>
        </is>
      </c>
      <c r="B375" s="1" t="n">
        <v>45847.61561342593</v>
      </c>
      <c r="C375" s="1" t="n">
        <v>46025</v>
      </c>
      <c r="D375" t="inlineStr">
        <is>
          <t>JÄMTLANDS LÄN</t>
        </is>
      </c>
      <c r="E375" t="inlineStr">
        <is>
          <t>ÖSTERSUND</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34587-2025</t>
        </is>
      </c>
      <c r="B376" s="1" t="n">
        <v>45847.61533564814</v>
      </c>
      <c r="C376" s="1" t="n">
        <v>46025</v>
      </c>
      <c r="D376" t="inlineStr">
        <is>
          <t>JÄMTLANDS LÄN</t>
        </is>
      </c>
      <c r="E376" t="inlineStr">
        <is>
          <t>ÖSTERSUND</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47575-2025</t>
        </is>
      </c>
      <c r="B377" s="1" t="n">
        <v>45931.40100694444</v>
      </c>
      <c r="C377" s="1" t="n">
        <v>46025</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7327-2023</t>
        </is>
      </c>
      <c r="B378" s="1" t="n">
        <v>44970.97871527778</v>
      </c>
      <c r="C378" s="1" t="n">
        <v>46025</v>
      </c>
      <c r="D378" t="inlineStr">
        <is>
          <t>JÄMTLANDS LÄN</t>
        </is>
      </c>
      <c r="E378" t="inlineStr">
        <is>
          <t>ÖSTERSUND</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7022-2025</t>
        </is>
      </c>
      <c r="B379" s="1" t="n">
        <v>45701.61899305556</v>
      </c>
      <c r="C379" s="1" t="n">
        <v>46025</v>
      </c>
      <c r="D379" t="inlineStr">
        <is>
          <t>JÄMTLANDS LÄN</t>
        </is>
      </c>
      <c r="E379" t="inlineStr">
        <is>
          <t>ÖSTERSUND</t>
        </is>
      </c>
      <c r="G379" t="n">
        <v>4.8</v>
      </c>
      <c r="H379" t="n">
        <v>0</v>
      </c>
      <c r="I379" t="n">
        <v>0</v>
      </c>
      <c r="J379" t="n">
        <v>0</v>
      </c>
      <c r="K379" t="n">
        <v>0</v>
      </c>
      <c r="L379" t="n">
        <v>0</v>
      </c>
      <c r="M379" t="n">
        <v>0</v>
      </c>
      <c r="N379" t="n">
        <v>0</v>
      </c>
      <c r="O379" t="n">
        <v>0</v>
      </c>
      <c r="P379" t="n">
        <v>0</v>
      </c>
      <c r="Q379" t="n">
        <v>0</v>
      </c>
      <c r="R379" s="2" t="inlineStr"/>
    </row>
    <row r="380" ht="15" customHeight="1">
      <c r="A380" t="inlineStr">
        <is>
          <t>A 47805-2024</t>
        </is>
      </c>
      <c r="B380" s="1" t="n">
        <v>45588.61512731481</v>
      </c>
      <c r="C380" s="1" t="n">
        <v>46025</v>
      </c>
      <c r="D380" t="inlineStr">
        <is>
          <t>JÄMTLANDS LÄN</t>
        </is>
      </c>
      <c r="E380" t="inlineStr">
        <is>
          <t>ÖSTERSUND</t>
        </is>
      </c>
      <c r="G380" t="n">
        <v>7.4</v>
      </c>
      <c r="H380" t="n">
        <v>0</v>
      </c>
      <c r="I380" t="n">
        <v>0</v>
      </c>
      <c r="J380" t="n">
        <v>0</v>
      </c>
      <c r="K380" t="n">
        <v>0</v>
      </c>
      <c r="L380" t="n">
        <v>0</v>
      </c>
      <c r="M380" t="n">
        <v>0</v>
      </c>
      <c r="N380" t="n">
        <v>0</v>
      </c>
      <c r="O380" t="n">
        <v>0</v>
      </c>
      <c r="P380" t="n">
        <v>0</v>
      </c>
      <c r="Q380" t="n">
        <v>0</v>
      </c>
      <c r="R380" s="2" t="inlineStr"/>
    </row>
    <row r="381" ht="15" customHeight="1">
      <c r="A381" t="inlineStr">
        <is>
          <t>A 26373-2025</t>
        </is>
      </c>
      <c r="B381" s="1" t="n">
        <v>45806.40677083333</v>
      </c>
      <c r="C381" s="1" t="n">
        <v>46025</v>
      </c>
      <c r="D381" t="inlineStr">
        <is>
          <t>JÄMTLANDS LÄN</t>
        </is>
      </c>
      <c r="E381" t="inlineStr">
        <is>
          <t>ÖSTERSUND</t>
        </is>
      </c>
      <c r="G381" t="n">
        <v>3.6</v>
      </c>
      <c r="H381" t="n">
        <v>0</v>
      </c>
      <c r="I381" t="n">
        <v>0</v>
      </c>
      <c r="J381" t="n">
        <v>0</v>
      </c>
      <c r="K381" t="n">
        <v>0</v>
      </c>
      <c r="L381" t="n">
        <v>0</v>
      </c>
      <c r="M381" t="n">
        <v>0</v>
      </c>
      <c r="N381" t="n">
        <v>0</v>
      </c>
      <c r="O381" t="n">
        <v>0</v>
      </c>
      <c r="P381" t="n">
        <v>0</v>
      </c>
      <c r="Q381" t="n">
        <v>0</v>
      </c>
      <c r="R381" s="2" t="inlineStr"/>
    </row>
    <row r="382" ht="15" customHeight="1">
      <c r="A382" t="inlineStr">
        <is>
          <t>A 2763-2022</t>
        </is>
      </c>
      <c r="B382" s="1" t="n">
        <v>44580</v>
      </c>
      <c r="C382" s="1" t="n">
        <v>46025</v>
      </c>
      <c r="D382" t="inlineStr">
        <is>
          <t>JÄMTLANDS LÄN</t>
        </is>
      </c>
      <c r="E382" t="inlineStr">
        <is>
          <t>ÖSTERSUND</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47563-2025</t>
        </is>
      </c>
      <c r="B383" s="1" t="n">
        <v>45931.38956018518</v>
      </c>
      <c r="C383" s="1" t="n">
        <v>46025</v>
      </c>
      <c r="D383" t="inlineStr">
        <is>
          <t>JÄMTLANDS LÄN</t>
        </is>
      </c>
      <c r="E383" t="inlineStr">
        <is>
          <t>ÖSTERSUND</t>
        </is>
      </c>
      <c r="G383" t="n">
        <v>2.3</v>
      </c>
      <c r="H383" t="n">
        <v>0</v>
      </c>
      <c r="I383" t="n">
        <v>0</v>
      </c>
      <c r="J383" t="n">
        <v>0</v>
      </c>
      <c r="K383" t="n">
        <v>0</v>
      </c>
      <c r="L383" t="n">
        <v>0</v>
      </c>
      <c r="M383" t="n">
        <v>0</v>
      </c>
      <c r="N383" t="n">
        <v>0</v>
      </c>
      <c r="O383" t="n">
        <v>0</v>
      </c>
      <c r="P383" t="n">
        <v>0</v>
      </c>
      <c r="Q383" t="n">
        <v>0</v>
      </c>
      <c r="R383" s="2" t="inlineStr"/>
    </row>
    <row r="384" ht="15" customHeight="1">
      <c r="A384" t="inlineStr">
        <is>
          <t>A 47759-2025</t>
        </is>
      </c>
      <c r="B384" s="1" t="n">
        <v>45931.67381944445</v>
      </c>
      <c r="C384" s="1" t="n">
        <v>46025</v>
      </c>
      <c r="D384" t="inlineStr">
        <is>
          <t>JÄMTLANDS LÄN</t>
        </is>
      </c>
      <c r="E384" t="inlineStr">
        <is>
          <t>ÖSTERSUND</t>
        </is>
      </c>
      <c r="G384" t="n">
        <v>1.9</v>
      </c>
      <c r="H384" t="n">
        <v>0</v>
      </c>
      <c r="I384" t="n">
        <v>0</v>
      </c>
      <c r="J384" t="n">
        <v>0</v>
      </c>
      <c r="K384" t="n">
        <v>0</v>
      </c>
      <c r="L384" t="n">
        <v>0</v>
      </c>
      <c r="M384" t="n">
        <v>0</v>
      </c>
      <c r="N384" t="n">
        <v>0</v>
      </c>
      <c r="O384" t="n">
        <v>0</v>
      </c>
      <c r="P384" t="n">
        <v>0</v>
      </c>
      <c r="Q384" t="n">
        <v>0</v>
      </c>
      <c r="R384" s="2" t="inlineStr"/>
    </row>
    <row r="385" ht="15" customHeight="1">
      <c r="A385" t="inlineStr">
        <is>
          <t>A 46732-2024</t>
        </is>
      </c>
      <c r="B385" s="1" t="n">
        <v>45583.46936342592</v>
      </c>
      <c r="C385" s="1" t="n">
        <v>46025</v>
      </c>
      <c r="D385" t="inlineStr">
        <is>
          <t>JÄMTLANDS LÄN</t>
        </is>
      </c>
      <c r="E385" t="inlineStr">
        <is>
          <t>ÖSTERSUND</t>
        </is>
      </c>
      <c r="G385" t="n">
        <v>3.3</v>
      </c>
      <c r="H385" t="n">
        <v>0</v>
      </c>
      <c r="I385" t="n">
        <v>0</v>
      </c>
      <c r="J385" t="n">
        <v>0</v>
      </c>
      <c r="K385" t="n">
        <v>0</v>
      </c>
      <c r="L385" t="n">
        <v>0</v>
      </c>
      <c r="M385" t="n">
        <v>0</v>
      </c>
      <c r="N385" t="n">
        <v>0</v>
      </c>
      <c r="O385" t="n">
        <v>0</v>
      </c>
      <c r="P385" t="n">
        <v>0</v>
      </c>
      <c r="Q385" t="n">
        <v>0</v>
      </c>
      <c r="R385" s="2" t="inlineStr"/>
    </row>
    <row r="386" ht="15" customHeight="1">
      <c r="A386" t="inlineStr">
        <is>
          <t>A 47579-2025</t>
        </is>
      </c>
      <c r="B386" s="1" t="n">
        <v>45931.40671296296</v>
      </c>
      <c r="C386" s="1" t="n">
        <v>46025</v>
      </c>
      <c r="D386" t="inlineStr">
        <is>
          <t>JÄMTLANDS LÄN</t>
        </is>
      </c>
      <c r="E386" t="inlineStr">
        <is>
          <t>ÖSTERSUND</t>
        </is>
      </c>
      <c r="G386" t="n">
        <v>5.8</v>
      </c>
      <c r="H386" t="n">
        <v>0</v>
      </c>
      <c r="I386" t="n">
        <v>0</v>
      </c>
      <c r="J386" t="n">
        <v>0</v>
      </c>
      <c r="K386" t="n">
        <v>0</v>
      </c>
      <c r="L386" t="n">
        <v>0</v>
      </c>
      <c r="M386" t="n">
        <v>0</v>
      </c>
      <c r="N386" t="n">
        <v>0</v>
      </c>
      <c r="O386" t="n">
        <v>0</v>
      </c>
      <c r="P386" t="n">
        <v>0</v>
      </c>
      <c r="Q386" t="n">
        <v>0</v>
      </c>
      <c r="R386" s="2" t="inlineStr"/>
    </row>
    <row r="387" ht="15" customHeight="1">
      <c r="A387" t="inlineStr">
        <is>
          <t>A 45338-2024</t>
        </is>
      </c>
      <c r="B387" s="1" t="n">
        <v>45576.46905092592</v>
      </c>
      <c r="C387" s="1" t="n">
        <v>46025</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45895-2024</t>
        </is>
      </c>
      <c r="B388" s="1" t="n">
        <v>45580.42736111111</v>
      </c>
      <c r="C388" s="1" t="n">
        <v>46025</v>
      </c>
      <c r="D388" t="inlineStr">
        <is>
          <t>JÄMTLANDS LÄN</t>
        </is>
      </c>
      <c r="E388" t="inlineStr">
        <is>
          <t>ÖSTERSUND</t>
        </is>
      </c>
      <c r="G388" t="n">
        <v>1.2</v>
      </c>
      <c r="H388" t="n">
        <v>0</v>
      </c>
      <c r="I388" t="n">
        <v>0</v>
      </c>
      <c r="J388" t="n">
        <v>0</v>
      </c>
      <c r="K388" t="n">
        <v>0</v>
      </c>
      <c r="L388" t="n">
        <v>0</v>
      </c>
      <c r="M388" t="n">
        <v>0</v>
      </c>
      <c r="N388" t="n">
        <v>0</v>
      </c>
      <c r="O388" t="n">
        <v>0</v>
      </c>
      <c r="P388" t="n">
        <v>0</v>
      </c>
      <c r="Q388" t="n">
        <v>0</v>
      </c>
      <c r="R388" s="2" t="inlineStr"/>
    </row>
    <row r="389" ht="15" customHeight="1">
      <c r="A389" t="inlineStr">
        <is>
          <t>A 2686-2021</t>
        </is>
      </c>
      <c r="B389" s="1" t="n">
        <v>44214</v>
      </c>
      <c r="C389" s="1" t="n">
        <v>46025</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4311-2025</t>
        </is>
      </c>
      <c r="B390" s="1" t="n">
        <v>45685.69267361111</v>
      </c>
      <c r="C390" s="1" t="n">
        <v>46025</v>
      </c>
      <c r="D390" t="inlineStr">
        <is>
          <t>JÄMTLANDS LÄN</t>
        </is>
      </c>
      <c r="E390" t="inlineStr">
        <is>
          <t>ÖSTERSUND</t>
        </is>
      </c>
      <c r="G390" t="n">
        <v>0.7</v>
      </c>
      <c r="H390" t="n">
        <v>0</v>
      </c>
      <c r="I390" t="n">
        <v>0</v>
      </c>
      <c r="J390" t="n">
        <v>0</v>
      </c>
      <c r="K390" t="n">
        <v>0</v>
      </c>
      <c r="L390" t="n">
        <v>0</v>
      </c>
      <c r="M390" t="n">
        <v>0</v>
      </c>
      <c r="N390" t="n">
        <v>0</v>
      </c>
      <c r="O390" t="n">
        <v>0</v>
      </c>
      <c r="P390" t="n">
        <v>0</v>
      </c>
      <c r="Q390" t="n">
        <v>0</v>
      </c>
      <c r="R390" s="2" t="inlineStr"/>
    </row>
    <row r="391" ht="15" customHeight="1">
      <c r="A391" t="inlineStr">
        <is>
          <t>A 56811-2025</t>
        </is>
      </c>
      <c r="B391" s="1" t="n">
        <v>45978.45540509259</v>
      </c>
      <c r="C391" s="1" t="n">
        <v>46025</v>
      </c>
      <c r="D391" t="inlineStr">
        <is>
          <t>JÄMTLANDS LÄN</t>
        </is>
      </c>
      <c r="E391" t="inlineStr">
        <is>
          <t>ÖSTERSUND</t>
        </is>
      </c>
      <c r="G391" t="n">
        <v>0.7</v>
      </c>
      <c r="H391" t="n">
        <v>0</v>
      </c>
      <c r="I391" t="n">
        <v>0</v>
      </c>
      <c r="J391" t="n">
        <v>0</v>
      </c>
      <c r="K391" t="n">
        <v>0</v>
      </c>
      <c r="L391" t="n">
        <v>0</v>
      </c>
      <c r="M391" t="n">
        <v>0</v>
      </c>
      <c r="N391" t="n">
        <v>0</v>
      </c>
      <c r="O391" t="n">
        <v>0</v>
      </c>
      <c r="P391" t="n">
        <v>0</v>
      </c>
      <c r="Q391" t="n">
        <v>0</v>
      </c>
      <c r="R391" s="2" t="inlineStr"/>
    </row>
    <row r="392" ht="15" customHeight="1">
      <c r="A392" t="inlineStr">
        <is>
          <t>A 8003-2025</t>
        </is>
      </c>
      <c r="B392" s="1" t="n">
        <v>45707</v>
      </c>
      <c r="C392" s="1" t="n">
        <v>46025</v>
      </c>
      <c r="D392" t="inlineStr">
        <is>
          <t>JÄMTLANDS LÄN</t>
        </is>
      </c>
      <c r="E392" t="inlineStr">
        <is>
          <t>ÖSTERSUND</t>
        </is>
      </c>
      <c r="F392" t="inlineStr">
        <is>
          <t>Övriga Aktiebolag</t>
        </is>
      </c>
      <c r="G392" t="n">
        <v>35.1</v>
      </c>
      <c r="H392" t="n">
        <v>0</v>
      </c>
      <c r="I392" t="n">
        <v>0</v>
      </c>
      <c r="J392" t="n">
        <v>0</v>
      </c>
      <c r="K392" t="n">
        <v>0</v>
      </c>
      <c r="L392" t="n">
        <v>0</v>
      </c>
      <c r="M392" t="n">
        <v>0</v>
      </c>
      <c r="N392" t="n">
        <v>0</v>
      </c>
      <c r="O392" t="n">
        <v>0</v>
      </c>
      <c r="P392" t="n">
        <v>0</v>
      </c>
      <c r="Q392" t="n">
        <v>0</v>
      </c>
      <c r="R392" s="2" t="inlineStr"/>
    </row>
    <row r="393" ht="15" customHeight="1">
      <c r="A393" t="inlineStr">
        <is>
          <t>A 38644-2021</t>
        </is>
      </c>
      <c r="B393" s="1" t="n">
        <v>44410.35376157407</v>
      </c>
      <c r="C393" s="1" t="n">
        <v>46025</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19581-2025</t>
        </is>
      </c>
      <c r="B394" s="1" t="n">
        <v>45770.56363425926</v>
      </c>
      <c r="C394" s="1" t="n">
        <v>46025</v>
      </c>
      <c r="D394" t="inlineStr">
        <is>
          <t>JÄMTLANDS LÄN</t>
        </is>
      </c>
      <c r="E394" t="inlineStr">
        <is>
          <t>ÖSTERSUND</t>
        </is>
      </c>
      <c r="G394" t="n">
        <v>17.2</v>
      </c>
      <c r="H394" t="n">
        <v>0</v>
      </c>
      <c r="I394" t="n">
        <v>0</v>
      </c>
      <c r="J394" t="n">
        <v>0</v>
      </c>
      <c r="K394" t="n">
        <v>0</v>
      </c>
      <c r="L394" t="n">
        <v>0</v>
      </c>
      <c r="M394" t="n">
        <v>0</v>
      </c>
      <c r="N394" t="n">
        <v>0</v>
      </c>
      <c r="O394" t="n">
        <v>0</v>
      </c>
      <c r="P394" t="n">
        <v>0</v>
      </c>
      <c r="Q394" t="n">
        <v>0</v>
      </c>
      <c r="R394" s="2" t="inlineStr"/>
    </row>
    <row r="395" ht="15" customHeight="1">
      <c r="A395" t="inlineStr">
        <is>
          <t>A 62111-2024</t>
        </is>
      </c>
      <c r="B395" s="1" t="n">
        <v>45656.53215277778</v>
      </c>
      <c r="C395" s="1" t="n">
        <v>46025</v>
      </c>
      <c r="D395" t="inlineStr">
        <is>
          <t>JÄMTLANDS LÄN</t>
        </is>
      </c>
      <c r="E395" t="inlineStr">
        <is>
          <t>ÖSTERSUND</t>
        </is>
      </c>
      <c r="G395" t="n">
        <v>3.4</v>
      </c>
      <c r="H395" t="n">
        <v>0</v>
      </c>
      <c r="I395" t="n">
        <v>0</v>
      </c>
      <c r="J395" t="n">
        <v>0</v>
      </c>
      <c r="K395" t="n">
        <v>0</v>
      </c>
      <c r="L395" t="n">
        <v>0</v>
      </c>
      <c r="M395" t="n">
        <v>0</v>
      </c>
      <c r="N395" t="n">
        <v>0</v>
      </c>
      <c r="O395" t="n">
        <v>0</v>
      </c>
      <c r="P395" t="n">
        <v>0</v>
      </c>
      <c r="Q395" t="n">
        <v>0</v>
      </c>
      <c r="R395" s="2" t="inlineStr"/>
    </row>
    <row r="396" ht="15" customHeight="1">
      <c r="A396" t="inlineStr">
        <is>
          <t>A 22082-2022</t>
        </is>
      </c>
      <c r="B396" s="1" t="n">
        <v>44711.9403587963</v>
      </c>
      <c r="C396" s="1" t="n">
        <v>46025</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41802-2021</t>
        </is>
      </c>
      <c r="B397" s="1" t="n">
        <v>44425</v>
      </c>
      <c r="C397" s="1" t="n">
        <v>46025</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7953-2025</t>
        </is>
      </c>
      <c r="B398" s="1" t="n">
        <v>45707.42392361111</v>
      </c>
      <c r="C398" s="1" t="n">
        <v>46025</v>
      </c>
      <c r="D398" t="inlineStr">
        <is>
          <t>JÄMTLANDS LÄN</t>
        </is>
      </c>
      <c r="E398" t="inlineStr">
        <is>
          <t>ÖSTERSUND</t>
        </is>
      </c>
      <c r="G398" t="n">
        <v>1.8</v>
      </c>
      <c r="H398" t="n">
        <v>0</v>
      </c>
      <c r="I398" t="n">
        <v>0</v>
      </c>
      <c r="J398" t="n">
        <v>0</v>
      </c>
      <c r="K398" t="n">
        <v>0</v>
      </c>
      <c r="L398" t="n">
        <v>0</v>
      </c>
      <c r="M398" t="n">
        <v>0</v>
      </c>
      <c r="N398" t="n">
        <v>0</v>
      </c>
      <c r="O398" t="n">
        <v>0</v>
      </c>
      <c r="P398" t="n">
        <v>0</v>
      </c>
      <c r="Q398" t="n">
        <v>0</v>
      </c>
      <c r="R398" s="2" t="inlineStr"/>
    </row>
    <row r="399" ht="15" customHeight="1">
      <c r="A399" t="inlineStr">
        <is>
          <t>A 49039-2025</t>
        </is>
      </c>
      <c r="B399" s="1" t="n">
        <v>45937.63275462963</v>
      </c>
      <c r="C399" s="1" t="n">
        <v>46025</v>
      </c>
      <c r="D399" t="inlineStr">
        <is>
          <t>JÄMTLANDS LÄN</t>
        </is>
      </c>
      <c r="E399" t="inlineStr">
        <is>
          <t>ÖSTERSUND</t>
        </is>
      </c>
      <c r="G399" t="n">
        <v>1.6</v>
      </c>
      <c r="H399" t="n">
        <v>0</v>
      </c>
      <c r="I399" t="n">
        <v>0</v>
      </c>
      <c r="J399" t="n">
        <v>0</v>
      </c>
      <c r="K399" t="n">
        <v>0</v>
      </c>
      <c r="L399" t="n">
        <v>0</v>
      </c>
      <c r="M399" t="n">
        <v>0</v>
      </c>
      <c r="N399" t="n">
        <v>0</v>
      </c>
      <c r="O399" t="n">
        <v>0</v>
      </c>
      <c r="P399" t="n">
        <v>0</v>
      </c>
      <c r="Q399" t="n">
        <v>0</v>
      </c>
      <c r="R399" s="2" t="inlineStr"/>
    </row>
    <row r="400" ht="15" customHeight="1">
      <c r="A400" t="inlineStr">
        <is>
          <t>A 57268-2025</t>
        </is>
      </c>
      <c r="B400" s="1" t="n">
        <v>45979.6756712963</v>
      </c>
      <c r="C400" s="1" t="n">
        <v>46025</v>
      </c>
      <c r="D400" t="inlineStr">
        <is>
          <t>JÄMTLANDS LÄN</t>
        </is>
      </c>
      <c r="E400" t="inlineStr">
        <is>
          <t>ÖSTERSUND</t>
        </is>
      </c>
      <c r="F400" t="inlineStr">
        <is>
          <t>Kommuner</t>
        </is>
      </c>
      <c r="G400" t="n">
        <v>0.7</v>
      </c>
      <c r="H400" t="n">
        <v>0</v>
      </c>
      <c r="I400" t="n">
        <v>0</v>
      </c>
      <c r="J400" t="n">
        <v>0</v>
      </c>
      <c r="K400" t="n">
        <v>0</v>
      </c>
      <c r="L400" t="n">
        <v>0</v>
      </c>
      <c r="M400" t="n">
        <v>0</v>
      </c>
      <c r="N400" t="n">
        <v>0</v>
      </c>
      <c r="O400" t="n">
        <v>0</v>
      </c>
      <c r="P400" t="n">
        <v>0</v>
      </c>
      <c r="Q400" t="n">
        <v>0</v>
      </c>
      <c r="R400" s="2" t="inlineStr"/>
    </row>
    <row r="401" ht="15" customHeight="1">
      <c r="A401" t="inlineStr">
        <is>
          <t>A 13738-2025</t>
        </is>
      </c>
      <c r="B401" s="1" t="n">
        <v>45737.40131944444</v>
      </c>
      <c r="C401" s="1" t="n">
        <v>46025</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48893-2025</t>
        </is>
      </c>
      <c r="B402" s="1" t="n">
        <v>45937.47302083333</v>
      </c>
      <c r="C402" s="1" t="n">
        <v>46025</v>
      </c>
      <c r="D402" t="inlineStr">
        <is>
          <t>JÄMTLANDS LÄN</t>
        </is>
      </c>
      <c r="E402" t="inlineStr">
        <is>
          <t>ÖSTERSUND</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55365-2024</t>
        </is>
      </c>
      <c r="B403" s="1" t="n">
        <v>45621.86827546296</v>
      </c>
      <c r="C403" s="1" t="n">
        <v>46025</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60349-2024</t>
        </is>
      </c>
      <c r="B404" s="1" t="n">
        <v>45643.42986111111</v>
      </c>
      <c r="C404" s="1" t="n">
        <v>46025</v>
      </c>
      <c r="D404" t="inlineStr">
        <is>
          <t>JÄMTLANDS LÄN</t>
        </is>
      </c>
      <c r="E404" t="inlineStr">
        <is>
          <t>ÖSTERSUND</t>
        </is>
      </c>
      <c r="F404" t="inlineStr">
        <is>
          <t>Sveaskog</t>
        </is>
      </c>
      <c r="G404" t="n">
        <v>16.6</v>
      </c>
      <c r="H404" t="n">
        <v>0</v>
      </c>
      <c r="I404" t="n">
        <v>0</v>
      </c>
      <c r="J404" t="n">
        <v>0</v>
      </c>
      <c r="K404" t="n">
        <v>0</v>
      </c>
      <c r="L404" t="n">
        <v>0</v>
      </c>
      <c r="M404" t="n">
        <v>0</v>
      </c>
      <c r="N404" t="n">
        <v>0</v>
      </c>
      <c r="O404" t="n">
        <v>0</v>
      </c>
      <c r="P404" t="n">
        <v>0</v>
      </c>
      <c r="Q404" t="n">
        <v>0</v>
      </c>
      <c r="R404" s="2" t="inlineStr"/>
    </row>
    <row r="405" ht="15" customHeight="1">
      <c r="A405" t="inlineStr">
        <is>
          <t>A 19664-2025</t>
        </is>
      </c>
      <c r="B405" s="1" t="n">
        <v>45770.6925462963</v>
      </c>
      <c r="C405" s="1" t="n">
        <v>46025</v>
      </c>
      <c r="D405" t="inlineStr">
        <is>
          <t>JÄMTLANDS LÄN</t>
        </is>
      </c>
      <c r="E405" t="inlineStr">
        <is>
          <t>ÖSTERSUND</t>
        </is>
      </c>
      <c r="G405" t="n">
        <v>8.6</v>
      </c>
      <c r="H405" t="n">
        <v>0</v>
      </c>
      <c r="I405" t="n">
        <v>0</v>
      </c>
      <c r="J405" t="n">
        <v>0</v>
      </c>
      <c r="K405" t="n">
        <v>0</v>
      </c>
      <c r="L405" t="n">
        <v>0</v>
      </c>
      <c r="M405" t="n">
        <v>0</v>
      </c>
      <c r="N405" t="n">
        <v>0</v>
      </c>
      <c r="O405" t="n">
        <v>0</v>
      </c>
      <c r="P405" t="n">
        <v>0</v>
      </c>
      <c r="Q405" t="n">
        <v>0</v>
      </c>
      <c r="R405" s="2" t="inlineStr"/>
    </row>
    <row r="406" ht="15" customHeight="1">
      <c r="A406" t="inlineStr">
        <is>
          <t>A 31464-2024</t>
        </is>
      </c>
      <c r="B406" s="1" t="n">
        <v>45505.95078703704</v>
      </c>
      <c r="C406" s="1" t="n">
        <v>46025</v>
      </c>
      <c r="D406" t="inlineStr">
        <is>
          <t>JÄMTLANDS LÄN</t>
        </is>
      </c>
      <c r="E406" t="inlineStr">
        <is>
          <t>ÖSTERSUND</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49576-2025</t>
        </is>
      </c>
      <c r="B407" s="1" t="n">
        <v>45939</v>
      </c>
      <c r="C407" s="1" t="n">
        <v>46025</v>
      </c>
      <c r="D407" t="inlineStr">
        <is>
          <t>JÄMTLANDS LÄN</t>
        </is>
      </c>
      <c r="E407" t="inlineStr">
        <is>
          <t>ÖSTERSUND</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47022-2024</t>
        </is>
      </c>
      <c r="B408" s="1" t="n">
        <v>45586.40660879629</v>
      </c>
      <c r="C408" s="1" t="n">
        <v>46025</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49572-2025</t>
        </is>
      </c>
      <c r="B409" s="1" t="n">
        <v>45939.49018518518</v>
      </c>
      <c r="C409" s="1" t="n">
        <v>46025</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58440-2025</t>
        </is>
      </c>
      <c r="B410" s="1" t="n">
        <v>45985.61524305555</v>
      </c>
      <c r="C410" s="1" t="n">
        <v>46025</v>
      </c>
      <c r="D410" t="inlineStr">
        <is>
          <t>JÄMTLANDS LÄN</t>
        </is>
      </c>
      <c r="E410" t="inlineStr">
        <is>
          <t>ÖSTERSUND</t>
        </is>
      </c>
      <c r="G410" t="n">
        <v>1.3</v>
      </c>
      <c r="H410" t="n">
        <v>0</v>
      </c>
      <c r="I410" t="n">
        <v>0</v>
      </c>
      <c r="J410" t="n">
        <v>0</v>
      </c>
      <c r="K410" t="n">
        <v>0</v>
      </c>
      <c r="L410" t="n">
        <v>0</v>
      </c>
      <c r="M410" t="n">
        <v>0</v>
      </c>
      <c r="N410" t="n">
        <v>0</v>
      </c>
      <c r="O410" t="n">
        <v>0</v>
      </c>
      <c r="P410" t="n">
        <v>0</v>
      </c>
      <c r="Q410" t="n">
        <v>0</v>
      </c>
      <c r="R410" s="2" t="inlineStr"/>
    </row>
    <row r="411" ht="15" customHeight="1">
      <c r="A411" t="inlineStr">
        <is>
          <t>A 50168-2025</t>
        </is>
      </c>
      <c r="B411" s="1" t="n">
        <v>45943.59442129629</v>
      </c>
      <c r="C411" s="1" t="n">
        <v>46025</v>
      </c>
      <c r="D411" t="inlineStr">
        <is>
          <t>JÄMTLANDS LÄN</t>
        </is>
      </c>
      <c r="E411" t="inlineStr">
        <is>
          <t>ÖSTERSUND</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58353-2025</t>
        </is>
      </c>
      <c r="B412" s="1" t="n">
        <v>45985.51128472222</v>
      </c>
      <c r="C412" s="1" t="n">
        <v>46025</v>
      </c>
      <c r="D412" t="inlineStr">
        <is>
          <t>JÄMTLANDS LÄN</t>
        </is>
      </c>
      <c r="E412" t="inlineStr">
        <is>
          <t>ÖSTERSUND</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62225-2022</t>
        </is>
      </c>
      <c r="B413" s="1" t="n">
        <v>44922</v>
      </c>
      <c r="C413" s="1" t="n">
        <v>46025</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9552-2025</t>
        </is>
      </c>
      <c r="B414" s="1" t="n">
        <v>45715.59545138889</v>
      </c>
      <c r="C414" s="1" t="n">
        <v>46025</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4500-2025</t>
        </is>
      </c>
      <c r="B415" s="1" t="n">
        <v>45686.6859375</v>
      </c>
      <c r="C415" s="1" t="n">
        <v>46025</v>
      </c>
      <c r="D415" t="inlineStr">
        <is>
          <t>JÄMTLANDS LÄN</t>
        </is>
      </c>
      <c r="E415" t="inlineStr">
        <is>
          <t>ÖSTERSUND</t>
        </is>
      </c>
      <c r="G415" t="n">
        <v>28.4</v>
      </c>
      <c r="H415" t="n">
        <v>0</v>
      </c>
      <c r="I415" t="n">
        <v>0</v>
      </c>
      <c r="J415" t="n">
        <v>0</v>
      </c>
      <c r="K415" t="n">
        <v>0</v>
      </c>
      <c r="L415" t="n">
        <v>0</v>
      </c>
      <c r="M415" t="n">
        <v>0</v>
      </c>
      <c r="N415" t="n">
        <v>0</v>
      </c>
      <c r="O415" t="n">
        <v>0</v>
      </c>
      <c r="P415" t="n">
        <v>0</v>
      </c>
      <c r="Q415" t="n">
        <v>0</v>
      </c>
      <c r="R415" s="2" t="inlineStr"/>
    </row>
    <row r="416" ht="15" customHeight="1">
      <c r="A416" t="inlineStr">
        <is>
          <t>A 25228-2025</t>
        </is>
      </c>
      <c r="B416" s="1" t="n">
        <v>45800.48368055555</v>
      </c>
      <c r="C416" s="1" t="n">
        <v>46025</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58583-2025</t>
        </is>
      </c>
      <c r="B417" s="1" t="n">
        <v>45986.39024305555</v>
      </c>
      <c r="C417" s="1" t="n">
        <v>46025</v>
      </c>
      <c r="D417" t="inlineStr">
        <is>
          <t>JÄMTLANDS LÄN</t>
        </is>
      </c>
      <c r="E417" t="inlineStr">
        <is>
          <t>ÖSTERSUND</t>
        </is>
      </c>
      <c r="G417" t="n">
        <v>43.1</v>
      </c>
      <c r="H417" t="n">
        <v>0</v>
      </c>
      <c r="I417" t="n">
        <v>0</v>
      </c>
      <c r="J417" t="n">
        <v>0</v>
      </c>
      <c r="K417" t="n">
        <v>0</v>
      </c>
      <c r="L417" t="n">
        <v>0</v>
      </c>
      <c r="M417" t="n">
        <v>0</v>
      </c>
      <c r="N417" t="n">
        <v>0</v>
      </c>
      <c r="O417" t="n">
        <v>0</v>
      </c>
      <c r="P417" t="n">
        <v>0</v>
      </c>
      <c r="Q417" t="n">
        <v>0</v>
      </c>
      <c r="R417" s="2" t="inlineStr"/>
    </row>
    <row r="418" ht="15" customHeight="1">
      <c r="A418" t="inlineStr">
        <is>
          <t>A 58354-2025</t>
        </is>
      </c>
      <c r="B418" s="1" t="n">
        <v>45985.51131944444</v>
      </c>
      <c r="C418" s="1" t="n">
        <v>46025</v>
      </c>
      <c r="D418" t="inlineStr">
        <is>
          <t>JÄMTLANDS LÄN</t>
        </is>
      </c>
      <c r="E418" t="inlineStr">
        <is>
          <t>ÖSTERSUND</t>
        </is>
      </c>
      <c r="G418" t="n">
        <v>1.5</v>
      </c>
      <c r="H418" t="n">
        <v>0</v>
      </c>
      <c r="I418" t="n">
        <v>0</v>
      </c>
      <c r="J418" t="n">
        <v>0</v>
      </c>
      <c r="K418" t="n">
        <v>0</v>
      </c>
      <c r="L418" t="n">
        <v>0</v>
      </c>
      <c r="M418" t="n">
        <v>0</v>
      </c>
      <c r="N418" t="n">
        <v>0</v>
      </c>
      <c r="O418" t="n">
        <v>0</v>
      </c>
      <c r="P418" t="n">
        <v>0</v>
      </c>
      <c r="Q418" t="n">
        <v>0</v>
      </c>
      <c r="R418" s="2" t="inlineStr"/>
    </row>
    <row r="419" ht="15" customHeight="1">
      <c r="A419" t="inlineStr">
        <is>
          <t>A 44051-2021</t>
        </is>
      </c>
      <c r="B419" s="1" t="n">
        <v>44434</v>
      </c>
      <c r="C419" s="1" t="n">
        <v>46025</v>
      </c>
      <c r="D419" t="inlineStr">
        <is>
          <t>JÄMTLANDS LÄN</t>
        </is>
      </c>
      <c r="E419" t="inlineStr">
        <is>
          <t>ÖSTERSUND</t>
        </is>
      </c>
      <c r="G419" t="n">
        <v>2.9</v>
      </c>
      <c r="H419" t="n">
        <v>0</v>
      </c>
      <c r="I419" t="n">
        <v>0</v>
      </c>
      <c r="J419" t="n">
        <v>0</v>
      </c>
      <c r="K419" t="n">
        <v>0</v>
      </c>
      <c r="L419" t="n">
        <v>0</v>
      </c>
      <c r="M419" t="n">
        <v>0</v>
      </c>
      <c r="N419" t="n">
        <v>0</v>
      </c>
      <c r="O419" t="n">
        <v>0</v>
      </c>
      <c r="P419" t="n">
        <v>0</v>
      </c>
      <c r="Q419" t="n">
        <v>0</v>
      </c>
      <c r="R419" s="2" t="inlineStr"/>
    </row>
    <row r="420" ht="15" customHeight="1">
      <c r="A420" t="inlineStr">
        <is>
          <t>A 34923-2025</t>
        </is>
      </c>
      <c r="B420" s="1" t="n">
        <v>45849.55601851852</v>
      </c>
      <c r="C420" s="1" t="n">
        <v>46025</v>
      </c>
      <c r="D420" t="inlineStr">
        <is>
          <t>JÄMTLANDS LÄN</t>
        </is>
      </c>
      <c r="E420" t="inlineStr">
        <is>
          <t>ÖSTERSUND</t>
        </is>
      </c>
      <c r="G420" t="n">
        <v>1.2</v>
      </c>
      <c r="H420" t="n">
        <v>0</v>
      </c>
      <c r="I420" t="n">
        <v>0</v>
      </c>
      <c r="J420" t="n">
        <v>0</v>
      </c>
      <c r="K420" t="n">
        <v>0</v>
      </c>
      <c r="L420" t="n">
        <v>0</v>
      </c>
      <c r="M420" t="n">
        <v>0</v>
      </c>
      <c r="N420" t="n">
        <v>0</v>
      </c>
      <c r="O420" t="n">
        <v>0</v>
      </c>
      <c r="P420" t="n">
        <v>0</v>
      </c>
      <c r="Q420" t="n">
        <v>0</v>
      </c>
      <c r="R420" s="2" t="inlineStr"/>
    </row>
    <row r="421" ht="15" customHeight="1">
      <c r="A421" t="inlineStr">
        <is>
          <t>A 36098-2025</t>
        </is>
      </c>
      <c r="B421" s="1" t="n">
        <v>45866.50549768518</v>
      </c>
      <c r="C421" s="1" t="n">
        <v>46025</v>
      </c>
      <c r="D421" t="inlineStr">
        <is>
          <t>JÄMTLANDS LÄN</t>
        </is>
      </c>
      <c r="E421" t="inlineStr">
        <is>
          <t>ÖSTERSUND</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50428-2025</t>
        </is>
      </c>
      <c r="B422" s="1" t="n">
        <v>45944.67787037037</v>
      </c>
      <c r="C422" s="1" t="n">
        <v>46025</v>
      </c>
      <c r="D422" t="inlineStr">
        <is>
          <t>JÄMTLANDS LÄN</t>
        </is>
      </c>
      <c r="E422" t="inlineStr">
        <is>
          <t>ÖSTERSUND</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58373-2025</t>
        </is>
      </c>
      <c r="B423" s="1" t="n">
        <v>45985.53162037037</v>
      </c>
      <c r="C423" s="1" t="n">
        <v>46025</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26586-2025</t>
        </is>
      </c>
      <c r="B424" s="1" t="n">
        <v>45807.74140046296</v>
      </c>
      <c r="C424" s="1" t="n">
        <v>46025</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58917-2025</t>
        </is>
      </c>
      <c r="B425" s="1" t="n">
        <v>45987.52949074074</v>
      </c>
      <c r="C425" s="1" t="n">
        <v>46025</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59188-2025</t>
        </is>
      </c>
      <c r="B426" s="1" t="n">
        <v>45988.58856481482</v>
      </c>
      <c r="C426" s="1" t="n">
        <v>46025</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58824-2025</t>
        </is>
      </c>
      <c r="B427" s="1" t="n">
        <v>45987.34543981482</v>
      </c>
      <c r="C427" s="1" t="n">
        <v>46025</v>
      </c>
      <c r="D427" t="inlineStr">
        <is>
          <t>JÄMTLANDS LÄN</t>
        </is>
      </c>
      <c r="E427" t="inlineStr">
        <is>
          <t>ÖSTERSUND</t>
        </is>
      </c>
      <c r="G427" t="n">
        <v>3.2</v>
      </c>
      <c r="H427" t="n">
        <v>0</v>
      </c>
      <c r="I427" t="n">
        <v>0</v>
      </c>
      <c r="J427" t="n">
        <v>0</v>
      </c>
      <c r="K427" t="n">
        <v>0</v>
      </c>
      <c r="L427" t="n">
        <v>0</v>
      </c>
      <c r="M427" t="n">
        <v>0</v>
      </c>
      <c r="N427" t="n">
        <v>0</v>
      </c>
      <c r="O427" t="n">
        <v>0</v>
      </c>
      <c r="P427" t="n">
        <v>0</v>
      </c>
      <c r="Q427" t="n">
        <v>0</v>
      </c>
      <c r="R427" s="2" t="inlineStr"/>
    </row>
    <row r="428" ht="15" customHeight="1">
      <c r="A428" t="inlineStr">
        <is>
          <t>A 36211-2025</t>
        </is>
      </c>
      <c r="B428" s="1" t="n">
        <v>45867.46946759259</v>
      </c>
      <c r="C428" s="1" t="n">
        <v>46025</v>
      </c>
      <c r="D428" t="inlineStr">
        <is>
          <t>JÄMTLANDS LÄN</t>
        </is>
      </c>
      <c r="E428" t="inlineStr">
        <is>
          <t>ÖSTERSUND</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58996-2025</t>
        </is>
      </c>
      <c r="B429" s="1" t="n">
        <v>45987.67032407408</v>
      </c>
      <c r="C429" s="1" t="n">
        <v>46025</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16753-2025</t>
        </is>
      </c>
      <c r="B430" s="1" t="n">
        <v>45754.56839120371</v>
      </c>
      <c r="C430" s="1" t="n">
        <v>46025</v>
      </c>
      <c r="D430" t="inlineStr">
        <is>
          <t>JÄMTLANDS LÄN</t>
        </is>
      </c>
      <c r="E430" t="inlineStr">
        <is>
          <t>ÖSTERSUND</t>
        </is>
      </c>
      <c r="G430" t="n">
        <v>0.5</v>
      </c>
      <c r="H430" t="n">
        <v>0</v>
      </c>
      <c r="I430" t="n">
        <v>0</v>
      </c>
      <c r="J430" t="n">
        <v>0</v>
      </c>
      <c r="K430" t="n">
        <v>0</v>
      </c>
      <c r="L430" t="n">
        <v>0</v>
      </c>
      <c r="M430" t="n">
        <v>0</v>
      </c>
      <c r="N430" t="n">
        <v>0</v>
      </c>
      <c r="O430" t="n">
        <v>0</v>
      </c>
      <c r="P430" t="n">
        <v>0</v>
      </c>
      <c r="Q430" t="n">
        <v>0</v>
      </c>
      <c r="R430" s="2" t="inlineStr"/>
    </row>
    <row r="431" ht="15" customHeight="1">
      <c r="A431" t="inlineStr">
        <is>
          <t>A 50528-2025</t>
        </is>
      </c>
      <c r="B431" s="1" t="n">
        <v>45945.47097222223</v>
      </c>
      <c r="C431" s="1" t="n">
        <v>46025</v>
      </c>
      <c r="D431" t="inlineStr">
        <is>
          <t>JÄMTLANDS LÄN</t>
        </is>
      </c>
      <c r="E431" t="inlineStr">
        <is>
          <t>ÖSTERSUND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58818-2025</t>
        </is>
      </c>
      <c r="B432" s="1" t="n">
        <v>45987.33479166667</v>
      </c>
      <c r="C432" s="1" t="n">
        <v>46025</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18577-2025</t>
        </is>
      </c>
      <c r="B433" s="1" t="n">
        <v>45763</v>
      </c>
      <c r="C433" s="1" t="n">
        <v>46025</v>
      </c>
      <c r="D433" t="inlineStr">
        <is>
          <t>JÄMTLANDS LÄN</t>
        </is>
      </c>
      <c r="E433" t="inlineStr">
        <is>
          <t>ÖSTERSUND</t>
        </is>
      </c>
      <c r="G433" t="n">
        <v>3.5</v>
      </c>
      <c r="H433" t="n">
        <v>0</v>
      </c>
      <c r="I433" t="n">
        <v>0</v>
      </c>
      <c r="J433" t="n">
        <v>0</v>
      </c>
      <c r="K433" t="n">
        <v>0</v>
      </c>
      <c r="L433" t="n">
        <v>0</v>
      </c>
      <c r="M433" t="n">
        <v>0</v>
      </c>
      <c r="N433" t="n">
        <v>0</v>
      </c>
      <c r="O433" t="n">
        <v>0</v>
      </c>
      <c r="P433" t="n">
        <v>0</v>
      </c>
      <c r="Q433" t="n">
        <v>0</v>
      </c>
      <c r="R433" s="2" t="inlineStr"/>
    </row>
    <row r="434" ht="15" customHeight="1">
      <c r="A434" t="inlineStr">
        <is>
          <t>A 60174-2022</t>
        </is>
      </c>
      <c r="B434" s="1" t="n">
        <v>44909.9640162037</v>
      </c>
      <c r="C434" s="1" t="n">
        <v>46025</v>
      </c>
      <c r="D434" t="inlineStr">
        <is>
          <t>JÄMTLANDS LÄN</t>
        </is>
      </c>
      <c r="E434" t="inlineStr">
        <is>
          <t>ÖSTERSUND</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36566-2025</t>
        </is>
      </c>
      <c r="B435" s="1" t="n">
        <v>45869</v>
      </c>
      <c r="C435" s="1" t="n">
        <v>46025</v>
      </c>
      <c r="D435" t="inlineStr">
        <is>
          <t>JÄMTLANDS LÄN</t>
        </is>
      </c>
      <c r="E435" t="inlineStr">
        <is>
          <t>ÖSTERSUND</t>
        </is>
      </c>
      <c r="F435" t="inlineStr">
        <is>
          <t>Sveaskog</t>
        </is>
      </c>
      <c r="G435" t="n">
        <v>6.9</v>
      </c>
      <c r="H435" t="n">
        <v>0</v>
      </c>
      <c r="I435" t="n">
        <v>0</v>
      </c>
      <c r="J435" t="n">
        <v>0</v>
      </c>
      <c r="K435" t="n">
        <v>0</v>
      </c>
      <c r="L435" t="n">
        <v>0</v>
      </c>
      <c r="M435" t="n">
        <v>0</v>
      </c>
      <c r="N435" t="n">
        <v>0</v>
      </c>
      <c r="O435" t="n">
        <v>0</v>
      </c>
      <c r="P435" t="n">
        <v>0</v>
      </c>
      <c r="Q435" t="n">
        <v>0</v>
      </c>
      <c r="R435" s="2" t="inlineStr"/>
    </row>
    <row r="436" ht="15" customHeight="1">
      <c r="A436" t="inlineStr">
        <is>
          <t>A 59619-2025</t>
        </is>
      </c>
      <c r="B436" s="1" t="n">
        <v>45992.38109953704</v>
      </c>
      <c r="C436" s="1" t="n">
        <v>46025</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59613-2025</t>
        </is>
      </c>
      <c r="B437" s="1" t="n">
        <v>45992.37172453704</v>
      </c>
      <c r="C437" s="1" t="n">
        <v>46025</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20634-2023</t>
        </is>
      </c>
      <c r="B438" s="1" t="n">
        <v>45057.9441087963</v>
      </c>
      <c r="C438" s="1" t="n">
        <v>46025</v>
      </c>
      <c r="D438" t="inlineStr">
        <is>
          <t>JÄMTLANDS LÄN</t>
        </is>
      </c>
      <c r="E438" t="inlineStr">
        <is>
          <t>ÖSTERSUND</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59612-2025</t>
        </is>
      </c>
      <c r="B439" s="1" t="n">
        <v>45992.3706712963</v>
      </c>
      <c r="C439" s="1" t="n">
        <v>46025</v>
      </c>
      <c r="D439" t="inlineStr">
        <is>
          <t>JÄMTLANDS LÄN</t>
        </is>
      </c>
      <c r="E439" t="inlineStr">
        <is>
          <t>ÖSTERSUND</t>
        </is>
      </c>
      <c r="G439" t="n">
        <v>2.3</v>
      </c>
      <c r="H439" t="n">
        <v>0</v>
      </c>
      <c r="I439" t="n">
        <v>0</v>
      </c>
      <c r="J439" t="n">
        <v>0</v>
      </c>
      <c r="K439" t="n">
        <v>0</v>
      </c>
      <c r="L439" t="n">
        <v>0</v>
      </c>
      <c r="M439" t="n">
        <v>0</v>
      </c>
      <c r="N439" t="n">
        <v>0</v>
      </c>
      <c r="O439" t="n">
        <v>0</v>
      </c>
      <c r="P439" t="n">
        <v>0</v>
      </c>
      <c r="Q439" t="n">
        <v>0</v>
      </c>
      <c r="R439" s="2" t="inlineStr"/>
    </row>
    <row r="440" ht="15" customHeight="1">
      <c r="A440" t="inlineStr">
        <is>
          <t>A 59015-2025</t>
        </is>
      </c>
      <c r="B440" s="1" t="n">
        <v>45987.83457175926</v>
      </c>
      <c r="C440" s="1" t="n">
        <v>46025</v>
      </c>
      <c r="D440" t="inlineStr">
        <is>
          <t>JÄMTLANDS LÄN</t>
        </is>
      </c>
      <c r="E440" t="inlineStr">
        <is>
          <t>ÖSTERSUND</t>
        </is>
      </c>
      <c r="G440" t="n">
        <v>2.4</v>
      </c>
      <c r="H440" t="n">
        <v>0</v>
      </c>
      <c r="I440" t="n">
        <v>0</v>
      </c>
      <c r="J440" t="n">
        <v>0</v>
      </c>
      <c r="K440" t="n">
        <v>0</v>
      </c>
      <c r="L440" t="n">
        <v>0</v>
      </c>
      <c r="M440" t="n">
        <v>0</v>
      </c>
      <c r="N440" t="n">
        <v>0</v>
      </c>
      <c r="O440" t="n">
        <v>0</v>
      </c>
      <c r="P440" t="n">
        <v>0</v>
      </c>
      <c r="Q440" t="n">
        <v>0</v>
      </c>
      <c r="R440" s="2" t="inlineStr"/>
    </row>
    <row r="441" ht="15" customHeight="1">
      <c r="A441" t="inlineStr">
        <is>
          <t>A 59687-2025</t>
        </is>
      </c>
      <c r="B441" s="1" t="n">
        <v>45992.47729166667</v>
      </c>
      <c r="C441" s="1" t="n">
        <v>46025</v>
      </c>
      <c r="D441" t="inlineStr">
        <is>
          <t>JÄMTLANDS LÄN</t>
        </is>
      </c>
      <c r="E441" t="inlineStr">
        <is>
          <t>ÖSTERSUND</t>
        </is>
      </c>
      <c r="G441" t="n">
        <v>5</v>
      </c>
      <c r="H441" t="n">
        <v>0</v>
      </c>
      <c r="I441" t="n">
        <v>0</v>
      </c>
      <c r="J441" t="n">
        <v>0</v>
      </c>
      <c r="K441" t="n">
        <v>0</v>
      </c>
      <c r="L441" t="n">
        <v>0</v>
      </c>
      <c r="M441" t="n">
        <v>0</v>
      </c>
      <c r="N441" t="n">
        <v>0</v>
      </c>
      <c r="O441" t="n">
        <v>0</v>
      </c>
      <c r="P441" t="n">
        <v>0</v>
      </c>
      <c r="Q441" t="n">
        <v>0</v>
      </c>
      <c r="R441" s="2" t="inlineStr"/>
    </row>
    <row r="442" ht="15" customHeight="1">
      <c r="A442" t="inlineStr">
        <is>
          <t>A 59007-2025</t>
        </is>
      </c>
      <c r="B442" s="1" t="n">
        <v>45987.69552083333</v>
      </c>
      <c r="C442" s="1" t="n">
        <v>46025</v>
      </c>
      <c r="D442" t="inlineStr">
        <is>
          <t>JÄMTLANDS LÄN</t>
        </is>
      </c>
      <c r="E442" t="inlineStr">
        <is>
          <t>ÖSTERSUND</t>
        </is>
      </c>
      <c r="G442" t="n">
        <v>4</v>
      </c>
      <c r="H442" t="n">
        <v>0</v>
      </c>
      <c r="I442" t="n">
        <v>0</v>
      </c>
      <c r="J442" t="n">
        <v>0</v>
      </c>
      <c r="K442" t="n">
        <v>0</v>
      </c>
      <c r="L442" t="n">
        <v>0</v>
      </c>
      <c r="M442" t="n">
        <v>0</v>
      </c>
      <c r="N442" t="n">
        <v>0</v>
      </c>
      <c r="O442" t="n">
        <v>0</v>
      </c>
      <c r="P442" t="n">
        <v>0</v>
      </c>
      <c r="Q442" t="n">
        <v>0</v>
      </c>
      <c r="R442" s="2" t="inlineStr"/>
    </row>
    <row r="443" ht="15" customHeight="1">
      <c r="A443" t="inlineStr">
        <is>
          <t>A 64309-2023</t>
        </is>
      </c>
      <c r="B443" s="1" t="n">
        <v>45280</v>
      </c>
      <c r="C443" s="1" t="n">
        <v>46025</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7941-2025</t>
        </is>
      </c>
      <c r="B444" s="1" t="n">
        <v>45707</v>
      </c>
      <c r="C444" s="1" t="n">
        <v>46025</v>
      </c>
      <c r="D444" t="inlineStr">
        <is>
          <t>JÄMTLANDS LÄN</t>
        </is>
      </c>
      <c r="E444" t="inlineStr">
        <is>
          <t>ÖSTERSUND</t>
        </is>
      </c>
      <c r="G444" t="n">
        <v>2</v>
      </c>
      <c r="H444" t="n">
        <v>0</v>
      </c>
      <c r="I444" t="n">
        <v>0</v>
      </c>
      <c r="J444" t="n">
        <v>0</v>
      </c>
      <c r="K444" t="n">
        <v>0</v>
      </c>
      <c r="L444" t="n">
        <v>0</v>
      </c>
      <c r="M444" t="n">
        <v>0</v>
      </c>
      <c r="N444" t="n">
        <v>0</v>
      </c>
      <c r="O444" t="n">
        <v>0</v>
      </c>
      <c r="P444" t="n">
        <v>0</v>
      </c>
      <c r="Q444" t="n">
        <v>0</v>
      </c>
      <c r="R444" s="2" t="inlineStr"/>
    </row>
    <row r="445" ht="15" customHeight="1">
      <c r="A445" t="inlineStr">
        <is>
          <t>A 52003-2025</t>
        </is>
      </c>
      <c r="B445" s="1" t="n">
        <v>45952.5909375</v>
      </c>
      <c r="C445" s="1" t="n">
        <v>46025</v>
      </c>
      <c r="D445" t="inlineStr">
        <is>
          <t>JÄMTLANDS LÄN</t>
        </is>
      </c>
      <c r="E445" t="inlineStr">
        <is>
          <t>ÖSTERSUND</t>
        </is>
      </c>
      <c r="G445" t="n">
        <v>5.7</v>
      </c>
      <c r="H445" t="n">
        <v>0</v>
      </c>
      <c r="I445" t="n">
        <v>0</v>
      </c>
      <c r="J445" t="n">
        <v>0</v>
      </c>
      <c r="K445" t="n">
        <v>0</v>
      </c>
      <c r="L445" t="n">
        <v>0</v>
      </c>
      <c r="M445" t="n">
        <v>0</v>
      </c>
      <c r="N445" t="n">
        <v>0</v>
      </c>
      <c r="O445" t="n">
        <v>0</v>
      </c>
      <c r="P445" t="n">
        <v>0</v>
      </c>
      <c r="Q445" t="n">
        <v>0</v>
      </c>
      <c r="R445" s="2" t="inlineStr"/>
    </row>
    <row r="446" ht="15" customHeight="1">
      <c r="A446" t="inlineStr">
        <is>
          <t>A 27124-2023</t>
        </is>
      </c>
      <c r="B446" s="1" t="n">
        <v>45096</v>
      </c>
      <c r="C446" s="1" t="n">
        <v>46025</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53714-2022</t>
        </is>
      </c>
      <c r="B447" s="1" t="n">
        <v>44880</v>
      </c>
      <c r="C447" s="1" t="n">
        <v>46025</v>
      </c>
      <c r="D447" t="inlineStr">
        <is>
          <t>JÄMTLANDS LÄN</t>
        </is>
      </c>
      <c r="E447" t="inlineStr">
        <is>
          <t>ÖSTERSUND</t>
        </is>
      </c>
      <c r="G447" t="n">
        <v>1.3</v>
      </c>
      <c r="H447" t="n">
        <v>0</v>
      </c>
      <c r="I447" t="n">
        <v>0</v>
      </c>
      <c r="J447" t="n">
        <v>0</v>
      </c>
      <c r="K447" t="n">
        <v>0</v>
      </c>
      <c r="L447" t="n">
        <v>0</v>
      </c>
      <c r="M447" t="n">
        <v>0</v>
      </c>
      <c r="N447" t="n">
        <v>0</v>
      </c>
      <c r="O447" t="n">
        <v>0</v>
      </c>
      <c r="P447" t="n">
        <v>0</v>
      </c>
      <c r="Q447" t="n">
        <v>0</v>
      </c>
      <c r="R447" s="2" t="inlineStr"/>
    </row>
    <row r="448" ht="15" customHeight="1">
      <c r="A448" t="inlineStr">
        <is>
          <t>A 60767-2022</t>
        </is>
      </c>
      <c r="B448" s="1" t="n">
        <v>44914.35599537037</v>
      </c>
      <c r="C448" s="1" t="n">
        <v>46025</v>
      </c>
      <c r="D448" t="inlineStr">
        <is>
          <t>JÄMTLANDS LÄN</t>
        </is>
      </c>
      <c r="E448" t="inlineStr">
        <is>
          <t>ÖSTERSUND</t>
        </is>
      </c>
      <c r="G448" t="n">
        <v>1.6</v>
      </c>
      <c r="H448" t="n">
        <v>0</v>
      </c>
      <c r="I448" t="n">
        <v>0</v>
      </c>
      <c r="J448" t="n">
        <v>0</v>
      </c>
      <c r="K448" t="n">
        <v>0</v>
      </c>
      <c r="L448" t="n">
        <v>0</v>
      </c>
      <c r="M448" t="n">
        <v>0</v>
      </c>
      <c r="N448" t="n">
        <v>0</v>
      </c>
      <c r="O448" t="n">
        <v>0</v>
      </c>
      <c r="P448" t="n">
        <v>0</v>
      </c>
      <c r="Q448" t="n">
        <v>0</v>
      </c>
      <c r="R448" s="2" t="inlineStr"/>
    </row>
    <row r="449" ht="15" customHeight="1">
      <c r="A449" t="inlineStr">
        <is>
          <t>A 60048-2025</t>
        </is>
      </c>
      <c r="B449" s="1" t="n">
        <v>45993.62974537037</v>
      </c>
      <c r="C449" s="1" t="n">
        <v>46025</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37085-2025</t>
        </is>
      </c>
      <c r="B450" s="1" t="n">
        <v>45875.44840277778</v>
      </c>
      <c r="C450" s="1" t="n">
        <v>46025</v>
      </c>
      <c r="D450" t="inlineStr">
        <is>
          <t>JÄMTLANDS LÄN</t>
        </is>
      </c>
      <c r="E450" t="inlineStr">
        <is>
          <t>ÖSTERSUND</t>
        </is>
      </c>
      <c r="G450" t="n">
        <v>5.5</v>
      </c>
      <c r="H450" t="n">
        <v>0</v>
      </c>
      <c r="I450" t="n">
        <v>0</v>
      </c>
      <c r="J450" t="n">
        <v>0</v>
      </c>
      <c r="K450" t="n">
        <v>0</v>
      </c>
      <c r="L450" t="n">
        <v>0</v>
      </c>
      <c r="M450" t="n">
        <v>0</v>
      </c>
      <c r="N450" t="n">
        <v>0</v>
      </c>
      <c r="O450" t="n">
        <v>0</v>
      </c>
      <c r="P450" t="n">
        <v>0</v>
      </c>
      <c r="Q450" t="n">
        <v>0</v>
      </c>
      <c r="R450" s="2" t="inlineStr"/>
    </row>
    <row r="451" ht="15" customHeight="1">
      <c r="A451" t="inlineStr">
        <is>
          <t>A 61530-2023</t>
        </is>
      </c>
      <c r="B451" s="1" t="n">
        <v>45261</v>
      </c>
      <c r="C451" s="1" t="n">
        <v>46025</v>
      </c>
      <c r="D451" t="inlineStr">
        <is>
          <t>JÄMTLANDS LÄN</t>
        </is>
      </c>
      <c r="E451" t="inlineStr">
        <is>
          <t>ÖSTERSUND</t>
        </is>
      </c>
      <c r="F451" t="inlineStr">
        <is>
          <t>Övriga statliga verk och myndigheter</t>
        </is>
      </c>
      <c r="G451" t="n">
        <v>1</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46025</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52620-2025</t>
        </is>
      </c>
      <c r="B453" s="1" t="n">
        <v>45954.68207175926</v>
      </c>
      <c r="C453" s="1" t="n">
        <v>46025</v>
      </c>
      <c r="D453" t="inlineStr">
        <is>
          <t>JÄMTLANDS LÄN</t>
        </is>
      </c>
      <c r="E453" t="inlineStr">
        <is>
          <t>ÖSTERSUND</t>
        </is>
      </c>
      <c r="G453" t="n">
        <v>4.6</v>
      </c>
      <c r="H453" t="n">
        <v>0</v>
      </c>
      <c r="I453" t="n">
        <v>0</v>
      </c>
      <c r="J453" t="n">
        <v>0</v>
      </c>
      <c r="K453" t="n">
        <v>0</v>
      </c>
      <c r="L453" t="n">
        <v>0</v>
      </c>
      <c r="M453" t="n">
        <v>0</v>
      </c>
      <c r="N453" t="n">
        <v>0</v>
      </c>
      <c r="O453" t="n">
        <v>0</v>
      </c>
      <c r="P453" t="n">
        <v>0</v>
      </c>
      <c r="Q453" t="n">
        <v>0</v>
      </c>
      <c r="R453" s="2" t="inlineStr"/>
    </row>
    <row r="454" ht="15" customHeight="1">
      <c r="A454" t="inlineStr">
        <is>
          <t>A 52247-2025</t>
        </is>
      </c>
      <c r="B454" s="1" t="n">
        <v>45953.47575231481</v>
      </c>
      <c r="C454" s="1" t="n">
        <v>46025</v>
      </c>
      <c r="D454" t="inlineStr">
        <is>
          <t>JÄMTLANDS LÄN</t>
        </is>
      </c>
      <c r="E454" t="inlineStr">
        <is>
          <t>ÖSTERSUND</t>
        </is>
      </c>
      <c r="G454" t="n">
        <v>8.4</v>
      </c>
      <c r="H454" t="n">
        <v>0</v>
      </c>
      <c r="I454" t="n">
        <v>0</v>
      </c>
      <c r="J454" t="n">
        <v>0</v>
      </c>
      <c r="K454" t="n">
        <v>0</v>
      </c>
      <c r="L454" t="n">
        <v>0</v>
      </c>
      <c r="M454" t="n">
        <v>0</v>
      </c>
      <c r="N454" t="n">
        <v>0</v>
      </c>
      <c r="O454" t="n">
        <v>0</v>
      </c>
      <c r="P454" t="n">
        <v>0</v>
      </c>
      <c r="Q454" t="n">
        <v>0</v>
      </c>
      <c r="R454" s="2" t="inlineStr"/>
    </row>
    <row r="455" ht="15" customHeight="1">
      <c r="A455" t="inlineStr">
        <is>
          <t>A 52286-2025</t>
        </is>
      </c>
      <c r="B455" s="1" t="n">
        <v>45953.58497685185</v>
      </c>
      <c r="C455" s="1" t="n">
        <v>46025</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1322-2021</t>
        </is>
      </c>
      <c r="B456" s="1" t="n">
        <v>44208</v>
      </c>
      <c r="C456" s="1" t="n">
        <v>46025</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14118-2025</t>
        </is>
      </c>
      <c r="B457" s="1" t="n">
        <v>45740.46325231482</v>
      </c>
      <c r="C457" s="1" t="n">
        <v>46025</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61235-2025</t>
        </is>
      </c>
      <c r="B458" s="1" t="n">
        <v>46000.63969907408</v>
      </c>
      <c r="C458" s="1" t="n">
        <v>46025</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52935-2025</t>
        </is>
      </c>
      <c r="B459" s="1" t="n">
        <v>45957.62978009259</v>
      </c>
      <c r="C459" s="1" t="n">
        <v>46025</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52975-2025</t>
        </is>
      </c>
      <c r="B460" s="1" t="n">
        <v>45957.67876157408</v>
      </c>
      <c r="C460" s="1" t="n">
        <v>46025</v>
      </c>
      <c r="D460" t="inlineStr">
        <is>
          <t>JÄMTLANDS LÄN</t>
        </is>
      </c>
      <c r="E460" t="inlineStr">
        <is>
          <t>ÖSTERSUND</t>
        </is>
      </c>
      <c r="F460" t="inlineStr">
        <is>
          <t>SCA</t>
        </is>
      </c>
      <c r="G460" t="n">
        <v>7.5</v>
      </c>
      <c r="H460" t="n">
        <v>0</v>
      </c>
      <c r="I460" t="n">
        <v>0</v>
      </c>
      <c r="J460" t="n">
        <v>0</v>
      </c>
      <c r="K460" t="n">
        <v>0</v>
      </c>
      <c r="L460" t="n">
        <v>0</v>
      </c>
      <c r="M460" t="n">
        <v>0</v>
      </c>
      <c r="N460" t="n">
        <v>0</v>
      </c>
      <c r="O460" t="n">
        <v>0</v>
      </c>
      <c r="P460" t="n">
        <v>0</v>
      </c>
      <c r="Q460" t="n">
        <v>0</v>
      </c>
      <c r="R460" s="2" t="inlineStr"/>
    </row>
    <row r="461" ht="15" customHeight="1">
      <c r="A461" t="inlineStr">
        <is>
          <t>A 61267-2025</t>
        </is>
      </c>
      <c r="B461" s="1" t="n">
        <v>46000.67793981481</v>
      </c>
      <c r="C461" s="1" t="n">
        <v>46025</v>
      </c>
      <c r="D461" t="inlineStr">
        <is>
          <t>JÄMTLANDS LÄN</t>
        </is>
      </c>
      <c r="E461" t="inlineStr">
        <is>
          <t>ÖSTERSUND</t>
        </is>
      </c>
      <c r="G461" t="n">
        <v>3.6</v>
      </c>
      <c r="H461" t="n">
        <v>0</v>
      </c>
      <c r="I461" t="n">
        <v>0</v>
      </c>
      <c r="J461" t="n">
        <v>0</v>
      </c>
      <c r="K461" t="n">
        <v>0</v>
      </c>
      <c r="L461" t="n">
        <v>0</v>
      </c>
      <c r="M461" t="n">
        <v>0</v>
      </c>
      <c r="N461" t="n">
        <v>0</v>
      </c>
      <c r="O461" t="n">
        <v>0</v>
      </c>
      <c r="P461" t="n">
        <v>0</v>
      </c>
      <c r="Q461" t="n">
        <v>0</v>
      </c>
      <c r="R461" s="2" t="inlineStr"/>
    </row>
    <row r="462" ht="15" customHeight="1">
      <c r="A462" t="inlineStr">
        <is>
          <t>A 53057-2025</t>
        </is>
      </c>
      <c r="B462" s="1" t="n">
        <v>45958.36537037037</v>
      </c>
      <c r="C462" s="1" t="n">
        <v>46025</v>
      </c>
      <c r="D462" t="inlineStr">
        <is>
          <t>JÄMTLANDS LÄN</t>
        </is>
      </c>
      <c r="E462" t="inlineStr">
        <is>
          <t>ÖSTERSUND</t>
        </is>
      </c>
      <c r="F462" t="inlineStr">
        <is>
          <t>SCA</t>
        </is>
      </c>
      <c r="G462" t="n">
        <v>47.8</v>
      </c>
      <c r="H462" t="n">
        <v>0</v>
      </c>
      <c r="I462" t="n">
        <v>0</v>
      </c>
      <c r="J462" t="n">
        <v>0</v>
      </c>
      <c r="K462" t="n">
        <v>0</v>
      </c>
      <c r="L462" t="n">
        <v>0</v>
      </c>
      <c r="M462" t="n">
        <v>0</v>
      </c>
      <c r="N462" t="n">
        <v>0</v>
      </c>
      <c r="O462" t="n">
        <v>0</v>
      </c>
      <c r="P462" t="n">
        <v>0</v>
      </c>
      <c r="Q462" t="n">
        <v>0</v>
      </c>
      <c r="R462" s="2" t="inlineStr"/>
    </row>
    <row r="463" ht="15" customHeight="1">
      <c r="A463" t="inlineStr">
        <is>
          <t>A 25535-2023</t>
        </is>
      </c>
      <c r="B463" s="1" t="n">
        <v>45089.54944444444</v>
      </c>
      <c r="C463" s="1" t="n">
        <v>46025</v>
      </c>
      <c r="D463" t="inlineStr">
        <is>
          <t>JÄMTLANDS LÄN</t>
        </is>
      </c>
      <c r="E463" t="inlineStr">
        <is>
          <t>ÖSTERSUND</t>
        </is>
      </c>
      <c r="G463" t="n">
        <v>1</v>
      </c>
      <c r="H463" t="n">
        <v>0</v>
      </c>
      <c r="I463" t="n">
        <v>0</v>
      </c>
      <c r="J463" t="n">
        <v>0</v>
      </c>
      <c r="K463" t="n">
        <v>0</v>
      </c>
      <c r="L463" t="n">
        <v>0</v>
      </c>
      <c r="M463" t="n">
        <v>0</v>
      </c>
      <c r="N463" t="n">
        <v>0</v>
      </c>
      <c r="O463" t="n">
        <v>0</v>
      </c>
      <c r="P463" t="n">
        <v>0</v>
      </c>
      <c r="Q463" t="n">
        <v>0</v>
      </c>
      <c r="R463" s="2" t="inlineStr"/>
    </row>
    <row r="464" ht="15" customHeight="1">
      <c r="A464" t="inlineStr">
        <is>
          <t>A 61222-2025</t>
        </is>
      </c>
      <c r="B464" s="1" t="n">
        <v>46000.62851851852</v>
      </c>
      <c r="C464" s="1" t="n">
        <v>46025</v>
      </c>
      <c r="D464" t="inlineStr">
        <is>
          <t>JÄMTLANDS LÄN</t>
        </is>
      </c>
      <c r="E464" t="inlineStr">
        <is>
          <t>ÖSTERSUND</t>
        </is>
      </c>
      <c r="G464" t="n">
        <v>9.1</v>
      </c>
      <c r="H464" t="n">
        <v>0</v>
      </c>
      <c r="I464" t="n">
        <v>0</v>
      </c>
      <c r="J464" t="n">
        <v>0</v>
      </c>
      <c r="K464" t="n">
        <v>0</v>
      </c>
      <c r="L464" t="n">
        <v>0</v>
      </c>
      <c r="M464" t="n">
        <v>0</v>
      </c>
      <c r="N464" t="n">
        <v>0</v>
      </c>
      <c r="O464" t="n">
        <v>0</v>
      </c>
      <c r="P464" t="n">
        <v>0</v>
      </c>
      <c r="Q464" t="n">
        <v>0</v>
      </c>
      <c r="R464" s="2" t="inlineStr"/>
    </row>
    <row r="465" ht="15" customHeight="1">
      <c r="A465" t="inlineStr">
        <is>
          <t>A 53054-2025</t>
        </is>
      </c>
      <c r="B465" s="1" t="n">
        <v>45958.36498842593</v>
      </c>
      <c r="C465" s="1" t="n">
        <v>46025</v>
      </c>
      <c r="D465" t="inlineStr">
        <is>
          <t>JÄMTLANDS LÄN</t>
        </is>
      </c>
      <c r="E465" t="inlineStr">
        <is>
          <t>ÖSTERSUND</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6048-2024</t>
        </is>
      </c>
      <c r="B466" s="1" t="n">
        <v>45336</v>
      </c>
      <c r="C466" s="1" t="n">
        <v>46025</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45533-2025</t>
        </is>
      </c>
      <c r="B467" s="1" t="n">
        <v>45922</v>
      </c>
      <c r="C467" s="1" t="n">
        <v>46025</v>
      </c>
      <c r="D467" t="inlineStr">
        <is>
          <t>JÄMTLANDS LÄN</t>
        </is>
      </c>
      <c r="E467" t="inlineStr">
        <is>
          <t>ÖSTERSUND</t>
        </is>
      </c>
      <c r="F467" t="inlineStr">
        <is>
          <t>Övriga statliga verk och myndigheter</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61427-2025</t>
        </is>
      </c>
      <c r="B468" s="1" t="n">
        <v>46000</v>
      </c>
      <c r="C468" s="1" t="n">
        <v>46025</v>
      </c>
      <c r="D468" t="inlineStr">
        <is>
          <t>JÄMTLANDS LÄN</t>
        </is>
      </c>
      <c r="E468" t="inlineStr">
        <is>
          <t>ÖSTERSUND</t>
        </is>
      </c>
      <c r="G468" t="n">
        <v>0.3</v>
      </c>
      <c r="H468" t="n">
        <v>0</v>
      </c>
      <c r="I468" t="n">
        <v>0</v>
      </c>
      <c r="J468" t="n">
        <v>0</v>
      </c>
      <c r="K468" t="n">
        <v>0</v>
      </c>
      <c r="L468" t="n">
        <v>0</v>
      </c>
      <c r="M468" t="n">
        <v>0</v>
      </c>
      <c r="N468" t="n">
        <v>0</v>
      </c>
      <c r="O468" t="n">
        <v>0</v>
      </c>
      <c r="P468" t="n">
        <v>0</v>
      </c>
      <c r="Q468" t="n">
        <v>0</v>
      </c>
      <c r="R468" s="2" t="inlineStr"/>
    </row>
    <row r="469" ht="15" customHeight="1">
      <c r="A469" t="inlineStr">
        <is>
          <t>A 46139-2021</t>
        </is>
      </c>
      <c r="B469" s="1" t="n">
        <v>44441</v>
      </c>
      <c r="C469" s="1" t="n">
        <v>46025</v>
      </c>
      <c r="D469" t="inlineStr">
        <is>
          <t>JÄMTLANDS LÄN</t>
        </is>
      </c>
      <c r="E469" t="inlineStr">
        <is>
          <t>ÖSTERSUND</t>
        </is>
      </c>
      <c r="G469" t="n">
        <v>12.8</v>
      </c>
      <c r="H469" t="n">
        <v>0</v>
      </c>
      <c r="I469" t="n">
        <v>0</v>
      </c>
      <c r="J469" t="n">
        <v>0</v>
      </c>
      <c r="K469" t="n">
        <v>0</v>
      </c>
      <c r="L469" t="n">
        <v>0</v>
      </c>
      <c r="M469" t="n">
        <v>0</v>
      </c>
      <c r="N469" t="n">
        <v>0</v>
      </c>
      <c r="O469" t="n">
        <v>0</v>
      </c>
      <c r="P469" t="n">
        <v>0</v>
      </c>
      <c r="Q469" t="n">
        <v>0</v>
      </c>
      <c r="R469" s="2" t="inlineStr"/>
    </row>
    <row r="470" ht="15" customHeight="1">
      <c r="A470" t="inlineStr">
        <is>
          <t>A 7233-2024</t>
        </is>
      </c>
      <c r="B470" s="1" t="n">
        <v>45344</v>
      </c>
      <c r="C470" s="1" t="n">
        <v>46025</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62176-2025</t>
        </is>
      </c>
      <c r="B471" s="1" t="n">
        <v>46006.51157407407</v>
      </c>
      <c r="C471" s="1" t="n">
        <v>46025</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61964-2025</t>
        </is>
      </c>
      <c r="B472" s="1" t="n">
        <v>46003</v>
      </c>
      <c r="C472" s="1" t="n">
        <v>46025</v>
      </c>
      <c r="D472" t="inlineStr">
        <is>
          <t>JÄMTLANDS LÄN</t>
        </is>
      </c>
      <c r="E472" t="inlineStr">
        <is>
          <t>ÖSTERSUND</t>
        </is>
      </c>
      <c r="G472" t="n">
        <v>16.5</v>
      </c>
      <c r="H472" t="n">
        <v>0</v>
      </c>
      <c r="I472" t="n">
        <v>0</v>
      </c>
      <c r="J472" t="n">
        <v>0</v>
      </c>
      <c r="K472" t="n">
        <v>0</v>
      </c>
      <c r="L472" t="n">
        <v>0</v>
      </c>
      <c r="M472" t="n">
        <v>0</v>
      </c>
      <c r="N472" t="n">
        <v>0</v>
      </c>
      <c r="O472" t="n">
        <v>0</v>
      </c>
      <c r="P472" t="n">
        <v>0</v>
      </c>
      <c r="Q472" t="n">
        <v>0</v>
      </c>
      <c r="R472" s="2" t="inlineStr"/>
    </row>
    <row r="473" ht="15" customHeight="1">
      <c r="A473" t="inlineStr">
        <is>
          <t>A 48737-2024</t>
        </is>
      </c>
      <c r="B473" s="1" t="n">
        <v>45593.57327546296</v>
      </c>
      <c r="C473" s="1" t="n">
        <v>46025</v>
      </c>
      <c r="D473" t="inlineStr">
        <is>
          <t>JÄMTLANDS LÄN</t>
        </is>
      </c>
      <c r="E473" t="inlineStr">
        <is>
          <t>ÖSTERSUND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61849-2025</t>
        </is>
      </c>
      <c r="B474" s="1" t="n">
        <v>46003.38026620371</v>
      </c>
      <c r="C474" s="1" t="n">
        <v>46025</v>
      </c>
      <c r="D474" t="inlineStr">
        <is>
          <t>JÄMTLANDS LÄN</t>
        </is>
      </c>
      <c r="E474" t="inlineStr">
        <is>
          <t>ÖSTERSUND</t>
        </is>
      </c>
      <c r="G474" t="n">
        <v>5.5</v>
      </c>
      <c r="H474" t="n">
        <v>0</v>
      </c>
      <c r="I474" t="n">
        <v>0</v>
      </c>
      <c r="J474" t="n">
        <v>0</v>
      </c>
      <c r="K474" t="n">
        <v>0</v>
      </c>
      <c r="L474" t="n">
        <v>0</v>
      </c>
      <c r="M474" t="n">
        <v>0</v>
      </c>
      <c r="N474" t="n">
        <v>0</v>
      </c>
      <c r="O474" t="n">
        <v>0</v>
      </c>
      <c r="P474" t="n">
        <v>0</v>
      </c>
      <c r="Q474" t="n">
        <v>0</v>
      </c>
      <c r="R474" s="2" t="inlineStr"/>
    </row>
    <row r="475" ht="15" customHeight="1">
      <c r="A475" t="inlineStr">
        <is>
          <t>A 27118-2023</t>
        </is>
      </c>
      <c r="B475" s="1" t="n">
        <v>45096</v>
      </c>
      <c r="C475" s="1" t="n">
        <v>46025</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39493-2023</t>
        </is>
      </c>
      <c r="B476" s="1" t="n">
        <v>45166.9569675926</v>
      </c>
      <c r="C476" s="1" t="n">
        <v>46025</v>
      </c>
      <c r="D476" t="inlineStr">
        <is>
          <t>JÄMTLANDS LÄN</t>
        </is>
      </c>
      <c r="E476" t="inlineStr">
        <is>
          <t>ÖSTERSUND</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61982-2025</t>
        </is>
      </c>
      <c r="B477" s="1" t="n">
        <v>46003.6159375</v>
      </c>
      <c r="C477" s="1" t="n">
        <v>46025</v>
      </c>
      <c r="D477" t="inlineStr">
        <is>
          <t>JÄMTLANDS LÄN</t>
        </is>
      </c>
      <c r="E477" t="inlineStr">
        <is>
          <t>ÖSTERSUND</t>
        </is>
      </c>
      <c r="G477" t="n">
        <v>4.7</v>
      </c>
      <c r="H477" t="n">
        <v>0</v>
      </c>
      <c r="I477" t="n">
        <v>0</v>
      </c>
      <c r="J477" t="n">
        <v>0</v>
      </c>
      <c r="K477" t="n">
        <v>0</v>
      </c>
      <c r="L477" t="n">
        <v>0</v>
      </c>
      <c r="M477" t="n">
        <v>0</v>
      </c>
      <c r="N477" t="n">
        <v>0</v>
      </c>
      <c r="O477" t="n">
        <v>0</v>
      </c>
      <c r="P477" t="n">
        <v>0</v>
      </c>
      <c r="Q477" t="n">
        <v>0</v>
      </c>
      <c r="R477" s="2" t="inlineStr"/>
    </row>
    <row r="478" ht="15" customHeight="1">
      <c r="A478" t="inlineStr">
        <is>
          <t>A 61944-2025</t>
        </is>
      </c>
      <c r="B478" s="1" t="n">
        <v>46003.56467592593</v>
      </c>
      <c r="C478" s="1" t="n">
        <v>46025</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61985-2025</t>
        </is>
      </c>
      <c r="B479" s="1" t="n">
        <v>46003.62509259259</v>
      </c>
      <c r="C479" s="1" t="n">
        <v>46025</v>
      </c>
      <c r="D479" t="inlineStr">
        <is>
          <t>JÄMTLANDS LÄN</t>
        </is>
      </c>
      <c r="E479" t="inlineStr">
        <is>
          <t>ÖSTERSUND</t>
        </is>
      </c>
      <c r="G479" t="n">
        <v>4.2</v>
      </c>
      <c r="H479" t="n">
        <v>0</v>
      </c>
      <c r="I479" t="n">
        <v>0</v>
      </c>
      <c r="J479" t="n">
        <v>0</v>
      </c>
      <c r="K479" t="n">
        <v>0</v>
      </c>
      <c r="L479" t="n">
        <v>0</v>
      </c>
      <c r="M479" t="n">
        <v>0</v>
      </c>
      <c r="N479" t="n">
        <v>0</v>
      </c>
      <c r="O479" t="n">
        <v>0</v>
      </c>
      <c r="P479" t="n">
        <v>0</v>
      </c>
      <c r="Q479" t="n">
        <v>0</v>
      </c>
      <c r="R479" s="2" t="inlineStr"/>
    </row>
    <row r="480" ht="15" customHeight="1">
      <c r="A480" t="inlineStr">
        <is>
          <t>A 54133-2025</t>
        </is>
      </c>
      <c r="B480" s="1" t="n">
        <v>45964.46944444445</v>
      </c>
      <c r="C480" s="1" t="n">
        <v>46025</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16306-2025</t>
        </is>
      </c>
      <c r="B481" s="1" t="n">
        <v>45751.34664351852</v>
      </c>
      <c r="C481" s="1" t="n">
        <v>46025</v>
      </c>
      <c r="D481" t="inlineStr">
        <is>
          <t>JÄMTLANDS LÄN</t>
        </is>
      </c>
      <c r="E481" t="inlineStr">
        <is>
          <t>ÖSTERSUND</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62175-2025</t>
        </is>
      </c>
      <c r="B482" s="1" t="n">
        <v>46006.51155092593</v>
      </c>
      <c r="C482" s="1" t="n">
        <v>46025</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54667-2025</t>
        </is>
      </c>
      <c r="B483" s="1" t="n">
        <v>45966.4077662037</v>
      </c>
      <c r="C483" s="1" t="n">
        <v>46025</v>
      </c>
      <c r="D483" t="inlineStr">
        <is>
          <t>JÄMTLANDS LÄN</t>
        </is>
      </c>
      <c r="E483" t="inlineStr">
        <is>
          <t>ÖSTERSUND</t>
        </is>
      </c>
      <c r="G483" t="n">
        <v>6.8</v>
      </c>
      <c r="H483" t="n">
        <v>0</v>
      </c>
      <c r="I483" t="n">
        <v>0</v>
      </c>
      <c r="J483" t="n">
        <v>0</v>
      </c>
      <c r="K483" t="n">
        <v>0</v>
      </c>
      <c r="L483" t="n">
        <v>0</v>
      </c>
      <c r="M483" t="n">
        <v>0</v>
      </c>
      <c r="N483" t="n">
        <v>0</v>
      </c>
      <c r="O483" t="n">
        <v>0</v>
      </c>
      <c r="P483" t="n">
        <v>0</v>
      </c>
      <c r="Q483" t="n">
        <v>0</v>
      </c>
      <c r="R483" s="2" t="inlineStr"/>
    </row>
    <row r="484" ht="15" customHeight="1">
      <c r="A484" t="inlineStr">
        <is>
          <t>A 62509-2025</t>
        </is>
      </c>
      <c r="B484" s="1" t="n">
        <v>46007.5958912037</v>
      </c>
      <c r="C484" s="1" t="n">
        <v>46025</v>
      </c>
      <c r="D484" t="inlineStr">
        <is>
          <t>JÄMTLANDS LÄN</t>
        </is>
      </c>
      <c r="E484" t="inlineStr">
        <is>
          <t>ÖSTERSUND</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2756-2024</t>
        </is>
      </c>
      <c r="B485" s="1" t="n">
        <v>45314.58785879629</v>
      </c>
      <c r="C485" s="1" t="n">
        <v>46025</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62369-2025</t>
        </is>
      </c>
      <c r="B486" s="1" t="n">
        <v>46007.33719907407</v>
      </c>
      <c r="C486" s="1" t="n">
        <v>46025</v>
      </c>
      <c r="D486" t="inlineStr">
        <is>
          <t>JÄMTLANDS LÄN</t>
        </is>
      </c>
      <c r="E486" t="inlineStr">
        <is>
          <t>ÖSTERSUND</t>
        </is>
      </c>
      <c r="F486" t="inlineStr">
        <is>
          <t>Sveaskog</t>
        </is>
      </c>
      <c r="G486" t="n">
        <v>20.3</v>
      </c>
      <c r="H486" t="n">
        <v>0</v>
      </c>
      <c r="I486" t="n">
        <v>0</v>
      </c>
      <c r="J486" t="n">
        <v>0</v>
      </c>
      <c r="K486" t="n">
        <v>0</v>
      </c>
      <c r="L486" t="n">
        <v>0</v>
      </c>
      <c r="M486" t="n">
        <v>0</v>
      </c>
      <c r="N486" t="n">
        <v>0</v>
      </c>
      <c r="O486" t="n">
        <v>0</v>
      </c>
      <c r="P486" t="n">
        <v>0</v>
      </c>
      <c r="Q486" t="n">
        <v>0</v>
      </c>
      <c r="R486" s="2" t="inlineStr"/>
    </row>
    <row r="487" ht="15" customHeight="1">
      <c r="A487" t="inlineStr">
        <is>
          <t>A 62437-2025</t>
        </is>
      </c>
      <c r="B487" s="1" t="n">
        <v>46007.46907407408</v>
      </c>
      <c r="C487" s="1" t="n">
        <v>46025</v>
      </c>
      <c r="D487" t="inlineStr">
        <is>
          <t>JÄMTLANDS LÄN</t>
        </is>
      </c>
      <c r="E487" t="inlineStr">
        <is>
          <t>ÖSTERSUND</t>
        </is>
      </c>
      <c r="G487" t="n">
        <v>6.3</v>
      </c>
      <c r="H487" t="n">
        <v>0</v>
      </c>
      <c r="I487" t="n">
        <v>0</v>
      </c>
      <c r="J487" t="n">
        <v>0</v>
      </c>
      <c r="K487" t="n">
        <v>0</v>
      </c>
      <c r="L487" t="n">
        <v>0</v>
      </c>
      <c r="M487" t="n">
        <v>0</v>
      </c>
      <c r="N487" t="n">
        <v>0</v>
      </c>
      <c r="O487" t="n">
        <v>0</v>
      </c>
      <c r="P487" t="n">
        <v>0</v>
      </c>
      <c r="Q487" t="n">
        <v>0</v>
      </c>
      <c r="R487" s="2" t="inlineStr"/>
    </row>
    <row r="488" ht="15" customHeight="1">
      <c r="A488" t="inlineStr">
        <is>
          <t>A 62622-2025</t>
        </is>
      </c>
      <c r="B488" s="1" t="n">
        <v>46008.34438657408</v>
      </c>
      <c r="C488" s="1" t="n">
        <v>46025</v>
      </c>
      <c r="D488" t="inlineStr">
        <is>
          <t>JÄMTLANDS LÄN</t>
        </is>
      </c>
      <c r="E488" t="inlineStr">
        <is>
          <t>ÖSTERSUND</t>
        </is>
      </c>
      <c r="G488" t="n">
        <v>7.4</v>
      </c>
      <c r="H488" t="n">
        <v>0</v>
      </c>
      <c r="I488" t="n">
        <v>0</v>
      </c>
      <c r="J488" t="n">
        <v>0</v>
      </c>
      <c r="K488" t="n">
        <v>0</v>
      </c>
      <c r="L488" t="n">
        <v>0</v>
      </c>
      <c r="M488" t="n">
        <v>0</v>
      </c>
      <c r="N488" t="n">
        <v>0</v>
      </c>
      <c r="O488" t="n">
        <v>0</v>
      </c>
      <c r="P488" t="n">
        <v>0</v>
      </c>
      <c r="Q488" t="n">
        <v>0</v>
      </c>
      <c r="R488" s="2" t="inlineStr"/>
    </row>
    <row r="489" ht="15" customHeight="1">
      <c r="A489" t="inlineStr">
        <is>
          <t>A 62623-2025</t>
        </is>
      </c>
      <c r="B489" s="1" t="n">
        <v>46008.34443287037</v>
      </c>
      <c r="C489" s="1" t="n">
        <v>46025</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62452-2025</t>
        </is>
      </c>
      <c r="B490" s="1" t="n">
        <v>46007.49001157407</v>
      </c>
      <c r="C490" s="1" t="n">
        <v>46025</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62696-2025</t>
        </is>
      </c>
      <c r="B491" s="1" t="n">
        <v>46008.48708333333</v>
      </c>
      <c r="C491" s="1" t="n">
        <v>46025</v>
      </c>
      <c r="D491" t="inlineStr">
        <is>
          <t>JÄMTLANDS LÄN</t>
        </is>
      </c>
      <c r="E491" t="inlineStr">
        <is>
          <t>ÖSTERSUND</t>
        </is>
      </c>
      <c r="G491" t="n">
        <v>11.3</v>
      </c>
      <c r="H491" t="n">
        <v>0</v>
      </c>
      <c r="I491" t="n">
        <v>0</v>
      </c>
      <c r="J491" t="n">
        <v>0</v>
      </c>
      <c r="K491" t="n">
        <v>0</v>
      </c>
      <c r="L491" t="n">
        <v>0</v>
      </c>
      <c r="M491" t="n">
        <v>0</v>
      </c>
      <c r="N491" t="n">
        <v>0</v>
      </c>
      <c r="O491" t="n">
        <v>0</v>
      </c>
      <c r="P491" t="n">
        <v>0</v>
      </c>
      <c r="Q491" t="n">
        <v>0</v>
      </c>
      <c r="R491" s="2" t="inlineStr"/>
    </row>
    <row r="492" ht="15" customHeight="1">
      <c r="A492" t="inlineStr">
        <is>
          <t>A 54528-2025</t>
        </is>
      </c>
      <c r="B492" s="1" t="n">
        <v>45965.63496527778</v>
      </c>
      <c r="C492" s="1" t="n">
        <v>46025</v>
      </c>
      <c r="D492" t="inlineStr">
        <is>
          <t>JÄMTLANDS LÄN</t>
        </is>
      </c>
      <c r="E492" t="inlineStr">
        <is>
          <t>ÖSTERSUND</t>
        </is>
      </c>
      <c r="G492" t="n">
        <v>1.7</v>
      </c>
      <c r="H492" t="n">
        <v>0</v>
      </c>
      <c r="I492" t="n">
        <v>0</v>
      </c>
      <c r="J492" t="n">
        <v>0</v>
      </c>
      <c r="K492" t="n">
        <v>0</v>
      </c>
      <c r="L492" t="n">
        <v>0</v>
      </c>
      <c r="M492" t="n">
        <v>0</v>
      </c>
      <c r="N492" t="n">
        <v>0</v>
      </c>
      <c r="O492" t="n">
        <v>0</v>
      </c>
      <c r="P492" t="n">
        <v>0</v>
      </c>
      <c r="Q492" t="n">
        <v>0</v>
      </c>
      <c r="R492" s="2" t="inlineStr"/>
    </row>
    <row r="493" ht="15" customHeight="1">
      <c r="A493" t="inlineStr">
        <is>
          <t>A 27294-2023</t>
        </is>
      </c>
      <c r="B493" s="1" t="n">
        <v>45092</v>
      </c>
      <c r="C493" s="1" t="n">
        <v>46025</v>
      </c>
      <c r="D493" t="inlineStr">
        <is>
          <t>JÄMTLANDS LÄN</t>
        </is>
      </c>
      <c r="E493" t="inlineStr">
        <is>
          <t>ÖSTERSUND</t>
        </is>
      </c>
      <c r="G493" t="n">
        <v>2.8</v>
      </c>
      <c r="H493" t="n">
        <v>0</v>
      </c>
      <c r="I493" t="n">
        <v>0</v>
      </c>
      <c r="J493" t="n">
        <v>0</v>
      </c>
      <c r="K493" t="n">
        <v>0</v>
      </c>
      <c r="L493" t="n">
        <v>0</v>
      </c>
      <c r="M493" t="n">
        <v>0</v>
      </c>
      <c r="N493" t="n">
        <v>0</v>
      </c>
      <c r="O493" t="n">
        <v>0</v>
      </c>
      <c r="P493" t="n">
        <v>0</v>
      </c>
      <c r="Q493" t="n">
        <v>0</v>
      </c>
      <c r="R493" s="2" t="inlineStr"/>
    </row>
    <row r="494" ht="15" customHeight="1">
      <c r="A494" t="inlineStr">
        <is>
          <t>A 24246-2024</t>
        </is>
      </c>
      <c r="B494" s="1" t="n">
        <v>45457.37893518519</v>
      </c>
      <c r="C494" s="1" t="n">
        <v>46025</v>
      </c>
      <c r="D494" t="inlineStr">
        <is>
          <t>JÄMTLANDS LÄN</t>
        </is>
      </c>
      <c r="E494" t="inlineStr">
        <is>
          <t>ÖSTERSUND</t>
        </is>
      </c>
      <c r="G494" t="n">
        <v>5.3</v>
      </c>
      <c r="H494" t="n">
        <v>0</v>
      </c>
      <c r="I494" t="n">
        <v>0</v>
      </c>
      <c r="J494" t="n">
        <v>0</v>
      </c>
      <c r="K494" t="n">
        <v>0</v>
      </c>
      <c r="L494" t="n">
        <v>0</v>
      </c>
      <c r="M494" t="n">
        <v>0</v>
      </c>
      <c r="N494" t="n">
        <v>0</v>
      </c>
      <c r="O494" t="n">
        <v>0</v>
      </c>
      <c r="P494" t="n">
        <v>0</v>
      </c>
      <c r="Q494" t="n">
        <v>0</v>
      </c>
      <c r="R494" s="2" t="inlineStr"/>
    </row>
    <row r="495" ht="15" customHeight="1">
      <c r="A495" t="inlineStr">
        <is>
          <t>A 54965-2025</t>
        </is>
      </c>
      <c r="B495" s="1" t="n">
        <v>45967.49037037037</v>
      </c>
      <c r="C495" s="1" t="n">
        <v>46025</v>
      </c>
      <c r="D495" t="inlineStr">
        <is>
          <t>JÄMTLANDS LÄN</t>
        </is>
      </c>
      <c r="E495" t="inlineStr">
        <is>
          <t>ÖSTERSUND</t>
        </is>
      </c>
      <c r="G495" t="n">
        <v>4.3</v>
      </c>
      <c r="H495" t="n">
        <v>0</v>
      </c>
      <c r="I495" t="n">
        <v>0</v>
      </c>
      <c r="J495" t="n">
        <v>0</v>
      </c>
      <c r="K495" t="n">
        <v>0</v>
      </c>
      <c r="L495" t="n">
        <v>0</v>
      </c>
      <c r="M495" t="n">
        <v>0</v>
      </c>
      <c r="N495" t="n">
        <v>0</v>
      </c>
      <c r="O495" t="n">
        <v>0</v>
      </c>
      <c r="P495" t="n">
        <v>0</v>
      </c>
      <c r="Q495" t="n">
        <v>0</v>
      </c>
      <c r="R495" s="2" t="inlineStr"/>
    </row>
    <row r="496" ht="15" customHeight="1">
      <c r="A496" t="inlineStr">
        <is>
          <t>A 1670-2024</t>
        </is>
      </c>
      <c r="B496" s="1" t="n">
        <v>45306</v>
      </c>
      <c r="C496" s="1" t="n">
        <v>46025</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63193-2025</t>
        </is>
      </c>
      <c r="B497" s="1" t="n">
        <v>46010.45428240741</v>
      </c>
      <c r="C497" s="1" t="n">
        <v>46025</v>
      </c>
      <c r="D497" t="inlineStr">
        <is>
          <t>JÄMTLANDS LÄN</t>
        </is>
      </c>
      <c r="E497" t="inlineStr">
        <is>
          <t>ÖSTERSUND</t>
        </is>
      </c>
      <c r="G497" t="n">
        <v>9</v>
      </c>
      <c r="H497" t="n">
        <v>0</v>
      </c>
      <c r="I497" t="n">
        <v>0</v>
      </c>
      <c r="J497" t="n">
        <v>0</v>
      </c>
      <c r="K497" t="n">
        <v>0</v>
      </c>
      <c r="L497" t="n">
        <v>0</v>
      </c>
      <c r="M497" t="n">
        <v>0</v>
      </c>
      <c r="N497" t="n">
        <v>0</v>
      </c>
      <c r="O497" t="n">
        <v>0</v>
      </c>
      <c r="P497" t="n">
        <v>0</v>
      </c>
      <c r="Q497" t="n">
        <v>0</v>
      </c>
      <c r="R497" s="2" t="inlineStr"/>
      <c r="U497">
        <f>HYPERLINK("https://klasma.github.io/Logging_2380/knärot/A 63193-2025 karta knärot.png", "A 63193-2025")</f>
        <v/>
      </c>
      <c r="V497">
        <f>HYPERLINK("https://klasma.github.io/Logging_2380/klagomål/A 63193-2025 FSC-klagomål.docx", "A 63193-2025")</f>
        <v/>
      </c>
      <c r="W497">
        <f>HYPERLINK("https://klasma.github.io/Logging_2380/klagomålsmail/A 63193-2025 FSC-klagomål mail.docx", "A 63193-2025")</f>
        <v/>
      </c>
      <c r="X497">
        <f>HYPERLINK("https://klasma.github.io/Logging_2380/tillsyn/A 63193-2025 tillsynsbegäran.docx", "A 63193-2025")</f>
        <v/>
      </c>
      <c r="Y497">
        <f>HYPERLINK("https://klasma.github.io/Logging_2380/tillsynsmail/A 63193-2025 tillsynsbegäran mail.docx", "A 63193-2025")</f>
        <v/>
      </c>
    </row>
    <row r="498" ht="15" customHeight="1">
      <c r="A498" t="inlineStr">
        <is>
          <t>A 55179-2025</t>
        </is>
      </c>
      <c r="B498" s="1" t="n">
        <v>45968.53167824074</v>
      </c>
      <c r="C498" s="1" t="n">
        <v>46025</v>
      </c>
      <c r="D498" t="inlineStr">
        <is>
          <t>JÄMTLANDS LÄN</t>
        </is>
      </c>
      <c r="E498" t="inlineStr">
        <is>
          <t>ÖSTERSUND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54931-2025</t>
        </is>
      </c>
      <c r="B499" s="1" t="n">
        <v>45967.42462962963</v>
      </c>
      <c r="C499" s="1" t="n">
        <v>46025</v>
      </c>
      <c r="D499" t="inlineStr">
        <is>
          <t>JÄMTLANDS LÄN</t>
        </is>
      </c>
      <c r="E499" t="inlineStr">
        <is>
          <t>ÖSTERSUND</t>
        </is>
      </c>
      <c r="G499" t="n">
        <v>7.1</v>
      </c>
      <c r="H499" t="n">
        <v>0</v>
      </c>
      <c r="I499" t="n">
        <v>0</v>
      </c>
      <c r="J499" t="n">
        <v>0</v>
      </c>
      <c r="K499" t="n">
        <v>0</v>
      </c>
      <c r="L499" t="n">
        <v>0</v>
      </c>
      <c r="M499" t="n">
        <v>0</v>
      </c>
      <c r="N499" t="n">
        <v>0</v>
      </c>
      <c r="O499" t="n">
        <v>0</v>
      </c>
      <c r="P499" t="n">
        <v>0</v>
      </c>
      <c r="Q499" t="n">
        <v>0</v>
      </c>
      <c r="R499" s="2" t="inlineStr"/>
    </row>
    <row r="500" ht="15" customHeight="1">
      <c r="A500" t="inlineStr">
        <is>
          <t>A 63245-2025</t>
        </is>
      </c>
      <c r="B500" s="1" t="n">
        <v>46010.53825231481</v>
      </c>
      <c r="C500" s="1" t="n">
        <v>46025</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49192-2024</t>
        </is>
      </c>
      <c r="B501" s="1" t="n">
        <v>45595.34762731481</v>
      </c>
      <c r="C501" s="1" t="n">
        <v>46025</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54237-2024</t>
        </is>
      </c>
      <c r="B502" s="1" t="n">
        <v>45616.67833333334</v>
      </c>
      <c r="C502" s="1" t="n">
        <v>46025</v>
      </c>
      <c r="D502" t="inlineStr">
        <is>
          <t>JÄMTLANDS LÄN</t>
        </is>
      </c>
      <c r="E502" t="inlineStr">
        <is>
          <t>ÖSTERSUND</t>
        </is>
      </c>
      <c r="F502" t="inlineStr">
        <is>
          <t>SCA</t>
        </is>
      </c>
      <c r="G502" t="n">
        <v>8.9</v>
      </c>
      <c r="H502" t="n">
        <v>0</v>
      </c>
      <c r="I502" t="n">
        <v>0</v>
      </c>
      <c r="J502" t="n">
        <v>0</v>
      </c>
      <c r="K502" t="n">
        <v>0</v>
      </c>
      <c r="L502" t="n">
        <v>0</v>
      </c>
      <c r="M502" t="n">
        <v>0</v>
      </c>
      <c r="N502" t="n">
        <v>0</v>
      </c>
      <c r="O502" t="n">
        <v>0</v>
      </c>
      <c r="P502" t="n">
        <v>0</v>
      </c>
      <c r="Q502" t="n">
        <v>0</v>
      </c>
      <c r="R502" s="2" t="inlineStr"/>
    </row>
    <row r="503" ht="15" customHeight="1">
      <c r="A503" t="inlineStr">
        <is>
          <t>A 69190-2021</t>
        </is>
      </c>
      <c r="B503" s="1" t="n">
        <v>44529</v>
      </c>
      <c r="C503" s="1" t="n">
        <v>46025</v>
      </c>
      <c r="D503" t="inlineStr">
        <is>
          <t>JÄMTLANDS LÄN</t>
        </is>
      </c>
      <c r="E503" t="inlineStr">
        <is>
          <t>ÖSTERSUND</t>
        </is>
      </c>
      <c r="G503" t="n">
        <v>4.2</v>
      </c>
      <c r="H503" t="n">
        <v>0</v>
      </c>
      <c r="I503" t="n">
        <v>0</v>
      </c>
      <c r="J503" t="n">
        <v>0</v>
      </c>
      <c r="K503" t="n">
        <v>0</v>
      </c>
      <c r="L503" t="n">
        <v>0</v>
      </c>
      <c r="M503" t="n">
        <v>0</v>
      </c>
      <c r="N503" t="n">
        <v>0</v>
      </c>
      <c r="O503" t="n">
        <v>0</v>
      </c>
      <c r="P503" t="n">
        <v>0</v>
      </c>
      <c r="Q503" t="n">
        <v>0</v>
      </c>
      <c r="R503" s="2" t="inlineStr"/>
    </row>
    <row r="504" ht="15" customHeight="1">
      <c r="A504" t="inlineStr">
        <is>
          <t>A 63195-2025</t>
        </is>
      </c>
      <c r="B504" s="1" t="n">
        <v>46010.45680555556</v>
      </c>
      <c r="C504" s="1" t="n">
        <v>46025</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4707-2024</t>
        </is>
      </c>
      <c r="B505" s="1" t="n">
        <v>45328</v>
      </c>
      <c r="C505" s="1" t="n">
        <v>46025</v>
      </c>
      <c r="D505" t="inlineStr">
        <is>
          <t>JÄMTLANDS LÄN</t>
        </is>
      </c>
      <c r="E505" t="inlineStr">
        <is>
          <t>ÖSTERSUND</t>
        </is>
      </c>
      <c r="G505" t="n">
        <v>0.7</v>
      </c>
      <c r="H505" t="n">
        <v>0</v>
      </c>
      <c r="I505" t="n">
        <v>0</v>
      </c>
      <c r="J505" t="n">
        <v>0</v>
      </c>
      <c r="K505" t="n">
        <v>0</v>
      </c>
      <c r="L505" t="n">
        <v>0</v>
      </c>
      <c r="M505" t="n">
        <v>0</v>
      </c>
      <c r="N505" t="n">
        <v>0</v>
      </c>
      <c r="O505" t="n">
        <v>0</v>
      </c>
      <c r="P505" t="n">
        <v>0</v>
      </c>
      <c r="Q505" t="n">
        <v>0</v>
      </c>
      <c r="R505" s="2" t="inlineStr"/>
    </row>
    <row r="506" ht="15" customHeight="1">
      <c r="A506" t="inlineStr">
        <is>
          <t>A 63693-2025</t>
        </is>
      </c>
      <c r="B506" s="1" t="n">
        <v>46014.5496875</v>
      </c>
      <c r="C506" s="1" t="n">
        <v>46025</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63516-2025</t>
        </is>
      </c>
      <c r="B507" s="1" t="n">
        <v>46013.50993055556</v>
      </c>
      <c r="C507" s="1" t="n">
        <v>46025</v>
      </c>
      <c r="D507" t="inlineStr">
        <is>
          <t>JÄMTLANDS LÄN</t>
        </is>
      </c>
      <c r="E507" t="inlineStr">
        <is>
          <t>ÖSTERSUND</t>
        </is>
      </c>
      <c r="G507" t="n">
        <v>4.8</v>
      </c>
      <c r="H507" t="n">
        <v>0</v>
      </c>
      <c r="I507" t="n">
        <v>0</v>
      </c>
      <c r="J507" t="n">
        <v>0</v>
      </c>
      <c r="K507" t="n">
        <v>0</v>
      </c>
      <c r="L507" t="n">
        <v>0</v>
      </c>
      <c r="M507" t="n">
        <v>0</v>
      </c>
      <c r="N507" t="n">
        <v>0</v>
      </c>
      <c r="O507" t="n">
        <v>0</v>
      </c>
      <c r="P507" t="n">
        <v>0</v>
      </c>
      <c r="Q507" t="n">
        <v>0</v>
      </c>
      <c r="R507" s="2" t="inlineStr"/>
    </row>
    <row r="508" ht="15" customHeight="1">
      <c r="A508" t="inlineStr">
        <is>
          <t>A 63475-2025</t>
        </is>
      </c>
      <c r="B508" s="1" t="n">
        <v>46013.4459375</v>
      </c>
      <c r="C508" s="1" t="n">
        <v>46025</v>
      </c>
      <c r="D508" t="inlineStr">
        <is>
          <t>JÄMTLANDS LÄN</t>
        </is>
      </c>
      <c r="E508" t="inlineStr">
        <is>
          <t>ÖSTERSUND</t>
        </is>
      </c>
      <c r="G508" t="n">
        <v>4.4</v>
      </c>
      <c r="H508" t="n">
        <v>0</v>
      </c>
      <c r="I508" t="n">
        <v>0</v>
      </c>
      <c r="J508" t="n">
        <v>0</v>
      </c>
      <c r="K508" t="n">
        <v>0</v>
      </c>
      <c r="L508" t="n">
        <v>0</v>
      </c>
      <c r="M508" t="n">
        <v>0</v>
      </c>
      <c r="N508" t="n">
        <v>0</v>
      </c>
      <c r="O508" t="n">
        <v>0</v>
      </c>
      <c r="P508" t="n">
        <v>0</v>
      </c>
      <c r="Q508" t="n">
        <v>0</v>
      </c>
      <c r="R508" s="2" t="inlineStr"/>
    </row>
    <row r="509" ht="15" customHeight="1">
      <c r="A509" t="inlineStr">
        <is>
          <t>A 55064-2024</t>
        </is>
      </c>
      <c r="B509" s="1" t="n">
        <v>45621.41050925926</v>
      </c>
      <c r="C509" s="1" t="n">
        <v>46025</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56165-2025</t>
        </is>
      </c>
      <c r="B510" s="1" t="n">
        <v>45974.38310185185</v>
      </c>
      <c r="C510" s="1" t="n">
        <v>46025</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10116-2025</t>
        </is>
      </c>
      <c r="B511" s="1" t="n">
        <v>45719.59836805556</v>
      </c>
      <c r="C511" s="1" t="n">
        <v>46025</v>
      </c>
      <c r="D511" t="inlineStr">
        <is>
          <t>JÄMTLANDS LÄN</t>
        </is>
      </c>
      <c r="E511" t="inlineStr">
        <is>
          <t>ÖSTERSUND</t>
        </is>
      </c>
      <c r="G511" t="n">
        <v>11.1</v>
      </c>
      <c r="H511" t="n">
        <v>0</v>
      </c>
      <c r="I511" t="n">
        <v>0</v>
      </c>
      <c r="J511" t="n">
        <v>0</v>
      </c>
      <c r="K511" t="n">
        <v>0</v>
      </c>
      <c r="L511" t="n">
        <v>0</v>
      </c>
      <c r="M511" t="n">
        <v>0</v>
      </c>
      <c r="N511" t="n">
        <v>0</v>
      </c>
      <c r="O511" t="n">
        <v>0</v>
      </c>
      <c r="P511" t="n">
        <v>0</v>
      </c>
      <c r="Q511" t="n">
        <v>0</v>
      </c>
      <c r="R511" s="2" t="inlineStr"/>
    </row>
    <row r="512" ht="15" customHeight="1">
      <c r="A512" t="inlineStr">
        <is>
          <t>A 56903-2025</t>
        </is>
      </c>
      <c r="B512" s="1" t="n">
        <v>45978.57414351852</v>
      </c>
      <c r="C512" s="1" t="n">
        <v>46025</v>
      </c>
      <c r="D512" t="inlineStr">
        <is>
          <t>JÄMTLANDS LÄN</t>
        </is>
      </c>
      <c r="E512" t="inlineStr">
        <is>
          <t>ÖSTERSUND</t>
        </is>
      </c>
      <c r="G512" t="n">
        <v>3</v>
      </c>
      <c r="H512" t="n">
        <v>0</v>
      </c>
      <c r="I512" t="n">
        <v>0</v>
      </c>
      <c r="J512" t="n">
        <v>0</v>
      </c>
      <c r="K512" t="n">
        <v>0</v>
      </c>
      <c r="L512" t="n">
        <v>0</v>
      </c>
      <c r="M512" t="n">
        <v>0</v>
      </c>
      <c r="N512" t="n">
        <v>0</v>
      </c>
      <c r="O512" t="n">
        <v>0</v>
      </c>
      <c r="P512" t="n">
        <v>0</v>
      </c>
      <c r="Q512" t="n">
        <v>0</v>
      </c>
      <c r="R512" s="2" t="inlineStr"/>
    </row>
    <row r="513" ht="15" customHeight="1">
      <c r="A513" t="inlineStr">
        <is>
          <t>A 63861-2025</t>
        </is>
      </c>
      <c r="B513" s="1" t="n">
        <v>46020.49056712963</v>
      </c>
      <c r="C513" s="1" t="n">
        <v>46025</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56690-2025</t>
        </is>
      </c>
      <c r="B514" s="1" t="n">
        <v>45976.58684027778</v>
      </c>
      <c r="C514" s="1" t="n">
        <v>46025</v>
      </c>
      <c r="D514" t="inlineStr">
        <is>
          <t>JÄMTLANDS LÄN</t>
        </is>
      </c>
      <c r="E514" t="inlineStr">
        <is>
          <t>ÖSTERSUND</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8027-2022</t>
        </is>
      </c>
      <c r="B515" s="1" t="n">
        <v>44609</v>
      </c>
      <c r="C515" s="1" t="n">
        <v>46025</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19323-2024</t>
        </is>
      </c>
      <c r="B516" s="1" t="n">
        <v>45428.92486111111</v>
      </c>
      <c r="C516" s="1" t="n">
        <v>46025</v>
      </c>
      <c r="D516" t="inlineStr">
        <is>
          <t>JÄMTLANDS LÄN</t>
        </is>
      </c>
      <c r="E516" t="inlineStr">
        <is>
          <t>ÖSTERSUND</t>
        </is>
      </c>
      <c r="F516" t="inlineStr">
        <is>
          <t>Kommuner</t>
        </is>
      </c>
      <c r="G516" t="n">
        <v>0.2</v>
      </c>
      <c r="H516" t="n">
        <v>0</v>
      </c>
      <c r="I516" t="n">
        <v>0</v>
      </c>
      <c r="J516" t="n">
        <v>0</v>
      </c>
      <c r="K516" t="n">
        <v>0</v>
      </c>
      <c r="L516" t="n">
        <v>0</v>
      </c>
      <c r="M516" t="n">
        <v>0</v>
      </c>
      <c r="N516" t="n">
        <v>0</v>
      </c>
      <c r="O516" t="n">
        <v>0</v>
      </c>
      <c r="P516" t="n">
        <v>0</v>
      </c>
      <c r="Q516" t="n">
        <v>0</v>
      </c>
      <c r="R516" s="2" t="inlineStr"/>
    </row>
    <row r="517" ht="15" customHeight="1">
      <c r="A517" t="inlineStr">
        <is>
          <t>A 63856-2025</t>
        </is>
      </c>
      <c r="B517" s="1" t="n">
        <v>46020.47796296296</v>
      </c>
      <c r="C517" s="1" t="n">
        <v>46025</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61836-2025</t>
        </is>
      </c>
      <c r="B518" s="1" t="n">
        <v>46003</v>
      </c>
      <c r="C518" s="1" t="n">
        <v>46025</v>
      </c>
      <c r="D518" t="inlineStr">
        <is>
          <t>JÄMTLANDS LÄN</t>
        </is>
      </c>
      <c r="E518" t="inlineStr">
        <is>
          <t>ÖSTERSUND</t>
        </is>
      </c>
      <c r="G518" t="n">
        <v>4.6</v>
      </c>
      <c r="H518" t="n">
        <v>0</v>
      </c>
      <c r="I518" t="n">
        <v>0</v>
      </c>
      <c r="J518" t="n">
        <v>0</v>
      </c>
      <c r="K518" t="n">
        <v>0</v>
      </c>
      <c r="L518" t="n">
        <v>0</v>
      </c>
      <c r="M518" t="n">
        <v>0</v>
      </c>
      <c r="N518" t="n">
        <v>0</v>
      </c>
      <c r="O518" t="n">
        <v>0</v>
      </c>
      <c r="P518" t="n">
        <v>0</v>
      </c>
      <c r="Q518" t="n">
        <v>0</v>
      </c>
      <c r="R518" s="2" t="inlineStr"/>
    </row>
    <row r="519" ht="15" customHeight="1">
      <c r="A519" t="inlineStr">
        <is>
          <t>A 14831-2025</t>
        </is>
      </c>
      <c r="B519" s="1" t="n">
        <v>45743.37109953703</v>
      </c>
      <c r="C519" s="1" t="n">
        <v>46025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49592-2024</t>
        </is>
      </c>
      <c r="B520" s="1" t="n">
        <v>45596.55266203704</v>
      </c>
      <c r="C520" s="1" t="n">
        <v>46025</v>
      </c>
      <c r="D520" t="inlineStr">
        <is>
          <t>JÄMTLANDS LÄN</t>
        </is>
      </c>
      <c r="E520" t="inlineStr">
        <is>
          <t>ÖSTERSUND</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63981-2025</t>
        </is>
      </c>
      <c r="B521" s="1" t="n">
        <v>46021.34450231482</v>
      </c>
      <c r="C521" s="1" t="n">
        <v>46025</v>
      </c>
      <c r="D521" t="inlineStr">
        <is>
          <t>JÄMTLANDS LÄN</t>
        </is>
      </c>
      <c r="E521" t="inlineStr">
        <is>
          <t>ÖSTERSUND</t>
        </is>
      </c>
      <c r="G521" t="n">
        <v>17.7</v>
      </c>
      <c r="H521" t="n">
        <v>0</v>
      </c>
      <c r="I521" t="n">
        <v>0</v>
      </c>
      <c r="J521" t="n">
        <v>0</v>
      </c>
      <c r="K521" t="n">
        <v>0</v>
      </c>
      <c r="L521" t="n">
        <v>0</v>
      </c>
      <c r="M521" t="n">
        <v>0</v>
      </c>
      <c r="N521" t="n">
        <v>0</v>
      </c>
      <c r="O521" t="n">
        <v>0</v>
      </c>
      <c r="P521" t="n">
        <v>0</v>
      </c>
      <c r="Q521" t="n">
        <v>0</v>
      </c>
      <c r="R521" s="2" t="inlineStr"/>
    </row>
    <row r="522" ht="15" customHeight="1">
      <c r="A522" t="inlineStr">
        <is>
          <t>A 61611-2025</t>
        </is>
      </c>
      <c r="B522" s="1" t="n">
        <v>46002</v>
      </c>
      <c r="C522" s="1" t="n">
        <v>46025</v>
      </c>
      <c r="D522" t="inlineStr">
        <is>
          <t>JÄMTLANDS LÄN</t>
        </is>
      </c>
      <c r="E522" t="inlineStr">
        <is>
          <t>ÖSTERSUND</t>
        </is>
      </c>
      <c r="G522" t="n">
        <v>5</v>
      </c>
      <c r="H522" t="n">
        <v>0</v>
      </c>
      <c r="I522" t="n">
        <v>0</v>
      </c>
      <c r="J522" t="n">
        <v>0</v>
      </c>
      <c r="K522" t="n">
        <v>0</v>
      </c>
      <c r="L522" t="n">
        <v>0</v>
      </c>
      <c r="M522" t="n">
        <v>0</v>
      </c>
      <c r="N522" t="n">
        <v>0</v>
      </c>
      <c r="O522" t="n">
        <v>0</v>
      </c>
      <c r="P522" t="n">
        <v>0</v>
      </c>
      <c r="Q522" t="n">
        <v>0</v>
      </c>
      <c r="R522" s="2" t="inlineStr"/>
    </row>
    <row r="523" ht="15" customHeight="1">
      <c r="A523" t="inlineStr">
        <is>
          <t>A 63982-2025</t>
        </is>
      </c>
      <c r="B523" s="1" t="n">
        <v>46021.34454861111</v>
      </c>
      <c r="C523" s="1" t="n">
        <v>46025</v>
      </c>
      <c r="D523" t="inlineStr">
        <is>
          <t>JÄMTLANDS LÄN</t>
        </is>
      </c>
      <c r="E523" t="inlineStr">
        <is>
          <t>ÖSTERSUND</t>
        </is>
      </c>
      <c r="G523" t="n">
        <v>6.5</v>
      </c>
      <c r="H523" t="n">
        <v>0</v>
      </c>
      <c r="I523" t="n">
        <v>0</v>
      </c>
      <c r="J523" t="n">
        <v>0</v>
      </c>
      <c r="K523" t="n">
        <v>0</v>
      </c>
      <c r="L523" t="n">
        <v>0</v>
      </c>
      <c r="M523" t="n">
        <v>0</v>
      </c>
      <c r="N523" t="n">
        <v>0</v>
      </c>
      <c r="O523" t="n">
        <v>0</v>
      </c>
      <c r="P523" t="n">
        <v>0</v>
      </c>
      <c r="Q523" t="n">
        <v>0</v>
      </c>
      <c r="R523" s="2" t="inlineStr"/>
    </row>
    <row r="524" ht="15" customHeight="1">
      <c r="A524" t="inlineStr">
        <is>
          <t>A 61330-2025</t>
        </is>
      </c>
      <c r="B524" s="1" t="n">
        <v>46001</v>
      </c>
      <c r="C524" s="1" t="n">
        <v>46025</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60537-2025</t>
        </is>
      </c>
      <c r="B525" s="1" t="n">
        <v>45995</v>
      </c>
      <c r="C525" s="1" t="n">
        <v>46025</v>
      </c>
      <c r="D525" t="inlineStr">
        <is>
          <t>JÄMTLANDS LÄN</t>
        </is>
      </c>
      <c r="E525" t="inlineStr">
        <is>
          <t>ÖSTERSUND</t>
        </is>
      </c>
      <c r="G525" t="n">
        <v>4.7</v>
      </c>
      <c r="H525" t="n">
        <v>0</v>
      </c>
      <c r="I525" t="n">
        <v>0</v>
      </c>
      <c r="J525" t="n">
        <v>0</v>
      </c>
      <c r="K525" t="n">
        <v>0</v>
      </c>
      <c r="L525" t="n">
        <v>0</v>
      </c>
      <c r="M525" t="n">
        <v>0</v>
      </c>
      <c r="N525" t="n">
        <v>0</v>
      </c>
      <c r="O525" t="n">
        <v>0</v>
      </c>
      <c r="P525" t="n">
        <v>0</v>
      </c>
      <c r="Q525" t="n">
        <v>0</v>
      </c>
      <c r="R525" s="2" t="inlineStr"/>
    </row>
    <row r="526" ht="15" customHeight="1">
      <c r="A526" t="inlineStr">
        <is>
          <t>A 56847-2024</t>
        </is>
      </c>
      <c r="B526" s="1" t="n">
        <v>45628.53381944444</v>
      </c>
      <c r="C526" s="1" t="n">
        <v>46025</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63807-2025</t>
        </is>
      </c>
      <c r="B527" s="1" t="n">
        <v>46019</v>
      </c>
      <c r="C527" s="1" t="n">
        <v>46025</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64022-2025</t>
        </is>
      </c>
      <c r="B528" s="1" t="n">
        <v>46021.46912037037</v>
      </c>
      <c r="C528" s="1" t="n">
        <v>46025</v>
      </c>
      <c r="D528" t="inlineStr">
        <is>
          <t>JÄMTLANDS LÄN</t>
        </is>
      </c>
      <c r="E528" t="inlineStr">
        <is>
          <t>ÖSTERSUND</t>
        </is>
      </c>
      <c r="G528" t="n">
        <v>2.1</v>
      </c>
      <c r="H528" t="n">
        <v>0</v>
      </c>
      <c r="I528" t="n">
        <v>0</v>
      </c>
      <c r="J528" t="n">
        <v>0</v>
      </c>
      <c r="K528" t="n">
        <v>0</v>
      </c>
      <c r="L528" t="n">
        <v>0</v>
      </c>
      <c r="M528" t="n">
        <v>0</v>
      </c>
      <c r="N528" t="n">
        <v>0</v>
      </c>
      <c r="O528" t="n">
        <v>0</v>
      </c>
      <c r="P528" t="n">
        <v>0</v>
      </c>
      <c r="Q528" t="n">
        <v>0</v>
      </c>
      <c r="R528" s="2" t="inlineStr"/>
    </row>
    <row r="529" ht="15" customHeight="1">
      <c r="A529" t="inlineStr">
        <is>
          <t>A 57513-2025</t>
        </is>
      </c>
      <c r="B529" s="1" t="n">
        <v>45980.61142361111</v>
      </c>
      <c r="C529" s="1" t="n">
        <v>46025</v>
      </c>
      <c r="D529" t="inlineStr">
        <is>
          <t>JÄMTLANDS LÄN</t>
        </is>
      </c>
      <c r="E529" t="inlineStr">
        <is>
          <t>ÖSTERSUND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44798-2023</t>
        </is>
      </c>
      <c r="B530" s="1" t="n">
        <v>45190</v>
      </c>
      <c r="C530" s="1" t="n">
        <v>46025</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58099-2025</t>
        </is>
      </c>
      <c r="B531" s="1" t="n">
        <v>45982.5862037037</v>
      </c>
      <c r="C531" s="1" t="n">
        <v>46025</v>
      </c>
      <c r="D531" t="inlineStr">
        <is>
          <t>JÄMTLANDS LÄN</t>
        </is>
      </c>
      <c r="E531" t="inlineStr">
        <is>
          <t>ÖSTERSUND</t>
        </is>
      </c>
      <c r="G531" t="n">
        <v>6.1</v>
      </c>
      <c r="H531" t="n">
        <v>0</v>
      </c>
      <c r="I531" t="n">
        <v>0</v>
      </c>
      <c r="J531" t="n">
        <v>0</v>
      </c>
      <c r="K531" t="n">
        <v>0</v>
      </c>
      <c r="L531" t="n">
        <v>0</v>
      </c>
      <c r="M531" t="n">
        <v>0</v>
      </c>
      <c r="N531" t="n">
        <v>0</v>
      </c>
      <c r="O531" t="n">
        <v>0</v>
      </c>
      <c r="P531" t="n">
        <v>0</v>
      </c>
      <c r="Q531" t="n">
        <v>0</v>
      </c>
      <c r="R531" s="2" t="inlineStr"/>
    </row>
    <row r="532" ht="15" customHeight="1">
      <c r="A532" t="inlineStr">
        <is>
          <t>A 61376-2024</t>
        </is>
      </c>
      <c r="B532" s="1" t="n">
        <v>45646.39434027778</v>
      </c>
      <c r="C532" s="1" t="n">
        <v>46025</v>
      </c>
      <c r="D532" t="inlineStr">
        <is>
          <t>JÄMTLANDS LÄN</t>
        </is>
      </c>
      <c r="E532" t="inlineStr">
        <is>
          <t>ÖSTERSUND</t>
        </is>
      </c>
      <c r="G532" t="n">
        <v>4.6</v>
      </c>
      <c r="H532" t="n">
        <v>0</v>
      </c>
      <c r="I532" t="n">
        <v>0</v>
      </c>
      <c r="J532" t="n">
        <v>0</v>
      </c>
      <c r="K532" t="n">
        <v>0</v>
      </c>
      <c r="L532" t="n">
        <v>0</v>
      </c>
      <c r="M532" t="n">
        <v>0</v>
      </c>
      <c r="N532" t="n">
        <v>0</v>
      </c>
      <c r="O532" t="n">
        <v>0</v>
      </c>
      <c r="P532" t="n">
        <v>0</v>
      </c>
      <c r="Q532" t="n">
        <v>0</v>
      </c>
      <c r="R532" s="2" t="inlineStr"/>
    </row>
    <row r="533" ht="15" customHeight="1">
      <c r="A533" t="inlineStr">
        <is>
          <t>A 49788-2024</t>
        </is>
      </c>
      <c r="B533" s="1" t="n">
        <v>45597.36623842592</v>
      </c>
      <c r="C533" s="1" t="n">
        <v>46025</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58406-2024</t>
        </is>
      </c>
      <c r="B534" s="1" t="n">
        <v>45634.70898148148</v>
      </c>
      <c r="C534" s="1" t="n">
        <v>46025</v>
      </c>
      <c r="D534" t="inlineStr">
        <is>
          <t>JÄMTLANDS LÄN</t>
        </is>
      </c>
      <c r="E534" t="inlineStr">
        <is>
          <t>ÖSTERSUND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58122-2025</t>
        </is>
      </c>
      <c r="B535" s="1" t="n">
        <v>45982.61043981482</v>
      </c>
      <c r="C535" s="1" t="n">
        <v>46025</v>
      </c>
      <c r="D535" t="inlineStr">
        <is>
          <t>JÄMTLANDS LÄN</t>
        </is>
      </c>
      <c r="E535" t="inlineStr">
        <is>
          <t>ÖSTERSUND</t>
        </is>
      </c>
      <c r="G535" t="n">
        <v>2.2</v>
      </c>
      <c r="H535" t="n">
        <v>0</v>
      </c>
      <c r="I535" t="n">
        <v>0</v>
      </c>
      <c r="J535" t="n">
        <v>0</v>
      </c>
      <c r="K535" t="n">
        <v>0</v>
      </c>
      <c r="L535" t="n">
        <v>0</v>
      </c>
      <c r="M535" t="n">
        <v>0</v>
      </c>
      <c r="N535" t="n">
        <v>0</v>
      </c>
      <c r="O535" t="n">
        <v>0</v>
      </c>
      <c r="P535" t="n">
        <v>0</v>
      </c>
      <c r="Q535" t="n">
        <v>0</v>
      </c>
      <c r="R535" s="2" t="inlineStr"/>
    </row>
    <row r="536" ht="15" customHeight="1">
      <c r="A536" t="inlineStr">
        <is>
          <t>A 61002-2024</t>
        </is>
      </c>
      <c r="B536" s="1" t="n">
        <v>45645.44158564815</v>
      </c>
      <c r="C536" s="1" t="n">
        <v>46025</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33501-2023</t>
        </is>
      </c>
      <c r="B537" s="1" t="n">
        <v>45118</v>
      </c>
      <c r="C537" s="1" t="n">
        <v>46025</v>
      </c>
      <c r="D537" t="inlineStr">
        <is>
          <t>JÄMTLANDS LÄN</t>
        </is>
      </c>
      <c r="E537" t="inlineStr">
        <is>
          <t>ÖSTERSUND</t>
        </is>
      </c>
      <c r="G537" t="n">
        <v>5.8</v>
      </c>
      <c r="H537" t="n">
        <v>0</v>
      </c>
      <c r="I537" t="n">
        <v>0</v>
      </c>
      <c r="J537" t="n">
        <v>0</v>
      </c>
      <c r="K537" t="n">
        <v>0</v>
      </c>
      <c r="L537" t="n">
        <v>0</v>
      </c>
      <c r="M537" t="n">
        <v>0</v>
      </c>
      <c r="N537" t="n">
        <v>0</v>
      </c>
      <c r="O537" t="n">
        <v>0</v>
      </c>
      <c r="P537" t="n">
        <v>0</v>
      </c>
      <c r="Q537" t="n">
        <v>0</v>
      </c>
      <c r="R537" s="2" t="inlineStr"/>
    </row>
    <row r="538" ht="15" customHeight="1">
      <c r="A538" t="inlineStr">
        <is>
          <t>A 231-2022</t>
        </is>
      </c>
      <c r="B538" s="1" t="n">
        <v>44564.93909722222</v>
      </c>
      <c r="C538" s="1" t="n">
        <v>46025</v>
      </c>
      <c r="D538" t="inlineStr">
        <is>
          <t>JÄMTLANDS LÄN</t>
        </is>
      </c>
      <c r="E538" t="inlineStr">
        <is>
          <t>ÖSTERSUND</t>
        </is>
      </c>
      <c r="G538" t="n">
        <v>1.9</v>
      </c>
      <c r="H538" t="n">
        <v>0</v>
      </c>
      <c r="I538" t="n">
        <v>0</v>
      </c>
      <c r="J538" t="n">
        <v>0</v>
      </c>
      <c r="K538" t="n">
        <v>0</v>
      </c>
      <c r="L538" t="n">
        <v>0</v>
      </c>
      <c r="M538" t="n">
        <v>0</v>
      </c>
      <c r="N538" t="n">
        <v>0</v>
      </c>
      <c r="O538" t="n">
        <v>0</v>
      </c>
      <c r="P538" t="n">
        <v>0</v>
      </c>
      <c r="Q538" t="n">
        <v>0</v>
      </c>
      <c r="R538" s="2" t="inlineStr"/>
    </row>
    <row r="539" ht="15" customHeight="1">
      <c r="A539" t="inlineStr">
        <is>
          <t>A 52854-2024</t>
        </is>
      </c>
      <c r="B539" s="1" t="n">
        <v>45610.61030092592</v>
      </c>
      <c r="C539" s="1" t="n">
        <v>46025</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8216-2025</t>
        </is>
      </c>
      <c r="B540" s="1" t="n">
        <v>45708.44947916667</v>
      </c>
      <c r="C540" s="1" t="n">
        <v>46025</v>
      </c>
      <c r="D540" t="inlineStr">
        <is>
          <t>JÄMTLANDS LÄN</t>
        </is>
      </c>
      <c r="E540" t="inlineStr">
        <is>
          <t>ÖSTERSUND</t>
        </is>
      </c>
      <c r="F540" t="inlineStr">
        <is>
          <t>Övriga Aktiebolag</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3615-2025</t>
        </is>
      </c>
      <c r="B541" s="1" t="n">
        <v>45681.36493055556</v>
      </c>
      <c r="C541" s="1" t="n">
        <v>46025</v>
      </c>
      <c r="D541" t="inlineStr">
        <is>
          <t>JÄMTLANDS LÄN</t>
        </is>
      </c>
      <c r="E541" t="inlineStr">
        <is>
          <t>ÖSTERSUND</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3651-2025</t>
        </is>
      </c>
      <c r="B542" s="1" t="n">
        <v>45681.40689814815</v>
      </c>
      <c r="C542" s="1" t="n">
        <v>46025</v>
      </c>
      <c r="D542" t="inlineStr">
        <is>
          <t>JÄMTLANDS LÄN</t>
        </is>
      </c>
      <c r="E542" t="inlineStr">
        <is>
          <t>ÖSTERSUND</t>
        </is>
      </c>
      <c r="F542" t="inlineStr">
        <is>
          <t>SCA</t>
        </is>
      </c>
      <c r="G542" t="n">
        <v>9.6</v>
      </c>
      <c r="H542" t="n">
        <v>0</v>
      </c>
      <c r="I542" t="n">
        <v>0</v>
      </c>
      <c r="J542" t="n">
        <v>0</v>
      </c>
      <c r="K542" t="n">
        <v>0</v>
      </c>
      <c r="L542" t="n">
        <v>0</v>
      </c>
      <c r="M542" t="n">
        <v>0</v>
      </c>
      <c r="N542" t="n">
        <v>0</v>
      </c>
      <c r="O542" t="n">
        <v>0</v>
      </c>
      <c r="P542" t="n">
        <v>0</v>
      </c>
      <c r="Q542" t="n">
        <v>0</v>
      </c>
      <c r="R542" s="2" t="inlineStr"/>
    </row>
    <row r="543" ht="15" customHeight="1">
      <c r="A543" t="inlineStr">
        <is>
          <t>A 3664-2025</t>
        </is>
      </c>
      <c r="B543" s="1" t="n">
        <v>45681.4275462963</v>
      </c>
      <c r="C543" s="1" t="n">
        <v>46025</v>
      </c>
      <c r="D543" t="inlineStr">
        <is>
          <t>JÄMTLANDS LÄN</t>
        </is>
      </c>
      <c r="E543" t="inlineStr">
        <is>
          <t>ÖSTERSUND</t>
        </is>
      </c>
      <c r="F543" t="inlineStr">
        <is>
          <t>SCA</t>
        </is>
      </c>
      <c r="G543" t="n">
        <v>10.9</v>
      </c>
      <c r="H543" t="n">
        <v>0</v>
      </c>
      <c r="I543" t="n">
        <v>0</v>
      </c>
      <c r="J543" t="n">
        <v>0</v>
      </c>
      <c r="K543" t="n">
        <v>0</v>
      </c>
      <c r="L543" t="n">
        <v>0</v>
      </c>
      <c r="M543" t="n">
        <v>0</v>
      </c>
      <c r="N543" t="n">
        <v>0</v>
      </c>
      <c r="O543" t="n">
        <v>0</v>
      </c>
      <c r="P543" t="n">
        <v>0</v>
      </c>
      <c r="Q543" t="n">
        <v>0</v>
      </c>
      <c r="R543" s="2" t="inlineStr"/>
    </row>
    <row r="544" ht="15" customHeight="1">
      <c r="A544" t="inlineStr">
        <is>
          <t>A 12429-2025</t>
        </is>
      </c>
      <c r="B544" s="1" t="n">
        <v>45730.45930555555</v>
      </c>
      <c r="C544" s="1" t="n">
        <v>46025</v>
      </c>
      <c r="D544" t="inlineStr">
        <is>
          <t>JÄMTLANDS LÄN</t>
        </is>
      </c>
      <c r="E544" t="inlineStr">
        <is>
          <t>ÖSTERSUND</t>
        </is>
      </c>
      <c r="F544" t="inlineStr">
        <is>
          <t>Övriga Aktiebolag</t>
        </is>
      </c>
      <c r="G544" t="n">
        <v>4.4</v>
      </c>
      <c r="H544" t="n">
        <v>0</v>
      </c>
      <c r="I544" t="n">
        <v>0</v>
      </c>
      <c r="J544" t="n">
        <v>0</v>
      </c>
      <c r="K544" t="n">
        <v>0</v>
      </c>
      <c r="L544" t="n">
        <v>0</v>
      </c>
      <c r="M544" t="n">
        <v>0</v>
      </c>
      <c r="N544" t="n">
        <v>0</v>
      </c>
      <c r="O544" t="n">
        <v>0</v>
      </c>
      <c r="P544" t="n">
        <v>0</v>
      </c>
      <c r="Q544" t="n">
        <v>0</v>
      </c>
      <c r="R544" s="2" t="inlineStr"/>
    </row>
    <row r="545" ht="15" customHeight="1">
      <c r="A545" t="inlineStr">
        <is>
          <t>A 5140-2025</t>
        </is>
      </c>
      <c r="B545" s="1" t="n">
        <v>45691</v>
      </c>
      <c r="C545" s="1" t="n">
        <v>46025</v>
      </c>
      <c r="D545" t="inlineStr">
        <is>
          <t>JÄMTLANDS LÄN</t>
        </is>
      </c>
      <c r="E545" t="inlineStr">
        <is>
          <t>ÖSTERSUND</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29703-2023</t>
        </is>
      </c>
      <c r="B546" s="1" t="n">
        <v>45107</v>
      </c>
      <c r="C546" s="1" t="n">
        <v>46025</v>
      </c>
      <c r="D546" t="inlineStr">
        <is>
          <t>JÄMTLANDS LÄN</t>
        </is>
      </c>
      <c r="E546" t="inlineStr">
        <is>
          <t>ÖSTERSUND</t>
        </is>
      </c>
      <c r="G546" t="n">
        <v>0.3</v>
      </c>
      <c r="H546" t="n">
        <v>0</v>
      </c>
      <c r="I546" t="n">
        <v>0</v>
      </c>
      <c r="J546" t="n">
        <v>0</v>
      </c>
      <c r="K546" t="n">
        <v>0</v>
      </c>
      <c r="L546" t="n">
        <v>0</v>
      </c>
      <c r="M546" t="n">
        <v>0</v>
      </c>
      <c r="N546" t="n">
        <v>0</v>
      </c>
      <c r="O546" t="n">
        <v>0</v>
      </c>
      <c r="P546" t="n">
        <v>0</v>
      </c>
      <c r="Q546" t="n">
        <v>0</v>
      </c>
      <c r="R546" s="2" t="inlineStr"/>
    </row>
    <row r="547" ht="15" customHeight="1">
      <c r="A547" t="inlineStr">
        <is>
          <t>A 18429-2025</t>
        </is>
      </c>
      <c r="B547" s="1" t="n">
        <v>45762.63375</v>
      </c>
      <c r="C547" s="1" t="n">
        <v>46025</v>
      </c>
      <c r="D547" t="inlineStr">
        <is>
          <t>JÄMTLANDS LÄN</t>
        </is>
      </c>
      <c r="E547" t="inlineStr">
        <is>
          <t>ÖSTERSUND</t>
        </is>
      </c>
      <c r="F547" t="inlineStr">
        <is>
          <t>Sveaskog</t>
        </is>
      </c>
      <c r="G547" t="n">
        <v>5.5</v>
      </c>
      <c r="H547" t="n">
        <v>0</v>
      </c>
      <c r="I547" t="n">
        <v>0</v>
      </c>
      <c r="J547" t="n">
        <v>0</v>
      </c>
      <c r="K547" t="n">
        <v>0</v>
      </c>
      <c r="L547" t="n">
        <v>0</v>
      </c>
      <c r="M547" t="n">
        <v>0</v>
      </c>
      <c r="N547" t="n">
        <v>0</v>
      </c>
      <c r="O547" t="n">
        <v>0</v>
      </c>
      <c r="P547" t="n">
        <v>0</v>
      </c>
      <c r="Q547" t="n">
        <v>0</v>
      </c>
      <c r="R547" s="2" t="inlineStr"/>
    </row>
    <row r="548" ht="15" customHeight="1">
      <c r="A548" t="inlineStr">
        <is>
          <t>A 51479-2023</t>
        </is>
      </c>
      <c r="B548" s="1" t="n">
        <v>45221.92429398148</v>
      </c>
      <c r="C548" s="1" t="n">
        <v>46025</v>
      </c>
      <c r="D548" t="inlineStr">
        <is>
          <t>JÄMTLANDS LÄN</t>
        </is>
      </c>
      <c r="E548" t="inlineStr">
        <is>
          <t>ÖSTERSUND</t>
        </is>
      </c>
      <c r="G548" t="n">
        <v>1.9</v>
      </c>
      <c r="H548" t="n">
        <v>0</v>
      </c>
      <c r="I548" t="n">
        <v>0</v>
      </c>
      <c r="J548" t="n">
        <v>0</v>
      </c>
      <c r="K548" t="n">
        <v>0</v>
      </c>
      <c r="L548" t="n">
        <v>0</v>
      </c>
      <c r="M548" t="n">
        <v>0</v>
      </c>
      <c r="N548" t="n">
        <v>0</v>
      </c>
      <c r="O548" t="n">
        <v>0</v>
      </c>
      <c r="P548" t="n">
        <v>0</v>
      </c>
      <c r="Q548" t="n">
        <v>0</v>
      </c>
      <c r="R548" s="2" t="inlineStr"/>
    </row>
    <row r="549" ht="15" customHeight="1">
      <c r="A549" t="inlineStr">
        <is>
          <t>A 11933-2022</t>
        </is>
      </c>
      <c r="B549" s="1" t="n">
        <v>44635</v>
      </c>
      <c r="C549" s="1" t="n">
        <v>46025</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45980-2023</t>
        </is>
      </c>
      <c r="B550" s="1" t="n">
        <v>45189</v>
      </c>
      <c r="C550" s="1" t="n">
        <v>46025</v>
      </c>
      <c r="D550" t="inlineStr">
        <is>
          <t>JÄMTLANDS LÄN</t>
        </is>
      </c>
      <c r="E550" t="inlineStr">
        <is>
          <t>ÖSTERSUND</t>
        </is>
      </c>
      <c r="G550" t="n">
        <v>0.5</v>
      </c>
      <c r="H550" t="n">
        <v>0</v>
      </c>
      <c r="I550" t="n">
        <v>0</v>
      </c>
      <c r="J550" t="n">
        <v>0</v>
      </c>
      <c r="K550" t="n">
        <v>0</v>
      </c>
      <c r="L550" t="n">
        <v>0</v>
      </c>
      <c r="M550" t="n">
        <v>0</v>
      </c>
      <c r="N550" t="n">
        <v>0</v>
      </c>
      <c r="O550" t="n">
        <v>0</v>
      </c>
      <c r="P550" t="n">
        <v>0</v>
      </c>
      <c r="Q550" t="n">
        <v>0</v>
      </c>
      <c r="R550" s="2" t="inlineStr"/>
    </row>
    <row r="551" ht="15" customHeight="1">
      <c r="A551" t="inlineStr">
        <is>
          <t>A 53660-2024</t>
        </is>
      </c>
      <c r="B551" s="1" t="n">
        <v>45615.31297453704</v>
      </c>
      <c r="C551" s="1" t="n">
        <v>46025</v>
      </c>
      <c r="D551" t="inlineStr">
        <is>
          <t>JÄMTLANDS LÄN</t>
        </is>
      </c>
      <c r="E551" t="inlineStr">
        <is>
          <t>ÖSTERSUND</t>
        </is>
      </c>
      <c r="G551" t="n">
        <v>1.1</v>
      </c>
      <c r="H551" t="n">
        <v>0</v>
      </c>
      <c r="I551" t="n">
        <v>0</v>
      </c>
      <c r="J551" t="n">
        <v>0</v>
      </c>
      <c r="K551" t="n">
        <v>0</v>
      </c>
      <c r="L551" t="n">
        <v>0</v>
      </c>
      <c r="M551" t="n">
        <v>0</v>
      </c>
      <c r="N551" t="n">
        <v>0</v>
      </c>
      <c r="O551" t="n">
        <v>0</v>
      </c>
      <c r="P551" t="n">
        <v>0</v>
      </c>
      <c r="Q551" t="n">
        <v>0</v>
      </c>
      <c r="R551" s="2" t="inlineStr"/>
    </row>
    <row r="552" ht="15" customHeight="1">
      <c r="A552" t="inlineStr">
        <is>
          <t>A 19566-2024</t>
        </is>
      </c>
      <c r="B552" s="1" t="n">
        <v>45429.92313657407</v>
      </c>
      <c r="C552" s="1" t="n">
        <v>46025</v>
      </c>
      <c r="D552" t="inlineStr">
        <is>
          <t>JÄMTLANDS LÄN</t>
        </is>
      </c>
      <c r="E552" t="inlineStr">
        <is>
          <t>ÖSTERSUND</t>
        </is>
      </c>
      <c r="G552" t="n">
        <v>0</v>
      </c>
      <c r="H552" t="n">
        <v>0</v>
      </c>
      <c r="I552" t="n">
        <v>0</v>
      </c>
      <c r="J552" t="n">
        <v>0</v>
      </c>
      <c r="K552" t="n">
        <v>0</v>
      </c>
      <c r="L552" t="n">
        <v>0</v>
      </c>
      <c r="M552" t="n">
        <v>0</v>
      </c>
      <c r="N552" t="n">
        <v>0</v>
      </c>
      <c r="O552" t="n">
        <v>0</v>
      </c>
      <c r="P552" t="n">
        <v>0</v>
      </c>
      <c r="Q552" t="n">
        <v>0</v>
      </c>
      <c r="R552" s="2" t="inlineStr"/>
    </row>
    <row r="553" ht="15" customHeight="1">
      <c r="A553" t="inlineStr">
        <is>
          <t>A 21495-2022</t>
        </is>
      </c>
      <c r="B553" s="1" t="n">
        <v>44706</v>
      </c>
      <c r="C553" s="1" t="n">
        <v>46025</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12102-2025</t>
        </is>
      </c>
      <c r="B554" s="1" t="n">
        <v>45729.3425</v>
      </c>
      <c r="C554" s="1" t="n">
        <v>46025</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7005-2025</t>
        </is>
      </c>
      <c r="B555" s="1" t="n">
        <v>45701.60046296296</v>
      </c>
      <c r="C555" s="1" t="n">
        <v>46025</v>
      </c>
      <c r="D555" t="inlineStr">
        <is>
          <t>JÄMTLANDS LÄN</t>
        </is>
      </c>
      <c r="E555" t="inlineStr">
        <is>
          <t>ÖSTERSUND</t>
        </is>
      </c>
      <c r="G555" t="n">
        <v>3.3</v>
      </c>
      <c r="H555" t="n">
        <v>0</v>
      </c>
      <c r="I555" t="n">
        <v>0</v>
      </c>
      <c r="J555" t="n">
        <v>0</v>
      </c>
      <c r="K555" t="n">
        <v>0</v>
      </c>
      <c r="L555" t="n">
        <v>0</v>
      </c>
      <c r="M555" t="n">
        <v>0</v>
      </c>
      <c r="N555" t="n">
        <v>0</v>
      </c>
      <c r="O555" t="n">
        <v>0</v>
      </c>
      <c r="P555" t="n">
        <v>0</v>
      </c>
      <c r="Q555" t="n">
        <v>0</v>
      </c>
      <c r="R555" s="2" t="inlineStr"/>
    </row>
    <row r="556" ht="15" customHeight="1">
      <c r="A556" t="inlineStr">
        <is>
          <t>A 57556-2024</t>
        </is>
      </c>
      <c r="B556" s="1" t="n">
        <v>45630</v>
      </c>
      <c r="C556" s="1" t="n">
        <v>46025</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8389-2025</t>
        </is>
      </c>
      <c r="B557" s="1" t="n">
        <v>45709.36497685185</v>
      </c>
      <c r="C557" s="1" t="n">
        <v>46025</v>
      </c>
      <c r="D557" t="inlineStr">
        <is>
          <t>JÄMTLANDS LÄN</t>
        </is>
      </c>
      <c r="E557" t="inlineStr">
        <is>
          <t>ÖSTERSUND</t>
        </is>
      </c>
      <c r="F557" t="inlineStr">
        <is>
          <t>SCA</t>
        </is>
      </c>
      <c r="G557" t="n">
        <v>6.3</v>
      </c>
      <c r="H557" t="n">
        <v>0</v>
      </c>
      <c r="I557" t="n">
        <v>0</v>
      </c>
      <c r="J557" t="n">
        <v>0</v>
      </c>
      <c r="K557" t="n">
        <v>0</v>
      </c>
      <c r="L557" t="n">
        <v>0</v>
      </c>
      <c r="M557" t="n">
        <v>0</v>
      </c>
      <c r="N557" t="n">
        <v>0</v>
      </c>
      <c r="O557" t="n">
        <v>0</v>
      </c>
      <c r="P557" t="n">
        <v>0</v>
      </c>
      <c r="Q557" t="n">
        <v>0</v>
      </c>
      <c r="R557" s="2" t="inlineStr"/>
    </row>
    <row r="558" ht="15" customHeight="1">
      <c r="A558" t="inlineStr">
        <is>
          <t>A 44048-2024</t>
        </is>
      </c>
      <c r="B558" s="1" t="n">
        <v>45572.59430555555</v>
      </c>
      <c r="C558" s="1" t="n">
        <v>46025</v>
      </c>
      <c r="D558" t="inlineStr">
        <is>
          <t>JÄMTLANDS LÄN</t>
        </is>
      </c>
      <c r="E558" t="inlineStr">
        <is>
          <t>ÖSTERSUND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55235-2023</t>
        </is>
      </c>
      <c r="B559" s="1" t="n">
        <v>45231</v>
      </c>
      <c r="C559" s="1" t="n">
        <v>46025</v>
      </c>
      <c r="D559" t="inlineStr">
        <is>
          <t>JÄMTLANDS LÄN</t>
        </is>
      </c>
      <c r="E559" t="inlineStr">
        <is>
          <t>ÖSTERSUND</t>
        </is>
      </c>
      <c r="F559" t="inlineStr">
        <is>
          <t>SCA</t>
        </is>
      </c>
      <c r="G559" t="n">
        <v>0.4</v>
      </c>
      <c r="H559" t="n">
        <v>0</v>
      </c>
      <c r="I559" t="n">
        <v>0</v>
      </c>
      <c r="J559" t="n">
        <v>0</v>
      </c>
      <c r="K559" t="n">
        <v>0</v>
      </c>
      <c r="L559" t="n">
        <v>0</v>
      </c>
      <c r="M559" t="n">
        <v>0</v>
      </c>
      <c r="N559" t="n">
        <v>0</v>
      </c>
      <c r="O559" t="n">
        <v>0</v>
      </c>
      <c r="P559" t="n">
        <v>0</v>
      </c>
      <c r="Q559" t="n">
        <v>0</v>
      </c>
      <c r="R559" s="2" t="inlineStr"/>
    </row>
    <row r="560" ht="15" customHeight="1">
      <c r="A560" t="inlineStr">
        <is>
          <t>A 4063-2025</t>
        </is>
      </c>
      <c r="B560" s="1" t="n">
        <v>45684</v>
      </c>
      <c r="C560" s="1" t="n">
        <v>46025</v>
      </c>
      <c r="D560" t="inlineStr">
        <is>
          <t>JÄMTLANDS LÄN</t>
        </is>
      </c>
      <c r="E560" t="inlineStr">
        <is>
          <t>ÖSTERSUND</t>
        </is>
      </c>
      <c r="G560" t="n">
        <v>2.9</v>
      </c>
      <c r="H560" t="n">
        <v>0</v>
      </c>
      <c r="I560" t="n">
        <v>0</v>
      </c>
      <c r="J560" t="n">
        <v>0</v>
      </c>
      <c r="K560" t="n">
        <v>0</v>
      </c>
      <c r="L560" t="n">
        <v>0</v>
      </c>
      <c r="M560" t="n">
        <v>0</v>
      </c>
      <c r="N560" t="n">
        <v>0</v>
      </c>
      <c r="O560" t="n">
        <v>0</v>
      </c>
      <c r="P560" t="n">
        <v>0</v>
      </c>
      <c r="Q560" t="n">
        <v>0</v>
      </c>
      <c r="R560" s="2" t="inlineStr"/>
    </row>
    <row r="561" ht="15" customHeight="1">
      <c r="A561" t="inlineStr">
        <is>
          <t>A 7936-2025</t>
        </is>
      </c>
      <c r="B561" s="1" t="n">
        <v>45707</v>
      </c>
      <c r="C561" s="1" t="n">
        <v>46025</v>
      </c>
      <c r="D561" t="inlineStr">
        <is>
          <t>JÄMTLANDS LÄN</t>
        </is>
      </c>
      <c r="E561" t="inlineStr">
        <is>
          <t>ÖSTERSUND</t>
        </is>
      </c>
      <c r="G561" t="n">
        <v>0.2</v>
      </c>
      <c r="H561" t="n">
        <v>0</v>
      </c>
      <c r="I561" t="n">
        <v>0</v>
      </c>
      <c r="J561" t="n">
        <v>0</v>
      </c>
      <c r="K561" t="n">
        <v>0</v>
      </c>
      <c r="L561" t="n">
        <v>0</v>
      </c>
      <c r="M561" t="n">
        <v>0</v>
      </c>
      <c r="N561" t="n">
        <v>0</v>
      </c>
      <c r="O561" t="n">
        <v>0</v>
      </c>
      <c r="P561" t="n">
        <v>0</v>
      </c>
      <c r="Q561" t="n">
        <v>0</v>
      </c>
      <c r="R561" s="2" t="inlineStr"/>
    </row>
    <row r="562" ht="15" customHeight="1">
      <c r="A562" t="inlineStr">
        <is>
          <t>A 7940-2025</t>
        </is>
      </c>
      <c r="B562" s="1" t="n">
        <v>45707.40493055555</v>
      </c>
      <c r="C562" s="1" t="n">
        <v>46025</v>
      </c>
      <c r="D562" t="inlineStr">
        <is>
          <t>JÄMTLANDS LÄN</t>
        </is>
      </c>
      <c r="E562" t="inlineStr">
        <is>
          <t>ÖSTERSUND</t>
        </is>
      </c>
      <c r="F562" t="inlineStr">
        <is>
          <t>Övriga Aktiebolag</t>
        </is>
      </c>
      <c r="G562" t="n">
        <v>48.1</v>
      </c>
      <c r="H562" t="n">
        <v>0</v>
      </c>
      <c r="I562" t="n">
        <v>0</v>
      </c>
      <c r="J562" t="n">
        <v>0</v>
      </c>
      <c r="K562" t="n">
        <v>0</v>
      </c>
      <c r="L562" t="n">
        <v>0</v>
      </c>
      <c r="M562" t="n">
        <v>0</v>
      </c>
      <c r="N562" t="n">
        <v>0</v>
      </c>
      <c r="O562" t="n">
        <v>0</v>
      </c>
      <c r="P562" t="n">
        <v>0</v>
      </c>
      <c r="Q562" t="n">
        <v>0</v>
      </c>
      <c r="R562" s="2" t="inlineStr"/>
    </row>
    <row r="563" ht="15" customHeight="1">
      <c r="A563" t="inlineStr">
        <is>
          <t>A 12946-2022</t>
        </is>
      </c>
      <c r="B563" s="1" t="n">
        <v>44642.93471064815</v>
      </c>
      <c r="C563" s="1" t="n">
        <v>46025</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79-2025</t>
        </is>
      </c>
      <c r="B564" s="1" t="n">
        <v>45659.44413194444</v>
      </c>
      <c r="C564" s="1" t="n">
        <v>46025</v>
      </c>
      <c r="D564" t="inlineStr">
        <is>
          <t>JÄMTLANDS LÄN</t>
        </is>
      </c>
      <c r="E564" t="inlineStr">
        <is>
          <t>ÖSTERSUND</t>
        </is>
      </c>
      <c r="G564" t="n">
        <v>0.6</v>
      </c>
      <c r="H564" t="n">
        <v>0</v>
      </c>
      <c r="I564" t="n">
        <v>0</v>
      </c>
      <c r="J564" t="n">
        <v>0</v>
      </c>
      <c r="K564" t="n">
        <v>0</v>
      </c>
      <c r="L564" t="n">
        <v>0</v>
      </c>
      <c r="M564" t="n">
        <v>0</v>
      </c>
      <c r="N564" t="n">
        <v>0</v>
      </c>
      <c r="O564" t="n">
        <v>0</v>
      </c>
      <c r="P564" t="n">
        <v>0</v>
      </c>
      <c r="Q564" t="n">
        <v>0</v>
      </c>
      <c r="R564" s="2" t="inlineStr"/>
    </row>
    <row r="565" ht="15" customHeight="1">
      <c r="A565" t="inlineStr">
        <is>
          <t>A 31040-2021</t>
        </is>
      </c>
      <c r="B565" s="1" t="n">
        <v>44368</v>
      </c>
      <c r="C565" s="1" t="n">
        <v>46025</v>
      </c>
      <c r="D565" t="inlineStr">
        <is>
          <t>JÄMTLANDS LÄN</t>
        </is>
      </c>
      <c r="E565" t="inlineStr">
        <is>
          <t>ÖSTERSUND</t>
        </is>
      </c>
      <c r="G565" t="n">
        <v>4.3</v>
      </c>
      <c r="H565" t="n">
        <v>0</v>
      </c>
      <c r="I565" t="n">
        <v>0</v>
      </c>
      <c r="J565" t="n">
        <v>0</v>
      </c>
      <c r="K565" t="n">
        <v>0</v>
      </c>
      <c r="L565" t="n">
        <v>0</v>
      </c>
      <c r="M565" t="n">
        <v>0</v>
      </c>
      <c r="N565" t="n">
        <v>0</v>
      </c>
      <c r="O565" t="n">
        <v>0</v>
      </c>
      <c r="P565" t="n">
        <v>0</v>
      </c>
      <c r="Q565" t="n">
        <v>0</v>
      </c>
      <c r="R565" s="2" t="inlineStr"/>
    </row>
    <row r="566" ht="15" customHeight="1">
      <c r="A566" t="inlineStr">
        <is>
          <t>A 2753-2025</t>
        </is>
      </c>
      <c r="B566" s="1" t="n">
        <v>45677.47302083333</v>
      </c>
      <c r="C566" s="1" t="n">
        <v>46025</v>
      </c>
      <c r="D566" t="inlineStr">
        <is>
          <t>JÄMTLANDS LÄN</t>
        </is>
      </c>
      <c r="E566" t="inlineStr">
        <is>
          <t>ÖSTERSUND</t>
        </is>
      </c>
      <c r="G566" t="n">
        <v>6.4</v>
      </c>
      <c r="H566" t="n">
        <v>0</v>
      </c>
      <c r="I566" t="n">
        <v>0</v>
      </c>
      <c r="J566" t="n">
        <v>0</v>
      </c>
      <c r="K566" t="n">
        <v>0</v>
      </c>
      <c r="L566" t="n">
        <v>0</v>
      </c>
      <c r="M566" t="n">
        <v>0</v>
      </c>
      <c r="N566" t="n">
        <v>0</v>
      </c>
      <c r="O566" t="n">
        <v>0</v>
      </c>
      <c r="P566" t="n">
        <v>0</v>
      </c>
      <c r="Q566" t="n">
        <v>0</v>
      </c>
      <c r="R566" s="2" t="inlineStr"/>
    </row>
    <row r="567" ht="15" customHeight="1">
      <c r="A567" t="inlineStr">
        <is>
          <t>A 44327-2023</t>
        </is>
      </c>
      <c r="B567" s="1" t="n">
        <v>45188</v>
      </c>
      <c r="C567" s="1" t="n">
        <v>46025</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27780-2022</t>
        </is>
      </c>
      <c r="B568" s="1" t="n">
        <v>44743</v>
      </c>
      <c r="C568" s="1" t="n">
        <v>46025</v>
      </c>
      <c r="D568" t="inlineStr">
        <is>
          <t>JÄMTLANDS LÄN</t>
        </is>
      </c>
      <c r="E568" t="inlineStr">
        <is>
          <t>ÖSTERSUND</t>
        </is>
      </c>
      <c r="G568" t="n">
        <v>2.2</v>
      </c>
      <c r="H568" t="n">
        <v>0</v>
      </c>
      <c r="I568" t="n">
        <v>0</v>
      </c>
      <c r="J568" t="n">
        <v>0</v>
      </c>
      <c r="K568" t="n">
        <v>0</v>
      </c>
      <c r="L568" t="n">
        <v>0</v>
      </c>
      <c r="M568" t="n">
        <v>0</v>
      </c>
      <c r="N568" t="n">
        <v>0</v>
      </c>
      <c r="O568" t="n">
        <v>0</v>
      </c>
      <c r="P568" t="n">
        <v>0</v>
      </c>
      <c r="Q568" t="n">
        <v>0</v>
      </c>
      <c r="R568" s="2" t="inlineStr"/>
    </row>
    <row r="569" ht="15" customHeight="1">
      <c r="A569" t="inlineStr">
        <is>
          <t>A 23555-2022</t>
        </is>
      </c>
      <c r="B569" s="1" t="n">
        <v>44721</v>
      </c>
      <c r="C569" s="1" t="n">
        <v>46025</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10267-2025</t>
        </is>
      </c>
      <c r="B570" s="1" t="n">
        <v>45720.3859375</v>
      </c>
      <c r="C570" s="1" t="n">
        <v>46025</v>
      </c>
      <c r="D570" t="inlineStr">
        <is>
          <t>JÄMTLANDS LÄN</t>
        </is>
      </c>
      <c r="E570" t="inlineStr">
        <is>
          <t>ÖSTERSUND</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10493-2025</t>
        </is>
      </c>
      <c r="B571" s="1" t="n">
        <v>45721.36320601852</v>
      </c>
      <c r="C571" s="1" t="n">
        <v>46025</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3844-2024</t>
        </is>
      </c>
      <c r="B572" s="1" t="n">
        <v>45321</v>
      </c>
      <c r="C572" s="1" t="n">
        <v>46025</v>
      </c>
      <c r="D572" t="inlineStr">
        <is>
          <t>JÄMTLANDS LÄN</t>
        </is>
      </c>
      <c r="E572" t="inlineStr">
        <is>
          <t>ÖSTERSUND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59648-2022</t>
        </is>
      </c>
      <c r="B573" s="1" t="n">
        <v>44907</v>
      </c>
      <c r="C573" s="1" t="n">
        <v>46025</v>
      </c>
      <c r="D573" t="inlineStr">
        <is>
          <t>JÄMTLANDS LÄN</t>
        </is>
      </c>
      <c r="E573" t="inlineStr">
        <is>
          <t>ÖSTERSUND</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2978-2024</t>
        </is>
      </c>
      <c r="B574" s="1" t="n">
        <v>45315</v>
      </c>
      <c r="C574" s="1" t="n">
        <v>46025</v>
      </c>
      <c r="D574" t="inlineStr">
        <is>
          <t>JÄMTLANDS LÄN</t>
        </is>
      </c>
      <c r="E574" t="inlineStr">
        <is>
          <t>ÖSTERSUND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61791-2023</t>
        </is>
      </c>
      <c r="B575" s="1" t="n">
        <v>45265.95795138889</v>
      </c>
      <c r="C575" s="1" t="n">
        <v>46025</v>
      </c>
      <c r="D575" t="inlineStr">
        <is>
          <t>JÄMTLANDS LÄN</t>
        </is>
      </c>
      <c r="E575" t="inlineStr">
        <is>
          <t>ÖSTERSUND</t>
        </is>
      </c>
      <c r="F575" t="inlineStr">
        <is>
          <t>SCA</t>
        </is>
      </c>
      <c r="G575" t="n">
        <v>11.4</v>
      </c>
      <c r="H575" t="n">
        <v>0</v>
      </c>
      <c r="I575" t="n">
        <v>0</v>
      </c>
      <c r="J575" t="n">
        <v>0</v>
      </c>
      <c r="K575" t="n">
        <v>0</v>
      </c>
      <c r="L575" t="n">
        <v>0</v>
      </c>
      <c r="M575" t="n">
        <v>0</v>
      </c>
      <c r="N575" t="n">
        <v>0</v>
      </c>
      <c r="O575" t="n">
        <v>0</v>
      </c>
      <c r="P575" t="n">
        <v>0</v>
      </c>
      <c r="Q575" t="n">
        <v>0</v>
      </c>
      <c r="R575" s="2" t="inlineStr"/>
    </row>
    <row r="576" ht="15" customHeight="1">
      <c r="A576" t="inlineStr">
        <is>
          <t>A 3255-2025</t>
        </is>
      </c>
      <c r="B576" s="1" t="n">
        <v>45679.55256944444</v>
      </c>
      <c r="C576" s="1" t="n">
        <v>46025</v>
      </c>
      <c r="D576" t="inlineStr">
        <is>
          <t>JÄMTLANDS LÄN</t>
        </is>
      </c>
      <c r="E576" t="inlineStr">
        <is>
          <t>ÖSTERSUND</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2615-2024</t>
        </is>
      </c>
      <c r="B577" s="1" t="n">
        <v>45313</v>
      </c>
      <c r="C577" s="1" t="n">
        <v>46025</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1159-2024</t>
        </is>
      </c>
      <c r="B578" s="1" t="n">
        <v>45302.52006944444</v>
      </c>
      <c r="C578" s="1" t="n">
        <v>46025</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35556-2022</t>
        </is>
      </c>
      <c r="B579" s="1" t="n">
        <v>44799</v>
      </c>
      <c r="C579" s="1" t="n">
        <v>46025</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55235-2023</t>
        </is>
      </c>
      <c r="B580" s="1" t="n">
        <v>45231</v>
      </c>
      <c r="C580" s="1" t="n">
        <v>46025</v>
      </c>
      <c r="D580" t="inlineStr">
        <is>
          <t>JÄMTLANDS LÄN</t>
        </is>
      </c>
      <c r="E580" t="inlineStr">
        <is>
          <t>ÖSTERSUND</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60794-2023</t>
        </is>
      </c>
      <c r="B581" s="1" t="n">
        <v>45260</v>
      </c>
      <c r="C581" s="1" t="n">
        <v>46025</v>
      </c>
      <c r="D581" t="inlineStr">
        <is>
          <t>JÄMTLANDS LÄN</t>
        </is>
      </c>
      <c r="E581" t="inlineStr">
        <is>
          <t>ÖSTERSUND</t>
        </is>
      </c>
      <c r="G581" t="n">
        <v>3.6</v>
      </c>
      <c r="H581" t="n">
        <v>0</v>
      </c>
      <c r="I581" t="n">
        <v>0</v>
      </c>
      <c r="J581" t="n">
        <v>0</v>
      </c>
      <c r="K581" t="n">
        <v>0</v>
      </c>
      <c r="L581" t="n">
        <v>0</v>
      </c>
      <c r="M581" t="n">
        <v>0</v>
      </c>
      <c r="N581" t="n">
        <v>0</v>
      </c>
      <c r="O581" t="n">
        <v>0</v>
      </c>
      <c r="P581" t="n">
        <v>0</v>
      </c>
      <c r="Q581" t="n">
        <v>0</v>
      </c>
      <c r="R581" s="2" t="inlineStr"/>
    </row>
    <row r="582" ht="15" customHeight="1">
      <c r="A582" t="inlineStr">
        <is>
          <t>A 63099-2023</t>
        </is>
      </c>
      <c r="B582" s="1" t="n">
        <v>45273</v>
      </c>
      <c r="C582" s="1" t="n">
        <v>46025</v>
      </c>
      <c r="D582" t="inlineStr">
        <is>
          <t>JÄMTLANDS LÄN</t>
        </is>
      </c>
      <c r="E582" t="inlineStr">
        <is>
          <t>ÖSTERSUND</t>
        </is>
      </c>
      <c r="G582" t="n">
        <v>1.5</v>
      </c>
      <c r="H582" t="n">
        <v>0</v>
      </c>
      <c r="I582" t="n">
        <v>0</v>
      </c>
      <c r="J582" t="n">
        <v>0</v>
      </c>
      <c r="K582" t="n">
        <v>0</v>
      </c>
      <c r="L582" t="n">
        <v>0</v>
      </c>
      <c r="M582" t="n">
        <v>0</v>
      </c>
      <c r="N582" t="n">
        <v>0</v>
      </c>
      <c r="O582" t="n">
        <v>0</v>
      </c>
      <c r="P582" t="n">
        <v>0</v>
      </c>
      <c r="Q582" t="n">
        <v>0</v>
      </c>
      <c r="R582" s="2" t="inlineStr"/>
    </row>
    <row r="583" ht="15" customHeight="1">
      <c r="A583" t="inlineStr">
        <is>
          <t>A 16682-2023</t>
        </is>
      </c>
      <c r="B583" s="1" t="n">
        <v>45028</v>
      </c>
      <c r="C583" s="1" t="n">
        <v>46025</v>
      </c>
      <c r="D583" t="inlineStr">
        <is>
          <t>JÄMTLANDS LÄN</t>
        </is>
      </c>
      <c r="E583" t="inlineStr">
        <is>
          <t>ÖSTERSUND</t>
        </is>
      </c>
      <c r="G583" t="n">
        <v>7.9</v>
      </c>
      <c r="H583" t="n">
        <v>0</v>
      </c>
      <c r="I583" t="n">
        <v>0</v>
      </c>
      <c r="J583" t="n">
        <v>0</v>
      </c>
      <c r="K583" t="n">
        <v>0</v>
      </c>
      <c r="L583" t="n">
        <v>0</v>
      </c>
      <c r="M583" t="n">
        <v>0</v>
      </c>
      <c r="N583" t="n">
        <v>0</v>
      </c>
      <c r="O583" t="n">
        <v>0</v>
      </c>
      <c r="P583" t="n">
        <v>0</v>
      </c>
      <c r="Q583" t="n">
        <v>0</v>
      </c>
      <c r="R583" s="2" t="inlineStr"/>
    </row>
    <row r="584" ht="15" customHeight="1">
      <c r="A584" t="inlineStr">
        <is>
          <t>A 70256-2021</t>
        </is>
      </c>
      <c r="B584" s="1" t="n">
        <v>44533</v>
      </c>
      <c r="C584" s="1" t="n">
        <v>46025</v>
      </c>
      <c r="D584" t="inlineStr">
        <is>
          <t>JÄMTLANDS LÄN</t>
        </is>
      </c>
      <c r="E584" t="inlineStr">
        <is>
          <t>ÖSTERSUND</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8972-2022</t>
        </is>
      </c>
      <c r="B585" s="1" t="n">
        <v>44614.91989583334</v>
      </c>
      <c r="C585" s="1" t="n">
        <v>46025</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47627-2024</t>
        </is>
      </c>
      <c r="B586" s="1" t="n">
        <v>45588.3440625</v>
      </c>
      <c r="C586" s="1" t="n">
        <v>46025</v>
      </c>
      <c r="D586" t="inlineStr">
        <is>
          <t>JÄMTLANDS LÄN</t>
        </is>
      </c>
      <c r="E586" t="inlineStr">
        <is>
          <t>ÖSTERSUND</t>
        </is>
      </c>
      <c r="G586" t="n">
        <v>0.8</v>
      </c>
      <c r="H586" t="n">
        <v>0</v>
      </c>
      <c r="I586" t="n">
        <v>0</v>
      </c>
      <c r="J586" t="n">
        <v>0</v>
      </c>
      <c r="K586" t="n">
        <v>0</v>
      </c>
      <c r="L586" t="n">
        <v>0</v>
      </c>
      <c r="M586" t="n">
        <v>0</v>
      </c>
      <c r="N586" t="n">
        <v>0</v>
      </c>
      <c r="O586" t="n">
        <v>0</v>
      </c>
      <c r="P586" t="n">
        <v>0</v>
      </c>
      <c r="Q586" t="n">
        <v>0</v>
      </c>
      <c r="R586" s="2" t="inlineStr"/>
    </row>
    <row r="587" ht="15" customHeight="1">
      <c r="A587" t="inlineStr">
        <is>
          <t>A 47628-2024</t>
        </is>
      </c>
      <c r="B587" s="1" t="n">
        <v>45588.34418981482</v>
      </c>
      <c r="C587" s="1" t="n">
        <v>46025</v>
      </c>
      <c r="D587" t="inlineStr">
        <is>
          <t>JÄMTLANDS LÄN</t>
        </is>
      </c>
      <c r="E587" t="inlineStr">
        <is>
          <t>ÖSTERSUND</t>
        </is>
      </c>
      <c r="G587" t="n">
        <v>1.9</v>
      </c>
      <c r="H587" t="n">
        <v>0</v>
      </c>
      <c r="I587" t="n">
        <v>0</v>
      </c>
      <c r="J587" t="n">
        <v>0</v>
      </c>
      <c r="K587" t="n">
        <v>0</v>
      </c>
      <c r="L587" t="n">
        <v>0</v>
      </c>
      <c r="M587" t="n">
        <v>0</v>
      </c>
      <c r="N587" t="n">
        <v>0</v>
      </c>
      <c r="O587" t="n">
        <v>0</v>
      </c>
      <c r="P587" t="n">
        <v>0</v>
      </c>
      <c r="Q587" t="n">
        <v>0</v>
      </c>
      <c r="R587" s="2" t="inlineStr"/>
    </row>
    <row r="588" ht="15" customHeight="1">
      <c r="A588" t="inlineStr">
        <is>
          <t>A 45004-2022</t>
        </is>
      </c>
      <c r="B588" s="1" t="n">
        <v>44840</v>
      </c>
      <c r="C588" s="1" t="n">
        <v>46025</v>
      </c>
      <c r="D588" t="inlineStr">
        <is>
          <t>JÄMTLANDS LÄN</t>
        </is>
      </c>
      <c r="E588" t="inlineStr">
        <is>
          <t>ÖSTERSUND</t>
        </is>
      </c>
      <c r="G588" t="n">
        <v>2.5</v>
      </c>
      <c r="H588" t="n">
        <v>0</v>
      </c>
      <c r="I588" t="n">
        <v>0</v>
      </c>
      <c r="J588" t="n">
        <v>0</v>
      </c>
      <c r="K588" t="n">
        <v>0</v>
      </c>
      <c r="L588" t="n">
        <v>0</v>
      </c>
      <c r="M588" t="n">
        <v>0</v>
      </c>
      <c r="N588" t="n">
        <v>0</v>
      </c>
      <c r="O588" t="n">
        <v>0</v>
      </c>
      <c r="P588" t="n">
        <v>0</v>
      </c>
      <c r="Q588" t="n">
        <v>0</v>
      </c>
      <c r="R588" s="2" t="inlineStr"/>
    </row>
    <row r="589" ht="15" customHeight="1">
      <c r="A589" t="inlineStr">
        <is>
          <t>A 53378-2023</t>
        </is>
      </c>
      <c r="B589" s="1" t="n">
        <v>45223</v>
      </c>
      <c r="C589" s="1" t="n">
        <v>46025</v>
      </c>
      <c r="D589" t="inlineStr">
        <is>
          <t>JÄMTLANDS LÄN</t>
        </is>
      </c>
      <c r="E589" t="inlineStr">
        <is>
          <t>ÖSTERSUND</t>
        </is>
      </c>
      <c r="G589" t="n">
        <v>1.5</v>
      </c>
      <c r="H589" t="n">
        <v>0</v>
      </c>
      <c r="I589" t="n">
        <v>0</v>
      </c>
      <c r="J589" t="n">
        <v>0</v>
      </c>
      <c r="K589" t="n">
        <v>0</v>
      </c>
      <c r="L589" t="n">
        <v>0</v>
      </c>
      <c r="M589" t="n">
        <v>0</v>
      </c>
      <c r="N589" t="n">
        <v>0</v>
      </c>
      <c r="O589" t="n">
        <v>0</v>
      </c>
      <c r="P589" t="n">
        <v>0</v>
      </c>
      <c r="Q589" t="n">
        <v>0</v>
      </c>
      <c r="R589" s="2" t="inlineStr"/>
    </row>
    <row r="590" ht="15" customHeight="1">
      <c r="A590" t="inlineStr">
        <is>
          <t>A 2747-2025</t>
        </is>
      </c>
      <c r="B590" s="1" t="n">
        <v>45677.4649537037</v>
      </c>
      <c r="C590" s="1" t="n">
        <v>46025</v>
      </c>
      <c r="D590" t="inlineStr">
        <is>
          <t>JÄMTLANDS LÄN</t>
        </is>
      </c>
      <c r="E590" t="inlineStr">
        <is>
          <t>ÖSTERSUND</t>
        </is>
      </c>
      <c r="F590" t="inlineStr">
        <is>
          <t>Sveaskog</t>
        </is>
      </c>
      <c r="G590" t="n">
        <v>6.4</v>
      </c>
      <c r="H590" t="n">
        <v>0</v>
      </c>
      <c r="I590" t="n">
        <v>0</v>
      </c>
      <c r="J590" t="n">
        <v>0</v>
      </c>
      <c r="K590" t="n">
        <v>0</v>
      </c>
      <c r="L590" t="n">
        <v>0</v>
      </c>
      <c r="M590" t="n">
        <v>0</v>
      </c>
      <c r="N590" t="n">
        <v>0</v>
      </c>
      <c r="O590" t="n">
        <v>0</v>
      </c>
      <c r="P590" t="n">
        <v>0</v>
      </c>
      <c r="Q590" t="n">
        <v>0</v>
      </c>
      <c r="R590" s="2" t="inlineStr"/>
    </row>
    <row r="591" ht="15" customHeight="1">
      <c r="A591" t="inlineStr">
        <is>
          <t>A 33801-2022</t>
        </is>
      </c>
      <c r="B591" s="1" t="n">
        <v>44790</v>
      </c>
      <c r="C591" s="1" t="n">
        <v>46025</v>
      </c>
      <c r="D591" t="inlineStr">
        <is>
          <t>JÄMTLANDS LÄN</t>
        </is>
      </c>
      <c r="E591" t="inlineStr">
        <is>
          <t>ÖSTERSUND</t>
        </is>
      </c>
      <c r="G591" t="n">
        <v>7.6</v>
      </c>
      <c r="H591" t="n">
        <v>0</v>
      </c>
      <c r="I591" t="n">
        <v>0</v>
      </c>
      <c r="J591" t="n">
        <v>0</v>
      </c>
      <c r="K591" t="n">
        <v>0</v>
      </c>
      <c r="L591" t="n">
        <v>0</v>
      </c>
      <c r="M591" t="n">
        <v>0</v>
      </c>
      <c r="N591" t="n">
        <v>0</v>
      </c>
      <c r="O591" t="n">
        <v>0</v>
      </c>
      <c r="P591" t="n">
        <v>0</v>
      </c>
      <c r="Q591" t="n">
        <v>0</v>
      </c>
      <c r="R591" s="2" t="inlineStr"/>
    </row>
    <row r="592" ht="15" customHeight="1">
      <c r="A592" t="inlineStr">
        <is>
          <t>A 27689-2024</t>
        </is>
      </c>
      <c r="B592" s="1" t="n">
        <v>45475.3378125</v>
      </c>
      <c r="C592" s="1" t="n">
        <v>46025</v>
      </c>
      <c r="D592" t="inlineStr">
        <is>
          <t>JÄMTLANDS LÄN</t>
        </is>
      </c>
      <c r="E592" t="inlineStr">
        <is>
          <t>ÖSTERSUND</t>
        </is>
      </c>
      <c r="G592" t="n">
        <v>0.6</v>
      </c>
      <c r="H592" t="n">
        <v>0</v>
      </c>
      <c r="I592" t="n">
        <v>0</v>
      </c>
      <c r="J592" t="n">
        <v>0</v>
      </c>
      <c r="K592" t="n">
        <v>0</v>
      </c>
      <c r="L592" t="n">
        <v>0</v>
      </c>
      <c r="M592" t="n">
        <v>0</v>
      </c>
      <c r="N592" t="n">
        <v>0</v>
      </c>
      <c r="O592" t="n">
        <v>0</v>
      </c>
      <c r="P592" t="n">
        <v>0</v>
      </c>
      <c r="Q592" t="n">
        <v>0</v>
      </c>
      <c r="R592" s="2" t="inlineStr"/>
    </row>
    <row r="593" ht="15" customHeight="1">
      <c r="A593" t="inlineStr">
        <is>
          <t>A 4966-2025</t>
        </is>
      </c>
      <c r="B593" s="1" t="n">
        <v>45690.63628472222</v>
      </c>
      <c r="C593" s="1" t="n">
        <v>46025</v>
      </c>
      <c r="D593" t="inlineStr">
        <is>
          <t>JÄMTLANDS LÄN</t>
        </is>
      </c>
      <c r="E593" t="inlineStr">
        <is>
          <t>ÖSTERSUND</t>
        </is>
      </c>
      <c r="G593" t="n">
        <v>3.4</v>
      </c>
      <c r="H593" t="n">
        <v>0</v>
      </c>
      <c r="I593" t="n">
        <v>0</v>
      </c>
      <c r="J593" t="n">
        <v>0</v>
      </c>
      <c r="K593" t="n">
        <v>0</v>
      </c>
      <c r="L593" t="n">
        <v>0</v>
      </c>
      <c r="M593" t="n">
        <v>0</v>
      </c>
      <c r="N593" t="n">
        <v>0</v>
      </c>
      <c r="O593" t="n">
        <v>0</v>
      </c>
      <c r="P593" t="n">
        <v>0</v>
      </c>
      <c r="Q593" t="n">
        <v>0</v>
      </c>
      <c r="R593" s="2" t="inlineStr"/>
    </row>
    <row r="594" ht="15" customHeight="1">
      <c r="A594" t="inlineStr">
        <is>
          <t>A 6877-2024</t>
        </is>
      </c>
      <c r="B594" s="1" t="n">
        <v>45342</v>
      </c>
      <c r="C594" s="1" t="n">
        <v>46025</v>
      </c>
      <c r="D594" t="inlineStr">
        <is>
          <t>JÄMTLANDS LÄN</t>
        </is>
      </c>
      <c r="E594" t="inlineStr">
        <is>
          <t>ÖSTERSUND</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4136-2023</t>
        </is>
      </c>
      <c r="B595" s="1" t="n">
        <v>44952</v>
      </c>
      <c r="C595" s="1" t="n">
        <v>46025</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4872-2023</t>
        </is>
      </c>
      <c r="B596" s="1" t="n">
        <v>44957</v>
      </c>
      <c r="C596" s="1" t="n">
        <v>46025</v>
      </c>
      <c r="D596" t="inlineStr">
        <is>
          <t>JÄMTLANDS LÄN</t>
        </is>
      </c>
      <c r="E596" t="inlineStr">
        <is>
          <t>ÖSTERSUND</t>
        </is>
      </c>
      <c r="G596" t="n">
        <v>10.7</v>
      </c>
      <c r="H596" t="n">
        <v>0</v>
      </c>
      <c r="I596" t="n">
        <v>0</v>
      </c>
      <c r="J596" t="n">
        <v>0</v>
      </c>
      <c r="K596" t="n">
        <v>0</v>
      </c>
      <c r="L596" t="n">
        <v>0</v>
      </c>
      <c r="M596" t="n">
        <v>0</v>
      </c>
      <c r="N596" t="n">
        <v>0</v>
      </c>
      <c r="O596" t="n">
        <v>0</v>
      </c>
      <c r="P596" t="n">
        <v>0</v>
      </c>
      <c r="Q596" t="n">
        <v>0</v>
      </c>
      <c r="R596" s="2" t="inlineStr"/>
    </row>
    <row r="597" ht="15" customHeight="1">
      <c r="A597" t="inlineStr">
        <is>
          <t>A 13921-2023</t>
        </is>
      </c>
      <c r="B597" s="1" t="n">
        <v>45008</v>
      </c>
      <c r="C597" s="1" t="n">
        <v>46025</v>
      </c>
      <c r="D597" t="inlineStr">
        <is>
          <t>JÄMTLANDS LÄN</t>
        </is>
      </c>
      <c r="E597" t="inlineStr">
        <is>
          <t>ÖSTERSUND</t>
        </is>
      </c>
      <c r="G597" t="n">
        <v>0.3</v>
      </c>
      <c r="H597" t="n">
        <v>0</v>
      </c>
      <c r="I597" t="n">
        <v>0</v>
      </c>
      <c r="J597" t="n">
        <v>0</v>
      </c>
      <c r="K597" t="n">
        <v>0</v>
      </c>
      <c r="L597" t="n">
        <v>0</v>
      </c>
      <c r="M597" t="n">
        <v>0</v>
      </c>
      <c r="N597" t="n">
        <v>0</v>
      </c>
      <c r="O597" t="n">
        <v>0</v>
      </c>
      <c r="P597" t="n">
        <v>0</v>
      </c>
      <c r="Q597" t="n">
        <v>0</v>
      </c>
      <c r="R597" s="2" t="inlineStr"/>
    </row>
    <row r="598" ht="15" customHeight="1">
      <c r="A598" t="inlineStr">
        <is>
          <t>A 11877-2024</t>
        </is>
      </c>
      <c r="B598" s="1" t="n">
        <v>45376</v>
      </c>
      <c r="C598" s="1" t="n">
        <v>46025</v>
      </c>
      <c r="D598" t="inlineStr">
        <is>
          <t>JÄMTLANDS LÄN</t>
        </is>
      </c>
      <c r="E598" t="inlineStr">
        <is>
          <t>ÖSTERSUND</t>
        </is>
      </c>
      <c r="G598" t="n">
        <v>2.6</v>
      </c>
      <c r="H598" t="n">
        <v>0</v>
      </c>
      <c r="I598" t="n">
        <v>0</v>
      </c>
      <c r="J598" t="n">
        <v>0</v>
      </c>
      <c r="K598" t="n">
        <v>0</v>
      </c>
      <c r="L598" t="n">
        <v>0</v>
      </c>
      <c r="M598" t="n">
        <v>0</v>
      </c>
      <c r="N598" t="n">
        <v>0</v>
      </c>
      <c r="O598" t="n">
        <v>0</v>
      </c>
      <c r="P598" t="n">
        <v>0</v>
      </c>
      <c r="Q598" t="n">
        <v>0</v>
      </c>
      <c r="R598" s="2" t="inlineStr"/>
    </row>
    <row r="599" ht="15" customHeight="1">
      <c r="A599" t="inlineStr">
        <is>
          <t>A 61653-2022</t>
        </is>
      </c>
      <c r="B599" s="1" t="n">
        <v>44916</v>
      </c>
      <c r="C599" s="1" t="n">
        <v>46025</v>
      </c>
      <c r="D599" t="inlineStr">
        <is>
          <t>JÄMTLANDS LÄN</t>
        </is>
      </c>
      <c r="E599" t="inlineStr">
        <is>
          <t>ÖSTERSUND</t>
        </is>
      </c>
      <c r="G599" t="n">
        <v>7.6</v>
      </c>
      <c r="H599" t="n">
        <v>0</v>
      </c>
      <c r="I599" t="n">
        <v>0</v>
      </c>
      <c r="J599" t="n">
        <v>0</v>
      </c>
      <c r="K599" t="n">
        <v>0</v>
      </c>
      <c r="L599" t="n">
        <v>0</v>
      </c>
      <c r="M599" t="n">
        <v>0</v>
      </c>
      <c r="N599" t="n">
        <v>0</v>
      </c>
      <c r="O599" t="n">
        <v>0</v>
      </c>
      <c r="P599" t="n">
        <v>0</v>
      </c>
      <c r="Q599" t="n">
        <v>0</v>
      </c>
      <c r="R599" s="2" t="inlineStr"/>
    </row>
    <row r="600" ht="15" customHeight="1">
      <c r="A600" t="inlineStr">
        <is>
          <t>A 12285-2022</t>
        </is>
      </c>
      <c r="B600" s="1" t="n">
        <v>44637</v>
      </c>
      <c r="C600" s="1" t="n">
        <v>46025</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56067-2022</t>
        </is>
      </c>
      <c r="B601" s="1" t="n">
        <v>44889.59378472222</v>
      </c>
      <c r="C601" s="1" t="n">
        <v>46025</v>
      </c>
      <c r="D601" t="inlineStr">
        <is>
          <t>JÄMTLANDS LÄN</t>
        </is>
      </c>
      <c r="E601" t="inlineStr">
        <is>
          <t>ÖSTERSUND</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53802-2022</t>
        </is>
      </c>
      <c r="B602" s="1" t="n">
        <v>44875</v>
      </c>
      <c r="C602" s="1" t="n">
        <v>46025</v>
      </c>
      <c r="D602" t="inlineStr">
        <is>
          <t>JÄMTLANDS LÄN</t>
        </is>
      </c>
      <c r="E602" t="inlineStr">
        <is>
          <t>ÖSTERSUND</t>
        </is>
      </c>
      <c r="G602" t="n">
        <v>0.2</v>
      </c>
      <c r="H602" t="n">
        <v>0</v>
      </c>
      <c r="I602" t="n">
        <v>0</v>
      </c>
      <c r="J602" t="n">
        <v>0</v>
      </c>
      <c r="K602" t="n">
        <v>0</v>
      </c>
      <c r="L602" t="n">
        <v>0</v>
      </c>
      <c r="M602" t="n">
        <v>0</v>
      </c>
      <c r="N602" t="n">
        <v>0</v>
      </c>
      <c r="O602" t="n">
        <v>0</v>
      </c>
      <c r="P602" t="n">
        <v>0</v>
      </c>
      <c r="Q602" t="n">
        <v>0</v>
      </c>
      <c r="R602" s="2" t="inlineStr"/>
    </row>
    <row r="603" ht="15" customHeight="1">
      <c r="A603" t="inlineStr">
        <is>
          <t>A 8423-2023</t>
        </is>
      </c>
      <c r="B603" s="1" t="n">
        <v>44977</v>
      </c>
      <c r="C603" s="1" t="n">
        <v>46025</v>
      </c>
      <c r="D603" t="inlineStr">
        <is>
          <t>JÄMTLANDS LÄN</t>
        </is>
      </c>
      <c r="E603" t="inlineStr">
        <is>
          <t>ÖSTERSUND</t>
        </is>
      </c>
      <c r="F603" t="inlineStr">
        <is>
          <t>Övriga Aktiebolag</t>
        </is>
      </c>
      <c r="G603" t="n">
        <v>53.1</v>
      </c>
      <c r="H603" t="n">
        <v>0</v>
      </c>
      <c r="I603" t="n">
        <v>0</v>
      </c>
      <c r="J603" t="n">
        <v>0</v>
      </c>
      <c r="K603" t="n">
        <v>0</v>
      </c>
      <c r="L603" t="n">
        <v>0</v>
      </c>
      <c r="M603" t="n">
        <v>0</v>
      </c>
      <c r="N603" t="n">
        <v>0</v>
      </c>
      <c r="O603" t="n">
        <v>0</v>
      </c>
      <c r="P603" t="n">
        <v>0</v>
      </c>
      <c r="Q603" t="n">
        <v>0</v>
      </c>
      <c r="R603" s="2" t="inlineStr"/>
    </row>
    <row r="604" ht="15" customHeight="1">
      <c r="A604" t="inlineStr">
        <is>
          <t>A 3749-2023</t>
        </is>
      </c>
      <c r="B604" s="1" t="n">
        <v>44949</v>
      </c>
      <c r="C604" s="1" t="n">
        <v>46025</v>
      </c>
      <c r="D604" t="inlineStr">
        <is>
          <t>JÄMTLANDS LÄN</t>
        </is>
      </c>
      <c r="E604" t="inlineStr">
        <is>
          <t>ÖSTERSUND</t>
        </is>
      </c>
      <c r="G604" t="n">
        <v>0.2</v>
      </c>
      <c r="H604" t="n">
        <v>0</v>
      </c>
      <c r="I604" t="n">
        <v>0</v>
      </c>
      <c r="J604" t="n">
        <v>0</v>
      </c>
      <c r="K604" t="n">
        <v>0</v>
      </c>
      <c r="L604" t="n">
        <v>0</v>
      </c>
      <c r="M604" t="n">
        <v>0</v>
      </c>
      <c r="N604" t="n">
        <v>0</v>
      </c>
      <c r="O604" t="n">
        <v>0</v>
      </c>
      <c r="P604" t="n">
        <v>0</v>
      </c>
      <c r="Q604" t="n">
        <v>0</v>
      </c>
      <c r="R604" s="2" t="inlineStr"/>
    </row>
    <row r="605" ht="15" customHeight="1">
      <c r="A605" t="inlineStr">
        <is>
          <t>A 55678-2023</t>
        </is>
      </c>
      <c r="B605" s="1" t="n">
        <v>45239.33032407407</v>
      </c>
      <c r="C605" s="1" t="n">
        <v>46025</v>
      </c>
      <c r="D605" t="inlineStr">
        <is>
          <t>JÄMTLANDS LÄN</t>
        </is>
      </c>
      <c r="E605" t="inlineStr">
        <is>
          <t>ÖSTERSUND</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23563-2022</t>
        </is>
      </c>
      <c r="B606" s="1" t="n">
        <v>44721.47241898148</v>
      </c>
      <c r="C606" s="1" t="n">
        <v>46025</v>
      </c>
      <c r="D606" t="inlineStr">
        <is>
          <t>JÄMTLANDS LÄN</t>
        </is>
      </c>
      <c r="E606" t="inlineStr">
        <is>
          <t>ÖSTERSUND</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53380-2023</t>
        </is>
      </c>
      <c r="B607" s="1" t="n">
        <v>45223</v>
      </c>
      <c r="C607" s="1" t="n">
        <v>46025</v>
      </c>
      <c r="D607" t="inlineStr">
        <is>
          <t>JÄMTLANDS LÄN</t>
        </is>
      </c>
      <c r="E607" t="inlineStr">
        <is>
          <t>ÖSTERSUND</t>
        </is>
      </c>
      <c r="G607" t="n">
        <v>1.7</v>
      </c>
      <c r="H607" t="n">
        <v>0</v>
      </c>
      <c r="I607" t="n">
        <v>0</v>
      </c>
      <c r="J607" t="n">
        <v>0</v>
      </c>
      <c r="K607" t="n">
        <v>0</v>
      </c>
      <c r="L607" t="n">
        <v>0</v>
      </c>
      <c r="M607" t="n">
        <v>0</v>
      </c>
      <c r="N607" t="n">
        <v>0</v>
      </c>
      <c r="O607" t="n">
        <v>0</v>
      </c>
      <c r="P607" t="n">
        <v>0</v>
      </c>
      <c r="Q607" t="n">
        <v>0</v>
      </c>
      <c r="R607" s="2" t="inlineStr"/>
    </row>
    <row r="608" ht="15" customHeight="1">
      <c r="A608" t="inlineStr">
        <is>
          <t>A 64645-2021</t>
        </is>
      </c>
      <c r="B608" s="1" t="n">
        <v>44511.94629629629</v>
      </c>
      <c r="C608" s="1" t="n">
        <v>46025</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54913-2024</t>
        </is>
      </c>
      <c r="B609" s="1" t="n">
        <v>45618.6917824074</v>
      </c>
      <c r="C609" s="1" t="n">
        <v>46025</v>
      </c>
      <c r="D609" t="inlineStr">
        <is>
          <t>JÄMTLANDS LÄN</t>
        </is>
      </c>
      <c r="E609" t="inlineStr">
        <is>
          <t>ÖSTERSUND</t>
        </is>
      </c>
      <c r="G609" t="n">
        <v>4.7</v>
      </c>
      <c r="H609" t="n">
        <v>0</v>
      </c>
      <c r="I609" t="n">
        <v>0</v>
      </c>
      <c r="J609" t="n">
        <v>0</v>
      </c>
      <c r="K609" t="n">
        <v>0</v>
      </c>
      <c r="L609" t="n">
        <v>0</v>
      </c>
      <c r="M609" t="n">
        <v>0</v>
      </c>
      <c r="N609" t="n">
        <v>0</v>
      </c>
      <c r="O609" t="n">
        <v>0</v>
      </c>
      <c r="P609" t="n">
        <v>0</v>
      </c>
      <c r="Q609" t="n">
        <v>0</v>
      </c>
      <c r="R609" s="2" t="inlineStr"/>
    </row>
    <row r="610" ht="15" customHeight="1">
      <c r="A610" t="inlineStr">
        <is>
          <t>A 50218-2024</t>
        </is>
      </c>
      <c r="B610" s="1" t="n">
        <v>45600.53160879629</v>
      </c>
      <c r="C610" s="1" t="n">
        <v>46025</v>
      </c>
      <c r="D610" t="inlineStr">
        <is>
          <t>JÄMTLANDS LÄN</t>
        </is>
      </c>
      <c r="E610" t="inlineStr">
        <is>
          <t>ÖSTERSUND</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30602-2023</t>
        </is>
      </c>
      <c r="B611" s="1" t="n">
        <v>45112</v>
      </c>
      <c r="C611" s="1" t="n">
        <v>46025</v>
      </c>
      <c r="D611" t="inlineStr">
        <is>
          <t>JÄMTLANDS LÄN</t>
        </is>
      </c>
      <c r="E611" t="inlineStr">
        <is>
          <t>ÖSTERSUND</t>
        </is>
      </c>
      <c r="G611" t="n">
        <v>0.5</v>
      </c>
      <c r="H611" t="n">
        <v>0</v>
      </c>
      <c r="I611" t="n">
        <v>0</v>
      </c>
      <c r="J611" t="n">
        <v>0</v>
      </c>
      <c r="K611" t="n">
        <v>0</v>
      </c>
      <c r="L611" t="n">
        <v>0</v>
      </c>
      <c r="M611" t="n">
        <v>0</v>
      </c>
      <c r="N611" t="n">
        <v>0</v>
      </c>
      <c r="O611" t="n">
        <v>0</v>
      </c>
      <c r="P611" t="n">
        <v>0</v>
      </c>
      <c r="Q611" t="n">
        <v>0</v>
      </c>
      <c r="R611" s="2" t="inlineStr"/>
    </row>
    <row r="612" ht="15" customHeight="1">
      <c r="A612" t="inlineStr">
        <is>
          <t>A 1893-2023</t>
        </is>
      </c>
      <c r="B612" s="1" t="n">
        <v>44937</v>
      </c>
      <c r="C612" s="1" t="n">
        <v>46025</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17574-2022</t>
        </is>
      </c>
      <c r="B613" s="1" t="n">
        <v>44679.92574074074</v>
      </c>
      <c r="C613" s="1" t="n">
        <v>46025</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10305-2023</t>
        </is>
      </c>
      <c r="B614" s="1" t="n">
        <v>44986</v>
      </c>
      <c r="C614" s="1" t="n">
        <v>46025</v>
      </c>
      <c r="D614" t="inlineStr">
        <is>
          <t>JÄMTLANDS LÄN</t>
        </is>
      </c>
      <c r="E614" t="inlineStr">
        <is>
          <t>ÖSTERSUND</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7573-2022</t>
        </is>
      </c>
      <c r="B615" s="1" t="n">
        <v>44607</v>
      </c>
      <c r="C615" s="1" t="n">
        <v>46025</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27343-2022</t>
        </is>
      </c>
      <c r="B616" s="1" t="n">
        <v>44742</v>
      </c>
      <c r="C616" s="1" t="n">
        <v>46025</v>
      </c>
      <c r="D616" t="inlineStr">
        <is>
          <t>JÄMTLANDS LÄN</t>
        </is>
      </c>
      <c r="E616" t="inlineStr">
        <is>
          <t>ÖSTERSUND</t>
        </is>
      </c>
      <c r="G616" t="n">
        <v>1.5</v>
      </c>
      <c r="H616" t="n">
        <v>0</v>
      </c>
      <c r="I616" t="n">
        <v>0</v>
      </c>
      <c r="J616" t="n">
        <v>0</v>
      </c>
      <c r="K616" t="n">
        <v>0</v>
      </c>
      <c r="L616" t="n">
        <v>0</v>
      </c>
      <c r="M616" t="n">
        <v>0</v>
      </c>
      <c r="N616" t="n">
        <v>0</v>
      </c>
      <c r="O616" t="n">
        <v>0</v>
      </c>
      <c r="P616" t="n">
        <v>0</v>
      </c>
      <c r="Q616" t="n">
        <v>0</v>
      </c>
      <c r="R616" s="2" t="inlineStr"/>
    </row>
    <row r="617" ht="15" customHeight="1">
      <c r="A617" t="inlineStr">
        <is>
          <t>A 43557-2024</t>
        </is>
      </c>
      <c r="B617" s="1" t="n">
        <v>45569.39229166666</v>
      </c>
      <c r="C617" s="1" t="n">
        <v>46025</v>
      </c>
      <c r="D617" t="inlineStr">
        <is>
          <t>JÄMTLANDS LÄN</t>
        </is>
      </c>
      <c r="E617" t="inlineStr">
        <is>
          <t>ÖSTERSUND</t>
        </is>
      </c>
      <c r="G617" t="n">
        <v>3.6</v>
      </c>
      <c r="H617" t="n">
        <v>0</v>
      </c>
      <c r="I617" t="n">
        <v>0</v>
      </c>
      <c r="J617" t="n">
        <v>0</v>
      </c>
      <c r="K617" t="n">
        <v>0</v>
      </c>
      <c r="L617" t="n">
        <v>0</v>
      </c>
      <c r="M617" t="n">
        <v>0</v>
      </c>
      <c r="N617" t="n">
        <v>0</v>
      </c>
      <c r="O617" t="n">
        <v>0</v>
      </c>
      <c r="P617" t="n">
        <v>0</v>
      </c>
      <c r="Q617" t="n">
        <v>0</v>
      </c>
      <c r="R617" s="2" t="inlineStr"/>
    </row>
    <row r="618" ht="15" customHeight="1">
      <c r="A618" t="inlineStr">
        <is>
          <t>A 36406-2023</t>
        </is>
      </c>
      <c r="B618" s="1" t="n">
        <v>45149</v>
      </c>
      <c r="C618" s="1" t="n">
        <v>46025</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59691-2024</t>
        </is>
      </c>
      <c r="B619" s="1" t="n">
        <v>45639.40684027778</v>
      </c>
      <c r="C619" s="1" t="n">
        <v>46025</v>
      </c>
      <c r="D619" t="inlineStr">
        <is>
          <t>JÄMTLANDS LÄN</t>
        </is>
      </c>
      <c r="E619" t="inlineStr">
        <is>
          <t>ÖSTERSUND</t>
        </is>
      </c>
      <c r="F619" t="inlineStr">
        <is>
          <t>SCA</t>
        </is>
      </c>
      <c r="G619" t="n">
        <v>15.9</v>
      </c>
      <c r="H619" t="n">
        <v>0</v>
      </c>
      <c r="I619" t="n">
        <v>0</v>
      </c>
      <c r="J619" t="n">
        <v>0</v>
      </c>
      <c r="K619" t="n">
        <v>0</v>
      </c>
      <c r="L619" t="n">
        <v>0</v>
      </c>
      <c r="M619" t="n">
        <v>0</v>
      </c>
      <c r="N619" t="n">
        <v>0</v>
      </c>
      <c r="O619" t="n">
        <v>0</v>
      </c>
      <c r="P619" t="n">
        <v>0</v>
      </c>
      <c r="Q619" t="n">
        <v>0</v>
      </c>
      <c r="R619" s="2" t="inlineStr"/>
    </row>
    <row r="620" ht="15" customHeight="1">
      <c r="A620" t="inlineStr">
        <is>
          <t>A 12998-2025</t>
        </is>
      </c>
      <c r="B620" s="1" t="n">
        <v>45734.48991898148</v>
      </c>
      <c r="C620" s="1" t="n">
        <v>46025</v>
      </c>
      <c r="D620" t="inlineStr">
        <is>
          <t>JÄMTLANDS LÄN</t>
        </is>
      </c>
      <c r="E620" t="inlineStr">
        <is>
          <t>ÖSTERSUND</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32225-2024</t>
        </is>
      </c>
      <c r="B621" s="1" t="n">
        <v>45511.92825231481</v>
      </c>
      <c r="C621" s="1" t="n">
        <v>46025</v>
      </c>
      <c r="D621" t="inlineStr">
        <is>
          <t>JÄMTLANDS LÄN</t>
        </is>
      </c>
      <c r="E621" t="inlineStr">
        <is>
          <t>ÖSTERSUND</t>
        </is>
      </c>
      <c r="G621" t="n">
        <v>2</v>
      </c>
      <c r="H621" t="n">
        <v>0</v>
      </c>
      <c r="I621" t="n">
        <v>0</v>
      </c>
      <c r="J621" t="n">
        <v>0</v>
      </c>
      <c r="K621" t="n">
        <v>0</v>
      </c>
      <c r="L621" t="n">
        <v>0</v>
      </c>
      <c r="M621" t="n">
        <v>0</v>
      </c>
      <c r="N621" t="n">
        <v>0</v>
      </c>
      <c r="O621" t="n">
        <v>0</v>
      </c>
      <c r="P621" t="n">
        <v>0</v>
      </c>
      <c r="Q621" t="n">
        <v>0</v>
      </c>
      <c r="R621" s="2" t="inlineStr"/>
    </row>
    <row r="622" ht="15" customHeight="1">
      <c r="A622" t="inlineStr">
        <is>
          <t>A 43252-2023</t>
        </is>
      </c>
      <c r="B622" s="1" t="n">
        <v>45183</v>
      </c>
      <c r="C622" s="1" t="n">
        <v>46025</v>
      </c>
      <c r="D622" t="inlineStr">
        <is>
          <t>JÄMTLANDS LÄN</t>
        </is>
      </c>
      <c r="E622" t="inlineStr">
        <is>
          <t>ÖSTERSUND</t>
        </is>
      </c>
      <c r="G622" t="n">
        <v>2.9</v>
      </c>
      <c r="H622" t="n">
        <v>0</v>
      </c>
      <c r="I622" t="n">
        <v>0</v>
      </c>
      <c r="J622" t="n">
        <v>0</v>
      </c>
      <c r="K622" t="n">
        <v>0</v>
      </c>
      <c r="L622" t="n">
        <v>0</v>
      </c>
      <c r="M622" t="n">
        <v>0</v>
      </c>
      <c r="N622" t="n">
        <v>0</v>
      </c>
      <c r="O622" t="n">
        <v>0</v>
      </c>
      <c r="P622" t="n">
        <v>0</v>
      </c>
      <c r="Q622" t="n">
        <v>0</v>
      </c>
      <c r="R622" s="2" t="inlineStr"/>
    </row>
    <row r="623" ht="15" customHeight="1">
      <c r="A623" t="inlineStr">
        <is>
          <t>A 60088-2024</t>
        </is>
      </c>
      <c r="B623" s="1" t="n">
        <v>45642.54847222222</v>
      </c>
      <c r="C623" s="1" t="n">
        <v>46025</v>
      </c>
      <c r="D623" t="inlineStr">
        <is>
          <t>JÄMTLANDS LÄN</t>
        </is>
      </c>
      <c r="E623" t="inlineStr">
        <is>
          <t>ÖSTERSUND</t>
        </is>
      </c>
      <c r="G623" t="n">
        <v>5</v>
      </c>
      <c r="H623" t="n">
        <v>0</v>
      </c>
      <c r="I623" t="n">
        <v>0</v>
      </c>
      <c r="J623" t="n">
        <v>0</v>
      </c>
      <c r="K623" t="n">
        <v>0</v>
      </c>
      <c r="L623" t="n">
        <v>0</v>
      </c>
      <c r="M623" t="n">
        <v>0</v>
      </c>
      <c r="N623" t="n">
        <v>0</v>
      </c>
      <c r="O623" t="n">
        <v>0</v>
      </c>
      <c r="P623" t="n">
        <v>0</v>
      </c>
      <c r="Q623" t="n">
        <v>0</v>
      </c>
      <c r="R623" s="2" t="inlineStr"/>
    </row>
    <row r="624" ht="15" customHeight="1">
      <c r="A624" t="inlineStr">
        <is>
          <t>A 4135-2023</t>
        </is>
      </c>
      <c r="B624" s="1" t="n">
        <v>44952</v>
      </c>
      <c r="C624" s="1" t="n">
        <v>46025</v>
      </c>
      <c r="D624" t="inlineStr">
        <is>
          <t>JÄMTLANDS LÄN</t>
        </is>
      </c>
      <c r="E624" t="inlineStr">
        <is>
          <t>ÖSTERSUND</t>
        </is>
      </c>
      <c r="G624" t="n">
        <v>1.3</v>
      </c>
      <c r="H624" t="n">
        <v>0</v>
      </c>
      <c r="I624" t="n">
        <v>0</v>
      </c>
      <c r="J624" t="n">
        <v>0</v>
      </c>
      <c r="K624" t="n">
        <v>0</v>
      </c>
      <c r="L624" t="n">
        <v>0</v>
      </c>
      <c r="M624" t="n">
        <v>0</v>
      </c>
      <c r="N624" t="n">
        <v>0</v>
      </c>
      <c r="O624" t="n">
        <v>0</v>
      </c>
      <c r="P624" t="n">
        <v>0</v>
      </c>
      <c r="Q624" t="n">
        <v>0</v>
      </c>
      <c r="R624" s="2" t="inlineStr"/>
    </row>
    <row r="625" ht="15" customHeight="1">
      <c r="A625" t="inlineStr">
        <is>
          <t>A 7549-2025</t>
        </is>
      </c>
      <c r="B625" s="1" t="n">
        <v>45705.57454861111</v>
      </c>
      <c r="C625" s="1" t="n">
        <v>46025</v>
      </c>
      <c r="D625" t="inlineStr">
        <is>
          <t>JÄMTLANDS LÄN</t>
        </is>
      </c>
      <c r="E625" t="inlineStr">
        <is>
          <t>ÖSTERSUND</t>
        </is>
      </c>
      <c r="F625" t="inlineStr">
        <is>
          <t>SCA</t>
        </is>
      </c>
      <c r="G625" t="n">
        <v>6.4</v>
      </c>
      <c r="H625" t="n">
        <v>0</v>
      </c>
      <c r="I625" t="n">
        <v>0</v>
      </c>
      <c r="J625" t="n">
        <v>0</v>
      </c>
      <c r="K625" t="n">
        <v>0</v>
      </c>
      <c r="L625" t="n">
        <v>0</v>
      </c>
      <c r="M625" t="n">
        <v>0</v>
      </c>
      <c r="N625" t="n">
        <v>0</v>
      </c>
      <c r="O625" t="n">
        <v>0</v>
      </c>
      <c r="P625" t="n">
        <v>0</v>
      </c>
      <c r="Q625" t="n">
        <v>0</v>
      </c>
      <c r="R625" s="2" t="inlineStr"/>
    </row>
    <row r="626" ht="15" customHeight="1">
      <c r="A626" t="inlineStr">
        <is>
          <t>A 6067-2025</t>
        </is>
      </c>
      <c r="B626" s="1" t="n">
        <v>45696.34405092592</v>
      </c>
      <c r="C626" s="1" t="n">
        <v>46025</v>
      </c>
      <c r="D626" t="inlineStr">
        <is>
          <t>JÄMTLANDS LÄN</t>
        </is>
      </c>
      <c r="E626" t="inlineStr">
        <is>
          <t>ÖSTERSUND</t>
        </is>
      </c>
      <c r="G626" t="n">
        <v>2.1</v>
      </c>
      <c r="H626" t="n">
        <v>0</v>
      </c>
      <c r="I626" t="n">
        <v>0</v>
      </c>
      <c r="J626" t="n">
        <v>0</v>
      </c>
      <c r="K626" t="n">
        <v>0</v>
      </c>
      <c r="L626" t="n">
        <v>0</v>
      </c>
      <c r="M626" t="n">
        <v>0</v>
      </c>
      <c r="N626" t="n">
        <v>0</v>
      </c>
      <c r="O626" t="n">
        <v>0</v>
      </c>
      <c r="P626" t="n">
        <v>0</v>
      </c>
      <c r="Q626" t="n">
        <v>0</v>
      </c>
      <c r="R626" s="2" t="inlineStr"/>
    </row>
    <row r="627" ht="15" customHeight="1">
      <c r="A627" t="inlineStr">
        <is>
          <t>A 54663-2022</t>
        </is>
      </c>
      <c r="B627" s="1" t="n">
        <v>44883.44737268519</v>
      </c>
      <c r="C627" s="1" t="n">
        <v>46025</v>
      </c>
      <c r="D627" t="inlineStr">
        <is>
          <t>JÄMTLANDS LÄN</t>
        </is>
      </c>
      <c r="E627" t="inlineStr">
        <is>
          <t>ÖSTERSUND</t>
        </is>
      </c>
      <c r="G627" t="n">
        <v>0.8</v>
      </c>
      <c r="H627" t="n">
        <v>0</v>
      </c>
      <c r="I627" t="n">
        <v>0</v>
      </c>
      <c r="J627" t="n">
        <v>0</v>
      </c>
      <c r="K627" t="n">
        <v>0</v>
      </c>
      <c r="L627" t="n">
        <v>0</v>
      </c>
      <c r="M627" t="n">
        <v>0</v>
      </c>
      <c r="N627" t="n">
        <v>0</v>
      </c>
      <c r="O627" t="n">
        <v>0</v>
      </c>
      <c r="P627" t="n">
        <v>0</v>
      </c>
      <c r="Q627" t="n">
        <v>0</v>
      </c>
      <c r="R627" s="2" t="inlineStr"/>
    </row>
    <row r="628" ht="15" customHeight="1">
      <c r="A628" t="inlineStr">
        <is>
          <t>A 18578-2025</t>
        </is>
      </c>
      <c r="B628" s="1" t="n">
        <v>45763</v>
      </c>
      <c r="C628" s="1" t="n">
        <v>46025</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43511-2022</t>
        </is>
      </c>
      <c r="B629" s="1" t="n">
        <v>44837.36724537037</v>
      </c>
      <c r="C629" s="1" t="n">
        <v>46025</v>
      </c>
      <c r="D629" t="inlineStr">
        <is>
          <t>JÄMTLANDS LÄN</t>
        </is>
      </c>
      <c r="E629" t="inlineStr">
        <is>
          <t>ÖSTERSUND</t>
        </is>
      </c>
      <c r="G629" t="n">
        <v>3.7</v>
      </c>
      <c r="H629" t="n">
        <v>0</v>
      </c>
      <c r="I629" t="n">
        <v>0</v>
      </c>
      <c r="J629" t="n">
        <v>0</v>
      </c>
      <c r="K629" t="n">
        <v>0</v>
      </c>
      <c r="L629" t="n">
        <v>0</v>
      </c>
      <c r="M629" t="n">
        <v>0</v>
      </c>
      <c r="N629" t="n">
        <v>0</v>
      </c>
      <c r="O629" t="n">
        <v>0</v>
      </c>
      <c r="P629" t="n">
        <v>0</v>
      </c>
      <c r="Q629" t="n">
        <v>0</v>
      </c>
      <c r="R629" s="2" t="inlineStr"/>
    </row>
    <row r="630" ht="15" customHeight="1">
      <c r="A630" t="inlineStr">
        <is>
          <t>A 2730-2025</t>
        </is>
      </c>
      <c r="B630" s="1" t="n">
        <v>45677.44393518518</v>
      </c>
      <c r="C630" s="1" t="n">
        <v>46025</v>
      </c>
      <c r="D630" t="inlineStr">
        <is>
          <t>JÄMTLANDS LÄN</t>
        </is>
      </c>
      <c r="E630" t="inlineStr">
        <is>
          <t>ÖSTERSUND</t>
        </is>
      </c>
      <c r="G630" t="n">
        <v>2.5</v>
      </c>
      <c r="H630" t="n">
        <v>0</v>
      </c>
      <c r="I630" t="n">
        <v>0</v>
      </c>
      <c r="J630" t="n">
        <v>0</v>
      </c>
      <c r="K630" t="n">
        <v>0</v>
      </c>
      <c r="L630" t="n">
        <v>0</v>
      </c>
      <c r="M630" t="n">
        <v>0</v>
      </c>
      <c r="N630" t="n">
        <v>0</v>
      </c>
      <c r="O630" t="n">
        <v>0</v>
      </c>
      <c r="P630" t="n">
        <v>0</v>
      </c>
      <c r="Q630" t="n">
        <v>0</v>
      </c>
      <c r="R630" s="2" t="inlineStr"/>
    </row>
    <row r="631" ht="15" customHeight="1">
      <c r="A631" t="inlineStr">
        <is>
          <t>A 42151-2023</t>
        </is>
      </c>
      <c r="B631" s="1" t="n">
        <v>45177.93612268518</v>
      </c>
      <c r="C631" s="1" t="n">
        <v>46025</v>
      </c>
      <c r="D631" t="inlineStr">
        <is>
          <t>JÄMTLANDS LÄN</t>
        </is>
      </c>
      <c r="E631" t="inlineStr">
        <is>
          <t>ÖSTERSUND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43016-2024</t>
        </is>
      </c>
      <c r="B632" s="1" t="n">
        <v>45567.39192129629</v>
      </c>
      <c r="C632" s="1" t="n">
        <v>46025</v>
      </c>
      <c r="D632" t="inlineStr">
        <is>
          <t>JÄMTLANDS LÄN</t>
        </is>
      </c>
      <c r="E632" t="inlineStr">
        <is>
          <t>ÖSTERSUND</t>
        </is>
      </c>
      <c r="G632" t="n">
        <v>5.3</v>
      </c>
      <c r="H632" t="n">
        <v>0</v>
      </c>
      <c r="I632" t="n">
        <v>0</v>
      </c>
      <c r="J632" t="n">
        <v>0</v>
      </c>
      <c r="K632" t="n">
        <v>0</v>
      </c>
      <c r="L632" t="n">
        <v>0</v>
      </c>
      <c r="M632" t="n">
        <v>0</v>
      </c>
      <c r="N632" t="n">
        <v>0</v>
      </c>
      <c r="O632" t="n">
        <v>0</v>
      </c>
      <c r="P632" t="n">
        <v>0</v>
      </c>
      <c r="Q632" t="n">
        <v>0</v>
      </c>
      <c r="R632" s="2" t="inlineStr"/>
    </row>
    <row r="633" ht="15" customHeight="1">
      <c r="A633" t="inlineStr">
        <is>
          <t>A 51865-2024</t>
        </is>
      </c>
      <c r="B633" s="1" t="n">
        <v>45607.55260416667</v>
      </c>
      <c r="C633" s="1" t="n">
        <v>46025</v>
      </c>
      <c r="D633" t="inlineStr">
        <is>
          <t>JÄMTLANDS LÄN</t>
        </is>
      </c>
      <c r="E633" t="inlineStr">
        <is>
          <t>ÖSTERSUND</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58364-2024</t>
        </is>
      </c>
      <c r="B634" s="1" t="n">
        <v>45632.68814814815</v>
      </c>
      <c r="C634" s="1" t="n">
        <v>46025</v>
      </c>
      <c r="D634" t="inlineStr">
        <is>
          <t>JÄMTLANDS LÄN</t>
        </is>
      </c>
      <c r="E634" t="inlineStr">
        <is>
          <t>ÖSTERSUND</t>
        </is>
      </c>
      <c r="G634" t="n">
        <v>5.5</v>
      </c>
      <c r="H634" t="n">
        <v>0</v>
      </c>
      <c r="I634" t="n">
        <v>0</v>
      </c>
      <c r="J634" t="n">
        <v>0</v>
      </c>
      <c r="K634" t="n">
        <v>0</v>
      </c>
      <c r="L634" t="n">
        <v>0</v>
      </c>
      <c r="M634" t="n">
        <v>0</v>
      </c>
      <c r="N634" t="n">
        <v>0</v>
      </c>
      <c r="O634" t="n">
        <v>0</v>
      </c>
      <c r="P634" t="n">
        <v>0</v>
      </c>
      <c r="Q634" t="n">
        <v>0</v>
      </c>
      <c r="R634" s="2" t="inlineStr"/>
    </row>
    <row r="635" ht="15" customHeight="1">
      <c r="A635" t="inlineStr">
        <is>
          <t>A 44489-2024</t>
        </is>
      </c>
      <c r="B635" s="1" t="n">
        <v>45574.38943287037</v>
      </c>
      <c r="C635" s="1" t="n">
        <v>46025</v>
      </c>
      <c r="D635" t="inlineStr">
        <is>
          <t>JÄMTLANDS LÄN</t>
        </is>
      </c>
      <c r="E635" t="inlineStr">
        <is>
          <t>ÖSTERSUND</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56111-2022</t>
        </is>
      </c>
      <c r="B636" s="1" t="n">
        <v>44889</v>
      </c>
      <c r="C636" s="1" t="n">
        <v>46025</v>
      </c>
      <c r="D636" t="inlineStr">
        <is>
          <t>JÄMTLANDS LÄN</t>
        </is>
      </c>
      <c r="E636" t="inlineStr">
        <is>
          <t>ÖSTERSUND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4521-2025</t>
        </is>
      </c>
      <c r="B637" s="1" t="n">
        <v>45686</v>
      </c>
      <c r="C637" s="1" t="n">
        <v>46025</v>
      </c>
      <c r="D637" t="inlineStr">
        <is>
          <t>JÄMTLANDS LÄN</t>
        </is>
      </c>
      <c r="E637" t="inlineStr">
        <is>
          <t>ÖSTERSUND</t>
        </is>
      </c>
      <c r="G637" t="n">
        <v>28.4</v>
      </c>
      <c r="H637" t="n">
        <v>0</v>
      </c>
      <c r="I637" t="n">
        <v>0</v>
      </c>
      <c r="J637" t="n">
        <v>0</v>
      </c>
      <c r="K637" t="n">
        <v>0</v>
      </c>
      <c r="L637" t="n">
        <v>0</v>
      </c>
      <c r="M637" t="n">
        <v>0</v>
      </c>
      <c r="N637" t="n">
        <v>0</v>
      </c>
      <c r="O637" t="n">
        <v>0</v>
      </c>
      <c r="P637" t="n">
        <v>0</v>
      </c>
      <c r="Q637" t="n">
        <v>0</v>
      </c>
      <c r="R637" s="2" t="inlineStr"/>
    </row>
    <row r="638" ht="15" customHeight="1">
      <c r="A638" t="inlineStr">
        <is>
          <t>A 6578-2021</t>
        </is>
      </c>
      <c r="B638" s="1" t="n">
        <v>44236</v>
      </c>
      <c r="C638" s="1" t="n">
        <v>46025</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51826-2024</t>
        </is>
      </c>
      <c r="B639" s="1" t="n">
        <v>45607.50137731482</v>
      </c>
      <c r="C639" s="1" t="n">
        <v>46025</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17570-2025</t>
        </is>
      </c>
      <c r="B640" s="1" t="n">
        <v>45757.64563657407</v>
      </c>
      <c r="C640" s="1" t="n">
        <v>46025</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60681-2022</t>
        </is>
      </c>
      <c r="B641" s="1" t="n">
        <v>44911.93994212963</v>
      </c>
      <c r="C641" s="1" t="n">
        <v>46025</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48696-2024</t>
        </is>
      </c>
      <c r="B642" s="1" t="n">
        <v>45593.51123842593</v>
      </c>
      <c r="C642" s="1" t="n">
        <v>46025</v>
      </c>
      <c r="D642" t="inlineStr">
        <is>
          <t>JÄMTLANDS LÄN</t>
        </is>
      </c>
      <c r="E642" t="inlineStr">
        <is>
          <t>ÖSTERSUND</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22126-2021</t>
        </is>
      </c>
      <c r="B643" s="1" t="n">
        <v>44323</v>
      </c>
      <c r="C643" s="1" t="n">
        <v>46025</v>
      </c>
      <c r="D643" t="inlineStr">
        <is>
          <t>JÄMTLANDS LÄN</t>
        </is>
      </c>
      <c r="E643" t="inlineStr">
        <is>
          <t>ÖSTERSUND</t>
        </is>
      </c>
      <c r="G643" t="n">
        <v>1.4</v>
      </c>
      <c r="H643" t="n">
        <v>0</v>
      </c>
      <c r="I643" t="n">
        <v>0</v>
      </c>
      <c r="J643" t="n">
        <v>0</v>
      </c>
      <c r="K643" t="n">
        <v>0</v>
      </c>
      <c r="L643" t="n">
        <v>0</v>
      </c>
      <c r="M643" t="n">
        <v>0</v>
      </c>
      <c r="N643" t="n">
        <v>0</v>
      </c>
      <c r="O643" t="n">
        <v>0</v>
      </c>
      <c r="P643" t="n">
        <v>0</v>
      </c>
      <c r="Q643" t="n">
        <v>0</v>
      </c>
      <c r="R643" s="2" t="inlineStr"/>
    </row>
    <row r="644" ht="15" customHeight="1">
      <c r="A644" t="inlineStr">
        <is>
          <t>A 39975-2024</t>
        </is>
      </c>
      <c r="B644" s="1" t="n">
        <v>45553.60474537037</v>
      </c>
      <c r="C644" s="1" t="n">
        <v>46025</v>
      </c>
      <c r="D644" t="inlineStr">
        <is>
          <t>JÄMTLANDS LÄN</t>
        </is>
      </c>
      <c r="E644" t="inlineStr">
        <is>
          <t>ÖSTERSUND</t>
        </is>
      </c>
      <c r="G644" t="n">
        <v>3.8</v>
      </c>
      <c r="H644" t="n">
        <v>0</v>
      </c>
      <c r="I644" t="n">
        <v>0</v>
      </c>
      <c r="J644" t="n">
        <v>0</v>
      </c>
      <c r="K644" t="n">
        <v>0</v>
      </c>
      <c r="L644" t="n">
        <v>0</v>
      </c>
      <c r="M644" t="n">
        <v>0</v>
      </c>
      <c r="N644" t="n">
        <v>0</v>
      </c>
      <c r="O644" t="n">
        <v>0</v>
      </c>
      <c r="P644" t="n">
        <v>0</v>
      </c>
      <c r="Q644" t="n">
        <v>0</v>
      </c>
      <c r="R644" s="2" t="inlineStr"/>
    </row>
    <row r="645" ht="15" customHeight="1">
      <c r="A645" t="inlineStr">
        <is>
          <t>A 51936-2023</t>
        </is>
      </c>
      <c r="B645" s="1" t="n">
        <v>45223.5036574074</v>
      </c>
      <c r="C645" s="1" t="n">
        <v>46025</v>
      </c>
      <c r="D645" t="inlineStr">
        <is>
          <t>JÄMTLANDS LÄN</t>
        </is>
      </c>
      <c r="E645" t="inlineStr">
        <is>
          <t>ÖSTERSUND</t>
        </is>
      </c>
      <c r="G645" t="n">
        <v>8.4</v>
      </c>
      <c r="H645" t="n">
        <v>0</v>
      </c>
      <c r="I645" t="n">
        <v>0</v>
      </c>
      <c r="J645" t="n">
        <v>0</v>
      </c>
      <c r="K645" t="n">
        <v>0</v>
      </c>
      <c r="L645" t="n">
        <v>0</v>
      </c>
      <c r="M645" t="n">
        <v>0</v>
      </c>
      <c r="N645" t="n">
        <v>0</v>
      </c>
      <c r="O645" t="n">
        <v>0</v>
      </c>
      <c r="P645" t="n">
        <v>0</v>
      </c>
      <c r="Q645" t="n">
        <v>0</v>
      </c>
      <c r="R645" s="2" t="inlineStr"/>
    </row>
    <row r="646" ht="15" customHeight="1">
      <c r="A646" t="inlineStr">
        <is>
          <t>A 51941-2023</t>
        </is>
      </c>
      <c r="B646" s="1" t="n">
        <v>45223</v>
      </c>
      <c r="C646" s="1" t="n">
        <v>46025</v>
      </c>
      <c r="D646" t="inlineStr">
        <is>
          <t>JÄMTLANDS LÄN</t>
        </is>
      </c>
      <c r="E646" t="inlineStr">
        <is>
          <t>ÖSTERSUND</t>
        </is>
      </c>
      <c r="G646" t="n">
        <v>4.6</v>
      </c>
      <c r="H646" t="n">
        <v>0</v>
      </c>
      <c r="I646" t="n">
        <v>0</v>
      </c>
      <c r="J646" t="n">
        <v>0</v>
      </c>
      <c r="K646" t="n">
        <v>0</v>
      </c>
      <c r="L646" t="n">
        <v>0</v>
      </c>
      <c r="M646" t="n">
        <v>0</v>
      </c>
      <c r="N646" t="n">
        <v>0</v>
      </c>
      <c r="O646" t="n">
        <v>0</v>
      </c>
      <c r="P646" t="n">
        <v>0</v>
      </c>
      <c r="Q646" t="n">
        <v>0</v>
      </c>
      <c r="R646" s="2" t="inlineStr"/>
    </row>
    <row r="647" ht="15" customHeight="1">
      <c r="A647" t="inlineStr">
        <is>
          <t>A 14523-2023</t>
        </is>
      </c>
      <c r="B647" s="1" t="n">
        <v>45012</v>
      </c>
      <c r="C647" s="1" t="n">
        <v>46025</v>
      </c>
      <c r="D647" t="inlineStr">
        <is>
          <t>JÄMTLANDS LÄN</t>
        </is>
      </c>
      <c r="E647" t="inlineStr">
        <is>
          <t>ÖSTERSUND</t>
        </is>
      </c>
      <c r="G647" t="n">
        <v>4.5</v>
      </c>
      <c r="H647" t="n">
        <v>0</v>
      </c>
      <c r="I647" t="n">
        <v>0</v>
      </c>
      <c r="J647" t="n">
        <v>0</v>
      </c>
      <c r="K647" t="n">
        <v>0</v>
      </c>
      <c r="L647" t="n">
        <v>0</v>
      </c>
      <c r="M647" t="n">
        <v>0</v>
      </c>
      <c r="N647" t="n">
        <v>0</v>
      </c>
      <c r="O647" t="n">
        <v>0</v>
      </c>
      <c r="P647" t="n">
        <v>0</v>
      </c>
      <c r="Q647" t="n">
        <v>0</v>
      </c>
      <c r="R647" s="2" t="inlineStr"/>
    </row>
    <row r="648" ht="15" customHeight="1">
      <c r="A648" t="inlineStr">
        <is>
          <t>A 13282-2023</t>
        </is>
      </c>
      <c r="B648" s="1" t="n">
        <v>45004</v>
      </c>
      <c r="C648" s="1" t="n">
        <v>46025</v>
      </c>
      <c r="D648" t="inlineStr">
        <is>
          <t>JÄMTLANDS LÄN</t>
        </is>
      </c>
      <c r="E648" t="inlineStr">
        <is>
          <t>ÖSTERSUND</t>
        </is>
      </c>
      <c r="G648" t="n">
        <v>28.5</v>
      </c>
      <c r="H648" t="n">
        <v>0</v>
      </c>
      <c r="I648" t="n">
        <v>0</v>
      </c>
      <c r="J648" t="n">
        <v>0</v>
      </c>
      <c r="K648" t="n">
        <v>0</v>
      </c>
      <c r="L648" t="n">
        <v>0</v>
      </c>
      <c r="M648" t="n">
        <v>0</v>
      </c>
      <c r="N648" t="n">
        <v>0</v>
      </c>
      <c r="O648" t="n">
        <v>0</v>
      </c>
      <c r="P648" t="n">
        <v>0</v>
      </c>
      <c r="Q648" t="n">
        <v>0</v>
      </c>
      <c r="R648" s="2" t="inlineStr"/>
    </row>
    <row r="649" ht="15" customHeight="1">
      <c r="A649" t="inlineStr">
        <is>
          <t>A 54973-2023</t>
        </is>
      </c>
      <c r="B649" s="1" t="n">
        <v>45236.92776620371</v>
      </c>
      <c r="C649" s="1" t="n">
        <v>46025</v>
      </c>
      <c r="D649" t="inlineStr">
        <is>
          <t>JÄMTLANDS LÄN</t>
        </is>
      </c>
      <c r="E649" t="inlineStr">
        <is>
          <t>ÖSTERSUND</t>
        </is>
      </c>
      <c r="G649" t="n">
        <v>15.4</v>
      </c>
      <c r="H649" t="n">
        <v>0</v>
      </c>
      <c r="I649" t="n">
        <v>0</v>
      </c>
      <c r="J649" t="n">
        <v>0</v>
      </c>
      <c r="K649" t="n">
        <v>0</v>
      </c>
      <c r="L649" t="n">
        <v>0</v>
      </c>
      <c r="M649" t="n">
        <v>0</v>
      </c>
      <c r="N649" t="n">
        <v>0</v>
      </c>
      <c r="O649" t="n">
        <v>0</v>
      </c>
      <c r="P649" t="n">
        <v>0</v>
      </c>
      <c r="Q649" t="n">
        <v>0</v>
      </c>
      <c r="R649" s="2" t="inlineStr"/>
    </row>
    <row r="650" ht="15" customHeight="1">
      <c r="A650" t="inlineStr">
        <is>
          <t>A 4901-2025</t>
        </is>
      </c>
      <c r="B650" s="1" t="n">
        <v>45688.67965277778</v>
      </c>
      <c r="C650" s="1" t="n">
        <v>46025</v>
      </c>
      <c r="D650" t="inlineStr">
        <is>
          <t>JÄMTLANDS LÄN</t>
        </is>
      </c>
      <c r="E650" t="inlineStr">
        <is>
          <t>ÖSTERSUND</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47727-2023</t>
        </is>
      </c>
      <c r="B651" s="1" t="n">
        <v>45203</v>
      </c>
      <c r="C651" s="1" t="n">
        <v>46025</v>
      </c>
      <c r="D651" t="inlineStr">
        <is>
          <t>JÄMTLANDS LÄN</t>
        </is>
      </c>
      <c r="E651" t="inlineStr">
        <is>
          <t>ÖSTERSUND</t>
        </is>
      </c>
      <c r="G651" t="n">
        <v>2.6</v>
      </c>
      <c r="H651" t="n">
        <v>0</v>
      </c>
      <c r="I651" t="n">
        <v>0</v>
      </c>
      <c r="J651" t="n">
        <v>0</v>
      </c>
      <c r="K651" t="n">
        <v>0</v>
      </c>
      <c r="L651" t="n">
        <v>0</v>
      </c>
      <c r="M651" t="n">
        <v>0</v>
      </c>
      <c r="N651" t="n">
        <v>0</v>
      </c>
      <c r="O651" t="n">
        <v>0</v>
      </c>
      <c r="P651" t="n">
        <v>0</v>
      </c>
      <c r="Q651" t="n">
        <v>0</v>
      </c>
      <c r="R651" s="2" t="inlineStr"/>
    </row>
    <row r="652" ht="15" customHeight="1">
      <c r="A652" t="inlineStr">
        <is>
          <t>A 47804-2024</t>
        </is>
      </c>
      <c r="B652" s="1" t="n">
        <v>45588.61498842593</v>
      </c>
      <c r="C652" s="1" t="n">
        <v>46025</v>
      </c>
      <c r="D652" t="inlineStr">
        <is>
          <t>JÄMTLANDS LÄN</t>
        </is>
      </c>
      <c r="E652" t="inlineStr">
        <is>
          <t>ÖSTERSUND</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10306-2023</t>
        </is>
      </c>
      <c r="B653" s="1" t="n">
        <v>44986.94196759259</v>
      </c>
      <c r="C653" s="1" t="n">
        <v>46025</v>
      </c>
      <c r="D653" t="inlineStr">
        <is>
          <t>JÄMTLANDS LÄN</t>
        </is>
      </c>
      <c r="E653" t="inlineStr">
        <is>
          <t>ÖSTERSUND</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8261-2025</t>
        </is>
      </c>
      <c r="B654" s="1" t="n">
        <v>45708.50256944444</v>
      </c>
      <c r="C654" s="1" t="n">
        <v>46025</v>
      </c>
      <c r="D654" t="inlineStr">
        <is>
          <t>JÄMTLANDS LÄN</t>
        </is>
      </c>
      <c r="E654" t="inlineStr">
        <is>
          <t>ÖSTERSUND</t>
        </is>
      </c>
      <c r="G654" t="n">
        <v>5.4</v>
      </c>
      <c r="H654" t="n">
        <v>0</v>
      </c>
      <c r="I654" t="n">
        <v>0</v>
      </c>
      <c r="J654" t="n">
        <v>0</v>
      </c>
      <c r="K654" t="n">
        <v>0</v>
      </c>
      <c r="L654" t="n">
        <v>0</v>
      </c>
      <c r="M654" t="n">
        <v>0</v>
      </c>
      <c r="N654" t="n">
        <v>0</v>
      </c>
      <c r="O654" t="n">
        <v>0</v>
      </c>
      <c r="P654" t="n">
        <v>0</v>
      </c>
      <c r="Q654" t="n">
        <v>0</v>
      </c>
      <c r="R654" s="2" t="inlineStr"/>
    </row>
    <row r="655" ht="15" customHeight="1">
      <c r="A655" t="inlineStr">
        <is>
          <t>A 12352-2025</t>
        </is>
      </c>
      <c r="B655" s="1" t="n">
        <v>45730.36263888889</v>
      </c>
      <c r="C655" s="1" t="n">
        <v>46025</v>
      </c>
      <c r="D655" t="inlineStr">
        <is>
          <t>JÄMTLANDS LÄN</t>
        </is>
      </c>
      <c r="E655" t="inlineStr">
        <is>
          <t>ÖSTERSUND</t>
        </is>
      </c>
      <c r="G655" t="n">
        <v>7.8</v>
      </c>
      <c r="H655" t="n">
        <v>0</v>
      </c>
      <c r="I655" t="n">
        <v>0</v>
      </c>
      <c r="J655" t="n">
        <v>0</v>
      </c>
      <c r="K655" t="n">
        <v>0</v>
      </c>
      <c r="L655" t="n">
        <v>0</v>
      </c>
      <c r="M655" t="n">
        <v>0</v>
      </c>
      <c r="N655" t="n">
        <v>0</v>
      </c>
      <c r="O655" t="n">
        <v>0</v>
      </c>
      <c r="P655" t="n">
        <v>0</v>
      </c>
      <c r="Q655" t="n">
        <v>0</v>
      </c>
      <c r="R655" s="2" t="inlineStr"/>
    </row>
    <row r="656" ht="15" customHeight="1">
      <c r="A656" t="inlineStr">
        <is>
          <t>A 296-2023</t>
        </is>
      </c>
      <c r="B656" s="1" t="n">
        <v>44922</v>
      </c>
      <c r="C656" s="1" t="n">
        <v>46025</v>
      </c>
      <c r="D656" t="inlineStr">
        <is>
          <t>JÄMTLANDS LÄN</t>
        </is>
      </c>
      <c r="E656" t="inlineStr">
        <is>
          <t>ÖSTERSUND</t>
        </is>
      </c>
      <c r="G656" t="n">
        <v>0.8</v>
      </c>
      <c r="H656" t="n">
        <v>0</v>
      </c>
      <c r="I656" t="n">
        <v>0</v>
      </c>
      <c r="J656" t="n">
        <v>0</v>
      </c>
      <c r="K656" t="n">
        <v>0</v>
      </c>
      <c r="L656" t="n">
        <v>0</v>
      </c>
      <c r="M656" t="n">
        <v>0</v>
      </c>
      <c r="N656" t="n">
        <v>0</v>
      </c>
      <c r="O656" t="n">
        <v>0</v>
      </c>
      <c r="P656" t="n">
        <v>0</v>
      </c>
      <c r="Q656" t="n">
        <v>0</v>
      </c>
      <c r="R656" s="2" t="inlineStr"/>
    </row>
    <row r="657" ht="15" customHeight="1">
      <c r="A657" t="inlineStr">
        <is>
          <t>A 5553-2025</t>
        </is>
      </c>
      <c r="B657" s="1" t="n">
        <v>45693</v>
      </c>
      <c r="C657" s="1" t="n">
        <v>46025</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64314-2023</t>
        </is>
      </c>
      <c r="B658" s="1" t="n">
        <v>45280</v>
      </c>
      <c r="C658" s="1" t="n">
        <v>46025</v>
      </c>
      <c r="D658" t="inlineStr">
        <is>
          <t>JÄMTLANDS LÄN</t>
        </is>
      </c>
      <c r="E658" t="inlineStr">
        <is>
          <t>ÖSTERSUND</t>
        </is>
      </c>
      <c r="G658" t="n">
        <v>0.6</v>
      </c>
      <c r="H658" t="n">
        <v>0</v>
      </c>
      <c r="I658" t="n">
        <v>0</v>
      </c>
      <c r="J658" t="n">
        <v>0</v>
      </c>
      <c r="K658" t="n">
        <v>0</v>
      </c>
      <c r="L658" t="n">
        <v>0</v>
      </c>
      <c r="M658" t="n">
        <v>0</v>
      </c>
      <c r="N658" t="n">
        <v>0</v>
      </c>
      <c r="O658" t="n">
        <v>0</v>
      </c>
      <c r="P658" t="n">
        <v>0</v>
      </c>
      <c r="Q658" t="n">
        <v>0</v>
      </c>
      <c r="R658" s="2" t="inlineStr"/>
    </row>
    <row r="659" ht="15" customHeight="1">
      <c r="A659" t="inlineStr">
        <is>
          <t>A 13655-2025</t>
        </is>
      </c>
      <c r="B659" s="1" t="n">
        <v>45736.71956018519</v>
      </c>
      <c r="C659" s="1" t="n">
        <v>46025</v>
      </c>
      <c r="D659" t="inlineStr">
        <is>
          <t>JÄMTLANDS LÄN</t>
        </is>
      </c>
      <c r="E659" t="inlineStr">
        <is>
          <t>ÖSTERSUND</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32998-2021</t>
        </is>
      </c>
      <c r="B660" s="1" t="n">
        <v>44375</v>
      </c>
      <c r="C660" s="1" t="n">
        <v>46025</v>
      </c>
      <c r="D660" t="inlineStr">
        <is>
          <t>JÄMTLANDS LÄN</t>
        </is>
      </c>
      <c r="E660" t="inlineStr">
        <is>
          <t>ÖSTERSUND</t>
        </is>
      </c>
      <c r="G660" t="n">
        <v>0.1</v>
      </c>
      <c r="H660" t="n">
        <v>0</v>
      </c>
      <c r="I660" t="n">
        <v>0</v>
      </c>
      <c r="J660" t="n">
        <v>0</v>
      </c>
      <c r="K660" t="n">
        <v>0</v>
      </c>
      <c r="L660" t="n">
        <v>0</v>
      </c>
      <c r="M660" t="n">
        <v>0</v>
      </c>
      <c r="N660" t="n">
        <v>0</v>
      </c>
      <c r="O660" t="n">
        <v>0</v>
      </c>
      <c r="P660" t="n">
        <v>0</v>
      </c>
      <c r="Q660" t="n">
        <v>0</v>
      </c>
      <c r="R660" s="2" t="inlineStr"/>
    </row>
    <row r="661" ht="15" customHeight="1">
      <c r="A661" t="inlineStr">
        <is>
          <t>A 60575-2022</t>
        </is>
      </c>
      <c r="B661" s="1" t="n">
        <v>44911.5662037037</v>
      </c>
      <c r="C661" s="1" t="n">
        <v>46025</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1211-2025</t>
        </is>
      </c>
      <c r="B662" s="1" t="n">
        <v>45667.40662037037</v>
      </c>
      <c r="C662" s="1" t="n">
        <v>46025</v>
      </c>
      <c r="D662" t="inlineStr">
        <is>
          <t>JÄMTLANDS LÄN</t>
        </is>
      </c>
      <c r="E662" t="inlineStr">
        <is>
          <t>ÖSTERSUND</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37597-2023</t>
        </is>
      </c>
      <c r="B663" s="1" t="n">
        <v>45159.42180555555</v>
      </c>
      <c r="C663" s="1" t="n">
        <v>46025</v>
      </c>
      <c r="D663" t="inlineStr">
        <is>
          <t>JÄMTLANDS LÄN</t>
        </is>
      </c>
      <c r="E663" t="inlineStr">
        <is>
          <t>ÖSTERSUND</t>
        </is>
      </c>
      <c r="G663" t="n">
        <v>4.7</v>
      </c>
      <c r="H663" t="n">
        <v>0</v>
      </c>
      <c r="I663" t="n">
        <v>0</v>
      </c>
      <c r="J663" t="n">
        <v>0</v>
      </c>
      <c r="K663" t="n">
        <v>0</v>
      </c>
      <c r="L663" t="n">
        <v>0</v>
      </c>
      <c r="M663" t="n">
        <v>0</v>
      </c>
      <c r="N663" t="n">
        <v>0</v>
      </c>
      <c r="O663" t="n">
        <v>0</v>
      </c>
      <c r="P663" t="n">
        <v>0</v>
      </c>
      <c r="Q663" t="n">
        <v>0</v>
      </c>
      <c r="R663" s="2" t="inlineStr"/>
    </row>
    <row r="664" ht="15" customHeight="1">
      <c r="A664" t="inlineStr">
        <is>
          <t>A 3997-2025</t>
        </is>
      </c>
      <c r="B664" s="1" t="n">
        <v>45684.56725694444</v>
      </c>
      <c r="C664" s="1" t="n">
        <v>46025</v>
      </c>
      <c r="D664" t="inlineStr">
        <is>
          <t>JÄMTLANDS LÄN</t>
        </is>
      </c>
      <c r="E664" t="inlineStr">
        <is>
          <t>ÖSTERSUND</t>
        </is>
      </c>
      <c r="G664" t="n">
        <v>1.9</v>
      </c>
      <c r="H664" t="n">
        <v>0</v>
      </c>
      <c r="I664" t="n">
        <v>0</v>
      </c>
      <c r="J664" t="n">
        <v>0</v>
      </c>
      <c r="K664" t="n">
        <v>0</v>
      </c>
      <c r="L664" t="n">
        <v>0</v>
      </c>
      <c r="M664" t="n">
        <v>0</v>
      </c>
      <c r="N664" t="n">
        <v>0</v>
      </c>
      <c r="O664" t="n">
        <v>0</v>
      </c>
      <c r="P664" t="n">
        <v>0</v>
      </c>
      <c r="Q664" t="n">
        <v>0</v>
      </c>
      <c r="R664" s="2" t="inlineStr"/>
    </row>
    <row r="665" ht="15" customHeight="1">
      <c r="A665" t="inlineStr">
        <is>
          <t>A 54587-2024</t>
        </is>
      </c>
      <c r="B665" s="1" t="n">
        <v>45617.65800925926</v>
      </c>
      <c r="C665" s="1" t="n">
        <v>46025</v>
      </c>
      <c r="D665" t="inlineStr">
        <is>
          <t>JÄMTLANDS LÄN</t>
        </is>
      </c>
      <c r="E665" t="inlineStr">
        <is>
          <t>ÖSTERSUND</t>
        </is>
      </c>
      <c r="G665" t="n">
        <v>14</v>
      </c>
      <c r="H665" t="n">
        <v>0</v>
      </c>
      <c r="I665" t="n">
        <v>0</v>
      </c>
      <c r="J665" t="n">
        <v>0</v>
      </c>
      <c r="K665" t="n">
        <v>0</v>
      </c>
      <c r="L665" t="n">
        <v>0</v>
      </c>
      <c r="M665" t="n">
        <v>0</v>
      </c>
      <c r="N665" t="n">
        <v>0</v>
      </c>
      <c r="O665" t="n">
        <v>0</v>
      </c>
      <c r="P665" t="n">
        <v>0</v>
      </c>
      <c r="Q665" t="n">
        <v>0</v>
      </c>
      <c r="R665" s="2" t="inlineStr"/>
    </row>
    <row r="666" ht="15" customHeight="1">
      <c r="A666" t="inlineStr">
        <is>
          <t>A 61506-2023</t>
        </is>
      </c>
      <c r="B666" s="1" t="n">
        <v>45264</v>
      </c>
      <c r="C666" s="1" t="n">
        <v>46025</v>
      </c>
      <c r="D666" t="inlineStr">
        <is>
          <t>JÄMTLANDS LÄN</t>
        </is>
      </c>
      <c r="E666" t="inlineStr">
        <is>
          <t>ÖSTERSUND</t>
        </is>
      </c>
      <c r="G666" t="n">
        <v>3</v>
      </c>
      <c r="H666" t="n">
        <v>0</v>
      </c>
      <c r="I666" t="n">
        <v>0</v>
      </c>
      <c r="J666" t="n">
        <v>0</v>
      </c>
      <c r="K666" t="n">
        <v>0</v>
      </c>
      <c r="L666" t="n">
        <v>0</v>
      </c>
      <c r="M666" t="n">
        <v>0</v>
      </c>
      <c r="N666" t="n">
        <v>0</v>
      </c>
      <c r="O666" t="n">
        <v>0</v>
      </c>
      <c r="P666" t="n">
        <v>0</v>
      </c>
      <c r="Q666" t="n">
        <v>0</v>
      </c>
      <c r="R666" s="2" t="inlineStr"/>
    </row>
    <row r="667" ht="15" customHeight="1">
      <c r="A667" t="inlineStr">
        <is>
          <t>A 16336-2025</t>
        </is>
      </c>
      <c r="B667" s="1" t="n">
        <v>45751.36519675926</v>
      </c>
      <c r="C667" s="1" t="n">
        <v>46025</v>
      </c>
      <c r="D667" t="inlineStr">
        <is>
          <t>JÄMTLANDS LÄN</t>
        </is>
      </c>
      <c r="E667" t="inlineStr">
        <is>
          <t>ÖSTERSUND</t>
        </is>
      </c>
      <c r="G667" t="n">
        <v>0.9</v>
      </c>
      <c r="H667" t="n">
        <v>0</v>
      </c>
      <c r="I667" t="n">
        <v>0</v>
      </c>
      <c r="J667" t="n">
        <v>0</v>
      </c>
      <c r="K667" t="n">
        <v>0</v>
      </c>
      <c r="L667" t="n">
        <v>0</v>
      </c>
      <c r="M667" t="n">
        <v>0</v>
      </c>
      <c r="N667" t="n">
        <v>0</v>
      </c>
      <c r="O667" t="n">
        <v>0</v>
      </c>
      <c r="P667" t="n">
        <v>0</v>
      </c>
      <c r="Q667" t="n">
        <v>0</v>
      </c>
      <c r="R667" s="2" t="inlineStr"/>
    </row>
    <row r="668" ht="15" customHeight="1">
      <c r="A668" t="inlineStr">
        <is>
          <t>A 207-2025</t>
        </is>
      </c>
      <c r="B668" s="1" t="n">
        <v>45660.32672453704</v>
      </c>
      <c r="C668" s="1" t="n">
        <v>46025</v>
      </c>
      <c r="D668" t="inlineStr">
        <is>
          <t>JÄMTLANDS LÄN</t>
        </is>
      </c>
      <c r="E668" t="inlineStr">
        <is>
          <t>ÖSTERSUND</t>
        </is>
      </c>
      <c r="G668" t="n">
        <v>4</v>
      </c>
      <c r="H668" t="n">
        <v>0</v>
      </c>
      <c r="I668" t="n">
        <v>0</v>
      </c>
      <c r="J668" t="n">
        <v>0</v>
      </c>
      <c r="K668" t="n">
        <v>0</v>
      </c>
      <c r="L668" t="n">
        <v>0</v>
      </c>
      <c r="M668" t="n">
        <v>0</v>
      </c>
      <c r="N668" t="n">
        <v>0</v>
      </c>
      <c r="O668" t="n">
        <v>0</v>
      </c>
      <c r="P668" t="n">
        <v>0</v>
      </c>
      <c r="Q668" t="n">
        <v>0</v>
      </c>
      <c r="R668" s="2" t="inlineStr"/>
    </row>
    <row r="669" ht="15" customHeight="1">
      <c r="A669" t="inlineStr">
        <is>
          <t>A 61332-2024</t>
        </is>
      </c>
      <c r="B669" s="1" t="n">
        <v>45646.35685185185</v>
      </c>
      <c r="C669" s="1" t="n">
        <v>46025</v>
      </c>
      <c r="D669" t="inlineStr">
        <is>
          <t>JÄMTLANDS LÄN</t>
        </is>
      </c>
      <c r="E669" t="inlineStr">
        <is>
          <t>ÖSTERSUND</t>
        </is>
      </c>
      <c r="G669" t="n">
        <v>3.2</v>
      </c>
      <c r="H669" t="n">
        <v>0</v>
      </c>
      <c r="I669" t="n">
        <v>0</v>
      </c>
      <c r="J669" t="n">
        <v>0</v>
      </c>
      <c r="K669" t="n">
        <v>0</v>
      </c>
      <c r="L669" t="n">
        <v>0</v>
      </c>
      <c r="M669" t="n">
        <v>0</v>
      </c>
      <c r="N669" t="n">
        <v>0</v>
      </c>
      <c r="O669" t="n">
        <v>0</v>
      </c>
      <c r="P669" t="n">
        <v>0</v>
      </c>
      <c r="Q669" t="n">
        <v>0</v>
      </c>
      <c r="R669" s="2" t="inlineStr"/>
    </row>
    <row r="670" ht="15" customHeight="1">
      <c r="A670" t="inlineStr">
        <is>
          <t>A 17709-2024</t>
        </is>
      </c>
      <c r="B670" s="1" t="n">
        <v>45418.4843287037</v>
      </c>
      <c r="C670" s="1" t="n">
        <v>46025</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21060-2025</t>
        </is>
      </c>
      <c r="B671" s="1" t="n">
        <v>45777.58025462963</v>
      </c>
      <c r="C671" s="1" t="n">
        <v>46025</v>
      </c>
      <c r="D671" t="inlineStr">
        <is>
          <t>JÄMTLANDS LÄN</t>
        </is>
      </c>
      <c r="E671" t="inlineStr">
        <is>
          <t>ÖSTERSUND</t>
        </is>
      </c>
      <c r="G671" t="n">
        <v>2.9</v>
      </c>
      <c r="H671" t="n">
        <v>0</v>
      </c>
      <c r="I671" t="n">
        <v>0</v>
      </c>
      <c r="J671" t="n">
        <v>0</v>
      </c>
      <c r="K671" t="n">
        <v>0</v>
      </c>
      <c r="L671" t="n">
        <v>0</v>
      </c>
      <c r="M671" t="n">
        <v>0</v>
      </c>
      <c r="N671" t="n">
        <v>0</v>
      </c>
      <c r="O671" t="n">
        <v>0</v>
      </c>
      <c r="P671" t="n">
        <v>0</v>
      </c>
      <c r="Q671" t="n">
        <v>0</v>
      </c>
      <c r="R671" s="2" t="inlineStr"/>
    </row>
    <row r="672" ht="15" customHeight="1">
      <c r="A672" t="inlineStr">
        <is>
          <t>A 21094-2025</t>
        </is>
      </c>
      <c r="B672" s="1" t="n">
        <v>45777.62665509259</v>
      </c>
      <c r="C672" s="1" t="n">
        <v>46025</v>
      </c>
      <c r="D672" t="inlineStr">
        <is>
          <t>JÄMTLANDS LÄN</t>
        </is>
      </c>
      <c r="E672" t="inlineStr">
        <is>
          <t>ÖSTERSUND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21237-2025</t>
        </is>
      </c>
      <c r="B673" s="1" t="n">
        <v>45779</v>
      </c>
      <c r="C673" s="1" t="n">
        <v>46025</v>
      </c>
      <c r="D673" t="inlineStr">
        <is>
          <t>JÄMTLANDS LÄN</t>
        </is>
      </c>
      <c r="E673" t="inlineStr">
        <is>
          <t>ÖSTERSUND</t>
        </is>
      </c>
      <c r="G673" t="n">
        <v>0.4</v>
      </c>
      <c r="H673" t="n">
        <v>0</v>
      </c>
      <c r="I673" t="n">
        <v>0</v>
      </c>
      <c r="J673" t="n">
        <v>0</v>
      </c>
      <c r="K673" t="n">
        <v>0</v>
      </c>
      <c r="L673" t="n">
        <v>0</v>
      </c>
      <c r="M673" t="n">
        <v>0</v>
      </c>
      <c r="N673" t="n">
        <v>0</v>
      </c>
      <c r="O673" t="n">
        <v>0</v>
      </c>
      <c r="P673" t="n">
        <v>0</v>
      </c>
      <c r="Q673" t="n">
        <v>0</v>
      </c>
      <c r="R673" s="2" t="inlineStr"/>
    </row>
    <row r="674" ht="15" customHeight="1">
      <c r="A674" t="inlineStr">
        <is>
          <t>A 14848-2025</t>
        </is>
      </c>
      <c r="B674" s="1" t="n">
        <v>45743.39528935185</v>
      </c>
      <c r="C674" s="1" t="n">
        <v>46025</v>
      </c>
      <c r="D674" t="inlineStr">
        <is>
          <t>JÄMTLANDS LÄN</t>
        </is>
      </c>
      <c r="E674" t="inlineStr">
        <is>
          <t>ÖSTERSUND</t>
        </is>
      </c>
      <c r="G674" t="n">
        <v>12.1</v>
      </c>
      <c r="H674" t="n">
        <v>0</v>
      </c>
      <c r="I674" t="n">
        <v>0</v>
      </c>
      <c r="J674" t="n">
        <v>0</v>
      </c>
      <c r="K674" t="n">
        <v>0</v>
      </c>
      <c r="L674" t="n">
        <v>0</v>
      </c>
      <c r="M674" t="n">
        <v>0</v>
      </c>
      <c r="N674" t="n">
        <v>0</v>
      </c>
      <c r="O674" t="n">
        <v>0</v>
      </c>
      <c r="P674" t="n">
        <v>0</v>
      </c>
      <c r="Q674" t="n">
        <v>0</v>
      </c>
      <c r="R674" s="2" t="inlineStr"/>
    </row>
    <row r="675" ht="15" customHeight="1">
      <c r="A675" t="inlineStr">
        <is>
          <t>A 16812-2025</t>
        </is>
      </c>
      <c r="B675" s="1" t="n">
        <v>45754</v>
      </c>
      <c r="C675" s="1" t="n">
        <v>46025</v>
      </c>
      <c r="D675" t="inlineStr">
        <is>
          <t>JÄMTLANDS LÄN</t>
        </is>
      </c>
      <c r="E675" t="inlineStr">
        <is>
          <t>ÖSTERSUND</t>
        </is>
      </c>
      <c r="F675" t="inlineStr">
        <is>
          <t>Övriga statliga verk och myndigheter</t>
        </is>
      </c>
      <c r="G675" t="n">
        <v>3.7</v>
      </c>
      <c r="H675" t="n">
        <v>0</v>
      </c>
      <c r="I675" t="n">
        <v>0</v>
      </c>
      <c r="J675" t="n">
        <v>0</v>
      </c>
      <c r="K675" t="n">
        <v>0</v>
      </c>
      <c r="L675" t="n">
        <v>0</v>
      </c>
      <c r="M675" t="n">
        <v>0</v>
      </c>
      <c r="N675" t="n">
        <v>0</v>
      </c>
      <c r="O675" t="n">
        <v>0</v>
      </c>
      <c r="P675" t="n">
        <v>0</v>
      </c>
      <c r="Q675" t="n">
        <v>0</v>
      </c>
      <c r="R675" s="2" t="inlineStr"/>
    </row>
    <row r="676" ht="15" customHeight="1">
      <c r="A676" t="inlineStr">
        <is>
          <t>A 16725-2025</t>
        </is>
      </c>
      <c r="B676" s="1" t="n">
        <v>45754</v>
      </c>
      <c r="C676" s="1" t="n">
        <v>46025</v>
      </c>
      <c r="D676" t="inlineStr">
        <is>
          <t>JÄMTLANDS LÄN</t>
        </is>
      </c>
      <c r="E676" t="inlineStr">
        <is>
          <t>ÖSTERSUND</t>
        </is>
      </c>
      <c r="F676" t="inlineStr">
        <is>
          <t>Övriga statliga verk och myndigheter</t>
        </is>
      </c>
      <c r="G676" t="n">
        <v>3.7</v>
      </c>
      <c r="H676" t="n">
        <v>0</v>
      </c>
      <c r="I676" t="n">
        <v>0</v>
      </c>
      <c r="J676" t="n">
        <v>0</v>
      </c>
      <c r="K676" t="n">
        <v>0</v>
      </c>
      <c r="L676" t="n">
        <v>0</v>
      </c>
      <c r="M676" t="n">
        <v>0</v>
      </c>
      <c r="N676" t="n">
        <v>0</v>
      </c>
      <c r="O676" t="n">
        <v>0</v>
      </c>
      <c r="P676" t="n">
        <v>0</v>
      </c>
      <c r="Q676" t="n">
        <v>0</v>
      </c>
      <c r="R676" s="2" t="inlineStr"/>
    </row>
    <row r="677" ht="15" customHeight="1">
      <c r="A677" t="inlineStr">
        <is>
          <t>A 4480-2025</t>
        </is>
      </c>
      <c r="B677" s="1" t="n">
        <v>45686.64175925926</v>
      </c>
      <c r="C677" s="1" t="n">
        <v>46025</v>
      </c>
      <c r="D677" t="inlineStr">
        <is>
          <t>JÄMTLANDS LÄN</t>
        </is>
      </c>
      <c r="E677" t="inlineStr">
        <is>
          <t>ÖSTERSUND</t>
        </is>
      </c>
      <c r="G677" t="n">
        <v>27.7</v>
      </c>
      <c r="H677" t="n">
        <v>0</v>
      </c>
      <c r="I677" t="n">
        <v>0</v>
      </c>
      <c r="J677" t="n">
        <v>0</v>
      </c>
      <c r="K677" t="n">
        <v>0</v>
      </c>
      <c r="L677" t="n">
        <v>0</v>
      </c>
      <c r="M677" t="n">
        <v>0</v>
      </c>
      <c r="N677" t="n">
        <v>0</v>
      </c>
      <c r="O677" t="n">
        <v>0</v>
      </c>
      <c r="P677" t="n">
        <v>0</v>
      </c>
      <c r="Q677" t="n">
        <v>0</v>
      </c>
      <c r="R677" s="2" t="inlineStr"/>
    </row>
    <row r="678" ht="15" customHeight="1">
      <c r="A678" t="inlineStr">
        <is>
          <t>A 22612-2025</t>
        </is>
      </c>
      <c r="B678" s="1" t="n">
        <v>45789.42538194444</v>
      </c>
      <c r="C678" s="1" t="n">
        <v>46025</v>
      </c>
      <c r="D678" t="inlineStr">
        <is>
          <t>JÄMTLANDS LÄN</t>
        </is>
      </c>
      <c r="E678" t="inlineStr">
        <is>
          <t>ÖSTERSUND</t>
        </is>
      </c>
      <c r="G678" t="n">
        <v>0.7</v>
      </c>
      <c r="H678" t="n">
        <v>0</v>
      </c>
      <c r="I678" t="n">
        <v>0</v>
      </c>
      <c r="J678" t="n">
        <v>0</v>
      </c>
      <c r="K678" t="n">
        <v>0</v>
      </c>
      <c r="L678" t="n">
        <v>0</v>
      </c>
      <c r="M678" t="n">
        <v>0</v>
      </c>
      <c r="N678" t="n">
        <v>0</v>
      </c>
      <c r="O678" t="n">
        <v>0</v>
      </c>
      <c r="P678" t="n">
        <v>0</v>
      </c>
      <c r="Q678" t="n">
        <v>0</v>
      </c>
      <c r="R678" s="2" t="inlineStr"/>
    </row>
    <row r="679" ht="15" customHeight="1">
      <c r="A679" t="inlineStr">
        <is>
          <t>A 22384-2025</t>
        </is>
      </c>
      <c r="B679" s="1" t="n">
        <v>45786</v>
      </c>
      <c r="C679" s="1" t="n">
        <v>46025</v>
      </c>
      <c r="D679" t="inlineStr">
        <is>
          <t>JÄMTLANDS LÄN</t>
        </is>
      </c>
      <c r="E679" t="inlineStr">
        <is>
          <t>ÖSTERSUND</t>
        </is>
      </c>
      <c r="G679" t="n">
        <v>1.4</v>
      </c>
      <c r="H679" t="n">
        <v>0</v>
      </c>
      <c r="I679" t="n">
        <v>0</v>
      </c>
      <c r="J679" t="n">
        <v>0</v>
      </c>
      <c r="K679" t="n">
        <v>0</v>
      </c>
      <c r="L679" t="n">
        <v>0</v>
      </c>
      <c r="M679" t="n">
        <v>0</v>
      </c>
      <c r="N679" t="n">
        <v>0</v>
      </c>
      <c r="O679" t="n">
        <v>0</v>
      </c>
      <c r="P679" t="n">
        <v>0</v>
      </c>
      <c r="Q679" t="n">
        <v>0</v>
      </c>
      <c r="R679" s="2" t="inlineStr"/>
    </row>
    <row r="680" ht="15" customHeight="1">
      <c r="A680" t="inlineStr">
        <is>
          <t>A 17948-2025</t>
        </is>
      </c>
      <c r="B680" s="1" t="n">
        <v>45760.66995370371</v>
      </c>
      <c r="C680" s="1" t="n">
        <v>46025</v>
      </c>
      <c r="D680" t="inlineStr">
        <is>
          <t>JÄMTLANDS LÄN</t>
        </is>
      </c>
      <c r="E680" t="inlineStr">
        <is>
          <t>ÖSTERSUND</t>
        </is>
      </c>
      <c r="G680" t="n">
        <v>3.9</v>
      </c>
      <c r="H680" t="n">
        <v>0</v>
      </c>
      <c r="I680" t="n">
        <v>0</v>
      </c>
      <c r="J680" t="n">
        <v>0</v>
      </c>
      <c r="K680" t="n">
        <v>0</v>
      </c>
      <c r="L680" t="n">
        <v>0</v>
      </c>
      <c r="M680" t="n">
        <v>0</v>
      </c>
      <c r="N680" t="n">
        <v>0</v>
      </c>
      <c r="O680" t="n">
        <v>0</v>
      </c>
      <c r="P680" t="n">
        <v>0</v>
      </c>
      <c r="Q680" t="n">
        <v>0</v>
      </c>
      <c r="R680" s="2" t="inlineStr"/>
    </row>
    <row r="681" ht="15" customHeight="1">
      <c r="A681" t="inlineStr">
        <is>
          <t>A 4520-2025</t>
        </is>
      </c>
      <c r="B681" s="1" t="n">
        <v>45686.92384259259</v>
      </c>
      <c r="C681" s="1" t="n">
        <v>46025</v>
      </c>
      <c r="D681" t="inlineStr">
        <is>
          <t>JÄMTLANDS LÄN</t>
        </is>
      </c>
      <c r="E681" t="inlineStr">
        <is>
          <t>ÖSTERSUND</t>
        </is>
      </c>
      <c r="G681" t="n">
        <v>15.2</v>
      </c>
      <c r="H681" t="n">
        <v>0</v>
      </c>
      <c r="I681" t="n">
        <v>0</v>
      </c>
      <c r="J681" t="n">
        <v>0</v>
      </c>
      <c r="K681" t="n">
        <v>0</v>
      </c>
      <c r="L681" t="n">
        <v>0</v>
      </c>
      <c r="M681" t="n">
        <v>0</v>
      </c>
      <c r="N681" t="n">
        <v>0</v>
      </c>
      <c r="O681" t="n">
        <v>0</v>
      </c>
      <c r="P681" t="n">
        <v>0</v>
      </c>
      <c r="Q681" t="n">
        <v>0</v>
      </c>
      <c r="R681" s="2" t="inlineStr"/>
    </row>
    <row r="682" ht="15" customHeight="1">
      <c r="A682" t="inlineStr">
        <is>
          <t>A 4523-2025</t>
        </is>
      </c>
      <c r="B682" s="1" t="n">
        <v>45686.92864583333</v>
      </c>
      <c r="C682" s="1" t="n">
        <v>46025</v>
      </c>
      <c r="D682" t="inlineStr">
        <is>
          <t>JÄMTLANDS LÄN</t>
        </is>
      </c>
      <c r="E682" t="inlineStr">
        <is>
          <t>ÖSTERSUND</t>
        </is>
      </c>
      <c r="G682" t="n">
        <v>15.2</v>
      </c>
      <c r="H682" t="n">
        <v>0</v>
      </c>
      <c r="I682" t="n">
        <v>0</v>
      </c>
      <c r="J682" t="n">
        <v>0</v>
      </c>
      <c r="K682" t="n">
        <v>0</v>
      </c>
      <c r="L682" t="n">
        <v>0</v>
      </c>
      <c r="M682" t="n">
        <v>0</v>
      </c>
      <c r="N682" t="n">
        <v>0</v>
      </c>
      <c r="O682" t="n">
        <v>0</v>
      </c>
      <c r="P682" t="n">
        <v>0</v>
      </c>
      <c r="Q682" t="n">
        <v>0</v>
      </c>
      <c r="R682" s="2" t="inlineStr"/>
    </row>
    <row r="683" ht="15" customHeight="1">
      <c r="A683" t="inlineStr">
        <is>
          <t>A 22713-2025</t>
        </is>
      </c>
      <c r="B683" s="1" t="n">
        <v>45789.56414351852</v>
      </c>
      <c r="C683" s="1" t="n">
        <v>46025</v>
      </c>
      <c r="D683" t="inlineStr">
        <is>
          <t>JÄMTLANDS LÄN</t>
        </is>
      </c>
      <c r="E683" t="inlineStr">
        <is>
          <t>ÖSTERSUND</t>
        </is>
      </c>
      <c r="G683" t="n">
        <v>0.8</v>
      </c>
      <c r="H683" t="n">
        <v>0</v>
      </c>
      <c r="I683" t="n">
        <v>0</v>
      </c>
      <c r="J683" t="n">
        <v>0</v>
      </c>
      <c r="K683" t="n">
        <v>0</v>
      </c>
      <c r="L683" t="n">
        <v>0</v>
      </c>
      <c r="M683" t="n">
        <v>0</v>
      </c>
      <c r="N683" t="n">
        <v>0</v>
      </c>
      <c r="O683" t="n">
        <v>0</v>
      </c>
      <c r="P683" t="n">
        <v>0</v>
      </c>
      <c r="Q683" t="n">
        <v>0</v>
      </c>
      <c r="R683" s="2" t="inlineStr"/>
    </row>
    <row r="684" ht="15" customHeight="1">
      <c r="A684" t="inlineStr">
        <is>
          <t>A 22822-2025</t>
        </is>
      </c>
      <c r="B684" s="1" t="n">
        <v>45789</v>
      </c>
      <c r="C684" s="1" t="n">
        <v>46025</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22920-2025</t>
        </is>
      </c>
      <c r="B685" s="1" t="n">
        <v>45790.43905092592</v>
      </c>
      <c r="C685" s="1" t="n">
        <v>46025</v>
      </c>
      <c r="D685" t="inlineStr">
        <is>
          <t>JÄMTLANDS LÄN</t>
        </is>
      </c>
      <c r="E685" t="inlineStr">
        <is>
          <t>ÖSTERSUND</t>
        </is>
      </c>
      <c r="G685" t="n">
        <v>0.4</v>
      </c>
      <c r="H685" t="n">
        <v>0</v>
      </c>
      <c r="I685" t="n">
        <v>0</v>
      </c>
      <c r="J685" t="n">
        <v>0</v>
      </c>
      <c r="K685" t="n">
        <v>0</v>
      </c>
      <c r="L685" t="n">
        <v>0</v>
      </c>
      <c r="M685" t="n">
        <v>0</v>
      </c>
      <c r="N685" t="n">
        <v>0</v>
      </c>
      <c r="O685" t="n">
        <v>0</v>
      </c>
      <c r="P685" t="n">
        <v>0</v>
      </c>
      <c r="Q685" t="n">
        <v>0</v>
      </c>
      <c r="R685" s="2" t="inlineStr"/>
    </row>
    <row r="686" ht="15" customHeight="1">
      <c r="A686" t="inlineStr">
        <is>
          <t>A 23249-2025</t>
        </is>
      </c>
      <c r="B686" s="1" t="n">
        <v>45791</v>
      </c>
      <c r="C686" s="1" t="n">
        <v>46025</v>
      </c>
      <c r="D686" t="inlineStr">
        <is>
          <t>JÄMTLANDS LÄN</t>
        </is>
      </c>
      <c r="E686" t="inlineStr">
        <is>
          <t>ÖSTERSUND</t>
        </is>
      </c>
      <c r="G686" t="n">
        <v>10</v>
      </c>
      <c r="H686" t="n">
        <v>0</v>
      </c>
      <c r="I686" t="n">
        <v>0</v>
      </c>
      <c r="J686" t="n">
        <v>0</v>
      </c>
      <c r="K686" t="n">
        <v>0</v>
      </c>
      <c r="L686" t="n">
        <v>0</v>
      </c>
      <c r="M686" t="n">
        <v>0</v>
      </c>
      <c r="N686" t="n">
        <v>0</v>
      </c>
      <c r="O686" t="n">
        <v>0</v>
      </c>
      <c r="P686" t="n">
        <v>0</v>
      </c>
      <c r="Q686" t="n">
        <v>0</v>
      </c>
      <c r="R686" s="2" t="inlineStr"/>
    </row>
    <row r="687" ht="15" customHeight="1">
      <c r="A687" t="inlineStr">
        <is>
          <t>A 23100-2025</t>
        </is>
      </c>
      <c r="B687" s="1" t="n">
        <v>45791.35212962963</v>
      </c>
      <c r="C687" s="1" t="n">
        <v>46025</v>
      </c>
      <c r="D687" t="inlineStr">
        <is>
          <t>JÄMTLANDS LÄN</t>
        </is>
      </c>
      <c r="E687" t="inlineStr">
        <is>
          <t>ÖSTERSUND</t>
        </is>
      </c>
      <c r="G687" t="n">
        <v>4.5</v>
      </c>
      <c r="H687" t="n">
        <v>0</v>
      </c>
      <c r="I687" t="n">
        <v>0</v>
      </c>
      <c r="J687" t="n">
        <v>0</v>
      </c>
      <c r="K687" t="n">
        <v>0</v>
      </c>
      <c r="L687" t="n">
        <v>0</v>
      </c>
      <c r="M687" t="n">
        <v>0</v>
      </c>
      <c r="N687" t="n">
        <v>0</v>
      </c>
      <c r="O687" t="n">
        <v>0</v>
      </c>
      <c r="P687" t="n">
        <v>0</v>
      </c>
      <c r="Q687" t="n">
        <v>0</v>
      </c>
      <c r="R687" s="2" t="inlineStr"/>
    </row>
    <row r="688" ht="15" customHeight="1">
      <c r="A688" t="inlineStr">
        <is>
          <t>A 23078-2025</t>
        </is>
      </c>
      <c r="B688" s="1" t="n">
        <v>45791.27984953704</v>
      </c>
      <c r="C688" s="1" t="n">
        <v>46025</v>
      </c>
      <c r="D688" t="inlineStr">
        <is>
          <t>JÄMTLANDS LÄN</t>
        </is>
      </c>
      <c r="E688" t="inlineStr">
        <is>
          <t>ÖSTERSUND</t>
        </is>
      </c>
      <c r="G688" t="n">
        <v>2.8</v>
      </c>
      <c r="H688" t="n">
        <v>0</v>
      </c>
      <c r="I688" t="n">
        <v>0</v>
      </c>
      <c r="J688" t="n">
        <v>0</v>
      </c>
      <c r="K688" t="n">
        <v>0</v>
      </c>
      <c r="L688" t="n">
        <v>0</v>
      </c>
      <c r="M688" t="n">
        <v>0</v>
      </c>
      <c r="N688" t="n">
        <v>0</v>
      </c>
      <c r="O688" t="n">
        <v>0</v>
      </c>
      <c r="P688" t="n">
        <v>0</v>
      </c>
      <c r="Q688" t="n">
        <v>0</v>
      </c>
      <c r="R688" s="2" t="inlineStr"/>
    </row>
    <row r="689" ht="15" customHeight="1">
      <c r="A689" t="inlineStr">
        <is>
          <t>A 23110-2025</t>
        </is>
      </c>
      <c r="B689" s="1" t="n">
        <v>45791.36526620371</v>
      </c>
      <c r="C689" s="1" t="n">
        <v>46025</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7938-2025</t>
        </is>
      </c>
      <c r="B690" s="1" t="n">
        <v>45707</v>
      </c>
      <c r="C690" s="1" t="n">
        <v>46025</v>
      </c>
      <c r="D690" t="inlineStr">
        <is>
          <t>JÄMTLANDS LÄN</t>
        </is>
      </c>
      <c r="E690" t="inlineStr">
        <is>
          <t>ÖSTERSUND</t>
        </is>
      </c>
      <c r="G690" t="n">
        <v>3</v>
      </c>
      <c r="H690" t="n">
        <v>0</v>
      </c>
      <c r="I690" t="n">
        <v>0</v>
      </c>
      <c r="J690" t="n">
        <v>0</v>
      </c>
      <c r="K690" t="n">
        <v>0</v>
      </c>
      <c r="L690" t="n">
        <v>0</v>
      </c>
      <c r="M690" t="n">
        <v>0</v>
      </c>
      <c r="N690" t="n">
        <v>0</v>
      </c>
      <c r="O690" t="n">
        <v>0</v>
      </c>
      <c r="P690" t="n">
        <v>0</v>
      </c>
      <c r="Q690" t="n">
        <v>0</v>
      </c>
      <c r="R690" s="2" t="inlineStr"/>
    </row>
    <row r="691" ht="15" customHeight="1">
      <c r="A691" t="inlineStr">
        <is>
          <t>A 41780-2024</t>
        </is>
      </c>
      <c r="B691" s="1" t="n">
        <v>45561.34908564815</v>
      </c>
      <c r="C691" s="1" t="n">
        <v>46025</v>
      </c>
      <c r="D691" t="inlineStr">
        <is>
          <t>JÄMTLANDS LÄN</t>
        </is>
      </c>
      <c r="E691" t="inlineStr">
        <is>
          <t>ÖSTERSUND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23877-2025</t>
        </is>
      </c>
      <c r="B692" s="1" t="n">
        <v>45793.68469907407</v>
      </c>
      <c r="C692" s="1" t="n">
        <v>46025</v>
      </c>
      <c r="D692" t="inlineStr">
        <is>
          <t>JÄMTLANDS LÄN</t>
        </is>
      </c>
      <c r="E692" t="inlineStr">
        <is>
          <t>ÖSTERSUND</t>
        </is>
      </c>
      <c r="G692" t="n">
        <v>0.5</v>
      </c>
      <c r="H692" t="n">
        <v>0</v>
      </c>
      <c r="I692" t="n">
        <v>0</v>
      </c>
      <c r="J692" t="n">
        <v>0</v>
      </c>
      <c r="K692" t="n">
        <v>0</v>
      </c>
      <c r="L692" t="n">
        <v>0</v>
      </c>
      <c r="M692" t="n">
        <v>0</v>
      </c>
      <c r="N692" t="n">
        <v>0</v>
      </c>
      <c r="O692" t="n">
        <v>0</v>
      </c>
      <c r="P692" t="n">
        <v>0</v>
      </c>
      <c r="Q692" t="n">
        <v>0</v>
      </c>
      <c r="R692" s="2" t="inlineStr"/>
    </row>
    <row r="693" ht="15" customHeight="1">
      <c r="A693" t="inlineStr">
        <is>
          <t>A 24403-2025</t>
        </is>
      </c>
      <c r="B693" s="1" t="n">
        <v>45797.65025462963</v>
      </c>
      <c r="C693" s="1" t="n">
        <v>46025</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24523-2025</t>
        </is>
      </c>
      <c r="B694" s="1" t="n">
        <v>45798.42108796296</v>
      </c>
      <c r="C694" s="1" t="n">
        <v>46025</v>
      </c>
      <c r="D694" t="inlineStr">
        <is>
          <t>JÄMTLANDS LÄN</t>
        </is>
      </c>
      <c r="E694" t="inlineStr">
        <is>
          <t>ÖSTERSUND</t>
        </is>
      </c>
      <c r="G694" t="n">
        <v>13.7</v>
      </c>
      <c r="H694" t="n">
        <v>0</v>
      </c>
      <c r="I694" t="n">
        <v>0</v>
      </c>
      <c r="J694" t="n">
        <v>0</v>
      </c>
      <c r="K694" t="n">
        <v>0</v>
      </c>
      <c r="L694" t="n">
        <v>0</v>
      </c>
      <c r="M694" t="n">
        <v>0</v>
      </c>
      <c r="N694" t="n">
        <v>0</v>
      </c>
      <c r="O694" t="n">
        <v>0</v>
      </c>
      <c r="P694" t="n">
        <v>0</v>
      </c>
      <c r="Q694" t="n">
        <v>0</v>
      </c>
      <c r="R694" s="2" t="inlineStr"/>
    </row>
    <row r="695" ht="15" customHeight="1">
      <c r="A695" t="inlineStr">
        <is>
          <t>A 24568-2025</t>
        </is>
      </c>
      <c r="B695" s="1" t="n">
        <v>45798.46913194445</v>
      </c>
      <c r="C695" s="1" t="n">
        <v>46025</v>
      </c>
      <c r="D695" t="inlineStr">
        <is>
          <t>JÄMTLANDS LÄN</t>
        </is>
      </c>
      <c r="E695" t="inlineStr">
        <is>
          <t>ÖSTERSUND</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53176-2024</t>
        </is>
      </c>
      <c r="B696" s="1" t="n">
        <v>45611.66655092593</v>
      </c>
      <c r="C696" s="1" t="n">
        <v>46025</v>
      </c>
      <c r="D696" t="inlineStr">
        <is>
          <t>JÄMTLANDS LÄN</t>
        </is>
      </c>
      <c r="E696" t="inlineStr">
        <is>
          <t>ÖSTERSUND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24946-2025</t>
        </is>
      </c>
      <c r="B697" s="1" t="n">
        <v>45799.56515046296</v>
      </c>
      <c r="C697" s="1" t="n">
        <v>46025</v>
      </c>
      <c r="D697" t="inlineStr">
        <is>
          <t>JÄMTLANDS LÄN</t>
        </is>
      </c>
      <c r="E697" t="inlineStr">
        <is>
          <t>ÖSTERSUND</t>
        </is>
      </c>
      <c r="G697" t="n">
        <v>4.8</v>
      </c>
      <c r="H697" t="n">
        <v>0</v>
      </c>
      <c r="I697" t="n">
        <v>0</v>
      </c>
      <c r="J697" t="n">
        <v>0</v>
      </c>
      <c r="K697" t="n">
        <v>0</v>
      </c>
      <c r="L697" t="n">
        <v>0</v>
      </c>
      <c r="M697" t="n">
        <v>0</v>
      </c>
      <c r="N697" t="n">
        <v>0</v>
      </c>
      <c r="O697" t="n">
        <v>0</v>
      </c>
      <c r="P697" t="n">
        <v>0</v>
      </c>
      <c r="Q697" t="n">
        <v>0</v>
      </c>
      <c r="R697" s="2" t="inlineStr"/>
    </row>
    <row r="698" ht="15" customHeight="1">
      <c r="A698" t="inlineStr">
        <is>
          <t>A 25210-2025</t>
        </is>
      </c>
      <c r="B698" s="1" t="n">
        <v>45800.46960648148</v>
      </c>
      <c r="C698" s="1" t="n">
        <v>46025</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25058-2025</t>
        </is>
      </c>
      <c r="B699" s="1" t="n">
        <v>45799.68418981481</v>
      </c>
      <c r="C699" s="1" t="n">
        <v>46025</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25252-2025</t>
        </is>
      </c>
      <c r="B700" s="1" t="n">
        <v>45800.50355324074</v>
      </c>
      <c r="C700" s="1" t="n">
        <v>46025</v>
      </c>
      <c r="D700" t="inlineStr">
        <is>
          <t>JÄMTLANDS LÄN</t>
        </is>
      </c>
      <c r="E700" t="inlineStr">
        <is>
          <t>ÖSTERSUND</t>
        </is>
      </c>
      <c r="G700" t="n">
        <v>2.7</v>
      </c>
      <c r="H700" t="n">
        <v>0</v>
      </c>
      <c r="I700" t="n">
        <v>0</v>
      </c>
      <c r="J700" t="n">
        <v>0</v>
      </c>
      <c r="K700" t="n">
        <v>0</v>
      </c>
      <c r="L700" t="n">
        <v>0</v>
      </c>
      <c r="M700" t="n">
        <v>0</v>
      </c>
      <c r="N700" t="n">
        <v>0</v>
      </c>
      <c r="O700" t="n">
        <v>0</v>
      </c>
      <c r="P700" t="n">
        <v>0</v>
      </c>
      <c r="Q700" t="n">
        <v>0</v>
      </c>
      <c r="R700" s="2" t="inlineStr"/>
    </row>
    <row r="701" ht="15" customHeight="1">
      <c r="A701" t="inlineStr">
        <is>
          <t>A 25059-2025</t>
        </is>
      </c>
      <c r="B701" s="1" t="n">
        <v>45799.69116898148</v>
      </c>
      <c r="C701" s="1" t="n">
        <v>46025</v>
      </c>
      <c r="D701" t="inlineStr">
        <is>
          <t>JÄMTLANDS LÄN</t>
        </is>
      </c>
      <c r="E701" t="inlineStr">
        <is>
          <t>ÖSTERSUND</t>
        </is>
      </c>
      <c r="G701" t="n">
        <v>2.7</v>
      </c>
      <c r="H701" t="n">
        <v>0</v>
      </c>
      <c r="I701" t="n">
        <v>0</v>
      </c>
      <c r="J701" t="n">
        <v>0</v>
      </c>
      <c r="K701" t="n">
        <v>0</v>
      </c>
      <c r="L701" t="n">
        <v>0</v>
      </c>
      <c r="M701" t="n">
        <v>0</v>
      </c>
      <c r="N701" t="n">
        <v>0</v>
      </c>
      <c r="O701" t="n">
        <v>0</v>
      </c>
      <c r="P701" t="n">
        <v>0</v>
      </c>
      <c r="Q701" t="n">
        <v>0</v>
      </c>
      <c r="R701" s="2" t="inlineStr"/>
    </row>
    <row r="702" ht="15" customHeight="1">
      <c r="A702" t="inlineStr">
        <is>
          <t>A 25069-2025</t>
        </is>
      </c>
      <c r="B702" s="1" t="n">
        <v>45799.7372337963</v>
      </c>
      <c r="C702" s="1" t="n">
        <v>46025</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25572-2025</t>
        </is>
      </c>
      <c r="B703" s="1" t="n">
        <v>45803</v>
      </c>
      <c r="C703" s="1" t="n">
        <v>46025</v>
      </c>
      <c r="D703" t="inlineStr">
        <is>
          <t>JÄMTLANDS LÄN</t>
        </is>
      </c>
      <c r="E703" t="inlineStr">
        <is>
          <t>ÖSTERSUND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26144-2025</t>
        </is>
      </c>
      <c r="B704" s="1" t="n">
        <v>45805.42827546296</v>
      </c>
      <c r="C704" s="1" t="n">
        <v>46025</v>
      </c>
      <c r="D704" t="inlineStr">
        <is>
          <t>JÄMTLANDS LÄN</t>
        </is>
      </c>
      <c r="E704" t="inlineStr">
        <is>
          <t>ÖSTERSUND</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47357-2024</t>
        </is>
      </c>
      <c r="B705" s="1" t="n">
        <v>45587.42835648148</v>
      </c>
      <c r="C705" s="1" t="n">
        <v>46025</v>
      </c>
      <c r="D705" t="inlineStr">
        <is>
          <t>JÄMTLANDS LÄN</t>
        </is>
      </c>
      <c r="E705" t="inlineStr">
        <is>
          <t>ÖSTERSUND</t>
        </is>
      </c>
      <c r="G705" t="n">
        <v>2.4</v>
      </c>
      <c r="H705" t="n">
        <v>0</v>
      </c>
      <c r="I705" t="n">
        <v>0</v>
      </c>
      <c r="J705" t="n">
        <v>0</v>
      </c>
      <c r="K705" t="n">
        <v>0</v>
      </c>
      <c r="L705" t="n">
        <v>0</v>
      </c>
      <c r="M705" t="n">
        <v>0</v>
      </c>
      <c r="N705" t="n">
        <v>0</v>
      </c>
      <c r="O705" t="n">
        <v>0</v>
      </c>
      <c r="P705" t="n">
        <v>0</v>
      </c>
      <c r="Q705" t="n">
        <v>0</v>
      </c>
      <c r="R705" s="2" t="inlineStr"/>
    </row>
    <row r="706" ht="15" customHeight="1">
      <c r="A706" t="inlineStr">
        <is>
          <t>A 5135-2025</t>
        </is>
      </c>
      <c r="B706" s="1" t="n">
        <v>45691</v>
      </c>
      <c r="C706" s="1" t="n">
        <v>46025</v>
      </c>
      <c r="D706" t="inlineStr">
        <is>
          <t>JÄMTLANDS LÄN</t>
        </is>
      </c>
      <c r="E706" t="inlineStr">
        <is>
          <t>ÖSTERSUND</t>
        </is>
      </c>
      <c r="F706" t="inlineStr">
        <is>
          <t>Övriga Aktiebolag</t>
        </is>
      </c>
      <c r="G706" t="n">
        <v>126.9</v>
      </c>
      <c r="H706" t="n">
        <v>0</v>
      </c>
      <c r="I706" t="n">
        <v>0</v>
      </c>
      <c r="J706" t="n">
        <v>0</v>
      </c>
      <c r="K706" t="n">
        <v>0</v>
      </c>
      <c r="L706" t="n">
        <v>0</v>
      </c>
      <c r="M706" t="n">
        <v>0</v>
      </c>
      <c r="N706" t="n">
        <v>0</v>
      </c>
      <c r="O706" t="n">
        <v>0</v>
      </c>
      <c r="P706" t="n">
        <v>0</v>
      </c>
      <c r="Q706" t="n">
        <v>0</v>
      </c>
      <c r="R706" s="2" t="inlineStr"/>
    </row>
    <row r="707" ht="15" customHeight="1">
      <c r="A707" t="inlineStr">
        <is>
          <t>A 39510-2024</t>
        </is>
      </c>
      <c r="B707" s="1" t="n">
        <v>45551.67761574074</v>
      </c>
      <c r="C707" s="1" t="n">
        <v>46025</v>
      </c>
      <c r="D707" t="inlineStr">
        <is>
          <t>JÄMTLANDS LÄN</t>
        </is>
      </c>
      <c r="E707" t="inlineStr">
        <is>
          <t>ÖSTERSUND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10064-2024</t>
        </is>
      </c>
      <c r="B708" s="1" t="n">
        <v>45364.3874074074</v>
      </c>
      <c r="C708" s="1" t="n">
        <v>46025</v>
      </c>
      <c r="D708" t="inlineStr">
        <is>
          <t>JÄMTLANDS LÄN</t>
        </is>
      </c>
      <c r="E708" t="inlineStr">
        <is>
          <t>ÖSTERSUND</t>
        </is>
      </c>
      <c r="G708" t="n">
        <v>13.9</v>
      </c>
      <c r="H708" t="n">
        <v>0</v>
      </c>
      <c r="I708" t="n">
        <v>0</v>
      </c>
      <c r="J708" t="n">
        <v>0</v>
      </c>
      <c r="K708" t="n">
        <v>0</v>
      </c>
      <c r="L708" t="n">
        <v>0</v>
      </c>
      <c r="M708" t="n">
        <v>0</v>
      </c>
      <c r="N708" t="n">
        <v>0</v>
      </c>
      <c r="O708" t="n">
        <v>0</v>
      </c>
      <c r="P708" t="n">
        <v>0</v>
      </c>
      <c r="Q708" t="n">
        <v>0</v>
      </c>
      <c r="R708" s="2" t="inlineStr"/>
    </row>
    <row r="709" ht="15" customHeight="1">
      <c r="A709" t="inlineStr">
        <is>
          <t>A 3610-2024</t>
        </is>
      </c>
      <c r="B709" s="1" t="n">
        <v>45320.92060185185</v>
      </c>
      <c r="C709" s="1" t="n">
        <v>46025</v>
      </c>
      <c r="D709" t="inlineStr">
        <is>
          <t>JÄMTLANDS LÄN</t>
        </is>
      </c>
      <c r="E709" t="inlineStr">
        <is>
          <t>ÖSTERSUND</t>
        </is>
      </c>
      <c r="G709" t="n">
        <v>6.2</v>
      </c>
      <c r="H709" t="n">
        <v>0</v>
      </c>
      <c r="I709" t="n">
        <v>0</v>
      </c>
      <c r="J709" t="n">
        <v>0</v>
      </c>
      <c r="K709" t="n">
        <v>0</v>
      </c>
      <c r="L709" t="n">
        <v>0</v>
      </c>
      <c r="M709" t="n">
        <v>0</v>
      </c>
      <c r="N709" t="n">
        <v>0</v>
      </c>
      <c r="O709" t="n">
        <v>0</v>
      </c>
      <c r="P709" t="n">
        <v>0</v>
      </c>
      <c r="Q709" t="n">
        <v>0</v>
      </c>
      <c r="R709" s="2" t="inlineStr"/>
    </row>
    <row r="710" ht="15" customHeight="1">
      <c r="A710" t="inlineStr">
        <is>
          <t>A 26492-2025</t>
        </is>
      </c>
      <c r="B710" s="1" t="n">
        <v>45807</v>
      </c>
      <c r="C710" s="1" t="n">
        <v>46025</v>
      </c>
      <c r="D710" t="inlineStr">
        <is>
          <t>JÄMTLANDS LÄN</t>
        </is>
      </c>
      <c r="E710" t="inlineStr">
        <is>
          <t>ÖSTERSUND</t>
        </is>
      </c>
      <c r="G710" t="n">
        <v>7</v>
      </c>
      <c r="H710" t="n">
        <v>0</v>
      </c>
      <c r="I710" t="n">
        <v>0</v>
      </c>
      <c r="J710" t="n">
        <v>0</v>
      </c>
      <c r="K710" t="n">
        <v>0</v>
      </c>
      <c r="L710" t="n">
        <v>0</v>
      </c>
      <c r="M710" t="n">
        <v>0</v>
      </c>
      <c r="N710" t="n">
        <v>0</v>
      </c>
      <c r="O710" t="n">
        <v>0</v>
      </c>
      <c r="P710" t="n">
        <v>0</v>
      </c>
      <c r="Q710" t="n">
        <v>0</v>
      </c>
      <c r="R710" s="2" t="inlineStr"/>
    </row>
    <row r="711" ht="15" customHeight="1">
      <c r="A711" t="inlineStr">
        <is>
          <t>A 26500-2025</t>
        </is>
      </c>
      <c r="B711" s="1" t="n">
        <v>45807</v>
      </c>
      <c r="C711" s="1" t="n">
        <v>46025</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26587-2025</t>
        </is>
      </c>
      <c r="B712" s="1" t="n">
        <v>45807.75076388889</v>
      </c>
      <c r="C712" s="1" t="n">
        <v>46025</v>
      </c>
      <c r="D712" t="inlineStr">
        <is>
          <t>JÄMTLANDS LÄN</t>
        </is>
      </c>
      <c r="E712" t="inlineStr">
        <is>
          <t>ÖSTERSUND</t>
        </is>
      </c>
      <c r="G712" t="n">
        <v>0.5</v>
      </c>
      <c r="H712" t="n">
        <v>0</v>
      </c>
      <c r="I712" t="n">
        <v>0</v>
      </c>
      <c r="J712" t="n">
        <v>0</v>
      </c>
      <c r="K712" t="n">
        <v>0</v>
      </c>
      <c r="L712" t="n">
        <v>0</v>
      </c>
      <c r="M712" t="n">
        <v>0</v>
      </c>
      <c r="N712" t="n">
        <v>0</v>
      </c>
      <c r="O712" t="n">
        <v>0</v>
      </c>
      <c r="P712" t="n">
        <v>0</v>
      </c>
      <c r="Q712" t="n">
        <v>0</v>
      </c>
      <c r="R712" s="2" t="inlineStr"/>
    </row>
    <row r="713" ht="15" customHeight="1">
      <c r="A713" t="inlineStr">
        <is>
          <t>A 13651-2025</t>
        </is>
      </c>
      <c r="B713" s="1" t="n">
        <v>45736.71818287037</v>
      </c>
      <c r="C713" s="1" t="n">
        <v>46025</v>
      </c>
      <c r="D713" t="inlineStr">
        <is>
          <t>JÄMTLANDS LÄN</t>
        </is>
      </c>
      <c r="E713" t="inlineStr">
        <is>
          <t>ÖSTERSUND</t>
        </is>
      </c>
      <c r="G713" t="n">
        <v>3.7</v>
      </c>
      <c r="H713" t="n">
        <v>0</v>
      </c>
      <c r="I713" t="n">
        <v>0</v>
      </c>
      <c r="J713" t="n">
        <v>0</v>
      </c>
      <c r="K713" t="n">
        <v>0</v>
      </c>
      <c r="L713" t="n">
        <v>0</v>
      </c>
      <c r="M713" t="n">
        <v>0</v>
      </c>
      <c r="N713" t="n">
        <v>0</v>
      </c>
      <c r="O713" t="n">
        <v>0</v>
      </c>
      <c r="P713" t="n">
        <v>0</v>
      </c>
      <c r="Q713" t="n">
        <v>0</v>
      </c>
      <c r="R713" s="2" t="inlineStr"/>
    </row>
    <row r="714" ht="15" customHeight="1">
      <c r="A714" t="inlineStr">
        <is>
          <t>A 27035-2025</t>
        </is>
      </c>
      <c r="B714" s="1" t="n">
        <v>45811.5928587963</v>
      </c>
      <c r="C714" s="1" t="n">
        <v>46025</v>
      </c>
      <c r="D714" t="inlineStr">
        <is>
          <t>JÄMTLANDS LÄN</t>
        </is>
      </c>
      <c r="E714" t="inlineStr">
        <is>
          <t>ÖSTERSUND</t>
        </is>
      </c>
      <c r="G714" t="n">
        <v>2.8</v>
      </c>
      <c r="H714" t="n">
        <v>0</v>
      </c>
      <c r="I714" t="n">
        <v>0</v>
      </c>
      <c r="J714" t="n">
        <v>0</v>
      </c>
      <c r="K714" t="n">
        <v>0</v>
      </c>
      <c r="L714" t="n">
        <v>0</v>
      </c>
      <c r="M714" t="n">
        <v>0</v>
      </c>
      <c r="N714" t="n">
        <v>0</v>
      </c>
      <c r="O714" t="n">
        <v>0</v>
      </c>
      <c r="P714" t="n">
        <v>0</v>
      </c>
      <c r="Q714" t="n">
        <v>0</v>
      </c>
      <c r="R714" s="2" t="inlineStr"/>
    </row>
    <row r="715" ht="15" customHeight="1">
      <c r="A715" t="inlineStr">
        <is>
          <t>A 27034-2025</t>
        </is>
      </c>
      <c r="B715" s="1" t="n">
        <v>45811.59258101852</v>
      </c>
      <c r="C715" s="1" t="n">
        <v>46025</v>
      </c>
      <c r="D715" t="inlineStr">
        <is>
          <t>JÄMTLANDS LÄN</t>
        </is>
      </c>
      <c r="E715" t="inlineStr">
        <is>
          <t>ÖSTERSUND</t>
        </is>
      </c>
      <c r="G715" t="n">
        <v>1.6</v>
      </c>
      <c r="H715" t="n">
        <v>0</v>
      </c>
      <c r="I715" t="n">
        <v>0</v>
      </c>
      <c r="J715" t="n">
        <v>0</v>
      </c>
      <c r="K715" t="n">
        <v>0</v>
      </c>
      <c r="L715" t="n">
        <v>0</v>
      </c>
      <c r="M715" t="n">
        <v>0</v>
      </c>
      <c r="N715" t="n">
        <v>0</v>
      </c>
      <c r="O715" t="n">
        <v>0</v>
      </c>
      <c r="P715" t="n">
        <v>0</v>
      </c>
      <c r="Q715" t="n">
        <v>0</v>
      </c>
      <c r="R715" s="2" t="inlineStr"/>
    </row>
    <row r="716" ht="15" customHeight="1">
      <c r="A716" t="inlineStr">
        <is>
          <t>A 27517-2025</t>
        </is>
      </c>
      <c r="B716" s="1" t="n">
        <v>45813.43966435185</v>
      </c>
      <c r="C716" s="1" t="n">
        <v>46025</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10266-2025</t>
        </is>
      </c>
      <c r="B717" s="1" t="n">
        <v>45720.38576388889</v>
      </c>
      <c r="C717" s="1" t="n">
        <v>46025</v>
      </c>
      <c r="D717" t="inlineStr">
        <is>
          <t>JÄMTLANDS LÄN</t>
        </is>
      </c>
      <c r="E717" t="inlineStr">
        <is>
          <t>ÖSTERSUND</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7956-2025</t>
        </is>
      </c>
      <c r="B718" s="1" t="n">
        <v>45707.42825231481</v>
      </c>
      <c r="C718" s="1" t="n">
        <v>46025</v>
      </c>
      <c r="D718" t="inlineStr">
        <is>
          <t>JÄMTLANDS LÄN</t>
        </is>
      </c>
      <c r="E718" t="inlineStr">
        <is>
          <t>ÖSTERSUND</t>
        </is>
      </c>
      <c r="F718" t="inlineStr">
        <is>
          <t>Övriga Aktiebolag</t>
        </is>
      </c>
      <c r="G718" t="n">
        <v>111.2</v>
      </c>
      <c r="H718" t="n">
        <v>0</v>
      </c>
      <c r="I718" t="n">
        <v>0</v>
      </c>
      <c r="J718" t="n">
        <v>0</v>
      </c>
      <c r="K718" t="n">
        <v>0</v>
      </c>
      <c r="L718" t="n">
        <v>0</v>
      </c>
      <c r="M718" t="n">
        <v>0</v>
      </c>
      <c r="N718" t="n">
        <v>0</v>
      </c>
      <c r="O718" t="n">
        <v>0</v>
      </c>
      <c r="P718" t="n">
        <v>0</v>
      </c>
      <c r="Q718" t="n">
        <v>0</v>
      </c>
      <c r="R718" s="2" t="inlineStr"/>
    </row>
    <row r="719" ht="15" customHeight="1">
      <c r="A719" t="inlineStr">
        <is>
          <t>A 28025-2025</t>
        </is>
      </c>
      <c r="B719" s="1" t="n">
        <v>45817</v>
      </c>
      <c r="C719" s="1" t="n">
        <v>46025</v>
      </c>
      <c r="D719" t="inlineStr">
        <is>
          <t>JÄMTLANDS LÄN</t>
        </is>
      </c>
      <c r="E719" t="inlineStr">
        <is>
          <t>ÖSTERSUND</t>
        </is>
      </c>
      <c r="F719" t="inlineStr">
        <is>
          <t>SCA</t>
        </is>
      </c>
      <c r="G719" t="n">
        <v>1.1</v>
      </c>
      <c r="H719" t="n">
        <v>0</v>
      </c>
      <c r="I719" t="n">
        <v>0</v>
      </c>
      <c r="J719" t="n">
        <v>0</v>
      </c>
      <c r="K719" t="n">
        <v>0</v>
      </c>
      <c r="L719" t="n">
        <v>0</v>
      </c>
      <c r="M719" t="n">
        <v>0</v>
      </c>
      <c r="N719" t="n">
        <v>0</v>
      </c>
      <c r="O719" t="n">
        <v>0</v>
      </c>
      <c r="P719" t="n">
        <v>0</v>
      </c>
      <c r="Q719" t="n">
        <v>0</v>
      </c>
      <c r="R719" s="2" t="inlineStr"/>
    </row>
    <row r="720">
      <c r="A720" t="inlineStr">
        <is>
          <t>A 28185-2025</t>
        </is>
      </c>
      <c r="B720" s="1" t="n">
        <v>45818.40337962963</v>
      </c>
      <c r="C720" s="1" t="n">
        <v>46025</v>
      </c>
      <c r="D720" t="inlineStr">
        <is>
          <t>JÄMTLANDS LÄN</t>
        </is>
      </c>
      <c r="E720" t="inlineStr">
        <is>
          <t>ÖSTERSUND</t>
        </is>
      </c>
      <c r="F720" t="inlineStr">
        <is>
          <t>Kyrkan</t>
        </is>
      </c>
      <c r="G720" t="n">
        <v>1</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2026-01-03T10:36:29Z</dcterms:created>
  <dcterms:modified xmlns:dcterms="http://purl.org/dc/terms/" xmlns:xsi="http://www.w3.org/2001/XMLSchema-instance" xsi:type="dcterms:W3CDTF">2026-01-03T10:36:29Z</dcterms:modified>
</cp:coreProperties>
</file>