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45354</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45354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45354</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45354</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45354</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45354</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45354</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45354</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45354</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45354</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45354</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45354</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45354</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45354</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45354</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45354</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45354</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45354</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45354</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45354</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45354</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45354</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45354</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45354</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60881-2023</t>
        </is>
      </c>
      <c r="B26" s="1" t="n">
        <v>45259</v>
      </c>
      <c r="C26" s="1" t="n">
        <v>45354</v>
      </c>
      <c r="D26" t="inlineStr">
        <is>
          <t>JÄMTLANDS LÄN</t>
        </is>
      </c>
      <c r="E26" t="inlineStr">
        <is>
          <t>ÖSTERSUND</t>
        </is>
      </c>
      <c r="G26" t="n">
        <v>6</v>
      </c>
      <c r="H26" t="n">
        <v>8</v>
      </c>
      <c r="I26" t="n">
        <v>0</v>
      </c>
      <c r="J26" t="n">
        <v>5</v>
      </c>
      <c r="K26" t="n">
        <v>1</v>
      </c>
      <c r="L26" t="n">
        <v>1</v>
      </c>
      <c r="M26" t="n">
        <v>0</v>
      </c>
      <c r="N26" t="n">
        <v>0</v>
      </c>
      <c r="O26" t="n">
        <v>7</v>
      </c>
      <c r="P26" t="n">
        <v>2</v>
      </c>
      <c r="Q26" t="n">
        <v>8</v>
      </c>
      <c r="R26" s="2" t="inlineStr">
        <is>
          <t>Storspov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50716-2018</t>
        </is>
      </c>
      <c r="B27" s="1" t="n">
        <v>43381</v>
      </c>
      <c r="C27" s="1" t="n">
        <v>45354</v>
      </c>
      <c r="D27" t="inlineStr">
        <is>
          <t>JÄMTLANDS LÄN</t>
        </is>
      </c>
      <c r="E27" t="inlineStr">
        <is>
          <t>ÖSTERSUND</t>
        </is>
      </c>
      <c r="G27" t="n">
        <v>25</v>
      </c>
      <c r="H27" t="n">
        <v>0</v>
      </c>
      <c r="I27" t="n">
        <v>1</v>
      </c>
      <c r="J27" t="n">
        <v>5</v>
      </c>
      <c r="K27" t="n">
        <v>1</v>
      </c>
      <c r="L27" t="n">
        <v>0</v>
      </c>
      <c r="M27" t="n">
        <v>0</v>
      </c>
      <c r="N27" t="n">
        <v>0</v>
      </c>
      <c r="O27" t="n">
        <v>6</v>
      </c>
      <c r="P27" t="n">
        <v>1</v>
      </c>
      <c r="Q27" t="n">
        <v>7</v>
      </c>
      <c r="R27" s="2" t="inlineStr">
        <is>
          <t>Liten aspgelélav
Harticka
Lunglav
Skrovellav
Stiftgelélav
Ullticka
Stor aspticka</t>
        </is>
      </c>
      <c r="S27">
        <f>HYPERLINK("https://klasma.github.io/Logging_2380/artfynd/A 50716-2018 artfynd.xlsx", "A 50716-2018")</f>
        <v/>
      </c>
      <c r="T27">
        <f>HYPERLINK("https://klasma.github.io/Logging_2380/kartor/A 50716-2018 karta.png", "A 50716-2018")</f>
        <v/>
      </c>
      <c r="V27">
        <f>HYPERLINK("https://klasma.github.io/Logging_2380/klagomål/A 50716-2018 FSC-klagomål.docx", "A 50716-2018")</f>
        <v/>
      </c>
      <c r="W27">
        <f>HYPERLINK("https://klasma.github.io/Logging_2380/klagomålsmail/A 50716-2018 FSC-klagomål mail.docx", "A 50716-2018")</f>
        <v/>
      </c>
      <c r="X27">
        <f>HYPERLINK("https://klasma.github.io/Logging_2380/tillsyn/A 50716-2018 tillsynsbegäran.docx", "A 50716-2018")</f>
        <v/>
      </c>
      <c r="Y27">
        <f>HYPERLINK("https://klasma.github.io/Logging_2380/tillsynsmail/A 50716-2018 tillsynsbegäran mail.docx", "A 50716-2018")</f>
        <v/>
      </c>
    </row>
    <row r="28" ht="15" customHeight="1">
      <c r="A28" t="inlineStr">
        <is>
          <t>A 8023-2019</t>
        </is>
      </c>
      <c r="B28" s="1" t="n">
        <v>43501</v>
      </c>
      <c r="C28" s="1" t="n">
        <v>45354</v>
      </c>
      <c r="D28" t="inlineStr">
        <is>
          <t>JÄMTLANDS LÄN</t>
        </is>
      </c>
      <c r="E28" t="inlineStr">
        <is>
          <t>ÖSTERSUND</t>
        </is>
      </c>
      <c r="G28" t="n">
        <v>1.7</v>
      </c>
      <c r="H28" t="n">
        <v>2</v>
      </c>
      <c r="I28" t="n">
        <v>2</v>
      </c>
      <c r="J28" t="n">
        <v>3</v>
      </c>
      <c r="K28" t="n">
        <v>1</v>
      </c>
      <c r="L28" t="n">
        <v>0</v>
      </c>
      <c r="M28" t="n">
        <v>0</v>
      </c>
      <c r="N28" t="n">
        <v>0</v>
      </c>
      <c r="O28" t="n">
        <v>4</v>
      </c>
      <c r="P28" t="n">
        <v>1</v>
      </c>
      <c r="Q28" t="n">
        <v>7</v>
      </c>
      <c r="R28" s="2" t="inlineStr">
        <is>
          <t>Knärot
Garnlav
Ullticka
Vedtrappmossa
Kransrams
Svavelriska
Blåsippa</t>
        </is>
      </c>
      <c r="S28">
        <f>HYPERLINK("https://klasma.github.io/Logging_2380/artfynd/A 8023-2019 artfynd.xlsx", "A 8023-2019")</f>
        <v/>
      </c>
      <c r="T28">
        <f>HYPERLINK("https://klasma.github.io/Logging_2380/kartor/A 8023-2019 karta.png", "A 8023-2019")</f>
        <v/>
      </c>
      <c r="U28">
        <f>HYPERLINK("https://klasma.github.io/Logging_2380/knärot/A 8023-2019 karta knärot.png", "A 8023-2019")</f>
        <v/>
      </c>
      <c r="V28">
        <f>HYPERLINK("https://klasma.github.io/Logging_2380/klagomål/A 8023-2019 FSC-klagomål.docx", "A 8023-2019")</f>
        <v/>
      </c>
      <c r="W28">
        <f>HYPERLINK("https://klasma.github.io/Logging_2380/klagomålsmail/A 8023-2019 FSC-klagomål mail.docx", "A 8023-2019")</f>
        <v/>
      </c>
      <c r="X28">
        <f>HYPERLINK("https://klasma.github.io/Logging_2380/tillsyn/A 8023-2019 tillsynsbegäran.docx", "A 8023-2019")</f>
        <v/>
      </c>
      <c r="Y28">
        <f>HYPERLINK("https://klasma.github.io/Logging_2380/tillsynsmail/A 8023-2019 tillsynsbegäran mail.docx", "A 8023-2019")</f>
        <v/>
      </c>
    </row>
    <row r="29" ht="15" customHeight="1">
      <c r="A29" t="inlineStr">
        <is>
          <t>A 65938-2021</t>
        </is>
      </c>
      <c r="B29" s="1" t="n">
        <v>44517</v>
      </c>
      <c r="C29" s="1" t="n">
        <v>45354</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45354</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45354</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45354</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45354</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45354</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45354</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45354</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45354</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45354</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45354</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45354</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45354</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45354</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45354</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45354</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45354</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45354</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45354</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45354</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45354</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45354</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45354</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45354</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45354</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45354</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45354</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45354</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45354</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45354</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45354</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45354</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45354</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45354</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45354</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45354</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45354</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45354</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45354</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45354</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45354</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45354</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45354</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45354</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45354</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45354</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45354</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45354</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45354</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45354</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45354</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45354</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45354</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45354</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45354</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45354</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45354</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45354</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45354</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45354</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45354</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45354</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45354</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45354</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45354</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45354</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45354</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45354</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45354</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45354</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45354</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45354</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45354</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45354</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45354</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45354</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45354</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45354</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45354</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45354</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45354</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45354</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45354</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45354</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45354</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45354</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45354</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45354</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45354</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45354</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45354</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45354</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45354</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45354</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45354</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45354</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45354</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45354</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45354</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45354</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45354</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45354</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45354</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45354</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45354</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45354</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45354</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45354</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45354</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45354</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45354</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45354</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45354</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45354</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45354</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45354</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45354</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45354</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45354</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45354</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45354</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45354</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45354</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45354</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45354</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45354</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45354</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45354</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45354</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45354</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45354</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45354</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45354</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45354</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45354</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45354</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45354</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45354</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45354</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45354</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45354</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45354</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45354</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45354</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45354</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45354</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45354</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45354</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45354</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45354</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45354</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45354</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45354</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45354</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45354</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45354</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45354</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45354</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45354</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45354</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45354</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45354</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45354</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45354</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45354</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45354</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45354</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45354</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45354</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45354</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45354</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45354</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45354</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45354</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45354</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45354</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45354</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45354</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45354</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45354</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45354</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45354</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45354</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45354</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45354</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45354</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45354</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45354</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45354</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45354</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45354</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45354</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45354</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45354</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45354</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45354</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45354</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45354</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45354</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45354</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45354</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45354</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45354</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45354</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45354</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45354</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45354</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45354</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45354</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45354</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45354</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45354</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45354</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45354</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45354</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45354</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45354</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45354</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45354</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45354</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45354</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45354</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45354</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45354</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45354</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45354</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45354</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45354</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45354</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45354</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45354</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45354</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45354</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45354</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45354</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45354</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45354</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45354</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45354</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45354</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45354</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45354</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45354</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45354</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45354</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45354</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45354</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45354</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45354</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45354</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45354</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45354</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45354</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45354</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45354</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45354</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45354</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45354</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45354</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45354</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45354</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45354</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45354</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45354</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45354</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45354</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45354</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45354</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45354</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45354</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45354</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45354</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45354</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45354</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45354</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45354</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45354</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45354</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45354</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45354</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45354</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45354</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45354</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45354</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45354</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45354</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45354</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45354</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45354</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45354</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45354</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45354</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45354</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45354</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45354</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45354</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45354</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45354</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45354</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45354</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45354</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45354</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45354</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45354</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45354</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45354</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45354</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45354</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45354</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45354</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45354</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45354</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45354</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45354</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45354</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45354</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45354</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45354</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45354</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45354</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45354</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45354</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45354</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45354</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45354</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45354</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45354</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45354</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45354</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45354</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45354</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45354</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45354</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45354</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45354</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45354</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45354</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45354</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45354</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45354</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45354</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45354</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45354</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45354</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45354</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45354</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45354</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45354</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45354</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45354</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45354</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45354</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45354</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45354</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45354</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45354</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45354</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45354</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45354</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45354</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45354</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45354</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45354</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45354</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45354</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45354</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45354</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45354</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45354</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45354</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45354</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45354</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45354</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45354</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45354</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45354</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45354</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45354</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45354</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45354</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45354</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45354</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45354</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45354</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45354</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45354</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45354</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45354</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45354</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45354</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45354</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45354</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45354</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45354</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45354</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45354</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45354</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45354</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45354</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45354</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45354</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45354</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45354</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45354</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45354</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45354</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45354</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45354</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45354</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45354</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45354</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45354</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45354</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45354</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45354</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45354</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45354</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45354</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45354</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45354</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45354</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45354</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45354</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45354</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45354</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45354</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45354</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45354</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45354</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45354</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45354</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45354</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45354</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45354</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45354</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45354</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45354</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45354</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45354</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45354</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45354</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45354</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45354</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45354</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45354</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45354</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45354</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45354</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45354</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45354</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45354</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45354</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45354</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45354</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45354</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45354</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45354</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45354</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45354</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45354</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45354</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45354</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45354</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45354</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45354</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45354</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45354</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45354</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45354</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45354</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45354</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45354</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45354</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45354</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45354</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45354</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45354</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45354</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45354</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45354</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45354</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45354</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45354</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45354</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45354</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45354</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45354</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45354</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45354</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45354</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45354</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45354</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45354</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45354</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45354</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45354</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45354</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45354</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45354</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45354</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45354</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45354</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45354</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45354</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45354</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45354</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45354</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45354</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45354</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45354</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45354</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45354</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45354</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45354</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45354</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45354</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45354</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45354</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45354</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45354</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45354</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45354</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45354</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45354</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45354</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45354</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45354</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45354</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45354</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45354</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45354</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45354</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45354</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45354</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45354</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45354</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45354</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45354</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45354</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45354</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45354</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45354</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45354</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45354</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45354</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45354</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45354</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45354</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45354</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45354</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45354</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45354</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45354</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45354</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45354</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45354</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45354</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45354</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45354</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45354</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45354</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45354</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45354</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45354</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45354</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45354</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45354</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45354</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45354</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45354</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45354</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45354</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45354</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45354</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45354</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45354</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45354</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45354</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45354</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45354</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45354</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45354</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45354</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45354</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45354</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45354</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45354</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45354</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45354</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45354</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45354</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45354</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45354</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45354</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45354</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45354</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45354</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45354</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45354</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45354</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45354</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45354</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45354</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45354</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45354</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45354</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45354</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45354</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45354</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45354</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45354</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45354</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45354</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45354</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45354</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45354</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45354</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45354</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45354</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45354</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45354</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45354</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45354</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45354</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45354</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45354</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45354</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45354</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45354</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45354</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45354</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45354</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45354</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45354</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45354</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45354</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45354</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45354</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45354</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45354</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45354</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45354</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45354</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45354</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45354</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45354</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45354</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45354</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45354</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45354</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45354</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45354</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45354</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45354</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45354</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45354</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45354</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45354</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45354</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45354</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45354</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45354</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45354</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45354</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45354</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45354</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45354</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45354</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45354</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45354</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45354</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45354</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45354</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45354</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45354</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45354</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45354</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45354</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45354</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45354</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45354</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45354</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45354</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45354</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45354</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45354</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45354</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45354</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45354</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45354</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45354</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45354</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45354</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45354</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45354</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45354</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45354</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45354</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45354</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45354</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45354</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45354</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45354</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45354</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45354</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45354</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45354</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45354</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45354</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45354</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45354</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45354</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45354</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45354</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45354</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45354</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45354</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45354</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45354</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45354</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45354</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3230-2024</t>
        </is>
      </c>
      <c r="B750" s="1" t="n">
        <v>45316</v>
      </c>
      <c r="C750" s="1" t="n">
        <v>45354</v>
      </c>
      <c r="D750" t="inlineStr">
        <is>
          <t>JÄMTLANDS LÄN</t>
        </is>
      </c>
      <c r="E750" t="inlineStr">
        <is>
          <t>ÖSTERSUND</t>
        </is>
      </c>
      <c r="G750" t="n">
        <v>4.4</v>
      </c>
      <c r="H750" t="n">
        <v>0</v>
      </c>
      <c r="I750" t="n">
        <v>0</v>
      </c>
      <c r="J750" t="n">
        <v>0</v>
      </c>
      <c r="K750" t="n">
        <v>0</v>
      </c>
      <c r="L750" t="n">
        <v>0</v>
      </c>
      <c r="M750" t="n">
        <v>0</v>
      </c>
      <c r="N750" t="n">
        <v>0</v>
      </c>
      <c r="O750" t="n">
        <v>0</v>
      </c>
      <c r="P750" t="n">
        <v>0</v>
      </c>
      <c r="Q750" t="n">
        <v>0</v>
      </c>
      <c r="R750" s="2" t="inlineStr"/>
    </row>
    <row r="751" ht="15" customHeight="1">
      <c r="A751" t="inlineStr">
        <is>
          <t>A 3186-2024</t>
        </is>
      </c>
      <c r="B751" s="1" t="n">
        <v>45316</v>
      </c>
      <c r="C751" s="1" t="n">
        <v>45354</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45354</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45354</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45354</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45354</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45354</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45354</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45354</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5781-2024</t>
        </is>
      </c>
      <c r="B759" s="1" t="n">
        <v>45335</v>
      </c>
      <c r="C759" s="1" t="n">
        <v>45354</v>
      </c>
      <c r="D759" t="inlineStr">
        <is>
          <t>JÄMTLANDS LÄN</t>
        </is>
      </c>
      <c r="E759" t="inlineStr">
        <is>
          <t>ÖSTERSUND</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5779-2024</t>
        </is>
      </c>
      <c r="B760" s="1" t="n">
        <v>45335</v>
      </c>
      <c r="C760" s="1" t="n">
        <v>45354</v>
      </c>
      <c r="D760" t="inlineStr">
        <is>
          <t>JÄMTLANDS LÄN</t>
        </is>
      </c>
      <c r="E760" t="inlineStr">
        <is>
          <t>ÖSTERSUND</t>
        </is>
      </c>
      <c r="G760" t="n">
        <v>9.9</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45354</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6048-2024</t>
        </is>
      </c>
      <c r="B762" s="1" t="n">
        <v>45336</v>
      </c>
      <c r="C762" s="1" t="n">
        <v>45354</v>
      </c>
      <c r="D762" t="inlineStr">
        <is>
          <t>JÄMTLANDS LÄN</t>
        </is>
      </c>
      <c r="E762" t="inlineStr">
        <is>
          <t>ÖSTERSUND</t>
        </is>
      </c>
      <c r="G762" t="n">
        <v>0.7</v>
      </c>
      <c r="H762" t="n">
        <v>0</v>
      </c>
      <c r="I762" t="n">
        <v>0</v>
      </c>
      <c r="J762" t="n">
        <v>0</v>
      </c>
      <c r="K762" t="n">
        <v>0</v>
      </c>
      <c r="L762" t="n">
        <v>0</v>
      </c>
      <c r="M762" t="n">
        <v>0</v>
      </c>
      <c r="N762" t="n">
        <v>0</v>
      </c>
      <c r="O762" t="n">
        <v>0</v>
      </c>
      <c r="P762" t="n">
        <v>0</v>
      </c>
      <c r="Q762" t="n">
        <v>0</v>
      </c>
      <c r="R762" s="2" t="inlineStr"/>
    </row>
    <row r="763" ht="15" customHeight="1">
      <c r="A763" t="inlineStr">
        <is>
          <t>A 6056-2024</t>
        </is>
      </c>
      <c r="B763" s="1" t="n">
        <v>45336</v>
      </c>
      <c r="C763" s="1" t="n">
        <v>45354</v>
      </c>
      <c r="D763" t="inlineStr">
        <is>
          <t>JÄMTLANDS LÄN</t>
        </is>
      </c>
      <c r="E763" t="inlineStr">
        <is>
          <t>ÖSTERSUND</t>
        </is>
      </c>
      <c r="G763" t="n">
        <v>3.9</v>
      </c>
      <c r="H763" t="n">
        <v>0</v>
      </c>
      <c r="I763" t="n">
        <v>0</v>
      </c>
      <c r="J763" t="n">
        <v>0</v>
      </c>
      <c r="K763" t="n">
        <v>0</v>
      </c>
      <c r="L763" t="n">
        <v>0</v>
      </c>
      <c r="M763" t="n">
        <v>0</v>
      </c>
      <c r="N763" t="n">
        <v>0</v>
      </c>
      <c r="O763" t="n">
        <v>0</v>
      </c>
      <c r="P763" t="n">
        <v>0</v>
      </c>
      <c r="Q763" t="n">
        <v>0</v>
      </c>
      <c r="R763" s="2" t="inlineStr"/>
    </row>
    <row r="764" ht="15" customHeight="1">
      <c r="A764" t="inlineStr">
        <is>
          <t>A 6053-2024</t>
        </is>
      </c>
      <c r="B764" s="1" t="n">
        <v>45336</v>
      </c>
      <c r="C764" s="1" t="n">
        <v>45354</v>
      </c>
      <c r="D764" t="inlineStr">
        <is>
          <t>JÄMTLANDS LÄN</t>
        </is>
      </c>
      <c r="E764" t="inlineStr">
        <is>
          <t>ÖSTERSUND</t>
        </is>
      </c>
      <c r="G764" t="n">
        <v>1.4</v>
      </c>
      <c r="H764" t="n">
        <v>0</v>
      </c>
      <c r="I764" t="n">
        <v>0</v>
      </c>
      <c r="J764" t="n">
        <v>0</v>
      </c>
      <c r="K764" t="n">
        <v>0</v>
      </c>
      <c r="L764" t="n">
        <v>0</v>
      </c>
      <c r="M764" t="n">
        <v>0</v>
      </c>
      <c r="N764" t="n">
        <v>0</v>
      </c>
      <c r="O764" t="n">
        <v>0</v>
      </c>
      <c r="P764" t="n">
        <v>0</v>
      </c>
      <c r="Q764" t="n">
        <v>0</v>
      </c>
      <c r="R764" s="2" t="inlineStr"/>
    </row>
    <row r="765" ht="15" customHeight="1">
      <c r="A765" t="inlineStr">
        <is>
          <t>A 6351-2024</t>
        </is>
      </c>
      <c r="B765" s="1" t="n">
        <v>45338</v>
      </c>
      <c r="C765" s="1" t="n">
        <v>45354</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6376-2024</t>
        </is>
      </c>
      <c r="B766" s="1" t="n">
        <v>45338</v>
      </c>
      <c r="C766" s="1" t="n">
        <v>45354</v>
      </c>
      <c r="D766" t="inlineStr">
        <is>
          <t>JÄMTLANDS LÄN</t>
        </is>
      </c>
      <c r="E766" t="inlineStr">
        <is>
          <t>ÖSTERSUND</t>
        </is>
      </c>
      <c r="G766" t="n">
        <v>4.6</v>
      </c>
      <c r="H766" t="n">
        <v>0</v>
      </c>
      <c r="I766" t="n">
        <v>0</v>
      </c>
      <c r="J766" t="n">
        <v>0</v>
      </c>
      <c r="K766" t="n">
        <v>0</v>
      </c>
      <c r="L766" t="n">
        <v>0</v>
      </c>
      <c r="M766" t="n">
        <v>0</v>
      </c>
      <c r="N766" t="n">
        <v>0</v>
      </c>
      <c r="O766" t="n">
        <v>0</v>
      </c>
      <c r="P766" t="n">
        <v>0</v>
      </c>
      <c r="Q766" t="n">
        <v>0</v>
      </c>
      <c r="R766" s="2" t="inlineStr"/>
    </row>
    <row r="767" ht="15" customHeight="1">
      <c r="A767" t="inlineStr">
        <is>
          <t>A 6402-2024</t>
        </is>
      </c>
      <c r="B767" s="1" t="n">
        <v>45338</v>
      </c>
      <c r="C767" s="1" t="n">
        <v>45354</v>
      </c>
      <c r="D767" t="inlineStr">
        <is>
          <t>JÄMTLANDS LÄN</t>
        </is>
      </c>
      <c r="E767" t="inlineStr">
        <is>
          <t>ÖSTERSUND</t>
        </is>
      </c>
      <c r="G767" t="n">
        <v>4.4</v>
      </c>
      <c r="H767" t="n">
        <v>0</v>
      </c>
      <c r="I767" t="n">
        <v>0</v>
      </c>
      <c r="J767" t="n">
        <v>0</v>
      </c>
      <c r="K767" t="n">
        <v>0</v>
      </c>
      <c r="L767" t="n">
        <v>0</v>
      </c>
      <c r="M767" t="n">
        <v>0</v>
      </c>
      <c r="N767" t="n">
        <v>0</v>
      </c>
      <c r="O767" t="n">
        <v>0</v>
      </c>
      <c r="P767" t="n">
        <v>0</v>
      </c>
      <c r="Q767" t="n">
        <v>0</v>
      </c>
      <c r="R767" s="2" t="inlineStr"/>
    </row>
    <row r="768" ht="15" customHeight="1">
      <c r="A768" t="inlineStr">
        <is>
          <t>A 6353-2024</t>
        </is>
      </c>
      <c r="B768" s="1" t="n">
        <v>45338</v>
      </c>
      <c r="C768" s="1" t="n">
        <v>45354</v>
      </c>
      <c r="D768" t="inlineStr">
        <is>
          <t>JÄMTLANDS LÄN</t>
        </is>
      </c>
      <c r="E768" t="inlineStr">
        <is>
          <t>ÖSTERSUND</t>
        </is>
      </c>
      <c r="G768" t="n">
        <v>1.9</v>
      </c>
      <c r="H768" t="n">
        <v>0</v>
      </c>
      <c r="I768" t="n">
        <v>0</v>
      </c>
      <c r="J768" t="n">
        <v>0</v>
      </c>
      <c r="K768" t="n">
        <v>0</v>
      </c>
      <c r="L768" t="n">
        <v>0</v>
      </c>
      <c r="M768" t="n">
        <v>0</v>
      </c>
      <c r="N768" t="n">
        <v>0</v>
      </c>
      <c r="O768" t="n">
        <v>0</v>
      </c>
      <c r="P768" t="n">
        <v>0</v>
      </c>
      <c r="Q768" t="n">
        <v>0</v>
      </c>
      <c r="R768" s="2" t="inlineStr"/>
    </row>
    <row r="769" ht="15" customHeight="1">
      <c r="A769" t="inlineStr">
        <is>
          <t>A 6481-2024</t>
        </is>
      </c>
      <c r="B769" s="1" t="n">
        <v>45338</v>
      </c>
      <c r="C769" s="1" t="n">
        <v>45354</v>
      </c>
      <c r="D769" t="inlineStr">
        <is>
          <t>JÄMTLANDS LÄN</t>
        </is>
      </c>
      <c r="E769" t="inlineStr">
        <is>
          <t>ÖSTERSUND</t>
        </is>
      </c>
      <c r="F769" t="inlineStr">
        <is>
          <t>SCA</t>
        </is>
      </c>
      <c r="G769" t="n">
        <v>21.3</v>
      </c>
      <c r="H769" t="n">
        <v>0</v>
      </c>
      <c r="I769" t="n">
        <v>0</v>
      </c>
      <c r="J769" t="n">
        <v>0</v>
      </c>
      <c r="K769" t="n">
        <v>0</v>
      </c>
      <c r="L769" t="n">
        <v>0</v>
      </c>
      <c r="M769" t="n">
        <v>0</v>
      </c>
      <c r="N769" t="n">
        <v>0</v>
      </c>
      <c r="O769" t="n">
        <v>0</v>
      </c>
      <c r="P769" t="n">
        <v>0</v>
      </c>
      <c r="Q769" t="n">
        <v>0</v>
      </c>
      <c r="R769" s="2" t="inlineStr"/>
    </row>
    <row r="770" ht="15" customHeight="1">
      <c r="A770" t="inlineStr">
        <is>
          <t>A 7224-2024</t>
        </is>
      </c>
      <c r="B770" s="1" t="n">
        <v>45344</v>
      </c>
      <c r="C770" s="1" t="n">
        <v>45354</v>
      </c>
      <c r="D770" t="inlineStr">
        <is>
          <t>JÄMTLANDS LÄN</t>
        </is>
      </c>
      <c r="E770" t="inlineStr">
        <is>
          <t>ÖSTERSUND</t>
        </is>
      </c>
      <c r="G770" t="n">
        <v>2.9</v>
      </c>
      <c r="H770" t="n">
        <v>0</v>
      </c>
      <c r="I770" t="n">
        <v>0</v>
      </c>
      <c r="J770" t="n">
        <v>0</v>
      </c>
      <c r="K770" t="n">
        <v>0</v>
      </c>
      <c r="L770" t="n">
        <v>0</v>
      </c>
      <c r="M770" t="n">
        <v>0</v>
      </c>
      <c r="N770" t="n">
        <v>0</v>
      </c>
      <c r="O770" t="n">
        <v>0</v>
      </c>
      <c r="P770" t="n">
        <v>0</v>
      </c>
      <c r="Q770" t="n">
        <v>0</v>
      </c>
      <c r="R770" s="2" t="inlineStr"/>
    </row>
    <row r="771" ht="15" customHeight="1">
      <c r="A771" t="inlineStr">
        <is>
          <t>A 7228-2024</t>
        </is>
      </c>
      <c r="B771" s="1" t="n">
        <v>45344</v>
      </c>
      <c r="C771" s="1" t="n">
        <v>45354</v>
      </c>
      <c r="D771" t="inlineStr">
        <is>
          <t>JÄMTLANDS LÄN</t>
        </is>
      </c>
      <c r="E771" t="inlineStr">
        <is>
          <t>ÖSTERSUND</t>
        </is>
      </c>
      <c r="G771" t="n">
        <v>3</v>
      </c>
      <c r="H771" t="n">
        <v>0</v>
      </c>
      <c r="I771" t="n">
        <v>0</v>
      </c>
      <c r="J771" t="n">
        <v>0</v>
      </c>
      <c r="K771" t="n">
        <v>0</v>
      </c>
      <c r="L771" t="n">
        <v>0</v>
      </c>
      <c r="M771" t="n">
        <v>0</v>
      </c>
      <c r="N771" t="n">
        <v>0</v>
      </c>
      <c r="O771" t="n">
        <v>0</v>
      </c>
      <c r="P771" t="n">
        <v>0</v>
      </c>
      <c r="Q771" t="n">
        <v>0</v>
      </c>
      <c r="R771" s="2" t="inlineStr"/>
    </row>
    <row r="772" ht="15" customHeight="1">
      <c r="A772" t="inlineStr">
        <is>
          <t>A 7233-2024</t>
        </is>
      </c>
      <c r="B772" s="1" t="n">
        <v>45344</v>
      </c>
      <c r="C772" s="1" t="n">
        <v>45354</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7484-2024</t>
        </is>
      </c>
      <c r="B773" s="1" t="n">
        <v>45346</v>
      </c>
      <c r="C773" s="1" t="n">
        <v>45354</v>
      </c>
      <c r="D773" t="inlineStr">
        <is>
          <t>JÄMTLANDS LÄN</t>
        </is>
      </c>
      <c r="E773" t="inlineStr">
        <is>
          <t>ÖSTERSUND</t>
        </is>
      </c>
      <c r="G773" t="n">
        <v>5.4</v>
      </c>
      <c r="H773" t="n">
        <v>0</v>
      </c>
      <c r="I773" t="n">
        <v>0</v>
      </c>
      <c r="J773" t="n">
        <v>0</v>
      </c>
      <c r="K773" t="n">
        <v>0</v>
      </c>
      <c r="L773" t="n">
        <v>0</v>
      </c>
      <c r="M773" t="n">
        <v>0</v>
      </c>
      <c r="N773" t="n">
        <v>0</v>
      </c>
      <c r="O773" t="n">
        <v>0</v>
      </c>
      <c r="P773" t="n">
        <v>0</v>
      </c>
      <c r="Q773" t="n">
        <v>0</v>
      </c>
      <c r="R773" s="2" t="inlineStr"/>
    </row>
    <row r="774" ht="15" customHeight="1">
      <c r="A774" t="inlineStr">
        <is>
          <t>A 7710-2024</t>
        </is>
      </c>
      <c r="B774" s="1" t="n">
        <v>45349</v>
      </c>
      <c r="C774" s="1" t="n">
        <v>45354</v>
      </c>
      <c r="D774" t="inlineStr">
        <is>
          <t>JÄMTLANDS LÄN</t>
        </is>
      </c>
      <c r="E774" t="inlineStr">
        <is>
          <t>ÖSTERSUND</t>
        </is>
      </c>
      <c r="F774" t="inlineStr">
        <is>
          <t>Övriga Aktiebolag</t>
        </is>
      </c>
      <c r="G774" t="n">
        <v>0.7</v>
      </c>
      <c r="H774" t="n">
        <v>0</v>
      </c>
      <c r="I774" t="n">
        <v>0</v>
      </c>
      <c r="J774" t="n">
        <v>0</v>
      </c>
      <c r="K774" t="n">
        <v>0</v>
      </c>
      <c r="L774" t="n">
        <v>0</v>
      </c>
      <c r="M774" t="n">
        <v>0</v>
      </c>
      <c r="N774" t="n">
        <v>0</v>
      </c>
      <c r="O774" t="n">
        <v>0</v>
      </c>
      <c r="P774" t="n">
        <v>0</v>
      </c>
      <c r="Q774" t="n">
        <v>0</v>
      </c>
      <c r="R774" s="2" t="inlineStr"/>
    </row>
    <row r="775" ht="15" customHeight="1">
      <c r="A775" t="inlineStr">
        <is>
          <t>A 7698-2024</t>
        </is>
      </c>
      <c r="B775" s="1" t="n">
        <v>45349</v>
      </c>
      <c r="C775" s="1" t="n">
        <v>45354</v>
      </c>
      <c r="D775" t="inlineStr">
        <is>
          <t>JÄMTLANDS LÄN</t>
        </is>
      </c>
      <c r="E775" t="inlineStr">
        <is>
          <t>ÖSTERSUND</t>
        </is>
      </c>
      <c r="F775" t="inlineStr">
        <is>
          <t>Övriga Aktiebolag</t>
        </is>
      </c>
      <c r="G775" t="n">
        <v>4.5</v>
      </c>
      <c r="H775" t="n">
        <v>0</v>
      </c>
      <c r="I775" t="n">
        <v>0</v>
      </c>
      <c r="J775" t="n">
        <v>0</v>
      </c>
      <c r="K775" t="n">
        <v>0</v>
      </c>
      <c r="L775" t="n">
        <v>0</v>
      </c>
      <c r="M775" t="n">
        <v>0</v>
      </c>
      <c r="N775" t="n">
        <v>0</v>
      </c>
      <c r="O775" t="n">
        <v>0</v>
      </c>
      <c r="P775" t="n">
        <v>0</v>
      </c>
      <c r="Q775" t="n">
        <v>0</v>
      </c>
      <c r="R775" s="2" t="inlineStr"/>
    </row>
    <row r="776" ht="15" customHeight="1">
      <c r="A776" t="inlineStr">
        <is>
          <t>A 7717-2024</t>
        </is>
      </c>
      <c r="B776" s="1" t="n">
        <v>45349</v>
      </c>
      <c r="C776" s="1" t="n">
        <v>45354</v>
      </c>
      <c r="D776" t="inlineStr">
        <is>
          <t>JÄMTLANDS LÄN</t>
        </is>
      </c>
      <c r="E776" t="inlineStr">
        <is>
          <t>ÖSTERSUND</t>
        </is>
      </c>
      <c r="F776" t="inlineStr">
        <is>
          <t>Övriga Aktiebolag</t>
        </is>
      </c>
      <c r="G776" t="n">
        <v>2.5</v>
      </c>
      <c r="H776" t="n">
        <v>0</v>
      </c>
      <c r="I776" t="n">
        <v>0</v>
      </c>
      <c r="J776" t="n">
        <v>0</v>
      </c>
      <c r="K776" t="n">
        <v>0</v>
      </c>
      <c r="L776" t="n">
        <v>0</v>
      </c>
      <c r="M776" t="n">
        <v>0</v>
      </c>
      <c r="N776" t="n">
        <v>0</v>
      </c>
      <c r="O776" t="n">
        <v>0</v>
      </c>
      <c r="P776" t="n">
        <v>0</v>
      </c>
      <c r="Q776" t="n">
        <v>0</v>
      </c>
      <c r="R776" s="2" t="inlineStr"/>
    </row>
    <row r="777">
      <c r="A777" t="inlineStr">
        <is>
          <t>A 8166-2024</t>
        </is>
      </c>
      <c r="B777" s="1" t="n">
        <v>45349</v>
      </c>
      <c r="C777" s="1" t="n">
        <v>45354</v>
      </c>
      <c r="D777" t="inlineStr">
        <is>
          <t>JÄMTLANDS LÄN</t>
        </is>
      </c>
      <c r="E777" t="inlineStr">
        <is>
          <t>ÖSTERSUND</t>
        </is>
      </c>
      <c r="G777" t="n">
        <v>2.7</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2024-03-03T13:01:41Z</dcterms:created>
  <dcterms:modified xmlns:dcterms="http://purl.org/dc/terms/" xmlns:xsi="http://www.w3.org/2001/XMLSchema-instance" xsi:type="dcterms:W3CDTF">2024-03-03T13:01:42Z</dcterms:modified>
</cp:coreProperties>
</file>