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45645</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45645</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45645</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45645</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45645</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45645</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45645</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45645</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45645</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45645</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45645</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45645</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45645</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45645</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45645</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45645</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45645</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45645</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45645</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45645</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45645</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45645</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45645</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45645</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45645</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45645</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45645</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45645</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45645</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45645</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45645</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45645</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45645</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45645</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45645</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45645</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45645</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45645</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45645</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45645</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45645</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45645</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45645</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45645</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45645</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45645</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45645</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45645</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45645</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45645</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45645</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45645</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45645</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45645</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45645</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45645</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45645</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45645</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45645</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45645</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45645</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45645</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45645</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45645</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45645</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45645</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45645</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45645</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45645</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45645</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45645</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45645</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45645</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45645</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45645</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45645</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45645</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45645</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45645</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45645</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45645</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45645</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45645</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45645</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45645</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45645</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45645</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45645</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45645</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45645</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45645</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45645</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45645</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45645</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45645</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45645</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45645</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45645</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45645</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45645</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45645</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45645</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45645</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45645</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45645</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45645</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45645</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45645</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45645</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45645</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45645</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45645</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45645</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45645</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60446-2024</t>
        </is>
      </c>
      <c r="B123" s="1" t="n">
        <v>45643</v>
      </c>
      <c r="C123" s="1" t="n">
        <v>45645</v>
      </c>
      <c r="D123" t="inlineStr">
        <is>
          <t>JÄMTLANDS LÄN</t>
        </is>
      </c>
      <c r="E123" t="inlineStr">
        <is>
          <t>ÖSTERSUND</t>
        </is>
      </c>
      <c r="F123" t="inlineStr">
        <is>
          <t>SCA</t>
        </is>
      </c>
      <c r="G123" t="n">
        <v>3.6</v>
      </c>
      <c r="H123" t="n">
        <v>0</v>
      </c>
      <c r="I123" t="n">
        <v>1</v>
      </c>
      <c r="J123" t="n">
        <v>1</v>
      </c>
      <c r="K123" t="n">
        <v>0</v>
      </c>
      <c r="L123" t="n">
        <v>0</v>
      </c>
      <c r="M123" t="n">
        <v>0</v>
      </c>
      <c r="N123" t="n">
        <v>0</v>
      </c>
      <c r="O123" t="n">
        <v>1</v>
      </c>
      <c r="P123" t="n">
        <v>0</v>
      </c>
      <c r="Q123" t="n">
        <v>2</v>
      </c>
      <c r="R123" s="2" t="inlineStr">
        <is>
          <t>Ullticka
Vedticka</t>
        </is>
      </c>
      <c r="S123">
        <f>HYPERLINK("https://klasma.github.io/Logging_2380/artfynd/A 60446-2024 artfynd.xlsx", "A 60446-2024")</f>
        <v/>
      </c>
      <c r="T123">
        <f>HYPERLINK("https://klasma.github.io/Logging_2380/kartor/A 60446-2024 karta.png", "A 60446-2024")</f>
        <v/>
      </c>
      <c r="V123">
        <f>HYPERLINK("https://klasma.github.io/Logging_2380/klagomål/A 60446-2024 FSC-klagomål.docx", "A 60446-2024")</f>
        <v/>
      </c>
      <c r="W123">
        <f>HYPERLINK("https://klasma.github.io/Logging_2380/klagomålsmail/A 60446-2024 FSC-klagomål mail.docx", "A 60446-2024")</f>
        <v/>
      </c>
      <c r="X123">
        <f>HYPERLINK("https://klasma.github.io/Logging_2380/tillsyn/A 60446-2024 tillsynsbegäran.docx", "A 60446-2024")</f>
        <v/>
      </c>
      <c r="Y123">
        <f>HYPERLINK("https://klasma.github.io/Logging_2380/tillsynsmail/A 60446-2024 tillsynsbegäran mail.docx", "A 60446-2024")</f>
        <v/>
      </c>
    </row>
    <row r="124" ht="15" customHeight="1">
      <c r="A124" t="inlineStr">
        <is>
          <t>A 30941-2019</t>
        </is>
      </c>
      <c r="B124" s="1" t="n">
        <v>43636</v>
      </c>
      <c r="C124" s="1" t="n">
        <v>45645</v>
      </c>
      <c r="D124" t="inlineStr">
        <is>
          <t>JÄMTLANDS LÄN</t>
        </is>
      </c>
      <c r="E124" t="inlineStr">
        <is>
          <t>ÖSTERSUND</t>
        </is>
      </c>
      <c r="F124" t="inlineStr">
        <is>
          <t>SCA</t>
        </is>
      </c>
      <c r="G124" t="n">
        <v>1.9</v>
      </c>
      <c r="H124" t="n">
        <v>1</v>
      </c>
      <c r="I124" t="n">
        <v>1</v>
      </c>
      <c r="J124" t="n">
        <v>0</v>
      </c>
      <c r="K124" t="n">
        <v>0</v>
      </c>
      <c r="L124" t="n">
        <v>0</v>
      </c>
      <c r="M124" t="n">
        <v>0</v>
      </c>
      <c r="N124" t="n">
        <v>0</v>
      </c>
      <c r="O124" t="n">
        <v>0</v>
      </c>
      <c r="P124" t="n">
        <v>0</v>
      </c>
      <c r="Q124" t="n">
        <v>1</v>
      </c>
      <c r="R124" s="2" t="inlineStr">
        <is>
          <t>Tvåblad</t>
        </is>
      </c>
      <c r="S124">
        <f>HYPERLINK("https://klasma.github.io/Logging_2380/artfynd/A 30941-2019 artfynd.xlsx", "A 30941-2019")</f>
        <v/>
      </c>
      <c r="T124">
        <f>HYPERLINK("https://klasma.github.io/Logging_2380/kartor/A 30941-2019 karta.png", "A 30941-2019")</f>
        <v/>
      </c>
      <c r="V124">
        <f>HYPERLINK("https://klasma.github.io/Logging_2380/klagomål/A 30941-2019 FSC-klagomål.docx", "A 30941-2019")</f>
        <v/>
      </c>
      <c r="W124">
        <f>HYPERLINK("https://klasma.github.io/Logging_2380/klagomålsmail/A 30941-2019 FSC-klagomål mail.docx", "A 30941-2019")</f>
        <v/>
      </c>
      <c r="X124">
        <f>HYPERLINK("https://klasma.github.io/Logging_2380/tillsyn/A 30941-2019 tillsynsbegäran.docx", "A 30941-2019")</f>
        <v/>
      </c>
      <c r="Y124">
        <f>HYPERLINK("https://klasma.github.io/Logging_2380/tillsynsmail/A 30941-2019 tillsynsbegäran mail.docx", "A 30941-2019")</f>
        <v/>
      </c>
    </row>
    <row r="125" ht="15" customHeight="1">
      <c r="A125" t="inlineStr">
        <is>
          <t>A 57757-2019</t>
        </is>
      </c>
      <c r="B125" s="1" t="n">
        <v>43768</v>
      </c>
      <c r="C125" s="1" t="n">
        <v>45645</v>
      </c>
      <c r="D125" t="inlineStr">
        <is>
          <t>JÄMTLANDS LÄN</t>
        </is>
      </c>
      <c r="E125" t="inlineStr">
        <is>
          <t>ÖSTERSUND</t>
        </is>
      </c>
      <c r="G125" t="n">
        <v>1.3</v>
      </c>
      <c r="H125" t="n">
        <v>1</v>
      </c>
      <c r="I125" t="n">
        <v>0</v>
      </c>
      <c r="J125" t="n">
        <v>0</v>
      </c>
      <c r="K125" t="n">
        <v>0</v>
      </c>
      <c r="L125" t="n">
        <v>0</v>
      </c>
      <c r="M125" t="n">
        <v>0</v>
      </c>
      <c r="N125" t="n">
        <v>0</v>
      </c>
      <c r="O125" t="n">
        <v>0</v>
      </c>
      <c r="P125" t="n">
        <v>0</v>
      </c>
      <c r="Q125" t="n">
        <v>1</v>
      </c>
      <c r="R125" s="2" t="inlineStr">
        <is>
          <t>Revlummer</t>
        </is>
      </c>
      <c r="S125">
        <f>HYPERLINK("https://klasma.github.io/Logging_2380/artfynd/A 57757-2019 artfynd.xlsx", "A 57757-2019")</f>
        <v/>
      </c>
      <c r="T125">
        <f>HYPERLINK("https://klasma.github.io/Logging_2380/kartor/A 57757-2019 karta.png", "A 57757-2019")</f>
        <v/>
      </c>
      <c r="V125">
        <f>HYPERLINK("https://klasma.github.io/Logging_2380/klagomål/A 57757-2019 FSC-klagomål.docx", "A 57757-2019")</f>
        <v/>
      </c>
      <c r="W125">
        <f>HYPERLINK("https://klasma.github.io/Logging_2380/klagomålsmail/A 57757-2019 FSC-klagomål mail.docx", "A 57757-2019")</f>
        <v/>
      </c>
      <c r="X125">
        <f>HYPERLINK("https://klasma.github.io/Logging_2380/tillsyn/A 57757-2019 tillsynsbegäran.docx", "A 57757-2019")</f>
        <v/>
      </c>
      <c r="Y125">
        <f>HYPERLINK("https://klasma.github.io/Logging_2380/tillsynsmail/A 57757-2019 tillsynsbegäran mail.docx", "A 57757-2019")</f>
        <v/>
      </c>
    </row>
    <row r="126" ht="15" customHeight="1">
      <c r="A126" t="inlineStr">
        <is>
          <t>A 61628-2019</t>
        </is>
      </c>
      <c r="B126" s="1" t="n">
        <v>43784</v>
      </c>
      <c r="C126" s="1" t="n">
        <v>45645</v>
      </c>
      <c r="D126" t="inlineStr">
        <is>
          <t>JÄMTLANDS LÄN</t>
        </is>
      </c>
      <c r="E126" t="inlineStr">
        <is>
          <t>ÖSTERSUND</t>
        </is>
      </c>
      <c r="G126" t="n">
        <v>5.6</v>
      </c>
      <c r="H126" t="n">
        <v>0</v>
      </c>
      <c r="I126" t="n">
        <v>1</v>
      </c>
      <c r="J126" t="n">
        <v>0</v>
      </c>
      <c r="K126" t="n">
        <v>0</v>
      </c>
      <c r="L126" t="n">
        <v>0</v>
      </c>
      <c r="M126" t="n">
        <v>0</v>
      </c>
      <c r="N126" t="n">
        <v>0</v>
      </c>
      <c r="O126" t="n">
        <v>0</v>
      </c>
      <c r="P126" t="n">
        <v>0</v>
      </c>
      <c r="Q126" t="n">
        <v>1</v>
      </c>
      <c r="R126" s="2" t="inlineStr">
        <is>
          <t>Tibast</t>
        </is>
      </c>
      <c r="S126">
        <f>HYPERLINK("https://klasma.github.io/Logging_2380/artfynd/A 61628-2019 artfynd.xlsx", "A 61628-2019")</f>
        <v/>
      </c>
      <c r="T126">
        <f>HYPERLINK("https://klasma.github.io/Logging_2380/kartor/A 61628-2019 karta.png", "A 61628-2019")</f>
        <v/>
      </c>
      <c r="V126">
        <f>HYPERLINK("https://klasma.github.io/Logging_2380/klagomål/A 61628-2019 FSC-klagomål.docx", "A 61628-2019")</f>
        <v/>
      </c>
      <c r="W126">
        <f>HYPERLINK("https://klasma.github.io/Logging_2380/klagomålsmail/A 61628-2019 FSC-klagomål mail.docx", "A 61628-2019")</f>
        <v/>
      </c>
      <c r="X126">
        <f>HYPERLINK("https://klasma.github.io/Logging_2380/tillsyn/A 61628-2019 tillsynsbegäran.docx", "A 61628-2019")</f>
        <v/>
      </c>
      <c r="Y126">
        <f>HYPERLINK("https://klasma.github.io/Logging_2380/tillsynsmail/A 61628-2019 tillsynsbegäran mail.docx", "A 61628-2019")</f>
        <v/>
      </c>
    </row>
    <row r="127" ht="15" customHeight="1">
      <c r="A127" t="inlineStr">
        <is>
          <t>A 11561-2020</t>
        </is>
      </c>
      <c r="B127" s="1" t="n">
        <v>43893</v>
      </c>
      <c r="C127" s="1" t="n">
        <v>45645</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Revlummer</t>
        </is>
      </c>
      <c r="S127">
        <f>HYPERLINK("https://klasma.github.io/Logging_2380/artfynd/A 11561-2020 artfynd.xlsx", "A 11561-2020")</f>
        <v/>
      </c>
      <c r="T127">
        <f>HYPERLINK("https://klasma.github.io/Logging_2380/kartor/A 11561-2020 karta.png", "A 11561-2020")</f>
        <v/>
      </c>
      <c r="V127">
        <f>HYPERLINK("https://klasma.github.io/Logging_2380/klagomål/A 11561-2020 FSC-klagomål.docx", "A 11561-2020")</f>
        <v/>
      </c>
      <c r="W127">
        <f>HYPERLINK("https://klasma.github.io/Logging_2380/klagomålsmail/A 11561-2020 FSC-klagomål mail.docx", "A 11561-2020")</f>
        <v/>
      </c>
      <c r="X127">
        <f>HYPERLINK("https://klasma.github.io/Logging_2380/tillsyn/A 11561-2020 tillsynsbegäran.docx", "A 11561-2020")</f>
        <v/>
      </c>
      <c r="Y127">
        <f>HYPERLINK("https://klasma.github.io/Logging_2380/tillsynsmail/A 11561-2020 tillsynsbegäran mail.docx", "A 11561-2020")</f>
        <v/>
      </c>
    </row>
    <row r="128" ht="15" customHeight="1">
      <c r="A128" t="inlineStr">
        <is>
          <t>A 35980-2020</t>
        </is>
      </c>
      <c r="B128" s="1" t="n">
        <v>44047</v>
      </c>
      <c r="C128" s="1" t="n">
        <v>45645</v>
      </c>
      <c r="D128" t="inlineStr">
        <is>
          <t>JÄMTLANDS LÄN</t>
        </is>
      </c>
      <c r="E128" t="inlineStr">
        <is>
          <t>ÖSTERSUND</t>
        </is>
      </c>
      <c r="G128" t="n">
        <v>0.7</v>
      </c>
      <c r="H128" t="n">
        <v>0</v>
      </c>
      <c r="I128" t="n">
        <v>0</v>
      </c>
      <c r="J128" t="n">
        <v>1</v>
      </c>
      <c r="K128" t="n">
        <v>0</v>
      </c>
      <c r="L128" t="n">
        <v>0</v>
      </c>
      <c r="M128" t="n">
        <v>0</v>
      </c>
      <c r="N128" t="n">
        <v>0</v>
      </c>
      <c r="O128" t="n">
        <v>1</v>
      </c>
      <c r="P128" t="n">
        <v>0</v>
      </c>
      <c r="Q128" t="n">
        <v>1</v>
      </c>
      <c r="R128" s="2" t="inlineStr">
        <is>
          <t>Slåtterfibbla</t>
        </is>
      </c>
      <c r="S128">
        <f>HYPERLINK("https://klasma.github.io/Logging_2380/artfynd/A 35980-2020 artfynd.xlsx", "A 35980-2020")</f>
        <v/>
      </c>
      <c r="T128">
        <f>HYPERLINK("https://klasma.github.io/Logging_2380/kartor/A 35980-2020 karta.png", "A 35980-2020")</f>
        <v/>
      </c>
      <c r="U128">
        <f>HYPERLINK("https://klasma.github.io/Logging_2380/knärot/A 35980-2020 karta knärot.png", "A 35980-2020")</f>
        <v/>
      </c>
      <c r="V128">
        <f>HYPERLINK("https://klasma.github.io/Logging_2380/klagomål/A 35980-2020 FSC-klagomål.docx", "A 35980-2020")</f>
        <v/>
      </c>
      <c r="W128">
        <f>HYPERLINK("https://klasma.github.io/Logging_2380/klagomålsmail/A 35980-2020 FSC-klagomål mail.docx", "A 35980-2020")</f>
        <v/>
      </c>
      <c r="X128">
        <f>HYPERLINK("https://klasma.github.io/Logging_2380/tillsyn/A 35980-2020 tillsynsbegäran.docx", "A 35980-2020")</f>
        <v/>
      </c>
      <c r="Y128">
        <f>HYPERLINK("https://klasma.github.io/Logging_2380/tillsynsmail/A 35980-2020 tillsynsbegäran mail.docx", "A 35980-2020")</f>
        <v/>
      </c>
    </row>
    <row r="129" ht="15" customHeight="1">
      <c r="A129" t="inlineStr">
        <is>
          <t>A 63775-2020</t>
        </is>
      </c>
      <c r="B129" s="1" t="n">
        <v>44165</v>
      </c>
      <c r="C129" s="1" t="n">
        <v>45645</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Fläcknycklar</t>
        </is>
      </c>
      <c r="S129">
        <f>HYPERLINK("https://klasma.github.io/Logging_2380/artfynd/A 63775-2020 artfynd.xlsx", "A 63775-2020")</f>
        <v/>
      </c>
      <c r="T129">
        <f>HYPERLINK("https://klasma.github.io/Logging_2380/kartor/A 63775-2020 karta.png", "A 63775-2020")</f>
        <v/>
      </c>
      <c r="V129">
        <f>HYPERLINK("https://klasma.github.io/Logging_2380/klagomål/A 63775-2020 FSC-klagomål.docx", "A 63775-2020")</f>
        <v/>
      </c>
      <c r="W129">
        <f>HYPERLINK("https://klasma.github.io/Logging_2380/klagomålsmail/A 63775-2020 FSC-klagomål mail.docx", "A 63775-2020")</f>
        <v/>
      </c>
      <c r="X129">
        <f>HYPERLINK("https://klasma.github.io/Logging_2380/tillsyn/A 63775-2020 tillsynsbegäran.docx", "A 63775-2020")</f>
        <v/>
      </c>
      <c r="Y129">
        <f>HYPERLINK("https://klasma.github.io/Logging_2380/tillsynsmail/A 63775-2020 tillsynsbegäran mail.docx", "A 63775-2020")</f>
        <v/>
      </c>
    </row>
    <row r="130" ht="15" customHeight="1">
      <c r="A130" t="inlineStr">
        <is>
          <t>A 13362-2021</t>
        </is>
      </c>
      <c r="B130" s="1" t="n">
        <v>44272</v>
      </c>
      <c r="C130" s="1" t="n">
        <v>45645</v>
      </c>
      <c r="D130" t="inlineStr">
        <is>
          <t>JÄMTLANDS LÄN</t>
        </is>
      </c>
      <c r="E130" t="inlineStr">
        <is>
          <t>ÖSTERSUND</t>
        </is>
      </c>
      <c r="G130" t="n">
        <v>0.8</v>
      </c>
      <c r="H130" t="n">
        <v>1</v>
      </c>
      <c r="I130" t="n">
        <v>0</v>
      </c>
      <c r="J130" t="n">
        <v>0</v>
      </c>
      <c r="K130" t="n">
        <v>0</v>
      </c>
      <c r="L130" t="n">
        <v>0</v>
      </c>
      <c r="M130" t="n">
        <v>0</v>
      </c>
      <c r="N130" t="n">
        <v>0</v>
      </c>
      <c r="O130" t="n">
        <v>0</v>
      </c>
      <c r="P130" t="n">
        <v>0</v>
      </c>
      <c r="Q130" t="n">
        <v>1</v>
      </c>
      <c r="R130" s="2" t="inlineStr">
        <is>
          <t>Blåsippa</t>
        </is>
      </c>
      <c r="S130">
        <f>HYPERLINK("https://klasma.github.io/Logging_2380/artfynd/A 13362-2021 artfynd.xlsx", "A 13362-2021")</f>
        <v/>
      </c>
      <c r="T130">
        <f>HYPERLINK("https://klasma.github.io/Logging_2380/kartor/A 13362-2021 karta.png", "A 13362-2021")</f>
        <v/>
      </c>
      <c r="V130">
        <f>HYPERLINK("https://klasma.github.io/Logging_2380/klagomål/A 13362-2021 FSC-klagomål.docx", "A 13362-2021")</f>
        <v/>
      </c>
      <c r="W130">
        <f>HYPERLINK("https://klasma.github.io/Logging_2380/klagomålsmail/A 13362-2021 FSC-klagomål mail.docx", "A 13362-2021")</f>
        <v/>
      </c>
      <c r="X130">
        <f>HYPERLINK("https://klasma.github.io/Logging_2380/tillsyn/A 13362-2021 tillsynsbegäran.docx", "A 13362-2021")</f>
        <v/>
      </c>
      <c r="Y130">
        <f>HYPERLINK("https://klasma.github.io/Logging_2380/tillsynsmail/A 13362-2021 tillsynsbegäran mail.docx", "A 13362-2021")</f>
        <v/>
      </c>
    </row>
    <row r="131" ht="15" customHeight="1">
      <c r="A131" t="inlineStr">
        <is>
          <t>A 17217-2021</t>
        </is>
      </c>
      <c r="B131" s="1" t="n">
        <v>44298</v>
      </c>
      <c r="C131" s="1" t="n">
        <v>45645</v>
      </c>
      <c r="D131" t="inlineStr">
        <is>
          <t>JÄMTLANDS LÄN</t>
        </is>
      </c>
      <c r="E131" t="inlineStr">
        <is>
          <t>ÖSTERSUND</t>
        </is>
      </c>
      <c r="G131" t="n">
        <v>10.4</v>
      </c>
      <c r="H131" t="n">
        <v>0</v>
      </c>
      <c r="I131" t="n">
        <v>0</v>
      </c>
      <c r="J131" t="n">
        <v>1</v>
      </c>
      <c r="K131" t="n">
        <v>0</v>
      </c>
      <c r="L131" t="n">
        <v>0</v>
      </c>
      <c r="M131" t="n">
        <v>0</v>
      </c>
      <c r="N131" t="n">
        <v>0</v>
      </c>
      <c r="O131" t="n">
        <v>1</v>
      </c>
      <c r="P131" t="n">
        <v>0</v>
      </c>
      <c r="Q131" t="n">
        <v>1</v>
      </c>
      <c r="R131" s="2" t="inlineStr">
        <is>
          <t>Rödbrun klubbdyna</t>
        </is>
      </c>
      <c r="S131">
        <f>HYPERLINK("https://klasma.github.io/Logging_2380/artfynd/A 17217-2021 artfynd.xlsx", "A 17217-2021")</f>
        <v/>
      </c>
      <c r="T131">
        <f>HYPERLINK("https://klasma.github.io/Logging_2380/kartor/A 17217-2021 karta.png", "A 17217-2021")</f>
        <v/>
      </c>
      <c r="V131">
        <f>HYPERLINK("https://klasma.github.io/Logging_2380/klagomål/A 17217-2021 FSC-klagomål.docx", "A 17217-2021")</f>
        <v/>
      </c>
      <c r="W131">
        <f>HYPERLINK("https://klasma.github.io/Logging_2380/klagomålsmail/A 17217-2021 FSC-klagomål mail.docx", "A 17217-2021")</f>
        <v/>
      </c>
      <c r="X131">
        <f>HYPERLINK("https://klasma.github.io/Logging_2380/tillsyn/A 17217-2021 tillsynsbegäran.docx", "A 17217-2021")</f>
        <v/>
      </c>
      <c r="Y131">
        <f>HYPERLINK("https://klasma.github.io/Logging_2380/tillsynsmail/A 17217-2021 tillsynsbegäran mail.docx", "A 17217-2021")</f>
        <v/>
      </c>
    </row>
    <row r="132" ht="15" customHeight="1">
      <c r="A132" t="inlineStr">
        <is>
          <t>A 25839-2021</t>
        </is>
      </c>
      <c r="B132" s="1" t="n">
        <v>44343</v>
      </c>
      <c r="C132" s="1" t="n">
        <v>45645</v>
      </c>
      <c r="D132" t="inlineStr">
        <is>
          <t>JÄMTLANDS LÄN</t>
        </is>
      </c>
      <c r="E132" t="inlineStr">
        <is>
          <t>ÖSTERSUND</t>
        </is>
      </c>
      <c r="G132" t="n">
        <v>13</v>
      </c>
      <c r="H132" t="n">
        <v>1</v>
      </c>
      <c r="I132" t="n">
        <v>0</v>
      </c>
      <c r="J132" t="n">
        <v>0</v>
      </c>
      <c r="K132" t="n">
        <v>0</v>
      </c>
      <c r="L132" t="n">
        <v>1</v>
      </c>
      <c r="M132" t="n">
        <v>0</v>
      </c>
      <c r="N132" t="n">
        <v>0</v>
      </c>
      <c r="O132" t="n">
        <v>1</v>
      </c>
      <c r="P132" t="n">
        <v>1</v>
      </c>
      <c r="Q132" t="n">
        <v>1</v>
      </c>
      <c r="R132" s="2" t="inlineStr">
        <is>
          <t>Violett guldvinge</t>
        </is>
      </c>
      <c r="S132">
        <f>HYPERLINK("https://klasma.github.io/Logging_2380/artfynd/A 25839-2021 artfynd.xlsx", "A 25839-2021")</f>
        <v/>
      </c>
      <c r="T132">
        <f>HYPERLINK("https://klasma.github.io/Logging_2380/kartor/A 25839-2021 karta.png", "A 25839-2021")</f>
        <v/>
      </c>
      <c r="V132">
        <f>HYPERLINK("https://klasma.github.io/Logging_2380/klagomål/A 25839-2021 FSC-klagomål.docx", "A 25839-2021")</f>
        <v/>
      </c>
      <c r="W132">
        <f>HYPERLINK("https://klasma.github.io/Logging_2380/klagomålsmail/A 25839-2021 FSC-klagomål mail.docx", "A 25839-2021")</f>
        <v/>
      </c>
      <c r="X132">
        <f>HYPERLINK("https://klasma.github.io/Logging_2380/tillsyn/A 25839-2021 tillsynsbegäran.docx", "A 25839-2021")</f>
        <v/>
      </c>
      <c r="Y132">
        <f>HYPERLINK("https://klasma.github.io/Logging_2380/tillsynsmail/A 25839-2021 tillsynsbegäran mail.docx", "A 25839-2021")</f>
        <v/>
      </c>
    </row>
    <row r="133" ht="15" customHeight="1">
      <c r="A133" t="inlineStr">
        <is>
          <t>A 31328-2021</t>
        </is>
      </c>
      <c r="B133" s="1" t="n">
        <v>44368</v>
      </c>
      <c r="C133" s="1" t="n">
        <v>45645</v>
      </c>
      <c r="D133" t="inlineStr">
        <is>
          <t>JÄMTLANDS LÄN</t>
        </is>
      </c>
      <c r="E133" t="inlineStr">
        <is>
          <t>ÖSTERSUND</t>
        </is>
      </c>
      <c r="G133" t="n">
        <v>6.3</v>
      </c>
      <c r="H133" t="n">
        <v>1</v>
      </c>
      <c r="I133" t="n">
        <v>0</v>
      </c>
      <c r="J133" t="n">
        <v>0</v>
      </c>
      <c r="K133" t="n">
        <v>0</v>
      </c>
      <c r="L133" t="n">
        <v>0</v>
      </c>
      <c r="M133" t="n">
        <v>0</v>
      </c>
      <c r="N133" t="n">
        <v>0</v>
      </c>
      <c r="O133" t="n">
        <v>0</v>
      </c>
      <c r="P133" t="n">
        <v>0</v>
      </c>
      <c r="Q133" t="n">
        <v>1</v>
      </c>
      <c r="R133" s="2" t="inlineStr">
        <is>
          <t>Fläcknycklar</t>
        </is>
      </c>
      <c r="S133">
        <f>HYPERLINK("https://klasma.github.io/Logging_2380/artfynd/A 31328-2021 artfynd.xlsx", "A 31328-2021")</f>
        <v/>
      </c>
      <c r="T133">
        <f>HYPERLINK("https://klasma.github.io/Logging_2380/kartor/A 31328-2021 karta.png", "A 31328-2021")</f>
        <v/>
      </c>
      <c r="V133">
        <f>HYPERLINK("https://klasma.github.io/Logging_2380/klagomål/A 31328-2021 FSC-klagomål.docx", "A 31328-2021")</f>
        <v/>
      </c>
      <c r="W133">
        <f>HYPERLINK("https://klasma.github.io/Logging_2380/klagomålsmail/A 31328-2021 FSC-klagomål mail.docx", "A 31328-2021")</f>
        <v/>
      </c>
      <c r="X133">
        <f>HYPERLINK("https://klasma.github.io/Logging_2380/tillsyn/A 31328-2021 tillsynsbegäran.docx", "A 31328-2021")</f>
        <v/>
      </c>
      <c r="Y133">
        <f>HYPERLINK("https://klasma.github.io/Logging_2380/tillsynsmail/A 31328-2021 tillsynsbegäran mail.docx", "A 31328-2021")</f>
        <v/>
      </c>
    </row>
    <row r="134" ht="15" customHeight="1">
      <c r="A134" t="inlineStr">
        <is>
          <t>A 33137-2021</t>
        </is>
      </c>
      <c r="B134" s="1" t="n">
        <v>44376</v>
      </c>
      <c r="C134" s="1" t="n">
        <v>45645</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46163-2021</t>
        </is>
      </c>
      <c r="B135" s="1" t="n">
        <v>44441</v>
      </c>
      <c r="C135" s="1" t="n">
        <v>45645</v>
      </c>
      <c r="D135" t="inlineStr">
        <is>
          <t>JÄMTLANDS LÄN</t>
        </is>
      </c>
      <c r="E135" t="inlineStr">
        <is>
          <t>ÖSTERSUND</t>
        </is>
      </c>
      <c r="G135" t="n">
        <v>7.7</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46163-2021 artfynd.xlsx", "A 46163-2021")</f>
        <v/>
      </c>
      <c r="T135">
        <f>HYPERLINK("https://klasma.github.io/Logging_2380/kartor/A 46163-2021 karta.png", "A 46163-2021")</f>
        <v/>
      </c>
      <c r="V135">
        <f>HYPERLINK("https://klasma.github.io/Logging_2380/klagomål/A 46163-2021 FSC-klagomål.docx", "A 46163-2021")</f>
        <v/>
      </c>
      <c r="W135">
        <f>HYPERLINK("https://klasma.github.io/Logging_2380/klagomålsmail/A 46163-2021 FSC-klagomål mail.docx", "A 46163-2021")</f>
        <v/>
      </c>
      <c r="X135">
        <f>HYPERLINK("https://klasma.github.io/Logging_2380/tillsyn/A 46163-2021 tillsynsbegäran.docx", "A 46163-2021")</f>
        <v/>
      </c>
      <c r="Y135">
        <f>HYPERLINK("https://klasma.github.io/Logging_2380/tillsynsmail/A 46163-2021 tillsynsbegäran mail.docx", "A 46163-2021")</f>
        <v/>
      </c>
      <c r="Z135">
        <f>HYPERLINK("https://klasma.github.io/Logging_2380/fåglar/A 46163-2021 prioriterade fågelarter.docx", "A 46163-2021")</f>
        <v/>
      </c>
    </row>
    <row r="136" ht="15" customHeight="1">
      <c r="A136" t="inlineStr">
        <is>
          <t>A 55821-2021</t>
        </is>
      </c>
      <c r="B136" s="1" t="n">
        <v>44476</v>
      </c>
      <c r="C136" s="1" t="n">
        <v>45645</v>
      </c>
      <c r="D136" t="inlineStr">
        <is>
          <t>JÄMTLANDS LÄN</t>
        </is>
      </c>
      <c r="E136" t="inlineStr">
        <is>
          <t>ÖSTERSUND</t>
        </is>
      </c>
      <c r="G136" t="n">
        <v>7.2</v>
      </c>
      <c r="H136" t="n">
        <v>0</v>
      </c>
      <c r="I136" t="n">
        <v>0</v>
      </c>
      <c r="J136" t="n">
        <v>1</v>
      </c>
      <c r="K136" t="n">
        <v>0</v>
      </c>
      <c r="L136" t="n">
        <v>0</v>
      </c>
      <c r="M136" t="n">
        <v>0</v>
      </c>
      <c r="N136" t="n">
        <v>0</v>
      </c>
      <c r="O136" t="n">
        <v>1</v>
      </c>
      <c r="P136" t="n">
        <v>0</v>
      </c>
      <c r="Q136" t="n">
        <v>1</v>
      </c>
      <c r="R136" s="2" t="inlineStr">
        <is>
          <t>Harticka</t>
        </is>
      </c>
      <c r="S136">
        <f>HYPERLINK("https://klasma.github.io/Logging_2380/artfynd/A 55821-2021 artfynd.xlsx", "A 55821-2021")</f>
        <v/>
      </c>
      <c r="T136">
        <f>HYPERLINK("https://klasma.github.io/Logging_2380/kartor/A 55821-2021 karta.png", "A 55821-2021")</f>
        <v/>
      </c>
      <c r="V136">
        <f>HYPERLINK("https://klasma.github.io/Logging_2380/klagomål/A 55821-2021 FSC-klagomål.docx", "A 55821-2021")</f>
        <v/>
      </c>
      <c r="W136">
        <f>HYPERLINK("https://klasma.github.io/Logging_2380/klagomålsmail/A 55821-2021 FSC-klagomål mail.docx", "A 55821-2021")</f>
        <v/>
      </c>
      <c r="X136">
        <f>HYPERLINK("https://klasma.github.io/Logging_2380/tillsyn/A 55821-2021 tillsynsbegäran.docx", "A 55821-2021")</f>
        <v/>
      </c>
      <c r="Y136">
        <f>HYPERLINK("https://klasma.github.io/Logging_2380/tillsynsmail/A 55821-2021 tillsynsbegäran mail.docx", "A 55821-2021")</f>
        <v/>
      </c>
    </row>
    <row r="137" ht="15" customHeight="1">
      <c r="A137" t="inlineStr">
        <is>
          <t>A 59433-2021</t>
        </is>
      </c>
      <c r="B137" s="1" t="n">
        <v>44491</v>
      </c>
      <c r="C137" s="1" t="n">
        <v>45645</v>
      </c>
      <c r="D137" t="inlineStr">
        <is>
          <t>JÄMTLANDS LÄN</t>
        </is>
      </c>
      <c r="E137" t="inlineStr">
        <is>
          <t>ÖSTERSUND</t>
        </is>
      </c>
      <c r="F137" t="inlineStr">
        <is>
          <t>Övriga statliga verk och myndigheter</t>
        </is>
      </c>
      <c r="G137" t="n">
        <v>1.6</v>
      </c>
      <c r="H137" t="n">
        <v>0</v>
      </c>
      <c r="I137" t="n">
        <v>0</v>
      </c>
      <c r="J137" t="n">
        <v>1</v>
      </c>
      <c r="K137" t="n">
        <v>0</v>
      </c>
      <c r="L137" t="n">
        <v>0</v>
      </c>
      <c r="M137" t="n">
        <v>0</v>
      </c>
      <c r="N137" t="n">
        <v>0</v>
      </c>
      <c r="O137" t="n">
        <v>1</v>
      </c>
      <c r="P137" t="n">
        <v>0</v>
      </c>
      <c r="Q137" t="n">
        <v>1</v>
      </c>
      <c r="R137" s="2" t="inlineStr">
        <is>
          <t>Brunpudrad nållav</t>
        </is>
      </c>
      <c r="S137">
        <f>HYPERLINK("https://klasma.github.io/Logging_2380/artfynd/A 59433-2021 artfynd.xlsx", "A 59433-2021")</f>
        <v/>
      </c>
      <c r="T137">
        <f>HYPERLINK("https://klasma.github.io/Logging_2380/kartor/A 59433-2021 karta.png", "A 59433-2021")</f>
        <v/>
      </c>
      <c r="V137">
        <f>HYPERLINK("https://klasma.github.io/Logging_2380/klagomål/A 59433-2021 FSC-klagomål.docx", "A 59433-2021")</f>
        <v/>
      </c>
      <c r="W137">
        <f>HYPERLINK("https://klasma.github.io/Logging_2380/klagomålsmail/A 59433-2021 FSC-klagomål mail.docx", "A 59433-2021")</f>
        <v/>
      </c>
      <c r="X137">
        <f>HYPERLINK("https://klasma.github.io/Logging_2380/tillsyn/A 59433-2021 tillsynsbegäran.docx", "A 59433-2021")</f>
        <v/>
      </c>
      <c r="Y137">
        <f>HYPERLINK("https://klasma.github.io/Logging_2380/tillsynsmail/A 59433-2021 tillsynsbegäran mail.docx", "A 59433-2021")</f>
        <v/>
      </c>
    </row>
    <row r="138" ht="15" customHeight="1">
      <c r="A138" t="inlineStr">
        <is>
          <t>A 9739-2022</t>
        </is>
      </c>
      <c r="B138" s="1" t="n">
        <v>44617</v>
      </c>
      <c r="C138" s="1" t="n">
        <v>45645</v>
      </c>
      <c r="D138" t="inlineStr">
        <is>
          <t>JÄMTLANDS LÄN</t>
        </is>
      </c>
      <c r="E138" t="inlineStr">
        <is>
          <t>ÖSTERSUND</t>
        </is>
      </c>
      <c r="F138" t="inlineStr">
        <is>
          <t>SCA</t>
        </is>
      </c>
      <c r="G138" t="n">
        <v>13.5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9739-2022 artfynd.xlsx", "A 9739-2022")</f>
        <v/>
      </c>
      <c r="T138">
        <f>HYPERLINK("https://klasma.github.io/Logging_2380/kartor/A 9739-2022 karta.png", "A 9739-2022")</f>
        <v/>
      </c>
      <c r="V138">
        <f>HYPERLINK("https://klasma.github.io/Logging_2380/klagomål/A 9739-2022 FSC-klagomål.docx", "A 9739-2022")</f>
        <v/>
      </c>
      <c r="W138">
        <f>HYPERLINK("https://klasma.github.io/Logging_2380/klagomålsmail/A 9739-2022 FSC-klagomål mail.docx", "A 9739-2022")</f>
        <v/>
      </c>
      <c r="X138">
        <f>HYPERLINK("https://klasma.github.io/Logging_2380/tillsyn/A 9739-2022 tillsynsbegäran.docx", "A 9739-2022")</f>
        <v/>
      </c>
      <c r="Y138">
        <f>HYPERLINK("https://klasma.github.io/Logging_2380/tillsynsmail/A 9739-2022 tillsynsbegäran mail.docx", "A 9739-2022")</f>
        <v/>
      </c>
    </row>
    <row r="139" ht="15" customHeight="1">
      <c r="A139" t="inlineStr">
        <is>
          <t>A 10336-2022</t>
        </is>
      </c>
      <c r="B139" s="1" t="n">
        <v>44623</v>
      </c>
      <c r="C139" s="1" t="n">
        <v>45645</v>
      </c>
      <c r="D139" t="inlineStr">
        <is>
          <t>JÄMTLANDS LÄN</t>
        </is>
      </c>
      <c r="E139" t="inlineStr">
        <is>
          <t>ÖSTERSUND</t>
        </is>
      </c>
      <c r="G139" t="n">
        <v>0.9</v>
      </c>
      <c r="H139" t="n">
        <v>0</v>
      </c>
      <c r="I139" t="n">
        <v>1</v>
      </c>
      <c r="J139" t="n">
        <v>0</v>
      </c>
      <c r="K139" t="n">
        <v>0</v>
      </c>
      <c r="L139" t="n">
        <v>0</v>
      </c>
      <c r="M139" t="n">
        <v>0</v>
      </c>
      <c r="N139" t="n">
        <v>0</v>
      </c>
      <c r="O139" t="n">
        <v>0</v>
      </c>
      <c r="P139" t="n">
        <v>0</v>
      </c>
      <c r="Q139" t="n">
        <v>1</v>
      </c>
      <c r="R139" s="2" t="inlineStr">
        <is>
          <t>Underviol</t>
        </is>
      </c>
      <c r="S139">
        <f>HYPERLINK("https://klasma.github.io/Logging_2380/artfynd/A 10336-2022 artfynd.xlsx", "A 10336-2022")</f>
        <v/>
      </c>
      <c r="T139">
        <f>HYPERLINK("https://klasma.github.io/Logging_2380/kartor/A 10336-2022 karta.png", "A 10336-2022")</f>
        <v/>
      </c>
      <c r="V139">
        <f>HYPERLINK("https://klasma.github.io/Logging_2380/klagomål/A 10336-2022 FSC-klagomål.docx", "A 10336-2022")</f>
        <v/>
      </c>
      <c r="W139">
        <f>HYPERLINK("https://klasma.github.io/Logging_2380/klagomålsmail/A 10336-2022 FSC-klagomål mail.docx", "A 10336-2022")</f>
        <v/>
      </c>
      <c r="X139">
        <f>HYPERLINK("https://klasma.github.io/Logging_2380/tillsyn/A 10336-2022 tillsynsbegäran.docx", "A 10336-2022")</f>
        <v/>
      </c>
      <c r="Y139">
        <f>HYPERLINK("https://klasma.github.io/Logging_2380/tillsynsmail/A 10336-2022 tillsynsbegäran mail.docx", "A 10336-2022")</f>
        <v/>
      </c>
    </row>
    <row r="140" ht="15" customHeight="1">
      <c r="A140" t="inlineStr">
        <is>
          <t>A 19798-2022</t>
        </is>
      </c>
      <c r="B140" s="1" t="n">
        <v>44694</v>
      </c>
      <c r="C140" s="1" t="n">
        <v>45645</v>
      </c>
      <c r="D140" t="inlineStr">
        <is>
          <t>JÄMTLANDS LÄN</t>
        </is>
      </c>
      <c r="E140" t="inlineStr">
        <is>
          <t>ÖSTERSUND</t>
        </is>
      </c>
      <c r="F140" t="inlineStr">
        <is>
          <t>SCA</t>
        </is>
      </c>
      <c r="G140" t="n">
        <v>1</v>
      </c>
      <c r="H140" t="n">
        <v>1</v>
      </c>
      <c r="I140" t="n">
        <v>1</v>
      </c>
      <c r="J140" t="n">
        <v>0</v>
      </c>
      <c r="K140" t="n">
        <v>0</v>
      </c>
      <c r="L140" t="n">
        <v>0</v>
      </c>
      <c r="M140" t="n">
        <v>0</v>
      </c>
      <c r="N140" t="n">
        <v>0</v>
      </c>
      <c r="O140" t="n">
        <v>0</v>
      </c>
      <c r="P140" t="n">
        <v>0</v>
      </c>
      <c r="Q140" t="n">
        <v>1</v>
      </c>
      <c r="R140" s="2" t="inlineStr">
        <is>
          <t>Guckusko</t>
        </is>
      </c>
      <c r="S140">
        <f>HYPERLINK("https://klasma.github.io/Logging_2380/artfynd/A 19798-2022 artfynd.xlsx", "A 19798-2022")</f>
        <v/>
      </c>
      <c r="T140">
        <f>HYPERLINK("https://klasma.github.io/Logging_2380/kartor/A 19798-2022 karta.png", "A 19798-2022")</f>
        <v/>
      </c>
      <c r="V140">
        <f>HYPERLINK("https://klasma.github.io/Logging_2380/klagomål/A 19798-2022 FSC-klagomål.docx", "A 19798-2022")</f>
        <v/>
      </c>
      <c r="W140">
        <f>HYPERLINK("https://klasma.github.io/Logging_2380/klagomålsmail/A 19798-2022 FSC-klagomål mail.docx", "A 19798-2022")</f>
        <v/>
      </c>
      <c r="X140">
        <f>HYPERLINK("https://klasma.github.io/Logging_2380/tillsyn/A 19798-2022 tillsynsbegäran.docx", "A 19798-2022")</f>
        <v/>
      </c>
      <c r="Y140">
        <f>HYPERLINK("https://klasma.github.io/Logging_2380/tillsynsmail/A 19798-2022 tillsynsbegäran mail.docx", "A 19798-2022")</f>
        <v/>
      </c>
    </row>
    <row r="141" ht="15" customHeight="1">
      <c r="A141" t="inlineStr">
        <is>
          <t>A 27578-2022</t>
        </is>
      </c>
      <c r="B141" s="1" t="n">
        <v>44742</v>
      </c>
      <c r="C141" s="1" t="n">
        <v>45645</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27576-2022</t>
        </is>
      </c>
      <c r="B142" s="1" t="n">
        <v>44742</v>
      </c>
      <c r="C142" s="1" t="n">
        <v>45645</v>
      </c>
      <c r="D142" t="inlineStr">
        <is>
          <t>JÄMTLANDS LÄN</t>
        </is>
      </c>
      <c r="E142" t="inlineStr">
        <is>
          <t>ÖSTERSUND</t>
        </is>
      </c>
      <c r="F142" t="inlineStr">
        <is>
          <t>SCA</t>
        </is>
      </c>
      <c r="G142" t="n">
        <v>0.6</v>
      </c>
      <c r="H142" t="n">
        <v>0</v>
      </c>
      <c r="I142" t="n">
        <v>0</v>
      </c>
      <c r="J142" t="n">
        <v>1</v>
      </c>
      <c r="K142" t="n">
        <v>0</v>
      </c>
      <c r="L142" t="n">
        <v>0</v>
      </c>
      <c r="M142" t="n">
        <v>0</v>
      </c>
      <c r="N142" t="n">
        <v>0</v>
      </c>
      <c r="O142" t="n">
        <v>1</v>
      </c>
      <c r="P142" t="n">
        <v>0</v>
      </c>
      <c r="Q142" t="n">
        <v>1</v>
      </c>
      <c r="R142" s="2" t="inlineStr">
        <is>
          <t>Ullticka</t>
        </is>
      </c>
      <c r="S142">
        <f>HYPERLINK("https://klasma.github.io/Logging_2380/artfynd/A 27576-2022 artfynd.xlsx", "A 27576-2022")</f>
        <v/>
      </c>
      <c r="T142">
        <f>HYPERLINK("https://klasma.github.io/Logging_2380/kartor/A 27576-2022 karta.png", "A 27576-2022")</f>
        <v/>
      </c>
      <c r="U142">
        <f>HYPERLINK("https://klasma.github.io/Logging_2380/knärot/A 27576-2022 karta knärot.png", "A 27576-2022")</f>
        <v/>
      </c>
      <c r="V142">
        <f>HYPERLINK("https://klasma.github.io/Logging_2380/klagomål/A 27576-2022 FSC-klagomål.docx", "A 27576-2022")</f>
        <v/>
      </c>
      <c r="W142">
        <f>HYPERLINK("https://klasma.github.io/Logging_2380/klagomålsmail/A 27576-2022 FSC-klagomål mail.docx", "A 27576-2022")</f>
        <v/>
      </c>
      <c r="X142">
        <f>HYPERLINK("https://klasma.github.io/Logging_2380/tillsyn/A 27576-2022 tillsynsbegäran.docx", "A 27576-2022")</f>
        <v/>
      </c>
      <c r="Y142">
        <f>HYPERLINK("https://klasma.github.io/Logging_2380/tillsynsmail/A 27576-2022 tillsynsbegäran mail.docx", "A 27576-2022")</f>
        <v/>
      </c>
    </row>
    <row r="143" ht="15" customHeight="1">
      <c r="A143" t="inlineStr">
        <is>
          <t>A 33267-2022</t>
        </is>
      </c>
      <c r="B143" s="1" t="n">
        <v>44785</v>
      </c>
      <c r="C143" s="1" t="n">
        <v>45645</v>
      </c>
      <c r="D143" t="inlineStr">
        <is>
          <t>JÄMTLANDS LÄN</t>
        </is>
      </c>
      <c r="E143" t="inlineStr">
        <is>
          <t>ÖSTERSUND</t>
        </is>
      </c>
      <c r="G143" t="n">
        <v>0.9</v>
      </c>
      <c r="H143" t="n">
        <v>1</v>
      </c>
      <c r="I143" t="n">
        <v>0</v>
      </c>
      <c r="J143" t="n">
        <v>1</v>
      </c>
      <c r="K143" t="n">
        <v>0</v>
      </c>
      <c r="L143" t="n">
        <v>0</v>
      </c>
      <c r="M143" t="n">
        <v>0</v>
      </c>
      <c r="N143" t="n">
        <v>0</v>
      </c>
      <c r="O143" t="n">
        <v>1</v>
      </c>
      <c r="P143" t="n">
        <v>0</v>
      </c>
      <c r="Q143" t="n">
        <v>1</v>
      </c>
      <c r="R143" s="2" t="inlineStr">
        <is>
          <t>Talltita</t>
        </is>
      </c>
      <c r="S143">
        <f>HYPERLINK("https://klasma.github.io/Logging_2380/artfynd/A 33267-2022 artfynd.xlsx", "A 33267-2022")</f>
        <v/>
      </c>
      <c r="T143">
        <f>HYPERLINK("https://klasma.github.io/Logging_2380/kartor/A 33267-2022 karta.png", "A 33267-2022")</f>
        <v/>
      </c>
      <c r="V143">
        <f>HYPERLINK("https://klasma.github.io/Logging_2380/klagomål/A 33267-2022 FSC-klagomål.docx", "A 33267-2022")</f>
        <v/>
      </c>
      <c r="W143">
        <f>HYPERLINK("https://klasma.github.io/Logging_2380/klagomålsmail/A 33267-2022 FSC-klagomål mail.docx", "A 33267-2022")</f>
        <v/>
      </c>
      <c r="X143">
        <f>HYPERLINK("https://klasma.github.io/Logging_2380/tillsyn/A 33267-2022 tillsynsbegäran.docx", "A 33267-2022")</f>
        <v/>
      </c>
      <c r="Y143">
        <f>HYPERLINK("https://klasma.github.io/Logging_2380/tillsynsmail/A 33267-2022 tillsynsbegäran mail.docx", "A 33267-2022")</f>
        <v/>
      </c>
      <c r="Z143">
        <f>HYPERLINK("https://klasma.github.io/Logging_2380/fåglar/A 33267-2022 prioriterade fågelarter.docx", "A 33267-2022")</f>
        <v/>
      </c>
    </row>
    <row r="144" ht="15" customHeight="1">
      <c r="A144" t="inlineStr">
        <is>
          <t>A 43947-2022</t>
        </is>
      </c>
      <c r="B144" s="1" t="n">
        <v>44838</v>
      </c>
      <c r="C144" s="1" t="n">
        <v>45645</v>
      </c>
      <c r="D144" t="inlineStr">
        <is>
          <t>JÄMTLANDS LÄN</t>
        </is>
      </c>
      <c r="E144" t="inlineStr">
        <is>
          <t>ÖSTERSUND</t>
        </is>
      </c>
      <c r="F144" t="inlineStr">
        <is>
          <t>Övriga Aktiebolag</t>
        </is>
      </c>
      <c r="G144" t="n">
        <v>15.7</v>
      </c>
      <c r="H144" t="n">
        <v>0</v>
      </c>
      <c r="I144" t="n">
        <v>0</v>
      </c>
      <c r="J144" t="n">
        <v>0</v>
      </c>
      <c r="K144" t="n">
        <v>1</v>
      </c>
      <c r="L144" t="n">
        <v>0</v>
      </c>
      <c r="M144" t="n">
        <v>0</v>
      </c>
      <c r="N144" t="n">
        <v>0</v>
      </c>
      <c r="O144" t="n">
        <v>1</v>
      </c>
      <c r="P144" t="n">
        <v>1</v>
      </c>
      <c r="Q144" t="n">
        <v>1</v>
      </c>
      <c r="R144" s="2" t="inlineStr">
        <is>
          <t>Sprickporing</t>
        </is>
      </c>
      <c r="S144">
        <f>HYPERLINK("https://klasma.github.io/Logging_2380/artfynd/A 43947-2022 artfynd.xlsx", "A 43947-2022")</f>
        <v/>
      </c>
      <c r="T144">
        <f>HYPERLINK("https://klasma.github.io/Logging_2380/kartor/A 43947-2022 karta.png", "A 43947-2022")</f>
        <v/>
      </c>
      <c r="V144">
        <f>HYPERLINK("https://klasma.github.io/Logging_2380/klagomål/A 43947-2022 FSC-klagomål.docx", "A 43947-2022")</f>
        <v/>
      </c>
      <c r="W144">
        <f>HYPERLINK("https://klasma.github.io/Logging_2380/klagomålsmail/A 43947-2022 FSC-klagomål mail.docx", "A 43947-2022")</f>
        <v/>
      </c>
      <c r="X144">
        <f>HYPERLINK("https://klasma.github.io/Logging_2380/tillsyn/A 43947-2022 tillsynsbegäran.docx", "A 43947-2022")</f>
        <v/>
      </c>
      <c r="Y144">
        <f>HYPERLINK("https://klasma.github.io/Logging_2380/tillsynsmail/A 43947-2022 tillsynsbegäran mail.docx", "A 43947-2022")</f>
        <v/>
      </c>
    </row>
    <row r="145" ht="15" customHeight="1">
      <c r="A145" t="inlineStr">
        <is>
          <t>A 45441-2022</t>
        </is>
      </c>
      <c r="B145" s="1" t="n">
        <v>44844</v>
      </c>
      <c r="C145" s="1" t="n">
        <v>45645</v>
      </c>
      <c r="D145" t="inlineStr">
        <is>
          <t>JÄMTLANDS LÄN</t>
        </is>
      </c>
      <c r="E145" t="inlineStr">
        <is>
          <t>ÖSTERSUND</t>
        </is>
      </c>
      <c r="F145" t="inlineStr">
        <is>
          <t>SCA</t>
        </is>
      </c>
      <c r="G145" t="n">
        <v>1.8</v>
      </c>
      <c r="H145" t="n">
        <v>0</v>
      </c>
      <c r="I145" t="n">
        <v>1</v>
      </c>
      <c r="J145" t="n">
        <v>0</v>
      </c>
      <c r="K145" t="n">
        <v>0</v>
      </c>
      <c r="L145" t="n">
        <v>0</v>
      </c>
      <c r="M145" t="n">
        <v>0</v>
      </c>
      <c r="N145" t="n">
        <v>0</v>
      </c>
      <c r="O145" t="n">
        <v>0</v>
      </c>
      <c r="P145" t="n">
        <v>0</v>
      </c>
      <c r="Q145" t="n">
        <v>1</v>
      </c>
      <c r="R145" s="2" t="inlineStr">
        <is>
          <t>Korallblylav</t>
        </is>
      </c>
      <c r="S145">
        <f>HYPERLINK("https://klasma.github.io/Logging_2380/artfynd/A 45441-2022 artfynd.xlsx", "A 45441-2022")</f>
        <v/>
      </c>
      <c r="T145">
        <f>HYPERLINK("https://klasma.github.io/Logging_2380/kartor/A 45441-2022 karta.png", "A 45441-2022")</f>
        <v/>
      </c>
      <c r="V145">
        <f>HYPERLINK("https://klasma.github.io/Logging_2380/klagomål/A 45441-2022 FSC-klagomål.docx", "A 45441-2022")</f>
        <v/>
      </c>
      <c r="W145">
        <f>HYPERLINK("https://klasma.github.io/Logging_2380/klagomålsmail/A 45441-2022 FSC-klagomål mail.docx", "A 45441-2022")</f>
        <v/>
      </c>
      <c r="X145">
        <f>HYPERLINK("https://klasma.github.io/Logging_2380/tillsyn/A 45441-2022 tillsynsbegäran.docx", "A 45441-2022")</f>
        <v/>
      </c>
      <c r="Y145">
        <f>HYPERLINK("https://klasma.github.io/Logging_2380/tillsynsmail/A 45441-2022 tillsynsbegäran mail.docx", "A 45441-2022")</f>
        <v/>
      </c>
    </row>
    <row r="146" ht="15" customHeight="1">
      <c r="A146" t="inlineStr">
        <is>
          <t>A 56245-2022</t>
        </is>
      </c>
      <c r="B146" s="1" t="n">
        <v>44890</v>
      </c>
      <c r="C146" s="1" t="n">
        <v>45645</v>
      </c>
      <c r="D146" t="inlineStr">
        <is>
          <t>JÄMTLANDS LÄN</t>
        </is>
      </c>
      <c r="E146" t="inlineStr">
        <is>
          <t>ÖSTERSUND</t>
        </is>
      </c>
      <c r="F146" t="inlineStr">
        <is>
          <t>Övriga Aktiebolag</t>
        </is>
      </c>
      <c r="G146" t="n">
        <v>10.6</v>
      </c>
      <c r="H146" t="n">
        <v>0</v>
      </c>
      <c r="I146" t="n">
        <v>0</v>
      </c>
      <c r="J146" t="n">
        <v>1</v>
      </c>
      <c r="K146" t="n">
        <v>0</v>
      </c>
      <c r="L146" t="n">
        <v>0</v>
      </c>
      <c r="M146" t="n">
        <v>0</v>
      </c>
      <c r="N146" t="n">
        <v>0</v>
      </c>
      <c r="O146" t="n">
        <v>1</v>
      </c>
      <c r="P146" t="n">
        <v>0</v>
      </c>
      <c r="Q146" t="n">
        <v>1</v>
      </c>
      <c r="R146" s="2" t="inlineStr">
        <is>
          <t>Garnlav</t>
        </is>
      </c>
      <c r="S146">
        <f>HYPERLINK("https://klasma.github.io/Logging_2380/artfynd/A 56245-2022 artfynd.xlsx", "A 56245-2022")</f>
        <v/>
      </c>
      <c r="T146">
        <f>HYPERLINK("https://klasma.github.io/Logging_2380/kartor/A 56245-2022 karta.png", "A 56245-2022")</f>
        <v/>
      </c>
      <c r="V146">
        <f>HYPERLINK("https://klasma.github.io/Logging_2380/klagomål/A 56245-2022 FSC-klagomål.docx", "A 56245-2022")</f>
        <v/>
      </c>
      <c r="W146">
        <f>HYPERLINK("https://klasma.github.io/Logging_2380/klagomålsmail/A 56245-2022 FSC-klagomål mail.docx", "A 56245-2022")</f>
        <v/>
      </c>
      <c r="X146">
        <f>HYPERLINK("https://klasma.github.io/Logging_2380/tillsyn/A 56245-2022 tillsynsbegäran.docx", "A 56245-2022")</f>
        <v/>
      </c>
      <c r="Y146">
        <f>HYPERLINK("https://klasma.github.io/Logging_2380/tillsynsmail/A 56245-2022 tillsynsbegäran mail.docx", "A 56245-2022")</f>
        <v/>
      </c>
    </row>
    <row r="147" ht="15" customHeight="1">
      <c r="A147" t="inlineStr">
        <is>
          <t>A 58181-2022</t>
        </is>
      </c>
      <c r="B147" s="1" t="n">
        <v>44900</v>
      </c>
      <c r="C147" s="1" t="n">
        <v>45645</v>
      </c>
      <c r="D147" t="inlineStr">
        <is>
          <t>JÄMTLANDS LÄN</t>
        </is>
      </c>
      <c r="E147" t="inlineStr">
        <is>
          <t>ÖSTERSUND</t>
        </is>
      </c>
      <c r="G147" t="n">
        <v>14.8</v>
      </c>
      <c r="H147" t="n">
        <v>0</v>
      </c>
      <c r="I147" t="n">
        <v>1</v>
      </c>
      <c r="J147" t="n">
        <v>0</v>
      </c>
      <c r="K147" t="n">
        <v>0</v>
      </c>
      <c r="L147" t="n">
        <v>0</v>
      </c>
      <c r="M147" t="n">
        <v>0</v>
      </c>
      <c r="N147" t="n">
        <v>0</v>
      </c>
      <c r="O147" t="n">
        <v>0</v>
      </c>
      <c r="P147" t="n">
        <v>0</v>
      </c>
      <c r="Q147" t="n">
        <v>1</v>
      </c>
      <c r="R147" s="2" t="inlineStr">
        <is>
          <t>Finbräken</t>
        </is>
      </c>
      <c r="S147">
        <f>HYPERLINK("https://klasma.github.io/Logging_2380/artfynd/A 58181-2022 artfynd.xlsx", "A 58181-2022")</f>
        <v/>
      </c>
      <c r="T147">
        <f>HYPERLINK("https://klasma.github.io/Logging_2380/kartor/A 58181-2022 karta.png", "A 58181-2022")</f>
        <v/>
      </c>
      <c r="V147">
        <f>HYPERLINK("https://klasma.github.io/Logging_2380/klagomål/A 58181-2022 FSC-klagomål.docx", "A 58181-2022")</f>
        <v/>
      </c>
      <c r="W147">
        <f>HYPERLINK("https://klasma.github.io/Logging_2380/klagomålsmail/A 58181-2022 FSC-klagomål mail.docx", "A 58181-2022")</f>
        <v/>
      </c>
      <c r="X147">
        <f>HYPERLINK("https://klasma.github.io/Logging_2380/tillsyn/A 58181-2022 tillsynsbegäran.docx", "A 58181-2022")</f>
        <v/>
      </c>
      <c r="Y147">
        <f>HYPERLINK("https://klasma.github.io/Logging_2380/tillsynsmail/A 58181-2022 tillsynsbegäran mail.docx", "A 58181-2022")</f>
        <v/>
      </c>
    </row>
    <row r="148" ht="15" customHeight="1">
      <c r="A148" t="inlineStr">
        <is>
          <t>A 59739-2022</t>
        </is>
      </c>
      <c r="B148" s="1" t="n">
        <v>44908</v>
      </c>
      <c r="C148" s="1" t="n">
        <v>45645</v>
      </c>
      <c r="D148" t="inlineStr">
        <is>
          <t>JÄMTLANDS LÄN</t>
        </is>
      </c>
      <c r="E148" t="inlineStr">
        <is>
          <t>ÖSTERSUND</t>
        </is>
      </c>
      <c r="F148" t="inlineStr">
        <is>
          <t>Kommuner</t>
        </is>
      </c>
      <c r="G148" t="n">
        <v>1.9</v>
      </c>
      <c r="H148" t="n">
        <v>0</v>
      </c>
      <c r="I148" t="n">
        <v>1</v>
      </c>
      <c r="J148" t="n">
        <v>0</v>
      </c>
      <c r="K148" t="n">
        <v>0</v>
      </c>
      <c r="L148" t="n">
        <v>0</v>
      </c>
      <c r="M148" t="n">
        <v>0</v>
      </c>
      <c r="N148" t="n">
        <v>0</v>
      </c>
      <c r="O148" t="n">
        <v>0</v>
      </c>
      <c r="P148" t="n">
        <v>0</v>
      </c>
      <c r="Q148" t="n">
        <v>1</v>
      </c>
      <c r="R148" s="2" t="inlineStr">
        <is>
          <t>Vedticka</t>
        </is>
      </c>
      <c r="S148">
        <f>HYPERLINK("https://klasma.github.io/Logging_2380/artfynd/A 59739-2022 artfynd.xlsx", "A 59739-2022")</f>
        <v/>
      </c>
      <c r="T148">
        <f>HYPERLINK("https://klasma.github.io/Logging_2380/kartor/A 59739-2022 karta.png", "A 59739-2022")</f>
        <v/>
      </c>
      <c r="V148">
        <f>HYPERLINK("https://klasma.github.io/Logging_2380/klagomål/A 59739-2022 FSC-klagomål.docx", "A 59739-2022")</f>
        <v/>
      </c>
      <c r="W148">
        <f>HYPERLINK("https://klasma.github.io/Logging_2380/klagomålsmail/A 59739-2022 FSC-klagomål mail.docx", "A 59739-2022")</f>
        <v/>
      </c>
      <c r="X148">
        <f>HYPERLINK("https://klasma.github.io/Logging_2380/tillsyn/A 59739-2022 tillsynsbegäran.docx", "A 59739-2022")</f>
        <v/>
      </c>
      <c r="Y148">
        <f>HYPERLINK("https://klasma.github.io/Logging_2380/tillsynsmail/A 59739-2022 tillsynsbegäran mail.docx", "A 59739-2022")</f>
        <v/>
      </c>
    </row>
    <row r="149" ht="15" customHeight="1">
      <c r="A149" t="inlineStr">
        <is>
          <t>A 28980-2023</t>
        </is>
      </c>
      <c r="B149" s="1" t="n">
        <v>45096</v>
      </c>
      <c r="C149" s="1" t="n">
        <v>45645</v>
      </c>
      <c r="D149" t="inlineStr">
        <is>
          <t>JÄMTLANDS LÄN</t>
        </is>
      </c>
      <c r="E149" t="inlineStr">
        <is>
          <t>ÖSTERSUND</t>
        </is>
      </c>
      <c r="G149" t="n">
        <v>2.7</v>
      </c>
      <c r="H149" t="n">
        <v>0</v>
      </c>
      <c r="I149" t="n">
        <v>1</v>
      </c>
      <c r="J149" t="n">
        <v>0</v>
      </c>
      <c r="K149" t="n">
        <v>0</v>
      </c>
      <c r="L149" t="n">
        <v>0</v>
      </c>
      <c r="M149" t="n">
        <v>0</v>
      </c>
      <c r="N149" t="n">
        <v>0</v>
      </c>
      <c r="O149" t="n">
        <v>0</v>
      </c>
      <c r="P149" t="n">
        <v>0</v>
      </c>
      <c r="Q149" t="n">
        <v>1</v>
      </c>
      <c r="R149" s="2" t="inlineStr">
        <is>
          <t>Finbräken</t>
        </is>
      </c>
      <c r="S149">
        <f>HYPERLINK("https://klasma.github.io/Logging_2380/artfynd/A 28980-2023 artfynd.xlsx", "A 28980-2023")</f>
        <v/>
      </c>
      <c r="T149">
        <f>HYPERLINK("https://klasma.github.io/Logging_2380/kartor/A 28980-2023 karta.png", "A 28980-2023")</f>
        <v/>
      </c>
      <c r="V149">
        <f>HYPERLINK("https://klasma.github.io/Logging_2380/klagomål/A 28980-2023 FSC-klagomål.docx", "A 28980-2023")</f>
        <v/>
      </c>
      <c r="W149">
        <f>HYPERLINK("https://klasma.github.io/Logging_2380/klagomålsmail/A 28980-2023 FSC-klagomål mail.docx", "A 28980-2023")</f>
        <v/>
      </c>
      <c r="X149">
        <f>HYPERLINK("https://klasma.github.io/Logging_2380/tillsyn/A 28980-2023 tillsynsbegäran.docx", "A 28980-2023")</f>
        <v/>
      </c>
      <c r="Y149">
        <f>HYPERLINK("https://klasma.github.io/Logging_2380/tillsynsmail/A 28980-2023 tillsynsbegäran mail.docx", "A 28980-2023")</f>
        <v/>
      </c>
    </row>
    <row r="150" ht="15" customHeight="1">
      <c r="A150" t="inlineStr">
        <is>
          <t>A 32411-2023</t>
        </is>
      </c>
      <c r="B150" s="1" t="n">
        <v>45120</v>
      </c>
      <c r="C150" s="1" t="n">
        <v>45645</v>
      </c>
      <c r="D150" t="inlineStr">
        <is>
          <t>JÄMTLANDS LÄN</t>
        </is>
      </c>
      <c r="E150" t="inlineStr">
        <is>
          <t>ÖSTERSUND</t>
        </is>
      </c>
      <c r="G150" t="n">
        <v>8.5</v>
      </c>
      <c r="H150" t="n">
        <v>1</v>
      </c>
      <c r="I150" t="n">
        <v>1</v>
      </c>
      <c r="J150" t="n">
        <v>0</v>
      </c>
      <c r="K150" t="n">
        <v>0</v>
      </c>
      <c r="L150" t="n">
        <v>0</v>
      </c>
      <c r="M150" t="n">
        <v>0</v>
      </c>
      <c r="N150" t="n">
        <v>0</v>
      </c>
      <c r="O150" t="n">
        <v>0</v>
      </c>
      <c r="P150" t="n">
        <v>0</v>
      </c>
      <c r="Q150" t="n">
        <v>1</v>
      </c>
      <c r="R150" s="2" t="inlineStr">
        <is>
          <t>Spindelblomster</t>
        </is>
      </c>
      <c r="S150">
        <f>HYPERLINK("https://klasma.github.io/Logging_2380/artfynd/A 32411-2023 artfynd.xlsx", "A 32411-2023")</f>
        <v/>
      </c>
      <c r="T150">
        <f>HYPERLINK("https://klasma.github.io/Logging_2380/kartor/A 32411-2023 karta.png", "A 32411-2023")</f>
        <v/>
      </c>
      <c r="V150">
        <f>HYPERLINK("https://klasma.github.io/Logging_2380/klagomål/A 32411-2023 FSC-klagomål.docx", "A 32411-2023")</f>
        <v/>
      </c>
      <c r="W150">
        <f>HYPERLINK("https://klasma.github.io/Logging_2380/klagomålsmail/A 32411-2023 FSC-klagomål mail.docx", "A 32411-2023")</f>
        <v/>
      </c>
      <c r="X150">
        <f>HYPERLINK("https://klasma.github.io/Logging_2380/tillsyn/A 32411-2023 tillsynsbegäran.docx", "A 32411-2023")</f>
        <v/>
      </c>
      <c r="Y150">
        <f>HYPERLINK("https://klasma.github.io/Logging_2380/tillsynsmail/A 32411-2023 tillsynsbegäran mail.docx", "A 32411-2023")</f>
        <v/>
      </c>
    </row>
    <row r="151" ht="15" customHeight="1">
      <c r="A151" t="inlineStr">
        <is>
          <t>A 50825-2023</t>
        </is>
      </c>
      <c r="B151" s="1" t="n">
        <v>45217</v>
      </c>
      <c r="C151" s="1" t="n">
        <v>45645</v>
      </c>
      <c r="D151" t="inlineStr">
        <is>
          <t>JÄMTLANDS LÄN</t>
        </is>
      </c>
      <c r="E151" t="inlineStr">
        <is>
          <t>ÖSTERSUND</t>
        </is>
      </c>
      <c r="G151" t="n">
        <v>24.3</v>
      </c>
      <c r="H151" t="n">
        <v>0</v>
      </c>
      <c r="I151" t="n">
        <v>0</v>
      </c>
      <c r="J151" t="n">
        <v>1</v>
      </c>
      <c r="K151" t="n">
        <v>0</v>
      </c>
      <c r="L151" t="n">
        <v>0</v>
      </c>
      <c r="M151" t="n">
        <v>0</v>
      </c>
      <c r="N151" t="n">
        <v>0</v>
      </c>
      <c r="O151" t="n">
        <v>1</v>
      </c>
      <c r="P151" t="n">
        <v>0</v>
      </c>
      <c r="Q151" t="n">
        <v>1</v>
      </c>
      <c r="R151" s="2" t="inlineStr">
        <is>
          <t>Granticka</t>
        </is>
      </c>
      <c r="S151">
        <f>HYPERLINK("https://klasma.github.io/Logging_2380/artfynd/A 50825-2023 artfynd.xlsx", "A 50825-2023")</f>
        <v/>
      </c>
      <c r="T151">
        <f>HYPERLINK("https://klasma.github.io/Logging_2380/kartor/A 50825-2023 karta.png", "A 50825-2023")</f>
        <v/>
      </c>
      <c r="V151">
        <f>HYPERLINK("https://klasma.github.io/Logging_2380/klagomål/A 50825-2023 FSC-klagomål.docx", "A 50825-2023")</f>
        <v/>
      </c>
      <c r="W151">
        <f>HYPERLINK("https://klasma.github.io/Logging_2380/klagomålsmail/A 50825-2023 FSC-klagomål mail.docx", "A 50825-2023")</f>
        <v/>
      </c>
      <c r="X151">
        <f>HYPERLINK("https://klasma.github.io/Logging_2380/tillsyn/A 50825-2023 tillsynsbegäran.docx", "A 50825-2023")</f>
        <v/>
      </c>
      <c r="Y151">
        <f>HYPERLINK("https://klasma.github.io/Logging_2380/tillsynsmail/A 50825-2023 tillsynsbegäran mail.docx", "A 50825-2023")</f>
        <v/>
      </c>
    </row>
    <row r="152" ht="15" customHeight="1">
      <c r="A152" t="inlineStr">
        <is>
          <t>A 56025-2023</t>
        </is>
      </c>
      <c r="B152" s="1" t="n">
        <v>45233</v>
      </c>
      <c r="C152" s="1" t="n">
        <v>45645</v>
      </c>
      <c r="D152" t="inlineStr">
        <is>
          <t>JÄMTLANDS LÄN</t>
        </is>
      </c>
      <c r="E152" t="inlineStr">
        <is>
          <t>ÖSTERSUND</t>
        </is>
      </c>
      <c r="G152" t="n">
        <v>3.9</v>
      </c>
      <c r="H152" t="n">
        <v>1</v>
      </c>
      <c r="I152" t="n">
        <v>0</v>
      </c>
      <c r="J152" t="n">
        <v>1</v>
      </c>
      <c r="K152" t="n">
        <v>0</v>
      </c>
      <c r="L152" t="n">
        <v>0</v>
      </c>
      <c r="M152" t="n">
        <v>0</v>
      </c>
      <c r="N152" t="n">
        <v>0</v>
      </c>
      <c r="O152" t="n">
        <v>1</v>
      </c>
      <c r="P152" t="n">
        <v>0</v>
      </c>
      <c r="Q152" t="n">
        <v>1</v>
      </c>
      <c r="R152" s="2" t="inlineStr">
        <is>
          <t>Jämtlandsmaskros</t>
        </is>
      </c>
      <c r="S152">
        <f>HYPERLINK("https://klasma.github.io/Logging_2380/artfynd/A 56025-2023 artfynd.xlsx", "A 56025-2023")</f>
        <v/>
      </c>
      <c r="T152">
        <f>HYPERLINK("https://klasma.github.io/Logging_2380/kartor/A 56025-2023 karta.png", "A 56025-2023")</f>
        <v/>
      </c>
      <c r="V152">
        <f>HYPERLINK("https://klasma.github.io/Logging_2380/klagomål/A 56025-2023 FSC-klagomål.docx", "A 56025-2023")</f>
        <v/>
      </c>
      <c r="W152">
        <f>HYPERLINK("https://klasma.github.io/Logging_2380/klagomålsmail/A 56025-2023 FSC-klagomål mail.docx", "A 56025-2023")</f>
        <v/>
      </c>
      <c r="X152">
        <f>HYPERLINK("https://klasma.github.io/Logging_2380/tillsyn/A 56025-2023 tillsynsbegäran.docx", "A 56025-2023")</f>
        <v/>
      </c>
      <c r="Y152">
        <f>HYPERLINK("https://klasma.github.io/Logging_2380/tillsynsmail/A 56025-2023 tillsynsbegäran mail.docx", "A 56025-2023")</f>
        <v/>
      </c>
    </row>
    <row r="153" ht="15" customHeight="1">
      <c r="A153" t="inlineStr">
        <is>
          <t>A 57864-2023</t>
        </is>
      </c>
      <c r="B153" s="1" t="n">
        <v>45244</v>
      </c>
      <c r="C153" s="1" t="n">
        <v>45645</v>
      </c>
      <c r="D153" t="inlineStr">
        <is>
          <t>JÄMTLANDS LÄN</t>
        </is>
      </c>
      <c r="E153" t="inlineStr">
        <is>
          <t>ÖSTERSUND</t>
        </is>
      </c>
      <c r="G153" t="n">
        <v>3.1</v>
      </c>
      <c r="H153" t="n">
        <v>1</v>
      </c>
      <c r="I153" t="n">
        <v>0</v>
      </c>
      <c r="J153" t="n">
        <v>0</v>
      </c>
      <c r="K153" t="n">
        <v>0</v>
      </c>
      <c r="L153" t="n">
        <v>0</v>
      </c>
      <c r="M153" t="n">
        <v>0</v>
      </c>
      <c r="N153" t="n">
        <v>0</v>
      </c>
      <c r="O153" t="n">
        <v>0</v>
      </c>
      <c r="P153" t="n">
        <v>0</v>
      </c>
      <c r="Q153" t="n">
        <v>1</v>
      </c>
      <c r="R153" s="2" t="inlineStr">
        <is>
          <t>Mattlummer</t>
        </is>
      </c>
      <c r="S153">
        <f>HYPERLINK("https://klasma.github.io/Logging_2380/artfynd/A 57864-2023 artfynd.xlsx", "A 57864-2023")</f>
        <v/>
      </c>
      <c r="T153">
        <f>HYPERLINK("https://klasma.github.io/Logging_2380/kartor/A 57864-2023 karta.png", "A 57864-2023")</f>
        <v/>
      </c>
      <c r="V153">
        <f>HYPERLINK("https://klasma.github.io/Logging_2380/klagomål/A 57864-2023 FSC-klagomål.docx", "A 57864-2023")</f>
        <v/>
      </c>
      <c r="W153">
        <f>HYPERLINK("https://klasma.github.io/Logging_2380/klagomålsmail/A 57864-2023 FSC-klagomål mail.docx", "A 57864-2023")</f>
        <v/>
      </c>
      <c r="X153">
        <f>HYPERLINK("https://klasma.github.io/Logging_2380/tillsyn/A 57864-2023 tillsynsbegäran.docx", "A 57864-2023")</f>
        <v/>
      </c>
      <c r="Y153">
        <f>HYPERLINK("https://klasma.github.io/Logging_2380/tillsynsmail/A 57864-2023 tillsynsbegäran mail.docx", "A 57864-2023")</f>
        <v/>
      </c>
    </row>
    <row r="154" ht="15" customHeight="1">
      <c r="A154" t="inlineStr">
        <is>
          <t>A 64380-2023</t>
        </is>
      </c>
      <c r="B154" s="1" t="n">
        <v>45280</v>
      </c>
      <c r="C154" s="1" t="n">
        <v>45645</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3272-2024</t>
        </is>
      </c>
      <c r="B155" s="1" t="n">
        <v>45316</v>
      </c>
      <c r="C155" s="1" t="n">
        <v>45645</v>
      </c>
      <c r="D155" t="inlineStr">
        <is>
          <t>JÄMTLANDS LÄN</t>
        </is>
      </c>
      <c r="E155" t="inlineStr">
        <is>
          <t>ÖSTERSUND</t>
        </is>
      </c>
      <c r="G155" t="n">
        <v>5.6</v>
      </c>
      <c r="H155" t="n">
        <v>1</v>
      </c>
      <c r="I155" t="n">
        <v>1</v>
      </c>
      <c r="J155" t="n">
        <v>0</v>
      </c>
      <c r="K155" t="n">
        <v>0</v>
      </c>
      <c r="L155" t="n">
        <v>0</v>
      </c>
      <c r="M155" t="n">
        <v>0</v>
      </c>
      <c r="N155" t="n">
        <v>0</v>
      </c>
      <c r="O155" t="n">
        <v>0</v>
      </c>
      <c r="P155" t="n">
        <v>0</v>
      </c>
      <c r="Q155" t="n">
        <v>1</v>
      </c>
      <c r="R155" s="2" t="inlineStr">
        <is>
          <t>Korallrot</t>
        </is>
      </c>
      <c r="S155">
        <f>HYPERLINK("https://klasma.github.io/Logging_2380/artfynd/A 3272-2024 artfynd.xlsx", "A 3272-2024")</f>
        <v/>
      </c>
      <c r="T155">
        <f>HYPERLINK("https://klasma.github.io/Logging_2380/kartor/A 3272-2024 karta.png", "A 3272-2024")</f>
        <v/>
      </c>
      <c r="V155">
        <f>HYPERLINK("https://klasma.github.io/Logging_2380/klagomål/A 3272-2024 FSC-klagomål.docx", "A 3272-2024")</f>
        <v/>
      </c>
      <c r="W155">
        <f>HYPERLINK("https://klasma.github.io/Logging_2380/klagomålsmail/A 3272-2024 FSC-klagomål mail.docx", "A 3272-2024")</f>
        <v/>
      </c>
      <c r="X155">
        <f>HYPERLINK("https://klasma.github.io/Logging_2380/tillsyn/A 3272-2024 tillsynsbegäran.docx", "A 3272-2024")</f>
        <v/>
      </c>
      <c r="Y155">
        <f>HYPERLINK("https://klasma.github.io/Logging_2380/tillsynsmail/A 3272-2024 tillsynsbegäran mail.docx", "A 3272-2024")</f>
        <v/>
      </c>
    </row>
    <row r="156" ht="15" customHeight="1">
      <c r="A156" t="inlineStr">
        <is>
          <t>A 5781-2024</t>
        </is>
      </c>
      <c r="B156" s="1" t="n">
        <v>45335</v>
      </c>
      <c r="C156" s="1" t="n">
        <v>45645</v>
      </c>
      <c r="D156" t="inlineStr">
        <is>
          <t>JÄMTLANDS LÄN</t>
        </is>
      </c>
      <c r="E156" t="inlineStr">
        <is>
          <t>ÖSTERSUND</t>
        </is>
      </c>
      <c r="G156" t="n">
        <v>8.800000000000001</v>
      </c>
      <c r="H156" t="n">
        <v>1</v>
      </c>
      <c r="I156" t="n">
        <v>1</v>
      </c>
      <c r="J156" t="n">
        <v>0</v>
      </c>
      <c r="K156" t="n">
        <v>0</v>
      </c>
      <c r="L156" t="n">
        <v>0</v>
      </c>
      <c r="M156" t="n">
        <v>0</v>
      </c>
      <c r="N156" t="n">
        <v>0</v>
      </c>
      <c r="O156" t="n">
        <v>0</v>
      </c>
      <c r="P156" t="n">
        <v>0</v>
      </c>
      <c r="Q156" t="n">
        <v>1</v>
      </c>
      <c r="R156" s="2" t="inlineStr">
        <is>
          <t>Guckusko</t>
        </is>
      </c>
      <c r="S156">
        <f>HYPERLINK("https://klasma.github.io/Logging_2380/artfynd/A 5781-2024 artfynd.xlsx", "A 5781-2024")</f>
        <v/>
      </c>
      <c r="T156">
        <f>HYPERLINK("https://klasma.github.io/Logging_2380/kartor/A 5781-2024 karta.png", "A 5781-2024")</f>
        <v/>
      </c>
      <c r="V156">
        <f>HYPERLINK("https://klasma.github.io/Logging_2380/klagomål/A 5781-2024 FSC-klagomål.docx", "A 5781-2024")</f>
        <v/>
      </c>
      <c r="W156">
        <f>HYPERLINK("https://klasma.github.io/Logging_2380/klagomålsmail/A 5781-2024 FSC-klagomål mail.docx", "A 5781-2024")</f>
        <v/>
      </c>
      <c r="X156">
        <f>HYPERLINK("https://klasma.github.io/Logging_2380/tillsyn/A 5781-2024 tillsynsbegäran.docx", "A 5781-2024")</f>
        <v/>
      </c>
      <c r="Y156">
        <f>HYPERLINK("https://klasma.github.io/Logging_2380/tillsynsmail/A 5781-2024 tillsynsbegäran mail.docx", "A 5781-2024")</f>
        <v/>
      </c>
    </row>
    <row r="157" ht="15" customHeight="1">
      <c r="A157" t="inlineStr">
        <is>
          <t>A 5779-2024</t>
        </is>
      </c>
      <c r="B157" s="1" t="n">
        <v>45335</v>
      </c>
      <c r="C157" s="1" t="n">
        <v>45645</v>
      </c>
      <c r="D157" t="inlineStr">
        <is>
          <t>JÄMTLANDS LÄN</t>
        </is>
      </c>
      <c r="E157" t="inlineStr">
        <is>
          <t>ÖSTERSUND</t>
        </is>
      </c>
      <c r="G157" t="n">
        <v>9.9</v>
      </c>
      <c r="H157" t="n">
        <v>0</v>
      </c>
      <c r="I157" t="n">
        <v>1</v>
      </c>
      <c r="J157" t="n">
        <v>0</v>
      </c>
      <c r="K157" t="n">
        <v>0</v>
      </c>
      <c r="L157" t="n">
        <v>0</v>
      </c>
      <c r="M157" t="n">
        <v>0</v>
      </c>
      <c r="N157" t="n">
        <v>0</v>
      </c>
      <c r="O157" t="n">
        <v>0</v>
      </c>
      <c r="P157" t="n">
        <v>0</v>
      </c>
      <c r="Q157" t="n">
        <v>1</v>
      </c>
      <c r="R157" s="2" t="inlineStr">
        <is>
          <t>Kransrams</t>
        </is>
      </c>
      <c r="S157">
        <f>HYPERLINK("https://klasma.github.io/Logging_2380/artfynd/A 5779-2024 artfynd.xlsx", "A 5779-2024")</f>
        <v/>
      </c>
      <c r="T157">
        <f>HYPERLINK("https://klasma.github.io/Logging_2380/kartor/A 5779-2024 karta.png", "A 5779-2024")</f>
        <v/>
      </c>
      <c r="V157">
        <f>HYPERLINK("https://klasma.github.io/Logging_2380/klagomål/A 5779-2024 FSC-klagomål.docx", "A 5779-2024")</f>
        <v/>
      </c>
      <c r="W157">
        <f>HYPERLINK("https://klasma.github.io/Logging_2380/klagomålsmail/A 5779-2024 FSC-klagomål mail.docx", "A 5779-2024")</f>
        <v/>
      </c>
      <c r="X157">
        <f>HYPERLINK("https://klasma.github.io/Logging_2380/tillsyn/A 5779-2024 tillsynsbegäran.docx", "A 5779-2024")</f>
        <v/>
      </c>
      <c r="Y157">
        <f>HYPERLINK("https://klasma.github.io/Logging_2380/tillsynsmail/A 5779-2024 tillsynsbegäran mail.docx", "A 5779-2024")</f>
        <v/>
      </c>
    </row>
    <row r="158" ht="15" customHeight="1">
      <c r="A158" t="inlineStr">
        <is>
          <t>A 11513-2024</t>
        </is>
      </c>
      <c r="B158" s="1" t="n">
        <v>45372</v>
      </c>
      <c r="C158" s="1" t="n">
        <v>45645</v>
      </c>
      <c r="D158" t="inlineStr">
        <is>
          <t>JÄMTLANDS LÄN</t>
        </is>
      </c>
      <c r="E158" t="inlineStr">
        <is>
          <t>ÖSTERSUND</t>
        </is>
      </c>
      <c r="G158" t="n">
        <v>21.2</v>
      </c>
      <c r="H158" t="n">
        <v>0</v>
      </c>
      <c r="I158" t="n">
        <v>1</v>
      </c>
      <c r="J158" t="n">
        <v>0</v>
      </c>
      <c r="K158" t="n">
        <v>0</v>
      </c>
      <c r="L158" t="n">
        <v>0</v>
      </c>
      <c r="M158" t="n">
        <v>0</v>
      </c>
      <c r="N158" t="n">
        <v>0</v>
      </c>
      <c r="O158" t="n">
        <v>0</v>
      </c>
      <c r="P158" t="n">
        <v>0</v>
      </c>
      <c r="Q158" t="n">
        <v>1</v>
      </c>
      <c r="R158" s="2" t="inlineStr">
        <is>
          <t>Tibast</t>
        </is>
      </c>
      <c r="S158">
        <f>HYPERLINK("https://klasma.github.io/Logging_2380/artfynd/A 11513-2024 artfynd.xlsx", "A 11513-2024")</f>
        <v/>
      </c>
      <c r="T158">
        <f>HYPERLINK("https://klasma.github.io/Logging_2380/kartor/A 11513-2024 karta.png", "A 11513-2024")</f>
        <v/>
      </c>
      <c r="V158">
        <f>HYPERLINK("https://klasma.github.io/Logging_2380/klagomål/A 11513-2024 FSC-klagomål.docx", "A 11513-2024")</f>
        <v/>
      </c>
      <c r="W158">
        <f>HYPERLINK("https://klasma.github.io/Logging_2380/klagomålsmail/A 11513-2024 FSC-klagomål mail.docx", "A 11513-2024")</f>
        <v/>
      </c>
      <c r="X158">
        <f>HYPERLINK("https://klasma.github.io/Logging_2380/tillsyn/A 11513-2024 tillsynsbegäran.docx", "A 11513-2024")</f>
        <v/>
      </c>
      <c r="Y158">
        <f>HYPERLINK("https://klasma.github.io/Logging_2380/tillsynsmail/A 11513-2024 tillsynsbegäran mail.docx", "A 11513-2024")</f>
        <v/>
      </c>
    </row>
    <row r="159" ht="15" customHeight="1">
      <c r="A159" t="inlineStr">
        <is>
          <t>A 15090-2024</t>
        </is>
      </c>
      <c r="B159" s="1" t="n">
        <v>45399</v>
      </c>
      <c r="C159" s="1" t="n">
        <v>45645</v>
      </c>
      <c r="D159" t="inlineStr">
        <is>
          <t>JÄMTLANDS LÄN</t>
        </is>
      </c>
      <c r="E159" t="inlineStr">
        <is>
          <t>ÖSTERSUND</t>
        </is>
      </c>
      <c r="G159" t="n">
        <v>18</v>
      </c>
      <c r="H159" t="n">
        <v>0</v>
      </c>
      <c r="I159" t="n">
        <v>1</v>
      </c>
      <c r="J159" t="n">
        <v>0</v>
      </c>
      <c r="K159" t="n">
        <v>0</v>
      </c>
      <c r="L159" t="n">
        <v>0</v>
      </c>
      <c r="M159" t="n">
        <v>0</v>
      </c>
      <c r="N159" t="n">
        <v>0</v>
      </c>
      <c r="O159" t="n">
        <v>0</v>
      </c>
      <c r="P159" t="n">
        <v>0</v>
      </c>
      <c r="Q159" t="n">
        <v>1</v>
      </c>
      <c r="R159" s="2" t="inlineStr">
        <is>
          <t>Svavelriska</t>
        </is>
      </c>
      <c r="S159">
        <f>HYPERLINK("https://klasma.github.io/Logging_2380/artfynd/A 15090-2024 artfynd.xlsx", "A 15090-2024")</f>
        <v/>
      </c>
      <c r="T159">
        <f>HYPERLINK("https://klasma.github.io/Logging_2380/kartor/A 15090-2024 karta.png", "A 15090-2024")</f>
        <v/>
      </c>
      <c r="V159">
        <f>HYPERLINK("https://klasma.github.io/Logging_2380/klagomål/A 15090-2024 FSC-klagomål.docx", "A 15090-2024")</f>
        <v/>
      </c>
      <c r="W159">
        <f>HYPERLINK("https://klasma.github.io/Logging_2380/klagomålsmail/A 15090-2024 FSC-klagomål mail.docx", "A 15090-2024")</f>
        <v/>
      </c>
      <c r="X159">
        <f>HYPERLINK("https://klasma.github.io/Logging_2380/tillsyn/A 15090-2024 tillsynsbegäran.docx", "A 15090-2024")</f>
        <v/>
      </c>
      <c r="Y159">
        <f>HYPERLINK("https://klasma.github.io/Logging_2380/tillsynsmail/A 15090-2024 tillsynsbegäran mail.docx", "A 15090-2024")</f>
        <v/>
      </c>
    </row>
    <row r="160" ht="15" customHeight="1">
      <c r="A160" t="inlineStr">
        <is>
          <t>A 18951-2024</t>
        </is>
      </c>
      <c r="B160" s="1" t="n">
        <v>45427</v>
      </c>
      <c r="C160" s="1" t="n">
        <v>45645</v>
      </c>
      <c r="D160" t="inlineStr">
        <is>
          <t>JÄMTLANDS LÄN</t>
        </is>
      </c>
      <c r="E160" t="inlineStr">
        <is>
          <t>ÖSTERSUND</t>
        </is>
      </c>
      <c r="G160" t="n">
        <v>1.7</v>
      </c>
      <c r="H160" t="n">
        <v>1</v>
      </c>
      <c r="I160" t="n">
        <v>0</v>
      </c>
      <c r="J160" t="n">
        <v>0</v>
      </c>
      <c r="K160" t="n">
        <v>0</v>
      </c>
      <c r="L160" t="n">
        <v>0</v>
      </c>
      <c r="M160" t="n">
        <v>0</v>
      </c>
      <c r="N160" t="n">
        <v>0</v>
      </c>
      <c r="O160" t="n">
        <v>0</v>
      </c>
      <c r="P160" t="n">
        <v>0</v>
      </c>
      <c r="Q160" t="n">
        <v>1</v>
      </c>
      <c r="R160" s="2" t="inlineStr">
        <is>
          <t>Blåsippa</t>
        </is>
      </c>
      <c r="S160">
        <f>HYPERLINK("https://klasma.github.io/Logging_2380/artfynd/A 18951-2024 artfynd.xlsx", "A 18951-2024")</f>
        <v/>
      </c>
      <c r="T160">
        <f>HYPERLINK("https://klasma.github.io/Logging_2380/kartor/A 18951-2024 karta.png", "A 18951-2024")</f>
        <v/>
      </c>
      <c r="V160">
        <f>HYPERLINK("https://klasma.github.io/Logging_2380/klagomål/A 18951-2024 FSC-klagomål.docx", "A 18951-2024")</f>
        <v/>
      </c>
      <c r="W160">
        <f>HYPERLINK("https://klasma.github.io/Logging_2380/klagomålsmail/A 18951-2024 FSC-klagomål mail.docx", "A 18951-2024")</f>
        <v/>
      </c>
      <c r="X160">
        <f>HYPERLINK("https://klasma.github.io/Logging_2380/tillsyn/A 18951-2024 tillsynsbegäran.docx", "A 18951-2024")</f>
        <v/>
      </c>
      <c r="Y160">
        <f>HYPERLINK("https://klasma.github.io/Logging_2380/tillsynsmail/A 18951-2024 tillsynsbegäran mail.docx", "A 18951-2024")</f>
        <v/>
      </c>
    </row>
    <row r="161" ht="15" customHeight="1">
      <c r="A161" t="inlineStr">
        <is>
          <t>A 21614-2024</t>
        </is>
      </c>
      <c r="B161" s="1" t="n">
        <v>45442</v>
      </c>
      <c r="C161" s="1" t="n">
        <v>45645</v>
      </c>
      <c r="D161" t="inlineStr">
        <is>
          <t>JÄMTLANDS LÄN</t>
        </is>
      </c>
      <c r="E161" t="inlineStr">
        <is>
          <t>ÖSTERSUND</t>
        </is>
      </c>
      <c r="F161" t="inlineStr">
        <is>
          <t>SCA</t>
        </is>
      </c>
      <c r="G161" t="n">
        <v>3.5</v>
      </c>
      <c r="H161" t="n">
        <v>0</v>
      </c>
      <c r="I161" t="n">
        <v>0</v>
      </c>
      <c r="J161" t="n">
        <v>1</v>
      </c>
      <c r="K161" t="n">
        <v>0</v>
      </c>
      <c r="L161" t="n">
        <v>0</v>
      </c>
      <c r="M161" t="n">
        <v>0</v>
      </c>
      <c r="N161" t="n">
        <v>0</v>
      </c>
      <c r="O161" t="n">
        <v>1</v>
      </c>
      <c r="P161" t="n">
        <v>0</v>
      </c>
      <c r="Q161" t="n">
        <v>1</v>
      </c>
      <c r="R161" s="2" t="inlineStr">
        <is>
          <t>Lunglav</t>
        </is>
      </c>
      <c r="S161">
        <f>HYPERLINK("https://klasma.github.io/Logging_2380/artfynd/A 21614-2024 artfynd.xlsx", "A 21614-2024")</f>
        <v/>
      </c>
      <c r="T161">
        <f>HYPERLINK("https://klasma.github.io/Logging_2380/kartor/A 21614-2024 karta.png", "A 21614-2024")</f>
        <v/>
      </c>
      <c r="U161">
        <f>HYPERLINK("https://klasma.github.io/Logging_2380/knärot/A 21614-2024 karta knärot.png", "A 21614-2024")</f>
        <v/>
      </c>
      <c r="V161">
        <f>HYPERLINK("https://klasma.github.io/Logging_2380/klagomål/A 21614-2024 FSC-klagomål.docx", "A 21614-2024")</f>
        <v/>
      </c>
      <c r="W161">
        <f>HYPERLINK("https://klasma.github.io/Logging_2380/klagomålsmail/A 21614-2024 FSC-klagomål mail.docx", "A 21614-2024")</f>
        <v/>
      </c>
      <c r="X161">
        <f>HYPERLINK("https://klasma.github.io/Logging_2380/tillsyn/A 21614-2024 tillsynsbegäran.docx", "A 21614-2024")</f>
        <v/>
      </c>
      <c r="Y161">
        <f>HYPERLINK("https://klasma.github.io/Logging_2380/tillsynsmail/A 21614-2024 tillsynsbegäran mail.docx", "A 21614-2024")</f>
        <v/>
      </c>
    </row>
    <row r="162" ht="15" customHeight="1">
      <c r="A162" t="inlineStr">
        <is>
          <t>A 31883-2024</t>
        </is>
      </c>
      <c r="B162" s="1" t="n">
        <v>45510</v>
      </c>
      <c r="C162" s="1" t="n">
        <v>45645</v>
      </c>
      <c r="D162" t="inlineStr">
        <is>
          <t>JÄMTLANDS LÄN</t>
        </is>
      </c>
      <c r="E162" t="inlineStr">
        <is>
          <t>ÖSTERSUND</t>
        </is>
      </c>
      <c r="F162" t="inlineStr">
        <is>
          <t>SCA</t>
        </is>
      </c>
      <c r="G162" t="n">
        <v>3.3</v>
      </c>
      <c r="H162" t="n">
        <v>1</v>
      </c>
      <c r="I162" t="n">
        <v>0</v>
      </c>
      <c r="J162" t="n">
        <v>0</v>
      </c>
      <c r="K162" t="n">
        <v>1</v>
      </c>
      <c r="L162" t="n">
        <v>0</v>
      </c>
      <c r="M162" t="n">
        <v>0</v>
      </c>
      <c r="N162" t="n">
        <v>0</v>
      </c>
      <c r="O162" t="n">
        <v>1</v>
      </c>
      <c r="P162" t="n">
        <v>1</v>
      </c>
      <c r="Q162" t="n">
        <v>1</v>
      </c>
      <c r="R162" s="2" t="inlineStr">
        <is>
          <t>Doftticka</t>
        </is>
      </c>
      <c r="S162">
        <f>HYPERLINK("https://klasma.github.io/Logging_2380/artfynd/A 31883-2024 artfynd.xlsx", "A 31883-2024")</f>
        <v/>
      </c>
      <c r="T162">
        <f>HYPERLINK("https://klasma.github.io/Logging_2380/kartor/A 31883-2024 karta.png", "A 31883-2024")</f>
        <v/>
      </c>
      <c r="V162">
        <f>HYPERLINK("https://klasma.github.io/Logging_2380/klagomål/A 31883-2024 FSC-klagomål.docx", "A 31883-2024")</f>
        <v/>
      </c>
      <c r="W162">
        <f>HYPERLINK("https://klasma.github.io/Logging_2380/klagomålsmail/A 31883-2024 FSC-klagomål mail.docx", "A 31883-2024")</f>
        <v/>
      </c>
      <c r="X162">
        <f>HYPERLINK("https://klasma.github.io/Logging_2380/tillsyn/A 31883-2024 tillsynsbegäran.docx", "A 31883-2024")</f>
        <v/>
      </c>
      <c r="Y162">
        <f>HYPERLINK("https://klasma.github.io/Logging_2380/tillsynsmail/A 31883-2024 tillsynsbegäran mail.docx", "A 31883-2024")</f>
        <v/>
      </c>
    </row>
    <row r="163" ht="15" customHeight="1">
      <c r="A163" t="inlineStr">
        <is>
          <t>A 35422-2024</t>
        </is>
      </c>
      <c r="B163" s="1" t="n">
        <v>45531</v>
      </c>
      <c r="C163" s="1" t="n">
        <v>45645</v>
      </c>
      <c r="D163" t="inlineStr">
        <is>
          <t>JÄMTLANDS LÄN</t>
        </is>
      </c>
      <c r="E163" t="inlineStr">
        <is>
          <t>ÖSTERSUND</t>
        </is>
      </c>
      <c r="F163" t="inlineStr">
        <is>
          <t>SCA</t>
        </is>
      </c>
      <c r="G163" t="n">
        <v>1.9</v>
      </c>
      <c r="H163" t="n">
        <v>0</v>
      </c>
      <c r="I163" t="n">
        <v>0</v>
      </c>
      <c r="J163" t="n">
        <v>1</v>
      </c>
      <c r="K163" t="n">
        <v>0</v>
      </c>
      <c r="L163" t="n">
        <v>0</v>
      </c>
      <c r="M163" t="n">
        <v>0</v>
      </c>
      <c r="N163" t="n">
        <v>0</v>
      </c>
      <c r="O163" t="n">
        <v>1</v>
      </c>
      <c r="P163" t="n">
        <v>0</v>
      </c>
      <c r="Q163" t="n">
        <v>1</v>
      </c>
      <c r="R163" s="2" t="inlineStr">
        <is>
          <t>Lunglav</t>
        </is>
      </c>
      <c r="S163">
        <f>HYPERLINK("https://klasma.github.io/Logging_2380/artfynd/A 35422-2024 artfynd.xlsx", "A 35422-2024")</f>
        <v/>
      </c>
      <c r="T163">
        <f>HYPERLINK("https://klasma.github.io/Logging_2380/kartor/A 35422-2024 karta.png", "A 35422-2024")</f>
        <v/>
      </c>
      <c r="V163">
        <f>HYPERLINK("https://klasma.github.io/Logging_2380/klagomål/A 35422-2024 FSC-klagomål.docx", "A 35422-2024")</f>
        <v/>
      </c>
      <c r="W163">
        <f>HYPERLINK("https://klasma.github.io/Logging_2380/klagomålsmail/A 35422-2024 FSC-klagomål mail.docx", "A 35422-2024")</f>
        <v/>
      </c>
      <c r="X163">
        <f>HYPERLINK("https://klasma.github.io/Logging_2380/tillsyn/A 35422-2024 tillsynsbegäran.docx", "A 35422-2024")</f>
        <v/>
      </c>
      <c r="Y163">
        <f>HYPERLINK("https://klasma.github.io/Logging_2380/tillsynsmail/A 35422-2024 tillsynsbegäran mail.docx", "A 35422-2024")</f>
        <v/>
      </c>
    </row>
    <row r="164" ht="15" customHeight="1">
      <c r="A164" t="inlineStr">
        <is>
          <t>A 35421-2024</t>
        </is>
      </c>
      <c r="B164" s="1" t="n">
        <v>45531</v>
      </c>
      <c r="C164" s="1" t="n">
        <v>45645</v>
      </c>
      <c r="D164" t="inlineStr">
        <is>
          <t>JÄMTLANDS LÄN</t>
        </is>
      </c>
      <c r="E164" t="inlineStr">
        <is>
          <t>ÖSTERSUND</t>
        </is>
      </c>
      <c r="F164" t="inlineStr">
        <is>
          <t>SCA</t>
        </is>
      </c>
      <c r="G164" t="n">
        <v>1.6</v>
      </c>
      <c r="H164" t="n">
        <v>0</v>
      </c>
      <c r="I164" t="n">
        <v>1</v>
      </c>
      <c r="J164" t="n">
        <v>0</v>
      </c>
      <c r="K164" t="n">
        <v>0</v>
      </c>
      <c r="L164" t="n">
        <v>0</v>
      </c>
      <c r="M164" t="n">
        <v>0</v>
      </c>
      <c r="N164" t="n">
        <v>0</v>
      </c>
      <c r="O164" t="n">
        <v>0</v>
      </c>
      <c r="P164" t="n">
        <v>0</v>
      </c>
      <c r="Q164" t="n">
        <v>1</v>
      </c>
      <c r="R164" s="2" t="inlineStr">
        <is>
          <t>Dropptaggsvamp</t>
        </is>
      </c>
      <c r="S164">
        <f>HYPERLINK("https://klasma.github.io/Logging_2380/artfynd/A 35421-2024 artfynd.xlsx", "A 35421-2024")</f>
        <v/>
      </c>
      <c r="T164">
        <f>HYPERLINK("https://klasma.github.io/Logging_2380/kartor/A 35421-2024 karta.png", "A 35421-2024")</f>
        <v/>
      </c>
      <c r="V164">
        <f>HYPERLINK("https://klasma.github.io/Logging_2380/klagomål/A 35421-2024 FSC-klagomål.docx", "A 35421-2024")</f>
        <v/>
      </c>
      <c r="W164">
        <f>HYPERLINK("https://klasma.github.io/Logging_2380/klagomålsmail/A 35421-2024 FSC-klagomål mail.docx", "A 35421-2024")</f>
        <v/>
      </c>
      <c r="X164">
        <f>HYPERLINK("https://klasma.github.io/Logging_2380/tillsyn/A 35421-2024 tillsynsbegäran.docx", "A 35421-2024")</f>
        <v/>
      </c>
      <c r="Y164">
        <f>HYPERLINK("https://klasma.github.io/Logging_2380/tillsynsmail/A 35421-2024 tillsynsbegäran mail.docx", "A 35421-2024")</f>
        <v/>
      </c>
    </row>
    <row r="165" ht="15" customHeight="1">
      <c r="A165" t="inlineStr">
        <is>
          <t>A 36472-2024</t>
        </is>
      </c>
      <c r="B165" s="1" t="n">
        <v>45537</v>
      </c>
      <c r="C165" s="1" t="n">
        <v>45645</v>
      </c>
      <c r="D165" t="inlineStr">
        <is>
          <t>JÄMTLANDS LÄN</t>
        </is>
      </c>
      <c r="E165" t="inlineStr">
        <is>
          <t>ÖSTERSUND</t>
        </is>
      </c>
      <c r="F165" t="inlineStr">
        <is>
          <t>SCA</t>
        </is>
      </c>
      <c r="G165" t="n">
        <v>2.1</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36472-2024 artfynd.xlsx", "A 36472-2024")</f>
        <v/>
      </c>
      <c r="T165">
        <f>HYPERLINK("https://klasma.github.io/Logging_2380/kartor/A 36472-2024 karta.png", "A 36472-2024")</f>
        <v/>
      </c>
      <c r="V165">
        <f>HYPERLINK("https://klasma.github.io/Logging_2380/klagomål/A 36472-2024 FSC-klagomål.docx", "A 36472-2024")</f>
        <v/>
      </c>
      <c r="W165">
        <f>HYPERLINK("https://klasma.github.io/Logging_2380/klagomålsmail/A 36472-2024 FSC-klagomål mail.docx", "A 36472-2024")</f>
        <v/>
      </c>
      <c r="X165">
        <f>HYPERLINK("https://klasma.github.io/Logging_2380/tillsyn/A 36472-2024 tillsynsbegäran.docx", "A 36472-2024")</f>
        <v/>
      </c>
      <c r="Y165">
        <f>HYPERLINK("https://klasma.github.io/Logging_2380/tillsynsmail/A 36472-2024 tillsynsbegäran mail.docx", "A 36472-2024")</f>
        <v/>
      </c>
    </row>
    <row r="166" ht="15" customHeight="1">
      <c r="A166" t="inlineStr">
        <is>
          <t>A 40694-2024</t>
        </is>
      </c>
      <c r="B166" s="1" t="n">
        <v>45558</v>
      </c>
      <c r="C166" s="1" t="n">
        <v>45645</v>
      </c>
      <c r="D166" t="inlineStr">
        <is>
          <t>JÄMTLANDS LÄN</t>
        </is>
      </c>
      <c r="E166" t="inlineStr">
        <is>
          <t>ÖSTERSUND</t>
        </is>
      </c>
      <c r="F166" t="inlineStr">
        <is>
          <t>SCA</t>
        </is>
      </c>
      <c r="G166" t="n">
        <v>6.2</v>
      </c>
      <c r="H166" t="n">
        <v>0</v>
      </c>
      <c r="I166" t="n">
        <v>0</v>
      </c>
      <c r="J166" t="n">
        <v>1</v>
      </c>
      <c r="K166" t="n">
        <v>0</v>
      </c>
      <c r="L166" t="n">
        <v>0</v>
      </c>
      <c r="M166" t="n">
        <v>0</v>
      </c>
      <c r="N166" t="n">
        <v>0</v>
      </c>
      <c r="O166" t="n">
        <v>1</v>
      </c>
      <c r="P166" t="n">
        <v>0</v>
      </c>
      <c r="Q166" t="n">
        <v>1</v>
      </c>
      <c r="R166" s="2" t="inlineStr">
        <is>
          <t>Reliktbock</t>
        </is>
      </c>
      <c r="S166">
        <f>HYPERLINK("https://klasma.github.io/Logging_2380/artfynd/A 40694-2024 artfynd.xlsx", "A 40694-2024")</f>
        <v/>
      </c>
      <c r="T166">
        <f>HYPERLINK("https://klasma.github.io/Logging_2380/kartor/A 40694-2024 karta.png", "A 40694-2024")</f>
        <v/>
      </c>
      <c r="V166">
        <f>HYPERLINK("https://klasma.github.io/Logging_2380/klagomål/A 40694-2024 FSC-klagomål.docx", "A 40694-2024")</f>
        <v/>
      </c>
      <c r="W166">
        <f>HYPERLINK("https://klasma.github.io/Logging_2380/klagomålsmail/A 40694-2024 FSC-klagomål mail.docx", "A 40694-2024")</f>
        <v/>
      </c>
      <c r="X166">
        <f>HYPERLINK("https://klasma.github.io/Logging_2380/tillsyn/A 40694-2024 tillsynsbegäran.docx", "A 40694-2024")</f>
        <v/>
      </c>
      <c r="Y166">
        <f>HYPERLINK("https://klasma.github.io/Logging_2380/tillsynsmail/A 40694-2024 tillsynsbegäran mail.docx", "A 40694-2024")</f>
        <v/>
      </c>
    </row>
    <row r="167" ht="15" customHeight="1">
      <c r="A167" t="inlineStr">
        <is>
          <t>A 40692-2024</t>
        </is>
      </c>
      <c r="B167" s="1" t="n">
        <v>45558</v>
      </c>
      <c r="C167" s="1" t="n">
        <v>45645</v>
      </c>
      <c r="D167" t="inlineStr">
        <is>
          <t>JÄMTLANDS LÄN</t>
        </is>
      </c>
      <c r="E167" t="inlineStr">
        <is>
          <t>ÖSTERSUND</t>
        </is>
      </c>
      <c r="F167" t="inlineStr">
        <is>
          <t>SCA</t>
        </is>
      </c>
      <c r="G167" t="n">
        <v>0.9</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40692-2024 artfynd.xlsx", "A 40692-2024")</f>
        <v/>
      </c>
      <c r="T167">
        <f>HYPERLINK("https://klasma.github.io/Logging_2380/kartor/A 40692-2024 karta.png", "A 40692-2024")</f>
        <v/>
      </c>
      <c r="V167">
        <f>HYPERLINK("https://klasma.github.io/Logging_2380/klagomål/A 40692-2024 FSC-klagomål.docx", "A 40692-2024")</f>
        <v/>
      </c>
      <c r="W167">
        <f>HYPERLINK("https://klasma.github.io/Logging_2380/klagomålsmail/A 40692-2024 FSC-klagomål mail.docx", "A 40692-2024")</f>
        <v/>
      </c>
      <c r="X167">
        <f>HYPERLINK("https://klasma.github.io/Logging_2380/tillsyn/A 40692-2024 tillsynsbegäran.docx", "A 40692-2024")</f>
        <v/>
      </c>
      <c r="Y167">
        <f>HYPERLINK("https://klasma.github.io/Logging_2380/tillsynsmail/A 40692-2024 tillsynsbegäran mail.docx", "A 40692-2024")</f>
        <v/>
      </c>
    </row>
    <row r="168" ht="15" customHeight="1">
      <c r="A168" t="inlineStr">
        <is>
          <t>A 40696-2024</t>
        </is>
      </c>
      <c r="B168" s="1" t="n">
        <v>45558</v>
      </c>
      <c r="C168" s="1" t="n">
        <v>45645</v>
      </c>
      <c r="D168" t="inlineStr">
        <is>
          <t>JÄMTLANDS LÄN</t>
        </is>
      </c>
      <c r="E168" t="inlineStr">
        <is>
          <t>ÖSTERSUND</t>
        </is>
      </c>
      <c r="F168" t="inlineStr">
        <is>
          <t>SCA</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HYPERLINK("https://klasma.github.io/Logging_2380/artfynd/A 40696-2024 artfynd.xlsx", "A 40696-2024")</f>
        <v/>
      </c>
      <c r="T168">
        <f>HYPERLINK("https://klasma.github.io/Logging_2380/kartor/A 40696-2024 karta.png", "A 40696-2024")</f>
        <v/>
      </c>
      <c r="V168">
        <f>HYPERLINK("https://klasma.github.io/Logging_2380/klagomål/A 40696-2024 FSC-klagomål.docx", "A 40696-2024")</f>
        <v/>
      </c>
      <c r="W168">
        <f>HYPERLINK("https://klasma.github.io/Logging_2380/klagomålsmail/A 40696-2024 FSC-klagomål mail.docx", "A 40696-2024")</f>
        <v/>
      </c>
      <c r="X168">
        <f>HYPERLINK("https://klasma.github.io/Logging_2380/tillsyn/A 40696-2024 tillsynsbegäran.docx", "A 40696-2024")</f>
        <v/>
      </c>
      <c r="Y168">
        <f>HYPERLINK("https://klasma.github.io/Logging_2380/tillsynsmail/A 40696-2024 tillsynsbegäran mail.docx", "A 40696-2024")</f>
        <v/>
      </c>
    </row>
    <row r="169" ht="15" customHeight="1">
      <c r="A169" t="inlineStr">
        <is>
          <t>A 41312-2024</t>
        </is>
      </c>
      <c r="B169" s="1" t="n">
        <v>45559</v>
      </c>
      <c r="C169" s="1" t="n">
        <v>45645</v>
      </c>
      <c r="D169" t="inlineStr">
        <is>
          <t>JÄMTLANDS LÄN</t>
        </is>
      </c>
      <c r="E169" t="inlineStr">
        <is>
          <t>ÖSTERSUND</t>
        </is>
      </c>
      <c r="F169" t="inlineStr">
        <is>
          <t>SCA</t>
        </is>
      </c>
      <c r="G169" t="n">
        <v>2.6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41312-2024 artfynd.xlsx", "A 41312-2024")</f>
        <v/>
      </c>
      <c r="T169">
        <f>HYPERLINK("https://klasma.github.io/Logging_2380/kartor/A 41312-2024 karta.png", "A 41312-2024")</f>
        <v/>
      </c>
      <c r="V169">
        <f>HYPERLINK("https://klasma.github.io/Logging_2380/klagomål/A 41312-2024 FSC-klagomål.docx", "A 41312-2024")</f>
        <v/>
      </c>
      <c r="W169">
        <f>HYPERLINK("https://klasma.github.io/Logging_2380/klagomålsmail/A 41312-2024 FSC-klagomål mail.docx", "A 41312-2024")</f>
        <v/>
      </c>
      <c r="X169">
        <f>HYPERLINK("https://klasma.github.io/Logging_2380/tillsyn/A 41312-2024 tillsynsbegäran.docx", "A 41312-2024")</f>
        <v/>
      </c>
      <c r="Y169">
        <f>HYPERLINK("https://klasma.github.io/Logging_2380/tillsynsmail/A 41312-2024 tillsynsbegäran mail.docx", "A 41312-2024")</f>
        <v/>
      </c>
    </row>
    <row r="170" ht="15" customHeight="1">
      <c r="A170" t="inlineStr">
        <is>
          <t>A 41275-2024</t>
        </is>
      </c>
      <c r="B170" s="1" t="n">
        <v>45559</v>
      </c>
      <c r="C170" s="1" t="n">
        <v>45645</v>
      </c>
      <c r="D170" t="inlineStr">
        <is>
          <t>JÄMTLANDS LÄN</t>
        </is>
      </c>
      <c r="E170" t="inlineStr">
        <is>
          <t>ÖSTERSUND</t>
        </is>
      </c>
      <c r="F170" t="inlineStr">
        <is>
          <t>SCA</t>
        </is>
      </c>
      <c r="G170" t="n">
        <v>3.3</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41275-2024 artfynd.xlsx", "A 41275-2024")</f>
        <v/>
      </c>
      <c r="T170">
        <f>HYPERLINK("https://klasma.github.io/Logging_2380/kartor/A 41275-2024 karta.png", "A 41275-2024")</f>
        <v/>
      </c>
      <c r="V170">
        <f>HYPERLINK("https://klasma.github.io/Logging_2380/klagomål/A 41275-2024 FSC-klagomål.docx", "A 41275-2024")</f>
        <v/>
      </c>
      <c r="W170">
        <f>HYPERLINK("https://klasma.github.io/Logging_2380/klagomålsmail/A 41275-2024 FSC-klagomål mail.docx", "A 41275-2024")</f>
        <v/>
      </c>
      <c r="X170">
        <f>HYPERLINK("https://klasma.github.io/Logging_2380/tillsyn/A 41275-2024 tillsynsbegäran.docx", "A 41275-2024")</f>
        <v/>
      </c>
      <c r="Y170">
        <f>HYPERLINK("https://klasma.github.io/Logging_2380/tillsynsmail/A 41275-2024 tillsynsbegäran mail.docx", "A 41275-2024")</f>
        <v/>
      </c>
    </row>
    <row r="171" ht="15" customHeight="1">
      <c r="A171" t="inlineStr">
        <is>
          <t>A 41279-2024</t>
        </is>
      </c>
      <c r="B171" s="1" t="n">
        <v>45559</v>
      </c>
      <c r="C171" s="1" t="n">
        <v>45645</v>
      </c>
      <c r="D171" t="inlineStr">
        <is>
          <t>JÄMTLANDS LÄN</t>
        </is>
      </c>
      <c r="E171" t="inlineStr">
        <is>
          <t>ÖSTERSUND</t>
        </is>
      </c>
      <c r="F171" t="inlineStr">
        <is>
          <t>SCA</t>
        </is>
      </c>
      <c r="G171" t="n">
        <v>1.6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41279-2024 artfynd.xlsx", "A 41279-2024")</f>
        <v/>
      </c>
      <c r="T171">
        <f>HYPERLINK("https://klasma.github.io/Logging_2380/kartor/A 41279-2024 karta.png", "A 41279-2024")</f>
        <v/>
      </c>
      <c r="V171">
        <f>HYPERLINK("https://klasma.github.io/Logging_2380/klagomål/A 41279-2024 FSC-klagomål.docx", "A 41279-2024")</f>
        <v/>
      </c>
      <c r="W171">
        <f>HYPERLINK("https://klasma.github.io/Logging_2380/klagomålsmail/A 41279-2024 FSC-klagomål mail.docx", "A 41279-2024")</f>
        <v/>
      </c>
      <c r="X171">
        <f>HYPERLINK("https://klasma.github.io/Logging_2380/tillsyn/A 41279-2024 tillsynsbegäran.docx", "A 41279-2024")</f>
        <v/>
      </c>
      <c r="Y171">
        <f>HYPERLINK("https://klasma.github.io/Logging_2380/tillsynsmail/A 41279-2024 tillsynsbegäran mail.docx", "A 41279-2024")</f>
        <v/>
      </c>
    </row>
    <row r="172" ht="15" customHeight="1">
      <c r="A172" t="inlineStr">
        <is>
          <t>A 41286-2024</t>
        </is>
      </c>
      <c r="B172" s="1" t="n">
        <v>45559</v>
      </c>
      <c r="C172" s="1" t="n">
        <v>45645</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41286-2024 artfynd.xlsx", "A 41286-2024")</f>
        <v/>
      </c>
      <c r="T172">
        <f>HYPERLINK("https://klasma.github.io/Logging_2380/kartor/A 41286-2024 karta.png", "A 41286-2024")</f>
        <v/>
      </c>
      <c r="V172">
        <f>HYPERLINK("https://klasma.github.io/Logging_2380/klagomål/A 41286-2024 FSC-klagomål.docx", "A 41286-2024")</f>
        <v/>
      </c>
      <c r="W172">
        <f>HYPERLINK("https://klasma.github.io/Logging_2380/klagomålsmail/A 41286-2024 FSC-klagomål mail.docx", "A 41286-2024")</f>
        <v/>
      </c>
      <c r="X172">
        <f>HYPERLINK("https://klasma.github.io/Logging_2380/tillsyn/A 41286-2024 tillsynsbegäran.docx", "A 41286-2024")</f>
        <v/>
      </c>
      <c r="Y172">
        <f>HYPERLINK("https://klasma.github.io/Logging_2380/tillsynsmail/A 41286-2024 tillsynsbegäran mail.docx", "A 41286-2024")</f>
        <v/>
      </c>
    </row>
    <row r="173" ht="15" customHeight="1">
      <c r="A173" t="inlineStr">
        <is>
          <t>A 41755-2024</t>
        </is>
      </c>
      <c r="B173" s="1" t="n">
        <v>45561</v>
      </c>
      <c r="C173" s="1" t="n">
        <v>45645</v>
      </c>
      <c r="D173" t="inlineStr">
        <is>
          <t>JÄMTLANDS LÄN</t>
        </is>
      </c>
      <c r="E173" t="inlineStr">
        <is>
          <t>ÖSTERSUND</t>
        </is>
      </c>
      <c r="F173" t="inlineStr">
        <is>
          <t>SCA</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HYPERLINK("https://klasma.github.io/Logging_2380/artfynd/A 41755-2024 artfynd.xlsx", "A 41755-2024")</f>
        <v/>
      </c>
      <c r="T173">
        <f>HYPERLINK("https://klasma.github.io/Logging_2380/kartor/A 41755-2024 karta.png", "A 41755-2024")</f>
        <v/>
      </c>
      <c r="V173">
        <f>HYPERLINK("https://klasma.github.io/Logging_2380/klagomål/A 41755-2024 FSC-klagomål.docx", "A 41755-2024")</f>
        <v/>
      </c>
      <c r="W173">
        <f>HYPERLINK("https://klasma.github.io/Logging_2380/klagomålsmail/A 41755-2024 FSC-klagomål mail.docx", "A 41755-2024")</f>
        <v/>
      </c>
      <c r="X173">
        <f>HYPERLINK("https://klasma.github.io/Logging_2380/tillsyn/A 41755-2024 tillsynsbegäran.docx", "A 41755-2024")</f>
        <v/>
      </c>
      <c r="Y173">
        <f>HYPERLINK("https://klasma.github.io/Logging_2380/tillsynsmail/A 41755-2024 tillsynsbegäran mail.docx", "A 41755-2024")</f>
        <v/>
      </c>
    </row>
    <row r="174" ht="15" customHeight="1">
      <c r="A174" t="inlineStr">
        <is>
          <t>A 41762-2024</t>
        </is>
      </c>
      <c r="B174" s="1" t="n">
        <v>45561</v>
      </c>
      <c r="C174" s="1" t="n">
        <v>45645</v>
      </c>
      <c r="D174" t="inlineStr">
        <is>
          <t>JÄMTLANDS LÄN</t>
        </is>
      </c>
      <c r="E174" t="inlineStr">
        <is>
          <t>ÖSTERSUND</t>
        </is>
      </c>
      <c r="F174" t="inlineStr">
        <is>
          <t>SCA</t>
        </is>
      </c>
      <c r="G174" t="n">
        <v>5.9</v>
      </c>
      <c r="H174" t="n">
        <v>0</v>
      </c>
      <c r="I174" t="n">
        <v>1</v>
      </c>
      <c r="J174" t="n">
        <v>0</v>
      </c>
      <c r="K174" t="n">
        <v>0</v>
      </c>
      <c r="L174" t="n">
        <v>0</v>
      </c>
      <c r="M174" t="n">
        <v>0</v>
      </c>
      <c r="N174" t="n">
        <v>0</v>
      </c>
      <c r="O174" t="n">
        <v>0</v>
      </c>
      <c r="P174" t="n">
        <v>0</v>
      </c>
      <c r="Q174" t="n">
        <v>1</v>
      </c>
      <c r="R174" s="2" t="inlineStr">
        <is>
          <t>Dropptaggsvamp</t>
        </is>
      </c>
      <c r="S174">
        <f>HYPERLINK("https://klasma.github.io/Logging_2380/artfynd/A 41762-2024 artfynd.xlsx", "A 41762-2024")</f>
        <v/>
      </c>
      <c r="T174">
        <f>HYPERLINK("https://klasma.github.io/Logging_2380/kartor/A 41762-2024 karta.png", "A 41762-2024")</f>
        <v/>
      </c>
      <c r="V174">
        <f>HYPERLINK("https://klasma.github.io/Logging_2380/klagomål/A 41762-2024 FSC-klagomål.docx", "A 41762-2024")</f>
        <v/>
      </c>
      <c r="W174">
        <f>HYPERLINK("https://klasma.github.io/Logging_2380/klagomålsmail/A 41762-2024 FSC-klagomål mail.docx", "A 41762-2024")</f>
        <v/>
      </c>
      <c r="X174">
        <f>HYPERLINK("https://klasma.github.io/Logging_2380/tillsyn/A 41762-2024 tillsynsbegäran.docx", "A 41762-2024")</f>
        <v/>
      </c>
      <c r="Y174">
        <f>HYPERLINK("https://klasma.github.io/Logging_2380/tillsynsmail/A 41762-2024 tillsynsbegäran mail.docx", "A 41762-2024")</f>
        <v/>
      </c>
    </row>
    <row r="175" ht="15" customHeight="1">
      <c r="A175" t="inlineStr">
        <is>
          <t>A 41770-2024</t>
        </is>
      </c>
      <c r="B175" s="1" t="n">
        <v>45561</v>
      </c>
      <c r="C175" s="1" t="n">
        <v>45645</v>
      </c>
      <c r="D175" t="inlineStr">
        <is>
          <t>JÄMTLANDS LÄN</t>
        </is>
      </c>
      <c r="E175" t="inlineStr">
        <is>
          <t>ÖSTERSUND</t>
        </is>
      </c>
      <c r="F175" t="inlineStr">
        <is>
          <t>SCA</t>
        </is>
      </c>
      <c r="G175" t="n">
        <v>4.4</v>
      </c>
      <c r="H175" t="n">
        <v>0</v>
      </c>
      <c r="I175" t="n">
        <v>1</v>
      </c>
      <c r="J175" t="n">
        <v>0</v>
      </c>
      <c r="K175" t="n">
        <v>0</v>
      </c>
      <c r="L175" t="n">
        <v>0</v>
      </c>
      <c r="M175" t="n">
        <v>0</v>
      </c>
      <c r="N175" t="n">
        <v>0</v>
      </c>
      <c r="O175" t="n">
        <v>0</v>
      </c>
      <c r="P175" t="n">
        <v>0</v>
      </c>
      <c r="Q175" t="n">
        <v>1</v>
      </c>
      <c r="R175" s="2" t="inlineStr">
        <is>
          <t>Vedticka</t>
        </is>
      </c>
      <c r="S175">
        <f>HYPERLINK("https://klasma.github.io/Logging_2380/artfynd/A 41770-2024 artfynd.xlsx", "A 41770-2024")</f>
        <v/>
      </c>
      <c r="T175">
        <f>HYPERLINK("https://klasma.github.io/Logging_2380/kartor/A 41770-2024 karta.png", "A 41770-2024")</f>
        <v/>
      </c>
      <c r="V175">
        <f>HYPERLINK("https://klasma.github.io/Logging_2380/klagomål/A 41770-2024 FSC-klagomål.docx", "A 41770-2024")</f>
        <v/>
      </c>
      <c r="W175">
        <f>HYPERLINK("https://klasma.github.io/Logging_2380/klagomålsmail/A 41770-2024 FSC-klagomål mail.docx", "A 41770-2024")</f>
        <v/>
      </c>
      <c r="X175">
        <f>HYPERLINK("https://klasma.github.io/Logging_2380/tillsyn/A 41770-2024 tillsynsbegäran.docx", "A 41770-2024")</f>
        <v/>
      </c>
      <c r="Y175">
        <f>HYPERLINK("https://klasma.github.io/Logging_2380/tillsynsmail/A 41770-2024 tillsynsbegäran mail.docx", "A 41770-2024")</f>
        <v/>
      </c>
    </row>
    <row r="176" ht="15" customHeight="1">
      <c r="A176" t="inlineStr">
        <is>
          <t>A 44049-2024</t>
        </is>
      </c>
      <c r="B176" s="1" t="n">
        <v>45572</v>
      </c>
      <c r="C176" s="1" t="n">
        <v>45645</v>
      </c>
      <c r="D176" t="inlineStr">
        <is>
          <t>JÄMTLANDS LÄN</t>
        </is>
      </c>
      <c r="E176" t="inlineStr">
        <is>
          <t>ÖSTERSUND</t>
        </is>
      </c>
      <c r="F176" t="inlineStr">
        <is>
          <t>SCA</t>
        </is>
      </c>
      <c r="G176" t="n">
        <v>4.5</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44049-2024 artfynd.xlsx", "A 44049-2024")</f>
        <v/>
      </c>
      <c r="T176">
        <f>HYPERLINK("https://klasma.github.io/Logging_2380/kartor/A 44049-2024 karta.png", "A 44049-2024")</f>
        <v/>
      </c>
      <c r="V176">
        <f>HYPERLINK("https://klasma.github.io/Logging_2380/klagomål/A 44049-2024 FSC-klagomål.docx", "A 44049-2024")</f>
        <v/>
      </c>
      <c r="W176">
        <f>HYPERLINK("https://klasma.github.io/Logging_2380/klagomålsmail/A 44049-2024 FSC-klagomål mail.docx", "A 44049-2024")</f>
        <v/>
      </c>
      <c r="X176">
        <f>HYPERLINK("https://klasma.github.io/Logging_2380/tillsyn/A 44049-2024 tillsynsbegäran.docx", "A 44049-2024")</f>
        <v/>
      </c>
      <c r="Y176">
        <f>HYPERLINK("https://klasma.github.io/Logging_2380/tillsynsmail/A 44049-2024 tillsynsbegäran mail.docx", "A 44049-2024")</f>
        <v/>
      </c>
    </row>
    <row r="177" ht="15" customHeight="1">
      <c r="A177" t="inlineStr">
        <is>
          <t>A 44737-2024</t>
        </is>
      </c>
      <c r="B177" s="1" t="n">
        <v>45574</v>
      </c>
      <c r="C177" s="1" t="n">
        <v>45645</v>
      </c>
      <c r="D177" t="inlineStr">
        <is>
          <t>JÄMTLANDS LÄN</t>
        </is>
      </c>
      <c r="E177" t="inlineStr">
        <is>
          <t>ÖSTERSUND</t>
        </is>
      </c>
      <c r="F177" t="inlineStr">
        <is>
          <t>SCA</t>
        </is>
      </c>
      <c r="G177" t="n">
        <v>6.3</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44737-2024 artfynd.xlsx", "A 44737-2024")</f>
        <v/>
      </c>
      <c r="T177">
        <f>HYPERLINK("https://klasma.github.io/Logging_2380/kartor/A 44737-2024 karta.png", "A 44737-2024")</f>
        <v/>
      </c>
      <c r="V177">
        <f>HYPERLINK("https://klasma.github.io/Logging_2380/klagomål/A 44737-2024 FSC-klagomål.docx", "A 44737-2024")</f>
        <v/>
      </c>
      <c r="W177">
        <f>HYPERLINK("https://klasma.github.io/Logging_2380/klagomålsmail/A 44737-2024 FSC-klagomål mail.docx", "A 44737-2024")</f>
        <v/>
      </c>
      <c r="X177">
        <f>HYPERLINK("https://klasma.github.io/Logging_2380/tillsyn/A 44737-2024 tillsynsbegäran.docx", "A 44737-2024")</f>
        <v/>
      </c>
      <c r="Y177">
        <f>HYPERLINK("https://klasma.github.io/Logging_2380/tillsynsmail/A 44737-2024 tillsynsbegäran mail.docx", "A 44737-2024")</f>
        <v/>
      </c>
    </row>
    <row r="178" ht="15" customHeight="1">
      <c r="A178" t="inlineStr">
        <is>
          <t>A 45267-2024</t>
        </is>
      </c>
      <c r="B178" s="1" t="n">
        <v>45576</v>
      </c>
      <c r="C178" s="1" t="n">
        <v>45645</v>
      </c>
      <c r="D178" t="inlineStr">
        <is>
          <t>JÄMTLANDS LÄN</t>
        </is>
      </c>
      <c r="E178" t="inlineStr">
        <is>
          <t>ÖSTERSUND</t>
        </is>
      </c>
      <c r="G178" t="n">
        <v>8.6</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45267-2024 artfynd.xlsx", "A 45267-2024")</f>
        <v/>
      </c>
      <c r="T178">
        <f>HYPERLINK("https://klasma.github.io/Logging_2380/kartor/A 45267-2024 karta.png", "A 45267-2024")</f>
        <v/>
      </c>
      <c r="V178">
        <f>HYPERLINK("https://klasma.github.io/Logging_2380/klagomål/A 45267-2024 FSC-klagomål.docx", "A 45267-2024")</f>
        <v/>
      </c>
      <c r="W178">
        <f>HYPERLINK("https://klasma.github.io/Logging_2380/klagomålsmail/A 45267-2024 FSC-klagomål mail.docx", "A 45267-2024")</f>
        <v/>
      </c>
      <c r="X178">
        <f>HYPERLINK("https://klasma.github.io/Logging_2380/tillsyn/A 45267-2024 tillsynsbegäran.docx", "A 45267-2024")</f>
        <v/>
      </c>
      <c r="Y178">
        <f>HYPERLINK("https://klasma.github.io/Logging_2380/tillsynsmail/A 45267-2024 tillsynsbegäran mail.docx", "A 45267-2024")</f>
        <v/>
      </c>
      <c r="Z178">
        <f>HYPERLINK("https://klasma.github.io/Logging_2380/fåglar/A 45267-2024 prioriterade fågelarter.docx", "A 45267-2024")</f>
        <v/>
      </c>
    </row>
    <row r="179" ht="15" customHeight="1">
      <c r="A179" t="inlineStr">
        <is>
          <t>A 47176-2024</t>
        </is>
      </c>
      <c r="B179" s="1" t="n">
        <v>45586</v>
      </c>
      <c r="C179" s="1" t="n">
        <v>45645</v>
      </c>
      <c r="D179" t="inlineStr">
        <is>
          <t>JÄMTLANDS LÄN</t>
        </is>
      </c>
      <c r="E179" t="inlineStr">
        <is>
          <t>ÖSTERSUND</t>
        </is>
      </c>
      <c r="F179" t="inlineStr">
        <is>
          <t>SCA</t>
        </is>
      </c>
      <c r="G179" t="n">
        <v>2.9</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47176-2024 artfynd.xlsx", "A 47176-2024")</f>
        <v/>
      </c>
      <c r="T179">
        <f>HYPERLINK("https://klasma.github.io/Logging_2380/kartor/A 47176-2024 karta.png", "A 47176-2024")</f>
        <v/>
      </c>
      <c r="V179">
        <f>HYPERLINK("https://klasma.github.io/Logging_2380/klagomål/A 47176-2024 FSC-klagomål.docx", "A 47176-2024")</f>
        <v/>
      </c>
      <c r="W179">
        <f>HYPERLINK("https://klasma.github.io/Logging_2380/klagomålsmail/A 47176-2024 FSC-klagomål mail.docx", "A 47176-2024")</f>
        <v/>
      </c>
      <c r="X179">
        <f>HYPERLINK("https://klasma.github.io/Logging_2380/tillsyn/A 47176-2024 tillsynsbegäran.docx", "A 47176-2024")</f>
        <v/>
      </c>
      <c r="Y179">
        <f>HYPERLINK("https://klasma.github.io/Logging_2380/tillsynsmail/A 47176-2024 tillsynsbegäran mail.docx", "A 47176-2024")</f>
        <v/>
      </c>
    </row>
    <row r="180" ht="15" customHeight="1">
      <c r="A180" t="inlineStr">
        <is>
          <t>A 56201-2024</t>
        </is>
      </c>
      <c r="B180" s="1" t="n">
        <v>45624</v>
      </c>
      <c r="C180" s="1" t="n">
        <v>45645</v>
      </c>
      <c r="D180" t="inlineStr">
        <is>
          <t>JÄMTLANDS LÄN</t>
        </is>
      </c>
      <c r="E180" t="inlineStr">
        <is>
          <t>ÖSTERSUND</t>
        </is>
      </c>
      <c r="F180" t="inlineStr">
        <is>
          <t>SCA</t>
        </is>
      </c>
      <c r="G180" t="n">
        <v>5.9</v>
      </c>
      <c r="H180" t="n">
        <v>1</v>
      </c>
      <c r="I180" t="n">
        <v>0</v>
      </c>
      <c r="J180" t="n">
        <v>0</v>
      </c>
      <c r="K180" t="n">
        <v>1</v>
      </c>
      <c r="L180" t="n">
        <v>0</v>
      </c>
      <c r="M180" t="n">
        <v>0</v>
      </c>
      <c r="N180" t="n">
        <v>0</v>
      </c>
      <c r="O180" t="n">
        <v>1</v>
      </c>
      <c r="P180" t="n">
        <v>1</v>
      </c>
      <c r="Q180" t="n">
        <v>1</v>
      </c>
      <c r="R180" s="2" t="inlineStr">
        <is>
          <t>Doftticka</t>
        </is>
      </c>
      <c r="S180">
        <f>HYPERLINK("https://klasma.github.io/Logging_2380/artfynd/A 56201-2024 artfynd.xlsx", "A 56201-2024")</f>
        <v/>
      </c>
      <c r="T180">
        <f>HYPERLINK("https://klasma.github.io/Logging_2380/kartor/A 56201-2024 karta.png", "A 56201-2024")</f>
        <v/>
      </c>
      <c r="V180">
        <f>HYPERLINK("https://klasma.github.io/Logging_2380/klagomål/A 56201-2024 FSC-klagomål.docx", "A 56201-2024")</f>
        <v/>
      </c>
      <c r="W180">
        <f>HYPERLINK("https://klasma.github.io/Logging_2380/klagomålsmail/A 56201-2024 FSC-klagomål mail.docx", "A 56201-2024")</f>
        <v/>
      </c>
      <c r="X180">
        <f>HYPERLINK("https://klasma.github.io/Logging_2380/tillsyn/A 56201-2024 tillsynsbegäran.docx", "A 56201-2024")</f>
        <v/>
      </c>
      <c r="Y180">
        <f>HYPERLINK("https://klasma.github.io/Logging_2380/tillsynsmail/A 56201-2024 tillsynsbegäran mail.docx", "A 56201-2024")</f>
        <v/>
      </c>
    </row>
    <row r="181" ht="15" customHeight="1">
      <c r="A181" t="inlineStr">
        <is>
          <t>A 57065-2024</t>
        </is>
      </c>
      <c r="B181" s="1" t="n">
        <v>45629</v>
      </c>
      <c r="C181" s="1" t="n">
        <v>45645</v>
      </c>
      <c r="D181" t="inlineStr">
        <is>
          <t>JÄMTLANDS LÄN</t>
        </is>
      </c>
      <c r="E181" t="inlineStr">
        <is>
          <t>ÖSTERSUND</t>
        </is>
      </c>
      <c r="F181" t="inlineStr">
        <is>
          <t>SCA</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57065-2024 artfynd.xlsx", "A 57065-2024")</f>
        <v/>
      </c>
      <c r="T181">
        <f>HYPERLINK("https://klasma.github.io/Logging_2380/kartor/A 57065-2024 karta.png", "A 57065-2024")</f>
        <v/>
      </c>
      <c r="V181">
        <f>HYPERLINK("https://klasma.github.io/Logging_2380/klagomål/A 57065-2024 FSC-klagomål.docx", "A 57065-2024")</f>
        <v/>
      </c>
      <c r="W181">
        <f>HYPERLINK("https://klasma.github.io/Logging_2380/klagomålsmail/A 57065-2024 FSC-klagomål mail.docx", "A 57065-2024")</f>
        <v/>
      </c>
      <c r="X181">
        <f>HYPERLINK("https://klasma.github.io/Logging_2380/tillsyn/A 57065-2024 tillsynsbegäran.docx", "A 57065-2024")</f>
        <v/>
      </c>
      <c r="Y181">
        <f>HYPERLINK("https://klasma.github.io/Logging_2380/tillsynsmail/A 57065-2024 tillsynsbegäran mail.docx", "A 57065-2024")</f>
        <v/>
      </c>
      <c r="Z181">
        <f>HYPERLINK("https://klasma.github.io/Logging_2380/fåglar/A 57065-2024 prioriterade fågelarter.docx", "A 57065-2024")</f>
        <v/>
      </c>
    </row>
    <row r="182" ht="15" customHeight="1">
      <c r="A182" t="inlineStr">
        <is>
          <t>A 59108-2024</t>
        </is>
      </c>
      <c r="B182" s="1" t="n">
        <v>45637</v>
      </c>
      <c r="C182" s="1" t="n">
        <v>45645</v>
      </c>
      <c r="D182" t="inlineStr">
        <is>
          <t>JÄMTLANDS LÄN</t>
        </is>
      </c>
      <c r="E182" t="inlineStr">
        <is>
          <t>ÖSTERSUND</t>
        </is>
      </c>
      <c r="F182" t="inlineStr">
        <is>
          <t>SCA</t>
        </is>
      </c>
      <c r="G182" t="n">
        <v>10.6</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59108-2024 artfynd.xlsx", "A 59108-2024")</f>
        <v/>
      </c>
      <c r="T182">
        <f>HYPERLINK("https://klasma.github.io/Logging_2380/kartor/A 59108-2024 karta.png", "A 59108-2024")</f>
        <v/>
      </c>
      <c r="V182">
        <f>HYPERLINK("https://klasma.github.io/Logging_2380/klagomål/A 59108-2024 FSC-klagomål.docx", "A 59108-2024")</f>
        <v/>
      </c>
      <c r="W182">
        <f>HYPERLINK("https://klasma.github.io/Logging_2380/klagomålsmail/A 59108-2024 FSC-klagomål mail.docx", "A 59108-2024")</f>
        <v/>
      </c>
      <c r="X182">
        <f>HYPERLINK("https://klasma.github.io/Logging_2380/tillsyn/A 59108-2024 tillsynsbegäran.docx", "A 59108-2024")</f>
        <v/>
      </c>
      <c r="Y182">
        <f>HYPERLINK("https://klasma.github.io/Logging_2380/tillsynsmail/A 59108-2024 tillsynsbegäran mail.docx", "A 59108-2024")</f>
        <v/>
      </c>
      <c r="Z182">
        <f>HYPERLINK("https://klasma.github.io/Logging_2380/fåglar/A 59108-2024 prioriterade fågelarter.docx", "A 59108-2024")</f>
        <v/>
      </c>
    </row>
    <row r="183" ht="15" customHeight="1">
      <c r="A183" t="inlineStr">
        <is>
          <t>A 20319-2019</t>
        </is>
      </c>
      <c r="B183" s="1" t="n">
        <v>43571</v>
      </c>
      <c r="C183" s="1" t="n">
        <v>45645</v>
      </c>
      <c r="D183" t="inlineStr">
        <is>
          <t>JÄMTLANDS LÄN</t>
        </is>
      </c>
      <c r="E183" t="inlineStr">
        <is>
          <t>ÖSTERSUND</t>
        </is>
      </c>
      <c r="G183" t="n">
        <v>1.3</v>
      </c>
      <c r="H183" t="n">
        <v>0</v>
      </c>
      <c r="I183" t="n">
        <v>0</v>
      </c>
      <c r="J183" t="n">
        <v>0</v>
      </c>
      <c r="K183" t="n">
        <v>0</v>
      </c>
      <c r="L183" t="n">
        <v>0</v>
      </c>
      <c r="M183" t="n">
        <v>0</v>
      </c>
      <c r="N183" t="n">
        <v>0</v>
      </c>
      <c r="O183" t="n">
        <v>0</v>
      </c>
      <c r="P183" t="n">
        <v>0</v>
      </c>
      <c r="Q183" t="n">
        <v>0</v>
      </c>
      <c r="R183" s="2" t="inlineStr"/>
    </row>
    <row r="184" ht="15" customHeight="1">
      <c r="A184" t="inlineStr">
        <is>
          <t>A 21727-2019</t>
        </is>
      </c>
      <c r="B184" s="1" t="n">
        <v>43581</v>
      </c>
      <c r="C184" s="1" t="n">
        <v>45645</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21793-2019</t>
        </is>
      </c>
      <c r="B185" s="1" t="n">
        <v>43581</v>
      </c>
      <c r="C185" s="1" t="n">
        <v>45645</v>
      </c>
      <c r="D185" t="inlineStr">
        <is>
          <t>JÄMTLANDS LÄN</t>
        </is>
      </c>
      <c r="E185" t="inlineStr">
        <is>
          <t>ÖSTERSUND</t>
        </is>
      </c>
      <c r="F185" t="inlineStr">
        <is>
          <t>SCA</t>
        </is>
      </c>
      <c r="G185" t="n">
        <v>3.6</v>
      </c>
      <c r="H185" t="n">
        <v>0</v>
      </c>
      <c r="I185" t="n">
        <v>0</v>
      </c>
      <c r="J185" t="n">
        <v>0</v>
      </c>
      <c r="K185" t="n">
        <v>0</v>
      </c>
      <c r="L185" t="n">
        <v>0</v>
      </c>
      <c r="M185" t="n">
        <v>0</v>
      </c>
      <c r="N185" t="n">
        <v>0</v>
      </c>
      <c r="O185" t="n">
        <v>0</v>
      </c>
      <c r="P185" t="n">
        <v>0</v>
      </c>
      <c r="Q185" t="n">
        <v>0</v>
      </c>
      <c r="R185" s="2" t="inlineStr"/>
    </row>
    <row r="186" ht="15" customHeight="1">
      <c r="A186" t="inlineStr">
        <is>
          <t>A 22119-2019</t>
        </is>
      </c>
      <c r="B186" s="1" t="n">
        <v>43584</v>
      </c>
      <c r="C186" s="1" t="n">
        <v>45645</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22115-2019</t>
        </is>
      </c>
      <c r="B187" s="1" t="n">
        <v>43584</v>
      </c>
      <c r="C187" s="1" t="n">
        <v>45645</v>
      </c>
      <c r="D187" t="inlineStr">
        <is>
          <t>JÄMTLANDS LÄN</t>
        </is>
      </c>
      <c r="E187" t="inlineStr">
        <is>
          <t>ÖSTERSUND</t>
        </is>
      </c>
      <c r="G187" t="n">
        <v>15.1</v>
      </c>
      <c r="H187" t="n">
        <v>0</v>
      </c>
      <c r="I187" t="n">
        <v>0</v>
      </c>
      <c r="J187" t="n">
        <v>0</v>
      </c>
      <c r="K187" t="n">
        <v>0</v>
      </c>
      <c r="L187" t="n">
        <v>0</v>
      </c>
      <c r="M187" t="n">
        <v>0</v>
      </c>
      <c r="N187" t="n">
        <v>0</v>
      </c>
      <c r="O187" t="n">
        <v>0</v>
      </c>
      <c r="P187" t="n">
        <v>0</v>
      </c>
      <c r="Q187" t="n">
        <v>0</v>
      </c>
      <c r="R187" s="2" t="inlineStr"/>
      <c r="U187">
        <f>HYPERLINK("https://klasma.github.io/Logging_2380/knärot/A 22115-2019 karta knärot.png", "A 22115-2019")</f>
        <v/>
      </c>
      <c r="V187">
        <f>HYPERLINK("https://klasma.github.io/Logging_2380/klagomål/A 22115-2019 FSC-klagomål.docx", "A 22115-2019")</f>
        <v/>
      </c>
      <c r="W187">
        <f>HYPERLINK("https://klasma.github.io/Logging_2380/klagomålsmail/A 22115-2019 FSC-klagomål mail.docx", "A 22115-2019")</f>
        <v/>
      </c>
      <c r="X187">
        <f>HYPERLINK("https://klasma.github.io/Logging_2380/tillsyn/A 22115-2019 tillsynsbegäran.docx", "A 22115-2019")</f>
        <v/>
      </c>
      <c r="Y187">
        <f>HYPERLINK("https://klasma.github.io/Logging_2380/tillsynsmail/A 22115-2019 tillsynsbegäran mail.docx", "A 22115-2019")</f>
        <v/>
      </c>
    </row>
    <row r="188" ht="15" customHeight="1">
      <c r="A188" t="inlineStr">
        <is>
          <t>A 23609-2019</t>
        </is>
      </c>
      <c r="B188" s="1" t="n">
        <v>43594</v>
      </c>
      <c r="C188" s="1" t="n">
        <v>45645</v>
      </c>
      <c r="D188" t="inlineStr">
        <is>
          <t>JÄMTLANDS LÄN</t>
        </is>
      </c>
      <c r="E188" t="inlineStr">
        <is>
          <t>ÖSTERSUND</t>
        </is>
      </c>
      <c r="G188" t="n">
        <v>2.5</v>
      </c>
      <c r="H188" t="n">
        <v>0</v>
      </c>
      <c r="I188" t="n">
        <v>0</v>
      </c>
      <c r="J188" t="n">
        <v>0</v>
      </c>
      <c r="K188" t="n">
        <v>0</v>
      </c>
      <c r="L188" t="n">
        <v>0</v>
      </c>
      <c r="M188" t="n">
        <v>0</v>
      </c>
      <c r="N188" t="n">
        <v>0</v>
      </c>
      <c r="O188" t="n">
        <v>0</v>
      </c>
      <c r="P188" t="n">
        <v>0</v>
      </c>
      <c r="Q188" t="n">
        <v>0</v>
      </c>
      <c r="R188" s="2" t="inlineStr"/>
    </row>
    <row r="189" ht="15" customHeight="1">
      <c r="A189" t="inlineStr">
        <is>
          <t>A 23940-2019</t>
        </is>
      </c>
      <c r="B189" s="1" t="n">
        <v>43595</v>
      </c>
      <c r="C189" s="1" t="n">
        <v>45645</v>
      </c>
      <c r="D189" t="inlineStr">
        <is>
          <t>JÄMTLANDS LÄN</t>
        </is>
      </c>
      <c r="E189" t="inlineStr">
        <is>
          <t>ÖSTERSUND</t>
        </is>
      </c>
      <c r="F189" t="inlineStr">
        <is>
          <t>SCA</t>
        </is>
      </c>
      <c r="G189" t="n">
        <v>0.7</v>
      </c>
      <c r="H189" t="n">
        <v>0</v>
      </c>
      <c r="I189" t="n">
        <v>0</v>
      </c>
      <c r="J189" t="n">
        <v>0</v>
      </c>
      <c r="K189" t="n">
        <v>0</v>
      </c>
      <c r="L189" t="n">
        <v>0</v>
      </c>
      <c r="M189" t="n">
        <v>0</v>
      </c>
      <c r="N189" t="n">
        <v>0</v>
      </c>
      <c r="O189" t="n">
        <v>0</v>
      </c>
      <c r="P189" t="n">
        <v>0</v>
      </c>
      <c r="Q189" t="n">
        <v>0</v>
      </c>
      <c r="R189" s="2" t="inlineStr"/>
    </row>
    <row r="190" ht="15" customHeight="1">
      <c r="A190" t="inlineStr">
        <is>
          <t>A 25205-2019</t>
        </is>
      </c>
      <c r="B190" s="1" t="n">
        <v>43600</v>
      </c>
      <c r="C190" s="1" t="n">
        <v>45645</v>
      </c>
      <c r="D190" t="inlineStr">
        <is>
          <t>JÄMTLANDS LÄN</t>
        </is>
      </c>
      <c r="E190" t="inlineStr">
        <is>
          <t>ÖSTERSUND</t>
        </is>
      </c>
      <c r="G190" t="n">
        <v>3.8</v>
      </c>
      <c r="H190" t="n">
        <v>0</v>
      </c>
      <c r="I190" t="n">
        <v>0</v>
      </c>
      <c r="J190" t="n">
        <v>0</v>
      </c>
      <c r="K190" t="n">
        <v>0</v>
      </c>
      <c r="L190" t="n">
        <v>0</v>
      </c>
      <c r="M190" t="n">
        <v>0</v>
      </c>
      <c r="N190" t="n">
        <v>0</v>
      </c>
      <c r="O190" t="n">
        <v>0</v>
      </c>
      <c r="P190" t="n">
        <v>0</v>
      </c>
      <c r="Q190" t="n">
        <v>0</v>
      </c>
      <c r="R190" s="2" t="inlineStr"/>
    </row>
    <row r="191" ht="15" customHeight="1">
      <c r="A191" t="inlineStr">
        <is>
          <t>A 28892-2019</t>
        </is>
      </c>
      <c r="B191" s="1" t="n">
        <v>43619</v>
      </c>
      <c r="C191" s="1" t="n">
        <v>45645</v>
      </c>
      <c r="D191" t="inlineStr">
        <is>
          <t>JÄMTLANDS LÄN</t>
        </is>
      </c>
      <c r="E191" t="inlineStr">
        <is>
          <t>ÖSTERSUND</t>
        </is>
      </c>
      <c r="G191" t="n">
        <v>0.7</v>
      </c>
      <c r="H191" t="n">
        <v>0</v>
      </c>
      <c r="I191" t="n">
        <v>0</v>
      </c>
      <c r="J191" t="n">
        <v>0</v>
      </c>
      <c r="K191" t="n">
        <v>0</v>
      </c>
      <c r="L191" t="n">
        <v>0</v>
      </c>
      <c r="M191" t="n">
        <v>0</v>
      </c>
      <c r="N191" t="n">
        <v>0</v>
      </c>
      <c r="O191" t="n">
        <v>0</v>
      </c>
      <c r="P191" t="n">
        <v>0</v>
      </c>
      <c r="Q191" t="n">
        <v>0</v>
      </c>
      <c r="R191" s="2" t="inlineStr"/>
    </row>
    <row r="192" ht="15" customHeight="1">
      <c r="A192" t="inlineStr">
        <is>
          <t>A 28899-2019</t>
        </is>
      </c>
      <c r="B192" s="1" t="n">
        <v>43619</v>
      </c>
      <c r="C192" s="1" t="n">
        <v>45645</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28884-2019</t>
        </is>
      </c>
      <c r="B193" s="1" t="n">
        <v>43619</v>
      </c>
      <c r="C193" s="1" t="n">
        <v>45645</v>
      </c>
      <c r="D193" t="inlineStr">
        <is>
          <t>JÄMTLANDS LÄN</t>
        </is>
      </c>
      <c r="E193" t="inlineStr">
        <is>
          <t>ÖSTERSUND</t>
        </is>
      </c>
      <c r="G193" t="n">
        <v>0.3</v>
      </c>
      <c r="H193" t="n">
        <v>0</v>
      </c>
      <c r="I193" t="n">
        <v>0</v>
      </c>
      <c r="J193" t="n">
        <v>0</v>
      </c>
      <c r="K193" t="n">
        <v>0</v>
      </c>
      <c r="L193" t="n">
        <v>0</v>
      </c>
      <c r="M193" t="n">
        <v>0</v>
      </c>
      <c r="N193" t="n">
        <v>0</v>
      </c>
      <c r="O193" t="n">
        <v>0</v>
      </c>
      <c r="P193" t="n">
        <v>0</v>
      </c>
      <c r="Q193" t="n">
        <v>0</v>
      </c>
      <c r="R193" s="2" t="inlineStr"/>
    </row>
    <row r="194" ht="15" customHeight="1">
      <c r="A194" t="inlineStr">
        <is>
          <t>A 27977-2019</t>
        </is>
      </c>
      <c r="B194" s="1" t="n">
        <v>43620</v>
      </c>
      <c r="C194" s="1" t="n">
        <v>45645</v>
      </c>
      <c r="D194" t="inlineStr">
        <is>
          <t>JÄMTLANDS LÄN</t>
        </is>
      </c>
      <c r="E194" t="inlineStr">
        <is>
          <t>ÖSTERSUND</t>
        </is>
      </c>
      <c r="G194" t="n">
        <v>1</v>
      </c>
      <c r="H194" t="n">
        <v>0</v>
      </c>
      <c r="I194" t="n">
        <v>0</v>
      </c>
      <c r="J194" t="n">
        <v>0</v>
      </c>
      <c r="K194" t="n">
        <v>0</v>
      </c>
      <c r="L194" t="n">
        <v>0</v>
      </c>
      <c r="M194" t="n">
        <v>0</v>
      </c>
      <c r="N194" t="n">
        <v>0</v>
      </c>
      <c r="O194" t="n">
        <v>0</v>
      </c>
      <c r="P194" t="n">
        <v>0</v>
      </c>
      <c r="Q194" t="n">
        <v>0</v>
      </c>
      <c r="R194" s="2" t="inlineStr"/>
    </row>
    <row r="195" ht="15" customHeight="1">
      <c r="A195" t="inlineStr">
        <is>
          <t>A 29058-2019</t>
        </is>
      </c>
      <c r="B195" s="1" t="n">
        <v>43621</v>
      </c>
      <c r="C195" s="1" t="n">
        <v>45645</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31189-2019</t>
        </is>
      </c>
      <c r="B196" s="1" t="n">
        <v>43635</v>
      </c>
      <c r="C196" s="1" t="n">
        <v>45645</v>
      </c>
      <c r="D196" t="inlineStr">
        <is>
          <t>JÄMTLANDS LÄN</t>
        </is>
      </c>
      <c r="E196" t="inlineStr">
        <is>
          <t>ÖSTERSUND</t>
        </is>
      </c>
      <c r="G196" t="n">
        <v>5.5</v>
      </c>
      <c r="H196" t="n">
        <v>0</v>
      </c>
      <c r="I196" t="n">
        <v>0</v>
      </c>
      <c r="J196" t="n">
        <v>0</v>
      </c>
      <c r="K196" t="n">
        <v>0</v>
      </c>
      <c r="L196" t="n">
        <v>0</v>
      </c>
      <c r="M196" t="n">
        <v>0</v>
      </c>
      <c r="N196" t="n">
        <v>0</v>
      </c>
      <c r="O196" t="n">
        <v>0</v>
      </c>
      <c r="P196" t="n">
        <v>0</v>
      </c>
      <c r="Q196" t="n">
        <v>0</v>
      </c>
      <c r="R196" s="2" t="inlineStr"/>
    </row>
    <row r="197" ht="15" customHeight="1">
      <c r="A197" t="inlineStr">
        <is>
          <t>A 30940-2019</t>
        </is>
      </c>
      <c r="B197" s="1" t="n">
        <v>43637</v>
      </c>
      <c r="C197" s="1" t="n">
        <v>45645</v>
      </c>
      <c r="D197" t="inlineStr">
        <is>
          <t>JÄMTLANDS LÄN</t>
        </is>
      </c>
      <c r="E197" t="inlineStr">
        <is>
          <t>ÖSTERSUND</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30946-2019</t>
        </is>
      </c>
      <c r="B198" s="1" t="n">
        <v>43636</v>
      </c>
      <c r="C198" s="1" t="n">
        <v>45645</v>
      </c>
      <c r="D198" t="inlineStr">
        <is>
          <t>JÄMTLANDS LÄN</t>
        </is>
      </c>
      <c r="E198" t="inlineStr">
        <is>
          <t>ÖSTERSUND</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31617-2019</t>
        </is>
      </c>
      <c r="B199" s="1" t="n">
        <v>43640</v>
      </c>
      <c r="C199" s="1" t="n">
        <v>45645</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31621-2019</t>
        </is>
      </c>
      <c r="B200" s="1" t="n">
        <v>43640</v>
      </c>
      <c r="C200" s="1" t="n">
        <v>45645</v>
      </c>
      <c r="D200" t="inlineStr">
        <is>
          <t>JÄMTLANDS LÄN</t>
        </is>
      </c>
      <c r="E200" t="inlineStr">
        <is>
          <t>ÖSTERSUND</t>
        </is>
      </c>
      <c r="G200" t="n">
        <v>1.3</v>
      </c>
      <c r="H200" t="n">
        <v>0</v>
      </c>
      <c r="I200" t="n">
        <v>0</v>
      </c>
      <c r="J200" t="n">
        <v>0</v>
      </c>
      <c r="K200" t="n">
        <v>0</v>
      </c>
      <c r="L200" t="n">
        <v>0</v>
      </c>
      <c r="M200" t="n">
        <v>0</v>
      </c>
      <c r="N200" t="n">
        <v>0</v>
      </c>
      <c r="O200" t="n">
        <v>0</v>
      </c>
      <c r="P200" t="n">
        <v>0</v>
      </c>
      <c r="Q200" t="n">
        <v>0</v>
      </c>
      <c r="R200" s="2" t="inlineStr"/>
    </row>
    <row r="201" ht="15" customHeight="1">
      <c r="A201" t="inlineStr">
        <is>
          <t>A 34903-2019</t>
        </is>
      </c>
      <c r="B201" s="1" t="n">
        <v>43650</v>
      </c>
      <c r="C201" s="1" t="n">
        <v>45645</v>
      </c>
      <c r="D201" t="inlineStr">
        <is>
          <t>JÄMTLANDS LÄN</t>
        </is>
      </c>
      <c r="E201" t="inlineStr">
        <is>
          <t>ÖSTERSUND</t>
        </is>
      </c>
      <c r="G201" t="n">
        <v>1</v>
      </c>
      <c r="H201" t="n">
        <v>0</v>
      </c>
      <c r="I201" t="n">
        <v>0</v>
      </c>
      <c r="J201" t="n">
        <v>0</v>
      </c>
      <c r="K201" t="n">
        <v>0</v>
      </c>
      <c r="L201" t="n">
        <v>0</v>
      </c>
      <c r="M201" t="n">
        <v>0</v>
      </c>
      <c r="N201" t="n">
        <v>0</v>
      </c>
      <c r="O201" t="n">
        <v>0</v>
      </c>
      <c r="P201" t="n">
        <v>0</v>
      </c>
      <c r="Q201" t="n">
        <v>0</v>
      </c>
      <c r="R201" s="2" t="inlineStr"/>
    </row>
    <row r="202" ht="15" customHeight="1">
      <c r="A202" t="inlineStr">
        <is>
          <t>A 35500-2019</t>
        </is>
      </c>
      <c r="B202" s="1" t="n">
        <v>43651</v>
      </c>
      <c r="C202" s="1" t="n">
        <v>45645</v>
      </c>
      <c r="D202" t="inlineStr">
        <is>
          <t>JÄMTLANDS LÄN</t>
        </is>
      </c>
      <c r="E202" t="inlineStr">
        <is>
          <t>ÖSTERSUND</t>
        </is>
      </c>
      <c r="F202" t="inlineStr">
        <is>
          <t>SCA</t>
        </is>
      </c>
      <c r="G202" t="n">
        <v>7</v>
      </c>
      <c r="H202" t="n">
        <v>0</v>
      </c>
      <c r="I202" t="n">
        <v>0</v>
      </c>
      <c r="J202" t="n">
        <v>0</v>
      </c>
      <c r="K202" t="n">
        <v>0</v>
      </c>
      <c r="L202" t="n">
        <v>0</v>
      </c>
      <c r="M202" t="n">
        <v>0</v>
      </c>
      <c r="N202" t="n">
        <v>0</v>
      </c>
      <c r="O202" t="n">
        <v>0</v>
      </c>
      <c r="P202" t="n">
        <v>0</v>
      </c>
      <c r="Q202" t="n">
        <v>0</v>
      </c>
      <c r="R202" s="2" t="inlineStr"/>
    </row>
    <row r="203" ht="15" customHeight="1">
      <c r="A203" t="inlineStr">
        <is>
          <t>A 35535-2019</t>
        </is>
      </c>
      <c r="B203" s="1" t="n">
        <v>43654</v>
      </c>
      <c r="C203" s="1" t="n">
        <v>45645</v>
      </c>
      <c r="D203" t="inlineStr">
        <is>
          <t>JÄMTLANDS LÄN</t>
        </is>
      </c>
      <c r="E203" t="inlineStr">
        <is>
          <t>ÖSTERSUND</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34109-2019</t>
        </is>
      </c>
      <c r="B204" s="1" t="n">
        <v>43654</v>
      </c>
      <c r="C204" s="1" t="n">
        <v>45645</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34246-2019</t>
        </is>
      </c>
      <c r="B205" s="1" t="n">
        <v>43655</v>
      </c>
      <c r="C205" s="1" t="n">
        <v>45645</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35678-2019</t>
        </is>
      </c>
      <c r="B206" s="1" t="n">
        <v>43656</v>
      </c>
      <c r="C206" s="1" t="n">
        <v>45645</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35688-2019</t>
        </is>
      </c>
      <c r="B207" s="1" t="n">
        <v>43656</v>
      </c>
      <c r="C207" s="1" t="n">
        <v>45645</v>
      </c>
      <c r="D207" t="inlineStr">
        <is>
          <t>JÄMTLANDS LÄN</t>
        </is>
      </c>
      <c r="E207" t="inlineStr">
        <is>
          <t>ÖSTERSUND</t>
        </is>
      </c>
      <c r="G207" t="n">
        <v>12.6</v>
      </c>
      <c r="H207" t="n">
        <v>0</v>
      </c>
      <c r="I207" t="n">
        <v>0</v>
      </c>
      <c r="J207" t="n">
        <v>0</v>
      </c>
      <c r="K207" t="n">
        <v>0</v>
      </c>
      <c r="L207" t="n">
        <v>0</v>
      </c>
      <c r="M207" t="n">
        <v>0</v>
      </c>
      <c r="N207" t="n">
        <v>0</v>
      </c>
      <c r="O207" t="n">
        <v>0</v>
      </c>
      <c r="P207" t="n">
        <v>0</v>
      </c>
      <c r="Q207" t="n">
        <v>0</v>
      </c>
      <c r="R207" s="2" t="inlineStr"/>
    </row>
    <row r="208" ht="15" customHeight="1">
      <c r="A208" t="inlineStr">
        <is>
          <t>A 36003-2019</t>
        </is>
      </c>
      <c r="B208" s="1" t="n">
        <v>43657</v>
      </c>
      <c r="C208" s="1" t="n">
        <v>45645</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36652-2019</t>
        </is>
      </c>
      <c r="B209" s="1" t="n">
        <v>43670</v>
      </c>
      <c r="C209" s="1" t="n">
        <v>45645</v>
      </c>
      <c r="D209" t="inlineStr">
        <is>
          <t>JÄMTLANDS LÄN</t>
        </is>
      </c>
      <c r="E209" t="inlineStr">
        <is>
          <t>ÖSTERSUND</t>
        </is>
      </c>
      <c r="G209" t="n">
        <v>2.9</v>
      </c>
      <c r="H209" t="n">
        <v>0</v>
      </c>
      <c r="I209" t="n">
        <v>0</v>
      </c>
      <c r="J209" t="n">
        <v>0</v>
      </c>
      <c r="K209" t="n">
        <v>0</v>
      </c>
      <c r="L209" t="n">
        <v>0</v>
      </c>
      <c r="M209" t="n">
        <v>0</v>
      </c>
      <c r="N209" t="n">
        <v>0</v>
      </c>
      <c r="O209" t="n">
        <v>0</v>
      </c>
      <c r="P209" t="n">
        <v>0</v>
      </c>
      <c r="Q209" t="n">
        <v>0</v>
      </c>
      <c r="R209" s="2" t="inlineStr"/>
    </row>
    <row r="210" ht="15" customHeight="1">
      <c r="A210" t="inlineStr">
        <is>
          <t>A 37222-2019</t>
        </is>
      </c>
      <c r="B210" s="1" t="n">
        <v>43676</v>
      </c>
      <c r="C210" s="1" t="n">
        <v>45645</v>
      </c>
      <c r="D210" t="inlineStr">
        <is>
          <t>JÄMTLANDS LÄN</t>
        </is>
      </c>
      <c r="E210" t="inlineStr">
        <is>
          <t>ÖSTERSUND</t>
        </is>
      </c>
      <c r="G210" t="n">
        <v>2.4</v>
      </c>
      <c r="H210" t="n">
        <v>0</v>
      </c>
      <c r="I210" t="n">
        <v>0</v>
      </c>
      <c r="J210" t="n">
        <v>0</v>
      </c>
      <c r="K210" t="n">
        <v>0</v>
      </c>
      <c r="L210" t="n">
        <v>0</v>
      </c>
      <c r="M210" t="n">
        <v>0</v>
      </c>
      <c r="N210" t="n">
        <v>0</v>
      </c>
      <c r="O210" t="n">
        <v>0</v>
      </c>
      <c r="P210" t="n">
        <v>0</v>
      </c>
      <c r="Q210" t="n">
        <v>0</v>
      </c>
      <c r="R210" s="2" t="inlineStr"/>
    </row>
    <row r="211" ht="15" customHeight="1">
      <c r="A211" t="inlineStr">
        <is>
          <t>A 38662-2019</t>
        </is>
      </c>
      <c r="B211" s="1" t="n">
        <v>43684</v>
      </c>
      <c r="C211" s="1" t="n">
        <v>45645</v>
      </c>
      <c r="D211" t="inlineStr">
        <is>
          <t>JÄMTLANDS LÄN</t>
        </is>
      </c>
      <c r="E211" t="inlineStr">
        <is>
          <t>ÖSTERSUND</t>
        </is>
      </c>
      <c r="G211" t="n">
        <v>2.2</v>
      </c>
      <c r="H211" t="n">
        <v>0</v>
      </c>
      <c r="I211" t="n">
        <v>0</v>
      </c>
      <c r="J211" t="n">
        <v>0</v>
      </c>
      <c r="K211" t="n">
        <v>0</v>
      </c>
      <c r="L211" t="n">
        <v>0</v>
      </c>
      <c r="M211" t="n">
        <v>0</v>
      </c>
      <c r="N211" t="n">
        <v>0</v>
      </c>
      <c r="O211" t="n">
        <v>0</v>
      </c>
      <c r="P211" t="n">
        <v>0</v>
      </c>
      <c r="Q211" t="n">
        <v>0</v>
      </c>
      <c r="R211" s="2" t="inlineStr"/>
    </row>
    <row r="212" ht="15" customHeight="1">
      <c r="A212" t="inlineStr">
        <is>
          <t>A 39459-2019</t>
        </is>
      </c>
      <c r="B212" s="1" t="n">
        <v>43686</v>
      </c>
      <c r="C212" s="1" t="n">
        <v>45645</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40530-2019</t>
        </is>
      </c>
      <c r="B213" s="1" t="n">
        <v>43696</v>
      </c>
      <c r="C213" s="1" t="n">
        <v>45645</v>
      </c>
      <c r="D213" t="inlineStr">
        <is>
          <t>JÄMTLANDS LÄN</t>
        </is>
      </c>
      <c r="E213" t="inlineStr">
        <is>
          <t>ÖSTERSUND</t>
        </is>
      </c>
      <c r="F213" t="inlineStr">
        <is>
          <t>SCA</t>
        </is>
      </c>
      <c r="G213" t="n">
        <v>0.9</v>
      </c>
      <c r="H213" t="n">
        <v>0</v>
      </c>
      <c r="I213" t="n">
        <v>0</v>
      </c>
      <c r="J213" t="n">
        <v>0</v>
      </c>
      <c r="K213" t="n">
        <v>0</v>
      </c>
      <c r="L213" t="n">
        <v>0</v>
      </c>
      <c r="M213" t="n">
        <v>0</v>
      </c>
      <c r="N213" t="n">
        <v>0</v>
      </c>
      <c r="O213" t="n">
        <v>0</v>
      </c>
      <c r="P213" t="n">
        <v>0</v>
      </c>
      <c r="Q213" t="n">
        <v>0</v>
      </c>
      <c r="R213" s="2" t="inlineStr"/>
    </row>
    <row r="214" ht="15" customHeight="1">
      <c r="A214" t="inlineStr">
        <is>
          <t>A 41364-2019</t>
        </is>
      </c>
      <c r="B214" s="1" t="n">
        <v>43696</v>
      </c>
      <c r="C214" s="1" t="n">
        <v>45645</v>
      </c>
      <c r="D214" t="inlineStr">
        <is>
          <t>JÄMTLANDS LÄN</t>
        </is>
      </c>
      <c r="E214" t="inlineStr">
        <is>
          <t>ÖSTERSUND</t>
        </is>
      </c>
      <c r="G214" t="n">
        <v>1.2</v>
      </c>
      <c r="H214" t="n">
        <v>0</v>
      </c>
      <c r="I214" t="n">
        <v>0</v>
      </c>
      <c r="J214" t="n">
        <v>0</v>
      </c>
      <c r="K214" t="n">
        <v>0</v>
      </c>
      <c r="L214" t="n">
        <v>0</v>
      </c>
      <c r="M214" t="n">
        <v>0</v>
      </c>
      <c r="N214" t="n">
        <v>0</v>
      </c>
      <c r="O214" t="n">
        <v>0</v>
      </c>
      <c r="P214" t="n">
        <v>0</v>
      </c>
      <c r="Q214" t="n">
        <v>0</v>
      </c>
      <c r="R214" s="2" t="inlineStr"/>
    </row>
    <row r="215" ht="15" customHeight="1">
      <c r="A215" t="inlineStr">
        <is>
          <t>A 40531-2019</t>
        </is>
      </c>
      <c r="B215" s="1" t="n">
        <v>43696</v>
      </c>
      <c r="C215" s="1" t="n">
        <v>45645</v>
      </c>
      <c r="D215" t="inlineStr">
        <is>
          <t>JÄMTLANDS LÄN</t>
        </is>
      </c>
      <c r="E215" t="inlineStr">
        <is>
          <t>ÖSTERSUND</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41556-2019</t>
        </is>
      </c>
      <c r="B216" s="1" t="n">
        <v>43696</v>
      </c>
      <c r="C216" s="1" t="n">
        <v>45645</v>
      </c>
      <c r="D216" t="inlineStr">
        <is>
          <t>JÄMTLANDS LÄN</t>
        </is>
      </c>
      <c r="E216" t="inlineStr">
        <is>
          <t>ÖSTERSUND</t>
        </is>
      </c>
      <c r="F216" t="inlineStr">
        <is>
          <t>SCA</t>
        </is>
      </c>
      <c r="G216" t="n">
        <v>0.7</v>
      </c>
      <c r="H216" t="n">
        <v>0</v>
      </c>
      <c r="I216" t="n">
        <v>0</v>
      </c>
      <c r="J216" t="n">
        <v>0</v>
      </c>
      <c r="K216" t="n">
        <v>0</v>
      </c>
      <c r="L216" t="n">
        <v>0</v>
      </c>
      <c r="M216" t="n">
        <v>0</v>
      </c>
      <c r="N216" t="n">
        <v>0</v>
      </c>
      <c r="O216" t="n">
        <v>0</v>
      </c>
      <c r="P216" t="n">
        <v>0</v>
      </c>
      <c r="Q216" t="n">
        <v>0</v>
      </c>
      <c r="R216" s="2" t="inlineStr"/>
    </row>
    <row r="217" ht="15" customHeight="1">
      <c r="A217" t="inlineStr">
        <is>
          <t>A 41588-2019</t>
        </is>
      </c>
      <c r="B217" s="1" t="n">
        <v>43699</v>
      </c>
      <c r="C217" s="1" t="n">
        <v>45645</v>
      </c>
      <c r="D217" t="inlineStr">
        <is>
          <t>JÄMTLANDS LÄN</t>
        </is>
      </c>
      <c r="E217" t="inlineStr">
        <is>
          <t>ÖSTERSUND</t>
        </is>
      </c>
      <c r="G217" t="n">
        <v>26.7</v>
      </c>
      <c r="H217" t="n">
        <v>0</v>
      </c>
      <c r="I217" t="n">
        <v>0</v>
      </c>
      <c r="J217" t="n">
        <v>0</v>
      </c>
      <c r="K217" t="n">
        <v>0</v>
      </c>
      <c r="L217" t="n">
        <v>0</v>
      </c>
      <c r="M217" t="n">
        <v>0</v>
      </c>
      <c r="N217" t="n">
        <v>0</v>
      </c>
      <c r="O217" t="n">
        <v>0</v>
      </c>
      <c r="P217" t="n">
        <v>0</v>
      </c>
      <c r="Q217" t="n">
        <v>0</v>
      </c>
      <c r="R217" s="2" t="inlineStr"/>
    </row>
    <row r="218" ht="15" customHeight="1">
      <c r="A218" t="inlineStr">
        <is>
          <t>A 43249-2019</t>
        </is>
      </c>
      <c r="B218" s="1" t="n">
        <v>43703</v>
      </c>
      <c r="C218" s="1" t="n">
        <v>45645</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43425-2019</t>
        </is>
      </c>
      <c r="B219" s="1" t="n">
        <v>43703</v>
      </c>
      <c r="C219" s="1" t="n">
        <v>45645</v>
      </c>
      <c r="D219" t="inlineStr">
        <is>
          <t>JÄMTLANDS LÄN</t>
        </is>
      </c>
      <c r="E219" t="inlineStr">
        <is>
          <t>ÖSTERSUND</t>
        </is>
      </c>
      <c r="G219" t="n">
        <v>2.4</v>
      </c>
      <c r="H219" t="n">
        <v>0</v>
      </c>
      <c r="I219" t="n">
        <v>0</v>
      </c>
      <c r="J219" t="n">
        <v>0</v>
      </c>
      <c r="K219" t="n">
        <v>0</v>
      </c>
      <c r="L219" t="n">
        <v>0</v>
      </c>
      <c r="M219" t="n">
        <v>0</v>
      </c>
      <c r="N219" t="n">
        <v>0</v>
      </c>
      <c r="O219" t="n">
        <v>0</v>
      </c>
      <c r="P219" t="n">
        <v>0</v>
      </c>
      <c r="Q219" t="n">
        <v>0</v>
      </c>
      <c r="R219" s="2" t="inlineStr"/>
    </row>
    <row r="220" ht="15" customHeight="1">
      <c r="A220" t="inlineStr">
        <is>
          <t>A 46346-2019</t>
        </is>
      </c>
      <c r="B220" s="1" t="n">
        <v>43718</v>
      </c>
      <c r="C220" s="1" t="n">
        <v>45645</v>
      </c>
      <c r="D220" t="inlineStr">
        <is>
          <t>JÄMTLANDS LÄN</t>
        </is>
      </c>
      <c r="E220" t="inlineStr">
        <is>
          <t>ÖSTERSUND</t>
        </is>
      </c>
      <c r="F220" t="inlineStr">
        <is>
          <t>SCA</t>
        </is>
      </c>
      <c r="G220" t="n">
        <v>6.5</v>
      </c>
      <c r="H220" t="n">
        <v>0</v>
      </c>
      <c r="I220" t="n">
        <v>0</v>
      </c>
      <c r="J220" t="n">
        <v>0</v>
      </c>
      <c r="K220" t="n">
        <v>0</v>
      </c>
      <c r="L220" t="n">
        <v>0</v>
      </c>
      <c r="M220" t="n">
        <v>0</v>
      </c>
      <c r="N220" t="n">
        <v>0</v>
      </c>
      <c r="O220" t="n">
        <v>0</v>
      </c>
      <c r="P220" t="n">
        <v>0</v>
      </c>
      <c r="Q220" t="n">
        <v>0</v>
      </c>
      <c r="R220" s="2" t="inlineStr"/>
    </row>
    <row r="221" ht="15" customHeight="1">
      <c r="A221" t="inlineStr">
        <is>
          <t>A 47810-2019</t>
        </is>
      </c>
      <c r="B221" s="1" t="n">
        <v>43724</v>
      </c>
      <c r="C221" s="1" t="n">
        <v>45645</v>
      </c>
      <c r="D221" t="inlineStr">
        <is>
          <t>JÄMTLANDS LÄN</t>
        </is>
      </c>
      <c r="E221" t="inlineStr">
        <is>
          <t>ÖSTERSUND</t>
        </is>
      </c>
      <c r="F221" t="inlineStr">
        <is>
          <t>SCA</t>
        </is>
      </c>
      <c r="G221" t="n">
        <v>0.5</v>
      </c>
      <c r="H221" t="n">
        <v>0</v>
      </c>
      <c r="I221" t="n">
        <v>0</v>
      </c>
      <c r="J221" t="n">
        <v>0</v>
      </c>
      <c r="K221" t="n">
        <v>0</v>
      </c>
      <c r="L221" t="n">
        <v>0</v>
      </c>
      <c r="M221" t="n">
        <v>0</v>
      </c>
      <c r="N221" t="n">
        <v>0</v>
      </c>
      <c r="O221" t="n">
        <v>0</v>
      </c>
      <c r="P221" t="n">
        <v>0</v>
      </c>
      <c r="Q221" t="n">
        <v>0</v>
      </c>
      <c r="R221" s="2" t="inlineStr"/>
    </row>
    <row r="222" ht="15" customHeight="1">
      <c r="A222" t="inlineStr">
        <is>
          <t>A 48115-2019</t>
        </is>
      </c>
      <c r="B222" s="1" t="n">
        <v>43725</v>
      </c>
      <c r="C222" s="1" t="n">
        <v>45645</v>
      </c>
      <c r="D222" t="inlineStr">
        <is>
          <t>JÄMTLANDS LÄN</t>
        </is>
      </c>
      <c r="E222" t="inlineStr">
        <is>
          <t>ÖSTERSUND</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48680-2019</t>
        </is>
      </c>
      <c r="B223" s="1" t="n">
        <v>43727</v>
      </c>
      <c r="C223" s="1" t="n">
        <v>45645</v>
      </c>
      <c r="D223" t="inlineStr">
        <is>
          <t>JÄMTLANDS LÄN</t>
        </is>
      </c>
      <c r="E223" t="inlineStr">
        <is>
          <t>ÖSTERSUND</t>
        </is>
      </c>
      <c r="G223" t="n">
        <v>3</v>
      </c>
      <c r="H223" t="n">
        <v>0</v>
      </c>
      <c r="I223" t="n">
        <v>0</v>
      </c>
      <c r="J223" t="n">
        <v>0</v>
      </c>
      <c r="K223" t="n">
        <v>0</v>
      </c>
      <c r="L223" t="n">
        <v>0</v>
      </c>
      <c r="M223" t="n">
        <v>0</v>
      </c>
      <c r="N223" t="n">
        <v>0</v>
      </c>
      <c r="O223" t="n">
        <v>0</v>
      </c>
      <c r="P223" t="n">
        <v>0</v>
      </c>
      <c r="Q223" t="n">
        <v>0</v>
      </c>
      <c r="R223" s="2" t="inlineStr"/>
    </row>
    <row r="224" ht="15" customHeight="1">
      <c r="A224" t="inlineStr">
        <is>
          <t>A 49629-2019</t>
        </is>
      </c>
      <c r="B224" s="1" t="n">
        <v>43732</v>
      </c>
      <c r="C224" s="1" t="n">
        <v>45645</v>
      </c>
      <c r="D224" t="inlineStr">
        <is>
          <t>JÄMTLANDS LÄN</t>
        </is>
      </c>
      <c r="E224" t="inlineStr">
        <is>
          <t>ÖSTERSUND</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51347-2019</t>
        </is>
      </c>
      <c r="B225" s="1" t="n">
        <v>43732</v>
      </c>
      <c r="C225" s="1" t="n">
        <v>45645</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49997-2019</t>
        </is>
      </c>
      <c r="B226" s="1" t="n">
        <v>43733</v>
      </c>
      <c r="C226" s="1" t="n">
        <v>45645</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50316-2019</t>
        </is>
      </c>
      <c r="B227" s="1" t="n">
        <v>43735</v>
      </c>
      <c r="C227" s="1" t="n">
        <v>45645</v>
      </c>
      <c r="D227" t="inlineStr">
        <is>
          <t>JÄMTLANDS LÄN</t>
        </is>
      </c>
      <c r="E227" t="inlineStr">
        <is>
          <t>ÖSTERSUND</t>
        </is>
      </c>
      <c r="G227" t="n">
        <v>9.5</v>
      </c>
      <c r="H227" t="n">
        <v>0</v>
      </c>
      <c r="I227" t="n">
        <v>0</v>
      </c>
      <c r="J227" t="n">
        <v>0</v>
      </c>
      <c r="K227" t="n">
        <v>0</v>
      </c>
      <c r="L227" t="n">
        <v>0</v>
      </c>
      <c r="M227" t="n">
        <v>0</v>
      </c>
      <c r="N227" t="n">
        <v>0</v>
      </c>
      <c r="O227" t="n">
        <v>0</v>
      </c>
      <c r="P227" t="n">
        <v>0</v>
      </c>
      <c r="Q227" t="n">
        <v>0</v>
      </c>
      <c r="R227" s="2" t="inlineStr"/>
    </row>
    <row r="228" ht="15" customHeight="1">
      <c r="A228" t="inlineStr">
        <is>
          <t>A 50779-2019</t>
        </is>
      </c>
      <c r="B228" s="1" t="n">
        <v>43738</v>
      </c>
      <c r="C228" s="1" t="n">
        <v>45645</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50968-2019</t>
        </is>
      </c>
      <c r="B229" s="1" t="n">
        <v>43738</v>
      </c>
      <c r="C229" s="1" t="n">
        <v>45645</v>
      </c>
      <c r="D229" t="inlineStr">
        <is>
          <t>JÄMTLANDS LÄN</t>
        </is>
      </c>
      <c r="E229" t="inlineStr">
        <is>
          <t>ÖSTERSUND</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54498-2019</t>
        </is>
      </c>
      <c r="B230" s="1" t="n">
        <v>43747</v>
      </c>
      <c r="C230" s="1" t="n">
        <v>45645</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53297-2019</t>
        </is>
      </c>
      <c r="B231" s="1" t="n">
        <v>43748</v>
      </c>
      <c r="C231" s="1" t="n">
        <v>45645</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53533-2019</t>
        </is>
      </c>
      <c r="B232" s="1" t="n">
        <v>43749</v>
      </c>
      <c r="C232" s="1" t="n">
        <v>45645</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53859-2019</t>
        </is>
      </c>
      <c r="B233" s="1" t="n">
        <v>43752</v>
      </c>
      <c r="C233" s="1" t="n">
        <v>45645</v>
      </c>
      <c r="D233" t="inlineStr">
        <is>
          <t>JÄMTLANDS LÄN</t>
        </is>
      </c>
      <c r="E233" t="inlineStr">
        <is>
          <t>ÖSTERSUND</t>
        </is>
      </c>
      <c r="F233" t="inlineStr">
        <is>
          <t>Övriga Aktiebolag</t>
        </is>
      </c>
      <c r="G233" t="n">
        <v>4.3</v>
      </c>
      <c r="H233" t="n">
        <v>0</v>
      </c>
      <c r="I233" t="n">
        <v>0</v>
      </c>
      <c r="J233" t="n">
        <v>0</v>
      </c>
      <c r="K233" t="n">
        <v>0</v>
      </c>
      <c r="L233" t="n">
        <v>0</v>
      </c>
      <c r="M233" t="n">
        <v>0</v>
      </c>
      <c r="N233" t="n">
        <v>0</v>
      </c>
      <c r="O233" t="n">
        <v>0</v>
      </c>
      <c r="P233" t="n">
        <v>0</v>
      </c>
      <c r="Q233" t="n">
        <v>0</v>
      </c>
      <c r="R233" s="2" t="inlineStr"/>
    </row>
    <row r="234" ht="15" customHeight="1">
      <c r="A234" t="inlineStr">
        <is>
          <t>A 57466-2019</t>
        </is>
      </c>
      <c r="B234" s="1" t="n">
        <v>43761</v>
      </c>
      <c r="C234" s="1" t="n">
        <v>45645</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56512-2019</t>
        </is>
      </c>
      <c r="B235" s="1" t="n">
        <v>43762</v>
      </c>
      <c r="C235" s="1" t="n">
        <v>45645</v>
      </c>
      <c r="D235" t="inlineStr">
        <is>
          <t>JÄMTLANDS LÄN</t>
        </is>
      </c>
      <c r="E235" t="inlineStr">
        <is>
          <t>ÖSTERSUND</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57845-2019</t>
        </is>
      </c>
      <c r="B236" s="1" t="n">
        <v>43768</v>
      </c>
      <c r="C236" s="1" t="n">
        <v>45645</v>
      </c>
      <c r="D236" t="inlineStr">
        <is>
          <t>JÄMTLANDS LÄN</t>
        </is>
      </c>
      <c r="E236" t="inlineStr">
        <is>
          <t>ÖSTERSUND</t>
        </is>
      </c>
      <c r="G236" t="n">
        <v>3.7</v>
      </c>
      <c r="H236" t="n">
        <v>0</v>
      </c>
      <c r="I236" t="n">
        <v>0</v>
      </c>
      <c r="J236" t="n">
        <v>0</v>
      </c>
      <c r="K236" t="n">
        <v>0</v>
      </c>
      <c r="L236" t="n">
        <v>0</v>
      </c>
      <c r="M236" t="n">
        <v>0</v>
      </c>
      <c r="N236" t="n">
        <v>0</v>
      </c>
      <c r="O236" t="n">
        <v>0</v>
      </c>
      <c r="P236" t="n">
        <v>0</v>
      </c>
      <c r="Q236" t="n">
        <v>0</v>
      </c>
      <c r="R236" s="2" t="inlineStr"/>
    </row>
    <row r="237" ht="15" customHeight="1">
      <c r="A237" t="inlineStr">
        <is>
          <t>A 58216-2019</t>
        </is>
      </c>
      <c r="B237" s="1" t="n">
        <v>43770</v>
      </c>
      <c r="C237" s="1" t="n">
        <v>45645</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58210-2019</t>
        </is>
      </c>
      <c r="B238" s="1" t="n">
        <v>43770</v>
      </c>
      <c r="C238" s="1" t="n">
        <v>45645</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59437-2019</t>
        </is>
      </c>
      <c r="B239" s="1" t="n">
        <v>43773</v>
      </c>
      <c r="C239" s="1" t="n">
        <v>45645</v>
      </c>
      <c r="D239" t="inlineStr">
        <is>
          <t>JÄMTLANDS LÄN</t>
        </is>
      </c>
      <c r="E239" t="inlineStr">
        <is>
          <t>ÖSTERSUND</t>
        </is>
      </c>
      <c r="G239" t="n">
        <v>6.2</v>
      </c>
      <c r="H239" t="n">
        <v>0</v>
      </c>
      <c r="I239" t="n">
        <v>0</v>
      </c>
      <c r="J239" t="n">
        <v>0</v>
      </c>
      <c r="K239" t="n">
        <v>0</v>
      </c>
      <c r="L239" t="n">
        <v>0</v>
      </c>
      <c r="M239" t="n">
        <v>0</v>
      </c>
      <c r="N239" t="n">
        <v>0</v>
      </c>
      <c r="O239" t="n">
        <v>0</v>
      </c>
      <c r="P239" t="n">
        <v>0</v>
      </c>
      <c r="Q239" t="n">
        <v>0</v>
      </c>
      <c r="R239" s="2" t="inlineStr"/>
    </row>
    <row r="240" ht="15" customHeight="1">
      <c r="A240" t="inlineStr">
        <is>
          <t>A 60240-2019</t>
        </is>
      </c>
      <c r="B240" s="1" t="n">
        <v>43776</v>
      </c>
      <c r="C240" s="1" t="n">
        <v>45645</v>
      </c>
      <c r="D240" t="inlineStr">
        <is>
          <t>JÄMTLANDS LÄN</t>
        </is>
      </c>
      <c r="E240" t="inlineStr">
        <is>
          <t>ÖSTERSUND</t>
        </is>
      </c>
      <c r="G240" t="n">
        <v>3.9</v>
      </c>
      <c r="H240" t="n">
        <v>0</v>
      </c>
      <c r="I240" t="n">
        <v>0</v>
      </c>
      <c r="J240" t="n">
        <v>0</v>
      </c>
      <c r="K240" t="n">
        <v>0</v>
      </c>
      <c r="L240" t="n">
        <v>0</v>
      </c>
      <c r="M240" t="n">
        <v>0</v>
      </c>
      <c r="N240" t="n">
        <v>0</v>
      </c>
      <c r="O240" t="n">
        <v>0</v>
      </c>
      <c r="P240" t="n">
        <v>0</v>
      </c>
      <c r="Q240" t="n">
        <v>0</v>
      </c>
      <c r="R240" s="2" t="inlineStr"/>
    </row>
    <row r="241" ht="15" customHeight="1">
      <c r="A241" t="inlineStr">
        <is>
          <t>A 60001-2019</t>
        </is>
      </c>
      <c r="B241" s="1" t="n">
        <v>43777</v>
      </c>
      <c r="C241" s="1" t="n">
        <v>45645</v>
      </c>
      <c r="D241" t="inlineStr">
        <is>
          <t>JÄMTLANDS LÄN</t>
        </is>
      </c>
      <c r="E241" t="inlineStr">
        <is>
          <t>ÖSTERSUND</t>
        </is>
      </c>
      <c r="G241" t="n">
        <v>3.2</v>
      </c>
      <c r="H241" t="n">
        <v>0</v>
      </c>
      <c r="I241" t="n">
        <v>0</v>
      </c>
      <c r="J241" t="n">
        <v>0</v>
      </c>
      <c r="K241" t="n">
        <v>0</v>
      </c>
      <c r="L241" t="n">
        <v>0</v>
      </c>
      <c r="M241" t="n">
        <v>0</v>
      </c>
      <c r="N241" t="n">
        <v>0</v>
      </c>
      <c r="O241" t="n">
        <v>0</v>
      </c>
      <c r="P241" t="n">
        <v>0</v>
      </c>
      <c r="Q241" t="n">
        <v>0</v>
      </c>
      <c r="R241" s="2" t="inlineStr"/>
    </row>
    <row r="242" ht="15" customHeight="1">
      <c r="A242" t="inlineStr">
        <is>
          <t>A 60669-2019</t>
        </is>
      </c>
      <c r="B242" s="1" t="n">
        <v>43781</v>
      </c>
      <c r="C242" s="1" t="n">
        <v>45645</v>
      </c>
      <c r="D242" t="inlineStr">
        <is>
          <t>JÄMTLANDS LÄN</t>
        </is>
      </c>
      <c r="E242" t="inlineStr">
        <is>
          <t>ÖSTERSUND</t>
        </is>
      </c>
      <c r="G242" t="n">
        <v>3.6</v>
      </c>
      <c r="H242" t="n">
        <v>0</v>
      </c>
      <c r="I242" t="n">
        <v>0</v>
      </c>
      <c r="J242" t="n">
        <v>0</v>
      </c>
      <c r="K242" t="n">
        <v>0</v>
      </c>
      <c r="L242" t="n">
        <v>0</v>
      </c>
      <c r="M242" t="n">
        <v>0</v>
      </c>
      <c r="N242" t="n">
        <v>0</v>
      </c>
      <c r="O242" t="n">
        <v>0</v>
      </c>
      <c r="P242" t="n">
        <v>0</v>
      </c>
      <c r="Q242" t="n">
        <v>0</v>
      </c>
      <c r="R242" s="2" t="inlineStr"/>
    </row>
    <row r="243" ht="15" customHeight="1">
      <c r="A243" t="inlineStr">
        <is>
          <t>A 60604-2019</t>
        </is>
      </c>
      <c r="B243" s="1" t="n">
        <v>43781</v>
      </c>
      <c r="C243" s="1" t="n">
        <v>45645</v>
      </c>
      <c r="D243" t="inlineStr">
        <is>
          <t>JÄMTLANDS LÄN</t>
        </is>
      </c>
      <c r="E243" t="inlineStr">
        <is>
          <t>ÖSTERSUND</t>
        </is>
      </c>
      <c r="G243" t="n">
        <v>8.9</v>
      </c>
      <c r="H243" t="n">
        <v>0</v>
      </c>
      <c r="I243" t="n">
        <v>0</v>
      </c>
      <c r="J243" t="n">
        <v>0</v>
      </c>
      <c r="K243" t="n">
        <v>0</v>
      </c>
      <c r="L243" t="n">
        <v>0</v>
      </c>
      <c r="M243" t="n">
        <v>0</v>
      </c>
      <c r="N243" t="n">
        <v>0</v>
      </c>
      <c r="O243" t="n">
        <v>0</v>
      </c>
      <c r="P243" t="n">
        <v>0</v>
      </c>
      <c r="Q243" t="n">
        <v>0</v>
      </c>
      <c r="R243" s="2" t="inlineStr"/>
    </row>
    <row r="244" ht="15" customHeight="1">
      <c r="A244" t="inlineStr">
        <is>
          <t>A 62234-2019</t>
        </is>
      </c>
      <c r="B244" s="1" t="n">
        <v>43784</v>
      </c>
      <c r="C244" s="1" t="n">
        <v>45645</v>
      </c>
      <c r="D244" t="inlineStr">
        <is>
          <t>JÄMTLANDS LÄN</t>
        </is>
      </c>
      <c r="E244" t="inlineStr">
        <is>
          <t>ÖSTERSUND</t>
        </is>
      </c>
      <c r="G244" t="n">
        <v>1.3</v>
      </c>
      <c r="H244" t="n">
        <v>0</v>
      </c>
      <c r="I244" t="n">
        <v>0</v>
      </c>
      <c r="J244" t="n">
        <v>0</v>
      </c>
      <c r="K244" t="n">
        <v>0</v>
      </c>
      <c r="L244" t="n">
        <v>0</v>
      </c>
      <c r="M244" t="n">
        <v>0</v>
      </c>
      <c r="N244" t="n">
        <v>0</v>
      </c>
      <c r="O244" t="n">
        <v>0</v>
      </c>
      <c r="P244" t="n">
        <v>0</v>
      </c>
      <c r="Q244" t="n">
        <v>0</v>
      </c>
      <c r="R244" s="2" t="inlineStr"/>
    </row>
    <row r="245" ht="15" customHeight="1">
      <c r="A245" t="inlineStr">
        <is>
          <t>A 62136-2019</t>
        </is>
      </c>
      <c r="B245" s="1" t="n">
        <v>43787</v>
      </c>
      <c r="C245" s="1" t="n">
        <v>45645</v>
      </c>
      <c r="D245" t="inlineStr">
        <is>
          <t>JÄMTLANDS LÄN</t>
        </is>
      </c>
      <c r="E245" t="inlineStr">
        <is>
          <t>ÖSTERSUND</t>
        </is>
      </c>
      <c r="F245" t="inlineStr">
        <is>
          <t>Övriga Aktiebolag</t>
        </is>
      </c>
      <c r="G245" t="n">
        <v>35.2</v>
      </c>
      <c r="H245" t="n">
        <v>0</v>
      </c>
      <c r="I245" t="n">
        <v>0</v>
      </c>
      <c r="J245" t="n">
        <v>0</v>
      </c>
      <c r="K245" t="n">
        <v>0</v>
      </c>
      <c r="L245" t="n">
        <v>0</v>
      </c>
      <c r="M245" t="n">
        <v>0</v>
      </c>
      <c r="N245" t="n">
        <v>0</v>
      </c>
      <c r="O245" t="n">
        <v>0</v>
      </c>
      <c r="P245" t="n">
        <v>0</v>
      </c>
      <c r="Q245" t="n">
        <v>0</v>
      </c>
      <c r="R245" s="2" t="inlineStr"/>
    </row>
    <row r="246" ht="15" customHeight="1">
      <c r="A246" t="inlineStr">
        <is>
          <t>A 64622-2019</t>
        </is>
      </c>
      <c r="B246" s="1" t="n">
        <v>43794</v>
      </c>
      <c r="C246" s="1" t="n">
        <v>45645</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65335-2019</t>
        </is>
      </c>
      <c r="B247" s="1" t="n">
        <v>43802</v>
      </c>
      <c r="C247" s="1" t="n">
        <v>45645</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67010-2019</t>
        </is>
      </c>
      <c r="B248" s="1" t="n">
        <v>43805</v>
      </c>
      <c r="C248" s="1" t="n">
        <v>45645</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66592-2019</t>
        </is>
      </c>
      <c r="B249" s="1" t="n">
        <v>43809</v>
      </c>
      <c r="C249" s="1" t="n">
        <v>45645</v>
      </c>
      <c r="D249" t="inlineStr">
        <is>
          <t>JÄMTLANDS LÄN</t>
        </is>
      </c>
      <c r="E249" t="inlineStr">
        <is>
          <t>ÖSTERSUND</t>
        </is>
      </c>
      <c r="G249" t="n">
        <v>0.9</v>
      </c>
      <c r="H249" t="n">
        <v>0</v>
      </c>
      <c r="I249" t="n">
        <v>0</v>
      </c>
      <c r="J249" t="n">
        <v>0</v>
      </c>
      <c r="K249" t="n">
        <v>0</v>
      </c>
      <c r="L249" t="n">
        <v>0</v>
      </c>
      <c r="M249" t="n">
        <v>0</v>
      </c>
      <c r="N249" t="n">
        <v>0</v>
      </c>
      <c r="O249" t="n">
        <v>0</v>
      </c>
      <c r="P249" t="n">
        <v>0</v>
      </c>
      <c r="Q249" t="n">
        <v>0</v>
      </c>
      <c r="R249" s="2" t="inlineStr"/>
    </row>
    <row r="250" ht="15" customHeight="1">
      <c r="A250" t="inlineStr">
        <is>
          <t>A 67863-2019</t>
        </is>
      </c>
      <c r="B250" s="1" t="n">
        <v>43809</v>
      </c>
      <c r="C250" s="1" t="n">
        <v>45645</v>
      </c>
      <c r="D250" t="inlineStr">
        <is>
          <t>JÄMTLANDS LÄN</t>
        </is>
      </c>
      <c r="E250" t="inlineStr">
        <is>
          <t>ÖSTERSUND</t>
        </is>
      </c>
      <c r="G250" t="n">
        <v>2.3</v>
      </c>
      <c r="H250" t="n">
        <v>0</v>
      </c>
      <c r="I250" t="n">
        <v>0</v>
      </c>
      <c r="J250" t="n">
        <v>0</v>
      </c>
      <c r="K250" t="n">
        <v>0</v>
      </c>
      <c r="L250" t="n">
        <v>0</v>
      </c>
      <c r="M250" t="n">
        <v>0</v>
      </c>
      <c r="N250" t="n">
        <v>0</v>
      </c>
      <c r="O250" t="n">
        <v>0</v>
      </c>
      <c r="P250" t="n">
        <v>0</v>
      </c>
      <c r="Q250" t="n">
        <v>0</v>
      </c>
      <c r="R250" s="2" t="inlineStr"/>
    </row>
    <row r="251" ht="15" customHeight="1">
      <c r="A251" t="inlineStr">
        <is>
          <t>A 68238-2019</t>
        </is>
      </c>
      <c r="B251" s="1" t="n">
        <v>43817</v>
      </c>
      <c r="C251" s="1" t="n">
        <v>45645</v>
      </c>
      <c r="D251" t="inlineStr">
        <is>
          <t>JÄMTLANDS LÄN</t>
        </is>
      </c>
      <c r="E251" t="inlineStr">
        <is>
          <t>ÖSTERSUND</t>
        </is>
      </c>
      <c r="G251" t="n">
        <v>2.7</v>
      </c>
      <c r="H251" t="n">
        <v>0</v>
      </c>
      <c r="I251" t="n">
        <v>0</v>
      </c>
      <c r="J251" t="n">
        <v>0</v>
      </c>
      <c r="K251" t="n">
        <v>0</v>
      </c>
      <c r="L251" t="n">
        <v>0</v>
      </c>
      <c r="M251" t="n">
        <v>0</v>
      </c>
      <c r="N251" t="n">
        <v>0</v>
      </c>
      <c r="O251" t="n">
        <v>0</v>
      </c>
      <c r="P251" t="n">
        <v>0</v>
      </c>
      <c r="Q251" t="n">
        <v>0</v>
      </c>
      <c r="R251" s="2" t="inlineStr"/>
    </row>
    <row r="252" ht="15" customHeight="1">
      <c r="A252" t="inlineStr">
        <is>
          <t>A 745-2020</t>
        </is>
      </c>
      <c r="B252" s="1" t="n">
        <v>43838</v>
      </c>
      <c r="C252" s="1" t="n">
        <v>45645</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1088-2020</t>
        </is>
      </c>
      <c r="B253" s="1" t="n">
        <v>43840</v>
      </c>
      <c r="C253" s="1" t="n">
        <v>45645</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1268-2020</t>
        </is>
      </c>
      <c r="B254" s="1" t="n">
        <v>43840</v>
      </c>
      <c r="C254" s="1" t="n">
        <v>45645</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1077-2020</t>
        </is>
      </c>
      <c r="B255" s="1" t="n">
        <v>43840</v>
      </c>
      <c r="C255" s="1" t="n">
        <v>45645</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5905-2020</t>
        </is>
      </c>
      <c r="B256" s="1" t="n">
        <v>43861</v>
      </c>
      <c r="C256" s="1" t="n">
        <v>45645</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6028-2020</t>
        </is>
      </c>
      <c r="B257" s="1" t="n">
        <v>43864</v>
      </c>
      <c r="C257" s="1" t="n">
        <v>45645</v>
      </c>
      <c r="D257" t="inlineStr">
        <is>
          <t>JÄMTLANDS LÄN</t>
        </is>
      </c>
      <c r="E257" t="inlineStr">
        <is>
          <t>ÖSTERSUND</t>
        </is>
      </c>
      <c r="G257" t="n">
        <v>1.7</v>
      </c>
      <c r="H257" t="n">
        <v>0</v>
      </c>
      <c r="I257" t="n">
        <v>0</v>
      </c>
      <c r="J257" t="n">
        <v>0</v>
      </c>
      <c r="K257" t="n">
        <v>0</v>
      </c>
      <c r="L257" t="n">
        <v>0</v>
      </c>
      <c r="M257" t="n">
        <v>0</v>
      </c>
      <c r="N257" t="n">
        <v>0</v>
      </c>
      <c r="O257" t="n">
        <v>0</v>
      </c>
      <c r="P257" t="n">
        <v>0</v>
      </c>
      <c r="Q257" t="n">
        <v>0</v>
      </c>
      <c r="R257" s="2" t="inlineStr"/>
    </row>
    <row r="258" ht="15" customHeight="1">
      <c r="A258" t="inlineStr">
        <is>
          <t>A 6522-2020</t>
        </is>
      </c>
      <c r="B258" s="1" t="n">
        <v>43864</v>
      </c>
      <c r="C258" s="1" t="n">
        <v>45645</v>
      </c>
      <c r="D258" t="inlineStr">
        <is>
          <t>JÄMTLANDS LÄN</t>
        </is>
      </c>
      <c r="E258" t="inlineStr">
        <is>
          <t>ÖSTERSUND</t>
        </is>
      </c>
      <c r="G258" t="n">
        <v>1.5</v>
      </c>
      <c r="H258" t="n">
        <v>0</v>
      </c>
      <c r="I258" t="n">
        <v>0</v>
      </c>
      <c r="J258" t="n">
        <v>0</v>
      </c>
      <c r="K258" t="n">
        <v>0</v>
      </c>
      <c r="L258" t="n">
        <v>0</v>
      </c>
      <c r="M258" t="n">
        <v>0</v>
      </c>
      <c r="N258" t="n">
        <v>0</v>
      </c>
      <c r="O258" t="n">
        <v>0</v>
      </c>
      <c r="P258" t="n">
        <v>0</v>
      </c>
      <c r="Q258" t="n">
        <v>0</v>
      </c>
      <c r="R258" s="2" t="inlineStr"/>
    </row>
    <row r="259" ht="15" customHeight="1">
      <c r="A259" t="inlineStr">
        <is>
          <t>A 6566-2020</t>
        </is>
      </c>
      <c r="B259" s="1" t="n">
        <v>43865</v>
      </c>
      <c r="C259" s="1" t="n">
        <v>45645</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7255-2020</t>
        </is>
      </c>
      <c r="B260" s="1" t="n">
        <v>43871</v>
      </c>
      <c r="C260" s="1" t="n">
        <v>45645</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7570-2020</t>
        </is>
      </c>
      <c r="B261" s="1" t="n">
        <v>43871</v>
      </c>
      <c r="C261" s="1" t="n">
        <v>45645</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8401-2020</t>
        </is>
      </c>
      <c r="B262" s="1" t="n">
        <v>43875</v>
      </c>
      <c r="C262" s="1" t="n">
        <v>45645</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11566-2020</t>
        </is>
      </c>
      <c r="B263" s="1" t="n">
        <v>43893</v>
      </c>
      <c r="C263" s="1" t="n">
        <v>45645</v>
      </c>
      <c r="D263" t="inlineStr">
        <is>
          <t>JÄMTLANDS LÄN</t>
        </is>
      </c>
      <c r="E263" t="inlineStr">
        <is>
          <t>ÖSTERSUND</t>
        </is>
      </c>
      <c r="G263" t="n">
        <v>2</v>
      </c>
      <c r="H263" t="n">
        <v>0</v>
      </c>
      <c r="I263" t="n">
        <v>0</v>
      </c>
      <c r="J263" t="n">
        <v>0</v>
      </c>
      <c r="K263" t="n">
        <v>0</v>
      </c>
      <c r="L263" t="n">
        <v>0</v>
      </c>
      <c r="M263" t="n">
        <v>0</v>
      </c>
      <c r="N263" t="n">
        <v>0</v>
      </c>
      <c r="O263" t="n">
        <v>0</v>
      </c>
      <c r="P263" t="n">
        <v>0</v>
      </c>
      <c r="Q263" t="n">
        <v>0</v>
      </c>
      <c r="R263" s="2" t="inlineStr"/>
    </row>
    <row r="264" ht="15" customHeight="1">
      <c r="A264" t="inlineStr">
        <is>
          <t>A 12202-2020</t>
        </is>
      </c>
      <c r="B264" s="1" t="n">
        <v>43895</v>
      </c>
      <c r="C264" s="1" t="n">
        <v>45645</v>
      </c>
      <c r="D264" t="inlineStr">
        <is>
          <t>JÄMTLANDS LÄN</t>
        </is>
      </c>
      <c r="E264" t="inlineStr">
        <is>
          <t>ÖSTERSUND</t>
        </is>
      </c>
      <c r="G264" t="n">
        <v>1.2</v>
      </c>
      <c r="H264" t="n">
        <v>0</v>
      </c>
      <c r="I264" t="n">
        <v>0</v>
      </c>
      <c r="J264" t="n">
        <v>0</v>
      </c>
      <c r="K264" t="n">
        <v>0</v>
      </c>
      <c r="L264" t="n">
        <v>0</v>
      </c>
      <c r="M264" t="n">
        <v>0</v>
      </c>
      <c r="N264" t="n">
        <v>0</v>
      </c>
      <c r="O264" t="n">
        <v>0</v>
      </c>
      <c r="P264" t="n">
        <v>0</v>
      </c>
      <c r="Q264" t="n">
        <v>0</v>
      </c>
      <c r="R264" s="2" t="inlineStr"/>
    </row>
    <row r="265" ht="15" customHeight="1">
      <c r="A265" t="inlineStr">
        <is>
          <t>A 13264-2020</t>
        </is>
      </c>
      <c r="B265" s="1" t="n">
        <v>43901</v>
      </c>
      <c r="C265" s="1" t="n">
        <v>45645</v>
      </c>
      <c r="D265" t="inlineStr">
        <is>
          <t>JÄMTLANDS LÄN</t>
        </is>
      </c>
      <c r="E265" t="inlineStr">
        <is>
          <t>ÖSTERSUND</t>
        </is>
      </c>
      <c r="G265" t="n">
        <v>4.4</v>
      </c>
      <c r="H265" t="n">
        <v>0</v>
      </c>
      <c r="I265" t="n">
        <v>0</v>
      </c>
      <c r="J265" t="n">
        <v>0</v>
      </c>
      <c r="K265" t="n">
        <v>0</v>
      </c>
      <c r="L265" t="n">
        <v>0</v>
      </c>
      <c r="M265" t="n">
        <v>0</v>
      </c>
      <c r="N265" t="n">
        <v>0</v>
      </c>
      <c r="O265" t="n">
        <v>0</v>
      </c>
      <c r="P265" t="n">
        <v>0</v>
      </c>
      <c r="Q265" t="n">
        <v>0</v>
      </c>
      <c r="R265" s="2" t="inlineStr"/>
    </row>
    <row r="266" ht="15" customHeight="1">
      <c r="A266" t="inlineStr">
        <is>
          <t>A 14917-2020</t>
        </is>
      </c>
      <c r="B266" s="1" t="n">
        <v>43906</v>
      </c>
      <c r="C266" s="1" t="n">
        <v>45645</v>
      </c>
      <c r="D266" t="inlineStr">
        <is>
          <t>JÄMTLANDS LÄN</t>
        </is>
      </c>
      <c r="E266" t="inlineStr">
        <is>
          <t>ÖSTERSUND</t>
        </is>
      </c>
      <c r="G266" t="n">
        <v>12.9</v>
      </c>
      <c r="H266" t="n">
        <v>0</v>
      </c>
      <c r="I266" t="n">
        <v>0</v>
      </c>
      <c r="J266" t="n">
        <v>0</v>
      </c>
      <c r="K266" t="n">
        <v>0</v>
      </c>
      <c r="L266" t="n">
        <v>0</v>
      </c>
      <c r="M266" t="n">
        <v>0</v>
      </c>
      <c r="N266" t="n">
        <v>0</v>
      </c>
      <c r="O266" t="n">
        <v>0</v>
      </c>
      <c r="P266" t="n">
        <v>0</v>
      </c>
      <c r="Q266" t="n">
        <v>0</v>
      </c>
      <c r="R266" s="2" t="inlineStr"/>
    </row>
    <row r="267" ht="15" customHeight="1">
      <c r="A267" t="inlineStr">
        <is>
          <t>A 15797-2020</t>
        </is>
      </c>
      <c r="B267" s="1" t="n">
        <v>43909</v>
      </c>
      <c r="C267" s="1" t="n">
        <v>45645</v>
      </c>
      <c r="D267" t="inlineStr">
        <is>
          <t>JÄMTLANDS LÄN</t>
        </is>
      </c>
      <c r="E267" t="inlineStr">
        <is>
          <t>ÖSTERSUND</t>
        </is>
      </c>
      <c r="G267" t="n">
        <v>3.5</v>
      </c>
      <c r="H267" t="n">
        <v>0</v>
      </c>
      <c r="I267" t="n">
        <v>0</v>
      </c>
      <c r="J267" t="n">
        <v>0</v>
      </c>
      <c r="K267" t="n">
        <v>0</v>
      </c>
      <c r="L267" t="n">
        <v>0</v>
      </c>
      <c r="M267" t="n">
        <v>0</v>
      </c>
      <c r="N267" t="n">
        <v>0</v>
      </c>
      <c r="O267" t="n">
        <v>0</v>
      </c>
      <c r="P267" t="n">
        <v>0</v>
      </c>
      <c r="Q267" t="n">
        <v>0</v>
      </c>
      <c r="R267" s="2" t="inlineStr"/>
    </row>
    <row r="268" ht="15" customHeight="1">
      <c r="A268" t="inlineStr">
        <is>
          <t>A 14903-2020</t>
        </is>
      </c>
      <c r="B268" s="1" t="n">
        <v>43910</v>
      </c>
      <c r="C268" s="1" t="n">
        <v>45645</v>
      </c>
      <c r="D268" t="inlineStr">
        <is>
          <t>JÄMTLANDS LÄN</t>
        </is>
      </c>
      <c r="E268" t="inlineStr">
        <is>
          <t>ÖSTERSUND</t>
        </is>
      </c>
      <c r="F268" t="inlineStr">
        <is>
          <t>Kyrkan</t>
        </is>
      </c>
      <c r="G268" t="n">
        <v>2.3</v>
      </c>
      <c r="H268" t="n">
        <v>0</v>
      </c>
      <c r="I268" t="n">
        <v>0</v>
      </c>
      <c r="J268" t="n">
        <v>0</v>
      </c>
      <c r="K268" t="n">
        <v>0</v>
      </c>
      <c r="L268" t="n">
        <v>0</v>
      </c>
      <c r="M268" t="n">
        <v>0</v>
      </c>
      <c r="N268" t="n">
        <v>0</v>
      </c>
      <c r="O268" t="n">
        <v>0</v>
      </c>
      <c r="P268" t="n">
        <v>0</v>
      </c>
      <c r="Q268" t="n">
        <v>0</v>
      </c>
      <c r="R268" s="2" t="inlineStr"/>
    </row>
    <row r="269" ht="15" customHeight="1">
      <c r="A269" t="inlineStr">
        <is>
          <t>A 17464-2020</t>
        </is>
      </c>
      <c r="B269" s="1" t="n">
        <v>43917</v>
      </c>
      <c r="C269" s="1" t="n">
        <v>45645</v>
      </c>
      <c r="D269" t="inlineStr">
        <is>
          <t>JÄMTLANDS LÄN</t>
        </is>
      </c>
      <c r="E269" t="inlineStr">
        <is>
          <t>ÖSTERSUND</t>
        </is>
      </c>
      <c r="G269" t="n">
        <v>3.8</v>
      </c>
      <c r="H269" t="n">
        <v>0</v>
      </c>
      <c r="I269" t="n">
        <v>0</v>
      </c>
      <c r="J269" t="n">
        <v>0</v>
      </c>
      <c r="K269" t="n">
        <v>0</v>
      </c>
      <c r="L269" t="n">
        <v>0</v>
      </c>
      <c r="M269" t="n">
        <v>0</v>
      </c>
      <c r="N269" t="n">
        <v>0</v>
      </c>
      <c r="O269" t="n">
        <v>0</v>
      </c>
      <c r="P269" t="n">
        <v>0</v>
      </c>
      <c r="Q269" t="n">
        <v>0</v>
      </c>
      <c r="R269" s="2" t="inlineStr"/>
    </row>
    <row r="270" ht="15" customHeight="1">
      <c r="A270" t="inlineStr">
        <is>
          <t>A 18339-2020</t>
        </is>
      </c>
      <c r="B270" s="1" t="n">
        <v>43928</v>
      </c>
      <c r="C270" s="1" t="n">
        <v>45645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18683-2020</t>
        </is>
      </c>
      <c r="B271" s="1" t="n">
        <v>43930</v>
      </c>
      <c r="C271" s="1" t="n">
        <v>45645</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19631-2020</t>
        </is>
      </c>
      <c r="B272" s="1" t="n">
        <v>43936</v>
      </c>
      <c r="C272" s="1" t="n">
        <v>45645</v>
      </c>
      <c r="D272" t="inlineStr">
        <is>
          <t>JÄMTLANDS LÄN</t>
        </is>
      </c>
      <c r="E272" t="inlineStr">
        <is>
          <t>ÖSTERSUND</t>
        </is>
      </c>
      <c r="G272" t="n">
        <v>5.5</v>
      </c>
      <c r="H272" t="n">
        <v>0</v>
      </c>
      <c r="I272" t="n">
        <v>0</v>
      </c>
      <c r="J272" t="n">
        <v>0</v>
      </c>
      <c r="K272" t="n">
        <v>0</v>
      </c>
      <c r="L272" t="n">
        <v>0</v>
      </c>
      <c r="M272" t="n">
        <v>0</v>
      </c>
      <c r="N272" t="n">
        <v>0</v>
      </c>
      <c r="O272" t="n">
        <v>0</v>
      </c>
      <c r="P272" t="n">
        <v>0</v>
      </c>
      <c r="Q272" t="n">
        <v>0</v>
      </c>
      <c r="R272" s="2" t="inlineStr"/>
    </row>
    <row r="273" ht="15" customHeight="1">
      <c r="A273" t="inlineStr">
        <is>
          <t>A 19923-2020</t>
        </is>
      </c>
      <c r="B273" s="1" t="n">
        <v>43943</v>
      </c>
      <c r="C273" s="1" t="n">
        <v>45645</v>
      </c>
      <c r="D273" t="inlineStr">
        <is>
          <t>JÄMTLANDS LÄN</t>
        </is>
      </c>
      <c r="E273" t="inlineStr">
        <is>
          <t>ÖSTERSUND</t>
        </is>
      </c>
      <c r="G273" t="n">
        <v>0.5</v>
      </c>
      <c r="H273" t="n">
        <v>0</v>
      </c>
      <c r="I273" t="n">
        <v>0</v>
      </c>
      <c r="J273" t="n">
        <v>0</v>
      </c>
      <c r="K273" t="n">
        <v>0</v>
      </c>
      <c r="L273" t="n">
        <v>0</v>
      </c>
      <c r="M273" t="n">
        <v>0</v>
      </c>
      <c r="N273" t="n">
        <v>0</v>
      </c>
      <c r="O273" t="n">
        <v>0</v>
      </c>
      <c r="P273" t="n">
        <v>0</v>
      </c>
      <c r="Q273" t="n">
        <v>0</v>
      </c>
      <c r="R273" s="2" t="inlineStr"/>
    </row>
    <row r="274" ht="15" customHeight="1">
      <c r="A274" t="inlineStr">
        <is>
          <t>A 20198-2020</t>
        </is>
      </c>
      <c r="B274" s="1" t="n">
        <v>43944</v>
      </c>
      <c r="C274" s="1" t="n">
        <v>45645</v>
      </c>
      <c r="D274" t="inlineStr">
        <is>
          <t>JÄMTLANDS LÄN</t>
        </is>
      </c>
      <c r="E274" t="inlineStr">
        <is>
          <t>ÖSTERSUND</t>
        </is>
      </c>
      <c r="G274" t="n">
        <v>2</v>
      </c>
      <c r="H274" t="n">
        <v>0</v>
      </c>
      <c r="I274" t="n">
        <v>0</v>
      </c>
      <c r="J274" t="n">
        <v>0</v>
      </c>
      <c r="K274" t="n">
        <v>0</v>
      </c>
      <c r="L274" t="n">
        <v>0</v>
      </c>
      <c r="M274" t="n">
        <v>0</v>
      </c>
      <c r="N274" t="n">
        <v>0</v>
      </c>
      <c r="O274" t="n">
        <v>0</v>
      </c>
      <c r="P274" t="n">
        <v>0</v>
      </c>
      <c r="Q274" t="n">
        <v>0</v>
      </c>
      <c r="R274" s="2" t="inlineStr"/>
    </row>
    <row r="275" ht="15" customHeight="1">
      <c r="A275" t="inlineStr">
        <is>
          <t>A 23507-2020</t>
        </is>
      </c>
      <c r="B275" s="1" t="n">
        <v>43969</v>
      </c>
      <c r="C275" s="1" t="n">
        <v>45645</v>
      </c>
      <c r="D275" t="inlineStr">
        <is>
          <t>JÄMTLANDS LÄN</t>
        </is>
      </c>
      <c r="E275" t="inlineStr">
        <is>
          <t>ÖSTERSUND</t>
        </is>
      </c>
      <c r="G275" t="n">
        <v>5.8</v>
      </c>
      <c r="H275" t="n">
        <v>0</v>
      </c>
      <c r="I275" t="n">
        <v>0</v>
      </c>
      <c r="J275" t="n">
        <v>0</v>
      </c>
      <c r="K275" t="n">
        <v>0</v>
      </c>
      <c r="L275" t="n">
        <v>0</v>
      </c>
      <c r="M275" t="n">
        <v>0</v>
      </c>
      <c r="N275" t="n">
        <v>0</v>
      </c>
      <c r="O275" t="n">
        <v>0</v>
      </c>
      <c r="P275" t="n">
        <v>0</v>
      </c>
      <c r="Q275" t="n">
        <v>0</v>
      </c>
      <c r="R275" s="2" t="inlineStr"/>
    </row>
    <row r="276" ht="15" customHeight="1">
      <c r="A276" t="inlineStr">
        <is>
          <t>A 23445-2020</t>
        </is>
      </c>
      <c r="B276" s="1" t="n">
        <v>43969</v>
      </c>
      <c r="C276" s="1" t="n">
        <v>45645</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24259-2020</t>
        </is>
      </c>
      <c r="B277" s="1" t="n">
        <v>43970</v>
      </c>
      <c r="C277" s="1" t="n">
        <v>45645</v>
      </c>
      <c r="D277" t="inlineStr">
        <is>
          <t>JÄMTLANDS LÄN</t>
        </is>
      </c>
      <c r="E277" t="inlineStr">
        <is>
          <t>ÖSTERSUND</t>
        </is>
      </c>
      <c r="G277" t="n">
        <v>0.6</v>
      </c>
      <c r="H277" t="n">
        <v>0</v>
      </c>
      <c r="I277" t="n">
        <v>0</v>
      </c>
      <c r="J277" t="n">
        <v>0</v>
      </c>
      <c r="K277" t="n">
        <v>0</v>
      </c>
      <c r="L277" t="n">
        <v>0</v>
      </c>
      <c r="M277" t="n">
        <v>0</v>
      </c>
      <c r="N277" t="n">
        <v>0</v>
      </c>
      <c r="O277" t="n">
        <v>0</v>
      </c>
      <c r="P277" t="n">
        <v>0</v>
      </c>
      <c r="Q277" t="n">
        <v>0</v>
      </c>
      <c r="R277" s="2" t="inlineStr"/>
    </row>
    <row r="278" ht="15" customHeight="1">
      <c r="A278" t="inlineStr">
        <is>
          <t>A 24253-2020</t>
        </is>
      </c>
      <c r="B278" s="1" t="n">
        <v>43970</v>
      </c>
      <c r="C278" s="1" t="n">
        <v>45645</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25148-2020</t>
        </is>
      </c>
      <c r="B279" s="1" t="n">
        <v>43978</v>
      </c>
      <c r="C279" s="1" t="n">
        <v>45645</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26410-2020</t>
        </is>
      </c>
      <c r="B280" s="1" t="n">
        <v>43986</v>
      </c>
      <c r="C280" s="1" t="n">
        <v>45645</v>
      </c>
      <c r="D280" t="inlineStr">
        <is>
          <t>JÄMTLANDS LÄN</t>
        </is>
      </c>
      <c r="E280" t="inlineStr">
        <is>
          <t>ÖSTERSUND</t>
        </is>
      </c>
      <c r="G280" t="n">
        <v>2.1</v>
      </c>
      <c r="H280" t="n">
        <v>0</v>
      </c>
      <c r="I280" t="n">
        <v>0</v>
      </c>
      <c r="J280" t="n">
        <v>0</v>
      </c>
      <c r="K280" t="n">
        <v>0</v>
      </c>
      <c r="L280" t="n">
        <v>0</v>
      </c>
      <c r="M280" t="n">
        <v>0</v>
      </c>
      <c r="N280" t="n">
        <v>0</v>
      </c>
      <c r="O280" t="n">
        <v>0</v>
      </c>
      <c r="P280" t="n">
        <v>0</v>
      </c>
      <c r="Q280" t="n">
        <v>0</v>
      </c>
      <c r="R280" s="2" t="inlineStr"/>
    </row>
    <row r="281" ht="15" customHeight="1">
      <c r="A281" t="inlineStr">
        <is>
          <t>A 27576-2020</t>
        </is>
      </c>
      <c r="B281" s="1" t="n">
        <v>43992</v>
      </c>
      <c r="C281" s="1" t="n">
        <v>45645</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29635-2020</t>
        </is>
      </c>
      <c r="B282" s="1" t="n">
        <v>44000</v>
      </c>
      <c r="C282" s="1" t="n">
        <v>45645</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29435-2020</t>
        </is>
      </c>
      <c r="B283" s="1" t="n">
        <v>44004</v>
      </c>
      <c r="C283" s="1" t="n">
        <v>45645</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29479-2020</t>
        </is>
      </c>
      <c r="B284" s="1" t="n">
        <v>44005</v>
      </c>
      <c r="C284" s="1" t="n">
        <v>45645</v>
      </c>
      <c r="D284" t="inlineStr">
        <is>
          <t>JÄMTLANDS LÄN</t>
        </is>
      </c>
      <c r="E284" t="inlineStr">
        <is>
          <t>ÖSTERSUND</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29581-2020</t>
        </is>
      </c>
      <c r="B285" s="1" t="n">
        <v>44004</v>
      </c>
      <c r="C285" s="1" t="n">
        <v>45645</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30676-2020</t>
        </is>
      </c>
      <c r="B286" s="1" t="n">
        <v>44008</v>
      </c>
      <c r="C286" s="1" t="n">
        <v>45645</v>
      </c>
      <c r="D286" t="inlineStr">
        <is>
          <t>JÄMTLANDS LÄN</t>
        </is>
      </c>
      <c r="E286" t="inlineStr">
        <is>
          <t>ÖSTERSUND</t>
        </is>
      </c>
      <c r="G286" t="n">
        <v>2.4</v>
      </c>
      <c r="H286" t="n">
        <v>0</v>
      </c>
      <c r="I286" t="n">
        <v>0</v>
      </c>
      <c r="J286" t="n">
        <v>0</v>
      </c>
      <c r="K286" t="n">
        <v>0</v>
      </c>
      <c r="L286" t="n">
        <v>0</v>
      </c>
      <c r="M286" t="n">
        <v>0</v>
      </c>
      <c r="N286" t="n">
        <v>0</v>
      </c>
      <c r="O286" t="n">
        <v>0</v>
      </c>
      <c r="P286" t="n">
        <v>0</v>
      </c>
      <c r="Q286" t="n">
        <v>0</v>
      </c>
      <c r="R286" s="2" t="inlineStr"/>
    </row>
    <row r="287" ht="15" customHeight="1">
      <c r="A287" t="inlineStr">
        <is>
          <t>A 33945-2020</t>
        </is>
      </c>
      <c r="B287" s="1" t="n">
        <v>44027</v>
      </c>
      <c r="C287" s="1" t="n">
        <v>45645</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34703-2020</t>
        </is>
      </c>
      <c r="B288" s="1" t="n">
        <v>44035</v>
      </c>
      <c r="C288" s="1" t="n">
        <v>45645</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37500-2020</t>
        </is>
      </c>
      <c r="B289" s="1" t="n">
        <v>44055</v>
      </c>
      <c r="C289" s="1" t="n">
        <v>45645</v>
      </c>
      <c r="D289" t="inlineStr">
        <is>
          <t>JÄMTLANDS LÄN</t>
        </is>
      </c>
      <c r="E289" t="inlineStr">
        <is>
          <t>ÖSTERSUND</t>
        </is>
      </c>
      <c r="G289" t="n">
        <v>4.8</v>
      </c>
      <c r="H289" t="n">
        <v>0</v>
      </c>
      <c r="I289" t="n">
        <v>0</v>
      </c>
      <c r="J289" t="n">
        <v>0</v>
      </c>
      <c r="K289" t="n">
        <v>0</v>
      </c>
      <c r="L289" t="n">
        <v>0</v>
      </c>
      <c r="M289" t="n">
        <v>0</v>
      </c>
      <c r="N289" t="n">
        <v>0</v>
      </c>
      <c r="O289" t="n">
        <v>0</v>
      </c>
      <c r="P289" t="n">
        <v>0</v>
      </c>
      <c r="Q289" t="n">
        <v>0</v>
      </c>
      <c r="R289" s="2" t="inlineStr"/>
    </row>
    <row r="290" ht="15" customHeight="1">
      <c r="A290" t="inlineStr">
        <is>
          <t>A 38099-2020</t>
        </is>
      </c>
      <c r="B290" s="1" t="n">
        <v>44057</v>
      </c>
      <c r="C290" s="1" t="n">
        <v>45645</v>
      </c>
      <c r="D290" t="inlineStr">
        <is>
          <t>JÄMTLANDS LÄN</t>
        </is>
      </c>
      <c r="E290" t="inlineStr">
        <is>
          <t>ÖSTERSUND</t>
        </is>
      </c>
      <c r="F290" t="inlineStr">
        <is>
          <t>SCA</t>
        </is>
      </c>
      <c r="G290" t="n">
        <v>5.5</v>
      </c>
      <c r="H290" t="n">
        <v>0</v>
      </c>
      <c r="I290" t="n">
        <v>0</v>
      </c>
      <c r="J290" t="n">
        <v>0</v>
      </c>
      <c r="K290" t="n">
        <v>0</v>
      </c>
      <c r="L290" t="n">
        <v>0</v>
      </c>
      <c r="M290" t="n">
        <v>0</v>
      </c>
      <c r="N290" t="n">
        <v>0</v>
      </c>
      <c r="O290" t="n">
        <v>0</v>
      </c>
      <c r="P290" t="n">
        <v>0</v>
      </c>
      <c r="Q290" t="n">
        <v>0</v>
      </c>
      <c r="R290" s="2" t="inlineStr"/>
    </row>
    <row r="291" ht="15" customHeight="1">
      <c r="A291" t="inlineStr">
        <is>
          <t>A 41354-2020</t>
        </is>
      </c>
      <c r="B291" s="1" t="n">
        <v>44072</v>
      </c>
      <c r="C291" s="1" t="n">
        <v>45645</v>
      </c>
      <c r="D291" t="inlineStr">
        <is>
          <t>JÄMTLANDS LÄN</t>
        </is>
      </c>
      <c r="E291" t="inlineStr">
        <is>
          <t>ÖSTERSUND</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42712-2020</t>
        </is>
      </c>
      <c r="B292" s="1" t="n">
        <v>44076</v>
      </c>
      <c r="C292" s="1" t="n">
        <v>45645</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42749-2020</t>
        </is>
      </c>
      <c r="B293" s="1" t="n">
        <v>44078</v>
      </c>
      <c r="C293" s="1" t="n">
        <v>45645</v>
      </c>
      <c r="D293" t="inlineStr">
        <is>
          <t>JÄMTLANDS LÄN</t>
        </is>
      </c>
      <c r="E293" t="inlineStr">
        <is>
          <t>ÖSTERSUND</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42765-2020</t>
        </is>
      </c>
      <c r="B294" s="1" t="n">
        <v>44077</v>
      </c>
      <c r="C294" s="1" t="n">
        <v>45645</v>
      </c>
      <c r="D294" t="inlineStr">
        <is>
          <t>JÄMTLANDS LÄN</t>
        </is>
      </c>
      <c r="E294" t="inlineStr">
        <is>
          <t>ÖSTERSUND</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42766-2020</t>
        </is>
      </c>
      <c r="B295" s="1" t="n">
        <v>44077</v>
      </c>
      <c r="C295" s="1" t="n">
        <v>45645</v>
      </c>
      <c r="D295" t="inlineStr">
        <is>
          <t>JÄMTLANDS LÄN</t>
        </is>
      </c>
      <c r="E295" t="inlineStr">
        <is>
          <t>ÖSTERSUND</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43796-2020</t>
        </is>
      </c>
      <c r="B296" s="1" t="n">
        <v>44082</v>
      </c>
      <c r="C296" s="1" t="n">
        <v>45645</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45820-2020</t>
        </is>
      </c>
      <c r="B297" s="1" t="n">
        <v>44090</v>
      </c>
      <c r="C297" s="1" t="n">
        <v>45645</v>
      </c>
      <c r="D297" t="inlineStr">
        <is>
          <t>JÄMTLANDS LÄN</t>
        </is>
      </c>
      <c r="E297" t="inlineStr">
        <is>
          <t>ÖSTERSUND</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50121-2020</t>
        </is>
      </c>
      <c r="B298" s="1" t="n">
        <v>44106</v>
      </c>
      <c r="C298" s="1" t="n">
        <v>45645</v>
      </c>
      <c r="D298" t="inlineStr">
        <is>
          <t>JÄMTLANDS LÄN</t>
        </is>
      </c>
      <c r="E298" t="inlineStr">
        <is>
          <t>ÖSTERSUND</t>
        </is>
      </c>
      <c r="F298" t="inlineStr">
        <is>
          <t>Övriga statliga verk och myndigheter</t>
        </is>
      </c>
      <c r="G298" t="n">
        <v>5.2</v>
      </c>
      <c r="H298" t="n">
        <v>0</v>
      </c>
      <c r="I298" t="n">
        <v>0</v>
      </c>
      <c r="J298" t="n">
        <v>0</v>
      </c>
      <c r="K298" t="n">
        <v>0</v>
      </c>
      <c r="L298" t="n">
        <v>0</v>
      </c>
      <c r="M298" t="n">
        <v>0</v>
      </c>
      <c r="N298" t="n">
        <v>0</v>
      </c>
      <c r="O298" t="n">
        <v>0</v>
      </c>
      <c r="P298" t="n">
        <v>0</v>
      </c>
      <c r="Q298" t="n">
        <v>0</v>
      </c>
      <c r="R298" s="2" t="inlineStr"/>
    </row>
    <row r="299" ht="15" customHeight="1">
      <c r="A299" t="inlineStr">
        <is>
          <t>A 50153-2020</t>
        </is>
      </c>
      <c r="B299" s="1" t="n">
        <v>44106</v>
      </c>
      <c r="C299" s="1" t="n">
        <v>45645</v>
      </c>
      <c r="D299" t="inlineStr">
        <is>
          <t>JÄMTLANDS LÄN</t>
        </is>
      </c>
      <c r="E299" t="inlineStr">
        <is>
          <t>ÖSTERSUND</t>
        </is>
      </c>
      <c r="F299" t="inlineStr">
        <is>
          <t>Övriga statliga verk och myndigheter</t>
        </is>
      </c>
      <c r="G299" t="n">
        <v>4.6</v>
      </c>
      <c r="H299" t="n">
        <v>0</v>
      </c>
      <c r="I299" t="n">
        <v>0</v>
      </c>
      <c r="J299" t="n">
        <v>0</v>
      </c>
      <c r="K299" t="n">
        <v>0</v>
      </c>
      <c r="L299" t="n">
        <v>0</v>
      </c>
      <c r="M299" t="n">
        <v>0</v>
      </c>
      <c r="N299" t="n">
        <v>0</v>
      </c>
      <c r="O299" t="n">
        <v>0</v>
      </c>
      <c r="P299" t="n">
        <v>0</v>
      </c>
      <c r="Q299" t="n">
        <v>0</v>
      </c>
      <c r="R299" s="2" t="inlineStr"/>
    </row>
    <row r="300" ht="15" customHeight="1">
      <c r="A300" t="inlineStr">
        <is>
          <t>A 50144-2020</t>
        </is>
      </c>
      <c r="B300" s="1" t="n">
        <v>44106</v>
      </c>
      <c r="C300" s="1" t="n">
        <v>45645</v>
      </c>
      <c r="D300" t="inlineStr">
        <is>
          <t>JÄMTLANDS LÄN</t>
        </is>
      </c>
      <c r="E300" t="inlineStr">
        <is>
          <t>ÖSTERSUND</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50632-2020</t>
        </is>
      </c>
      <c r="B301" s="1" t="n">
        <v>44110</v>
      </c>
      <c r="C301" s="1" t="n">
        <v>45645</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52478-2020</t>
        </is>
      </c>
      <c r="B302" s="1" t="n">
        <v>44113</v>
      </c>
      <c r="C302" s="1" t="n">
        <v>45645</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52535-2020</t>
        </is>
      </c>
      <c r="B303" s="1" t="n">
        <v>44118</v>
      </c>
      <c r="C303" s="1" t="n">
        <v>45645</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52777-2020</t>
        </is>
      </c>
      <c r="B304" s="1" t="n">
        <v>44118</v>
      </c>
      <c r="C304" s="1" t="n">
        <v>45645</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52791-2020</t>
        </is>
      </c>
      <c r="B305" s="1" t="n">
        <v>44118</v>
      </c>
      <c r="C305" s="1" t="n">
        <v>45645</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53323-2020</t>
        </is>
      </c>
      <c r="B306" s="1" t="n">
        <v>44123</v>
      </c>
      <c r="C306" s="1" t="n">
        <v>45645</v>
      </c>
      <c r="D306" t="inlineStr">
        <is>
          <t>JÄMTLANDS LÄN</t>
        </is>
      </c>
      <c r="E306" t="inlineStr">
        <is>
          <t>ÖSTERSUND</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53967-2020</t>
        </is>
      </c>
      <c r="B307" s="1" t="n">
        <v>44125</v>
      </c>
      <c r="C307" s="1" t="n">
        <v>45645</v>
      </c>
      <c r="D307" t="inlineStr">
        <is>
          <t>JÄMTLANDS LÄN</t>
        </is>
      </c>
      <c r="E307" t="inlineStr">
        <is>
          <t>ÖSTERSUND</t>
        </is>
      </c>
      <c r="G307" t="n">
        <v>25.8</v>
      </c>
      <c r="H307" t="n">
        <v>0</v>
      </c>
      <c r="I307" t="n">
        <v>0</v>
      </c>
      <c r="J307" t="n">
        <v>0</v>
      </c>
      <c r="K307" t="n">
        <v>0</v>
      </c>
      <c r="L307" t="n">
        <v>0</v>
      </c>
      <c r="M307" t="n">
        <v>0</v>
      </c>
      <c r="N307" t="n">
        <v>0</v>
      </c>
      <c r="O307" t="n">
        <v>0</v>
      </c>
      <c r="P307" t="n">
        <v>0</v>
      </c>
      <c r="Q307" t="n">
        <v>0</v>
      </c>
      <c r="R307" s="2" t="inlineStr"/>
    </row>
    <row r="308" ht="15" customHeight="1">
      <c r="A308" t="inlineStr">
        <is>
          <t>A 54539-2020</t>
        </is>
      </c>
      <c r="B308" s="1" t="n">
        <v>44126</v>
      </c>
      <c r="C308" s="1" t="n">
        <v>45645</v>
      </c>
      <c r="D308" t="inlineStr">
        <is>
          <t>JÄMTLANDS LÄN</t>
        </is>
      </c>
      <c r="E308" t="inlineStr">
        <is>
          <t>ÖSTERSUND</t>
        </is>
      </c>
      <c r="G308" t="n">
        <v>4.2</v>
      </c>
      <c r="H308" t="n">
        <v>0</v>
      </c>
      <c r="I308" t="n">
        <v>0</v>
      </c>
      <c r="J308" t="n">
        <v>0</v>
      </c>
      <c r="K308" t="n">
        <v>0</v>
      </c>
      <c r="L308" t="n">
        <v>0</v>
      </c>
      <c r="M308" t="n">
        <v>0</v>
      </c>
      <c r="N308" t="n">
        <v>0</v>
      </c>
      <c r="O308" t="n">
        <v>0</v>
      </c>
      <c r="P308" t="n">
        <v>0</v>
      </c>
      <c r="Q308" t="n">
        <v>0</v>
      </c>
      <c r="R308" s="2" t="inlineStr"/>
    </row>
    <row r="309" ht="15" customHeight="1">
      <c r="A309" t="inlineStr">
        <is>
          <t>A 54844-2020</t>
        </is>
      </c>
      <c r="B309" s="1" t="n">
        <v>44126</v>
      </c>
      <c r="C309" s="1" t="n">
        <v>45645</v>
      </c>
      <c r="D309" t="inlineStr">
        <is>
          <t>JÄMTLANDS LÄN</t>
        </is>
      </c>
      <c r="E309" t="inlineStr">
        <is>
          <t>ÖSTERSUND</t>
        </is>
      </c>
      <c r="G309" t="n">
        <v>6.9</v>
      </c>
      <c r="H309" t="n">
        <v>0</v>
      </c>
      <c r="I309" t="n">
        <v>0</v>
      </c>
      <c r="J309" t="n">
        <v>0</v>
      </c>
      <c r="K309" t="n">
        <v>0</v>
      </c>
      <c r="L309" t="n">
        <v>0</v>
      </c>
      <c r="M309" t="n">
        <v>0</v>
      </c>
      <c r="N309" t="n">
        <v>0</v>
      </c>
      <c r="O309" t="n">
        <v>0</v>
      </c>
      <c r="P309" t="n">
        <v>0</v>
      </c>
      <c r="Q309" t="n">
        <v>0</v>
      </c>
      <c r="R309" s="2" t="inlineStr"/>
    </row>
    <row r="310" ht="15" customHeight="1">
      <c r="A310" t="inlineStr">
        <is>
          <t>A 56220-2020</t>
        </is>
      </c>
      <c r="B310" s="1" t="n">
        <v>44133</v>
      </c>
      <c r="C310" s="1" t="n">
        <v>45645</v>
      </c>
      <c r="D310" t="inlineStr">
        <is>
          <t>JÄMTLANDS LÄN</t>
        </is>
      </c>
      <c r="E310" t="inlineStr">
        <is>
          <t>ÖSTERSUND</t>
        </is>
      </c>
      <c r="G310" t="n">
        <v>0.6</v>
      </c>
      <c r="H310" t="n">
        <v>0</v>
      </c>
      <c r="I310" t="n">
        <v>0</v>
      </c>
      <c r="J310" t="n">
        <v>0</v>
      </c>
      <c r="K310" t="n">
        <v>0</v>
      </c>
      <c r="L310" t="n">
        <v>0</v>
      </c>
      <c r="M310" t="n">
        <v>0</v>
      </c>
      <c r="N310" t="n">
        <v>0</v>
      </c>
      <c r="O310" t="n">
        <v>0</v>
      </c>
      <c r="P310" t="n">
        <v>0</v>
      </c>
      <c r="Q310" t="n">
        <v>0</v>
      </c>
      <c r="R310" s="2" t="inlineStr"/>
    </row>
    <row r="311" ht="15" customHeight="1">
      <c r="A311" t="inlineStr">
        <is>
          <t>A 56486-2020</t>
        </is>
      </c>
      <c r="B311" s="1" t="n">
        <v>44137</v>
      </c>
      <c r="C311" s="1" t="n">
        <v>45645</v>
      </c>
      <c r="D311" t="inlineStr">
        <is>
          <t>JÄMTLANDS LÄN</t>
        </is>
      </c>
      <c r="E311" t="inlineStr">
        <is>
          <t>ÖSTERSUND</t>
        </is>
      </c>
      <c r="G311" t="n">
        <v>5.8</v>
      </c>
      <c r="H311" t="n">
        <v>0</v>
      </c>
      <c r="I311" t="n">
        <v>0</v>
      </c>
      <c r="J311" t="n">
        <v>0</v>
      </c>
      <c r="K311" t="n">
        <v>0</v>
      </c>
      <c r="L311" t="n">
        <v>0</v>
      </c>
      <c r="M311" t="n">
        <v>0</v>
      </c>
      <c r="N311" t="n">
        <v>0</v>
      </c>
      <c r="O311" t="n">
        <v>0</v>
      </c>
      <c r="P311" t="n">
        <v>0</v>
      </c>
      <c r="Q311" t="n">
        <v>0</v>
      </c>
      <c r="R311" s="2" t="inlineStr"/>
    </row>
    <row r="312" ht="15" customHeight="1">
      <c r="A312" t="inlineStr">
        <is>
          <t>A 56636-2020</t>
        </is>
      </c>
      <c r="B312" s="1" t="n">
        <v>44137</v>
      </c>
      <c r="C312" s="1" t="n">
        <v>45645</v>
      </c>
      <c r="D312" t="inlineStr">
        <is>
          <t>JÄMTLANDS LÄN</t>
        </is>
      </c>
      <c r="E312" t="inlineStr">
        <is>
          <t>ÖSTERSUND</t>
        </is>
      </c>
      <c r="F312" t="inlineStr">
        <is>
          <t>Övriga Aktiebolag</t>
        </is>
      </c>
      <c r="G312" t="n">
        <v>16.2</v>
      </c>
      <c r="H312" t="n">
        <v>0</v>
      </c>
      <c r="I312" t="n">
        <v>0</v>
      </c>
      <c r="J312" t="n">
        <v>0</v>
      </c>
      <c r="K312" t="n">
        <v>0</v>
      </c>
      <c r="L312" t="n">
        <v>0</v>
      </c>
      <c r="M312" t="n">
        <v>0</v>
      </c>
      <c r="N312" t="n">
        <v>0</v>
      </c>
      <c r="O312" t="n">
        <v>0</v>
      </c>
      <c r="P312" t="n">
        <v>0</v>
      </c>
      <c r="Q312" t="n">
        <v>0</v>
      </c>
      <c r="R312" s="2" t="inlineStr"/>
    </row>
    <row r="313" ht="15" customHeight="1">
      <c r="A313" t="inlineStr">
        <is>
          <t>A 56642-2020</t>
        </is>
      </c>
      <c r="B313" s="1" t="n">
        <v>44137</v>
      </c>
      <c r="C313" s="1" t="n">
        <v>45645</v>
      </c>
      <c r="D313" t="inlineStr">
        <is>
          <t>JÄMTLANDS LÄN</t>
        </is>
      </c>
      <c r="E313" t="inlineStr">
        <is>
          <t>ÖSTERSUND</t>
        </is>
      </c>
      <c r="F313" t="inlineStr">
        <is>
          <t>Övriga Aktiebolag</t>
        </is>
      </c>
      <c r="G313" t="n">
        <v>6</v>
      </c>
      <c r="H313" t="n">
        <v>0</v>
      </c>
      <c r="I313" t="n">
        <v>0</v>
      </c>
      <c r="J313" t="n">
        <v>0</v>
      </c>
      <c r="K313" t="n">
        <v>0</v>
      </c>
      <c r="L313" t="n">
        <v>0</v>
      </c>
      <c r="M313" t="n">
        <v>0</v>
      </c>
      <c r="N313" t="n">
        <v>0</v>
      </c>
      <c r="O313" t="n">
        <v>0</v>
      </c>
      <c r="P313" t="n">
        <v>0</v>
      </c>
      <c r="Q313" t="n">
        <v>0</v>
      </c>
      <c r="R313" s="2" t="inlineStr"/>
    </row>
    <row r="314" ht="15" customHeight="1">
      <c r="A314" t="inlineStr">
        <is>
          <t>A 57616-2020</t>
        </is>
      </c>
      <c r="B314" s="1" t="n">
        <v>44140</v>
      </c>
      <c r="C314" s="1" t="n">
        <v>45645</v>
      </c>
      <c r="D314" t="inlineStr">
        <is>
          <t>JÄMTLANDS LÄN</t>
        </is>
      </c>
      <c r="E314" t="inlineStr">
        <is>
          <t>ÖSTERSUND</t>
        </is>
      </c>
      <c r="F314" t="inlineStr">
        <is>
          <t>Övriga Aktiebolag</t>
        </is>
      </c>
      <c r="G314" t="n">
        <v>1.8</v>
      </c>
      <c r="H314" t="n">
        <v>0</v>
      </c>
      <c r="I314" t="n">
        <v>0</v>
      </c>
      <c r="J314" t="n">
        <v>0</v>
      </c>
      <c r="K314" t="n">
        <v>0</v>
      </c>
      <c r="L314" t="n">
        <v>0</v>
      </c>
      <c r="M314" t="n">
        <v>0</v>
      </c>
      <c r="N314" t="n">
        <v>0</v>
      </c>
      <c r="O314" t="n">
        <v>0</v>
      </c>
      <c r="P314" t="n">
        <v>0</v>
      </c>
      <c r="Q314" t="n">
        <v>0</v>
      </c>
      <c r="R314" s="2" t="inlineStr"/>
    </row>
    <row r="315" ht="15" customHeight="1">
      <c r="A315" t="inlineStr">
        <is>
          <t>A 57624-2020</t>
        </is>
      </c>
      <c r="B315" s="1" t="n">
        <v>44140</v>
      </c>
      <c r="C315" s="1" t="n">
        <v>45645</v>
      </c>
      <c r="D315" t="inlineStr">
        <is>
          <t>JÄMTLANDS LÄN</t>
        </is>
      </c>
      <c r="E315" t="inlineStr">
        <is>
          <t>ÖSTERSUND</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57791-2020</t>
        </is>
      </c>
      <c r="B316" s="1" t="n">
        <v>44141</v>
      </c>
      <c r="C316" s="1" t="n">
        <v>45645</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57771-2020</t>
        </is>
      </c>
      <c r="B317" s="1" t="n">
        <v>44141</v>
      </c>
      <c r="C317" s="1" t="n">
        <v>45645</v>
      </c>
      <c r="D317" t="inlineStr">
        <is>
          <t>JÄMTLANDS LÄN</t>
        </is>
      </c>
      <c r="E317" t="inlineStr">
        <is>
          <t>ÖSTERSUND</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60050-2020</t>
        </is>
      </c>
      <c r="B318" s="1" t="n">
        <v>44151</v>
      </c>
      <c r="C318" s="1" t="n">
        <v>45645</v>
      </c>
      <c r="D318" t="inlineStr">
        <is>
          <t>JÄMTLANDS LÄN</t>
        </is>
      </c>
      <c r="E318" t="inlineStr">
        <is>
          <t>ÖSTERSUND</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60126-2020</t>
        </is>
      </c>
      <c r="B319" s="1" t="n">
        <v>44152</v>
      </c>
      <c r="C319" s="1" t="n">
        <v>45645</v>
      </c>
      <c r="D319" t="inlineStr">
        <is>
          <t>JÄMTLANDS LÄN</t>
        </is>
      </c>
      <c r="E319" t="inlineStr">
        <is>
          <t>ÖSTERSUND</t>
        </is>
      </c>
      <c r="G319" t="n">
        <v>1</v>
      </c>
      <c r="H319" t="n">
        <v>0</v>
      </c>
      <c r="I319" t="n">
        <v>0</v>
      </c>
      <c r="J319" t="n">
        <v>0</v>
      </c>
      <c r="K319" t="n">
        <v>0</v>
      </c>
      <c r="L319" t="n">
        <v>0</v>
      </c>
      <c r="M319" t="n">
        <v>0</v>
      </c>
      <c r="N319" t="n">
        <v>0</v>
      </c>
      <c r="O319" t="n">
        <v>0</v>
      </c>
      <c r="P319" t="n">
        <v>0</v>
      </c>
      <c r="Q319" t="n">
        <v>0</v>
      </c>
      <c r="R319" s="2" t="inlineStr"/>
    </row>
    <row r="320" ht="15" customHeight="1">
      <c r="A320" t="inlineStr">
        <is>
          <t>A 63171-2020</t>
        </is>
      </c>
      <c r="B320" s="1" t="n">
        <v>44162</v>
      </c>
      <c r="C320" s="1" t="n">
        <v>45645</v>
      </c>
      <c r="D320" t="inlineStr">
        <is>
          <t>JÄMTLANDS LÄN</t>
        </is>
      </c>
      <c r="E320" t="inlineStr">
        <is>
          <t>ÖSTERSUND</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65410-2020</t>
        </is>
      </c>
      <c r="B321" s="1" t="n">
        <v>44173</v>
      </c>
      <c r="C321" s="1" t="n">
        <v>45645</v>
      </c>
      <c r="D321" t="inlineStr">
        <is>
          <t>JÄMTLANDS LÄN</t>
        </is>
      </c>
      <c r="E321" t="inlineStr">
        <is>
          <t>ÖSTERSUND</t>
        </is>
      </c>
      <c r="F321" t="inlineStr">
        <is>
          <t>Kommuner</t>
        </is>
      </c>
      <c r="G321" t="n">
        <v>0.8</v>
      </c>
      <c r="H321" t="n">
        <v>0</v>
      </c>
      <c r="I321" t="n">
        <v>0</v>
      </c>
      <c r="J321" t="n">
        <v>0</v>
      </c>
      <c r="K321" t="n">
        <v>0</v>
      </c>
      <c r="L321" t="n">
        <v>0</v>
      </c>
      <c r="M321" t="n">
        <v>0</v>
      </c>
      <c r="N321" t="n">
        <v>0</v>
      </c>
      <c r="O321" t="n">
        <v>0</v>
      </c>
      <c r="P321" t="n">
        <v>0</v>
      </c>
      <c r="Q321" t="n">
        <v>0</v>
      </c>
      <c r="R321" s="2" t="inlineStr"/>
    </row>
    <row r="322" ht="15" customHeight="1">
      <c r="A322" t="inlineStr">
        <is>
          <t>A 66269-2020</t>
        </is>
      </c>
      <c r="B322" s="1" t="n">
        <v>44174</v>
      </c>
      <c r="C322" s="1" t="n">
        <v>45645</v>
      </c>
      <c r="D322" t="inlineStr">
        <is>
          <t>JÄMTLANDS LÄN</t>
        </is>
      </c>
      <c r="E322" t="inlineStr">
        <is>
          <t>ÖSTERSUND</t>
        </is>
      </c>
      <c r="F322" t="inlineStr">
        <is>
          <t>Övriga statliga verk och myndigheter</t>
        </is>
      </c>
      <c r="G322" t="n">
        <v>10</v>
      </c>
      <c r="H322" t="n">
        <v>0</v>
      </c>
      <c r="I322" t="n">
        <v>0</v>
      </c>
      <c r="J322" t="n">
        <v>0</v>
      </c>
      <c r="K322" t="n">
        <v>0</v>
      </c>
      <c r="L322" t="n">
        <v>0</v>
      </c>
      <c r="M322" t="n">
        <v>0</v>
      </c>
      <c r="N322" t="n">
        <v>0</v>
      </c>
      <c r="O322" t="n">
        <v>0</v>
      </c>
      <c r="P322" t="n">
        <v>0</v>
      </c>
      <c r="Q322" t="n">
        <v>0</v>
      </c>
      <c r="R322" s="2" t="inlineStr"/>
    </row>
    <row r="323" ht="15" customHeight="1">
      <c r="A323" t="inlineStr">
        <is>
          <t>A 66288-2020</t>
        </is>
      </c>
      <c r="B323" s="1" t="n">
        <v>44174</v>
      </c>
      <c r="C323" s="1" t="n">
        <v>45645</v>
      </c>
      <c r="D323" t="inlineStr">
        <is>
          <t>JÄMTLANDS LÄN</t>
        </is>
      </c>
      <c r="E323" t="inlineStr">
        <is>
          <t>ÖSTERSUND</t>
        </is>
      </c>
      <c r="F323" t="inlineStr">
        <is>
          <t>Övriga statliga verk och myndigheter</t>
        </is>
      </c>
      <c r="G323" t="n">
        <v>1.2</v>
      </c>
      <c r="H323" t="n">
        <v>0</v>
      </c>
      <c r="I323" t="n">
        <v>0</v>
      </c>
      <c r="J323" t="n">
        <v>0</v>
      </c>
      <c r="K323" t="n">
        <v>0</v>
      </c>
      <c r="L323" t="n">
        <v>0</v>
      </c>
      <c r="M323" t="n">
        <v>0</v>
      </c>
      <c r="N323" t="n">
        <v>0</v>
      </c>
      <c r="O323" t="n">
        <v>0</v>
      </c>
      <c r="P323" t="n">
        <v>0</v>
      </c>
      <c r="Q323" t="n">
        <v>0</v>
      </c>
      <c r="R323" s="2" t="inlineStr"/>
    </row>
    <row r="324" ht="15" customHeight="1">
      <c r="A324" t="inlineStr">
        <is>
          <t>A 66286-2020</t>
        </is>
      </c>
      <c r="B324" s="1" t="n">
        <v>44174</v>
      </c>
      <c r="C324" s="1" t="n">
        <v>45645</v>
      </c>
      <c r="D324" t="inlineStr">
        <is>
          <t>JÄMTLANDS LÄN</t>
        </is>
      </c>
      <c r="E324" t="inlineStr">
        <is>
          <t>ÖSTERSUND</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67646-2020</t>
        </is>
      </c>
      <c r="B325" s="1" t="n">
        <v>44180</v>
      </c>
      <c r="C325" s="1" t="n">
        <v>45645</v>
      </c>
      <c r="D325" t="inlineStr">
        <is>
          <t>JÄMTLANDS LÄN</t>
        </is>
      </c>
      <c r="E325" t="inlineStr">
        <is>
          <t>ÖSTERSUND</t>
        </is>
      </c>
      <c r="G325" t="n">
        <v>1.9</v>
      </c>
      <c r="H325" t="n">
        <v>0</v>
      </c>
      <c r="I325" t="n">
        <v>0</v>
      </c>
      <c r="J325" t="n">
        <v>0</v>
      </c>
      <c r="K325" t="n">
        <v>0</v>
      </c>
      <c r="L325" t="n">
        <v>0</v>
      </c>
      <c r="M325" t="n">
        <v>0</v>
      </c>
      <c r="N325" t="n">
        <v>0</v>
      </c>
      <c r="O325" t="n">
        <v>0</v>
      </c>
      <c r="P325" t="n">
        <v>0</v>
      </c>
      <c r="Q325" t="n">
        <v>0</v>
      </c>
      <c r="R325" s="2" t="inlineStr"/>
    </row>
    <row r="326" ht="15" customHeight="1">
      <c r="A326" t="inlineStr">
        <is>
          <t>A 67643-2020</t>
        </is>
      </c>
      <c r="B326" s="1" t="n">
        <v>44180</v>
      </c>
      <c r="C326" s="1" t="n">
        <v>45645</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68408-2020</t>
        </is>
      </c>
      <c r="B327" s="1" t="n">
        <v>44186</v>
      </c>
      <c r="C327" s="1" t="n">
        <v>45645</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68937-2020</t>
        </is>
      </c>
      <c r="B328" s="1" t="n">
        <v>44187</v>
      </c>
      <c r="C328" s="1" t="n">
        <v>45645</v>
      </c>
      <c r="D328" t="inlineStr">
        <is>
          <t>JÄMTLANDS LÄN</t>
        </is>
      </c>
      <c r="E328" t="inlineStr">
        <is>
          <t>ÖSTERSUND</t>
        </is>
      </c>
      <c r="G328" t="n">
        <v>4.7</v>
      </c>
      <c r="H328" t="n">
        <v>0</v>
      </c>
      <c r="I328" t="n">
        <v>0</v>
      </c>
      <c r="J328" t="n">
        <v>0</v>
      </c>
      <c r="K328" t="n">
        <v>0</v>
      </c>
      <c r="L328" t="n">
        <v>0</v>
      </c>
      <c r="M328" t="n">
        <v>0</v>
      </c>
      <c r="N328" t="n">
        <v>0</v>
      </c>
      <c r="O328" t="n">
        <v>0</v>
      </c>
      <c r="P328" t="n">
        <v>0</v>
      </c>
      <c r="Q328" t="n">
        <v>0</v>
      </c>
      <c r="R328" s="2" t="inlineStr"/>
    </row>
    <row r="329" ht="15" customHeight="1">
      <c r="A329" t="inlineStr">
        <is>
          <t>A 126-2021</t>
        </is>
      </c>
      <c r="B329" s="1" t="n">
        <v>44200</v>
      </c>
      <c r="C329" s="1" t="n">
        <v>45645</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501-2021</t>
        </is>
      </c>
      <c r="B330" s="1" t="n">
        <v>44200</v>
      </c>
      <c r="C330" s="1" t="n">
        <v>45645</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1322-2021</t>
        </is>
      </c>
      <c r="B331" s="1" t="n">
        <v>44208</v>
      </c>
      <c r="C331" s="1" t="n">
        <v>45645</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2686-2021</t>
        </is>
      </c>
      <c r="B332" s="1" t="n">
        <v>44214</v>
      </c>
      <c r="C332" s="1" t="n">
        <v>45645</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5460-2021</t>
        </is>
      </c>
      <c r="B333" s="1" t="n">
        <v>44229</v>
      </c>
      <c r="C333" s="1" t="n">
        <v>45645</v>
      </c>
      <c r="D333" t="inlineStr">
        <is>
          <t>JÄMTLANDS LÄN</t>
        </is>
      </c>
      <c r="E333" t="inlineStr">
        <is>
          <t>ÖSTERSUND</t>
        </is>
      </c>
      <c r="G333" t="n">
        <v>14.2</v>
      </c>
      <c r="H333" t="n">
        <v>0</v>
      </c>
      <c r="I333" t="n">
        <v>0</v>
      </c>
      <c r="J333" t="n">
        <v>0</v>
      </c>
      <c r="K333" t="n">
        <v>0</v>
      </c>
      <c r="L333" t="n">
        <v>0</v>
      </c>
      <c r="M333" t="n">
        <v>0</v>
      </c>
      <c r="N333" t="n">
        <v>0</v>
      </c>
      <c r="O333" t="n">
        <v>0</v>
      </c>
      <c r="P333" t="n">
        <v>0</v>
      </c>
      <c r="Q333" t="n">
        <v>0</v>
      </c>
      <c r="R333" s="2" t="inlineStr"/>
    </row>
    <row r="334" ht="15" customHeight="1">
      <c r="A334" t="inlineStr">
        <is>
          <t>A 6578-2021</t>
        </is>
      </c>
      <c r="B334" s="1" t="n">
        <v>44236</v>
      </c>
      <c r="C334" s="1" t="n">
        <v>45645</v>
      </c>
      <c r="D334" t="inlineStr">
        <is>
          <t>JÄMTLANDS LÄN</t>
        </is>
      </c>
      <c r="E334" t="inlineStr">
        <is>
          <t>ÖSTERSUND</t>
        </is>
      </c>
      <c r="G334" t="n">
        <v>1.4</v>
      </c>
      <c r="H334" t="n">
        <v>0</v>
      </c>
      <c r="I334" t="n">
        <v>0</v>
      </c>
      <c r="J334" t="n">
        <v>0</v>
      </c>
      <c r="K334" t="n">
        <v>0</v>
      </c>
      <c r="L334" t="n">
        <v>0</v>
      </c>
      <c r="M334" t="n">
        <v>0</v>
      </c>
      <c r="N334" t="n">
        <v>0</v>
      </c>
      <c r="O334" t="n">
        <v>0</v>
      </c>
      <c r="P334" t="n">
        <v>0</v>
      </c>
      <c r="Q334" t="n">
        <v>0</v>
      </c>
      <c r="R334" s="2" t="inlineStr"/>
    </row>
    <row r="335" ht="15" customHeight="1">
      <c r="A335" t="inlineStr">
        <is>
          <t>A 8396-2021</t>
        </is>
      </c>
      <c r="B335" s="1" t="n">
        <v>44238</v>
      </c>
      <c r="C335" s="1" t="n">
        <v>45645</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10590-2021</t>
        </is>
      </c>
      <c r="B336" s="1" t="n">
        <v>44258</v>
      </c>
      <c r="C336" s="1" t="n">
        <v>45645</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10911-2021</t>
        </is>
      </c>
      <c r="B337" s="1" t="n">
        <v>44259</v>
      </c>
      <c r="C337" s="1" t="n">
        <v>45645</v>
      </c>
      <c r="D337" t="inlineStr">
        <is>
          <t>JÄMTLANDS LÄN</t>
        </is>
      </c>
      <c r="E337" t="inlineStr">
        <is>
          <t>ÖSTERSUND</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10834-2021</t>
        </is>
      </c>
      <c r="B338" s="1" t="n">
        <v>44259</v>
      </c>
      <c r="C338" s="1" t="n">
        <v>45645</v>
      </c>
      <c r="D338" t="inlineStr">
        <is>
          <t>JÄMTLANDS LÄN</t>
        </is>
      </c>
      <c r="E338" t="inlineStr">
        <is>
          <t>ÖSTERSUND</t>
        </is>
      </c>
      <c r="G338" t="n">
        <v>12.2</v>
      </c>
      <c r="H338" t="n">
        <v>0</v>
      </c>
      <c r="I338" t="n">
        <v>0</v>
      </c>
      <c r="J338" t="n">
        <v>0</v>
      </c>
      <c r="K338" t="n">
        <v>0</v>
      </c>
      <c r="L338" t="n">
        <v>0</v>
      </c>
      <c r="M338" t="n">
        <v>0</v>
      </c>
      <c r="N338" t="n">
        <v>0</v>
      </c>
      <c r="O338" t="n">
        <v>0</v>
      </c>
      <c r="P338" t="n">
        <v>0</v>
      </c>
      <c r="Q338" t="n">
        <v>0</v>
      </c>
      <c r="R338" s="2" t="inlineStr"/>
    </row>
    <row r="339" ht="15" customHeight="1">
      <c r="A339" t="inlineStr">
        <is>
          <t>A 12710-2021</t>
        </is>
      </c>
      <c r="B339" s="1" t="n">
        <v>44270</v>
      </c>
      <c r="C339" s="1" t="n">
        <v>45645</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12705-2021</t>
        </is>
      </c>
      <c r="B340" s="1" t="n">
        <v>44270</v>
      </c>
      <c r="C340" s="1" t="n">
        <v>45645</v>
      </c>
      <c r="D340" t="inlineStr">
        <is>
          <t>JÄMTLANDS LÄN</t>
        </is>
      </c>
      <c r="E340" t="inlineStr">
        <is>
          <t>ÖSTERSUND</t>
        </is>
      </c>
      <c r="G340" t="n">
        <v>3.5</v>
      </c>
      <c r="H340" t="n">
        <v>0</v>
      </c>
      <c r="I340" t="n">
        <v>0</v>
      </c>
      <c r="J340" t="n">
        <v>0</v>
      </c>
      <c r="K340" t="n">
        <v>0</v>
      </c>
      <c r="L340" t="n">
        <v>0</v>
      </c>
      <c r="M340" t="n">
        <v>0</v>
      </c>
      <c r="N340" t="n">
        <v>0</v>
      </c>
      <c r="O340" t="n">
        <v>0</v>
      </c>
      <c r="P340" t="n">
        <v>0</v>
      </c>
      <c r="Q340" t="n">
        <v>0</v>
      </c>
      <c r="R340" s="2" t="inlineStr"/>
    </row>
    <row r="341" ht="15" customHeight="1">
      <c r="A341" t="inlineStr">
        <is>
          <t>A 14155-2021</t>
        </is>
      </c>
      <c r="B341" s="1" t="n">
        <v>44278</v>
      </c>
      <c r="C341" s="1" t="n">
        <v>45645</v>
      </c>
      <c r="D341" t="inlineStr">
        <is>
          <t>JÄMTLANDS LÄN</t>
        </is>
      </c>
      <c r="E341" t="inlineStr">
        <is>
          <t>ÖSTERSUND</t>
        </is>
      </c>
      <c r="G341" t="n">
        <v>2.6</v>
      </c>
      <c r="H341" t="n">
        <v>0</v>
      </c>
      <c r="I341" t="n">
        <v>0</v>
      </c>
      <c r="J341" t="n">
        <v>0</v>
      </c>
      <c r="K341" t="n">
        <v>0</v>
      </c>
      <c r="L341" t="n">
        <v>0</v>
      </c>
      <c r="M341" t="n">
        <v>0</v>
      </c>
      <c r="N341" t="n">
        <v>0</v>
      </c>
      <c r="O341" t="n">
        <v>0</v>
      </c>
      <c r="P341" t="n">
        <v>0</v>
      </c>
      <c r="Q341" t="n">
        <v>0</v>
      </c>
      <c r="R341" s="2" t="inlineStr"/>
    </row>
    <row r="342" ht="15" customHeight="1">
      <c r="A342" t="inlineStr">
        <is>
          <t>A 15659-2021</t>
        </is>
      </c>
      <c r="B342" s="1" t="n">
        <v>44298</v>
      </c>
      <c r="C342" s="1" t="n">
        <v>45645</v>
      </c>
      <c r="D342" t="inlineStr">
        <is>
          <t>JÄMTLANDS LÄN</t>
        </is>
      </c>
      <c r="E342" t="inlineStr">
        <is>
          <t>ÖSTERSUND</t>
        </is>
      </c>
      <c r="G342" t="n">
        <v>13.3</v>
      </c>
      <c r="H342" t="n">
        <v>0</v>
      </c>
      <c r="I342" t="n">
        <v>0</v>
      </c>
      <c r="J342" t="n">
        <v>0</v>
      </c>
      <c r="K342" t="n">
        <v>0</v>
      </c>
      <c r="L342" t="n">
        <v>0</v>
      </c>
      <c r="M342" t="n">
        <v>0</v>
      </c>
      <c r="N342" t="n">
        <v>0</v>
      </c>
      <c r="O342" t="n">
        <v>0</v>
      </c>
      <c r="P342" t="n">
        <v>0</v>
      </c>
      <c r="Q342" t="n">
        <v>0</v>
      </c>
      <c r="R342" s="2" t="inlineStr"/>
    </row>
    <row r="343" ht="15" customHeight="1">
      <c r="A343" t="inlineStr">
        <is>
          <t>A 17362-2021</t>
        </is>
      </c>
      <c r="B343" s="1" t="n">
        <v>44298</v>
      </c>
      <c r="C343" s="1" t="n">
        <v>45645</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17596-2021</t>
        </is>
      </c>
      <c r="B344" s="1" t="n">
        <v>44299</v>
      </c>
      <c r="C344" s="1" t="n">
        <v>45645</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19541-2021</t>
        </is>
      </c>
      <c r="B345" s="1" t="n">
        <v>44312</v>
      </c>
      <c r="C345" s="1" t="n">
        <v>45645</v>
      </c>
      <c r="D345" t="inlineStr">
        <is>
          <t>JÄMTLANDS LÄN</t>
        </is>
      </c>
      <c r="E345" t="inlineStr">
        <is>
          <t>ÖSTERSUND</t>
        </is>
      </c>
      <c r="G345" t="n">
        <v>0.7</v>
      </c>
      <c r="H345" t="n">
        <v>0</v>
      </c>
      <c r="I345" t="n">
        <v>0</v>
      </c>
      <c r="J345" t="n">
        <v>0</v>
      </c>
      <c r="K345" t="n">
        <v>0</v>
      </c>
      <c r="L345" t="n">
        <v>0</v>
      </c>
      <c r="M345" t="n">
        <v>0</v>
      </c>
      <c r="N345" t="n">
        <v>0</v>
      </c>
      <c r="O345" t="n">
        <v>0</v>
      </c>
      <c r="P345" t="n">
        <v>0</v>
      </c>
      <c r="Q345" t="n">
        <v>0</v>
      </c>
      <c r="R345" s="2" t="inlineStr"/>
    </row>
    <row r="346" ht="15" customHeight="1">
      <c r="A346" t="inlineStr">
        <is>
          <t>A 20290-2021</t>
        </is>
      </c>
      <c r="B346" s="1" t="n">
        <v>44314</v>
      </c>
      <c r="C346" s="1" t="n">
        <v>45645</v>
      </c>
      <c r="D346" t="inlineStr">
        <is>
          <t>JÄMTLANDS LÄN</t>
        </is>
      </c>
      <c r="E346" t="inlineStr">
        <is>
          <t>ÖSTERSUND</t>
        </is>
      </c>
      <c r="F346" t="inlineStr">
        <is>
          <t>SCA</t>
        </is>
      </c>
      <c r="G346" t="n">
        <v>8.1</v>
      </c>
      <c r="H346" t="n">
        <v>0</v>
      </c>
      <c r="I346" t="n">
        <v>0</v>
      </c>
      <c r="J346" t="n">
        <v>0</v>
      </c>
      <c r="K346" t="n">
        <v>0</v>
      </c>
      <c r="L346" t="n">
        <v>0</v>
      </c>
      <c r="M346" t="n">
        <v>0</v>
      </c>
      <c r="N346" t="n">
        <v>0</v>
      </c>
      <c r="O346" t="n">
        <v>0</v>
      </c>
      <c r="P346" t="n">
        <v>0</v>
      </c>
      <c r="Q346" t="n">
        <v>0</v>
      </c>
      <c r="R346" s="2" t="inlineStr"/>
    </row>
    <row r="347" ht="15" customHeight="1">
      <c r="A347" t="inlineStr">
        <is>
          <t>A 20620-2021</t>
        </is>
      </c>
      <c r="B347" s="1" t="n">
        <v>44316</v>
      </c>
      <c r="C347" s="1" t="n">
        <v>45645</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21306-2021</t>
        </is>
      </c>
      <c r="B348" s="1" t="n">
        <v>44320</v>
      </c>
      <c r="C348" s="1" t="n">
        <v>45645</v>
      </c>
      <c r="D348" t="inlineStr">
        <is>
          <t>JÄMTLANDS LÄN</t>
        </is>
      </c>
      <c r="E348" t="inlineStr">
        <is>
          <t>ÖSTERSUND</t>
        </is>
      </c>
      <c r="G348" t="n">
        <v>4.5</v>
      </c>
      <c r="H348" t="n">
        <v>0</v>
      </c>
      <c r="I348" t="n">
        <v>0</v>
      </c>
      <c r="J348" t="n">
        <v>0</v>
      </c>
      <c r="K348" t="n">
        <v>0</v>
      </c>
      <c r="L348" t="n">
        <v>0</v>
      </c>
      <c r="M348" t="n">
        <v>0</v>
      </c>
      <c r="N348" t="n">
        <v>0</v>
      </c>
      <c r="O348" t="n">
        <v>0</v>
      </c>
      <c r="P348" t="n">
        <v>0</v>
      </c>
      <c r="Q348" t="n">
        <v>0</v>
      </c>
      <c r="R348" s="2" t="inlineStr"/>
    </row>
    <row r="349" ht="15" customHeight="1">
      <c r="A349" t="inlineStr">
        <is>
          <t>A 21849-2021</t>
        </is>
      </c>
      <c r="B349" s="1" t="n">
        <v>44322</v>
      </c>
      <c r="C349" s="1" t="n">
        <v>45645</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22126-2021</t>
        </is>
      </c>
      <c r="B350" s="1" t="n">
        <v>44323</v>
      </c>
      <c r="C350" s="1" t="n">
        <v>45645</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23187-2021</t>
        </is>
      </c>
      <c r="B351" s="1" t="n">
        <v>44328</v>
      </c>
      <c r="C351" s="1" t="n">
        <v>45645</v>
      </c>
      <c r="D351" t="inlineStr">
        <is>
          <t>JÄMTLANDS LÄN</t>
        </is>
      </c>
      <c r="E351" t="inlineStr">
        <is>
          <t>ÖSTERSUND</t>
        </is>
      </c>
      <c r="G351" t="n">
        <v>1.8</v>
      </c>
      <c r="H351" t="n">
        <v>0</v>
      </c>
      <c r="I351" t="n">
        <v>0</v>
      </c>
      <c r="J351" t="n">
        <v>0</v>
      </c>
      <c r="K351" t="n">
        <v>0</v>
      </c>
      <c r="L351" t="n">
        <v>0</v>
      </c>
      <c r="M351" t="n">
        <v>0</v>
      </c>
      <c r="N351" t="n">
        <v>0</v>
      </c>
      <c r="O351" t="n">
        <v>0</v>
      </c>
      <c r="P351" t="n">
        <v>0</v>
      </c>
      <c r="Q351" t="n">
        <v>0</v>
      </c>
      <c r="R351" s="2" t="inlineStr"/>
    </row>
    <row r="352" ht="15" customHeight="1">
      <c r="A352" t="inlineStr">
        <is>
          <t>A 23895-2021</t>
        </is>
      </c>
      <c r="B352" s="1" t="n">
        <v>44335</v>
      </c>
      <c r="C352" s="1" t="n">
        <v>45645</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24312-2021</t>
        </is>
      </c>
      <c r="B353" s="1" t="n">
        <v>44336</v>
      </c>
      <c r="C353" s="1" t="n">
        <v>45645</v>
      </c>
      <c r="D353" t="inlineStr">
        <is>
          <t>JÄMTLANDS LÄN</t>
        </is>
      </c>
      <c r="E353" t="inlineStr">
        <is>
          <t>ÖSTERSUND</t>
        </is>
      </c>
      <c r="G353" t="n">
        <v>10.6</v>
      </c>
      <c r="H353" t="n">
        <v>0</v>
      </c>
      <c r="I353" t="n">
        <v>0</v>
      </c>
      <c r="J353" t="n">
        <v>0</v>
      </c>
      <c r="K353" t="n">
        <v>0</v>
      </c>
      <c r="L353" t="n">
        <v>0</v>
      </c>
      <c r="M353" t="n">
        <v>0</v>
      </c>
      <c r="N353" t="n">
        <v>0</v>
      </c>
      <c r="O353" t="n">
        <v>0</v>
      </c>
      <c r="P353" t="n">
        <v>0</v>
      </c>
      <c r="Q353" t="n">
        <v>0</v>
      </c>
      <c r="R353" s="2" t="inlineStr"/>
    </row>
    <row r="354" ht="15" customHeight="1">
      <c r="A354" t="inlineStr">
        <is>
          <t>A 24706-2021</t>
        </is>
      </c>
      <c r="B354" s="1" t="n">
        <v>44340</v>
      </c>
      <c r="C354" s="1" t="n">
        <v>45645</v>
      </c>
      <c r="D354" t="inlineStr">
        <is>
          <t>JÄMTLANDS LÄN</t>
        </is>
      </c>
      <c r="E354" t="inlineStr">
        <is>
          <t>ÖSTERSUND</t>
        </is>
      </c>
      <c r="G354" t="n">
        <v>5.6</v>
      </c>
      <c r="H354" t="n">
        <v>0</v>
      </c>
      <c r="I354" t="n">
        <v>0</v>
      </c>
      <c r="J354" t="n">
        <v>0</v>
      </c>
      <c r="K354" t="n">
        <v>0</v>
      </c>
      <c r="L354" t="n">
        <v>0</v>
      </c>
      <c r="M354" t="n">
        <v>0</v>
      </c>
      <c r="N354" t="n">
        <v>0</v>
      </c>
      <c r="O354" t="n">
        <v>0</v>
      </c>
      <c r="P354" t="n">
        <v>0</v>
      </c>
      <c r="Q354" t="n">
        <v>0</v>
      </c>
      <c r="R354" s="2" t="inlineStr"/>
    </row>
    <row r="355" ht="15" customHeight="1">
      <c r="A355" t="inlineStr">
        <is>
          <t>A 24721-2021</t>
        </is>
      </c>
      <c r="B355" s="1" t="n">
        <v>44340</v>
      </c>
      <c r="C355" s="1" t="n">
        <v>45645</v>
      </c>
      <c r="D355" t="inlineStr">
        <is>
          <t>JÄMTLANDS LÄN</t>
        </is>
      </c>
      <c r="E355" t="inlineStr">
        <is>
          <t>ÖSTERSUND</t>
        </is>
      </c>
      <c r="G355" t="n">
        <v>2.7</v>
      </c>
      <c r="H355" t="n">
        <v>0</v>
      </c>
      <c r="I355" t="n">
        <v>0</v>
      </c>
      <c r="J355" t="n">
        <v>0</v>
      </c>
      <c r="K355" t="n">
        <v>0</v>
      </c>
      <c r="L355" t="n">
        <v>0</v>
      </c>
      <c r="M355" t="n">
        <v>0</v>
      </c>
      <c r="N355" t="n">
        <v>0</v>
      </c>
      <c r="O355" t="n">
        <v>0</v>
      </c>
      <c r="P355" t="n">
        <v>0</v>
      </c>
      <c r="Q355" t="n">
        <v>0</v>
      </c>
      <c r="R355" s="2" t="inlineStr"/>
    </row>
    <row r="356" ht="15" customHeight="1">
      <c r="A356" t="inlineStr">
        <is>
          <t>A 26254-2021</t>
        </is>
      </c>
      <c r="B356" s="1" t="n">
        <v>44347</v>
      </c>
      <c r="C356" s="1" t="n">
        <v>45645</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26259-2021</t>
        </is>
      </c>
      <c r="B357" s="1" t="n">
        <v>44347</v>
      </c>
      <c r="C357" s="1" t="n">
        <v>45645</v>
      </c>
      <c r="D357" t="inlineStr">
        <is>
          <t>JÄMTLANDS LÄN</t>
        </is>
      </c>
      <c r="E357" t="inlineStr">
        <is>
          <t>ÖSTERSUND</t>
        </is>
      </c>
      <c r="G357" t="n">
        <v>4.3</v>
      </c>
      <c r="H357" t="n">
        <v>0</v>
      </c>
      <c r="I357" t="n">
        <v>0</v>
      </c>
      <c r="J357" t="n">
        <v>0</v>
      </c>
      <c r="K357" t="n">
        <v>0</v>
      </c>
      <c r="L357" t="n">
        <v>0</v>
      </c>
      <c r="M357" t="n">
        <v>0</v>
      </c>
      <c r="N357" t="n">
        <v>0</v>
      </c>
      <c r="O357" t="n">
        <v>0</v>
      </c>
      <c r="P357" t="n">
        <v>0</v>
      </c>
      <c r="Q357" t="n">
        <v>0</v>
      </c>
      <c r="R357" s="2" t="inlineStr"/>
    </row>
    <row r="358" ht="15" customHeight="1">
      <c r="A358" t="inlineStr">
        <is>
          <t>A 27061-2021</t>
        </is>
      </c>
      <c r="B358" s="1" t="n">
        <v>44349</v>
      </c>
      <c r="C358" s="1" t="n">
        <v>45645</v>
      </c>
      <c r="D358" t="inlineStr">
        <is>
          <t>JÄMTLANDS LÄN</t>
        </is>
      </c>
      <c r="E358" t="inlineStr">
        <is>
          <t>ÖSTERSUND</t>
        </is>
      </c>
      <c r="G358" t="n">
        <v>3.2</v>
      </c>
      <c r="H358" t="n">
        <v>0</v>
      </c>
      <c r="I358" t="n">
        <v>0</v>
      </c>
      <c r="J358" t="n">
        <v>0</v>
      </c>
      <c r="K358" t="n">
        <v>0</v>
      </c>
      <c r="L358" t="n">
        <v>0</v>
      </c>
      <c r="M358" t="n">
        <v>0</v>
      </c>
      <c r="N358" t="n">
        <v>0</v>
      </c>
      <c r="O358" t="n">
        <v>0</v>
      </c>
      <c r="P358" t="n">
        <v>0</v>
      </c>
      <c r="Q358" t="n">
        <v>0</v>
      </c>
      <c r="R358" s="2" t="inlineStr"/>
    </row>
    <row r="359" ht="15" customHeight="1">
      <c r="A359" t="inlineStr">
        <is>
          <t>A 27004-2021</t>
        </is>
      </c>
      <c r="B359" s="1" t="n">
        <v>44349</v>
      </c>
      <c r="C359" s="1" t="n">
        <v>45645</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29582-2021</t>
        </is>
      </c>
      <c r="B360" s="1" t="n">
        <v>44362</v>
      </c>
      <c r="C360" s="1" t="n">
        <v>45645</v>
      </c>
      <c r="D360" t="inlineStr">
        <is>
          <t>JÄMTLANDS LÄN</t>
        </is>
      </c>
      <c r="E360" t="inlineStr">
        <is>
          <t>ÖSTERSUND</t>
        </is>
      </c>
      <c r="G360" t="n">
        <v>31.5</v>
      </c>
      <c r="H360" t="n">
        <v>0</v>
      </c>
      <c r="I360" t="n">
        <v>0</v>
      </c>
      <c r="J360" t="n">
        <v>0</v>
      </c>
      <c r="K360" t="n">
        <v>0</v>
      </c>
      <c r="L360" t="n">
        <v>0</v>
      </c>
      <c r="M360" t="n">
        <v>0</v>
      </c>
      <c r="N360" t="n">
        <v>0</v>
      </c>
      <c r="O360" t="n">
        <v>0</v>
      </c>
      <c r="P360" t="n">
        <v>0</v>
      </c>
      <c r="Q360" t="n">
        <v>0</v>
      </c>
      <c r="R360" s="2" t="inlineStr"/>
    </row>
    <row r="361" ht="15" customHeight="1">
      <c r="A361" t="inlineStr">
        <is>
          <t>A 29707-2021</t>
        </is>
      </c>
      <c r="B361" s="1" t="n">
        <v>44362</v>
      </c>
      <c r="C361" s="1" t="n">
        <v>45645</v>
      </c>
      <c r="D361" t="inlineStr">
        <is>
          <t>JÄMTLANDS LÄN</t>
        </is>
      </c>
      <c r="E361" t="inlineStr">
        <is>
          <t>ÖSTERSUND</t>
        </is>
      </c>
      <c r="G361" t="n">
        <v>4</v>
      </c>
      <c r="H361" t="n">
        <v>0</v>
      </c>
      <c r="I361" t="n">
        <v>0</v>
      </c>
      <c r="J361" t="n">
        <v>0</v>
      </c>
      <c r="K361" t="n">
        <v>0</v>
      </c>
      <c r="L361" t="n">
        <v>0</v>
      </c>
      <c r="M361" t="n">
        <v>0</v>
      </c>
      <c r="N361" t="n">
        <v>0</v>
      </c>
      <c r="O361" t="n">
        <v>0</v>
      </c>
      <c r="P361" t="n">
        <v>0</v>
      </c>
      <c r="Q361" t="n">
        <v>0</v>
      </c>
      <c r="R361" s="2" t="inlineStr"/>
    </row>
    <row r="362" ht="15" customHeight="1">
      <c r="A362" t="inlineStr">
        <is>
          <t>A 31040-2021</t>
        </is>
      </c>
      <c r="B362" s="1" t="n">
        <v>44368</v>
      </c>
      <c r="C362" s="1" t="n">
        <v>45645</v>
      </c>
      <c r="D362" t="inlineStr">
        <is>
          <t>JÄMTLANDS LÄN</t>
        </is>
      </c>
      <c r="E362" t="inlineStr">
        <is>
          <t>ÖSTERSUND</t>
        </is>
      </c>
      <c r="G362" t="n">
        <v>4.3</v>
      </c>
      <c r="H362" t="n">
        <v>0</v>
      </c>
      <c r="I362" t="n">
        <v>0</v>
      </c>
      <c r="J362" t="n">
        <v>0</v>
      </c>
      <c r="K362" t="n">
        <v>0</v>
      </c>
      <c r="L362" t="n">
        <v>0</v>
      </c>
      <c r="M362" t="n">
        <v>0</v>
      </c>
      <c r="N362" t="n">
        <v>0</v>
      </c>
      <c r="O362" t="n">
        <v>0</v>
      </c>
      <c r="P362" t="n">
        <v>0</v>
      </c>
      <c r="Q362" t="n">
        <v>0</v>
      </c>
      <c r="R362" s="2" t="inlineStr"/>
    </row>
    <row r="363" ht="15" customHeight="1">
      <c r="A363" t="inlineStr">
        <is>
          <t>A 32994-2021</t>
        </is>
      </c>
      <c r="B363" s="1" t="n">
        <v>44375</v>
      </c>
      <c r="C363" s="1" t="n">
        <v>45645</v>
      </c>
      <c r="D363" t="inlineStr">
        <is>
          <t>JÄMTLANDS LÄN</t>
        </is>
      </c>
      <c r="E363" t="inlineStr">
        <is>
          <t>ÖSTERSUND</t>
        </is>
      </c>
      <c r="G363" t="n">
        <v>0.1</v>
      </c>
      <c r="H363" t="n">
        <v>0</v>
      </c>
      <c r="I363" t="n">
        <v>0</v>
      </c>
      <c r="J363" t="n">
        <v>0</v>
      </c>
      <c r="K363" t="n">
        <v>0</v>
      </c>
      <c r="L363" t="n">
        <v>0</v>
      </c>
      <c r="M363" t="n">
        <v>0</v>
      </c>
      <c r="N363" t="n">
        <v>0</v>
      </c>
      <c r="O363" t="n">
        <v>0</v>
      </c>
      <c r="P363" t="n">
        <v>0</v>
      </c>
      <c r="Q363" t="n">
        <v>0</v>
      </c>
      <c r="R363" s="2" t="inlineStr"/>
    </row>
    <row r="364" ht="15" customHeight="1">
      <c r="A364" t="inlineStr">
        <is>
          <t>A 33004-2021</t>
        </is>
      </c>
      <c r="B364" s="1" t="n">
        <v>44375</v>
      </c>
      <c r="C364" s="1" t="n">
        <v>45645</v>
      </c>
      <c r="D364" t="inlineStr">
        <is>
          <t>JÄMTLANDS LÄN</t>
        </is>
      </c>
      <c r="E364" t="inlineStr">
        <is>
          <t>ÖSTERSUND</t>
        </is>
      </c>
      <c r="G364" t="n">
        <v>0.6</v>
      </c>
      <c r="H364" t="n">
        <v>0</v>
      </c>
      <c r="I364" t="n">
        <v>0</v>
      </c>
      <c r="J364" t="n">
        <v>0</v>
      </c>
      <c r="K364" t="n">
        <v>0</v>
      </c>
      <c r="L364" t="n">
        <v>0</v>
      </c>
      <c r="M364" t="n">
        <v>0</v>
      </c>
      <c r="N364" t="n">
        <v>0</v>
      </c>
      <c r="O364" t="n">
        <v>0</v>
      </c>
      <c r="P364" t="n">
        <v>0</v>
      </c>
      <c r="Q364" t="n">
        <v>0</v>
      </c>
      <c r="R364" s="2" t="inlineStr"/>
    </row>
    <row r="365" ht="15" customHeight="1">
      <c r="A365" t="inlineStr">
        <is>
          <t>A 32998-2021</t>
        </is>
      </c>
      <c r="B365" s="1" t="n">
        <v>44375</v>
      </c>
      <c r="C365" s="1" t="n">
        <v>45645</v>
      </c>
      <c r="D365" t="inlineStr">
        <is>
          <t>JÄMTLANDS LÄN</t>
        </is>
      </c>
      <c r="E365" t="inlineStr">
        <is>
          <t>ÖSTERSUND</t>
        </is>
      </c>
      <c r="G365" t="n">
        <v>0.1</v>
      </c>
      <c r="H365" t="n">
        <v>0</v>
      </c>
      <c r="I365" t="n">
        <v>0</v>
      </c>
      <c r="J365" t="n">
        <v>0</v>
      </c>
      <c r="K365" t="n">
        <v>0</v>
      </c>
      <c r="L365" t="n">
        <v>0</v>
      </c>
      <c r="M365" t="n">
        <v>0</v>
      </c>
      <c r="N365" t="n">
        <v>0</v>
      </c>
      <c r="O365" t="n">
        <v>0</v>
      </c>
      <c r="P365" t="n">
        <v>0</v>
      </c>
      <c r="Q365" t="n">
        <v>0</v>
      </c>
      <c r="R365" s="2" t="inlineStr"/>
    </row>
    <row r="366" ht="15" customHeight="1">
      <c r="A366" t="inlineStr">
        <is>
          <t>A 32986-2021</t>
        </is>
      </c>
      <c r="B366" s="1" t="n">
        <v>44375</v>
      </c>
      <c r="C366" s="1" t="n">
        <v>45645</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33002-2021</t>
        </is>
      </c>
      <c r="B367" s="1" t="n">
        <v>44375</v>
      </c>
      <c r="C367" s="1" t="n">
        <v>45645</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32990-2021</t>
        </is>
      </c>
      <c r="B368" s="1" t="n">
        <v>44375</v>
      </c>
      <c r="C368" s="1" t="n">
        <v>45645</v>
      </c>
      <c r="D368" t="inlineStr">
        <is>
          <t>JÄMTLANDS LÄN</t>
        </is>
      </c>
      <c r="E368" t="inlineStr">
        <is>
          <t>ÖSTERSUND</t>
        </is>
      </c>
      <c r="G368" t="n">
        <v>0.2</v>
      </c>
      <c r="H368" t="n">
        <v>0</v>
      </c>
      <c r="I368" t="n">
        <v>0</v>
      </c>
      <c r="J368" t="n">
        <v>0</v>
      </c>
      <c r="K368" t="n">
        <v>0</v>
      </c>
      <c r="L368" t="n">
        <v>0</v>
      </c>
      <c r="M368" t="n">
        <v>0</v>
      </c>
      <c r="N368" t="n">
        <v>0</v>
      </c>
      <c r="O368" t="n">
        <v>0</v>
      </c>
      <c r="P368" t="n">
        <v>0</v>
      </c>
      <c r="Q368" t="n">
        <v>0</v>
      </c>
      <c r="R368" s="2" t="inlineStr"/>
    </row>
    <row r="369" ht="15" customHeight="1">
      <c r="A369" t="inlineStr">
        <is>
          <t>A 33831-2021</t>
        </is>
      </c>
      <c r="B369" s="1" t="n">
        <v>44378</v>
      </c>
      <c r="C369" s="1" t="n">
        <v>45645</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35032-2021</t>
        </is>
      </c>
      <c r="B370" s="1" t="n">
        <v>44383</v>
      </c>
      <c r="C370" s="1" t="n">
        <v>45645</v>
      </c>
      <c r="D370" t="inlineStr">
        <is>
          <t>JÄMTLANDS LÄN</t>
        </is>
      </c>
      <c r="E370" t="inlineStr">
        <is>
          <t>ÖSTERSUND</t>
        </is>
      </c>
      <c r="G370" t="n">
        <v>0.9</v>
      </c>
      <c r="H370" t="n">
        <v>0</v>
      </c>
      <c r="I370" t="n">
        <v>0</v>
      </c>
      <c r="J370" t="n">
        <v>0</v>
      </c>
      <c r="K370" t="n">
        <v>0</v>
      </c>
      <c r="L370" t="n">
        <v>0</v>
      </c>
      <c r="M370" t="n">
        <v>0</v>
      </c>
      <c r="N370" t="n">
        <v>0</v>
      </c>
      <c r="O370" t="n">
        <v>0</v>
      </c>
      <c r="P370" t="n">
        <v>0</v>
      </c>
      <c r="Q370" t="n">
        <v>0</v>
      </c>
      <c r="R370" s="2" t="inlineStr"/>
    </row>
    <row r="371" ht="15" customHeight="1">
      <c r="A371" t="inlineStr">
        <is>
          <t>A 35755-2021</t>
        </is>
      </c>
      <c r="B371" s="1" t="n">
        <v>44385</v>
      </c>
      <c r="C371" s="1" t="n">
        <v>45645</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38142-2021</t>
        </is>
      </c>
      <c r="B372" s="1" t="n">
        <v>44405</v>
      </c>
      <c r="C372" s="1" t="n">
        <v>45645</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38647-2021</t>
        </is>
      </c>
      <c r="B373" s="1" t="n">
        <v>44410</v>
      </c>
      <c r="C373" s="1" t="n">
        <v>45645</v>
      </c>
      <c r="D373" t="inlineStr">
        <is>
          <t>JÄMTLANDS LÄN</t>
        </is>
      </c>
      <c r="E373" t="inlineStr">
        <is>
          <t>ÖSTERSUND</t>
        </is>
      </c>
      <c r="G373" t="n">
        <v>1.7</v>
      </c>
      <c r="H373" t="n">
        <v>0</v>
      </c>
      <c r="I373" t="n">
        <v>0</v>
      </c>
      <c r="J373" t="n">
        <v>0</v>
      </c>
      <c r="K373" t="n">
        <v>0</v>
      </c>
      <c r="L373" t="n">
        <v>0</v>
      </c>
      <c r="M373" t="n">
        <v>0</v>
      </c>
      <c r="N373" t="n">
        <v>0</v>
      </c>
      <c r="O373" t="n">
        <v>0</v>
      </c>
      <c r="P373" t="n">
        <v>0</v>
      </c>
      <c r="Q373" t="n">
        <v>0</v>
      </c>
      <c r="R373" s="2" t="inlineStr"/>
    </row>
    <row r="374" ht="15" customHeight="1">
      <c r="A374" t="inlineStr">
        <is>
          <t>A 38644-2021</t>
        </is>
      </c>
      <c r="B374" s="1" t="n">
        <v>44410</v>
      </c>
      <c r="C374" s="1" t="n">
        <v>45645</v>
      </c>
      <c r="D374" t="inlineStr">
        <is>
          <t>JÄMTLANDS LÄN</t>
        </is>
      </c>
      <c r="E374" t="inlineStr">
        <is>
          <t>ÖSTERSUND</t>
        </is>
      </c>
      <c r="G374" t="n">
        <v>1</v>
      </c>
      <c r="H374" t="n">
        <v>0</v>
      </c>
      <c r="I374" t="n">
        <v>0</v>
      </c>
      <c r="J374" t="n">
        <v>0</v>
      </c>
      <c r="K374" t="n">
        <v>0</v>
      </c>
      <c r="L374" t="n">
        <v>0</v>
      </c>
      <c r="M374" t="n">
        <v>0</v>
      </c>
      <c r="N374" t="n">
        <v>0</v>
      </c>
      <c r="O374" t="n">
        <v>0</v>
      </c>
      <c r="P374" t="n">
        <v>0</v>
      </c>
      <c r="Q374" t="n">
        <v>0</v>
      </c>
      <c r="R374" s="2" t="inlineStr"/>
    </row>
    <row r="375" ht="15" customHeight="1">
      <c r="A375" t="inlineStr">
        <is>
          <t>A 39735-2021</t>
        </is>
      </c>
      <c r="B375" s="1" t="n">
        <v>44414</v>
      </c>
      <c r="C375" s="1" t="n">
        <v>45645</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40038-2021</t>
        </is>
      </c>
      <c r="B376" s="1" t="n">
        <v>44418</v>
      </c>
      <c r="C376" s="1" t="n">
        <v>45645</v>
      </c>
      <c r="D376" t="inlineStr">
        <is>
          <t>JÄMTLANDS LÄN</t>
        </is>
      </c>
      <c r="E376" t="inlineStr">
        <is>
          <t>ÖSTERSUND</t>
        </is>
      </c>
      <c r="G376" t="n">
        <v>7</v>
      </c>
      <c r="H376" t="n">
        <v>0</v>
      </c>
      <c r="I376" t="n">
        <v>0</v>
      </c>
      <c r="J376" t="n">
        <v>0</v>
      </c>
      <c r="K376" t="n">
        <v>0</v>
      </c>
      <c r="L376" t="n">
        <v>0</v>
      </c>
      <c r="M376" t="n">
        <v>0</v>
      </c>
      <c r="N376" t="n">
        <v>0</v>
      </c>
      <c r="O376" t="n">
        <v>0</v>
      </c>
      <c r="P376" t="n">
        <v>0</v>
      </c>
      <c r="Q376" t="n">
        <v>0</v>
      </c>
      <c r="R376" s="2" t="inlineStr"/>
    </row>
    <row r="377" ht="15" customHeight="1">
      <c r="A377" t="inlineStr">
        <is>
          <t>A 41802-2021</t>
        </is>
      </c>
      <c r="B377" s="1" t="n">
        <v>44425</v>
      </c>
      <c r="C377" s="1" t="n">
        <v>45645</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42469-2021</t>
        </is>
      </c>
      <c r="B378" s="1" t="n">
        <v>44427</v>
      </c>
      <c r="C378" s="1" t="n">
        <v>45645</v>
      </c>
      <c r="D378" t="inlineStr">
        <is>
          <t>JÄMTLANDS LÄN</t>
        </is>
      </c>
      <c r="E378" t="inlineStr">
        <is>
          <t>ÖSTERSUND</t>
        </is>
      </c>
      <c r="G378" t="n">
        <v>1.5</v>
      </c>
      <c r="H378" t="n">
        <v>0</v>
      </c>
      <c r="I378" t="n">
        <v>0</v>
      </c>
      <c r="J378" t="n">
        <v>0</v>
      </c>
      <c r="K378" t="n">
        <v>0</v>
      </c>
      <c r="L378" t="n">
        <v>0</v>
      </c>
      <c r="M378" t="n">
        <v>0</v>
      </c>
      <c r="N378" t="n">
        <v>0</v>
      </c>
      <c r="O378" t="n">
        <v>0</v>
      </c>
      <c r="P378" t="n">
        <v>0</v>
      </c>
      <c r="Q378" t="n">
        <v>0</v>
      </c>
      <c r="R378" s="2" t="inlineStr"/>
    </row>
    <row r="379" ht="15" customHeight="1">
      <c r="A379" t="inlineStr">
        <is>
          <t>A 42793-2021</t>
        </is>
      </c>
      <c r="B379" s="1" t="n">
        <v>44428</v>
      </c>
      <c r="C379" s="1" t="n">
        <v>45645</v>
      </c>
      <c r="D379" t="inlineStr">
        <is>
          <t>JÄMTLANDS LÄN</t>
        </is>
      </c>
      <c r="E379" t="inlineStr">
        <is>
          <t>ÖSTERSUND</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42832-2021</t>
        </is>
      </c>
      <c r="B380" s="1" t="n">
        <v>44430</v>
      </c>
      <c r="C380" s="1" t="n">
        <v>45645</v>
      </c>
      <c r="D380" t="inlineStr">
        <is>
          <t>JÄMTLANDS LÄN</t>
        </is>
      </c>
      <c r="E380" t="inlineStr">
        <is>
          <t>ÖSTERSUND</t>
        </is>
      </c>
      <c r="G380" t="n">
        <v>9</v>
      </c>
      <c r="H380" t="n">
        <v>0</v>
      </c>
      <c r="I380" t="n">
        <v>0</v>
      </c>
      <c r="J380" t="n">
        <v>0</v>
      </c>
      <c r="K380" t="n">
        <v>0</v>
      </c>
      <c r="L380" t="n">
        <v>0</v>
      </c>
      <c r="M380" t="n">
        <v>0</v>
      </c>
      <c r="N380" t="n">
        <v>0</v>
      </c>
      <c r="O380" t="n">
        <v>0</v>
      </c>
      <c r="P380" t="n">
        <v>0</v>
      </c>
      <c r="Q380" t="n">
        <v>0</v>
      </c>
      <c r="R380" s="2" t="inlineStr"/>
    </row>
    <row r="381" ht="15" customHeight="1">
      <c r="A381" t="inlineStr">
        <is>
          <t>A 43310-2021</t>
        </is>
      </c>
      <c r="B381" s="1" t="n">
        <v>44432</v>
      </c>
      <c r="C381" s="1" t="n">
        <v>45645</v>
      </c>
      <c r="D381" t="inlineStr">
        <is>
          <t>JÄMTLANDS LÄN</t>
        </is>
      </c>
      <c r="E381" t="inlineStr">
        <is>
          <t>ÖSTERSUND</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44013-2021</t>
        </is>
      </c>
      <c r="B382" s="1" t="n">
        <v>44434</v>
      </c>
      <c r="C382" s="1" t="n">
        <v>45645</v>
      </c>
      <c r="D382" t="inlineStr">
        <is>
          <t>JÄMTLANDS LÄN</t>
        </is>
      </c>
      <c r="E382" t="inlineStr">
        <is>
          <t>ÖSTERSUND</t>
        </is>
      </c>
      <c r="G382" t="n">
        <v>1.9</v>
      </c>
      <c r="H382" t="n">
        <v>0</v>
      </c>
      <c r="I382" t="n">
        <v>0</v>
      </c>
      <c r="J382" t="n">
        <v>0</v>
      </c>
      <c r="K382" t="n">
        <v>0</v>
      </c>
      <c r="L382" t="n">
        <v>0</v>
      </c>
      <c r="M382" t="n">
        <v>0</v>
      </c>
      <c r="N382" t="n">
        <v>0</v>
      </c>
      <c r="O382" t="n">
        <v>0</v>
      </c>
      <c r="P382" t="n">
        <v>0</v>
      </c>
      <c r="Q382" t="n">
        <v>0</v>
      </c>
      <c r="R382" s="2" t="inlineStr"/>
    </row>
    <row r="383" ht="15" customHeight="1">
      <c r="A383" t="inlineStr">
        <is>
          <t>A 44051-2021</t>
        </is>
      </c>
      <c r="B383" s="1" t="n">
        <v>44434</v>
      </c>
      <c r="C383" s="1" t="n">
        <v>45645</v>
      </c>
      <c r="D383" t="inlineStr">
        <is>
          <t>JÄMTLANDS LÄN</t>
        </is>
      </c>
      <c r="E383" t="inlineStr">
        <is>
          <t>ÖSTERSUND</t>
        </is>
      </c>
      <c r="G383" t="n">
        <v>2.9</v>
      </c>
      <c r="H383" t="n">
        <v>0</v>
      </c>
      <c r="I383" t="n">
        <v>0</v>
      </c>
      <c r="J383" t="n">
        <v>0</v>
      </c>
      <c r="K383" t="n">
        <v>0</v>
      </c>
      <c r="L383" t="n">
        <v>0</v>
      </c>
      <c r="M383" t="n">
        <v>0</v>
      </c>
      <c r="N383" t="n">
        <v>0</v>
      </c>
      <c r="O383" t="n">
        <v>0</v>
      </c>
      <c r="P383" t="n">
        <v>0</v>
      </c>
      <c r="Q383" t="n">
        <v>0</v>
      </c>
      <c r="R383" s="2" t="inlineStr"/>
    </row>
    <row r="384" ht="15" customHeight="1">
      <c r="A384" t="inlineStr">
        <is>
          <t>A 44267-2021</t>
        </is>
      </c>
      <c r="B384" s="1" t="n">
        <v>44434</v>
      </c>
      <c r="C384" s="1" t="n">
        <v>45645</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46002-2021</t>
        </is>
      </c>
      <c r="B385" s="1" t="n">
        <v>44441</v>
      </c>
      <c r="C385" s="1" t="n">
        <v>45645</v>
      </c>
      <c r="D385" t="inlineStr">
        <is>
          <t>JÄMTLANDS LÄN</t>
        </is>
      </c>
      <c r="E385" t="inlineStr">
        <is>
          <t>ÖSTERSUND</t>
        </is>
      </c>
      <c r="G385" t="n">
        <v>3.6</v>
      </c>
      <c r="H385" t="n">
        <v>0</v>
      </c>
      <c r="I385" t="n">
        <v>0</v>
      </c>
      <c r="J385" t="n">
        <v>0</v>
      </c>
      <c r="K385" t="n">
        <v>0</v>
      </c>
      <c r="L385" t="n">
        <v>0</v>
      </c>
      <c r="M385" t="n">
        <v>0</v>
      </c>
      <c r="N385" t="n">
        <v>0</v>
      </c>
      <c r="O385" t="n">
        <v>0</v>
      </c>
      <c r="P385" t="n">
        <v>0</v>
      </c>
      <c r="Q385" t="n">
        <v>0</v>
      </c>
      <c r="R385" s="2" t="inlineStr"/>
    </row>
    <row r="386" ht="15" customHeight="1">
      <c r="A386" t="inlineStr">
        <is>
          <t>A 46004-2021</t>
        </is>
      </c>
      <c r="B386" s="1" t="n">
        <v>44441</v>
      </c>
      <c r="C386" s="1" t="n">
        <v>45645</v>
      </c>
      <c r="D386" t="inlineStr">
        <is>
          <t>JÄMTLANDS LÄN</t>
        </is>
      </c>
      <c r="E386" t="inlineStr">
        <is>
          <t>ÖSTERSUND</t>
        </is>
      </c>
      <c r="G386" t="n">
        <v>2.1</v>
      </c>
      <c r="H386" t="n">
        <v>0</v>
      </c>
      <c r="I386" t="n">
        <v>0</v>
      </c>
      <c r="J386" t="n">
        <v>0</v>
      </c>
      <c r="K386" t="n">
        <v>0</v>
      </c>
      <c r="L386" t="n">
        <v>0</v>
      </c>
      <c r="M386" t="n">
        <v>0</v>
      </c>
      <c r="N386" t="n">
        <v>0</v>
      </c>
      <c r="O386" t="n">
        <v>0</v>
      </c>
      <c r="P386" t="n">
        <v>0</v>
      </c>
      <c r="Q386" t="n">
        <v>0</v>
      </c>
      <c r="R386" s="2" t="inlineStr"/>
    </row>
    <row r="387" ht="15" customHeight="1">
      <c r="A387" t="inlineStr">
        <is>
          <t>A 46111-2021</t>
        </is>
      </c>
      <c r="B387" s="1" t="n">
        <v>44441</v>
      </c>
      <c r="C387" s="1" t="n">
        <v>45645</v>
      </c>
      <c r="D387" t="inlineStr">
        <is>
          <t>JÄMTLANDS LÄN</t>
        </is>
      </c>
      <c r="E387" t="inlineStr">
        <is>
          <t>ÖSTERSUND</t>
        </is>
      </c>
      <c r="G387" t="n">
        <v>4.6</v>
      </c>
      <c r="H387" t="n">
        <v>0</v>
      </c>
      <c r="I387" t="n">
        <v>0</v>
      </c>
      <c r="J387" t="n">
        <v>0</v>
      </c>
      <c r="K387" t="n">
        <v>0</v>
      </c>
      <c r="L387" t="n">
        <v>0</v>
      </c>
      <c r="M387" t="n">
        <v>0</v>
      </c>
      <c r="N387" t="n">
        <v>0</v>
      </c>
      <c r="O387" t="n">
        <v>0</v>
      </c>
      <c r="P387" t="n">
        <v>0</v>
      </c>
      <c r="Q387" t="n">
        <v>0</v>
      </c>
      <c r="R387" s="2" t="inlineStr"/>
    </row>
    <row r="388" ht="15" customHeight="1">
      <c r="A388" t="inlineStr">
        <is>
          <t>A 46139-2021</t>
        </is>
      </c>
      <c r="B388" s="1" t="n">
        <v>44441</v>
      </c>
      <c r="C388" s="1" t="n">
        <v>45645</v>
      </c>
      <c r="D388" t="inlineStr">
        <is>
          <t>JÄMTLANDS LÄN</t>
        </is>
      </c>
      <c r="E388" t="inlineStr">
        <is>
          <t>ÖSTERSUND</t>
        </is>
      </c>
      <c r="G388" t="n">
        <v>12.8</v>
      </c>
      <c r="H388" t="n">
        <v>0</v>
      </c>
      <c r="I388" t="n">
        <v>0</v>
      </c>
      <c r="J388" t="n">
        <v>0</v>
      </c>
      <c r="K388" t="n">
        <v>0</v>
      </c>
      <c r="L388" t="n">
        <v>0</v>
      </c>
      <c r="M388" t="n">
        <v>0</v>
      </c>
      <c r="N388" t="n">
        <v>0</v>
      </c>
      <c r="O388" t="n">
        <v>0</v>
      </c>
      <c r="P388" t="n">
        <v>0</v>
      </c>
      <c r="Q388" t="n">
        <v>0</v>
      </c>
      <c r="R388" s="2" t="inlineStr"/>
    </row>
    <row r="389" ht="15" customHeight="1">
      <c r="A389" t="inlineStr">
        <is>
          <t>A 48947-2021</t>
        </is>
      </c>
      <c r="B389" s="1" t="n">
        <v>44453</v>
      </c>
      <c r="C389" s="1" t="n">
        <v>45645</v>
      </c>
      <c r="D389" t="inlineStr">
        <is>
          <t>JÄMTLANDS LÄN</t>
        </is>
      </c>
      <c r="E389" t="inlineStr">
        <is>
          <t>ÖSTERSUND</t>
        </is>
      </c>
      <c r="G389" t="n">
        <v>22.3</v>
      </c>
      <c r="H389" t="n">
        <v>0</v>
      </c>
      <c r="I389" t="n">
        <v>0</v>
      </c>
      <c r="J389" t="n">
        <v>0</v>
      </c>
      <c r="K389" t="n">
        <v>0</v>
      </c>
      <c r="L389" t="n">
        <v>0</v>
      </c>
      <c r="M389" t="n">
        <v>0</v>
      </c>
      <c r="N389" t="n">
        <v>0</v>
      </c>
      <c r="O389" t="n">
        <v>0</v>
      </c>
      <c r="P389" t="n">
        <v>0</v>
      </c>
      <c r="Q389" t="n">
        <v>0</v>
      </c>
      <c r="R389" s="2" t="inlineStr"/>
    </row>
    <row r="390" ht="15" customHeight="1">
      <c r="A390" t="inlineStr">
        <is>
          <t>A 52913-2021</t>
        </is>
      </c>
      <c r="B390" s="1" t="n">
        <v>44466</v>
      </c>
      <c r="C390" s="1" t="n">
        <v>45645</v>
      </c>
      <c r="D390" t="inlineStr">
        <is>
          <t>JÄMTLANDS LÄN</t>
        </is>
      </c>
      <c r="E390" t="inlineStr">
        <is>
          <t>ÖSTERSUND</t>
        </is>
      </c>
      <c r="G390" t="n">
        <v>4.2</v>
      </c>
      <c r="H390" t="n">
        <v>0</v>
      </c>
      <c r="I390" t="n">
        <v>0</v>
      </c>
      <c r="J390" t="n">
        <v>0</v>
      </c>
      <c r="K390" t="n">
        <v>0</v>
      </c>
      <c r="L390" t="n">
        <v>0</v>
      </c>
      <c r="M390" t="n">
        <v>0</v>
      </c>
      <c r="N390" t="n">
        <v>0</v>
      </c>
      <c r="O390" t="n">
        <v>0</v>
      </c>
      <c r="P390" t="n">
        <v>0</v>
      </c>
      <c r="Q390" t="n">
        <v>0</v>
      </c>
      <c r="R390" s="2" t="inlineStr"/>
    </row>
    <row r="391" ht="15" customHeight="1">
      <c r="A391" t="inlineStr">
        <is>
          <t>A 55302-2021</t>
        </is>
      </c>
      <c r="B391" s="1" t="n">
        <v>44475</v>
      </c>
      <c r="C391" s="1" t="n">
        <v>45645</v>
      </c>
      <c r="D391" t="inlineStr">
        <is>
          <t>JÄMTLANDS LÄN</t>
        </is>
      </c>
      <c r="E391" t="inlineStr">
        <is>
          <t>ÖSTERSUND</t>
        </is>
      </c>
      <c r="G391" t="n">
        <v>0.3</v>
      </c>
      <c r="H391" t="n">
        <v>0</v>
      </c>
      <c r="I391" t="n">
        <v>0</v>
      </c>
      <c r="J391" t="n">
        <v>0</v>
      </c>
      <c r="K391" t="n">
        <v>0</v>
      </c>
      <c r="L391" t="n">
        <v>0</v>
      </c>
      <c r="M391" t="n">
        <v>0</v>
      </c>
      <c r="N391" t="n">
        <v>0</v>
      </c>
      <c r="O391" t="n">
        <v>0</v>
      </c>
      <c r="P391" t="n">
        <v>0</v>
      </c>
      <c r="Q391" t="n">
        <v>0</v>
      </c>
      <c r="R391" s="2" t="inlineStr"/>
    </row>
    <row r="392" ht="15" customHeight="1">
      <c r="A392" t="inlineStr">
        <is>
          <t>A 61631-2021</t>
        </is>
      </c>
      <c r="B392" s="1" t="n">
        <v>44501</v>
      </c>
      <c r="C392" s="1" t="n">
        <v>45645</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64092-2021</t>
        </is>
      </c>
      <c r="B393" s="1" t="n">
        <v>44510</v>
      </c>
      <c r="C393" s="1" t="n">
        <v>45645</v>
      </c>
      <c r="D393" t="inlineStr">
        <is>
          <t>JÄMTLANDS LÄN</t>
        </is>
      </c>
      <c r="E393" t="inlineStr">
        <is>
          <t>ÖSTERSUND</t>
        </is>
      </c>
      <c r="G393" t="n">
        <v>5.6</v>
      </c>
      <c r="H393" t="n">
        <v>0</v>
      </c>
      <c r="I393" t="n">
        <v>0</v>
      </c>
      <c r="J393" t="n">
        <v>0</v>
      </c>
      <c r="K393" t="n">
        <v>0</v>
      </c>
      <c r="L393" t="n">
        <v>0</v>
      </c>
      <c r="M393" t="n">
        <v>0</v>
      </c>
      <c r="N393" t="n">
        <v>0</v>
      </c>
      <c r="O393" t="n">
        <v>0</v>
      </c>
      <c r="P393" t="n">
        <v>0</v>
      </c>
      <c r="Q393" t="n">
        <v>0</v>
      </c>
      <c r="R393" s="2" t="inlineStr"/>
    </row>
    <row r="394" ht="15" customHeight="1">
      <c r="A394" t="inlineStr">
        <is>
          <t>A 64645-2021</t>
        </is>
      </c>
      <c r="B394" s="1" t="n">
        <v>44511</v>
      </c>
      <c r="C394" s="1" t="n">
        <v>45645</v>
      </c>
      <c r="D394" t="inlineStr">
        <is>
          <t>JÄMTLANDS LÄN</t>
        </is>
      </c>
      <c r="E394" t="inlineStr">
        <is>
          <t>ÖSTERSUND</t>
        </is>
      </c>
      <c r="G394" t="n">
        <v>3.2</v>
      </c>
      <c r="H394" t="n">
        <v>0</v>
      </c>
      <c r="I394" t="n">
        <v>0</v>
      </c>
      <c r="J394" t="n">
        <v>0</v>
      </c>
      <c r="K394" t="n">
        <v>0</v>
      </c>
      <c r="L394" t="n">
        <v>0</v>
      </c>
      <c r="M394" t="n">
        <v>0</v>
      </c>
      <c r="N394" t="n">
        <v>0</v>
      </c>
      <c r="O394" t="n">
        <v>0</v>
      </c>
      <c r="P394" t="n">
        <v>0</v>
      </c>
      <c r="Q394" t="n">
        <v>0</v>
      </c>
      <c r="R394" s="2" t="inlineStr"/>
    </row>
    <row r="395" ht="15" customHeight="1">
      <c r="A395" t="inlineStr">
        <is>
          <t>A 65428-2021</t>
        </is>
      </c>
      <c r="B395" s="1" t="n">
        <v>44515</v>
      </c>
      <c r="C395" s="1" t="n">
        <v>45645</v>
      </c>
      <c r="D395" t="inlineStr">
        <is>
          <t>JÄMTLANDS LÄN</t>
        </is>
      </c>
      <c r="E395" t="inlineStr">
        <is>
          <t>ÖSTERSUND</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65866-2021</t>
        </is>
      </c>
      <c r="B396" s="1" t="n">
        <v>44516</v>
      </c>
      <c r="C396" s="1" t="n">
        <v>45645</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65991-2021</t>
        </is>
      </c>
      <c r="B397" s="1" t="n">
        <v>44517</v>
      </c>
      <c r="C397" s="1" t="n">
        <v>45645</v>
      </c>
      <c r="D397" t="inlineStr">
        <is>
          <t>JÄMTLANDS LÄN</t>
        </is>
      </c>
      <c r="E397" t="inlineStr">
        <is>
          <t>ÖSTERSUND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66940-2021</t>
        </is>
      </c>
      <c r="B398" s="1" t="n">
        <v>44522</v>
      </c>
      <c r="C398" s="1" t="n">
        <v>45645</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67695-2021</t>
        </is>
      </c>
      <c r="B399" s="1" t="n">
        <v>44524</v>
      </c>
      <c r="C399" s="1" t="n">
        <v>45645</v>
      </c>
      <c r="D399" t="inlineStr">
        <is>
          <t>JÄMTLANDS LÄN</t>
        </is>
      </c>
      <c r="E399" t="inlineStr">
        <is>
          <t>ÖSTERSUND</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67694-2021</t>
        </is>
      </c>
      <c r="B400" s="1" t="n">
        <v>44524</v>
      </c>
      <c r="C400" s="1" t="n">
        <v>45645</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69190-2021</t>
        </is>
      </c>
      <c r="B401" s="1" t="n">
        <v>44529</v>
      </c>
      <c r="C401" s="1" t="n">
        <v>45645</v>
      </c>
      <c r="D401" t="inlineStr">
        <is>
          <t>JÄMTLANDS LÄN</t>
        </is>
      </c>
      <c r="E401" t="inlineStr">
        <is>
          <t>ÖSTERSUND</t>
        </is>
      </c>
      <c r="G401" t="n">
        <v>4.2</v>
      </c>
      <c r="H401" t="n">
        <v>0</v>
      </c>
      <c r="I401" t="n">
        <v>0</v>
      </c>
      <c r="J401" t="n">
        <v>0</v>
      </c>
      <c r="K401" t="n">
        <v>0</v>
      </c>
      <c r="L401" t="n">
        <v>0</v>
      </c>
      <c r="M401" t="n">
        <v>0</v>
      </c>
      <c r="N401" t="n">
        <v>0</v>
      </c>
      <c r="O401" t="n">
        <v>0</v>
      </c>
      <c r="P401" t="n">
        <v>0</v>
      </c>
      <c r="Q401" t="n">
        <v>0</v>
      </c>
      <c r="R401" s="2" t="inlineStr"/>
    </row>
    <row r="402" ht="15" customHeight="1">
      <c r="A402" t="inlineStr">
        <is>
          <t>A 70256-2021</t>
        </is>
      </c>
      <c r="B402" s="1" t="n">
        <v>44533</v>
      </c>
      <c r="C402" s="1" t="n">
        <v>45645</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70678-2021</t>
        </is>
      </c>
      <c r="B403" s="1" t="n">
        <v>44537</v>
      </c>
      <c r="C403" s="1" t="n">
        <v>45645</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70816-2021</t>
        </is>
      </c>
      <c r="B404" s="1" t="n">
        <v>44537</v>
      </c>
      <c r="C404" s="1" t="n">
        <v>45645</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71823-2021</t>
        </is>
      </c>
      <c r="B405" s="1" t="n">
        <v>44539</v>
      </c>
      <c r="C405" s="1" t="n">
        <v>45645</v>
      </c>
      <c r="D405" t="inlineStr">
        <is>
          <t>JÄMTLANDS LÄN</t>
        </is>
      </c>
      <c r="E405" t="inlineStr">
        <is>
          <t>ÖSTERSUND</t>
        </is>
      </c>
      <c r="G405" t="n">
        <v>10.5</v>
      </c>
      <c r="H405" t="n">
        <v>0</v>
      </c>
      <c r="I405" t="n">
        <v>0</v>
      </c>
      <c r="J405" t="n">
        <v>0</v>
      </c>
      <c r="K405" t="n">
        <v>0</v>
      </c>
      <c r="L405" t="n">
        <v>0</v>
      </c>
      <c r="M405" t="n">
        <v>0</v>
      </c>
      <c r="N405" t="n">
        <v>0</v>
      </c>
      <c r="O405" t="n">
        <v>0</v>
      </c>
      <c r="P405" t="n">
        <v>0</v>
      </c>
      <c r="Q405" t="n">
        <v>0</v>
      </c>
      <c r="R405" s="2" t="inlineStr"/>
    </row>
    <row r="406" ht="15" customHeight="1">
      <c r="A406" t="inlineStr">
        <is>
          <t>A 72089-2021</t>
        </is>
      </c>
      <c r="B406" s="1" t="n">
        <v>44540</v>
      </c>
      <c r="C406" s="1" t="n">
        <v>45645</v>
      </c>
      <c r="D406" t="inlineStr">
        <is>
          <t>JÄMTLANDS LÄN</t>
        </is>
      </c>
      <c r="E406" t="inlineStr">
        <is>
          <t>ÖSTERSUND</t>
        </is>
      </c>
      <c r="G406" t="n">
        <v>0.9</v>
      </c>
      <c r="H406" t="n">
        <v>0</v>
      </c>
      <c r="I406" t="n">
        <v>0</v>
      </c>
      <c r="J406" t="n">
        <v>0</v>
      </c>
      <c r="K406" t="n">
        <v>0</v>
      </c>
      <c r="L406" t="n">
        <v>0</v>
      </c>
      <c r="M406" t="n">
        <v>0</v>
      </c>
      <c r="N406" t="n">
        <v>0</v>
      </c>
      <c r="O406" t="n">
        <v>0</v>
      </c>
      <c r="P406" t="n">
        <v>0</v>
      </c>
      <c r="Q406" t="n">
        <v>0</v>
      </c>
      <c r="R406" s="2" t="inlineStr"/>
    </row>
    <row r="407" ht="15" customHeight="1">
      <c r="A407" t="inlineStr">
        <is>
          <t>A 72041-2021</t>
        </is>
      </c>
      <c r="B407" s="1" t="n">
        <v>44540</v>
      </c>
      <c r="C407" s="1" t="n">
        <v>45645</v>
      </c>
      <c r="D407" t="inlineStr">
        <is>
          <t>JÄMTLANDS LÄN</t>
        </is>
      </c>
      <c r="E407" t="inlineStr">
        <is>
          <t>ÖSTERSUND</t>
        </is>
      </c>
      <c r="G407" t="n">
        <v>0.4</v>
      </c>
      <c r="H407" t="n">
        <v>0</v>
      </c>
      <c r="I407" t="n">
        <v>0</v>
      </c>
      <c r="J407" t="n">
        <v>0</v>
      </c>
      <c r="K407" t="n">
        <v>0</v>
      </c>
      <c r="L407" t="n">
        <v>0</v>
      </c>
      <c r="M407" t="n">
        <v>0</v>
      </c>
      <c r="N407" t="n">
        <v>0</v>
      </c>
      <c r="O407" t="n">
        <v>0</v>
      </c>
      <c r="P407" t="n">
        <v>0</v>
      </c>
      <c r="Q407" t="n">
        <v>0</v>
      </c>
      <c r="R407" s="2" t="inlineStr"/>
    </row>
    <row r="408" ht="15" customHeight="1">
      <c r="A408" t="inlineStr">
        <is>
          <t>A 72258-2021</t>
        </is>
      </c>
      <c r="B408" s="1" t="n">
        <v>44540</v>
      </c>
      <c r="C408" s="1" t="n">
        <v>45645</v>
      </c>
      <c r="D408" t="inlineStr">
        <is>
          <t>JÄMTLANDS LÄN</t>
        </is>
      </c>
      <c r="E408" t="inlineStr">
        <is>
          <t>ÖSTERSUND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72061-2021</t>
        </is>
      </c>
      <c r="B409" s="1" t="n">
        <v>44540</v>
      </c>
      <c r="C409" s="1" t="n">
        <v>45645</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71956-2021</t>
        </is>
      </c>
      <c r="B410" s="1" t="n">
        <v>44544</v>
      </c>
      <c r="C410" s="1" t="n">
        <v>45645</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72938-2021</t>
        </is>
      </c>
      <c r="B411" s="1" t="n">
        <v>44547</v>
      </c>
      <c r="C411" s="1" t="n">
        <v>45645</v>
      </c>
      <c r="D411" t="inlineStr">
        <is>
          <t>JÄMTLANDS LÄN</t>
        </is>
      </c>
      <c r="E411" t="inlineStr">
        <is>
          <t>ÖSTERSUND</t>
        </is>
      </c>
      <c r="G411" t="n">
        <v>4.5</v>
      </c>
      <c r="H411" t="n">
        <v>0</v>
      </c>
      <c r="I411" t="n">
        <v>0</v>
      </c>
      <c r="J411" t="n">
        <v>0</v>
      </c>
      <c r="K411" t="n">
        <v>0</v>
      </c>
      <c r="L411" t="n">
        <v>0</v>
      </c>
      <c r="M411" t="n">
        <v>0</v>
      </c>
      <c r="N411" t="n">
        <v>0</v>
      </c>
      <c r="O411" t="n">
        <v>0</v>
      </c>
      <c r="P411" t="n">
        <v>0</v>
      </c>
      <c r="Q411" t="n">
        <v>0</v>
      </c>
      <c r="R411" s="2" t="inlineStr"/>
    </row>
    <row r="412" ht="15" customHeight="1">
      <c r="A412" t="inlineStr">
        <is>
          <t>A 73078-2021</t>
        </is>
      </c>
      <c r="B412" s="1" t="n">
        <v>44550</v>
      </c>
      <c r="C412" s="1" t="n">
        <v>45645</v>
      </c>
      <c r="D412" t="inlineStr">
        <is>
          <t>JÄMTLANDS LÄN</t>
        </is>
      </c>
      <c r="E412" t="inlineStr">
        <is>
          <t>ÖSTERSUND</t>
        </is>
      </c>
      <c r="G412" t="n">
        <v>1.2</v>
      </c>
      <c r="H412" t="n">
        <v>0</v>
      </c>
      <c r="I412" t="n">
        <v>0</v>
      </c>
      <c r="J412" t="n">
        <v>0</v>
      </c>
      <c r="K412" t="n">
        <v>0</v>
      </c>
      <c r="L412" t="n">
        <v>0</v>
      </c>
      <c r="M412" t="n">
        <v>0</v>
      </c>
      <c r="N412" t="n">
        <v>0</v>
      </c>
      <c r="O412" t="n">
        <v>0</v>
      </c>
      <c r="P412" t="n">
        <v>0</v>
      </c>
      <c r="Q412" t="n">
        <v>0</v>
      </c>
      <c r="R412" s="2" t="inlineStr"/>
    </row>
    <row r="413" ht="15" customHeight="1">
      <c r="A413" t="inlineStr">
        <is>
          <t>A 73066-2021</t>
        </is>
      </c>
      <c r="B413" s="1" t="n">
        <v>44550</v>
      </c>
      <c r="C413" s="1" t="n">
        <v>45645</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73875-2021</t>
        </is>
      </c>
      <c r="B414" s="1" t="n">
        <v>44553</v>
      </c>
      <c r="C414" s="1" t="n">
        <v>45645</v>
      </c>
      <c r="D414" t="inlineStr">
        <is>
          <t>JÄMTLANDS LÄN</t>
        </is>
      </c>
      <c r="E414" t="inlineStr">
        <is>
          <t>ÖSTERSUND</t>
        </is>
      </c>
      <c r="G414" t="n">
        <v>1.3</v>
      </c>
      <c r="H414" t="n">
        <v>0</v>
      </c>
      <c r="I414" t="n">
        <v>0</v>
      </c>
      <c r="J414" t="n">
        <v>0</v>
      </c>
      <c r="K414" t="n">
        <v>0</v>
      </c>
      <c r="L414" t="n">
        <v>0</v>
      </c>
      <c r="M414" t="n">
        <v>0</v>
      </c>
      <c r="N414" t="n">
        <v>0</v>
      </c>
      <c r="O414" t="n">
        <v>0</v>
      </c>
      <c r="P414" t="n">
        <v>0</v>
      </c>
      <c r="Q414" t="n">
        <v>0</v>
      </c>
      <c r="R414" s="2" t="inlineStr"/>
    </row>
    <row r="415" ht="15" customHeight="1">
      <c r="A415" t="inlineStr">
        <is>
          <t>A 73870-2021</t>
        </is>
      </c>
      <c r="B415" s="1" t="n">
        <v>44553</v>
      </c>
      <c r="C415" s="1" t="n">
        <v>45645</v>
      </c>
      <c r="D415" t="inlineStr">
        <is>
          <t>JÄMTLANDS LÄN</t>
        </is>
      </c>
      <c r="E415" t="inlineStr">
        <is>
          <t>ÖSTERSUND</t>
        </is>
      </c>
      <c r="G415" t="n">
        <v>5.3</v>
      </c>
      <c r="H415" t="n">
        <v>0</v>
      </c>
      <c r="I415" t="n">
        <v>0</v>
      </c>
      <c r="J415" t="n">
        <v>0</v>
      </c>
      <c r="K415" t="n">
        <v>0</v>
      </c>
      <c r="L415" t="n">
        <v>0</v>
      </c>
      <c r="M415" t="n">
        <v>0</v>
      </c>
      <c r="N415" t="n">
        <v>0</v>
      </c>
      <c r="O415" t="n">
        <v>0</v>
      </c>
      <c r="P415" t="n">
        <v>0</v>
      </c>
      <c r="Q415" t="n">
        <v>0</v>
      </c>
      <c r="R415" s="2" t="inlineStr"/>
    </row>
    <row r="416" ht="15" customHeight="1">
      <c r="A416" t="inlineStr">
        <is>
          <t>A 154-2022</t>
        </is>
      </c>
      <c r="B416" s="1" t="n">
        <v>44561</v>
      </c>
      <c r="C416" s="1" t="n">
        <v>45645</v>
      </c>
      <c r="D416" t="inlineStr">
        <is>
          <t>JÄMTLANDS LÄN</t>
        </is>
      </c>
      <c r="E416" t="inlineStr">
        <is>
          <t>ÖSTERSUND</t>
        </is>
      </c>
      <c r="G416" t="n">
        <v>4.2</v>
      </c>
      <c r="H416" t="n">
        <v>0</v>
      </c>
      <c r="I416" t="n">
        <v>0</v>
      </c>
      <c r="J416" t="n">
        <v>0</v>
      </c>
      <c r="K416" t="n">
        <v>0</v>
      </c>
      <c r="L416" t="n">
        <v>0</v>
      </c>
      <c r="M416" t="n">
        <v>0</v>
      </c>
      <c r="N416" t="n">
        <v>0</v>
      </c>
      <c r="O416" t="n">
        <v>0</v>
      </c>
      <c r="P416" t="n">
        <v>0</v>
      </c>
      <c r="Q416" t="n">
        <v>0</v>
      </c>
      <c r="R416" s="2" t="inlineStr"/>
    </row>
    <row r="417" ht="15" customHeight="1">
      <c r="A417" t="inlineStr">
        <is>
          <t>A 231-2022</t>
        </is>
      </c>
      <c r="B417" s="1" t="n">
        <v>44564</v>
      </c>
      <c r="C417" s="1" t="n">
        <v>45645</v>
      </c>
      <c r="D417" t="inlineStr">
        <is>
          <t>JÄMTLANDS LÄN</t>
        </is>
      </c>
      <c r="E417" t="inlineStr">
        <is>
          <t>ÖSTERSUND</t>
        </is>
      </c>
      <c r="G417" t="n">
        <v>1.9</v>
      </c>
      <c r="H417" t="n">
        <v>0</v>
      </c>
      <c r="I417" t="n">
        <v>0</v>
      </c>
      <c r="J417" t="n">
        <v>0</v>
      </c>
      <c r="K417" t="n">
        <v>0</v>
      </c>
      <c r="L417" t="n">
        <v>0</v>
      </c>
      <c r="M417" t="n">
        <v>0</v>
      </c>
      <c r="N417" t="n">
        <v>0</v>
      </c>
      <c r="O417" t="n">
        <v>0</v>
      </c>
      <c r="P417" t="n">
        <v>0</v>
      </c>
      <c r="Q417" t="n">
        <v>0</v>
      </c>
      <c r="R417" s="2" t="inlineStr"/>
    </row>
    <row r="418" ht="15" customHeight="1">
      <c r="A418" t="inlineStr">
        <is>
          <t>A 681-2022</t>
        </is>
      </c>
      <c r="B418" s="1" t="n">
        <v>44566</v>
      </c>
      <c r="C418" s="1" t="n">
        <v>45645</v>
      </c>
      <c r="D418" t="inlineStr">
        <is>
          <t>JÄMTLANDS LÄN</t>
        </is>
      </c>
      <c r="E418" t="inlineStr">
        <is>
          <t>ÖSTERSUND</t>
        </is>
      </c>
      <c r="G418" t="n">
        <v>2.3</v>
      </c>
      <c r="H418" t="n">
        <v>0</v>
      </c>
      <c r="I418" t="n">
        <v>0</v>
      </c>
      <c r="J418" t="n">
        <v>0</v>
      </c>
      <c r="K418" t="n">
        <v>0</v>
      </c>
      <c r="L418" t="n">
        <v>0</v>
      </c>
      <c r="M418" t="n">
        <v>0</v>
      </c>
      <c r="N418" t="n">
        <v>0</v>
      </c>
      <c r="O418" t="n">
        <v>0</v>
      </c>
      <c r="P418" t="n">
        <v>0</v>
      </c>
      <c r="Q418" t="n">
        <v>0</v>
      </c>
      <c r="R418" s="2" t="inlineStr"/>
    </row>
    <row r="419" ht="15" customHeight="1">
      <c r="A419" t="inlineStr">
        <is>
          <t>A 695-2022</t>
        </is>
      </c>
      <c r="B419" s="1" t="n">
        <v>44566</v>
      </c>
      <c r="C419" s="1" t="n">
        <v>45645</v>
      </c>
      <c r="D419" t="inlineStr">
        <is>
          <t>JÄMTLANDS LÄN</t>
        </is>
      </c>
      <c r="E419" t="inlineStr">
        <is>
          <t>ÖSTERSUND</t>
        </is>
      </c>
      <c r="G419" t="n">
        <v>14.9</v>
      </c>
      <c r="H419" t="n">
        <v>0</v>
      </c>
      <c r="I419" t="n">
        <v>0</v>
      </c>
      <c r="J419" t="n">
        <v>0</v>
      </c>
      <c r="K419" t="n">
        <v>0</v>
      </c>
      <c r="L419" t="n">
        <v>0</v>
      </c>
      <c r="M419" t="n">
        <v>0</v>
      </c>
      <c r="N419" t="n">
        <v>0</v>
      </c>
      <c r="O419" t="n">
        <v>0</v>
      </c>
      <c r="P419" t="n">
        <v>0</v>
      </c>
      <c r="Q419" t="n">
        <v>0</v>
      </c>
      <c r="R419" s="2" t="inlineStr"/>
    </row>
    <row r="420" ht="15" customHeight="1">
      <c r="A420" t="inlineStr">
        <is>
          <t>A 2431-2022</t>
        </is>
      </c>
      <c r="B420" s="1" t="n">
        <v>44579</v>
      </c>
      <c r="C420" s="1" t="n">
        <v>45645</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2763-2022</t>
        </is>
      </c>
      <c r="B421" s="1" t="n">
        <v>44580</v>
      </c>
      <c r="C421" s="1" t="n">
        <v>45645</v>
      </c>
      <c r="D421" t="inlineStr">
        <is>
          <t>JÄMTLANDS LÄN</t>
        </is>
      </c>
      <c r="E421" t="inlineStr">
        <is>
          <t>ÖSTERSUND</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2880-2022</t>
        </is>
      </c>
      <c r="B422" s="1" t="n">
        <v>44581</v>
      </c>
      <c r="C422" s="1" t="n">
        <v>45645</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3016-2022</t>
        </is>
      </c>
      <c r="B423" s="1" t="n">
        <v>44581</v>
      </c>
      <c r="C423" s="1" t="n">
        <v>45645</v>
      </c>
      <c r="D423" t="inlineStr">
        <is>
          <t>JÄMTLANDS LÄN</t>
        </is>
      </c>
      <c r="E423" t="inlineStr">
        <is>
          <t>ÖSTERSUND</t>
        </is>
      </c>
      <c r="G423" t="n">
        <v>3.3</v>
      </c>
      <c r="H423" t="n">
        <v>0</v>
      </c>
      <c r="I423" t="n">
        <v>0</v>
      </c>
      <c r="J423" t="n">
        <v>0</v>
      </c>
      <c r="K423" t="n">
        <v>0</v>
      </c>
      <c r="L423" t="n">
        <v>0</v>
      </c>
      <c r="M423" t="n">
        <v>0</v>
      </c>
      <c r="N423" t="n">
        <v>0</v>
      </c>
      <c r="O423" t="n">
        <v>0</v>
      </c>
      <c r="P423" t="n">
        <v>0</v>
      </c>
      <c r="Q423" t="n">
        <v>0</v>
      </c>
      <c r="R423" s="2" t="inlineStr"/>
    </row>
    <row r="424" ht="15" customHeight="1">
      <c r="A424" t="inlineStr">
        <is>
          <t>A 5145-2022</t>
        </is>
      </c>
      <c r="B424" s="1" t="n">
        <v>44594</v>
      </c>
      <c r="C424" s="1" t="n">
        <v>45645</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5670-2022</t>
        </is>
      </c>
      <c r="B425" s="1" t="n">
        <v>44595</v>
      </c>
      <c r="C425" s="1" t="n">
        <v>45645</v>
      </c>
      <c r="D425" t="inlineStr">
        <is>
          <t>JÄMTLANDS LÄN</t>
        </is>
      </c>
      <c r="E425" t="inlineStr">
        <is>
          <t>ÖSTERSUND</t>
        </is>
      </c>
      <c r="G425" t="n">
        <v>2.7</v>
      </c>
      <c r="H425" t="n">
        <v>0</v>
      </c>
      <c r="I425" t="n">
        <v>0</v>
      </c>
      <c r="J425" t="n">
        <v>0</v>
      </c>
      <c r="K425" t="n">
        <v>0</v>
      </c>
      <c r="L425" t="n">
        <v>0</v>
      </c>
      <c r="M425" t="n">
        <v>0</v>
      </c>
      <c r="N425" t="n">
        <v>0</v>
      </c>
      <c r="O425" t="n">
        <v>0</v>
      </c>
      <c r="P425" t="n">
        <v>0</v>
      </c>
      <c r="Q425" t="n">
        <v>0</v>
      </c>
      <c r="R425" s="2" t="inlineStr"/>
    </row>
    <row r="426" ht="15" customHeight="1">
      <c r="A426" t="inlineStr">
        <is>
          <t>A 6013-2022</t>
        </is>
      </c>
      <c r="B426" s="1" t="n">
        <v>44599</v>
      </c>
      <c r="C426" s="1" t="n">
        <v>45645</v>
      </c>
      <c r="D426" t="inlineStr">
        <is>
          <t>JÄMTLANDS LÄN</t>
        </is>
      </c>
      <c r="E426" t="inlineStr">
        <is>
          <t>ÖSTERSUND</t>
        </is>
      </c>
      <c r="G426" t="n">
        <v>2.5</v>
      </c>
      <c r="H426" t="n">
        <v>0</v>
      </c>
      <c r="I426" t="n">
        <v>0</v>
      </c>
      <c r="J426" t="n">
        <v>0</v>
      </c>
      <c r="K426" t="n">
        <v>0</v>
      </c>
      <c r="L426" t="n">
        <v>0</v>
      </c>
      <c r="M426" t="n">
        <v>0</v>
      </c>
      <c r="N426" t="n">
        <v>0</v>
      </c>
      <c r="O426" t="n">
        <v>0</v>
      </c>
      <c r="P426" t="n">
        <v>0</v>
      </c>
      <c r="Q426" t="n">
        <v>0</v>
      </c>
      <c r="R426" s="2" t="inlineStr"/>
    </row>
    <row r="427" ht="15" customHeight="1">
      <c r="A427" t="inlineStr">
        <is>
          <t>A 6458-2022</t>
        </is>
      </c>
      <c r="B427" s="1" t="n">
        <v>44601</v>
      </c>
      <c r="C427" s="1" t="n">
        <v>45645</v>
      </c>
      <c r="D427" t="inlineStr">
        <is>
          <t>JÄMTLANDS LÄN</t>
        </is>
      </c>
      <c r="E427" t="inlineStr">
        <is>
          <t>ÖSTERSUND</t>
        </is>
      </c>
      <c r="G427" t="n">
        <v>3.1</v>
      </c>
      <c r="H427" t="n">
        <v>0</v>
      </c>
      <c r="I427" t="n">
        <v>0</v>
      </c>
      <c r="J427" t="n">
        <v>0</v>
      </c>
      <c r="K427" t="n">
        <v>0</v>
      </c>
      <c r="L427" t="n">
        <v>0</v>
      </c>
      <c r="M427" t="n">
        <v>0</v>
      </c>
      <c r="N427" t="n">
        <v>0</v>
      </c>
      <c r="O427" t="n">
        <v>0</v>
      </c>
      <c r="P427" t="n">
        <v>0</v>
      </c>
      <c r="Q427" t="n">
        <v>0</v>
      </c>
      <c r="R427" s="2" t="inlineStr"/>
    </row>
    <row r="428" ht="15" customHeight="1">
      <c r="A428" t="inlineStr">
        <is>
          <t>A 7573-2022</t>
        </is>
      </c>
      <c r="B428" s="1" t="n">
        <v>44607</v>
      </c>
      <c r="C428" s="1" t="n">
        <v>45645</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8027-2022</t>
        </is>
      </c>
      <c r="B429" s="1" t="n">
        <v>44609</v>
      </c>
      <c r="C429" s="1" t="n">
        <v>45645</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8227-2022</t>
        </is>
      </c>
      <c r="B430" s="1" t="n">
        <v>44609</v>
      </c>
      <c r="C430" s="1" t="n">
        <v>45645</v>
      </c>
      <c r="D430" t="inlineStr">
        <is>
          <t>JÄMTLANDS LÄN</t>
        </is>
      </c>
      <c r="E430" t="inlineStr">
        <is>
          <t>ÖSTERSUND</t>
        </is>
      </c>
      <c r="G430" t="n">
        <v>6.6</v>
      </c>
      <c r="H430" t="n">
        <v>0</v>
      </c>
      <c r="I430" t="n">
        <v>0</v>
      </c>
      <c r="J430" t="n">
        <v>0</v>
      </c>
      <c r="K430" t="n">
        <v>0</v>
      </c>
      <c r="L430" t="n">
        <v>0</v>
      </c>
      <c r="M430" t="n">
        <v>0</v>
      </c>
      <c r="N430" t="n">
        <v>0</v>
      </c>
      <c r="O430" t="n">
        <v>0</v>
      </c>
      <c r="P430" t="n">
        <v>0</v>
      </c>
      <c r="Q430" t="n">
        <v>0</v>
      </c>
      <c r="R430" s="2" t="inlineStr"/>
    </row>
    <row r="431" ht="15" customHeight="1">
      <c r="A431" t="inlineStr">
        <is>
          <t>A 8647-2022</t>
        </is>
      </c>
      <c r="B431" s="1" t="n">
        <v>44613</v>
      </c>
      <c r="C431" s="1" t="n">
        <v>45645</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8972-2022</t>
        </is>
      </c>
      <c r="B432" s="1" t="n">
        <v>44614</v>
      </c>
      <c r="C432" s="1" t="n">
        <v>45645</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11740-2022</t>
        </is>
      </c>
      <c r="B433" s="1" t="n">
        <v>44634</v>
      </c>
      <c r="C433" s="1" t="n">
        <v>45645</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11933-2022</t>
        </is>
      </c>
      <c r="B434" s="1" t="n">
        <v>44635</v>
      </c>
      <c r="C434" s="1" t="n">
        <v>45645</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12301-2022</t>
        </is>
      </c>
      <c r="B435" s="1" t="n">
        <v>44637</v>
      </c>
      <c r="C435" s="1" t="n">
        <v>45645</v>
      </c>
      <c r="D435" t="inlineStr">
        <is>
          <t>JÄMTLANDS LÄN</t>
        </is>
      </c>
      <c r="E435" t="inlineStr">
        <is>
          <t>ÖSTERSUND</t>
        </is>
      </c>
      <c r="G435" t="n">
        <v>5.8</v>
      </c>
      <c r="H435" t="n">
        <v>0</v>
      </c>
      <c r="I435" t="n">
        <v>0</v>
      </c>
      <c r="J435" t="n">
        <v>0</v>
      </c>
      <c r="K435" t="n">
        <v>0</v>
      </c>
      <c r="L435" t="n">
        <v>0</v>
      </c>
      <c r="M435" t="n">
        <v>0</v>
      </c>
      <c r="N435" t="n">
        <v>0</v>
      </c>
      <c r="O435" t="n">
        <v>0</v>
      </c>
      <c r="P435" t="n">
        <v>0</v>
      </c>
      <c r="Q435" t="n">
        <v>0</v>
      </c>
      <c r="R435" s="2" t="inlineStr"/>
    </row>
    <row r="436" ht="15" customHeight="1">
      <c r="A436" t="inlineStr">
        <is>
          <t>A 12285-2022</t>
        </is>
      </c>
      <c r="B436" s="1" t="n">
        <v>44637</v>
      </c>
      <c r="C436" s="1" t="n">
        <v>45645</v>
      </c>
      <c r="D436" t="inlineStr">
        <is>
          <t>JÄMTLANDS LÄN</t>
        </is>
      </c>
      <c r="E436" t="inlineStr">
        <is>
          <t>ÖSTERSUND</t>
        </is>
      </c>
      <c r="G436" t="n">
        <v>1.4</v>
      </c>
      <c r="H436" t="n">
        <v>0</v>
      </c>
      <c r="I436" t="n">
        <v>0</v>
      </c>
      <c r="J436" t="n">
        <v>0</v>
      </c>
      <c r="K436" t="n">
        <v>0</v>
      </c>
      <c r="L436" t="n">
        <v>0</v>
      </c>
      <c r="M436" t="n">
        <v>0</v>
      </c>
      <c r="N436" t="n">
        <v>0</v>
      </c>
      <c r="O436" t="n">
        <v>0</v>
      </c>
      <c r="P436" t="n">
        <v>0</v>
      </c>
      <c r="Q436" t="n">
        <v>0</v>
      </c>
      <c r="R436" s="2" t="inlineStr"/>
    </row>
    <row r="437" ht="15" customHeight="1">
      <c r="A437" t="inlineStr">
        <is>
          <t>A 12946-2022</t>
        </is>
      </c>
      <c r="B437" s="1" t="n">
        <v>44642</v>
      </c>
      <c r="C437" s="1" t="n">
        <v>45645</v>
      </c>
      <c r="D437" t="inlineStr">
        <is>
          <t>JÄMTLANDS LÄN</t>
        </is>
      </c>
      <c r="E437" t="inlineStr">
        <is>
          <t>ÖSTERSUND</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13024-2022</t>
        </is>
      </c>
      <c r="B438" s="1" t="n">
        <v>44643</v>
      </c>
      <c r="C438" s="1" t="n">
        <v>45645</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14653-2022</t>
        </is>
      </c>
      <c r="B439" s="1" t="n">
        <v>44655</v>
      </c>
      <c r="C439" s="1" t="n">
        <v>45645</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14657-2022</t>
        </is>
      </c>
      <c r="B440" s="1" t="n">
        <v>44655</v>
      </c>
      <c r="C440" s="1" t="n">
        <v>45645</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14658-2022</t>
        </is>
      </c>
      <c r="B441" s="1" t="n">
        <v>44655</v>
      </c>
      <c r="C441" s="1" t="n">
        <v>45645</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16025-2022</t>
        </is>
      </c>
      <c r="B442" s="1" t="n">
        <v>44665</v>
      </c>
      <c r="C442" s="1" t="n">
        <v>45645</v>
      </c>
      <c r="D442" t="inlineStr">
        <is>
          <t>JÄMTLANDS LÄN</t>
        </is>
      </c>
      <c r="E442" t="inlineStr">
        <is>
          <t>ÖSTERSUND</t>
        </is>
      </c>
      <c r="G442" t="n">
        <v>6</v>
      </c>
      <c r="H442" t="n">
        <v>0</v>
      </c>
      <c r="I442" t="n">
        <v>0</v>
      </c>
      <c r="J442" t="n">
        <v>0</v>
      </c>
      <c r="K442" t="n">
        <v>0</v>
      </c>
      <c r="L442" t="n">
        <v>0</v>
      </c>
      <c r="M442" t="n">
        <v>0</v>
      </c>
      <c r="N442" t="n">
        <v>0</v>
      </c>
      <c r="O442" t="n">
        <v>0</v>
      </c>
      <c r="P442" t="n">
        <v>0</v>
      </c>
      <c r="Q442" t="n">
        <v>0</v>
      </c>
      <c r="R442" s="2" t="inlineStr"/>
    </row>
    <row r="443" ht="15" customHeight="1">
      <c r="A443" t="inlineStr">
        <is>
          <t>A 16034-2022</t>
        </is>
      </c>
      <c r="B443" s="1" t="n">
        <v>44665</v>
      </c>
      <c r="C443" s="1" t="n">
        <v>45645</v>
      </c>
      <c r="D443" t="inlineStr">
        <is>
          <t>JÄMTLANDS LÄN</t>
        </is>
      </c>
      <c r="E443" t="inlineStr">
        <is>
          <t>ÖSTERSUND</t>
        </is>
      </c>
      <c r="G443" t="n">
        <v>5.2</v>
      </c>
      <c r="H443" t="n">
        <v>0</v>
      </c>
      <c r="I443" t="n">
        <v>0</v>
      </c>
      <c r="J443" t="n">
        <v>0</v>
      </c>
      <c r="K443" t="n">
        <v>0</v>
      </c>
      <c r="L443" t="n">
        <v>0</v>
      </c>
      <c r="M443" t="n">
        <v>0</v>
      </c>
      <c r="N443" t="n">
        <v>0</v>
      </c>
      <c r="O443" t="n">
        <v>0</v>
      </c>
      <c r="P443" t="n">
        <v>0</v>
      </c>
      <c r="Q443" t="n">
        <v>0</v>
      </c>
      <c r="R443" s="2" t="inlineStr"/>
    </row>
    <row r="444" ht="15" customHeight="1">
      <c r="A444" t="inlineStr">
        <is>
          <t>A 17574-2022</t>
        </is>
      </c>
      <c r="B444" s="1" t="n">
        <v>44680</v>
      </c>
      <c r="C444" s="1" t="n">
        <v>45645</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17732-2022</t>
        </is>
      </c>
      <c r="B445" s="1" t="n">
        <v>44681</v>
      </c>
      <c r="C445" s="1" t="n">
        <v>45645</v>
      </c>
      <c r="D445" t="inlineStr">
        <is>
          <t>JÄMTLANDS LÄN</t>
        </is>
      </c>
      <c r="E445" t="inlineStr">
        <is>
          <t>ÖSTERSUND</t>
        </is>
      </c>
      <c r="G445" t="n">
        <v>5.4</v>
      </c>
      <c r="H445" t="n">
        <v>0</v>
      </c>
      <c r="I445" t="n">
        <v>0</v>
      </c>
      <c r="J445" t="n">
        <v>0</v>
      </c>
      <c r="K445" t="n">
        <v>0</v>
      </c>
      <c r="L445" t="n">
        <v>0</v>
      </c>
      <c r="M445" t="n">
        <v>0</v>
      </c>
      <c r="N445" t="n">
        <v>0</v>
      </c>
      <c r="O445" t="n">
        <v>0</v>
      </c>
      <c r="P445" t="n">
        <v>0</v>
      </c>
      <c r="Q445" t="n">
        <v>0</v>
      </c>
      <c r="R445" s="2" t="inlineStr"/>
    </row>
    <row r="446" ht="15" customHeight="1">
      <c r="A446" t="inlineStr">
        <is>
          <t>A 17734-2022</t>
        </is>
      </c>
      <c r="B446" s="1" t="n">
        <v>44680</v>
      </c>
      <c r="C446" s="1" t="n">
        <v>45645</v>
      </c>
      <c r="D446" t="inlineStr">
        <is>
          <t>JÄMTLANDS LÄN</t>
        </is>
      </c>
      <c r="E446" t="inlineStr">
        <is>
          <t>ÖSTERSUND</t>
        </is>
      </c>
      <c r="G446" t="n">
        <v>26.4</v>
      </c>
      <c r="H446" t="n">
        <v>0</v>
      </c>
      <c r="I446" t="n">
        <v>0</v>
      </c>
      <c r="J446" t="n">
        <v>0</v>
      </c>
      <c r="K446" t="n">
        <v>0</v>
      </c>
      <c r="L446" t="n">
        <v>0</v>
      </c>
      <c r="M446" t="n">
        <v>0</v>
      </c>
      <c r="N446" t="n">
        <v>0</v>
      </c>
      <c r="O446" t="n">
        <v>0</v>
      </c>
      <c r="P446" t="n">
        <v>0</v>
      </c>
      <c r="Q446" t="n">
        <v>0</v>
      </c>
      <c r="R446" s="2" t="inlineStr"/>
    </row>
    <row r="447" ht="15" customHeight="1">
      <c r="A447" t="inlineStr">
        <is>
          <t>A 19022-2022</t>
        </is>
      </c>
      <c r="B447" s="1" t="n">
        <v>44690</v>
      </c>
      <c r="C447" s="1" t="n">
        <v>45645</v>
      </c>
      <c r="D447" t="inlineStr">
        <is>
          <t>JÄMTLANDS LÄN</t>
        </is>
      </c>
      <c r="E447" t="inlineStr">
        <is>
          <t>ÖSTERSUND</t>
        </is>
      </c>
      <c r="G447" t="n">
        <v>17.9</v>
      </c>
      <c r="H447" t="n">
        <v>0</v>
      </c>
      <c r="I447" t="n">
        <v>0</v>
      </c>
      <c r="J447" t="n">
        <v>0</v>
      </c>
      <c r="K447" t="n">
        <v>0</v>
      </c>
      <c r="L447" t="n">
        <v>0</v>
      </c>
      <c r="M447" t="n">
        <v>0</v>
      </c>
      <c r="N447" t="n">
        <v>0</v>
      </c>
      <c r="O447" t="n">
        <v>0</v>
      </c>
      <c r="P447" t="n">
        <v>0</v>
      </c>
      <c r="Q447" t="n">
        <v>0</v>
      </c>
      <c r="R447" s="2" t="inlineStr"/>
    </row>
    <row r="448" ht="15" customHeight="1">
      <c r="A448" t="inlineStr">
        <is>
          <t>A 20960-2022</t>
        </is>
      </c>
      <c r="B448" s="1" t="n">
        <v>44702</v>
      </c>
      <c r="C448" s="1" t="n">
        <v>45645</v>
      </c>
      <c r="D448" t="inlineStr">
        <is>
          <t>JÄMTLANDS LÄN</t>
        </is>
      </c>
      <c r="E448" t="inlineStr">
        <is>
          <t>ÖSTERSUND</t>
        </is>
      </c>
      <c r="G448" t="n">
        <v>3.6</v>
      </c>
      <c r="H448" t="n">
        <v>0</v>
      </c>
      <c r="I448" t="n">
        <v>0</v>
      </c>
      <c r="J448" t="n">
        <v>0</v>
      </c>
      <c r="K448" t="n">
        <v>0</v>
      </c>
      <c r="L448" t="n">
        <v>0</v>
      </c>
      <c r="M448" t="n">
        <v>0</v>
      </c>
      <c r="N448" t="n">
        <v>0</v>
      </c>
      <c r="O448" t="n">
        <v>0</v>
      </c>
      <c r="P448" t="n">
        <v>0</v>
      </c>
      <c r="Q448" t="n">
        <v>0</v>
      </c>
      <c r="R448" s="2" t="inlineStr"/>
    </row>
    <row r="449" ht="15" customHeight="1">
      <c r="A449" t="inlineStr">
        <is>
          <t>A 20983-2022</t>
        </is>
      </c>
      <c r="B449" s="1" t="n">
        <v>44703</v>
      </c>
      <c r="C449" s="1" t="n">
        <v>45645</v>
      </c>
      <c r="D449" t="inlineStr">
        <is>
          <t>JÄMTLANDS LÄN</t>
        </is>
      </c>
      <c r="E449" t="inlineStr">
        <is>
          <t>ÖSTERSUND</t>
        </is>
      </c>
      <c r="G449" t="n">
        <v>2.2</v>
      </c>
      <c r="H449" t="n">
        <v>0</v>
      </c>
      <c r="I449" t="n">
        <v>0</v>
      </c>
      <c r="J449" t="n">
        <v>0</v>
      </c>
      <c r="K449" t="n">
        <v>0</v>
      </c>
      <c r="L449" t="n">
        <v>0</v>
      </c>
      <c r="M449" t="n">
        <v>0</v>
      </c>
      <c r="N449" t="n">
        <v>0</v>
      </c>
      <c r="O449" t="n">
        <v>0</v>
      </c>
      <c r="P449" t="n">
        <v>0</v>
      </c>
      <c r="Q449" t="n">
        <v>0</v>
      </c>
      <c r="R449" s="2" t="inlineStr"/>
    </row>
    <row r="450" ht="15" customHeight="1">
      <c r="A450" t="inlineStr">
        <is>
          <t>A 21211-2022</t>
        </is>
      </c>
      <c r="B450" s="1" t="n">
        <v>44705</v>
      </c>
      <c r="C450" s="1" t="n">
        <v>45645</v>
      </c>
      <c r="D450" t="inlineStr">
        <is>
          <t>JÄMTLANDS LÄN</t>
        </is>
      </c>
      <c r="E450" t="inlineStr">
        <is>
          <t>ÖSTERSUND</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21495-2022</t>
        </is>
      </c>
      <c r="B451" s="1" t="n">
        <v>44706</v>
      </c>
      <c r="C451" s="1" t="n">
        <v>45645</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22083-2022</t>
        </is>
      </c>
      <c r="B452" s="1" t="n">
        <v>44711</v>
      </c>
      <c r="C452" s="1" t="n">
        <v>45645</v>
      </c>
      <c r="D452" t="inlineStr">
        <is>
          <t>JÄMTLANDS LÄN</t>
        </is>
      </c>
      <c r="E452" t="inlineStr">
        <is>
          <t>ÖSTERSUND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22085-2022</t>
        </is>
      </c>
      <c r="B453" s="1" t="n">
        <v>44711</v>
      </c>
      <c r="C453" s="1" t="n">
        <v>45645</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22084-2022</t>
        </is>
      </c>
      <c r="B454" s="1" t="n">
        <v>44711</v>
      </c>
      <c r="C454" s="1" t="n">
        <v>45645</v>
      </c>
      <c r="D454" t="inlineStr">
        <is>
          <t>JÄMTLANDS LÄN</t>
        </is>
      </c>
      <c r="E454" t="inlineStr">
        <is>
          <t>ÖSTERSUND</t>
        </is>
      </c>
      <c r="G454" t="n">
        <v>1.3</v>
      </c>
      <c r="H454" t="n">
        <v>0</v>
      </c>
      <c r="I454" t="n">
        <v>0</v>
      </c>
      <c r="J454" t="n">
        <v>0</v>
      </c>
      <c r="K454" t="n">
        <v>0</v>
      </c>
      <c r="L454" t="n">
        <v>0</v>
      </c>
      <c r="M454" t="n">
        <v>0</v>
      </c>
      <c r="N454" t="n">
        <v>0</v>
      </c>
      <c r="O454" t="n">
        <v>0</v>
      </c>
      <c r="P454" t="n">
        <v>0</v>
      </c>
      <c r="Q454" t="n">
        <v>0</v>
      </c>
      <c r="R454" s="2" t="inlineStr"/>
    </row>
    <row r="455" ht="15" customHeight="1">
      <c r="A455" t="inlineStr">
        <is>
          <t>A 22082-2022</t>
        </is>
      </c>
      <c r="B455" s="1" t="n">
        <v>44712</v>
      </c>
      <c r="C455" s="1" t="n">
        <v>45645</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23555-2022</t>
        </is>
      </c>
      <c r="B456" s="1" t="n">
        <v>44721</v>
      </c>
      <c r="C456" s="1" t="n">
        <v>45645</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23563-2022</t>
        </is>
      </c>
      <c r="B457" s="1" t="n">
        <v>44721</v>
      </c>
      <c r="C457" s="1" t="n">
        <v>45645</v>
      </c>
      <c r="D457" t="inlineStr">
        <is>
          <t>JÄMTLANDS LÄN</t>
        </is>
      </c>
      <c r="E457" t="inlineStr">
        <is>
          <t>ÖSTERSUND</t>
        </is>
      </c>
      <c r="F457" t="inlineStr">
        <is>
          <t>Övriga Aktiebolag</t>
        </is>
      </c>
      <c r="G457" t="n">
        <v>3.7</v>
      </c>
      <c r="H457" t="n">
        <v>0</v>
      </c>
      <c r="I457" t="n">
        <v>0</v>
      </c>
      <c r="J457" t="n">
        <v>0</v>
      </c>
      <c r="K457" t="n">
        <v>0</v>
      </c>
      <c r="L457" t="n">
        <v>0</v>
      </c>
      <c r="M457" t="n">
        <v>0</v>
      </c>
      <c r="N457" t="n">
        <v>0</v>
      </c>
      <c r="O457" t="n">
        <v>0</v>
      </c>
      <c r="P457" t="n">
        <v>0</v>
      </c>
      <c r="Q457" t="n">
        <v>0</v>
      </c>
      <c r="R457" s="2" t="inlineStr"/>
    </row>
    <row r="458" ht="15" customHeight="1">
      <c r="A458" t="inlineStr">
        <is>
          <t>A 23551-2022</t>
        </is>
      </c>
      <c r="B458" s="1" t="n">
        <v>44721</v>
      </c>
      <c r="C458" s="1" t="n">
        <v>45645</v>
      </c>
      <c r="D458" t="inlineStr">
        <is>
          <t>JÄMTLANDS LÄN</t>
        </is>
      </c>
      <c r="E458" t="inlineStr">
        <is>
          <t>ÖSTERSUND</t>
        </is>
      </c>
      <c r="G458" t="n">
        <v>0.3</v>
      </c>
      <c r="H458" t="n">
        <v>0</v>
      </c>
      <c r="I458" t="n">
        <v>0</v>
      </c>
      <c r="J458" t="n">
        <v>0</v>
      </c>
      <c r="K458" t="n">
        <v>0</v>
      </c>
      <c r="L458" t="n">
        <v>0</v>
      </c>
      <c r="M458" t="n">
        <v>0</v>
      </c>
      <c r="N458" t="n">
        <v>0</v>
      </c>
      <c r="O458" t="n">
        <v>0</v>
      </c>
      <c r="P458" t="n">
        <v>0</v>
      </c>
      <c r="Q458" t="n">
        <v>0</v>
      </c>
      <c r="R458" s="2" t="inlineStr"/>
    </row>
    <row r="459" ht="15" customHeight="1">
      <c r="A459" t="inlineStr">
        <is>
          <t>A 23992-2022</t>
        </is>
      </c>
      <c r="B459" s="1" t="n">
        <v>44722</v>
      </c>
      <c r="C459" s="1" t="n">
        <v>45645</v>
      </c>
      <c r="D459" t="inlineStr">
        <is>
          <t>JÄMTLANDS LÄN</t>
        </is>
      </c>
      <c r="E459" t="inlineStr">
        <is>
          <t>ÖSTERSUND</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23993-2022</t>
        </is>
      </c>
      <c r="B460" s="1" t="n">
        <v>44723</v>
      </c>
      <c r="C460" s="1" t="n">
        <v>45645</v>
      </c>
      <c r="D460" t="inlineStr">
        <is>
          <t>JÄMTLANDS LÄN</t>
        </is>
      </c>
      <c r="E460" t="inlineStr">
        <is>
          <t>ÖSTERSUND</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26321-2022</t>
        </is>
      </c>
      <c r="B461" s="1" t="n">
        <v>44735</v>
      </c>
      <c r="C461" s="1" t="n">
        <v>45645</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26731-2022</t>
        </is>
      </c>
      <c r="B462" s="1" t="n">
        <v>44740</v>
      </c>
      <c r="C462" s="1" t="n">
        <v>45645</v>
      </c>
      <c r="D462" t="inlineStr">
        <is>
          <t>JÄMTLANDS LÄN</t>
        </is>
      </c>
      <c r="E462" t="inlineStr">
        <is>
          <t>ÖSTERSUND</t>
        </is>
      </c>
      <c r="G462" t="n">
        <v>3.1</v>
      </c>
      <c r="H462" t="n">
        <v>0</v>
      </c>
      <c r="I462" t="n">
        <v>0</v>
      </c>
      <c r="J462" t="n">
        <v>0</v>
      </c>
      <c r="K462" t="n">
        <v>0</v>
      </c>
      <c r="L462" t="n">
        <v>0</v>
      </c>
      <c r="M462" t="n">
        <v>0</v>
      </c>
      <c r="N462" t="n">
        <v>0</v>
      </c>
      <c r="O462" t="n">
        <v>0</v>
      </c>
      <c r="P462" t="n">
        <v>0</v>
      </c>
      <c r="Q462" t="n">
        <v>0</v>
      </c>
      <c r="R462" s="2" t="inlineStr"/>
    </row>
    <row r="463" ht="15" customHeight="1">
      <c r="A463" t="inlineStr">
        <is>
          <t>A 27343-2022</t>
        </is>
      </c>
      <c r="B463" s="1" t="n">
        <v>44742</v>
      </c>
      <c r="C463" s="1" t="n">
        <v>45645</v>
      </c>
      <c r="D463" t="inlineStr">
        <is>
          <t>JÄMTLANDS LÄN</t>
        </is>
      </c>
      <c r="E463" t="inlineStr">
        <is>
          <t>ÖSTERSUND</t>
        </is>
      </c>
      <c r="G463" t="n">
        <v>1.5</v>
      </c>
      <c r="H463" t="n">
        <v>0</v>
      </c>
      <c r="I463" t="n">
        <v>0</v>
      </c>
      <c r="J463" t="n">
        <v>0</v>
      </c>
      <c r="K463" t="n">
        <v>0</v>
      </c>
      <c r="L463" t="n">
        <v>0</v>
      </c>
      <c r="M463" t="n">
        <v>0</v>
      </c>
      <c r="N463" t="n">
        <v>0</v>
      </c>
      <c r="O463" t="n">
        <v>0</v>
      </c>
      <c r="P463" t="n">
        <v>0</v>
      </c>
      <c r="Q463" t="n">
        <v>0</v>
      </c>
      <c r="R463" s="2" t="inlineStr"/>
    </row>
    <row r="464" ht="15" customHeight="1">
      <c r="A464" t="inlineStr">
        <is>
          <t>A 27582-2022</t>
        </is>
      </c>
      <c r="B464" s="1" t="n">
        <v>44743</v>
      </c>
      <c r="C464" s="1" t="n">
        <v>45645</v>
      </c>
      <c r="D464" t="inlineStr">
        <is>
          <t>JÄMTLANDS LÄN</t>
        </is>
      </c>
      <c r="E464" t="inlineStr">
        <is>
          <t>ÖSTERSUND</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27575-2022</t>
        </is>
      </c>
      <c r="B465" s="1" t="n">
        <v>44742</v>
      </c>
      <c r="C465" s="1" t="n">
        <v>45645</v>
      </c>
      <c r="D465" t="inlineStr">
        <is>
          <t>JÄMTLANDS LÄN</t>
        </is>
      </c>
      <c r="E465" t="inlineStr">
        <is>
          <t>ÖSTERSUND</t>
        </is>
      </c>
      <c r="F465" t="inlineStr">
        <is>
          <t>SCA</t>
        </is>
      </c>
      <c r="G465" t="n">
        <v>2.4</v>
      </c>
      <c r="H465" t="n">
        <v>0</v>
      </c>
      <c r="I465" t="n">
        <v>0</v>
      </c>
      <c r="J465" t="n">
        <v>0</v>
      </c>
      <c r="K465" t="n">
        <v>0</v>
      </c>
      <c r="L465" t="n">
        <v>0</v>
      </c>
      <c r="M465" t="n">
        <v>0</v>
      </c>
      <c r="N465" t="n">
        <v>0</v>
      </c>
      <c r="O465" t="n">
        <v>0</v>
      </c>
      <c r="P465" t="n">
        <v>0</v>
      </c>
      <c r="Q465" t="n">
        <v>0</v>
      </c>
      <c r="R465" s="2" t="inlineStr"/>
      <c r="U465">
        <f>HYPERLINK("https://klasma.github.io/Logging_2380/knärot/A 27575-2022 karta knärot.png", "A 27575-2022")</f>
        <v/>
      </c>
      <c r="V465">
        <f>HYPERLINK("https://klasma.github.io/Logging_2380/klagomål/A 27575-2022 FSC-klagomål.docx", "A 27575-2022")</f>
        <v/>
      </c>
      <c r="W465">
        <f>HYPERLINK("https://klasma.github.io/Logging_2380/klagomålsmail/A 27575-2022 FSC-klagomål mail.docx", "A 27575-2022")</f>
        <v/>
      </c>
      <c r="X465">
        <f>HYPERLINK("https://klasma.github.io/Logging_2380/tillsyn/A 27575-2022 tillsynsbegäran.docx", "A 27575-2022")</f>
        <v/>
      </c>
      <c r="Y465">
        <f>HYPERLINK("https://klasma.github.io/Logging_2380/tillsynsmail/A 27575-2022 tillsynsbegäran mail.docx", "A 27575-2022")</f>
        <v/>
      </c>
    </row>
    <row r="466" ht="15" customHeight="1">
      <c r="A466" t="inlineStr">
        <is>
          <t>A 27581-2022</t>
        </is>
      </c>
      <c r="B466" s="1" t="n">
        <v>44742</v>
      </c>
      <c r="C466" s="1" t="n">
        <v>45645</v>
      </c>
      <c r="D466" t="inlineStr">
        <is>
          <t>JÄMTLANDS LÄN</t>
        </is>
      </c>
      <c r="E466" t="inlineStr">
        <is>
          <t>ÖSTERSUND</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27780-2022</t>
        </is>
      </c>
      <c r="B467" s="1" t="n">
        <v>44743</v>
      </c>
      <c r="C467" s="1" t="n">
        <v>45645</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29094-2022</t>
        </is>
      </c>
      <c r="B468" s="1" t="n">
        <v>44750</v>
      </c>
      <c r="C468" s="1" t="n">
        <v>45645</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29128-2022</t>
        </is>
      </c>
      <c r="B469" s="1" t="n">
        <v>44750</v>
      </c>
      <c r="C469" s="1" t="n">
        <v>45645</v>
      </c>
      <c r="D469" t="inlineStr">
        <is>
          <t>JÄMTLANDS LÄN</t>
        </is>
      </c>
      <c r="E469" t="inlineStr">
        <is>
          <t>ÖSTERSUND</t>
        </is>
      </c>
      <c r="G469" t="n">
        <v>3</v>
      </c>
      <c r="H469" t="n">
        <v>0</v>
      </c>
      <c r="I469" t="n">
        <v>0</v>
      </c>
      <c r="J469" t="n">
        <v>0</v>
      </c>
      <c r="K469" t="n">
        <v>0</v>
      </c>
      <c r="L469" t="n">
        <v>0</v>
      </c>
      <c r="M469" t="n">
        <v>0</v>
      </c>
      <c r="N469" t="n">
        <v>0</v>
      </c>
      <c r="O469" t="n">
        <v>0</v>
      </c>
      <c r="P469" t="n">
        <v>0</v>
      </c>
      <c r="Q469" t="n">
        <v>0</v>
      </c>
      <c r="R469" s="2" t="inlineStr"/>
    </row>
    <row r="470" ht="15" customHeight="1">
      <c r="A470" t="inlineStr">
        <is>
          <t>A 29829-2022</t>
        </is>
      </c>
      <c r="B470" s="1" t="n">
        <v>44755</v>
      </c>
      <c r="C470" s="1" t="n">
        <v>45645</v>
      </c>
      <c r="D470" t="inlineStr">
        <is>
          <t>JÄMTLANDS LÄN</t>
        </is>
      </c>
      <c r="E470" t="inlineStr">
        <is>
          <t>ÖSTERSUND</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29828-2022</t>
        </is>
      </c>
      <c r="B471" s="1" t="n">
        <v>44755</v>
      </c>
      <c r="C471" s="1" t="n">
        <v>45645</v>
      </c>
      <c r="D471" t="inlineStr">
        <is>
          <t>JÄMTLANDS LÄN</t>
        </is>
      </c>
      <c r="E471" t="inlineStr">
        <is>
          <t>ÖSTERSUND</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30217-2022</t>
        </is>
      </c>
      <c r="B472" s="1" t="n">
        <v>44758</v>
      </c>
      <c r="C472" s="1" t="n">
        <v>45645</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33804-2022</t>
        </is>
      </c>
      <c r="B473" s="1" t="n">
        <v>44790</v>
      </c>
      <c r="C473" s="1" t="n">
        <v>45645</v>
      </c>
      <c r="D473" t="inlineStr">
        <is>
          <t>JÄMTLANDS LÄN</t>
        </is>
      </c>
      <c r="E473" t="inlineStr">
        <is>
          <t>ÖSTERSUND</t>
        </is>
      </c>
      <c r="G473" t="n">
        <v>1.8</v>
      </c>
      <c r="H473" t="n">
        <v>0</v>
      </c>
      <c r="I473" t="n">
        <v>0</v>
      </c>
      <c r="J473" t="n">
        <v>0</v>
      </c>
      <c r="K473" t="n">
        <v>0</v>
      </c>
      <c r="L473" t="n">
        <v>0</v>
      </c>
      <c r="M473" t="n">
        <v>0</v>
      </c>
      <c r="N473" t="n">
        <v>0</v>
      </c>
      <c r="O473" t="n">
        <v>0</v>
      </c>
      <c r="P473" t="n">
        <v>0</v>
      </c>
      <c r="Q473" t="n">
        <v>0</v>
      </c>
      <c r="R473" s="2" t="inlineStr"/>
    </row>
    <row r="474" ht="15" customHeight="1">
      <c r="A474" t="inlineStr">
        <is>
          <t>A 33808-2022</t>
        </is>
      </c>
      <c r="B474" s="1" t="n">
        <v>44790</v>
      </c>
      <c r="C474" s="1" t="n">
        <v>45645</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33813-2022</t>
        </is>
      </c>
      <c r="B475" s="1" t="n">
        <v>44790</v>
      </c>
      <c r="C475" s="1" t="n">
        <v>45645</v>
      </c>
      <c r="D475" t="inlineStr">
        <is>
          <t>JÄMTLANDS LÄN</t>
        </is>
      </c>
      <c r="E475" t="inlineStr">
        <is>
          <t>ÖSTERSUND</t>
        </is>
      </c>
      <c r="G475" t="n">
        <v>7.9</v>
      </c>
      <c r="H475" t="n">
        <v>0</v>
      </c>
      <c r="I475" t="n">
        <v>0</v>
      </c>
      <c r="J475" t="n">
        <v>0</v>
      </c>
      <c r="K475" t="n">
        <v>0</v>
      </c>
      <c r="L475" t="n">
        <v>0</v>
      </c>
      <c r="M475" t="n">
        <v>0</v>
      </c>
      <c r="N475" t="n">
        <v>0</v>
      </c>
      <c r="O475" t="n">
        <v>0</v>
      </c>
      <c r="P475" t="n">
        <v>0</v>
      </c>
      <c r="Q475" t="n">
        <v>0</v>
      </c>
      <c r="R475" s="2" t="inlineStr"/>
    </row>
    <row r="476" ht="15" customHeight="1">
      <c r="A476" t="inlineStr">
        <is>
          <t>A 33786-2022</t>
        </is>
      </c>
      <c r="B476" s="1" t="n">
        <v>44790</v>
      </c>
      <c r="C476" s="1" t="n">
        <v>45645</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33801-2022</t>
        </is>
      </c>
      <c r="B477" s="1" t="n">
        <v>44790</v>
      </c>
      <c r="C477" s="1" t="n">
        <v>45645</v>
      </c>
      <c r="D477" t="inlineStr">
        <is>
          <t>JÄMTLANDS LÄN</t>
        </is>
      </c>
      <c r="E477" t="inlineStr">
        <is>
          <t>ÖSTERSUND</t>
        </is>
      </c>
      <c r="G477" t="n">
        <v>7.6</v>
      </c>
      <c r="H477" t="n">
        <v>0</v>
      </c>
      <c r="I477" t="n">
        <v>0</v>
      </c>
      <c r="J477" t="n">
        <v>0</v>
      </c>
      <c r="K477" t="n">
        <v>0</v>
      </c>
      <c r="L477" t="n">
        <v>0</v>
      </c>
      <c r="M477" t="n">
        <v>0</v>
      </c>
      <c r="N477" t="n">
        <v>0</v>
      </c>
      <c r="O477" t="n">
        <v>0</v>
      </c>
      <c r="P477" t="n">
        <v>0</v>
      </c>
      <c r="Q477" t="n">
        <v>0</v>
      </c>
      <c r="R477" s="2" t="inlineStr"/>
    </row>
    <row r="478" ht="15" customHeight="1">
      <c r="A478" t="inlineStr">
        <is>
          <t>A 35556-2022</t>
        </is>
      </c>
      <c r="B478" s="1" t="n">
        <v>44799</v>
      </c>
      <c r="C478" s="1" t="n">
        <v>45645</v>
      </c>
      <c r="D478" t="inlineStr">
        <is>
          <t>JÄMTLANDS LÄN</t>
        </is>
      </c>
      <c r="E478" t="inlineStr">
        <is>
          <t>ÖSTERSUND</t>
        </is>
      </c>
      <c r="G478" t="n">
        <v>3.6</v>
      </c>
      <c r="H478" t="n">
        <v>0</v>
      </c>
      <c r="I478" t="n">
        <v>0</v>
      </c>
      <c r="J478" t="n">
        <v>0</v>
      </c>
      <c r="K478" t="n">
        <v>0</v>
      </c>
      <c r="L478" t="n">
        <v>0</v>
      </c>
      <c r="M478" t="n">
        <v>0</v>
      </c>
      <c r="N478" t="n">
        <v>0</v>
      </c>
      <c r="O478" t="n">
        <v>0</v>
      </c>
      <c r="P478" t="n">
        <v>0</v>
      </c>
      <c r="Q478" t="n">
        <v>0</v>
      </c>
      <c r="R478" s="2" t="inlineStr"/>
    </row>
    <row r="479" ht="15" customHeight="1">
      <c r="A479" t="inlineStr">
        <is>
          <t>A 39828-2022</t>
        </is>
      </c>
      <c r="B479" s="1" t="n">
        <v>44817</v>
      </c>
      <c r="C479" s="1" t="n">
        <v>45645</v>
      </c>
      <c r="D479" t="inlineStr">
        <is>
          <t>JÄMTLANDS LÄN</t>
        </is>
      </c>
      <c r="E479" t="inlineStr">
        <is>
          <t>ÖSTERSUND</t>
        </is>
      </c>
      <c r="G479" t="n">
        <v>1.1</v>
      </c>
      <c r="H479" t="n">
        <v>0</v>
      </c>
      <c r="I479" t="n">
        <v>0</v>
      </c>
      <c r="J479" t="n">
        <v>0</v>
      </c>
      <c r="K479" t="n">
        <v>0</v>
      </c>
      <c r="L479" t="n">
        <v>0</v>
      </c>
      <c r="M479" t="n">
        <v>0</v>
      </c>
      <c r="N479" t="n">
        <v>0</v>
      </c>
      <c r="O479" t="n">
        <v>0</v>
      </c>
      <c r="P479" t="n">
        <v>0</v>
      </c>
      <c r="Q479" t="n">
        <v>0</v>
      </c>
      <c r="R479" s="2" t="inlineStr"/>
    </row>
    <row r="480" ht="15" customHeight="1">
      <c r="A480" t="inlineStr">
        <is>
          <t>A 39928-2022</t>
        </is>
      </c>
      <c r="B480" s="1" t="n">
        <v>44819</v>
      </c>
      <c r="C480" s="1" t="n">
        <v>45645</v>
      </c>
      <c r="D480" t="inlineStr">
        <is>
          <t>JÄMTLANDS LÄN</t>
        </is>
      </c>
      <c r="E480" t="inlineStr">
        <is>
          <t>ÖSTERSUND</t>
        </is>
      </c>
      <c r="F480" t="inlineStr">
        <is>
          <t>SCA</t>
        </is>
      </c>
      <c r="G480" t="n">
        <v>8.9</v>
      </c>
      <c r="H480" t="n">
        <v>0</v>
      </c>
      <c r="I480" t="n">
        <v>0</v>
      </c>
      <c r="J480" t="n">
        <v>0</v>
      </c>
      <c r="K480" t="n">
        <v>0</v>
      </c>
      <c r="L480" t="n">
        <v>0</v>
      </c>
      <c r="M480" t="n">
        <v>0</v>
      </c>
      <c r="N480" t="n">
        <v>0</v>
      </c>
      <c r="O480" t="n">
        <v>0</v>
      </c>
      <c r="P480" t="n">
        <v>0</v>
      </c>
      <c r="Q480" t="n">
        <v>0</v>
      </c>
      <c r="R480" s="2" t="inlineStr"/>
    </row>
    <row r="481" ht="15" customHeight="1">
      <c r="A481" t="inlineStr">
        <is>
          <t>A 40885-2022</t>
        </is>
      </c>
      <c r="B481" s="1" t="n">
        <v>44820</v>
      </c>
      <c r="C481" s="1" t="n">
        <v>45645</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43511-2022</t>
        </is>
      </c>
      <c r="B482" s="1" t="n">
        <v>44837</v>
      </c>
      <c r="C482" s="1" t="n">
        <v>45645</v>
      </c>
      <c r="D482" t="inlineStr">
        <is>
          <t>JÄMTLANDS LÄN</t>
        </is>
      </c>
      <c r="E482" t="inlineStr">
        <is>
          <t>ÖSTERSUND</t>
        </is>
      </c>
      <c r="G482" t="n">
        <v>3.7</v>
      </c>
      <c r="H482" t="n">
        <v>0</v>
      </c>
      <c r="I482" t="n">
        <v>0</v>
      </c>
      <c r="J482" t="n">
        <v>0</v>
      </c>
      <c r="K482" t="n">
        <v>0</v>
      </c>
      <c r="L482" t="n">
        <v>0</v>
      </c>
      <c r="M482" t="n">
        <v>0</v>
      </c>
      <c r="N482" t="n">
        <v>0</v>
      </c>
      <c r="O482" t="n">
        <v>0</v>
      </c>
      <c r="P482" t="n">
        <v>0</v>
      </c>
      <c r="Q482" t="n">
        <v>0</v>
      </c>
      <c r="R482" s="2" t="inlineStr"/>
    </row>
    <row r="483" ht="15" customHeight="1">
      <c r="A483" t="inlineStr">
        <is>
          <t>A 43951-2022</t>
        </is>
      </c>
      <c r="B483" s="1" t="n">
        <v>44838</v>
      </c>
      <c r="C483" s="1" t="n">
        <v>45645</v>
      </c>
      <c r="D483" t="inlineStr">
        <is>
          <t>JÄMTLANDS LÄN</t>
        </is>
      </c>
      <c r="E483" t="inlineStr">
        <is>
          <t>ÖSTERSUND</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44909-2022</t>
        </is>
      </c>
      <c r="B484" s="1" t="n">
        <v>44840</v>
      </c>
      <c r="C484" s="1" t="n">
        <v>45645</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45004-2022</t>
        </is>
      </c>
      <c r="B485" s="1" t="n">
        <v>44840</v>
      </c>
      <c r="C485" s="1" t="n">
        <v>45645</v>
      </c>
      <c r="D485" t="inlineStr">
        <is>
          <t>JÄMTLANDS LÄN</t>
        </is>
      </c>
      <c r="E485" t="inlineStr">
        <is>
          <t>ÖSTERSUND</t>
        </is>
      </c>
      <c r="G485" t="n">
        <v>2.5</v>
      </c>
      <c r="H485" t="n">
        <v>0</v>
      </c>
      <c r="I485" t="n">
        <v>0</v>
      </c>
      <c r="J485" t="n">
        <v>0</v>
      </c>
      <c r="K485" t="n">
        <v>0</v>
      </c>
      <c r="L485" t="n">
        <v>0</v>
      </c>
      <c r="M485" t="n">
        <v>0</v>
      </c>
      <c r="N485" t="n">
        <v>0</v>
      </c>
      <c r="O485" t="n">
        <v>0</v>
      </c>
      <c r="P485" t="n">
        <v>0</v>
      </c>
      <c r="Q485" t="n">
        <v>0</v>
      </c>
      <c r="R485" s="2" t="inlineStr"/>
    </row>
    <row r="486" ht="15" customHeight="1">
      <c r="A486" t="inlineStr">
        <is>
          <t>A 45654-2022</t>
        </is>
      </c>
      <c r="B486" s="1" t="n">
        <v>44845</v>
      </c>
      <c r="C486" s="1" t="n">
        <v>45645</v>
      </c>
      <c r="D486" t="inlineStr">
        <is>
          <t>JÄMTLANDS LÄN</t>
        </is>
      </c>
      <c r="E486" t="inlineStr">
        <is>
          <t>ÖSTERSUND</t>
        </is>
      </c>
      <c r="G486" t="n">
        <v>0.4</v>
      </c>
      <c r="H486" t="n">
        <v>0</v>
      </c>
      <c r="I486" t="n">
        <v>0</v>
      </c>
      <c r="J486" t="n">
        <v>0</v>
      </c>
      <c r="K486" t="n">
        <v>0</v>
      </c>
      <c r="L486" t="n">
        <v>0</v>
      </c>
      <c r="M486" t="n">
        <v>0</v>
      </c>
      <c r="N486" t="n">
        <v>0</v>
      </c>
      <c r="O486" t="n">
        <v>0</v>
      </c>
      <c r="P486" t="n">
        <v>0</v>
      </c>
      <c r="Q486" t="n">
        <v>0</v>
      </c>
      <c r="R486" s="2" t="inlineStr"/>
    </row>
    <row r="487" ht="15" customHeight="1">
      <c r="A487" t="inlineStr">
        <is>
          <t>A 46913-2022</t>
        </is>
      </c>
      <c r="B487" s="1" t="n">
        <v>44851</v>
      </c>
      <c r="C487" s="1" t="n">
        <v>45645</v>
      </c>
      <c r="D487" t="inlineStr">
        <is>
          <t>JÄMTLANDS LÄN</t>
        </is>
      </c>
      <c r="E487" t="inlineStr">
        <is>
          <t>ÖSTERSUND</t>
        </is>
      </c>
      <c r="G487" t="n">
        <v>2.5</v>
      </c>
      <c r="H487" t="n">
        <v>0</v>
      </c>
      <c r="I487" t="n">
        <v>0</v>
      </c>
      <c r="J487" t="n">
        <v>0</v>
      </c>
      <c r="K487" t="n">
        <v>0</v>
      </c>
      <c r="L487" t="n">
        <v>0</v>
      </c>
      <c r="M487" t="n">
        <v>0</v>
      </c>
      <c r="N487" t="n">
        <v>0</v>
      </c>
      <c r="O487" t="n">
        <v>0</v>
      </c>
      <c r="P487" t="n">
        <v>0</v>
      </c>
      <c r="Q487" t="n">
        <v>0</v>
      </c>
      <c r="R487" s="2" t="inlineStr"/>
    </row>
    <row r="488" ht="15" customHeight="1">
      <c r="A488" t="inlineStr">
        <is>
          <t>A 47296-2022</t>
        </is>
      </c>
      <c r="B488" s="1" t="n">
        <v>44853</v>
      </c>
      <c r="C488" s="1" t="n">
        <v>45645</v>
      </c>
      <c r="D488" t="inlineStr">
        <is>
          <t>JÄMTLANDS LÄN</t>
        </is>
      </c>
      <c r="E488" t="inlineStr">
        <is>
          <t>ÖSTERSUND</t>
        </is>
      </c>
      <c r="G488" t="n">
        <v>0.5</v>
      </c>
      <c r="H488" t="n">
        <v>0</v>
      </c>
      <c r="I488" t="n">
        <v>0</v>
      </c>
      <c r="J488" t="n">
        <v>0</v>
      </c>
      <c r="K488" t="n">
        <v>0</v>
      </c>
      <c r="L488" t="n">
        <v>0</v>
      </c>
      <c r="M488" t="n">
        <v>0</v>
      </c>
      <c r="N488" t="n">
        <v>0</v>
      </c>
      <c r="O488" t="n">
        <v>0</v>
      </c>
      <c r="P488" t="n">
        <v>0</v>
      </c>
      <c r="Q488" t="n">
        <v>0</v>
      </c>
      <c r="R488" s="2" t="inlineStr"/>
    </row>
    <row r="489" ht="15" customHeight="1">
      <c r="A489" t="inlineStr">
        <is>
          <t>A 47294-2022</t>
        </is>
      </c>
      <c r="B489" s="1" t="n">
        <v>44852</v>
      </c>
      <c r="C489" s="1" t="n">
        <v>45645</v>
      </c>
      <c r="D489" t="inlineStr">
        <is>
          <t>JÄMTLANDS LÄN</t>
        </is>
      </c>
      <c r="E489" t="inlineStr">
        <is>
          <t>ÖSTERSUND</t>
        </is>
      </c>
      <c r="G489" t="n">
        <v>1.7</v>
      </c>
      <c r="H489" t="n">
        <v>0</v>
      </c>
      <c r="I489" t="n">
        <v>0</v>
      </c>
      <c r="J489" t="n">
        <v>0</v>
      </c>
      <c r="K489" t="n">
        <v>0</v>
      </c>
      <c r="L489" t="n">
        <v>0</v>
      </c>
      <c r="M489" t="n">
        <v>0</v>
      </c>
      <c r="N489" t="n">
        <v>0</v>
      </c>
      <c r="O489" t="n">
        <v>0</v>
      </c>
      <c r="P489" t="n">
        <v>0</v>
      </c>
      <c r="Q489" t="n">
        <v>0</v>
      </c>
      <c r="R489" s="2" t="inlineStr"/>
    </row>
    <row r="490" ht="15" customHeight="1">
      <c r="A490" t="inlineStr">
        <is>
          <t>A 47295-2022</t>
        </is>
      </c>
      <c r="B490" s="1" t="n">
        <v>44852</v>
      </c>
      <c r="C490" s="1" t="n">
        <v>45645</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49389-2022</t>
        </is>
      </c>
      <c r="B491" s="1" t="n">
        <v>44861</v>
      </c>
      <c r="C491" s="1" t="n">
        <v>45645</v>
      </c>
      <c r="D491" t="inlineStr">
        <is>
          <t>JÄMTLANDS LÄN</t>
        </is>
      </c>
      <c r="E491" t="inlineStr">
        <is>
          <t>ÖSTERSUND</t>
        </is>
      </c>
      <c r="F491" t="inlineStr">
        <is>
          <t>Övriga Aktiebolag</t>
        </is>
      </c>
      <c r="G491" t="n">
        <v>19.2</v>
      </c>
      <c r="H491" t="n">
        <v>0</v>
      </c>
      <c r="I491" t="n">
        <v>0</v>
      </c>
      <c r="J491" t="n">
        <v>0</v>
      </c>
      <c r="K491" t="n">
        <v>0</v>
      </c>
      <c r="L491" t="n">
        <v>0</v>
      </c>
      <c r="M491" t="n">
        <v>0</v>
      </c>
      <c r="N491" t="n">
        <v>0</v>
      </c>
      <c r="O491" t="n">
        <v>0</v>
      </c>
      <c r="P491" t="n">
        <v>0</v>
      </c>
      <c r="Q491" t="n">
        <v>0</v>
      </c>
      <c r="R491" s="2" t="inlineStr"/>
    </row>
    <row r="492" ht="15" customHeight="1">
      <c r="A492" t="inlineStr">
        <is>
          <t>A 50932-2022</t>
        </is>
      </c>
      <c r="B492" s="1" t="n">
        <v>44867</v>
      </c>
      <c r="C492" s="1" t="n">
        <v>45645</v>
      </c>
      <c r="D492" t="inlineStr">
        <is>
          <t>JÄMTLANDS LÄN</t>
        </is>
      </c>
      <c r="E492" t="inlineStr">
        <is>
          <t>ÖSTERSUND</t>
        </is>
      </c>
      <c r="F492" t="inlineStr">
        <is>
          <t>Övriga Aktiebolag</t>
        </is>
      </c>
      <c r="G492" t="n">
        <v>3.9</v>
      </c>
      <c r="H492" t="n">
        <v>0</v>
      </c>
      <c r="I492" t="n">
        <v>0</v>
      </c>
      <c r="J492" t="n">
        <v>0</v>
      </c>
      <c r="K492" t="n">
        <v>0</v>
      </c>
      <c r="L492" t="n">
        <v>0</v>
      </c>
      <c r="M492" t="n">
        <v>0</v>
      </c>
      <c r="N492" t="n">
        <v>0</v>
      </c>
      <c r="O492" t="n">
        <v>0</v>
      </c>
      <c r="P492" t="n">
        <v>0</v>
      </c>
      <c r="Q492" t="n">
        <v>0</v>
      </c>
      <c r="R492" s="2" t="inlineStr"/>
    </row>
    <row r="493" ht="15" customHeight="1">
      <c r="A493" t="inlineStr">
        <is>
          <t>A 51164-2022</t>
        </is>
      </c>
      <c r="B493" s="1" t="n">
        <v>44868</v>
      </c>
      <c r="C493" s="1" t="n">
        <v>45645</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52155-2022</t>
        </is>
      </c>
      <c r="B494" s="1" t="n">
        <v>44873</v>
      </c>
      <c r="C494" s="1" t="n">
        <v>45645</v>
      </c>
      <c r="D494" t="inlineStr">
        <is>
          <t>JÄMTLANDS LÄN</t>
        </is>
      </c>
      <c r="E494" t="inlineStr">
        <is>
          <t>ÖSTERSUND</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52898-2022</t>
        </is>
      </c>
      <c r="B495" s="1" t="n">
        <v>44875</v>
      </c>
      <c r="C495" s="1" t="n">
        <v>45645</v>
      </c>
      <c r="D495" t="inlineStr">
        <is>
          <t>JÄMTLANDS LÄN</t>
        </is>
      </c>
      <c r="E495" t="inlineStr">
        <is>
          <t>ÖSTERSUND</t>
        </is>
      </c>
      <c r="F495" t="inlineStr">
        <is>
          <t>Övriga Aktiebolag</t>
        </is>
      </c>
      <c r="G495" t="n">
        <v>12.1</v>
      </c>
      <c r="H495" t="n">
        <v>0</v>
      </c>
      <c r="I495" t="n">
        <v>0</v>
      </c>
      <c r="J495" t="n">
        <v>0</v>
      </c>
      <c r="K495" t="n">
        <v>0</v>
      </c>
      <c r="L495" t="n">
        <v>0</v>
      </c>
      <c r="M495" t="n">
        <v>0</v>
      </c>
      <c r="N495" t="n">
        <v>0</v>
      </c>
      <c r="O495" t="n">
        <v>0</v>
      </c>
      <c r="P495" t="n">
        <v>0</v>
      </c>
      <c r="Q495" t="n">
        <v>0</v>
      </c>
      <c r="R495" s="2" t="inlineStr"/>
    </row>
    <row r="496" ht="15" customHeight="1">
      <c r="A496" t="inlineStr">
        <is>
          <t>A 53802-2022</t>
        </is>
      </c>
      <c r="B496" s="1" t="n">
        <v>44875</v>
      </c>
      <c r="C496" s="1" t="n">
        <v>45645</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53764-2022</t>
        </is>
      </c>
      <c r="B497" s="1" t="n">
        <v>44875</v>
      </c>
      <c r="C497" s="1" t="n">
        <v>45645</v>
      </c>
      <c r="D497" t="inlineStr">
        <is>
          <t>JÄMTLANDS LÄN</t>
        </is>
      </c>
      <c r="E497" t="inlineStr">
        <is>
          <t>ÖSTERSUND</t>
        </is>
      </c>
      <c r="G497" t="n">
        <v>0.2</v>
      </c>
      <c r="H497" t="n">
        <v>0</v>
      </c>
      <c r="I497" t="n">
        <v>0</v>
      </c>
      <c r="J497" t="n">
        <v>0</v>
      </c>
      <c r="K497" t="n">
        <v>0</v>
      </c>
      <c r="L497" t="n">
        <v>0</v>
      </c>
      <c r="M497" t="n">
        <v>0</v>
      </c>
      <c r="N497" t="n">
        <v>0</v>
      </c>
      <c r="O497" t="n">
        <v>0</v>
      </c>
      <c r="P497" t="n">
        <v>0</v>
      </c>
      <c r="Q497" t="n">
        <v>0</v>
      </c>
      <c r="R497" s="2" t="inlineStr"/>
    </row>
    <row r="498" ht="15" customHeight="1">
      <c r="A498" t="inlineStr">
        <is>
          <t>A 53807-2022</t>
        </is>
      </c>
      <c r="B498" s="1" t="n">
        <v>44875</v>
      </c>
      <c r="C498" s="1" t="n">
        <v>45645</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53453-2022</t>
        </is>
      </c>
      <c r="B499" s="1" t="n">
        <v>44879</v>
      </c>
      <c r="C499" s="1" t="n">
        <v>45645</v>
      </c>
      <c r="D499" t="inlineStr">
        <is>
          <t>JÄMTLANDS LÄN</t>
        </is>
      </c>
      <c r="E499" t="inlineStr">
        <is>
          <t>ÖSTERSUND</t>
        </is>
      </c>
      <c r="G499" t="n">
        <v>22.2</v>
      </c>
      <c r="H499" t="n">
        <v>0</v>
      </c>
      <c r="I499" t="n">
        <v>0</v>
      </c>
      <c r="J499" t="n">
        <v>0</v>
      </c>
      <c r="K499" t="n">
        <v>0</v>
      </c>
      <c r="L499" t="n">
        <v>0</v>
      </c>
      <c r="M499" t="n">
        <v>0</v>
      </c>
      <c r="N499" t="n">
        <v>0</v>
      </c>
      <c r="O499" t="n">
        <v>0</v>
      </c>
      <c r="P499" t="n">
        <v>0</v>
      </c>
      <c r="Q499" t="n">
        <v>0</v>
      </c>
      <c r="R499" s="2" t="inlineStr"/>
    </row>
    <row r="500" ht="15" customHeight="1">
      <c r="A500" t="inlineStr">
        <is>
          <t>A 53556-2022</t>
        </is>
      </c>
      <c r="B500" s="1" t="n">
        <v>44879</v>
      </c>
      <c r="C500" s="1" t="n">
        <v>45645</v>
      </c>
      <c r="D500" t="inlineStr">
        <is>
          <t>JÄMTLANDS LÄN</t>
        </is>
      </c>
      <c r="E500" t="inlineStr">
        <is>
          <t>ÖSTERSUND</t>
        </is>
      </c>
      <c r="F500" t="inlineStr">
        <is>
          <t>Övriga Aktiebolag</t>
        </is>
      </c>
      <c r="G500" t="n">
        <v>3.5</v>
      </c>
      <c r="H500" t="n">
        <v>0</v>
      </c>
      <c r="I500" t="n">
        <v>0</v>
      </c>
      <c r="J500" t="n">
        <v>0</v>
      </c>
      <c r="K500" t="n">
        <v>0</v>
      </c>
      <c r="L500" t="n">
        <v>0</v>
      </c>
      <c r="M500" t="n">
        <v>0</v>
      </c>
      <c r="N500" t="n">
        <v>0</v>
      </c>
      <c r="O500" t="n">
        <v>0</v>
      </c>
      <c r="P500" t="n">
        <v>0</v>
      </c>
      <c r="Q500" t="n">
        <v>0</v>
      </c>
      <c r="R500" s="2" t="inlineStr"/>
    </row>
    <row r="501" ht="15" customHeight="1">
      <c r="A501" t="inlineStr">
        <is>
          <t>A 53714-2022</t>
        </is>
      </c>
      <c r="B501" s="1" t="n">
        <v>44880</v>
      </c>
      <c r="C501" s="1" t="n">
        <v>45645</v>
      </c>
      <c r="D501" t="inlineStr">
        <is>
          <t>JÄMTLANDS LÄN</t>
        </is>
      </c>
      <c r="E501" t="inlineStr">
        <is>
          <t>ÖSTERSUND</t>
        </is>
      </c>
      <c r="G501" t="n">
        <v>1.3</v>
      </c>
      <c r="H501" t="n">
        <v>0</v>
      </c>
      <c r="I501" t="n">
        <v>0</v>
      </c>
      <c r="J501" t="n">
        <v>0</v>
      </c>
      <c r="K501" t="n">
        <v>0</v>
      </c>
      <c r="L501" t="n">
        <v>0</v>
      </c>
      <c r="M501" t="n">
        <v>0</v>
      </c>
      <c r="N501" t="n">
        <v>0</v>
      </c>
      <c r="O501" t="n">
        <v>0</v>
      </c>
      <c r="P501" t="n">
        <v>0</v>
      </c>
      <c r="Q501" t="n">
        <v>0</v>
      </c>
      <c r="R501" s="2" t="inlineStr"/>
    </row>
    <row r="502" ht="15" customHeight="1">
      <c r="A502" t="inlineStr">
        <is>
          <t>A 54712-2022</t>
        </is>
      </c>
      <c r="B502" s="1" t="n">
        <v>44883</v>
      </c>
      <c r="C502" s="1" t="n">
        <v>45645</v>
      </c>
      <c r="D502" t="inlineStr">
        <is>
          <t>JÄMTLANDS LÄN</t>
        </is>
      </c>
      <c r="E502" t="inlineStr">
        <is>
          <t>ÖSTERSUND</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54663-2022</t>
        </is>
      </c>
      <c r="B503" s="1" t="n">
        <v>44883</v>
      </c>
      <c r="C503" s="1" t="n">
        <v>45645</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55102-2022</t>
        </is>
      </c>
      <c r="B504" s="1" t="n">
        <v>44886</v>
      </c>
      <c r="C504" s="1" t="n">
        <v>45645</v>
      </c>
      <c r="D504" t="inlineStr">
        <is>
          <t>JÄMTLANDS LÄN</t>
        </is>
      </c>
      <c r="E504" t="inlineStr">
        <is>
          <t>ÖSTERSUND</t>
        </is>
      </c>
      <c r="F504" t="inlineStr">
        <is>
          <t>Övriga Aktiebolag</t>
        </is>
      </c>
      <c r="G504" t="n">
        <v>3.6</v>
      </c>
      <c r="H504" t="n">
        <v>0</v>
      </c>
      <c r="I504" t="n">
        <v>0</v>
      </c>
      <c r="J504" t="n">
        <v>0</v>
      </c>
      <c r="K504" t="n">
        <v>0</v>
      </c>
      <c r="L504" t="n">
        <v>0</v>
      </c>
      <c r="M504" t="n">
        <v>0</v>
      </c>
      <c r="N504" t="n">
        <v>0</v>
      </c>
      <c r="O504" t="n">
        <v>0</v>
      </c>
      <c r="P504" t="n">
        <v>0</v>
      </c>
      <c r="Q504" t="n">
        <v>0</v>
      </c>
      <c r="R504" s="2" t="inlineStr"/>
    </row>
    <row r="505" ht="15" customHeight="1">
      <c r="A505" t="inlineStr">
        <is>
          <t>A 55008-2022</t>
        </is>
      </c>
      <c r="B505" s="1" t="n">
        <v>44886</v>
      </c>
      <c r="C505" s="1" t="n">
        <v>45645</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55105-2022</t>
        </is>
      </c>
      <c r="B506" s="1" t="n">
        <v>44886</v>
      </c>
      <c r="C506" s="1" t="n">
        <v>45645</v>
      </c>
      <c r="D506" t="inlineStr">
        <is>
          <t>JÄMTLANDS LÄN</t>
        </is>
      </c>
      <c r="E506" t="inlineStr">
        <is>
          <t>ÖSTERSUND</t>
        </is>
      </c>
      <c r="F506" t="inlineStr">
        <is>
          <t>Övriga Aktiebolag</t>
        </is>
      </c>
      <c r="G506" t="n">
        <v>2.4</v>
      </c>
      <c r="H506" t="n">
        <v>0</v>
      </c>
      <c r="I506" t="n">
        <v>0</v>
      </c>
      <c r="J506" t="n">
        <v>0</v>
      </c>
      <c r="K506" t="n">
        <v>0</v>
      </c>
      <c r="L506" t="n">
        <v>0</v>
      </c>
      <c r="M506" t="n">
        <v>0</v>
      </c>
      <c r="N506" t="n">
        <v>0</v>
      </c>
      <c r="O506" t="n">
        <v>0</v>
      </c>
      <c r="P506" t="n">
        <v>0</v>
      </c>
      <c r="Q506" t="n">
        <v>0</v>
      </c>
      <c r="R506" s="2" t="inlineStr"/>
      <c r="U506">
        <f>HYPERLINK("https://klasma.github.io/Logging_2380/knärot/A 55105-2022 karta knärot.png", "A 55105-2022")</f>
        <v/>
      </c>
      <c r="V506">
        <f>HYPERLINK("https://klasma.github.io/Logging_2380/klagomål/A 55105-2022 FSC-klagomål.docx", "A 55105-2022")</f>
        <v/>
      </c>
      <c r="W506">
        <f>HYPERLINK("https://klasma.github.io/Logging_2380/klagomålsmail/A 55105-2022 FSC-klagomål mail.docx", "A 55105-2022")</f>
        <v/>
      </c>
      <c r="X506">
        <f>HYPERLINK("https://klasma.github.io/Logging_2380/tillsyn/A 55105-2022 tillsynsbegäran.docx", "A 55105-2022")</f>
        <v/>
      </c>
      <c r="Y506">
        <f>HYPERLINK("https://klasma.github.io/Logging_2380/tillsynsmail/A 55105-2022 tillsynsbegäran mail.docx", "A 55105-2022")</f>
        <v/>
      </c>
    </row>
    <row r="507" ht="15" customHeight="1">
      <c r="A507" t="inlineStr">
        <is>
          <t>A 55371-2022</t>
        </is>
      </c>
      <c r="B507" s="1" t="n">
        <v>44887</v>
      </c>
      <c r="C507" s="1" t="n">
        <v>45645</v>
      </c>
      <c r="D507" t="inlineStr">
        <is>
          <t>JÄMTLANDS LÄN</t>
        </is>
      </c>
      <c r="E507" t="inlineStr">
        <is>
          <t>ÖSTERSUND</t>
        </is>
      </c>
      <c r="F507" t="inlineStr">
        <is>
          <t>Övriga Aktiebolag</t>
        </is>
      </c>
      <c r="G507" t="n">
        <v>15.4</v>
      </c>
      <c r="H507" t="n">
        <v>0</v>
      </c>
      <c r="I507" t="n">
        <v>0</v>
      </c>
      <c r="J507" t="n">
        <v>0</v>
      </c>
      <c r="K507" t="n">
        <v>0</v>
      </c>
      <c r="L507" t="n">
        <v>0</v>
      </c>
      <c r="M507" t="n">
        <v>0</v>
      </c>
      <c r="N507" t="n">
        <v>0</v>
      </c>
      <c r="O507" t="n">
        <v>0</v>
      </c>
      <c r="P507" t="n">
        <v>0</v>
      </c>
      <c r="Q507" t="n">
        <v>0</v>
      </c>
      <c r="R507" s="2" t="inlineStr"/>
    </row>
    <row r="508" ht="15" customHeight="1">
      <c r="A508" t="inlineStr">
        <is>
          <t>A 55448-2022</t>
        </is>
      </c>
      <c r="B508" s="1" t="n">
        <v>44887</v>
      </c>
      <c r="C508" s="1" t="n">
        <v>45645</v>
      </c>
      <c r="D508" t="inlineStr">
        <is>
          <t>JÄMTLANDS LÄN</t>
        </is>
      </c>
      <c r="E508" t="inlineStr">
        <is>
          <t>ÖSTERSUND</t>
        </is>
      </c>
      <c r="G508" t="n">
        <v>5.2</v>
      </c>
      <c r="H508" t="n">
        <v>0</v>
      </c>
      <c r="I508" t="n">
        <v>0</v>
      </c>
      <c r="J508" t="n">
        <v>0</v>
      </c>
      <c r="K508" t="n">
        <v>0</v>
      </c>
      <c r="L508" t="n">
        <v>0</v>
      </c>
      <c r="M508" t="n">
        <v>0</v>
      </c>
      <c r="N508" t="n">
        <v>0</v>
      </c>
      <c r="O508" t="n">
        <v>0</v>
      </c>
      <c r="P508" t="n">
        <v>0</v>
      </c>
      <c r="Q508" t="n">
        <v>0</v>
      </c>
      <c r="R508" s="2" t="inlineStr"/>
    </row>
    <row r="509" ht="15" customHeight="1">
      <c r="A509" t="inlineStr">
        <is>
          <t>A 56067-2022</t>
        </is>
      </c>
      <c r="B509" s="1" t="n">
        <v>44889</v>
      </c>
      <c r="C509" s="1" t="n">
        <v>45645</v>
      </c>
      <c r="D509" t="inlineStr">
        <is>
          <t>JÄMTLANDS LÄN</t>
        </is>
      </c>
      <c r="E509" t="inlineStr">
        <is>
          <t>ÖSTERSUND</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56148-2022</t>
        </is>
      </c>
      <c r="B510" s="1" t="n">
        <v>44889</v>
      </c>
      <c r="C510" s="1" t="n">
        <v>45645</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56111-2022</t>
        </is>
      </c>
      <c r="B511" s="1" t="n">
        <v>44889</v>
      </c>
      <c r="C511" s="1" t="n">
        <v>45645</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57009-2022</t>
        </is>
      </c>
      <c r="B512" s="1" t="n">
        <v>44894</v>
      </c>
      <c r="C512" s="1" t="n">
        <v>45645</v>
      </c>
      <c r="D512" t="inlineStr">
        <is>
          <t>JÄMTLANDS LÄN</t>
        </is>
      </c>
      <c r="E512" t="inlineStr">
        <is>
          <t>ÖSTERSUND</t>
        </is>
      </c>
      <c r="G512" t="n">
        <v>1.4</v>
      </c>
      <c r="H512" t="n">
        <v>0</v>
      </c>
      <c r="I512" t="n">
        <v>0</v>
      </c>
      <c r="J512" t="n">
        <v>0</v>
      </c>
      <c r="K512" t="n">
        <v>0</v>
      </c>
      <c r="L512" t="n">
        <v>0</v>
      </c>
      <c r="M512" t="n">
        <v>0</v>
      </c>
      <c r="N512" t="n">
        <v>0</v>
      </c>
      <c r="O512" t="n">
        <v>0</v>
      </c>
      <c r="P512" t="n">
        <v>0</v>
      </c>
      <c r="Q512" t="n">
        <v>0</v>
      </c>
      <c r="R512" s="2" t="inlineStr"/>
    </row>
    <row r="513" ht="15" customHeight="1">
      <c r="A513" t="inlineStr">
        <is>
          <t>A 59266-2022</t>
        </is>
      </c>
      <c r="B513" s="1" t="n">
        <v>44904</v>
      </c>
      <c r="C513" s="1" t="n">
        <v>45645</v>
      </c>
      <c r="D513" t="inlineStr">
        <is>
          <t>JÄMTLANDS LÄN</t>
        </is>
      </c>
      <c r="E513" t="inlineStr">
        <is>
          <t>ÖSTERSUND</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59648-2022</t>
        </is>
      </c>
      <c r="B514" s="1" t="n">
        <v>44907</v>
      </c>
      <c r="C514" s="1" t="n">
        <v>45645</v>
      </c>
      <c r="D514" t="inlineStr">
        <is>
          <t>JÄMTLANDS LÄN</t>
        </is>
      </c>
      <c r="E514" t="inlineStr">
        <is>
          <t>ÖSTERSUND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59649-2022</t>
        </is>
      </c>
      <c r="B515" s="1" t="n">
        <v>44908</v>
      </c>
      <c r="C515" s="1" t="n">
        <v>45645</v>
      </c>
      <c r="D515" t="inlineStr">
        <is>
          <t>JÄMTLANDS LÄN</t>
        </is>
      </c>
      <c r="E515" t="inlineStr">
        <is>
          <t>ÖSTERSUND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60174-2022</t>
        </is>
      </c>
      <c r="B516" s="1" t="n">
        <v>44910</v>
      </c>
      <c r="C516" s="1" t="n">
        <v>45645</v>
      </c>
      <c r="D516" t="inlineStr">
        <is>
          <t>JÄMTLANDS LÄN</t>
        </is>
      </c>
      <c r="E516" t="inlineStr">
        <is>
          <t>ÖSTERSUND</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61256-2022</t>
        </is>
      </c>
      <c r="B517" s="1" t="n">
        <v>44909</v>
      </c>
      <c r="C517" s="1" t="n">
        <v>45645</v>
      </c>
      <c r="D517" t="inlineStr">
        <is>
          <t>JÄMTLANDS LÄN</t>
        </is>
      </c>
      <c r="E517" t="inlineStr">
        <is>
          <t>ÖSTERSUND</t>
        </is>
      </c>
      <c r="G517" t="n">
        <v>3.9</v>
      </c>
      <c r="H517" t="n">
        <v>0</v>
      </c>
      <c r="I517" t="n">
        <v>0</v>
      </c>
      <c r="J517" t="n">
        <v>0</v>
      </c>
      <c r="K517" t="n">
        <v>0</v>
      </c>
      <c r="L517" t="n">
        <v>0</v>
      </c>
      <c r="M517" t="n">
        <v>0</v>
      </c>
      <c r="N517" t="n">
        <v>0</v>
      </c>
      <c r="O517" t="n">
        <v>0</v>
      </c>
      <c r="P517" t="n">
        <v>0</v>
      </c>
      <c r="Q517" t="n">
        <v>0</v>
      </c>
      <c r="R517" s="2" t="inlineStr"/>
    </row>
    <row r="518" ht="15" customHeight="1">
      <c r="A518" t="inlineStr">
        <is>
          <t>A 60430-2022</t>
        </is>
      </c>
      <c r="B518" s="1" t="n">
        <v>44911</v>
      </c>
      <c r="C518" s="1" t="n">
        <v>45645</v>
      </c>
      <c r="D518" t="inlineStr">
        <is>
          <t>JÄMTLANDS LÄN</t>
        </is>
      </c>
      <c r="E518" t="inlineStr">
        <is>
          <t>ÖSTERSUND</t>
        </is>
      </c>
      <c r="F518" t="inlineStr">
        <is>
          <t>Övriga Aktiebolag</t>
        </is>
      </c>
      <c r="G518" t="n">
        <v>24.2</v>
      </c>
      <c r="H518" t="n">
        <v>0</v>
      </c>
      <c r="I518" t="n">
        <v>0</v>
      </c>
      <c r="J518" t="n">
        <v>0</v>
      </c>
      <c r="K518" t="n">
        <v>0</v>
      </c>
      <c r="L518" t="n">
        <v>0</v>
      </c>
      <c r="M518" t="n">
        <v>0</v>
      </c>
      <c r="N518" t="n">
        <v>0</v>
      </c>
      <c r="O518" t="n">
        <v>0</v>
      </c>
      <c r="P518" t="n">
        <v>0</v>
      </c>
      <c r="Q518" t="n">
        <v>0</v>
      </c>
      <c r="R518" s="2" t="inlineStr"/>
    </row>
    <row r="519" ht="15" customHeight="1">
      <c r="A519" t="inlineStr">
        <is>
          <t>A 60575-2022</t>
        </is>
      </c>
      <c r="B519" s="1" t="n">
        <v>44911</v>
      </c>
      <c r="C519" s="1" t="n">
        <v>45645</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60674-2022</t>
        </is>
      </c>
      <c r="B520" s="1" t="n">
        <v>44911</v>
      </c>
      <c r="C520" s="1" t="n">
        <v>45645</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60677-2022</t>
        </is>
      </c>
      <c r="B521" s="1" t="n">
        <v>44911</v>
      </c>
      <c r="C521" s="1" t="n">
        <v>45645</v>
      </c>
      <c r="D521" t="inlineStr">
        <is>
          <t>JÄMTLANDS LÄN</t>
        </is>
      </c>
      <c r="E521" t="inlineStr">
        <is>
          <t>ÖSTERSUND</t>
        </is>
      </c>
      <c r="G521" t="n">
        <v>1.6</v>
      </c>
      <c r="H521" t="n">
        <v>0</v>
      </c>
      <c r="I521" t="n">
        <v>0</v>
      </c>
      <c r="J521" t="n">
        <v>0</v>
      </c>
      <c r="K521" t="n">
        <v>0</v>
      </c>
      <c r="L521" t="n">
        <v>0</v>
      </c>
      <c r="M521" t="n">
        <v>0</v>
      </c>
      <c r="N521" t="n">
        <v>0</v>
      </c>
      <c r="O521" t="n">
        <v>0</v>
      </c>
      <c r="P521" t="n">
        <v>0</v>
      </c>
      <c r="Q521" t="n">
        <v>0</v>
      </c>
      <c r="R521" s="2" t="inlineStr"/>
    </row>
    <row r="522" ht="15" customHeight="1">
      <c r="A522" t="inlineStr">
        <is>
          <t>A 60681-2022</t>
        </is>
      </c>
      <c r="B522" s="1" t="n">
        <v>44911</v>
      </c>
      <c r="C522" s="1" t="n">
        <v>45645</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60678-2022</t>
        </is>
      </c>
      <c r="B523" s="1" t="n">
        <v>44911</v>
      </c>
      <c r="C523" s="1" t="n">
        <v>45645</v>
      </c>
      <c r="D523" t="inlineStr">
        <is>
          <t>JÄMTLANDS LÄN</t>
        </is>
      </c>
      <c r="E523" t="inlineStr">
        <is>
          <t>ÖSTERSUND</t>
        </is>
      </c>
      <c r="G523" t="n">
        <v>4.1</v>
      </c>
      <c r="H523" t="n">
        <v>0</v>
      </c>
      <c r="I523" t="n">
        <v>0</v>
      </c>
      <c r="J523" t="n">
        <v>0</v>
      </c>
      <c r="K523" t="n">
        <v>0</v>
      </c>
      <c r="L523" t="n">
        <v>0</v>
      </c>
      <c r="M523" t="n">
        <v>0</v>
      </c>
      <c r="N523" t="n">
        <v>0</v>
      </c>
      <c r="O523" t="n">
        <v>0</v>
      </c>
      <c r="P523" t="n">
        <v>0</v>
      </c>
      <c r="Q523" t="n">
        <v>0</v>
      </c>
      <c r="R523" s="2" t="inlineStr"/>
    </row>
    <row r="524" ht="15" customHeight="1">
      <c r="A524" t="inlineStr">
        <is>
          <t>A 60560-2022</t>
        </is>
      </c>
      <c r="B524" s="1" t="n">
        <v>44911</v>
      </c>
      <c r="C524" s="1" t="n">
        <v>45645</v>
      </c>
      <c r="D524" t="inlineStr">
        <is>
          <t>JÄMTLANDS LÄN</t>
        </is>
      </c>
      <c r="E524" t="inlineStr">
        <is>
          <t>ÖSTERSUND</t>
        </is>
      </c>
      <c r="G524" t="n">
        <v>0.9</v>
      </c>
      <c r="H524" t="n">
        <v>0</v>
      </c>
      <c r="I524" t="n">
        <v>0</v>
      </c>
      <c r="J524" t="n">
        <v>0</v>
      </c>
      <c r="K524" t="n">
        <v>0</v>
      </c>
      <c r="L524" t="n">
        <v>0</v>
      </c>
      <c r="M524" t="n">
        <v>0</v>
      </c>
      <c r="N524" t="n">
        <v>0</v>
      </c>
      <c r="O524" t="n">
        <v>0</v>
      </c>
      <c r="P524" t="n">
        <v>0</v>
      </c>
      <c r="Q524" t="n">
        <v>0</v>
      </c>
      <c r="R524" s="2" t="inlineStr"/>
    </row>
    <row r="525" ht="15" customHeight="1">
      <c r="A525" t="inlineStr">
        <is>
          <t>A 60676-2022</t>
        </is>
      </c>
      <c r="B525" s="1" t="n">
        <v>44911</v>
      </c>
      <c r="C525" s="1" t="n">
        <v>45645</v>
      </c>
      <c r="D525" t="inlineStr">
        <is>
          <t>JÄMTLANDS LÄN</t>
        </is>
      </c>
      <c r="E525" t="inlineStr">
        <is>
          <t>ÖSTERSUND</t>
        </is>
      </c>
      <c r="G525" t="n">
        <v>4.1</v>
      </c>
      <c r="H525" t="n">
        <v>0</v>
      </c>
      <c r="I525" t="n">
        <v>0</v>
      </c>
      <c r="J525" t="n">
        <v>0</v>
      </c>
      <c r="K525" t="n">
        <v>0</v>
      </c>
      <c r="L525" t="n">
        <v>0</v>
      </c>
      <c r="M525" t="n">
        <v>0</v>
      </c>
      <c r="N525" t="n">
        <v>0</v>
      </c>
      <c r="O525" t="n">
        <v>0</v>
      </c>
      <c r="P525" t="n">
        <v>0</v>
      </c>
      <c r="Q525" t="n">
        <v>0</v>
      </c>
      <c r="R525" s="2" t="inlineStr"/>
    </row>
    <row r="526" ht="15" customHeight="1">
      <c r="A526" t="inlineStr">
        <is>
          <t>A 60680-2022</t>
        </is>
      </c>
      <c r="B526" s="1" t="n">
        <v>44911</v>
      </c>
      <c r="C526" s="1" t="n">
        <v>45645</v>
      </c>
      <c r="D526" t="inlineStr">
        <is>
          <t>JÄMTLANDS LÄN</t>
        </is>
      </c>
      <c r="E526" t="inlineStr">
        <is>
          <t>ÖSTERSUND</t>
        </is>
      </c>
      <c r="G526" t="n">
        <v>1.3</v>
      </c>
      <c r="H526" t="n">
        <v>0</v>
      </c>
      <c r="I526" t="n">
        <v>0</v>
      </c>
      <c r="J526" t="n">
        <v>0</v>
      </c>
      <c r="K526" t="n">
        <v>0</v>
      </c>
      <c r="L526" t="n">
        <v>0</v>
      </c>
      <c r="M526" t="n">
        <v>0</v>
      </c>
      <c r="N526" t="n">
        <v>0</v>
      </c>
      <c r="O526" t="n">
        <v>0</v>
      </c>
      <c r="P526" t="n">
        <v>0</v>
      </c>
      <c r="Q526" t="n">
        <v>0</v>
      </c>
      <c r="R526" s="2" t="inlineStr"/>
    </row>
    <row r="527" ht="15" customHeight="1">
      <c r="A527" t="inlineStr">
        <is>
          <t>A 60623-2022</t>
        </is>
      </c>
      <c r="B527" s="1" t="n">
        <v>44911</v>
      </c>
      <c r="C527" s="1" t="n">
        <v>45645</v>
      </c>
      <c r="D527" t="inlineStr">
        <is>
          <t>JÄMTLANDS LÄN</t>
        </is>
      </c>
      <c r="E527" t="inlineStr">
        <is>
          <t>ÖSTERSUND</t>
        </is>
      </c>
      <c r="G527" t="n">
        <v>10.9</v>
      </c>
      <c r="H527" t="n">
        <v>0</v>
      </c>
      <c r="I527" t="n">
        <v>0</v>
      </c>
      <c r="J527" t="n">
        <v>0</v>
      </c>
      <c r="K527" t="n">
        <v>0</v>
      </c>
      <c r="L527" t="n">
        <v>0</v>
      </c>
      <c r="M527" t="n">
        <v>0</v>
      </c>
      <c r="N527" t="n">
        <v>0</v>
      </c>
      <c r="O527" t="n">
        <v>0</v>
      </c>
      <c r="P527" t="n">
        <v>0</v>
      </c>
      <c r="Q527" t="n">
        <v>0</v>
      </c>
      <c r="R527" s="2" t="inlineStr"/>
    </row>
    <row r="528" ht="15" customHeight="1">
      <c r="A528" t="inlineStr">
        <is>
          <t>A 60675-2022</t>
        </is>
      </c>
      <c r="B528" s="1" t="n">
        <v>44911</v>
      </c>
      <c r="C528" s="1" t="n">
        <v>45645</v>
      </c>
      <c r="D528" t="inlineStr">
        <is>
          <t>JÄMTLANDS LÄN</t>
        </is>
      </c>
      <c r="E528" t="inlineStr">
        <is>
          <t>ÖSTERSUND</t>
        </is>
      </c>
      <c r="G528" t="n">
        <v>4.3</v>
      </c>
      <c r="H528" t="n">
        <v>0</v>
      </c>
      <c r="I528" t="n">
        <v>0</v>
      </c>
      <c r="J528" t="n">
        <v>0</v>
      </c>
      <c r="K528" t="n">
        <v>0</v>
      </c>
      <c r="L528" t="n">
        <v>0</v>
      </c>
      <c r="M528" t="n">
        <v>0</v>
      </c>
      <c r="N528" t="n">
        <v>0</v>
      </c>
      <c r="O528" t="n">
        <v>0</v>
      </c>
      <c r="P528" t="n">
        <v>0</v>
      </c>
      <c r="Q528" t="n">
        <v>0</v>
      </c>
      <c r="R528" s="2" t="inlineStr"/>
    </row>
    <row r="529" ht="15" customHeight="1">
      <c r="A529" t="inlineStr">
        <is>
          <t>A 60679-2022</t>
        </is>
      </c>
      <c r="B529" s="1" t="n">
        <v>44911</v>
      </c>
      <c r="C529" s="1" t="n">
        <v>45645</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60767-2022</t>
        </is>
      </c>
      <c r="B530" s="1" t="n">
        <v>44914</v>
      </c>
      <c r="C530" s="1" t="n">
        <v>45645</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61653-2022</t>
        </is>
      </c>
      <c r="B531" s="1" t="n">
        <v>44916</v>
      </c>
      <c r="C531" s="1" t="n">
        <v>45645</v>
      </c>
      <c r="D531" t="inlineStr">
        <is>
          <t>JÄMTLANDS LÄN</t>
        </is>
      </c>
      <c r="E531" t="inlineStr">
        <is>
          <t>ÖSTERSUND</t>
        </is>
      </c>
      <c r="G531" t="n">
        <v>7.6</v>
      </c>
      <c r="H531" t="n">
        <v>0</v>
      </c>
      <c r="I531" t="n">
        <v>0</v>
      </c>
      <c r="J531" t="n">
        <v>0</v>
      </c>
      <c r="K531" t="n">
        <v>0</v>
      </c>
      <c r="L531" t="n">
        <v>0</v>
      </c>
      <c r="M531" t="n">
        <v>0</v>
      </c>
      <c r="N531" t="n">
        <v>0</v>
      </c>
      <c r="O531" t="n">
        <v>0</v>
      </c>
      <c r="P531" t="n">
        <v>0</v>
      </c>
      <c r="Q531" t="n">
        <v>0</v>
      </c>
      <c r="R531" s="2" t="inlineStr"/>
    </row>
    <row r="532" ht="15" customHeight="1">
      <c r="A532" t="inlineStr">
        <is>
          <t>A 62040-2022</t>
        </is>
      </c>
      <c r="B532" s="1" t="n">
        <v>44918</v>
      </c>
      <c r="C532" s="1" t="n">
        <v>45645</v>
      </c>
      <c r="D532" t="inlineStr">
        <is>
          <t>JÄMTLANDS LÄN</t>
        </is>
      </c>
      <c r="E532" t="inlineStr">
        <is>
          <t>ÖSTERSUND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62043-2022</t>
        </is>
      </c>
      <c r="B533" s="1" t="n">
        <v>44918</v>
      </c>
      <c r="C533" s="1" t="n">
        <v>45645</v>
      </c>
      <c r="D533" t="inlineStr">
        <is>
          <t>JÄMTLANDS LÄN</t>
        </is>
      </c>
      <c r="E533" t="inlineStr">
        <is>
          <t>ÖSTERSUND</t>
        </is>
      </c>
      <c r="G533" t="n">
        <v>5.2</v>
      </c>
      <c r="H533" t="n">
        <v>0</v>
      </c>
      <c r="I533" t="n">
        <v>0</v>
      </c>
      <c r="J533" t="n">
        <v>0</v>
      </c>
      <c r="K533" t="n">
        <v>0</v>
      </c>
      <c r="L533" t="n">
        <v>0</v>
      </c>
      <c r="M533" t="n">
        <v>0</v>
      </c>
      <c r="N533" t="n">
        <v>0</v>
      </c>
      <c r="O533" t="n">
        <v>0</v>
      </c>
      <c r="P533" t="n">
        <v>0</v>
      </c>
      <c r="Q533" t="n">
        <v>0</v>
      </c>
      <c r="R533" s="2" t="inlineStr"/>
    </row>
    <row r="534" ht="15" customHeight="1">
      <c r="A534" t="inlineStr">
        <is>
          <t>A 62227-2022</t>
        </is>
      </c>
      <c r="B534" s="1" t="n">
        <v>44922</v>
      </c>
      <c r="C534" s="1" t="n">
        <v>45645</v>
      </c>
      <c r="D534" t="inlineStr">
        <is>
          <t>JÄMTLANDS LÄN</t>
        </is>
      </c>
      <c r="E534" t="inlineStr">
        <is>
          <t>ÖSTERSUND</t>
        </is>
      </c>
      <c r="G534" t="n">
        <v>2.2</v>
      </c>
      <c r="H534" t="n">
        <v>0</v>
      </c>
      <c r="I534" t="n">
        <v>0</v>
      </c>
      <c r="J534" t="n">
        <v>0</v>
      </c>
      <c r="K534" t="n">
        <v>0</v>
      </c>
      <c r="L534" t="n">
        <v>0</v>
      </c>
      <c r="M534" t="n">
        <v>0</v>
      </c>
      <c r="N534" t="n">
        <v>0</v>
      </c>
      <c r="O534" t="n">
        <v>0</v>
      </c>
      <c r="P534" t="n">
        <v>0</v>
      </c>
      <c r="Q534" t="n">
        <v>0</v>
      </c>
      <c r="R534" s="2" t="inlineStr"/>
    </row>
    <row r="535" ht="15" customHeight="1">
      <c r="A535" t="inlineStr">
        <is>
          <t>A 62225-2022</t>
        </is>
      </c>
      <c r="B535" s="1" t="n">
        <v>44922</v>
      </c>
      <c r="C535" s="1" t="n">
        <v>45645</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62222-2022</t>
        </is>
      </c>
      <c r="B536" s="1" t="n">
        <v>44922</v>
      </c>
      <c r="C536" s="1" t="n">
        <v>45645</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296-2023</t>
        </is>
      </c>
      <c r="B537" s="1" t="n">
        <v>44922</v>
      </c>
      <c r="C537" s="1" t="n">
        <v>45645</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12-2023</t>
        </is>
      </c>
      <c r="B538" s="1" t="n">
        <v>44927</v>
      </c>
      <c r="C538" s="1" t="n">
        <v>45645</v>
      </c>
      <c r="D538" t="inlineStr">
        <is>
          <t>JÄMTLANDS LÄN</t>
        </is>
      </c>
      <c r="E538" t="inlineStr">
        <is>
          <t>ÖSTERSUND</t>
        </is>
      </c>
      <c r="G538" t="n">
        <v>4.7</v>
      </c>
      <c r="H538" t="n">
        <v>0</v>
      </c>
      <c r="I538" t="n">
        <v>0</v>
      </c>
      <c r="J538" t="n">
        <v>0</v>
      </c>
      <c r="K538" t="n">
        <v>0</v>
      </c>
      <c r="L538" t="n">
        <v>0</v>
      </c>
      <c r="M538" t="n">
        <v>0</v>
      </c>
      <c r="N538" t="n">
        <v>0</v>
      </c>
      <c r="O538" t="n">
        <v>0</v>
      </c>
      <c r="P538" t="n">
        <v>0</v>
      </c>
      <c r="Q538" t="n">
        <v>0</v>
      </c>
      <c r="R538" s="2" t="inlineStr"/>
    </row>
    <row r="539" ht="15" customHeight="1">
      <c r="A539" t="inlineStr">
        <is>
          <t>A 257-2023</t>
        </is>
      </c>
      <c r="B539" s="1" t="n">
        <v>44928</v>
      </c>
      <c r="C539" s="1" t="n">
        <v>45645</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55-2023</t>
        </is>
      </c>
      <c r="B540" s="1" t="n">
        <v>44928</v>
      </c>
      <c r="C540" s="1" t="n">
        <v>45645</v>
      </c>
      <c r="D540" t="inlineStr">
        <is>
          <t>JÄMTLANDS LÄN</t>
        </is>
      </c>
      <c r="E540" t="inlineStr">
        <is>
          <t>ÖSTERSUND</t>
        </is>
      </c>
      <c r="G540" t="n">
        <v>4</v>
      </c>
      <c r="H540" t="n">
        <v>0</v>
      </c>
      <c r="I540" t="n">
        <v>0</v>
      </c>
      <c r="J540" t="n">
        <v>0</v>
      </c>
      <c r="K540" t="n">
        <v>0</v>
      </c>
      <c r="L540" t="n">
        <v>0</v>
      </c>
      <c r="M540" t="n">
        <v>0</v>
      </c>
      <c r="N540" t="n">
        <v>0</v>
      </c>
      <c r="O540" t="n">
        <v>0</v>
      </c>
      <c r="P540" t="n">
        <v>0</v>
      </c>
      <c r="Q540" t="n">
        <v>0</v>
      </c>
      <c r="R540" s="2" t="inlineStr"/>
    </row>
    <row r="541" ht="15" customHeight="1">
      <c r="A541" t="inlineStr">
        <is>
          <t>A 1234-2023</t>
        </is>
      </c>
      <c r="B541" s="1" t="n">
        <v>44936</v>
      </c>
      <c r="C541" s="1" t="n">
        <v>45645</v>
      </c>
      <c r="D541" t="inlineStr">
        <is>
          <t>JÄMTLANDS LÄN</t>
        </is>
      </c>
      <c r="E541" t="inlineStr">
        <is>
          <t>ÖSTERSUND</t>
        </is>
      </c>
      <c r="G541" t="n">
        <v>2.3</v>
      </c>
      <c r="H541" t="n">
        <v>0</v>
      </c>
      <c r="I541" t="n">
        <v>0</v>
      </c>
      <c r="J541" t="n">
        <v>0</v>
      </c>
      <c r="K541" t="n">
        <v>0</v>
      </c>
      <c r="L541" t="n">
        <v>0</v>
      </c>
      <c r="M541" t="n">
        <v>0</v>
      </c>
      <c r="N541" t="n">
        <v>0</v>
      </c>
      <c r="O541" t="n">
        <v>0</v>
      </c>
      <c r="P541" t="n">
        <v>0</v>
      </c>
      <c r="Q541" t="n">
        <v>0</v>
      </c>
      <c r="R541" s="2" t="inlineStr"/>
    </row>
    <row r="542" ht="15" customHeight="1">
      <c r="A542" t="inlineStr">
        <is>
          <t>A 1893-2023</t>
        </is>
      </c>
      <c r="B542" s="1" t="n">
        <v>44937</v>
      </c>
      <c r="C542" s="1" t="n">
        <v>45645</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2420-2023</t>
        </is>
      </c>
      <c r="B543" s="1" t="n">
        <v>44943</v>
      </c>
      <c r="C543" s="1" t="n">
        <v>45645</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3339-2023</t>
        </is>
      </c>
      <c r="B544" s="1" t="n">
        <v>44949</v>
      </c>
      <c r="C544" s="1" t="n">
        <v>45645</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3749-2023</t>
        </is>
      </c>
      <c r="B545" s="1" t="n">
        <v>44949</v>
      </c>
      <c r="C545" s="1" t="n">
        <v>45645</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3949-2023</t>
        </is>
      </c>
      <c r="B546" s="1" t="n">
        <v>44950</v>
      </c>
      <c r="C546" s="1" t="n">
        <v>45645</v>
      </c>
      <c r="D546" t="inlineStr">
        <is>
          <t>JÄMTLANDS LÄN</t>
        </is>
      </c>
      <c r="E546" t="inlineStr">
        <is>
          <t>ÖSTERSUND</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4134-2023</t>
        </is>
      </c>
      <c r="B547" s="1" t="n">
        <v>44952</v>
      </c>
      <c r="C547" s="1" t="n">
        <v>45645</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4135-2023</t>
        </is>
      </c>
      <c r="B548" s="1" t="n">
        <v>44952</v>
      </c>
      <c r="C548" s="1" t="n">
        <v>45645</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4136-2023</t>
        </is>
      </c>
      <c r="B549" s="1" t="n">
        <v>44952</v>
      </c>
      <c r="C549" s="1" t="n">
        <v>45645</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4345-2023</t>
        </is>
      </c>
      <c r="B550" s="1" t="n">
        <v>44954</v>
      </c>
      <c r="C550" s="1" t="n">
        <v>45645</v>
      </c>
      <c r="D550" t="inlineStr">
        <is>
          <t>JÄMTLANDS LÄN</t>
        </is>
      </c>
      <c r="E550" t="inlineStr">
        <is>
          <t>ÖSTERSUND</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5197-2023</t>
        </is>
      </c>
      <c r="B551" s="1" t="n">
        <v>44953</v>
      </c>
      <c r="C551" s="1" t="n">
        <v>45645</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4872-2023</t>
        </is>
      </c>
      <c r="B552" s="1" t="n">
        <v>44957</v>
      </c>
      <c r="C552" s="1" t="n">
        <v>45645</v>
      </c>
      <c r="D552" t="inlineStr">
        <is>
          <t>JÄMTLANDS LÄN</t>
        </is>
      </c>
      <c r="E552" t="inlineStr">
        <is>
          <t>ÖSTERSUND</t>
        </is>
      </c>
      <c r="G552" t="n">
        <v>10.7</v>
      </c>
      <c r="H552" t="n">
        <v>0</v>
      </c>
      <c r="I552" t="n">
        <v>0</v>
      </c>
      <c r="J552" t="n">
        <v>0</v>
      </c>
      <c r="K552" t="n">
        <v>0</v>
      </c>
      <c r="L552" t="n">
        <v>0</v>
      </c>
      <c r="M552" t="n">
        <v>0</v>
      </c>
      <c r="N552" t="n">
        <v>0</v>
      </c>
      <c r="O552" t="n">
        <v>0</v>
      </c>
      <c r="P552" t="n">
        <v>0</v>
      </c>
      <c r="Q552" t="n">
        <v>0</v>
      </c>
      <c r="R552" s="2" t="inlineStr"/>
    </row>
    <row r="553" ht="15" customHeight="1">
      <c r="A553" t="inlineStr">
        <is>
          <t>A 5951-2023</t>
        </is>
      </c>
      <c r="B553" s="1" t="n">
        <v>44963</v>
      </c>
      <c r="C553" s="1" t="n">
        <v>45645</v>
      </c>
      <c r="D553" t="inlineStr">
        <is>
          <t>JÄMTLANDS LÄN</t>
        </is>
      </c>
      <c r="E553" t="inlineStr">
        <is>
          <t>ÖSTERSUND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5950-2023</t>
        </is>
      </c>
      <c r="B554" s="1" t="n">
        <v>44963</v>
      </c>
      <c r="C554" s="1" t="n">
        <v>45645</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6341-2023</t>
        </is>
      </c>
      <c r="B555" s="1" t="n">
        <v>44965</v>
      </c>
      <c r="C555" s="1" t="n">
        <v>45645</v>
      </c>
      <c r="D555" t="inlineStr">
        <is>
          <t>JÄMTLANDS LÄN</t>
        </is>
      </c>
      <c r="E555" t="inlineStr">
        <is>
          <t>ÖSTERSUND</t>
        </is>
      </c>
      <c r="G555" t="n">
        <v>6</v>
      </c>
      <c r="H555" t="n">
        <v>0</v>
      </c>
      <c r="I555" t="n">
        <v>0</v>
      </c>
      <c r="J555" t="n">
        <v>0</v>
      </c>
      <c r="K555" t="n">
        <v>0</v>
      </c>
      <c r="L555" t="n">
        <v>0</v>
      </c>
      <c r="M555" t="n">
        <v>0</v>
      </c>
      <c r="N555" t="n">
        <v>0</v>
      </c>
      <c r="O555" t="n">
        <v>0</v>
      </c>
      <c r="P555" t="n">
        <v>0</v>
      </c>
      <c r="Q555" t="n">
        <v>0</v>
      </c>
      <c r="R555" s="2" t="inlineStr"/>
    </row>
    <row r="556" ht="15" customHeight="1">
      <c r="A556" t="inlineStr">
        <is>
          <t>A 7327-2023</t>
        </is>
      </c>
      <c r="B556" s="1" t="n">
        <v>44971</v>
      </c>
      <c r="C556" s="1" t="n">
        <v>45645</v>
      </c>
      <c r="D556" t="inlineStr">
        <is>
          <t>JÄMTLANDS LÄN</t>
        </is>
      </c>
      <c r="E556" t="inlineStr">
        <is>
          <t>ÖSTERSUND</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7983-2023</t>
        </is>
      </c>
      <c r="B557" s="1" t="n">
        <v>44970</v>
      </c>
      <c r="C557" s="1" t="n">
        <v>45645</v>
      </c>
      <c r="D557" t="inlineStr">
        <is>
          <t>JÄMTLANDS LÄN</t>
        </is>
      </c>
      <c r="E557" t="inlineStr">
        <is>
          <t>ÖSTERSUND</t>
        </is>
      </c>
      <c r="G557" t="n">
        <v>1.8</v>
      </c>
      <c r="H557" t="n">
        <v>0</v>
      </c>
      <c r="I557" t="n">
        <v>0</v>
      </c>
      <c r="J557" t="n">
        <v>0</v>
      </c>
      <c r="K557" t="n">
        <v>0</v>
      </c>
      <c r="L557" t="n">
        <v>0</v>
      </c>
      <c r="M557" t="n">
        <v>0</v>
      </c>
      <c r="N557" t="n">
        <v>0</v>
      </c>
      <c r="O557" t="n">
        <v>0</v>
      </c>
      <c r="P557" t="n">
        <v>0</v>
      </c>
      <c r="Q557" t="n">
        <v>0</v>
      </c>
      <c r="R557" s="2" t="inlineStr"/>
    </row>
    <row r="558" ht="15" customHeight="1">
      <c r="A558" t="inlineStr">
        <is>
          <t>A 8223-2023</t>
        </is>
      </c>
      <c r="B558" s="1" t="n">
        <v>44971</v>
      </c>
      <c r="C558" s="1" t="n">
        <v>45645</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8423-2023</t>
        </is>
      </c>
      <c r="B559" s="1" t="n">
        <v>44977</v>
      </c>
      <c r="C559" s="1" t="n">
        <v>45645</v>
      </c>
      <c r="D559" t="inlineStr">
        <is>
          <t>JÄMTLANDS LÄN</t>
        </is>
      </c>
      <c r="E559" t="inlineStr">
        <is>
          <t>ÖSTERSUND</t>
        </is>
      </c>
      <c r="F559" t="inlineStr">
        <is>
          <t>Övriga Aktiebolag</t>
        </is>
      </c>
      <c r="G559" t="n">
        <v>53.1</v>
      </c>
      <c r="H559" t="n">
        <v>0</v>
      </c>
      <c r="I559" t="n">
        <v>0</v>
      </c>
      <c r="J559" t="n">
        <v>0</v>
      </c>
      <c r="K559" t="n">
        <v>0</v>
      </c>
      <c r="L559" t="n">
        <v>0</v>
      </c>
      <c r="M559" t="n">
        <v>0</v>
      </c>
      <c r="N559" t="n">
        <v>0</v>
      </c>
      <c r="O559" t="n">
        <v>0</v>
      </c>
      <c r="P559" t="n">
        <v>0</v>
      </c>
      <c r="Q559" t="n">
        <v>0</v>
      </c>
      <c r="R559" s="2" t="inlineStr"/>
    </row>
    <row r="560" ht="15" customHeight="1">
      <c r="A560" t="inlineStr">
        <is>
          <t>A 8675-2023</t>
        </is>
      </c>
      <c r="B560" s="1" t="n">
        <v>44978</v>
      </c>
      <c r="C560" s="1" t="n">
        <v>45645</v>
      </c>
      <c r="D560" t="inlineStr">
        <is>
          <t>JÄMTLANDS LÄN</t>
        </is>
      </c>
      <c r="E560" t="inlineStr">
        <is>
          <t>ÖSTERSUND</t>
        </is>
      </c>
      <c r="F560" t="inlineStr">
        <is>
          <t>SCA</t>
        </is>
      </c>
      <c r="G560" t="n">
        <v>5.7</v>
      </c>
      <c r="H560" t="n">
        <v>0</v>
      </c>
      <c r="I560" t="n">
        <v>0</v>
      </c>
      <c r="J560" t="n">
        <v>0</v>
      </c>
      <c r="K560" t="n">
        <v>0</v>
      </c>
      <c r="L560" t="n">
        <v>0</v>
      </c>
      <c r="M560" t="n">
        <v>0</v>
      </c>
      <c r="N560" t="n">
        <v>0</v>
      </c>
      <c r="O560" t="n">
        <v>0</v>
      </c>
      <c r="P560" t="n">
        <v>0</v>
      </c>
      <c r="Q560" t="n">
        <v>0</v>
      </c>
      <c r="R560" s="2" t="inlineStr"/>
    </row>
    <row r="561" ht="15" customHeight="1">
      <c r="A561" t="inlineStr">
        <is>
          <t>A 10306-2023</t>
        </is>
      </c>
      <c r="B561" s="1" t="n">
        <v>44986</v>
      </c>
      <c r="C561" s="1" t="n">
        <v>45645</v>
      </c>
      <c r="D561" t="inlineStr">
        <is>
          <t>JÄMTLANDS LÄN</t>
        </is>
      </c>
      <c r="E561" t="inlineStr">
        <is>
          <t>ÖSTERSUND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10308-2023</t>
        </is>
      </c>
      <c r="B562" s="1" t="n">
        <v>44986</v>
      </c>
      <c r="C562" s="1" t="n">
        <v>45645</v>
      </c>
      <c r="D562" t="inlineStr">
        <is>
          <t>JÄMTLANDS LÄN</t>
        </is>
      </c>
      <c r="E562" t="inlineStr">
        <is>
          <t>ÖSTERSUND</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10307-2023</t>
        </is>
      </c>
      <c r="B563" s="1" t="n">
        <v>44986</v>
      </c>
      <c r="C563" s="1" t="n">
        <v>45645</v>
      </c>
      <c r="D563" t="inlineStr">
        <is>
          <t>JÄMTLANDS LÄN</t>
        </is>
      </c>
      <c r="E563" t="inlineStr">
        <is>
          <t>ÖSTERSUND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10315-2023</t>
        </is>
      </c>
      <c r="B564" s="1" t="n">
        <v>44986</v>
      </c>
      <c r="C564" s="1" t="n">
        <v>45645</v>
      </c>
      <c r="D564" t="inlineStr">
        <is>
          <t>JÄMTLANDS LÄN</t>
        </is>
      </c>
      <c r="E564" t="inlineStr">
        <is>
          <t>ÖSTERSUND</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10305-2023</t>
        </is>
      </c>
      <c r="B565" s="1" t="n">
        <v>44986</v>
      </c>
      <c r="C565" s="1" t="n">
        <v>45645</v>
      </c>
      <c r="D565" t="inlineStr">
        <is>
          <t>JÄMTLANDS LÄN</t>
        </is>
      </c>
      <c r="E565" t="inlineStr">
        <is>
          <t>ÖSTERSUND</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11356-2023</t>
        </is>
      </c>
      <c r="B566" s="1" t="n">
        <v>44993</v>
      </c>
      <c r="C566" s="1" t="n">
        <v>45645</v>
      </c>
      <c r="D566" t="inlineStr">
        <is>
          <t>JÄMTLANDS LÄN</t>
        </is>
      </c>
      <c r="E566" t="inlineStr">
        <is>
          <t>ÖSTERSUND</t>
        </is>
      </c>
      <c r="G566" t="n">
        <v>8.1</v>
      </c>
      <c r="H566" t="n">
        <v>0</v>
      </c>
      <c r="I566" t="n">
        <v>0</v>
      </c>
      <c r="J566" t="n">
        <v>0</v>
      </c>
      <c r="K566" t="n">
        <v>0</v>
      </c>
      <c r="L566" t="n">
        <v>0</v>
      </c>
      <c r="M566" t="n">
        <v>0</v>
      </c>
      <c r="N566" t="n">
        <v>0</v>
      </c>
      <c r="O566" t="n">
        <v>0</v>
      </c>
      <c r="P566" t="n">
        <v>0</v>
      </c>
      <c r="Q566" t="n">
        <v>0</v>
      </c>
      <c r="R566" s="2" t="inlineStr"/>
    </row>
    <row r="567" ht="15" customHeight="1">
      <c r="A567" t="inlineStr">
        <is>
          <t>A 12821-2023</t>
        </is>
      </c>
      <c r="B567" s="1" t="n">
        <v>45000</v>
      </c>
      <c r="C567" s="1" t="n">
        <v>45645</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13166-2023</t>
        </is>
      </c>
      <c r="B568" s="1" t="n">
        <v>45002</v>
      </c>
      <c r="C568" s="1" t="n">
        <v>45645</v>
      </c>
      <c r="D568" t="inlineStr">
        <is>
          <t>JÄMTLANDS LÄN</t>
        </is>
      </c>
      <c r="E568" t="inlineStr">
        <is>
          <t>ÖSTERSUND</t>
        </is>
      </c>
      <c r="F568" t="inlineStr">
        <is>
          <t>Övriga statliga verk och myndigheter</t>
        </is>
      </c>
      <c r="G568" t="n">
        <v>1</v>
      </c>
      <c r="H568" t="n">
        <v>0</v>
      </c>
      <c r="I568" t="n">
        <v>0</v>
      </c>
      <c r="J568" t="n">
        <v>0</v>
      </c>
      <c r="K568" t="n">
        <v>0</v>
      </c>
      <c r="L568" t="n">
        <v>0</v>
      </c>
      <c r="M568" t="n">
        <v>0</v>
      </c>
      <c r="N568" t="n">
        <v>0</v>
      </c>
      <c r="O568" t="n">
        <v>0</v>
      </c>
      <c r="P568" t="n">
        <v>0</v>
      </c>
      <c r="Q568" t="n">
        <v>0</v>
      </c>
      <c r="R568" s="2" t="inlineStr"/>
    </row>
    <row r="569" ht="15" customHeight="1">
      <c r="A569" t="inlineStr">
        <is>
          <t>A 13148-2023</t>
        </is>
      </c>
      <c r="B569" s="1" t="n">
        <v>45002</v>
      </c>
      <c r="C569" s="1" t="n">
        <v>45645</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13152-2023</t>
        </is>
      </c>
      <c r="B570" s="1" t="n">
        <v>45002</v>
      </c>
      <c r="C570" s="1" t="n">
        <v>45645</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13282-2023</t>
        </is>
      </c>
      <c r="B571" s="1" t="n">
        <v>45004</v>
      </c>
      <c r="C571" s="1" t="n">
        <v>45645</v>
      </c>
      <c r="D571" t="inlineStr">
        <is>
          <t>JÄMTLANDS LÄN</t>
        </is>
      </c>
      <c r="E571" t="inlineStr">
        <is>
          <t>ÖSTERSUND</t>
        </is>
      </c>
      <c r="G571" t="n">
        <v>28.5</v>
      </c>
      <c r="H571" t="n">
        <v>0</v>
      </c>
      <c r="I571" t="n">
        <v>0</v>
      </c>
      <c r="J571" t="n">
        <v>0</v>
      </c>
      <c r="K571" t="n">
        <v>0</v>
      </c>
      <c r="L571" t="n">
        <v>0</v>
      </c>
      <c r="M571" t="n">
        <v>0</v>
      </c>
      <c r="N571" t="n">
        <v>0</v>
      </c>
      <c r="O571" t="n">
        <v>0</v>
      </c>
      <c r="P571" t="n">
        <v>0</v>
      </c>
      <c r="Q571" t="n">
        <v>0</v>
      </c>
      <c r="R571" s="2" t="inlineStr"/>
    </row>
    <row r="572" ht="15" customHeight="1">
      <c r="A572" t="inlineStr">
        <is>
          <t>A 13921-2023</t>
        </is>
      </c>
      <c r="B572" s="1" t="n">
        <v>45008</v>
      </c>
      <c r="C572" s="1" t="n">
        <v>45645</v>
      </c>
      <c r="D572" t="inlineStr">
        <is>
          <t>JÄMTLANDS LÄN</t>
        </is>
      </c>
      <c r="E572" t="inlineStr">
        <is>
          <t>ÖSTERSUND</t>
        </is>
      </c>
      <c r="G572" t="n">
        <v>0.3</v>
      </c>
      <c r="H572" t="n">
        <v>0</v>
      </c>
      <c r="I572" t="n">
        <v>0</v>
      </c>
      <c r="J572" t="n">
        <v>0</v>
      </c>
      <c r="K572" t="n">
        <v>0</v>
      </c>
      <c r="L572" t="n">
        <v>0</v>
      </c>
      <c r="M572" t="n">
        <v>0</v>
      </c>
      <c r="N572" t="n">
        <v>0</v>
      </c>
      <c r="O572" t="n">
        <v>0</v>
      </c>
      <c r="P572" t="n">
        <v>0</v>
      </c>
      <c r="Q572" t="n">
        <v>0</v>
      </c>
      <c r="R572" s="2" t="inlineStr"/>
    </row>
    <row r="573" ht="15" customHeight="1">
      <c r="A573" t="inlineStr">
        <is>
          <t>A 14520-2023</t>
        </is>
      </c>
      <c r="B573" s="1" t="n">
        <v>45012</v>
      </c>
      <c r="C573" s="1" t="n">
        <v>45645</v>
      </c>
      <c r="D573" t="inlineStr">
        <is>
          <t>JÄMTLANDS LÄN</t>
        </is>
      </c>
      <c r="E573" t="inlineStr">
        <is>
          <t>ÖSTERSUND</t>
        </is>
      </c>
      <c r="G573" t="n">
        <v>1.4</v>
      </c>
      <c r="H573" t="n">
        <v>0</v>
      </c>
      <c r="I573" t="n">
        <v>0</v>
      </c>
      <c r="J573" t="n">
        <v>0</v>
      </c>
      <c r="K573" t="n">
        <v>0</v>
      </c>
      <c r="L573" t="n">
        <v>0</v>
      </c>
      <c r="M573" t="n">
        <v>0</v>
      </c>
      <c r="N573" t="n">
        <v>0</v>
      </c>
      <c r="O573" t="n">
        <v>0</v>
      </c>
      <c r="P573" t="n">
        <v>0</v>
      </c>
      <c r="Q573" t="n">
        <v>0</v>
      </c>
      <c r="R573" s="2" t="inlineStr"/>
    </row>
    <row r="574" ht="15" customHeight="1">
      <c r="A574" t="inlineStr">
        <is>
          <t>A 14523-2023</t>
        </is>
      </c>
      <c r="B574" s="1" t="n">
        <v>45012</v>
      </c>
      <c r="C574" s="1" t="n">
        <v>45645</v>
      </c>
      <c r="D574" t="inlineStr">
        <is>
          <t>JÄMTLANDS LÄN</t>
        </is>
      </c>
      <c r="E574" t="inlineStr">
        <is>
          <t>ÖSTERSUND</t>
        </is>
      </c>
      <c r="G574" t="n">
        <v>4.5</v>
      </c>
      <c r="H574" t="n">
        <v>0</v>
      </c>
      <c r="I574" t="n">
        <v>0</v>
      </c>
      <c r="J574" t="n">
        <v>0</v>
      </c>
      <c r="K574" t="n">
        <v>0</v>
      </c>
      <c r="L574" t="n">
        <v>0</v>
      </c>
      <c r="M574" t="n">
        <v>0</v>
      </c>
      <c r="N574" t="n">
        <v>0</v>
      </c>
      <c r="O574" t="n">
        <v>0</v>
      </c>
      <c r="P574" t="n">
        <v>0</v>
      </c>
      <c r="Q574" t="n">
        <v>0</v>
      </c>
      <c r="R574" s="2" t="inlineStr"/>
    </row>
    <row r="575" ht="15" customHeight="1">
      <c r="A575" t="inlineStr">
        <is>
          <t>A 14521-2023</t>
        </is>
      </c>
      <c r="B575" s="1" t="n">
        <v>45013</v>
      </c>
      <c r="C575" s="1" t="n">
        <v>45645</v>
      </c>
      <c r="D575" t="inlineStr">
        <is>
          <t>JÄMTLANDS LÄN</t>
        </is>
      </c>
      <c r="E575" t="inlineStr">
        <is>
          <t>ÖSTERSUND</t>
        </is>
      </c>
      <c r="G575" t="n">
        <v>1.6</v>
      </c>
      <c r="H575" t="n">
        <v>0</v>
      </c>
      <c r="I575" t="n">
        <v>0</v>
      </c>
      <c r="J575" t="n">
        <v>0</v>
      </c>
      <c r="K575" t="n">
        <v>0</v>
      </c>
      <c r="L575" t="n">
        <v>0</v>
      </c>
      <c r="M575" t="n">
        <v>0</v>
      </c>
      <c r="N575" t="n">
        <v>0</v>
      </c>
      <c r="O575" t="n">
        <v>0</v>
      </c>
      <c r="P575" t="n">
        <v>0</v>
      </c>
      <c r="Q575" t="n">
        <v>0</v>
      </c>
      <c r="R575" s="2" t="inlineStr"/>
    </row>
    <row r="576" ht="15" customHeight="1">
      <c r="A576" t="inlineStr">
        <is>
          <t>A 14518-2023</t>
        </is>
      </c>
      <c r="B576" s="1" t="n">
        <v>45012</v>
      </c>
      <c r="C576" s="1" t="n">
        <v>45645</v>
      </c>
      <c r="D576" t="inlineStr">
        <is>
          <t>JÄMTLANDS LÄN</t>
        </is>
      </c>
      <c r="E576" t="inlineStr">
        <is>
          <t>ÖSTERSUND</t>
        </is>
      </c>
      <c r="G576" t="n">
        <v>14.4</v>
      </c>
      <c r="H576" t="n">
        <v>0</v>
      </c>
      <c r="I576" t="n">
        <v>0</v>
      </c>
      <c r="J576" t="n">
        <v>0</v>
      </c>
      <c r="K576" t="n">
        <v>0</v>
      </c>
      <c r="L576" t="n">
        <v>0</v>
      </c>
      <c r="M576" t="n">
        <v>0</v>
      </c>
      <c r="N576" t="n">
        <v>0</v>
      </c>
      <c r="O576" t="n">
        <v>0</v>
      </c>
      <c r="P576" t="n">
        <v>0</v>
      </c>
      <c r="Q576" t="n">
        <v>0</v>
      </c>
      <c r="R576" s="2" t="inlineStr"/>
    </row>
    <row r="577" ht="15" customHeight="1">
      <c r="A577" t="inlineStr">
        <is>
          <t>A 15984-2023</t>
        </is>
      </c>
      <c r="B577" s="1" t="n">
        <v>45022</v>
      </c>
      <c r="C577" s="1" t="n">
        <v>45645</v>
      </c>
      <c r="D577" t="inlineStr">
        <is>
          <t>JÄMTLANDS LÄN</t>
        </is>
      </c>
      <c r="E577" t="inlineStr">
        <is>
          <t>ÖSTERSUND</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16666-2023</t>
        </is>
      </c>
      <c r="B578" s="1" t="n">
        <v>45028</v>
      </c>
      <c r="C578" s="1" t="n">
        <v>45645</v>
      </c>
      <c r="D578" t="inlineStr">
        <is>
          <t>JÄMTLANDS LÄN</t>
        </is>
      </c>
      <c r="E578" t="inlineStr">
        <is>
          <t>ÖSTERSUND</t>
        </is>
      </c>
      <c r="G578" t="n">
        <v>2.4</v>
      </c>
      <c r="H578" t="n">
        <v>0</v>
      </c>
      <c r="I578" t="n">
        <v>0</v>
      </c>
      <c r="J578" t="n">
        <v>0</v>
      </c>
      <c r="K578" t="n">
        <v>0</v>
      </c>
      <c r="L578" t="n">
        <v>0</v>
      </c>
      <c r="M578" t="n">
        <v>0</v>
      </c>
      <c r="N578" t="n">
        <v>0</v>
      </c>
      <c r="O578" t="n">
        <v>0</v>
      </c>
      <c r="P578" t="n">
        <v>0</v>
      </c>
      <c r="Q578" t="n">
        <v>0</v>
      </c>
      <c r="R578" s="2" t="inlineStr"/>
    </row>
    <row r="579" ht="15" customHeight="1">
      <c r="A579" t="inlineStr">
        <is>
          <t>A 16682-2023</t>
        </is>
      </c>
      <c r="B579" s="1" t="n">
        <v>45028</v>
      </c>
      <c r="C579" s="1" t="n">
        <v>45645</v>
      </c>
      <c r="D579" t="inlineStr">
        <is>
          <t>JÄMTLANDS LÄN</t>
        </is>
      </c>
      <c r="E579" t="inlineStr">
        <is>
          <t>ÖSTERSUND</t>
        </is>
      </c>
      <c r="G579" t="n">
        <v>7.9</v>
      </c>
      <c r="H579" t="n">
        <v>0</v>
      </c>
      <c r="I579" t="n">
        <v>0</v>
      </c>
      <c r="J579" t="n">
        <v>0</v>
      </c>
      <c r="K579" t="n">
        <v>0</v>
      </c>
      <c r="L579" t="n">
        <v>0</v>
      </c>
      <c r="M579" t="n">
        <v>0</v>
      </c>
      <c r="N579" t="n">
        <v>0</v>
      </c>
      <c r="O579" t="n">
        <v>0</v>
      </c>
      <c r="P579" t="n">
        <v>0</v>
      </c>
      <c r="Q579" t="n">
        <v>0</v>
      </c>
      <c r="R579" s="2" t="inlineStr"/>
    </row>
    <row r="580" ht="15" customHeight="1">
      <c r="A580" t="inlineStr">
        <is>
          <t>A 17225-2023</t>
        </is>
      </c>
      <c r="B580" s="1" t="n">
        <v>45035</v>
      </c>
      <c r="C580" s="1" t="n">
        <v>45645</v>
      </c>
      <c r="D580" t="inlineStr">
        <is>
          <t>JÄMTLANDS LÄN</t>
        </is>
      </c>
      <c r="E580" t="inlineStr">
        <is>
          <t>ÖSTERSUND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19573-2023</t>
        </is>
      </c>
      <c r="B581" s="1" t="n">
        <v>45049</v>
      </c>
      <c r="C581" s="1" t="n">
        <v>45645</v>
      </c>
      <c r="D581" t="inlineStr">
        <is>
          <t>JÄMTLANDS LÄN</t>
        </is>
      </c>
      <c r="E581" t="inlineStr">
        <is>
          <t>ÖSTERSUND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19750-2023</t>
        </is>
      </c>
      <c r="B582" s="1" t="n">
        <v>45050</v>
      </c>
      <c r="C582" s="1" t="n">
        <v>45645</v>
      </c>
      <c r="D582" t="inlineStr">
        <is>
          <t>JÄMTLANDS LÄN</t>
        </is>
      </c>
      <c r="E582" t="inlineStr">
        <is>
          <t>ÖSTERSUND</t>
        </is>
      </c>
      <c r="G582" t="n">
        <v>3.2</v>
      </c>
      <c r="H582" t="n">
        <v>0</v>
      </c>
      <c r="I582" t="n">
        <v>0</v>
      </c>
      <c r="J582" t="n">
        <v>0</v>
      </c>
      <c r="K582" t="n">
        <v>0</v>
      </c>
      <c r="L582" t="n">
        <v>0</v>
      </c>
      <c r="M582" t="n">
        <v>0</v>
      </c>
      <c r="N582" t="n">
        <v>0</v>
      </c>
      <c r="O582" t="n">
        <v>0</v>
      </c>
      <c r="P582" t="n">
        <v>0</v>
      </c>
      <c r="Q582" t="n">
        <v>0</v>
      </c>
      <c r="R582" s="2" t="inlineStr"/>
    </row>
    <row r="583" ht="15" customHeight="1">
      <c r="A583" t="inlineStr">
        <is>
          <t>A 20606-2023</t>
        </is>
      </c>
      <c r="B583" s="1" t="n">
        <v>45057</v>
      </c>
      <c r="C583" s="1" t="n">
        <v>45645</v>
      </c>
      <c r="D583" t="inlineStr">
        <is>
          <t>JÄMTLANDS LÄN</t>
        </is>
      </c>
      <c r="E583" t="inlineStr">
        <is>
          <t>ÖSTERSUND</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20634-2023</t>
        </is>
      </c>
      <c r="B584" s="1" t="n">
        <v>45058</v>
      </c>
      <c r="C584" s="1" t="n">
        <v>45645</v>
      </c>
      <c r="D584" t="inlineStr">
        <is>
          <t>JÄMTLANDS LÄN</t>
        </is>
      </c>
      <c r="E584" t="inlineStr">
        <is>
          <t>ÖSTERSUND</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20588-2023</t>
        </is>
      </c>
      <c r="B585" s="1" t="n">
        <v>45057</v>
      </c>
      <c r="C585" s="1" t="n">
        <v>45645</v>
      </c>
      <c r="D585" t="inlineStr">
        <is>
          <t>JÄMTLANDS LÄN</t>
        </is>
      </c>
      <c r="E585" t="inlineStr">
        <is>
          <t>ÖSTERSUND</t>
        </is>
      </c>
      <c r="G585" t="n">
        <v>0.9</v>
      </c>
      <c r="H585" t="n">
        <v>0</v>
      </c>
      <c r="I585" t="n">
        <v>0</v>
      </c>
      <c r="J585" t="n">
        <v>0</v>
      </c>
      <c r="K585" t="n">
        <v>0</v>
      </c>
      <c r="L585" t="n">
        <v>0</v>
      </c>
      <c r="M585" t="n">
        <v>0</v>
      </c>
      <c r="N585" t="n">
        <v>0</v>
      </c>
      <c r="O585" t="n">
        <v>0</v>
      </c>
      <c r="P585" t="n">
        <v>0</v>
      </c>
      <c r="Q585" t="n">
        <v>0</v>
      </c>
      <c r="R585" s="2" t="inlineStr"/>
    </row>
    <row r="586" ht="15" customHeight="1">
      <c r="A586" t="inlineStr">
        <is>
          <t>A 20635-2023</t>
        </is>
      </c>
      <c r="B586" s="1" t="n">
        <v>45058</v>
      </c>
      <c r="C586" s="1" t="n">
        <v>45645</v>
      </c>
      <c r="D586" t="inlineStr">
        <is>
          <t>JÄMTLANDS LÄN</t>
        </is>
      </c>
      <c r="E586" t="inlineStr">
        <is>
          <t>ÖSTERSUND</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20633-2023</t>
        </is>
      </c>
      <c r="B587" s="1" t="n">
        <v>45058</v>
      </c>
      <c r="C587" s="1" t="n">
        <v>45645</v>
      </c>
      <c r="D587" t="inlineStr">
        <is>
          <t>JÄMTLANDS LÄN</t>
        </is>
      </c>
      <c r="E587" t="inlineStr">
        <is>
          <t>ÖSTERSUND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20636-2023</t>
        </is>
      </c>
      <c r="B588" s="1" t="n">
        <v>45058</v>
      </c>
      <c r="C588" s="1" t="n">
        <v>45645</v>
      </c>
      <c r="D588" t="inlineStr">
        <is>
          <t>JÄMTLANDS LÄN</t>
        </is>
      </c>
      <c r="E588" t="inlineStr">
        <is>
          <t>ÖSTERSUND</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24515-2023</t>
        </is>
      </c>
      <c r="B589" s="1" t="n">
        <v>45077</v>
      </c>
      <c r="C589" s="1" t="n">
        <v>45645</v>
      </c>
      <c r="D589" t="inlineStr">
        <is>
          <t>JÄMTLANDS LÄN</t>
        </is>
      </c>
      <c r="E589" t="inlineStr">
        <is>
          <t>ÖSTERSUND</t>
        </is>
      </c>
      <c r="G589" t="n">
        <v>27.8</v>
      </c>
      <c r="H589" t="n">
        <v>0</v>
      </c>
      <c r="I589" t="n">
        <v>0</v>
      </c>
      <c r="J589" t="n">
        <v>0</v>
      </c>
      <c r="K589" t="n">
        <v>0</v>
      </c>
      <c r="L589" t="n">
        <v>0</v>
      </c>
      <c r="M589" t="n">
        <v>0</v>
      </c>
      <c r="N589" t="n">
        <v>0</v>
      </c>
      <c r="O589" t="n">
        <v>0</v>
      </c>
      <c r="P589" t="n">
        <v>0</v>
      </c>
      <c r="Q589" t="n">
        <v>0</v>
      </c>
      <c r="R589" s="2" t="inlineStr"/>
    </row>
    <row r="590" ht="15" customHeight="1">
      <c r="A590" t="inlineStr">
        <is>
          <t>A 24396-2023</t>
        </is>
      </c>
      <c r="B590" s="1" t="n">
        <v>45082</v>
      </c>
      <c r="C590" s="1" t="n">
        <v>45645</v>
      </c>
      <c r="D590" t="inlineStr">
        <is>
          <t>JÄMTLANDS LÄN</t>
        </is>
      </c>
      <c r="E590" t="inlineStr">
        <is>
          <t>ÖSTERSUND</t>
        </is>
      </c>
      <c r="F590" t="inlineStr">
        <is>
          <t>Kyrkan</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25727-2023</t>
        </is>
      </c>
      <c r="B591" s="1" t="n">
        <v>45084</v>
      </c>
      <c r="C591" s="1" t="n">
        <v>45645</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25866-2023</t>
        </is>
      </c>
      <c r="B592" s="1" t="n">
        <v>45084</v>
      </c>
      <c r="C592" s="1" t="n">
        <v>45645</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25496-2023</t>
        </is>
      </c>
      <c r="B593" s="1" t="n">
        <v>45089</v>
      </c>
      <c r="C593" s="1" t="n">
        <v>45645</v>
      </c>
      <c r="D593" t="inlineStr">
        <is>
          <t>JÄMTLANDS LÄN</t>
        </is>
      </c>
      <c r="E593" t="inlineStr">
        <is>
          <t>ÖSTERSUND</t>
        </is>
      </c>
      <c r="F593" t="inlineStr">
        <is>
          <t>Kyrkan</t>
        </is>
      </c>
      <c r="G593" t="n">
        <v>5.7</v>
      </c>
      <c r="H593" t="n">
        <v>0</v>
      </c>
      <c r="I593" t="n">
        <v>0</v>
      </c>
      <c r="J593" t="n">
        <v>0</v>
      </c>
      <c r="K593" t="n">
        <v>0</v>
      </c>
      <c r="L593" t="n">
        <v>0</v>
      </c>
      <c r="M593" t="n">
        <v>0</v>
      </c>
      <c r="N593" t="n">
        <v>0</v>
      </c>
      <c r="O593" t="n">
        <v>0</v>
      </c>
      <c r="P593" t="n">
        <v>0</v>
      </c>
      <c r="Q593" t="n">
        <v>0</v>
      </c>
      <c r="R593" s="2" t="inlineStr"/>
    </row>
    <row r="594" ht="15" customHeight="1">
      <c r="A594" t="inlineStr">
        <is>
          <t>A 25535-2023</t>
        </is>
      </c>
      <c r="B594" s="1" t="n">
        <v>45089</v>
      </c>
      <c r="C594" s="1" t="n">
        <v>45645</v>
      </c>
      <c r="D594" t="inlineStr">
        <is>
          <t>JÄMTLANDS LÄN</t>
        </is>
      </c>
      <c r="E594" t="inlineStr">
        <is>
          <t>ÖSTERSUND</t>
        </is>
      </c>
      <c r="G594" t="n">
        <v>1</v>
      </c>
      <c r="H594" t="n">
        <v>0</v>
      </c>
      <c r="I594" t="n">
        <v>0</v>
      </c>
      <c r="J594" t="n">
        <v>0</v>
      </c>
      <c r="K594" t="n">
        <v>0</v>
      </c>
      <c r="L594" t="n">
        <v>0</v>
      </c>
      <c r="M594" t="n">
        <v>0</v>
      </c>
      <c r="N594" t="n">
        <v>0</v>
      </c>
      <c r="O594" t="n">
        <v>0</v>
      </c>
      <c r="P594" t="n">
        <v>0</v>
      </c>
      <c r="Q594" t="n">
        <v>0</v>
      </c>
      <c r="R594" s="2" t="inlineStr"/>
    </row>
    <row r="595" ht="15" customHeight="1">
      <c r="A595" t="inlineStr">
        <is>
          <t>A 25514-2023</t>
        </is>
      </c>
      <c r="B595" s="1" t="n">
        <v>45089</v>
      </c>
      <c r="C595" s="1" t="n">
        <v>45645</v>
      </c>
      <c r="D595" t="inlineStr">
        <is>
          <t>JÄMTLANDS LÄN</t>
        </is>
      </c>
      <c r="E595" t="inlineStr">
        <is>
          <t>ÖSTERSUND</t>
        </is>
      </c>
      <c r="F595" t="inlineStr">
        <is>
          <t>Kyrkan</t>
        </is>
      </c>
      <c r="G595" t="n">
        <v>6.7</v>
      </c>
      <c r="H595" t="n">
        <v>0</v>
      </c>
      <c r="I595" t="n">
        <v>0</v>
      </c>
      <c r="J595" t="n">
        <v>0</v>
      </c>
      <c r="K595" t="n">
        <v>0</v>
      </c>
      <c r="L595" t="n">
        <v>0</v>
      </c>
      <c r="M595" t="n">
        <v>0</v>
      </c>
      <c r="N595" t="n">
        <v>0</v>
      </c>
      <c r="O595" t="n">
        <v>0</v>
      </c>
      <c r="P595" t="n">
        <v>0</v>
      </c>
      <c r="Q595" t="n">
        <v>0</v>
      </c>
      <c r="R595" s="2" t="inlineStr"/>
    </row>
    <row r="596" ht="15" customHeight="1">
      <c r="A596" t="inlineStr">
        <is>
          <t>A 26565-2023</t>
        </is>
      </c>
      <c r="B596" s="1" t="n">
        <v>45089</v>
      </c>
      <c r="C596" s="1" t="n">
        <v>45645</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26521-2023</t>
        </is>
      </c>
      <c r="B597" s="1" t="n">
        <v>45089</v>
      </c>
      <c r="C597" s="1" t="n">
        <v>45645</v>
      </c>
      <c r="D597" t="inlineStr">
        <is>
          <t>JÄMTLANDS LÄN</t>
        </is>
      </c>
      <c r="E597" t="inlineStr">
        <is>
          <t>ÖSTERSUND</t>
        </is>
      </c>
      <c r="G597" t="n">
        <v>11.7</v>
      </c>
      <c r="H597" t="n">
        <v>0</v>
      </c>
      <c r="I597" t="n">
        <v>0</v>
      </c>
      <c r="J597" t="n">
        <v>0</v>
      </c>
      <c r="K597" t="n">
        <v>0</v>
      </c>
      <c r="L597" t="n">
        <v>0</v>
      </c>
      <c r="M597" t="n">
        <v>0</v>
      </c>
      <c r="N597" t="n">
        <v>0</v>
      </c>
      <c r="O597" t="n">
        <v>0</v>
      </c>
      <c r="P597" t="n">
        <v>0</v>
      </c>
      <c r="Q597" t="n">
        <v>0</v>
      </c>
      <c r="R597" s="2" t="inlineStr"/>
    </row>
    <row r="598" ht="15" customHeight="1">
      <c r="A598" t="inlineStr">
        <is>
          <t>A 25789-2023</t>
        </is>
      </c>
      <c r="B598" s="1" t="n">
        <v>45090</v>
      </c>
      <c r="C598" s="1" t="n">
        <v>45645</v>
      </c>
      <c r="D598" t="inlineStr">
        <is>
          <t>JÄMTLANDS LÄN</t>
        </is>
      </c>
      <c r="E598" t="inlineStr">
        <is>
          <t>ÖSTERSUND</t>
        </is>
      </c>
      <c r="G598" t="n">
        <v>3.1</v>
      </c>
      <c r="H598" t="n">
        <v>0</v>
      </c>
      <c r="I598" t="n">
        <v>0</v>
      </c>
      <c r="J598" t="n">
        <v>0</v>
      </c>
      <c r="K598" t="n">
        <v>0</v>
      </c>
      <c r="L598" t="n">
        <v>0</v>
      </c>
      <c r="M598" t="n">
        <v>0</v>
      </c>
      <c r="N598" t="n">
        <v>0</v>
      </c>
      <c r="O598" t="n">
        <v>0</v>
      </c>
      <c r="P598" t="n">
        <v>0</v>
      </c>
      <c r="Q598" t="n">
        <v>0</v>
      </c>
      <c r="R598" s="2" t="inlineStr"/>
    </row>
    <row r="599" ht="15" customHeight="1">
      <c r="A599" t="inlineStr">
        <is>
          <t>A 26012-2023</t>
        </is>
      </c>
      <c r="B599" s="1" t="n">
        <v>45091</v>
      </c>
      <c r="C599" s="1" t="n">
        <v>45645</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27294-2023</t>
        </is>
      </c>
      <c r="B600" s="1" t="n">
        <v>45092</v>
      </c>
      <c r="C600" s="1" t="n">
        <v>45645</v>
      </c>
      <c r="D600" t="inlineStr">
        <is>
          <t>JÄMTLANDS LÄN</t>
        </is>
      </c>
      <c r="E600" t="inlineStr">
        <is>
          <t>ÖSTERSUND</t>
        </is>
      </c>
      <c r="G600" t="n">
        <v>2.8</v>
      </c>
      <c r="H600" t="n">
        <v>0</v>
      </c>
      <c r="I600" t="n">
        <v>0</v>
      </c>
      <c r="J600" t="n">
        <v>0</v>
      </c>
      <c r="K600" t="n">
        <v>0</v>
      </c>
      <c r="L600" t="n">
        <v>0</v>
      </c>
      <c r="M600" t="n">
        <v>0</v>
      </c>
      <c r="N600" t="n">
        <v>0</v>
      </c>
      <c r="O600" t="n">
        <v>0</v>
      </c>
      <c r="P600" t="n">
        <v>0</v>
      </c>
      <c r="Q600" t="n">
        <v>0</v>
      </c>
      <c r="R600" s="2" t="inlineStr"/>
    </row>
    <row r="601" ht="15" customHeight="1">
      <c r="A601" t="inlineStr">
        <is>
          <t>A 27004-2023</t>
        </is>
      </c>
      <c r="B601" s="1" t="n">
        <v>45094</v>
      </c>
      <c r="C601" s="1" t="n">
        <v>45645</v>
      </c>
      <c r="D601" t="inlineStr">
        <is>
          <t>JÄMTLANDS LÄN</t>
        </is>
      </c>
      <c r="E601" t="inlineStr">
        <is>
          <t>ÖSTERSUND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27124-2023</t>
        </is>
      </c>
      <c r="B602" s="1" t="n">
        <v>45096</v>
      </c>
      <c r="C602" s="1" t="n">
        <v>45645</v>
      </c>
      <c r="D602" t="inlineStr">
        <is>
          <t>JÄMTLANDS LÄN</t>
        </is>
      </c>
      <c r="E602" t="inlineStr">
        <is>
          <t>ÖSTERSUND</t>
        </is>
      </c>
      <c r="G602" t="n">
        <v>1.9</v>
      </c>
      <c r="H602" t="n">
        <v>0</v>
      </c>
      <c r="I602" t="n">
        <v>0</v>
      </c>
      <c r="J602" t="n">
        <v>0</v>
      </c>
      <c r="K602" t="n">
        <v>0</v>
      </c>
      <c r="L602" t="n">
        <v>0</v>
      </c>
      <c r="M602" t="n">
        <v>0</v>
      </c>
      <c r="N602" t="n">
        <v>0</v>
      </c>
      <c r="O602" t="n">
        <v>0</v>
      </c>
      <c r="P602" t="n">
        <v>0</v>
      </c>
      <c r="Q602" t="n">
        <v>0</v>
      </c>
      <c r="R602" s="2" t="inlineStr"/>
    </row>
    <row r="603" ht="15" customHeight="1">
      <c r="A603" t="inlineStr">
        <is>
          <t>A 27118-2023</t>
        </is>
      </c>
      <c r="B603" s="1" t="n">
        <v>45096</v>
      </c>
      <c r="C603" s="1" t="n">
        <v>45645</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27130-2023</t>
        </is>
      </c>
      <c r="B604" s="1" t="n">
        <v>45096</v>
      </c>
      <c r="C604" s="1" t="n">
        <v>45645</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29548-2023</t>
        </is>
      </c>
      <c r="B605" s="1" t="n">
        <v>45098</v>
      </c>
      <c r="C605" s="1" t="n">
        <v>45645</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30244-2023</t>
        </is>
      </c>
      <c r="B606" s="1" t="n">
        <v>45099</v>
      </c>
      <c r="C606" s="1" t="n">
        <v>45645</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30262-2023</t>
        </is>
      </c>
      <c r="B607" s="1" t="n">
        <v>45099</v>
      </c>
      <c r="C607" s="1" t="n">
        <v>45645</v>
      </c>
      <c r="D607" t="inlineStr">
        <is>
          <t>JÄMTLANDS LÄN</t>
        </is>
      </c>
      <c r="E607" t="inlineStr">
        <is>
          <t>ÖSTERSUND</t>
        </is>
      </c>
      <c r="G607" t="n">
        <v>5.2</v>
      </c>
      <c r="H607" t="n">
        <v>0</v>
      </c>
      <c r="I607" t="n">
        <v>0</v>
      </c>
      <c r="J607" t="n">
        <v>0</v>
      </c>
      <c r="K607" t="n">
        <v>0</v>
      </c>
      <c r="L607" t="n">
        <v>0</v>
      </c>
      <c r="M607" t="n">
        <v>0</v>
      </c>
      <c r="N607" t="n">
        <v>0</v>
      </c>
      <c r="O607" t="n">
        <v>0</v>
      </c>
      <c r="P607" t="n">
        <v>0</v>
      </c>
      <c r="Q607" t="n">
        <v>0</v>
      </c>
      <c r="R607" s="2" t="inlineStr"/>
    </row>
    <row r="608" ht="15" customHeight="1">
      <c r="A608" t="inlineStr">
        <is>
          <t>A 30255-2023</t>
        </is>
      </c>
      <c r="B608" s="1" t="n">
        <v>45099</v>
      </c>
      <c r="C608" s="1" t="n">
        <v>45645</v>
      </c>
      <c r="D608" t="inlineStr">
        <is>
          <t>JÄMTLANDS LÄN</t>
        </is>
      </c>
      <c r="E608" t="inlineStr">
        <is>
          <t>ÖSTERSUND</t>
        </is>
      </c>
      <c r="G608" t="n">
        <v>20.2</v>
      </c>
      <c r="H608" t="n">
        <v>0</v>
      </c>
      <c r="I608" t="n">
        <v>0</v>
      </c>
      <c r="J608" t="n">
        <v>0</v>
      </c>
      <c r="K608" t="n">
        <v>0</v>
      </c>
      <c r="L608" t="n">
        <v>0</v>
      </c>
      <c r="M608" t="n">
        <v>0</v>
      </c>
      <c r="N608" t="n">
        <v>0</v>
      </c>
      <c r="O608" t="n">
        <v>0</v>
      </c>
      <c r="P608" t="n">
        <v>0</v>
      </c>
      <c r="Q608" t="n">
        <v>0</v>
      </c>
      <c r="R608" s="2" t="inlineStr"/>
    </row>
    <row r="609" ht="15" customHeight="1">
      <c r="A609" t="inlineStr">
        <is>
          <t>A 30264-2023</t>
        </is>
      </c>
      <c r="B609" s="1" t="n">
        <v>45099</v>
      </c>
      <c r="C609" s="1" t="n">
        <v>45645</v>
      </c>
      <c r="D609" t="inlineStr">
        <is>
          <t>JÄMTLANDS LÄN</t>
        </is>
      </c>
      <c r="E609" t="inlineStr">
        <is>
          <t>ÖSTERSUND</t>
        </is>
      </c>
      <c r="G609" t="n">
        <v>10</v>
      </c>
      <c r="H609" t="n">
        <v>0</v>
      </c>
      <c r="I609" t="n">
        <v>0</v>
      </c>
      <c r="J609" t="n">
        <v>0</v>
      </c>
      <c r="K609" t="n">
        <v>0</v>
      </c>
      <c r="L609" t="n">
        <v>0</v>
      </c>
      <c r="M609" t="n">
        <v>0</v>
      </c>
      <c r="N609" t="n">
        <v>0</v>
      </c>
      <c r="O609" t="n">
        <v>0</v>
      </c>
      <c r="P609" t="n">
        <v>0</v>
      </c>
      <c r="Q609" t="n">
        <v>0</v>
      </c>
      <c r="R609" s="2" t="inlineStr"/>
    </row>
    <row r="610" ht="15" customHeight="1">
      <c r="A610" t="inlineStr">
        <is>
          <t>A 30206-2023</t>
        </is>
      </c>
      <c r="B610" s="1" t="n">
        <v>45099</v>
      </c>
      <c r="C610" s="1" t="n">
        <v>45645</v>
      </c>
      <c r="D610" t="inlineStr">
        <is>
          <t>JÄMTLANDS LÄN</t>
        </is>
      </c>
      <c r="E610" t="inlineStr">
        <is>
          <t>ÖSTERSUND</t>
        </is>
      </c>
      <c r="G610" t="n">
        <v>3.9</v>
      </c>
      <c r="H610" t="n">
        <v>0</v>
      </c>
      <c r="I610" t="n">
        <v>0</v>
      </c>
      <c r="J610" t="n">
        <v>0</v>
      </c>
      <c r="K610" t="n">
        <v>0</v>
      </c>
      <c r="L610" t="n">
        <v>0</v>
      </c>
      <c r="M610" t="n">
        <v>0</v>
      </c>
      <c r="N610" t="n">
        <v>0</v>
      </c>
      <c r="O610" t="n">
        <v>0</v>
      </c>
      <c r="P610" t="n">
        <v>0</v>
      </c>
      <c r="Q610" t="n">
        <v>0</v>
      </c>
      <c r="R610" s="2" t="inlineStr"/>
    </row>
    <row r="611" ht="15" customHeight="1">
      <c r="A611" t="inlineStr">
        <is>
          <t>A 30236-2023</t>
        </is>
      </c>
      <c r="B611" s="1" t="n">
        <v>45099</v>
      </c>
      <c r="C611" s="1" t="n">
        <v>45645</v>
      </c>
      <c r="D611" t="inlineStr">
        <is>
          <t>JÄMTLANDS LÄN</t>
        </is>
      </c>
      <c r="E611" t="inlineStr">
        <is>
          <t>ÖSTERSUND</t>
        </is>
      </c>
      <c r="G611" t="n">
        <v>3.5</v>
      </c>
      <c r="H611" t="n">
        <v>0</v>
      </c>
      <c r="I611" t="n">
        <v>0</v>
      </c>
      <c r="J611" t="n">
        <v>0</v>
      </c>
      <c r="K611" t="n">
        <v>0</v>
      </c>
      <c r="L611" t="n">
        <v>0</v>
      </c>
      <c r="M611" t="n">
        <v>0</v>
      </c>
      <c r="N611" t="n">
        <v>0</v>
      </c>
      <c r="O611" t="n">
        <v>0</v>
      </c>
      <c r="P611" t="n">
        <v>0</v>
      </c>
      <c r="Q611" t="n">
        <v>0</v>
      </c>
      <c r="R611" s="2" t="inlineStr"/>
    </row>
    <row r="612" ht="15" customHeight="1">
      <c r="A612" t="inlineStr">
        <is>
          <t>A 28747-2023</t>
        </is>
      </c>
      <c r="B612" s="1" t="n">
        <v>45103</v>
      </c>
      <c r="C612" s="1" t="n">
        <v>45645</v>
      </c>
      <c r="D612" t="inlineStr">
        <is>
          <t>JÄMTLANDS LÄN</t>
        </is>
      </c>
      <c r="E612" t="inlineStr">
        <is>
          <t>ÖSTERSUND</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31870-2023</t>
        </is>
      </c>
      <c r="B613" s="1" t="n">
        <v>45106</v>
      </c>
      <c r="C613" s="1" t="n">
        <v>45645</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29703-2023</t>
        </is>
      </c>
      <c r="B614" s="1" t="n">
        <v>45107</v>
      </c>
      <c r="C614" s="1" t="n">
        <v>45645</v>
      </c>
      <c r="D614" t="inlineStr">
        <is>
          <t>JÄMTLANDS LÄN</t>
        </is>
      </c>
      <c r="E614" t="inlineStr">
        <is>
          <t>ÖSTERSUND</t>
        </is>
      </c>
      <c r="G614" t="n">
        <v>0.3</v>
      </c>
      <c r="H614" t="n">
        <v>0</v>
      </c>
      <c r="I614" t="n">
        <v>0</v>
      </c>
      <c r="J614" t="n">
        <v>0</v>
      </c>
      <c r="K614" t="n">
        <v>0</v>
      </c>
      <c r="L614" t="n">
        <v>0</v>
      </c>
      <c r="M614" t="n">
        <v>0</v>
      </c>
      <c r="N614" t="n">
        <v>0</v>
      </c>
      <c r="O614" t="n">
        <v>0</v>
      </c>
      <c r="P614" t="n">
        <v>0</v>
      </c>
      <c r="Q614" t="n">
        <v>0</v>
      </c>
      <c r="R614" s="2" t="inlineStr"/>
    </row>
    <row r="615" ht="15" customHeight="1">
      <c r="A615" t="inlineStr">
        <is>
          <t>A 29682-2023</t>
        </is>
      </c>
      <c r="B615" s="1" t="n">
        <v>45107</v>
      </c>
      <c r="C615" s="1" t="n">
        <v>45645</v>
      </c>
      <c r="D615" t="inlineStr">
        <is>
          <t>JÄMTLANDS LÄN</t>
        </is>
      </c>
      <c r="E615" t="inlineStr">
        <is>
          <t>ÖSTERSUND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30602-2023</t>
        </is>
      </c>
      <c r="B616" s="1" t="n">
        <v>45112</v>
      </c>
      <c r="C616" s="1" t="n">
        <v>45645</v>
      </c>
      <c r="D616" t="inlineStr">
        <is>
          <t>JÄMTLANDS LÄN</t>
        </is>
      </c>
      <c r="E616" t="inlineStr">
        <is>
          <t>ÖSTERSUND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31551-2023</t>
        </is>
      </c>
      <c r="B617" s="1" t="n">
        <v>45117</v>
      </c>
      <c r="C617" s="1" t="n">
        <v>45645</v>
      </c>
      <c r="D617" t="inlineStr">
        <is>
          <t>JÄMTLANDS LÄN</t>
        </is>
      </c>
      <c r="E617" t="inlineStr">
        <is>
          <t>ÖSTERSUND</t>
        </is>
      </c>
      <c r="G617" t="n">
        <v>0.6</v>
      </c>
      <c r="H617" t="n">
        <v>0</v>
      </c>
      <c r="I617" t="n">
        <v>0</v>
      </c>
      <c r="J617" t="n">
        <v>0</v>
      </c>
      <c r="K617" t="n">
        <v>0</v>
      </c>
      <c r="L617" t="n">
        <v>0</v>
      </c>
      <c r="M617" t="n">
        <v>0</v>
      </c>
      <c r="N617" t="n">
        <v>0</v>
      </c>
      <c r="O617" t="n">
        <v>0</v>
      </c>
      <c r="P617" t="n">
        <v>0</v>
      </c>
      <c r="Q617" t="n">
        <v>0</v>
      </c>
      <c r="R617" s="2" t="inlineStr"/>
    </row>
    <row r="618" ht="15" customHeight="1">
      <c r="A618" t="inlineStr">
        <is>
          <t>A 31600-2023</t>
        </is>
      </c>
      <c r="B618" s="1" t="n">
        <v>45117</v>
      </c>
      <c r="C618" s="1" t="n">
        <v>45645</v>
      </c>
      <c r="D618" t="inlineStr">
        <is>
          <t>JÄMTLANDS LÄN</t>
        </is>
      </c>
      <c r="E618" t="inlineStr">
        <is>
          <t>ÖSTERSUND</t>
        </is>
      </c>
      <c r="F618" t="inlineStr">
        <is>
          <t>Övriga Aktiebolag</t>
        </is>
      </c>
      <c r="G618" t="n">
        <v>2.7</v>
      </c>
      <c r="H618" t="n">
        <v>0</v>
      </c>
      <c r="I618" t="n">
        <v>0</v>
      </c>
      <c r="J618" t="n">
        <v>0</v>
      </c>
      <c r="K618" t="n">
        <v>0</v>
      </c>
      <c r="L618" t="n">
        <v>0</v>
      </c>
      <c r="M618" t="n">
        <v>0</v>
      </c>
      <c r="N618" t="n">
        <v>0</v>
      </c>
      <c r="O618" t="n">
        <v>0</v>
      </c>
      <c r="P618" t="n">
        <v>0</v>
      </c>
      <c r="Q618" t="n">
        <v>0</v>
      </c>
      <c r="R618" s="2" t="inlineStr"/>
    </row>
    <row r="619" ht="15" customHeight="1">
      <c r="A619" t="inlineStr">
        <is>
          <t>A 31549-2023</t>
        </is>
      </c>
      <c r="B619" s="1" t="n">
        <v>45117</v>
      </c>
      <c r="C619" s="1" t="n">
        <v>45645</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33501-2023</t>
        </is>
      </c>
      <c r="B620" s="1" t="n">
        <v>45118</v>
      </c>
      <c r="C620" s="1" t="n">
        <v>45645</v>
      </c>
      <c r="D620" t="inlineStr">
        <is>
          <t>JÄMTLANDS LÄN</t>
        </is>
      </c>
      <c r="E620" t="inlineStr">
        <is>
          <t>ÖSTERSUND</t>
        </is>
      </c>
      <c r="G620" t="n">
        <v>5.8</v>
      </c>
      <c r="H620" t="n">
        <v>0</v>
      </c>
      <c r="I620" t="n">
        <v>0</v>
      </c>
      <c r="J620" t="n">
        <v>0</v>
      </c>
      <c r="K620" t="n">
        <v>0</v>
      </c>
      <c r="L620" t="n">
        <v>0</v>
      </c>
      <c r="M620" t="n">
        <v>0</v>
      </c>
      <c r="N620" t="n">
        <v>0</v>
      </c>
      <c r="O620" t="n">
        <v>0</v>
      </c>
      <c r="P620" t="n">
        <v>0</v>
      </c>
      <c r="Q620" t="n">
        <v>0</v>
      </c>
      <c r="R620" s="2" t="inlineStr"/>
    </row>
    <row r="621" ht="15" customHeight="1">
      <c r="A621" t="inlineStr">
        <is>
          <t>A 33502-2023</t>
        </is>
      </c>
      <c r="B621" s="1" t="n">
        <v>45118</v>
      </c>
      <c r="C621" s="1" t="n">
        <v>45645</v>
      </c>
      <c r="D621" t="inlineStr">
        <is>
          <t>JÄMTLANDS LÄN</t>
        </is>
      </c>
      <c r="E621" t="inlineStr">
        <is>
          <t>ÖSTERSUND</t>
        </is>
      </c>
      <c r="G621" t="n">
        <v>0.5</v>
      </c>
      <c r="H621" t="n">
        <v>0</v>
      </c>
      <c r="I621" t="n">
        <v>0</v>
      </c>
      <c r="J621" t="n">
        <v>0</v>
      </c>
      <c r="K621" t="n">
        <v>0</v>
      </c>
      <c r="L621" t="n">
        <v>0</v>
      </c>
      <c r="M621" t="n">
        <v>0</v>
      </c>
      <c r="N621" t="n">
        <v>0</v>
      </c>
      <c r="O621" t="n">
        <v>0</v>
      </c>
      <c r="P621" t="n">
        <v>0</v>
      </c>
      <c r="Q621" t="n">
        <v>0</v>
      </c>
      <c r="R621" s="2" t="inlineStr"/>
    </row>
    <row r="622" ht="15" customHeight="1">
      <c r="A622" t="inlineStr">
        <is>
          <t>A 32568-2023</t>
        </is>
      </c>
      <c r="B622" s="1" t="n">
        <v>45121</v>
      </c>
      <c r="C622" s="1" t="n">
        <v>45645</v>
      </c>
      <c r="D622" t="inlineStr">
        <is>
          <t>JÄMTLANDS LÄN</t>
        </is>
      </c>
      <c r="E622" t="inlineStr">
        <is>
          <t>ÖSTERSUND</t>
        </is>
      </c>
      <c r="G622" t="n">
        <v>14.9</v>
      </c>
      <c r="H622" t="n">
        <v>0</v>
      </c>
      <c r="I622" t="n">
        <v>0</v>
      </c>
      <c r="J622" t="n">
        <v>0</v>
      </c>
      <c r="K622" t="n">
        <v>0</v>
      </c>
      <c r="L622" t="n">
        <v>0</v>
      </c>
      <c r="M622" t="n">
        <v>0</v>
      </c>
      <c r="N622" t="n">
        <v>0</v>
      </c>
      <c r="O622" t="n">
        <v>0</v>
      </c>
      <c r="P622" t="n">
        <v>0</v>
      </c>
      <c r="Q622" t="n">
        <v>0</v>
      </c>
      <c r="R622" s="2" t="inlineStr"/>
    </row>
    <row r="623" ht="15" customHeight="1">
      <c r="A623" t="inlineStr">
        <is>
          <t>A 34052-2023</t>
        </is>
      </c>
      <c r="B623" s="1" t="n">
        <v>45125</v>
      </c>
      <c r="C623" s="1" t="n">
        <v>45645</v>
      </c>
      <c r="D623" t="inlineStr">
        <is>
          <t>JÄMTLANDS LÄN</t>
        </is>
      </c>
      <c r="E623" t="inlineStr">
        <is>
          <t>ÖSTERSUND</t>
        </is>
      </c>
      <c r="G623" t="n">
        <v>4</v>
      </c>
      <c r="H623" t="n">
        <v>0</v>
      </c>
      <c r="I623" t="n">
        <v>0</v>
      </c>
      <c r="J623" t="n">
        <v>0</v>
      </c>
      <c r="K623" t="n">
        <v>0</v>
      </c>
      <c r="L623" t="n">
        <v>0</v>
      </c>
      <c r="M623" t="n">
        <v>0</v>
      </c>
      <c r="N623" t="n">
        <v>0</v>
      </c>
      <c r="O623" t="n">
        <v>0</v>
      </c>
      <c r="P623" t="n">
        <v>0</v>
      </c>
      <c r="Q623" t="n">
        <v>0</v>
      </c>
      <c r="R623" s="2" t="inlineStr"/>
    </row>
    <row r="624" ht="15" customHeight="1">
      <c r="A624" t="inlineStr">
        <is>
          <t>A 33875-2023</t>
        </is>
      </c>
      <c r="B624" s="1" t="n">
        <v>45134</v>
      </c>
      <c r="C624" s="1" t="n">
        <v>45645</v>
      </c>
      <c r="D624" t="inlineStr">
        <is>
          <t>JÄMTLANDS LÄN</t>
        </is>
      </c>
      <c r="E624" t="inlineStr">
        <is>
          <t>ÖSTERSUND</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34482-2023</t>
        </is>
      </c>
      <c r="B625" s="1" t="n">
        <v>45140</v>
      </c>
      <c r="C625" s="1" t="n">
        <v>45645</v>
      </c>
      <c r="D625" t="inlineStr">
        <is>
          <t>JÄMTLANDS LÄN</t>
        </is>
      </c>
      <c r="E625" t="inlineStr">
        <is>
          <t>ÖSTERSUND</t>
        </is>
      </c>
      <c r="F625" t="inlineStr">
        <is>
          <t>SCA</t>
        </is>
      </c>
      <c r="G625" t="n">
        <v>50</v>
      </c>
      <c r="H625" t="n">
        <v>0</v>
      </c>
      <c r="I625" t="n">
        <v>0</v>
      </c>
      <c r="J625" t="n">
        <v>0</v>
      </c>
      <c r="K625" t="n">
        <v>0</v>
      </c>
      <c r="L625" t="n">
        <v>0</v>
      </c>
      <c r="M625" t="n">
        <v>0</v>
      </c>
      <c r="N625" t="n">
        <v>0</v>
      </c>
      <c r="O625" t="n">
        <v>0</v>
      </c>
      <c r="P625" t="n">
        <v>0</v>
      </c>
      <c r="Q625" t="n">
        <v>0</v>
      </c>
      <c r="R625" s="2" t="inlineStr"/>
    </row>
    <row r="626" ht="15" customHeight="1">
      <c r="A626" t="inlineStr">
        <is>
          <t>A 34688-2023</t>
        </is>
      </c>
      <c r="B626" s="1" t="n">
        <v>45141</v>
      </c>
      <c r="C626" s="1" t="n">
        <v>45645</v>
      </c>
      <c r="D626" t="inlineStr">
        <is>
          <t>JÄMTLANDS LÄN</t>
        </is>
      </c>
      <c r="E626" t="inlineStr">
        <is>
          <t>ÖSTERSUND</t>
        </is>
      </c>
      <c r="G626" t="n">
        <v>7.4</v>
      </c>
      <c r="H626" t="n">
        <v>0</v>
      </c>
      <c r="I626" t="n">
        <v>0</v>
      </c>
      <c r="J626" t="n">
        <v>0</v>
      </c>
      <c r="K626" t="n">
        <v>0</v>
      </c>
      <c r="L626" t="n">
        <v>0</v>
      </c>
      <c r="M626" t="n">
        <v>0</v>
      </c>
      <c r="N626" t="n">
        <v>0</v>
      </c>
      <c r="O626" t="n">
        <v>0</v>
      </c>
      <c r="P626" t="n">
        <v>0</v>
      </c>
      <c r="Q626" t="n">
        <v>0</v>
      </c>
      <c r="R626" s="2" t="inlineStr"/>
    </row>
    <row r="627" ht="15" customHeight="1">
      <c r="A627" t="inlineStr">
        <is>
          <t>A 36406-2023</t>
        </is>
      </c>
      <c r="B627" s="1" t="n">
        <v>45149</v>
      </c>
      <c r="C627" s="1" t="n">
        <v>45645</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37140-2023</t>
        </is>
      </c>
      <c r="B628" s="1" t="n">
        <v>45154</v>
      </c>
      <c r="C628" s="1" t="n">
        <v>45645</v>
      </c>
      <c r="D628" t="inlineStr">
        <is>
          <t>JÄMTLANDS LÄN</t>
        </is>
      </c>
      <c r="E628" t="inlineStr">
        <is>
          <t>ÖSTERSUND</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37597-2023</t>
        </is>
      </c>
      <c r="B629" s="1" t="n">
        <v>45159</v>
      </c>
      <c r="C629" s="1" t="n">
        <v>45645</v>
      </c>
      <c r="D629" t="inlineStr">
        <is>
          <t>JÄMTLANDS LÄN</t>
        </is>
      </c>
      <c r="E629" t="inlineStr">
        <is>
          <t>ÖSTERSUND</t>
        </is>
      </c>
      <c r="G629" t="n">
        <v>4.7</v>
      </c>
      <c r="H629" t="n">
        <v>0</v>
      </c>
      <c r="I629" t="n">
        <v>0</v>
      </c>
      <c r="J629" t="n">
        <v>0</v>
      </c>
      <c r="K629" t="n">
        <v>0</v>
      </c>
      <c r="L629" t="n">
        <v>0</v>
      </c>
      <c r="M629" t="n">
        <v>0</v>
      </c>
      <c r="N629" t="n">
        <v>0</v>
      </c>
      <c r="O629" t="n">
        <v>0</v>
      </c>
      <c r="P629" t="n">
        <v>0</v>
      </c>
      <c r="Q629" t="n">
        <v>0</v>
      </c>
      <c r="R629" s="2" t="inlineStr"/>
    </row>
    <row r="630" ht="15" customHeight="1">
      <c r="A630" t="inlineStr">
        <is>
          <t>A 37645-2023</t>
        </is>
      </c>
      <c r="B630" s="1" t="n">
        <v>45159</v>
      </c>
      <c r="C630" s="1" t="n">
        <v>45645</v>
      </c>
      <c r="D630" t="inlineStr">
        <is>
          <t>JÄMTLANDS LÄN</t>
        </is>
      </c>
      <c r="E630" t="inlineStr">
        <is>
          <t>ÖSTERSUND</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38335-2023</t>
        </is>
      </c>
      <c r="B631" s="1" t="n">
        <v>45161</v>
      </c>
      <c r="C631" s="1" t="n">
        <v>45645</v>
      </c>
      <c r="D631" t="inlineStr">
        <is>
          <t>JÄMTLANDS LÄN</t>
        </is>
      </c>
      <c r="E631" t="inlineStr">
        <is>
          <t>ÖSTERSUND</t>
        </is>
      </c>
      <c r="G631" t="n">
        <v>15.1</v>
      </c>
      <c r="H631" t="n">
        <v>0</v>
      </c>
      <c r="I631" t="n">
        <v>0</v>
      </c>
      <c r="J631" t="n">
        <v>0</v>
      </c>
      <c r="K631" t="n">
        <v>0</v>
      </c>
      <c r="L631" t="n">
        <v>0</v>
      </c>
      <c r="M631" t="n">
        <v>0</v>
      </c>
      <c r="N631" t="n">
        <v>0</v>
      </c>
      <c r="O631" t="n">
        <v>0</v>
      </c>
      <c r="P631" t="n">
        <v>0</v>
      </c>
      <c r="Q631" t="n">
        <v>0</v>
      </c>
      <c r="R631" s="2" t="inlineStr"/>
    </row>
    <row r="632" ht="15" customHeight="1">
      <c r="A632" t="inlineStr">
        <is>
          <t>A 38713-2023</t>
        </is>
      </c>
      <c r="B632" s="1" t="n">
        <v>45163</v>
      </c>
      <c r="C632" s="1" t="n">
        <v>45645</v>
      </c>
      <c r="D632" t="inlineStr">
        <is>
          <t>JÄMTLANDS LÄN</t>
        </is>
      </c>
      <c r="E632" t="inlineStr">
        <is>
          <t>ÖSTERSUND</t>
        </is>
      </c>
      <c r="G632" t="n">
        <v>6</v>
      </c>
      <c r="H632" t="n">
        <v>0</v>
      </c>
      <c r="I632" t="n">
        <v>0</v>
      </c>
      <c r="J632" t="n">
        <v>0</v>
      </c>
      <c r="K632" t="n">
        <v>0</v>
      </c>
      <c r="L632" t="n">
        <v>0</v>
      </c>
      <c r="M632" t="n">
        <v>0</v>
      </c>
      <c r="N632" t="n">
        <v>0</v>
      </c>
      <c r="O632" t="n">
        <v>0</v>
      </c>
      <c r="P632" t="n">
        <v>0</v>
      </c>
      <c r="Q632" t="n">
        <v>0</v>
      </c>
      <c r="R632" s="2" t="inlineStr"/>
    </row>
    <row r="633" ht="15" customHeight="1">
      <c r="A633" t="inlineStr">
        <is>
          <t>A 39494-2023</t>
        </is>
      </c>
      <c r="B633" s="1" t="n">
        <v>45166</v>
      </c>
      <c r="C633" s="1" t="n">
        <v>45645</v>
      </c>
      <c r="D633" t="inlineStr">
        <is>
          <t>JÄMTLANDS LÄN</t>
        </is>
      </c>
      <c r="E633" t="inlineStr">
        <is>
          <t>ÖSTERSUND</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39493-2023</t>
        </is>
      </c>
      <c r="B634" s="1" t="n">
        <v>45167</v>
      </c>
      <c r="C634" s="1" t="n">
        <v>45645</v>
      </c>
      <c r="D634" t="inlineStr">
        <is>
          <t>JÄMTLANDS LÄN</t>
        </is>
      </c>
      <c r="E634" t="inlineStr">
        <is>
          <t>ÖSTERSUND</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39647-2023</t>
        </is>
      </c>
      <c r="B635" s="1" t="n">
        <v>45167</v>
      </c>
      <c r="C635" s="1" t="n">
        <v>45645</v>
      </c>
      <c r="D635" t="inlineStr">
        <is>
          <t>JÄMTLANDS LÄN</t>
        </is>
      </c>
      <c r="E635" t="inlineStr">
        <is>
          <t>ÖSTERSUND</t>
        </is>
      </c>
      <c r="G635" t="n">
        <v>1</v>
      </c>
      <c r="H635" t="n">
        <v>0</v>
      </c>
      <c r="I635" t="n">
        <v>0</v>
      </c>
      <c r="J635" t="n">
        <v>0</v>
      </c>
      <c r="K635" t="n">
        <v>0</v>
      </c>
      <c r="L635" t="n">
        <v>0</v>
      </c>
      <c r="M635" t="n">
        <v>0</v>
      </c>
      <c r="N635" t="n">
        <v>0</v>
      </c>
      <c r="O635" t="n">
        <v>0</v>
      </c>
      <c r="P635" t="n">
        <v>0</v>
      </c>
      <c r="Q635" t="n">
        <v>0</v>
      </c>
      <c r="R635" s="2" t="inlineStr"/>
    </row>
    <row r="636" ht="15" customHeight="1">
      <c r="A636" t="inlineStr">
        <is>
          <t>A 39652-2023</t>
        </is>
      </c>
      <c r="B636" s="1" t="n">
        <v>45167</v>
      </c>
      <c r="C636" s="1" t="n">
        <v>45645</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39805-2023</t>
        </is>
      </c>
      <c r="B637" s="1" t="n">
        <v>45168</v>
      </c>
      <c r="C637" s="1" t="n">
        <v>45645</v>
      </c>
      <c r="D637" t="inlineStr">
        <is>
          <t>JÄMTLANDS LÄN</t>
        </is>
      </c>
      <c r="E637" t="inlineStr">
        <is>
          <t>ÖSTERSUND</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40423-2023</t>
        </is>
      </c>
      <c r="B638" s="1" t="n">
        <v>45169</v>
      </c>
      <c r="C638" s="1" t="n">
        <v>45645</v>
      </c>
      <c r="D638" t="inlineStr">
        <is>
          <t>JÄMTLANDS LÄN</t>
        </is>
      </c>
      <c r="E638" t="inlineStr">
        <is>
          <t>ÖSTERSUND</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40422-2023</t>
        </is>
      </c>
      <c r="B639" s="1" t="n">
        <v>45170</v>
      </c>
      <c r="C639" s="1" t="n">
        <v>45645</v>
      </c>
      <c r="D639" t="inlineStr">
        <is>
          <t>JÄMTLANDS LÄN</t>
        </is>
      </c>
      <c r="E639" t="inlineStr">
        <is>
          <t>ÖSTERSUND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40792-2023</t>
        </is>
      </c>
      <c r="B640" s="1" t="n">
        <v>45170</v>
      </c>
      <c r="C640" s="1" t="n">
        <v>45645</v>
      </c>
      <c r="D640" t="inlineStr">
        <is>
          <t>JÄMTLANDS LÄN</t>
        </is>
      </c>
      <c r="E640" t="inlineStr">
        <is>
          <t>ÖSTERSUND</t>
        </is>
      </c>
      <c r="G640" t="n">
        <v>22.4</v>
      </c>
      <c r="H640" t="n">
        <v>0</v>
      </c>
      <c r="I640" t="n">
        <v>0</v>
      </c>
      <c r="J640" t="n">
        <v>0</v>
      </c>
      <c r="K640" t="n">
        <v>0</v>
      </c>
      <c r="L640" t="n">
        <v>0</v>
      </c>
      <c r="M640" t="n">
        <v>0</v>
      </c>
      <c r="N640" t="n">
        <v>0</v>
      </c>
      <c r="O640" t="n">
        <v>0</v>
      </c>
      <c r="P640" t="n">
        <v>0</v>
      </c>
      <c r="Q640" t="n">
        <v>0</v>
      </c>
      <c r="R640" s="2" t="inlineStr"/>
    </row>
    <row r="641" ht="15" customHeight="1">
      <c r="A641" t="inlineStr">
        <is>
          <t>A 40772-2023</t>
        </is>
      </c>
      <c r="B641" s="1" t="n">
        <v>45171</v>
      </c>
      <c r="C641" s="1" t="n">
        <v>45645</v>
      </c>
      <c r="D641" t="inlineStr">
        <is>
          <t>JÄMTLANDS LÄN</t>
        </is>
      </c>
      <c r="E641" t="inlineStr">
        <is>
          <t>ÖSTERSUND</t>
        </is>
      </c>
      <c r="F641" t="inlineStr">
        <is>
          <t>SCA</t>
        </is>
      </c>
      <c r="G641" t="n">
        <v>17.6</v>
      </c>
      <c r="H641" t="n">
        <v>0</v>
      </c>
      <c r="I641" t="n">
        <v>0</v>
      </c>
      <c r="J641" t="n">
        <v>0</v>
      </c>
      <c r="K641" t="n">
        <v>0</v>
      </c>
      <c r="L641" t="n">
        <v>0</v>
      </c>
      <c r="M641" t="n">
        <v>0</v>
      </c>
      <c r="N641" t="n">
        <v>0</v>
      </c>
      <c r="O641" t="n">
        <v>0</v>
      </c>
      <c r="P641" t="n">
        <v>0</v>
      </c>
      <c r="Q641" t="n">
        <v>0</v>
      </c>
      <c r="R641" s="2" t="inlineStr"/>
    </row>
    <row r="642" ht="15" customHeight="1">
      <c r="A642" t="inlineStr">
        <is>
          <t>A 41224-2023</t>
        </is>
      </c>
      <c r="B642" s="1" t="n">
        <v>45174</v>
      </c>
      <c r="C642" s="1" t="n">
        <v>45645</v>
      </c>
      <c r="D642" t="inlineStr">
        <is>
          <t>JÄMTLANDS LÄN</t>
        </is>
      </c>
      <c r="E642" t="inlineStr">
        <is>
          <t>ÖSTERSUND</t>
        </is>
      </c>
      <c r="G642" t="n">
        <v>13.3</v>
      </c>
      <c r="H642" t="n">
        <v>0</v>
      </c>
      <c r="I642" t="n">
        <v>0</v>
      </c>
      <c r="J642" t="n">
        <v>0</v>
      </c>
      <c r="K642" t="n">
        <v>0</v>
      </c>
      <c r="L642" t="n">
        <v>0</v>
      </c>
      <c r="M642" t="n">
        <v>0</v>
      </c>
      <c r="N642" t="n">
        <v>0</v>
      </c>
      <c r="O642" t="n">
        <v>0</v>
      </c>
      <c r="P642" t="n">
        <v>0</v>
      </c>
      <c r="Q642" t="n">
        <v>0</v>
      </c>
      <c r="R642" s="2" t="inlineStr"/>
    </row>
    <row r="643" ht="15" customHeight="1">
      <c r="A643" t="inlineStr">
        <is>
          <t>A 41649-2023</t>
        </is>
      </c>
      <c r="B643" s="1" t="n">
        <v>45176</v>
      </c>
      <c r="C643" s="1" t="n">
        <v>45645</v>
      </c>
      <c r="D643" t="inlineStr">
        <is>
          <t>JÄMTLANDS LÄN</t>
        </is>
      </c>
      <c r="E643" t="inlineStr">
        <is>
          <t>ÖSTERSUND</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41919-2023</t>
        </is>
      </c>
      <c r="B644" s="1" t="n">
        <v>45177</v>
      </c>
      <c r="C644" s="1" t="n">
        <v>45645</v>
      </c>
      <c r="D644" t="inlineStr">
        <is>
          <t>JÄMTLANDS LÄN</t>
        </is>
      </c>
      <c r="E644" t="inlineStr">
        <is>
          <t>ÖSTERSUND</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41918-2023</t>
        </is>
      </c>
      <c r="B645" s="1" t="n">
        <v>45177</v>
      </c>
      <c r="C645" s="1" t="n">
        <v>45645</v>
      </c>
      <c r="D645" t="inlineStr">
        <is>
          <t>JÄMTLANDS LÄN</t>
        </is>
      </c>
      <c r="E645" t="inlineStr">
        <is>
          <t>ÖSTERSUND</t>
        </is>
      </c>
      <c r="F645" t="inlineStr">
        <is>
          <t>SCA</t>
        </is>
      </c>
      <c r="G645" t="n">
        <v>10.5</v>
      </c>
      <c r="H645" t="n">
        <v>0</v>
      </c>
      <c r="I645" t="n">
        <v>0</v>
      </c>
      <c r="J645" t="n">
        <v>0</v>
      </c>
      <c r="K645" t="n">
        <v>0</v>
      </c>
      <c r="L645" t="n">
        <v>0</v>
      </c>
      <c r="M645" t="n">
        <v>0</v>
      </c>
      <c r="N645" t="n">
        <v>0</v>
      </c>
      <c r="O645" t="n">
        <v>0</v>
      </c>
      <c r="P645" t="n">
        <v>0</v>
      </c>
      <c r="Q645" t="n">
        <v>0</v>
      </c>
      <c r="R645" s="2" t="inlineStr"/>
    </row>
    <row r="646" ht="15" customHeight="1">
      <c r="A646" t="inlineStr">
        <is>
          <t>A 41900-2023</t>
        </is>
      </c>
      <c r="B646" s="1" t="n">
        <v>45176</v>
      </c>
      <c r="C646" s="1" t="n">
        <v>45645</v>
      </c>
      <c r="D646" t="inlineStr">
        <is>
          <t>JÄMTLANDS LÄN</t>
        </is>
      </c>
      <c r="E646" t="inlineStr">
        <is>
          <t>ÖSTERSUND</t>
        </is>
      </c>
      <c r="G646" t="n">
        <v>24.4</v>
      </c>
      <c r="H646" t="n">
        <v>0</v>
      </c>
      <c r="I646" t="n">
        <v>0</v>
      </c>
      <c r="J646" t="n">
        <v>0</v>
      </c>
      <c r="K646" t="n">
        <v>0</v>
      </c>
      <c r="L646" t="n">
        <v>0</v>
      </c>
      <c r="M646" t="n">
        <v>0</v>
      </c>
      <c r="N646" t="n">
        <v>0</v>
      </c>
      <c r="O646" t="n">
        <v>0</v>
      </c>
      <c r="P646" t="n">
        <v>0</v>
      </c>
      <c r="Q646" t="n">
        <v>0</v>
      </c>
      <c r="R646" s="2" t="inlineStr"/>
    </row>
    <row r="647" ht="15" customHeight="1">
      <c r="A647" t="inlineStr">
        <is>
          <t>A 42151-2023</t>
        </is>
      </c>
      <c r="B647" s="1" t="n">
        <v>45178</v>
      </c>
      <c r="C647" s="1" t="n">
        <v>45645</v>
      </c>
      <c r="D647" t="inlineStr">
        <is>
          <t>JÄMTLANDS LÄN</t>
        </is>
      </c>
      <c r="E647" t="inlineStr">
        <is>
          <t>ÖSTERSUND</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43557-2023</t>
        </is>
      </c>
      <c r="B648" s="1" t="n">
        <v>45181</v>
      </c>
      <c r="C648" s="1" t="n">
        <v>45645</v>
      </c>
      <c r="D648" t="inlineStr">
        <is>
          <t>JÄMTLANDS LÄN</t>
        </is>
      </c>
      <c r="E648" t="inlineStr">
        <is>
          <t>ÖSTERSUND</t>
        </is>
      </c>
      <c r="G648" t="n">
        <v>0.9</v>
      </c>
      <c r="H648" t="n">
        <v>0</v>
      </c>
      <c r="I648" t="n">
        <v>0</v>
      </c>
      <c r="J648" t="n">
        <v>0</v>
      </c>
      <c r="K648" t="n">
        <v>0</v>
      </c>
      <c r="L648" t="n">
        <v>0</v>
      </c>
      <c r="M648" t="n">
        <v>0</v>
      </c>
      <c r="N648" t="n">
        <v>0</v>
      </c>
      <c r="O648" t="n">
        <v>0</v>
      </c>
      <c r="P648" t="n">
        <v>0</v>
      </c>
      <c r="Q648" t="n">
        <v>0</v>
      </c>
      <c r="R648" s="2" t="inlineStr"/>
    </row>
    <row r="649" ht="15" customHeight="1">
      <c r="A649" t="inlineStr">
        <is>
          <t>A 42664-2023</t>
        </is>
      </c>
      <c r="B649" s="1" t="n">
        <v>45181</v>
      </c>
      <c r="C649" s="1" t="n">
        <v>45645</v>
      </c>
      <c r="D649" t="inlineStr">
        <is>
          <t>JÄMTLANDS LÄN</t>
        </is>
      </c>
      <c r="E649" t="inlineStr">
        <is>
          <t>ÖSTERSUND</t>
        </is>
      </c>
      <c r="F649" t="inlineStr">
        <is>
          <t>Övriga Aktiebolag</t>
        </is>
      </c>
      <c r="G649" t="n">
        <v>3.7</v>
      </c>
      <c r="H649" t="n">
        <v>0</v>
      </c>
      <c r="I649" t="n">
        <v>0</v>
      </c>
      <c r="J649" t="n">
        <v>0</v>
      </c>
      <c r="K649" t="n">
        <v>0</v>
      </c>
      <c r="L649" t="n">
        <v>0</v>
      </c>
      <c r="M649" t="n">
        <v>0</v>
      </c>
      <c r="N649" t="n">
        <v>0</v>
      </c>
      <c r="O649" t="n">
        <v>0</v>
      </c>
      <c r="P649" t="n">
        <v>0</v>
      </c>
      <c r="Q649" t="n">
        <v>0</v>
      </c>
      <c r="R649" s="2" t="inlineStr"/>
    </row>
    <row r="650" ht="15" customHeight="1">
      <c r="A650" t="inlineStr">
        <is>
          <t>A 42679-2023</t>
        </is>
      </c>
      <c r="B650" s="1" t="n">
        <v>45181</v>
      </c>
      <c r="C650" s="1" t="n">
        <v>45645</v>
      </c>
      <c r="D650" t="inlineStr">
        <is>
          <t>JÄMTLANDS LÄN</t>
        </is>
      </c>
      <c r="E650" t="inlineStr">
        <is>
          <t>ÖSTERSUND</t>
        </is>
      </c>
      <c r="F650" t="inlineStr">
        <is>
          <t>Övriga Aktiebolag</t>
        </is>
      </c>
      <c r="G650" t="n">
        <v>2.1</v>
      </c>
      <c r="H650" t="n">
        <v>0</v>
      </c>
      <c r="I650" t="n">
        <v>0</v>
      </c>
      <c r="J650" t="n">
        <v>0</v>
      </c>
      <c r="K650" t="n">
        <v>0</v>
      </c>
      <c r="L650" t="n">
        <v>0</v>
      </c>
      <c r="M650" t="n">
        <v>0</v>
      </c>
      <c r="N650" t="n">
        <v>0</v>
      </c>
      <c r="O650" t="n">
        <v>0</v>
      </c>
      <c r="P650" t="n">
        <v>0</v>
      </c>
      <c r="Q650" t="n">
        <v>0</v>
      </c>
      <c r="R650" s="2" t="inlineStr"/>
    </row>
    <row r="651" ht="15" customHeight="1">
      <c r="A651" t="inlineStr">
        <is>
          <t>A 43740-2023</t>
        </is>
      </c>
      <c r="B651" s="1" t="n">
        <v>45182</v>
      </c>
      <c r="C651" s="1" t="n">
        <v>45645</v>
      </c>
      <c r="D651" t="inlineStr">
        <is>
          <t>JÄMTLANDS LÄN</t>
        </is>
      </c>
      <c r="E651" t="inlineStr">
        <is>
          <t>ÖSTERSUND</t>
        </is>
      </c>
      <c r="G651" t="n">
        <v>10.2</v>
      </c>
      <c r="H651" t="n">
        <v>0</v>
      </c>
      <c r="I651" t="n">
        <v>0</v>
      </c>
      <c r="J651" t="n">
        <v>0</v>
      </c>
      <c r="K651" t="n">
        <v>0</v>
      </c>
      <c r="L651" t="n">
        <v>0</v>
      </c>
      <c r="M651" t="n">
        <v>0</v>
      </c>
      <c r="N651" t="n">
        <v>0</v>
      </c>
      <c r="O651" t="n">
        <v>0</v>
      </c>
      <c r="P651" t="n">
        <v>0</v>
      </c>
      <c r="Q651" t="n">
        <v>0</v>
      </c>
      <c r="R651" s="2" t="inlineStr"/>
    </row>
    <row r="652" ht="15" customHeight="1">
      <c r="A652" t="inlineStr">
        <is>
          <t>A 43135-2023</t>
        </is>
      </c>
      <c r="B652" s="1" t="n">
        <v>45183</v>
      </c>
      <c r="C652" s="1" t="n">
        <v>45645</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43252-2023</t>
        </is>
      </c>
      <c r="B653" s="1" t="n">
        <v>45183</v>
      </c>
      <c r="C653" s="1" t="n">
        <v>45645</v>
      </c>
      <c r="D653" t="inlineStr">
        <is>
          <t>JÄMTLANDS LÄN</t>
        </is>
      </c>
      <c r="E653" t="inlineStr">
        <is>
          <t>ÖSTERSUND</t>
        </is>
      </c>
      <c r="G653" t="n">
        <v>2.9</v>
      </c>
      <c r="H653" t="n">
        <v>0</v>
      </c>
      <c r="I653" t="n">
        <v>0</v>
      </c>
      <c r="J653" t="n">
        <v>0</v>
      </c>
      <c r="K653" t="n">
        <v>0</v>
      </c>
      <c r="L653" t="n">
        <v>0</v>
      </c>
      <c r="M653" t="n">
        <v>0</v>
      </c>
      <c r="N653" t="n">
        <v>0</v>
      </c>
      <c r="O653" t="n">
        <v>0</v>
      </c>
      <c r="P653" t="n">
        <v>0</v>
      </c>
      <c r="Q653" t="n">
        <v>0</v>
      </c>
      <c r="R653" s="2" t="inlineStr"/>
    </row>
    <row r="654" ht="15" customHeight="1">
      <c r="A654" t="inlineStr">
        <is>
          <t>A 44327-2023</t>
        </is>
      </c>
      <c r="B654" s="1" t="n">
        <v>45188</v>
      </c>
      <c r="C654" s="1" t="n">
        <v>45645</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44359-2023</t>
        </is>
      </c>
      <c r="B655" s="1" t="n">
        <v>45188</v>
      </c>
      <c r="C655" s="1" t="n">
        <v>45645</v>
      </c>
      <c r="D655" t="inlineStr">
        <is>
          <t>JÄMTLANDS LÄN</t>
        </is>
      </c>
      <c r="E655" t="inlineStr">
        <is>
          <t>ÖSTERSUND</t>
        </is>
      </c>
      <c r="G655" t="n">
        <v>8.1</v>
      </c>
      <c r="H655" t="n">
        <v>0</v>
      </c>
      <c r="I655" t="n">
        <v>0</v>
      </c>
      <c r="J655" t="n">
        <v>0</v>
      </c>
      <c r="K655" t="n">
        <v>0</v>
      </c>
      <c r="L655" t="n">
        <v>0</v>
      </c>
      <c r="M655" t="n">
        <v>0</v>
      </c>
      <c r="N655" t="n">
        <v>0</v>
      </c>
      <c r="O655" t="n">
        <v>0</v>
      </c>
      <c r="P655" t="n">
        <v>0</v>
      </c>
      <c r="Q655" t="n">
        <v>0</v>
      </c>
      <c r="R655" s="2" t="inlineStr"/>
    </row>
    <row r="656" ht="15" customHeight="1">
      <c r="A656" t="inlineStr">
        <is>
          <t>A 45980-2023</t>
        </is>
      </c>
      <c r="B656" s="1" t="n">
        <v>45189</v>
      </c>
      <c r="C656" s="1" t="n">
        <v>45645</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44719-2023</t>
        </is>
      </c>
      <c r="B657" s="1" t="n">
        <v>45190</v>
      </c>
      <c r="C657" s="1" t="n">
        <v>45645</v>
      </c>
      <c r="D657" t="inlineStr">
        <is>
          <t>JÄMTLANDS LÄN</t>
        </is>
      </c>
      <c r="E657" t="inlineStr">
        <is>
          <t>ÖSTERSUND</t>
        </is>
      </c>
      <c r="G657" t="n">
        <v>17.5</v>
      </c>
      <c r="H657" t="n">
        <v>0</v>
      </c>
      <c r="I657" t="n">
        <v>0</v>
      </c>
      <c r="J657" t="n">
        <v>0</v>
      </c>
      <c r="K657" t="n">
        <v>0</v>
      </c>
      <c r="L657" t="n">
        <v>0</v>
      </c>
      <c r="M657" t="n">
        <v>0</v>
      </c>
      <c r="N657" t="n">
        <v>0</v>
      </c>
      <c r="O657" t="n">
        <v>0</v>
      </c>
      <c r="P657" t="n">
        <v>0</v>
      </c>
      <c r="Q657" t="n">
        <v>0</v>
      </c>
      <c r="R657" s="2" t="inlineStr"/>
    </row>
    <row r="658" ht="15" customHeight="1">
      <c r="A658" t="inlineStr">
        <is>
          <t>A 44798-2023</t>
        </is>
      </c>
      <c r="B658" s="1" t="n">
        <v>45190</v>
      </c>
      <c r="C658" s="1" t="n">
        <v>45645</v>
      </c>
      <c r="D658" t="inlineStr">
        <is>
          <t>JÄMTLANDS LÄN</t>
        </is>
      </c>
      <c r="E658" t="inlineStr">
        <is>
          <t>ÖSTERSUND</t>
        </is>
      </c>
      <c r="G658" t="n">
        <v>1.1</v>
      </c>
      <c r="H658" t="n">
        <v>0</v>
      </c>
      <c r="I658" t="n">
        <v>0</v>
      </c>
      <c r="J658" t="n">
        <v>0</v>
      </c>
      <c r="K658" t="n">
        <v>0</v>
      </c>
      <c r="L658" t="n">
        <v>0</v>
      </c>
      <c r="M658" t="n">
        <v>0</v>
      </c>
      <c r="N658" t="n">
        <v>0</v>
      </c>
      <c r="O658" t="n">
        <v>0</v>
      </c>
      <c r="P658" t="n">
        <v>0</v>
      </c>
      <c r="Q658" t="n">
        <v>0</v>
      </c>
      <c r="R658" s="2" t="inlineStr"/>
    </row>
    <row r="659" ht="15" customHeight="1">
      <c r="A659" t="inlineStr">
        <is>
          <t>A 46375-2023</t>
        </is>
      </c>
      <c r="B659" s="1" t="n">
        <v>45197</v>
      </c>
      <c r="C659" s="1" t="n">
        <v>45645</v>
      </c>
      <c r="D659" t="inlineStr">
        <is>
          <t>JÄMTLANDS LÄN</t>
        </is>
      </c>
      <c r="E659" t="inlineStr">
        <is>
          <t>ÖSTERSUND</t>
        </is>
      </c>
      <c r="G659" t="n">
        <v>2.5</v>
      </c>
      <c r="H659" t="n">
        <v>0</v>
      </c>
      <c r="I659" t="n">
        <v>0</v>
      </c>
      <c r="J659" t="n">
        <v>0</v>
      </c>
      <c r="K659" t="n">
        <v>0</v>
      </c>
      <c r="L659" t="n">
        <v>0</v>
      </c>
      <c r="M659" t="n">
        <v>0</v>
      </c>
      <c r="N659" t="n">
        <v>0</v>
      </c>
      <c r="O659" t="n">
        <v>0</v>
      </c>
      <c r="P659" t="n">
        <v>0</v>
      </c>
      <c r="Q659" t="n">
        <v>0</v>
      </c>
      <c r="R659" s="2" t="inlineStr"/>
    </row>
    <row r="660" ht="15" customHeight="1">
      <c r="A660" t="inlineStr">
        <is>
          <t>A 46763-2023</t>
        </is>
      </c>
      <c r="B660" s="1" t="n">
        <v>45198</v>
      </c>
      <c r="C660" s="1" t="n">
        <v>45645</v>
      </c>
      <c r="D660" t="inlineStr">
        <is>
          <t>JÄMTLANDS LÄN</t>
        </is>
      </c>
      <c r="E660" t="inlineStr">
        <is>
          <t>ÖSTERSUND</t>
        </is>
      </c>
      <c r="F660" t="inlineStr">
        <is>
          <t>Sveaskog</t>
        </is>
      </c>
      <c r="G660" t="n">
        <v>13.3</v>
      </c>
      <c r="H660" t="n">
        <v>0</v>
      </c>
      <c r="I660" t="n">
        <v>0</v>
      </c>
      <c r="J660" t="n">
        <v>0</v>
      </c>
      <c r="K660" t="n">
        <v>0</v>
      </c>
      <c r="L660" t="n">
        <v>0</v>
      </c>
      <c r="M660" t="n">
        <v>0</v>
      </c>
      <c r="N660" t="n">
        <v>0</v>
      </c>
      <c r="O660" t="n">
        <v>0</v>
      </c>
      <c r="P660" t="n">
        <v>0</v>
      </c>
      <c r="Q660" t="n">
        <v>0</v>
      </c>
      <c r="R660" s="2" t="inlineStr"/>
    </row>
    <row r="661" ht="15" customHeight="1">
      <c r="A661" t="inlineStr">
        <is>
          <t>A 46748-2023</t>
        </is>
      </c>
      <c r="B661" s="1" t="n">
        <v>45198</v>
      </c>
      <c r="C661" s="1" t="n">
        <v>45645</v>
      </c>
      <c r="D661" t="inlineStr">
        <is>
          <t>JÄMTLANDS LÄN</t>
        </is>
      </c>
      <c r="E661" t="inlineStr">
        <is>
          <t>ÖSTERSUND</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47086-2023</t>
        </is>
      </c>
      <c r="B662" s="1" t="n">
        <v>45201</v>
      </c>
      <c r="C662" s="1" t="n">
        <v>45645</v>
      </c>
      <c r="D662" t="inlineStr">
        <is>
          <t>JÄMTLANDS LÄN</t>
        </is>
      </c>
      <c r="E662" t="inlineStr">
        <is>
          <t>ÖSTERSUND</t>
        </is>
      </c>
      <c r="G662" t="n">
        <v>12</v>
      </c>
      <c r="H662" t="n">
        <v>0</v>
      </c>
      <c r="I662" t="n">
        <v>0</v>
      </c>
      <c r="J662" t="n">
        <v>0</v>
      </c>
      <c r="K662" t="n">
        <v>0</v>
      </c>
      <c r="L662" t="n">
        <v>0</v>
      </c>
      <c r="M662" t="n">
        <v>0</v>
      </c>
      <c r="N662" t="n">
        <v>0</v>
      </c>
      <c r="O662" t="n">
        <v>0</v>
      </c>
      <c r="P662" t="n">
        <v>0</v>
      </c>
      <c r="Q662" t="n">
        <v>0</v>
      </c>
      <c r="R662" s="2" t="inlineStr"/>
    </row>
    <row r="663" ht="15" customHeight="1">
      <c r="A663" t="inlineStr">
        <is>
          <t>A 47252-2023</t>
        </is>
      </c>
      <c r="B663" s="1" t="n">
        <v>45202</v>
      </c>
      <c r="C663" s="1" t="n">
        <v>45645</v>
      </c>
      <c r="D663" t="inlineStr">
        <is>
          <t>JÄMTLANDS LÄN</t>
        </is>
      </c>
      <c r="E663" t="inlineStr">
        <is>
          <t>ÖSTERSUND</t>
        </is>
      </c>
      <c r="G663" t="n">
        <v>1.3</v>
      </c>
      <c r="H663" t="n">
        <v>0</v>
      </c>
      <c r="I663" t="n">
        <v>0</v>
      </c>
      <c r="J663" t="n">
        <v>0</v>
      </c>
      <c r="K663" t="n">
        <v>0</v>
      </c>
      <c r="L663" t="n">
        <v>0</v>
      </c>
      <c r="M663" t="n">
        <v>0</v>
      </c>
      <c r="N663" t="n">
        <v>0</v>
      </c>
      <c r="O663" t="n">
        <v>0</v>
      </c>
      <c r="P663" t="n">
        <v>0</v>
      </c>
      <c r="Q663" t="n">
        <v>0</v>
      </c>
      <c r="R663" s="2" t="inlineStr"/>
    </row>
    <row r="664" ht="15" customHeight="1">
      <c r="A664" t="inlineStr">
        <is>
          <t>A 47727-2023</t>
        </is>
      </c>
      <c r="B664" s="1" t="n">
        <v>45203</v>
      </c>
      <c r="C664" s="1" t="n">
        <v>45645</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48374-2023</t>
        </is>
      </c>
      <c r="B665" s="1" t="n">
        <v>45205</v>
      </c>
      <c r="C665" s="1" t="n">
        <v>45645</v>
      </c>
      <c r="D665" t="inlineStr">
        <is>
          <t>JÄMTLANDS LÄN</t>
        </is>
      </c>
      <c r="E665" t="inlineStr">
        <is>
          <t>ÖSTERSUND</t>
        </is>
      </c>
      <c r="G665" t="n">
        <v>5.6</v>
      </c>
      <c r="H665" t="n">
        <v>0</v>
      </c>
      <c r="I665" t="n">
        <v>0</v>
      </c>
      <c r="J665" t="n">
        <v>0</v>
      </c>
      <c r="K665" t="n">
        <v>0</v>
      </c>
      <c r="L665" t="n">
        <v>0</v>
      </c>
      <c r="M665" t="n">
        <v>0</v>
      </c>
      <c r="N665" t="n">
        <v>0</v>
      </c>
      <c r="O665" t="n">
        <v>0</v>
      </c>
      <c r="P665" t="n">
        <v>0</v>
      </c>
      <c r="Q665" t="n">
        <v>0</v>
      </c>
      <c r="R665" s="2" t="inlineStr"/>
    </row>
    <row r="666" ht="15" customHeight="1">
      <c r="A666" t="inlineStr">
        <is>
          <t>A 50753-2023</t>
        </is>
      </c>
      <c r="B666" s="1" t="n">
        <v>45210</v>
      </c>
      <c r="C666" s="1" t="n">
        <v>45645</v>
      </c>
      <c r="D666" t="inlineStr">
        <is>
          <t>JÄMTLANDS LÄN</t>
        </is>
      </c>
      <c r="E666" t="inlineStr">
        <is>
          <t>ÖSTERSUND</t>
        </is>
      </c>
      <c r="G666" t="n">
        <v>29.3</v>
      </c>
      <c r="H666" t="n">
        <v>0</v>
      </c>
      <c r="I666" t="n">
        <v>0</v>
      </c>
      <c r="J666" t="n">
        <v>0</v>
      </c>
      <c r="K666" t="n">
        <v>0</v>
      </c>
      <c r="L666" t="n">
        <v>0</v>
      </c>
      <c r="M666" t="n">
        <v>0</v>
      </c>
      <c r="N666" t="n">
        <v>0</v>
      </c>
      <c r="O666" t="n">
        <v>0</v>
      </c>
      <c r="P666" t="n">
        <v>0</v>
      </c>
      <c r="Q666" t="n">
        <v>0</v>
      </c>
      <c r="R666" s="2" t="inlineStr"/>
    </row>
    <row r="667" ht="15" customHeight="1">
      <c r="A667" t="inlineStr">
        <is>
          <t>A 50953-2023</t>
        </is>
      </c>
      <c r="B667" s="1" t="n">
        <v>45211</v>
      </c>
      <c r="C667" s="1" t="n">
        <v>45645</v>
      </c>
      <c r="D667" t="inlineStr">
        <is>
          <t>JÄMTLANDS LÄN</t>
        </is>
      </c>
      <c r="E667" t="inlineStr">
        <is>
          <t>ÖSTERSUND</t>
        </is>
      </c>
      <c r="G667" t="n">
        <v>2.2</v>
      </c>
      <c r="H667" t="n">
        <v>0</v>
      </c>
      <c r="I667" t="n">
        <v>0</v>
      </c>
      <c r="J667" t="n">
        <v>0</v>
      </c>
      <c r="K667" t="n">
        <v>0</v>
      </c>
      <c r="L667" t="n">
        <v>0</v>
      </c>
      <c r="M667" t="n">
        <v>0</v>
      </c>
      <c r="N667" t="n">
        <v>0</v>
      </c>
      <c r="O667" t="n">
        <v>0</v>
      </c>
      <c r="P667" t="n">
        <v>0</v>
      </c>
      <c r="Q667" t="n">
        <v>0</v>
      </c>
      <c r="R667" s="2" t="inlineStr"/>
    </row>
    <row r="668" ht="15" customHeight="1">
      <c r="A668" t="inlineStr">
        <is>
          <t>A 51701-2023</t>
        </is>
      </c>
      <c r="B668" s="1" t="n">
        <v>45215</v>
      </c>
      <c r="C668" s="1" t="n">
        <v>45645</v>
      </c>
      <c r="D668" t="inlineStr">
        <is>
          <t>JÄMTLANDS LÄN</t>
        </is>
      </c>
      <c r="E668" t="inlineStr">
        <is>
          <t>ÖSTERSUND</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52209-2023</t>
        </is>
      </c>
      <c r="B669" s="1" t="n">
        <v>45217</v>
      </c>
      <c r="C669" s="1" t="n">
        <v>45645</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50965-2023</t>
        </is>
      </c>
      <c r="B670" s="1" t="n">
        <v>45218</v>
      </c>
      <c r="C670" s="1" t="n">
        <v>45645</v>
      </c>
      <c r="D670" t="inlineStr">
        <is>
          <t>JÄMTLANDS LÄN</t>
        </is>
      </c>
      <c r="E670" t="inlineStr">
        <is>
          <t>ÖSTERSUND</t>
        </is>
      </c>
      <c r="G670" t="n">
        <v>3.5</v>
      </c>
      <c r="H670" t="n">
        <v>0</v>
      </c>
      <c r="I670" t="n">
        <v>0</v>
      </c>
      <c r="J670" t="n">
        <v>0</v>
      </c>
      <c r="K670" t="n">
        <v>0</v>
      </c>
      <c r="L670" t="n">
        <v>0</v>
      </c>
      <c r="M670" t="n">
        <v>0</v>
      </c>
      <c r="N670" t="n">
        <v>0</v>
      </c>
      <c r="O670" t="n">
        <v>0</v>
      </c>
      <c r="P670" t="n">
        <v>0</v>
      </c>
      <c r="Q670" t="n">
        <v>0</v>
      </c>
      <c r="R670" s="2" t="inlineStr"/>
    </row>
    <row r="671" ht="15" customHeight="1">
      <c r="A671" t="inlineStr">
        <is>
          <t>A 51480-2023</t>
        </is>
      </c>
      <c r="B671" s="1" t="n">
        <v>45222</v>
      </c>
      <c r="C671" s="1" t="n">
        <v>45645</v>
      </c>
      <c r="D671" t="inlineStr">
        <is>
          <t>JÄMTLANDS LÄN</t>
        </is>
      </c>
      <c r="E671" t="inlineStr">
        <is>
          <t>ÖSTERSUND</t>
        </is>
      </c>
      <c r="G671" t="n">
        <v>1.3</v>
      </c>
      <c r="H671" t="n">
        <v>0</v>
      </c>
      <c r="I671" t="n">
        <v>0</v>
      </c>
      <c r="J671" t="n">
        <v>0</v>
      </c>
      <c r="K671" t="n">
        <v>0</v>
      </c>
      <c r="L671" t="n">
        <v>0</v>
      </c>
      <c r="M671" t="n">
        <v>0</v>
      </c>
      <c r="N671" t="n">
        <v>0</v>
      </c>
      <c r="O671" t="n">
        <v>0</v>
      </c>
      <c r="P671" t="n">
        <v>0</v>
      </c>
      <c r="Q671" t="n">
        <v>0</v>
      </c>
      <c r="R671" s="2" t="inlineStr"/>
    </row>
    <row r="672" ht="15" customHeight="1">
      <c r="A672" t="inlineStr">
        <is>
          <t>A 51482-2023</t>
        </is>
      </c>
      <c r="B672" s="1" t="n">
        <v>45222</v>
      </c>
      <c r="C672" s="1" t="n">
        <v>45645</v>
      </c>
      <c r="D672" t="inlineStr">
        <is>
          <t>JÄMTLANDS LÄN</t>
        </is>
      </c>
      <c r="E672" t="inlineStr">
        <is>
          <t>ÖSTERSUND</t>
        </is>
      </c>
      <c r="G672" t="n">
        <v>2.6</v>
      </c>
      <c r="H672" t="n">
        <v>0</v>
      </c>
      <c r="I672" t="n">
        <v>0</v>
      </c>
      <c r="J672" t="n">
        <v>0</v>
      </c>
      <c r="K672" t="n">
        <v>0</v>
      </c>
      <c r="L672" t="n">
        <v>0</v>
      </c>
      <c r="M672" t="n">
        <v>0</v>
      </c>
      <c r="N672" t="n">
        <v>0</v>
      </c>
      <c r="O672" t="n">
        <v>0</v>
      </c>
      <c r="P672" t="n">
        <v>0</v>
      </c>
      <c r="Q672" t="n">
        <v>0</v>
      </c>
      <c r="R672" s="2" t="inlineStr"/>
    </row>
    <row r="673" ht="15" customHeight="1">
      <c r="A673" t="inlineStr">
        <is>
          <t>A 51481-2023</t>
        </is>
      </c>
      <c r="B673" s="1" t="n">
        <v>45222</v>
      </c>
      <c r="C673" s="1" t="n">
        <v>45645</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51479-2023</t>
        </is>
      </c>
      <c r="B674" s="1" t="n">
        <v>45222</v>
      </c>
      <c r="C674" s="1" t="n">
        <v>45645</v>
      </c>
      <c r="D674" t="inlineStr">
        <is>
          <t>JÄMTLANDS LÄN</t>
        </is>
      </c>
      <c r="E674" t="inlineStr">
        <is>
          <t>ÖSTERSUND</t>
        </is>
      </c>
      <c r="G674" t="n">
        <v>1.9</v>
      </c>
      <c r="H674" t="n">
        <v>0</v>
      </c>
      <c r="I674" t="n">
        <v>0</v>
      </c>
      <c r="J674" t="n">
        <v>0</v>
      </c>
      <c r="K674" t="n">
        <v>0</v>
      </c>
      <c r="L674" t="n">
        <v>0</v>
      </c>
      <c r="M674" t="n">
        <v>0</v>
      </c>
      <c r="N674" t="n">
        <v>0</v>
      </c>
      <c r="O674" t="n">
        <v>0</v>
      </c>
      <c r="P674" t="n">
        <v>0</v>
      </c>
      <c r="Q674" t="n">
        <v>0</v>
      </c>
      <c r="R674" s="2" t="inlineStr"/>
    </row>
    <row r="675" ht="15" customHeight="1">
      <c r="A675" t="inlineStr">
        <is>
          <t>A 53152-2023</t>
        </is>
      </c>
      <c r="B675" s="1" t="n">
        <v>45222</v>
      </c>
      <c r="C675" s="1" t="n">
        <v>45645</v>
      </c>
      <c r="D675" t="inlineStr">
        <is>
          <t>JÄMTLANDS LÄN</t>
        </is>
      </c>
      <c r="E675" t="inlineStr">
        <is>
          <t>ÖSTERSUND</t>
        </is>
      </c>
      <c r="G675" t="n">
        <v>1</v>
      </c>
      <c r="H675" t="n">
        <v>0</v>
      </c>
      <c r="I675" t="n">
        <v>0</v>
      </c>
      <c r="J675" t="n">
        <v>0</v>
      </c>
      <c r="K675" t="n">
        <v>0</v>
      </c>
      <c r="L675" t="n">
        <v>0</v>
      </c>
      <c r="M675" t="n">
        <v>0</v>
      </c>
      <c r="N675" t="n">
        <v>0</v>
      </c>
      <c r="O675" t="n">
        <v>0</v>
      </c>
      <c r="P675" t="n">
        <v>0</v>
      </c>
      <c r="Q675" t="n">
        <v>0</v>
      </c>
      <c r="R675" s="2" t="inlineStr"/>
    </row>
    <row r="676" ht="15" customHeight="1">
      <c r="A676" t="inlineStr">
        <is>
          <t>A 51818-2023</t>
        </is>
      </c>
      <c r="B676" s="1" t="n">
        <v>45223</v>
      </c>
      <c r="C676" s="1" t="n">
        <v>45645</v>
      </c>
      <c r="D676" t="inlineStr">
        <is>
          <t>JÄMTLANDS LÄN</t>
        </is>
      </c>
      <c r="E676" t="inlineStr">
        <is>
          <t>ÖSTERSUND</t>
        </is>
      </c>
      <c r="G676" t="n">
        <v>4.7</v>
      </c>
      <c r="H676" t="n">
        <v>0</v>
      </c>
      <c r="I676" t="n">
        <v>0</v>
      </c>
      <c r="J676" t="n">
        <v>0</v>
      </c>
      <c r="K676" t="n">
        <v>0</v>
      </c>
      <c r="L676" t="n">
        <v>0</v>
      </c>
      <c r="M676" t="n">
        <v>0</v>
      </c>
      <c r="N676" t="n">
        <v>0</v>
      </c>
      <c r="O676" t="n">
        <v>0</v>
      </c>
      <c r="P676" t="n">
        <v>0</v>
      </c>
      <c r="Q676" t="n">
        <v>0</v>
      </c>
      <c r="R676" s="2" t="inlineStr"/>
    </row>
    <row r="677" ht="15" customHeight="1">
      <c r="A677" t="inlineStr">
        <is>
          <t>A 51913-2023</t>
        </is>
      </c>
      <c r="B677" s="1" t="n">
        <v>45223</v>
      </c>
      <c r="C677" s="1" t="n">
        <v>45645</v>
      </c>
      <c r="D677" t="inlineStr">
        <is>
          <t>JÄMTLANDS LÄN</t>
        </is>
      </c>
      <c r="E677" t="inlineStr">
        <is>
          <t>ÖSTERSUND</t>
        </is>
      </c>
      <c r="F677" t="inlineStr">
        <is>
          <t>Övriga Aktiebolag</t>
        </is>
      </c>
      <c r="G677" t="n">
        <v>3.4</v>
      </c>
      <c r="H677" t="n">
        <v>0</v>
      </c>
      <c r="I677" t="n">
        <v>0</v>
      </c>
      <c r="J677" t="n">
        <v>0</v>
      </c>
      <c r="K677" t="n">
        <v>0</v>
      </c>
      <c r="L677" t="n">
        <v>0</v>
      </c>
      <c r="M677" t="n">
        <v>0</v>
      </c>
      <c r="N677" t="n">
        <v>0</v>
      </c>
      <c r="O677" t="n">
        <v>0</v>
      </c>
      <c r="P677" t="n">
        <v>0</v>
      </c>
      <c r="Q677" t="n">
        <v>0</v>
      </c>
      <c r="R677" s="2" t="inlineStr"/>
    </row>
    <row r="678" ht="15" customHeight="1">
      <c r="A678" t="inlineStr">
        <is>
          <t>A 51942-2023</t>
        </is>
      </c>
      <c r="B678" s="1" t="n">
        <v>45223</v>
      </c>
      <c r="C678" s="1" t="n">
        <v>45645</v>
      </c>
      <c r="D678" t="inlineStr">
        <is>
          <t>JÄMTLANDS LÄN</t>
        </is>
      </c>
      <c r="E678" t="inlineStr">
        <is>
          <t>ÖSTERSUND</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52128-2023</t>
        </is>
      </c>
      <c r="B679" s="1" t="n">
        <v>45223</v>
      </c>
      <c r="C679" s="1" t="n">
        <v>45645</v>
      </c>
      <c r="D679" t="inlineStr">
        <is>
          <t>JÄMTLANDS LÄN</t>
        </is>
      </c>
      <c r="E679" t="inlineStr">
        <is>
          <t>ÖSTERSUND</t>
        </is>
      </c>
      <c r="F679" t="inlineStr">
        <is>
          <t>SCA</t>
        </is>
      </c>
      <c r="G679" t="n">
        <v>11.9</v>
      </c>
      <c r="H679" t="n">
        <v>0</v>
      </c>
      <c r="I679" t="n">
        <v>0</v>
      </c>
      <c r="J679" t="n">
        <v>0</v>
      </c>
      <c r="K679" t="n">
        <v>0</v>
      </c>
      <c r="L679" t="n">
        <v>0</v>
      </c>
      <c r="M679" t="n">
        <v>0</v>
      </c>
      <c r="N679" t="n">
        <v>0</v>
      </c>
      <c r="O679" t="n">
        <v>0</v>
      </c>
      <c r="P679" t="n">
        <v>0</v>
      </c>
      <c r="Q679" t="n">
        <v>0</v>
      </c>
      <c r="R679" s="2" t="inlineStr"/>
    </row>
    <row r="680" ht="15" customHeight="1">
      <c r="A680" t="inlineStr">
        <is>
          <t>A 51936-2023</t>
        </is>
      </c>
      <c r="B680" s="1" t="n">
        <v>45223</v>
      </c>
      <c r="C680" s="1" t="n">
        <v>45645</v>
      </c>
      <c r="D680" t="inlineStr">
        <is>
          <t>JÄMTLANDS LÄN</t>
        </is>
      </c>
      <c r="E680" t="inlineStr">
        <is>
          <t>ÖSTERSUND</t>
        </is>
      </c>
      <c r="G680" t="n">
        <v>8.4</v>
      </c>
      <c r="H680" t="n">
        <v>0</v>
      </c>
      <c r="I680" t="n">
        <v>0</v>
      </c>
      <c r="J680" t="n">
        <v>0</v>
      </c>
      <c r="K680" t="n">
        <v>0</v>
      </c>
      <c r="L680" t="n">
        <v>0</v>
      </c>
      <c r="M680" t="n">
        <v>0</v>
      </c>
      <c r="N680" t="n">
        <v>0</v>
      </c>
      <c r="O680" t="n">
        <v>0</v>
      </c>
      <c r="P680" t="n">
        <v>0</v>
      </c>
      <c r="Q680" t="n">
        <v>0</v>
      </c>
      <c r="R680" s="2" t="inlineStr"/>
    </row>
    <row r="681" ht="15" customHeight="1">
      <c r="A681" t="inlineStr">
        <is>
          <t>A 51941-2023</t>
        </is>
      </c>
      <c r="B681" s="1" t="n">
        <v>45223</v>
      </c>
      <c r="C681" s="1" t="n">
        <v>45645</v>
      </c>
      <c r="D681" t="inlineStr">
        <is>
          <t>JÄMTLANDS LÄN</t>
        </is>
      </c>
      <c r="E681" t="inlineStr">
        <is>
          <t>ÖSTERSUND</t>
        </is>
      </c>
      <c r="G681" t="n">
        <v>4.6</v>
      </c>
      <c r="H681" t="n">
        <v>0</v>
      </c>
      <c r="I681" t="n">
        <v>0</v>
      </c>
      <c r="J681" t="n">
        <v>0</v>
      </c>
      <c r="K681" t="n">
        <v>0</v>
      </c>
      <c r="L681" t="n">
        <v>0</v>
      </c>
      <c r="M681" t="n">
        <v>0</v>
      </c>
      <c r="N681" t="n">
        <v>0</v>
      </c>
      <c r="O681" t="n">
        <v>0</v>
      </c>
      <c r="P681" t="n">
        <v>0</v>
      </c>
      <c r="Q681" t="n">
        <v>0</v>
      </c>
      <c r="R681" s="2" t="inlineStr"/>
    </row>
    <row r="682" ht="15" customHeight="1">
      <c r="A682" t="inlineStr">
        <is>
          <t>A 53378-2023</t>
        </is>
      </c>
      <c r="B682" s="1" t="n">
        <v>45223</v>
      </c>
      <c r="C682" s="1" t="n">
        <v>45645</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53380-2023</t>
        </is>
      </c>
      <c r="B683" s="1" t="n">
        <v>45223</v>
      </c>
      <c r="C683" s="1" t="n">
        <v>45645</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52553-2023</t>
        </is>
      </c>
      <c r="B684" s="1" t="n">
        <v>45225</v>
      </c>
      <c r="C684" s="1" t="n">
        <v>45645</v>
      </c>
      <c r="D684" t="inlineStr">
        <is>
          <t>JÄMTLANDS LÄN</t>
        </is>
      </c>
      <c r="E684" t="inlineStr">
        <is>
          <t>ÖSTERSUND</t>
        </is>
      </c>
      <c r="G684" t="n">
        <v>19.9</v>
      </c>
      <c r="H684" t="n">
        <v>0</v>
      </c>
      <c r="I684" t="n">
        <v>0</v>
      </c>
      <c r="J684" t="n">
        <v>0</v>
      </c>
      <c r="K684" t="n">
        <v>0</v>
      </c>
      <c r="L684" t="n">
        <v>0</v>
      </c>
      <c r="M684" t="n">
        <v>0</v>
      </c>
      <c r="N684" t="n">
        <v>0</v>
      </c>
      <c r="O684" t="n">
        <v>0</v>
      </c>
      <c r="P684" t="n">
        <v>0</v>
      </c>
      <c r="Q684" t="n">
        <v>0</v>
      </c>
      <c r="R684" s="2" t="inlineStr"/>
    </row>
    <row r="685" ht="15" customHeight="1">
      <c r="A685" t="inlineStr">
        <is>
          <t>A 55235-2023</t>
        </is>
      </c>
      <c r="B685" s="1" t="n">
        <v>45231</v>
      </c>
      <c r="C685" s="1" t="n">
        <v>45645</v>
      </c>
      <c r="D685" t="inlineStr">
        <is>
          <t>JÄMTLANDS LÄN</t>
        </is>
      </c>
      <c r="E685" t="inlineStr">
        <is>
          <t>ÖSTERSUND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55251-2023</t>
        </is>
      </c>
      <c r="B686" s="1" t="n">
        <v>45231</v>
      </c>
      <c r="C686" s="1" t="n">
        <v>45645</v>
      </c>
      <c r="D686" t="inlineStr">
        <is>
          <t>JÄMTLANDS LÄN</t>
        </is>
      </c>
      <c r="E686" t="inlineStr">
        <is>
          <t>ÖSTERSUND</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55400-2023</t>
        </is>
      </c>
      <c r="B687" s="1" t="n">
        <v>45231</v>
      </c>
      <c r="C687" s="1" t="n">
        <v>45645</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54131-2023</t>
        </is>
      </c>
      <c r="B688" s="1" t="n">
        <v>45232</v>
      </c>
      <c r="C688" s="1" t="n">
        <v>45645</v>
      </c>
      <c r="D688" t="inlineStr">
        <is>
          <t>JÄMTLANDS LÄN</t>
        </is>
      </c>
      <c r="E688" t="inlineStr">
        <is>
          <t>ÖSTERSUND</t>
        </is>
      </c>
      <c r="G688" t="n">
        <v>5.5</v>
      </c>
      <c r="H688" t="n">
        <v>0</v>
      </c>
      <c r="I688" t="n">
        <v>0</v>
      </c>
      <c r="J688" t="n">
        <v>0</v>
      </c>
      <c r="K688" t="n">
        <v>0</v>
      </c>
      <c r="L688" t="n">
        <v>0</v>
      </c>
      <c r="M688" t="n">
        <v>0</v>
      </c>
      <c r="N688" t="n">
        <v>0</v>
      </c>
      <c r="O688" t="n">
        <v>0</v>
      </c>
      <c r="P688" t="n">
        <v>0</v>
      </c>
      <c r="Q688" t="n">
        <v>0</v>
      </c>
      <c r="R688" s="2" t="inlineStr"/>
    </row>
    <row r="689" ht="15" customHeight="1">
      <c r="A689" t="inlineStr">
        <is>
          <t>A 54608-2023</t>
        </is>
      </c>
      <c r="B689" s="1" t="n">
        <v>45233</v>
      </c>
      <c r="C689" s="1" t="n">
        <v>45645</v>
      </c>
      <c r="D689" t="inlineStr">
        <is>
          <t>JÄMTLANDS LÄN</t>
        </is>
      </c>
      <c r="E689" t="inlineStr">
        <is>
          <t>ÖSTERSUND</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55996-2023</t>
        </is>
      </c>
      <c r="B690" s="1" t="n">
        <v>45233</v>
      </c>
      <c r="C690" s="1" t="n">
        <v>45645</v>
      </c>
      <c r="D690" t="inlineStr">
        <is>
          <t>JÄMTLANDS LÄN</t>
        </is>
      </c>
      <c r="E690" t="inlineStr">
        <is>
          <t>ÖSTERSUND</t>
        </is>
      </c>
      <c r="G690" t="n">
        <v>2.4</v>
      </c>
      <c r="H690" t="n">
        <v>0</v>
      </c>
      <c r="I690" t="n">
        <v>0</v>
      </c>
      <c r="J690" t="n">
        <v>0</v>
      </c>
      <c r="K690" t="n">
        <v>0</v>
      </c>
      <c r="L690" t="n">
        <v>0</v>
      </c>
      <c r="M690" t="n">
        <v>0</v>
      </c>
      <c r="N690" t="n">
        <v>0</v>
      </c>
      <c r="O690" t="n">
        <v>0</v>
      </c>
      <c r="P690" t="n">
        <v>0</v>
      </c>
      <c r="Q690" t="n">
        <v>0</v>
      </c>
      <c r="R690" s="2" t="inlineStr"/>
    </row>
    <row r="691" ht="15" customHeight="1">
      <c r="A691" t="inlineStr">
        <is>
          <t>A 56043-2023</t>
        </is>
      </c>
      <c r="B691" s="1" t="n">
        <v>45233</v>
      </c>
      <c r="C691" s="1" t="n">
        <v>45645</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54576-2023</t>
        </is>
      </c>
      <c r="B692" s="1" t="n">
        <v>45233</v>
      </c>
      <c r="C692" s="1" t="n">
        <v>45645</v>
      </c>
      <c r="D692" t="inlineStr">
        <is>
          <t>JÄMTLANDS LÄN</t>
        </is>
      </c>
      <c r="E692" t="inlineStr">
        <is>
          <t>ÖSTERSUND</t>
        </is>
      </c>
      <c r="F692" t="inlineStr">
        <is>
          <t>Övriga Aktiebolag</t>
        </is>
      </c>
      <c r="G692" t="n">
        <v>7.3</v>
      </c>
      <c r="H692" t="n">
        <v>0</v>
      </c>
      <c r="I692" t="n">
        <v>0</v>
      </c>
      <c r="J692" t="n">
        <v>0</v>
      </c>
      <c r="K692" t="n">
        <v>0</v>
      </c>
      <c r="L692" t="n">
        <v>0</v>
      </c>
      <c r="M692" t="n">
        <v>0</v>
      </c>
      <c r="N692" t="n">
        <v>0</v>
      </c>
      <c r="O692" t="n">
        <v>0</v>
      </c>
      <c r="P692" t="n">
        <v>0</v>
      </c>
      <c r="Q692" t="n">
        <v>0</v>
      </c>
      <c r="R692" s="2" t="inlineStr"/>
    </row>
    <row r="693" ht="15" customHeight="1">
      <c r="A693" t="inlineStr">
        <is>
          <t>A 54762-2023</t>
        </is>
      </c>
      <c r="B693" s="1" t="n">
        <v>45236</v>
      </c>
      <c r="C693" s="1" t="n">
        <v>45645</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54883-2023</t>
        </is>
      </c>
      <c r="B694" s="1" t="n">
        <v>45236</v>
      </c>
      <c r="C694" s="1" t="n">
        <v>45645</v>
      </c>
      <c r="D694" t="inlineStr">
        <is>
          <t>JÄMTLANDS LÄN</t>
        </is>
      </c>
      <c r="E694" t="inlineStr">
        <is>
          <t>ÖSTERSUND</t>
        </is>
      </c>
      <c r="F694" t="inlineStr">
        <is>
          <t>Övriga Aktiebolag</t>
        </is>
      </c>
      <c r="G694" t="n">
        <v>3.2</v>
      </c>
      <c r="H694" t="n">
        <v>0</v>
      </c>
      <c r="I694" t="n">
        <v>0</v>
      </c>
      <c r="J694" t="n">
        <v>0</v>
      </c>
      <c r="K694" t="n">
        <v>0</v>
      </c>
      <c r="L694" t="n">
        <v>0</v>
      </c>
      <c r="M694" t="n">
        <v>0</v>
      </c>
      <c r="N694" t="n">
        <v>0</v>
      </c>
      <c r="O694" t="n">
        <v>0</v>
      </c>
      <c r="P694" t="n">
        <v>0</v>
      </c>
      <c r="Q694" t="n">
        <v>0</v>
      </c>
      <c r="R694" s="2" t="inlineStr"/>
    </row>
    <row r="695" ht="15" customHeight="1">
      <c r="A695" t="inlineStr">
        <is>
          <t>A 54973-2023</t>
        </is>
      </c>
      <c r="B695" s="1" t="n">
        <v>45236</v>
      </c>
      <c r="C695" s="1" t="n">
        <v>45645</v>
      </c>
      <c r="D695" t="inlineStr">
        <is>
          <t>JÄMTLANDS LÄN</t>
        </is>
      </c>
      <c r="E695" t="inlineStr">
        <is>
          <t>ÖSTERSUND</t>
        </is>
      </c>
      <c r="G695" t="n">
        <v>15.4</v>
      </c>
      <c r="H695" t="n">
        <v>0</v>
      </c>
      <c r="I695" t="n">
        <v>0</v>
      </c>
      <c r="J695" t="n">
        <v>0</v>
      </c>
      <c r="K695" t="n">
        <v>0</v>
      </c>
      <c r="L695" t="n">
        <v>0</v>
      </c>
      <c r="M695" t="n">
        <v>0</v>
      </c>
      <c r="N695" t="n">
        <v>0</v>
      </c>
      <c r="O695" t="n">
        <v>0</v>
      </c>
      <c r="P695" t="n">
        <v>0</v>
      </c>
      <c r="Q695" t="n">
        <v>0</v>
      </c>
      <c r="R695" s="2" t="inlineStr"/>
    </row>
    <row r="696" ht="15" customHeight="1">
      <c r="A696" t="inlineStr">
        <is>
          <t>A 55140-2023</t>
        </is>
      </c>
      <c r="B696" s="1" t="n">
        <v>45237</v>
      </c>
      <c r="C696" s="1" t="n">
        <v>45645</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55237-2023</t>
        </is>
      </c>
      <c r="B697" s="1" t="n">
        <v>45237</v>
      </c>
      <c r="C697" s="1" t="n">
        <v>45645</v>
      </c>
      <c r="D697" t="inlineStr">
        <is>
          <t>JÄMTLANDS LÄN</t>
        </is>
      </c>
      <c r="E697" t="inlineStr">
        <is>
          <t>ÖSTERSUND</t>
        </is>
      </c>
      <c r="G697" t="n">
        <v>2.7</v>
      </c>
      <c r="H697" t="n">
        <v>0</v>
      </c>
      <c r="I697" t="n">
        <v>0</v>
      </c>
      <c r="J697" t="n">
        <v>0</v>
      </c>
      <c r="K697" t="n">
        <v>0</v>
      </c>
      <c r="L697" t="n">
        <v>0</v>
      </c>
      <c r="M697" t="n">
        <v>0</v>
      </c>
      <c r="N697" t="n">
        <v>0</v>
      </c>
      <c r="O697" t="n">
        <v>0</v>
      </c>
      <c r="P697" t="n">
        <v>0</v>
      </c>
      <c r="Q697" t="n">
        <v>0</v>
      </c>
      <c r="R697" s="2" t="inlineStr"/>
    </row>
    <row r="698" ht="15" customHeight="1">
      <c r="A698" t="inlineStr">
        <is>
          <t>A 55233-2023</t>
        </is>
      </c>
      <c r="B698" s="1" t="n">
        <v>45237</v>
      </c>
      <c r="C698" s="1" t="n">
        <v>45645</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56440-2023</t>
        </is>
      </c>
      <c r="B699" s="1" t="n">
        <v>45237</v>
      </c>
      <c r="C699" s="1" t="n">
        <v>45645</v>
      </c>
      <c r="D699" t="inlineStr">
        <is>
          <t>JÄMTLANDS LÄN</t>
        </is>
      </c>
      <c r="E699" t="inlineStr">
        <is>
          <t>ÖSTERSUND</t>
        </is>
      </c>
      <c r="G699" t="n">
        <v>10.2</v>
      </c>
      <c r="H699" t="n">
        <v>0</v>
      </c>
      <c r="I699" t="n">
        <v>0</v>
      </c>
      <c r="J699" t="n">
        <v>0</v>
      </c>
      <c r="K699" t="n">
        <v>0</v>
      </c>
      <c r="L699" t="n">
        <v>0</v>
      </c>
      <c r="M699" t="n">
        <v>0</v>
      </c>
      <c r="N699" t="n">
        <v>0</v>
      </c>
      <c r="O699" t="n">
        <v>0</v>
      </c>
      <c r="P699" t="n">
        <v>0</v>
      </c>
      <c r="Q699" t="n">
        <v>0</v>
      </c>
      <c r="R699" s="2" t="inlineStr"/>
    </row>
    <row r="700" ht="15" customHeight="1">
      <c r="A700" t="inlineStr">
        <is>
          <t>A 55666-2023</t>
        </is>
      </c>
      <c r="B700" s="1" t="n">
        <v>45239</v>
      </c>
      <c r="C700" s="1" t="n">
        <v>45645</v>
      </c>
      <c r="D700" t="inlineStr">
        <is>
          <t>JÄMTLANDS LÄN</t>
        </is>
      </c>
      <c r="E700" t="inlineStr">
        <is>
          <t>ÖSTERSUND</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56597-2023</t>
        </is>
      </c>
      <c r="B701" s="1" t="n">
        <v>45238</v>
      </c>
      <c r="C701" s="1" t="n">
        <v>45645</v>
      </c>
      <c r="D701" t="inlineStr">
        <is>
          <t>JÄMTLANDS LÄN</t>
        </is>
      </c>
      <c r="E701" t="inlineStr">
        <is>
          <t>ÖSTERSUND</t>
        </is>
      </c>
      <c r="G701" t="n">
        <v>5.1</v>
      </c>
      <c r="H701" t="n">
        <v>0</v>
      </c>
      <c r="I701" t="n">
        <v>0</v>
      </c>
      <c r="J701" t="n">
        <v>0</v>
      </c>
      <c r="K701" t="n">
        <v>0</v>
      </c>
      <c r="L701" t="n">
        <v>0</v>
      </c>
      <c r="M701" t="n">
        <v>0</v>
      </c>
      <c r="N701" t="n">
        <v>0</v>
      </c>
      <c r="O701" t="n">
        <v>0</v>
      </c>
      <c r="P701" t="n">
        <v>0</v>
      </c>
      <c r="Q701" t="n">
        <v>0</v>
      </c>
      <c r="R701" s="2" t="inlineStr"/>
    </row>
    <row r="702" ht="15" customHeight="1">
      <c r="A702" t="inlineStr">
        <is>
          <t>A 55678-2023</t>
        </is>
      </c>
      <c r="B702" s="1" t="n">
        <v>45239</v>
      </c>
      <c r="C702" s="1" t="n">
        <v>45645</v>
      </c>
      <c r="D702" t="inlineStr">
        <is>
          <t>JÄMTLANDS LÄN</t>
        </is>
      </c>
      <c r="E702" t="inlineStr">
        <is>
          <t>ÖSTERSUND</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55785-2023</t>
        </is>
      </c>
      <c r="B703" s="1" t="n">
        <v>45239</v>
      </c>
      <c r="C703" s="1" t="n">
        <v>45645</v>
      </c>
      <c r="D703" t="inlineStr">
        <is>
          <t>JÄMTLANDS LÄN</t>
        </is>
      </c>
      <c r="E703" t="inlineStr">
        <is>
          <t>ÖSTERSUND</t>
        </is>
      </c>
      <c r="F703" t="inlineStr">
        <is>
          <t>Övriga Aktiebolag</t>
        </is>
      </c>
      <c r="G703" t="n">
        <v>16.4</v>
      </c>
      <c r="H703" t="n">
        <v>0</v>
      </c>
      <c r="I703" t="n">
        <v>0</v>
      </c>
      <c r="J703" t="n">
        <v>0</v>
      </c>
      <c r="K703" t="n">
        <v>0</v>
      </c>
      <c r="L703" t="n">
        <v>0</v>
      </c>
      <c r="M703" t="n">
        <v>0</v>
      </c>
      <c r="N703" t="n">
        <v>0</v>
      </c>
      <c r="O703" t="n">
        <v>0</v>
      </c>
      <c r="P703" t="n">
        <v>0</v>
      </c>
      <c r="Q703" t="n">
        <v>0</v>
      </c>
      <c r="R703" s="2" t="inlineStr"/>
    </row>
    <row r="704" ht="15" customHeight="1">
      <c r="A704" t="inlineStr">
        <is>
          <t>A 55827-2023</t>
        </is>
      </c>
      <c r="B704" s="1" t="n">
        <v>45239</v>
      </c>
      <c r="C704" s="1" t="n">
        <v>45645</v>
      </c>
      <c r="D704" t="inlineStr">
        <is>
          <t>JÄMTLANDS LÄN</t>
        </is>
      </c>
      <c r="E704" t="inlineStr">
        <is>
          <t>ÖSTERSUND</t>
        </is>
      </c>
      <c r="F704" t="inlineStr">
        <is>
          <t>Övriga Aktiebolag</t>
        </is>
      </c>
      <c r="G704" t="n">
        <v>9.1</v>
      </c>
      <c r="H704" t="n">
        <v>0</v>
      </c>
      <c r="I704" t="n">
        <v>0</v>
      </c>
      <c r="J704" t="n">
        <v>0</v>
      </c>
      <c r="K704" t="n">
        <v>0</v>
      </c>
      <c r="L704" t="n">
        <v>0</v>
      </c>
      <c r="M704" t="n">
        <v>0</v>
      </c>
      <c r="N704" t="n">
        <v>0</v>
      </c>
      <c r="O704" t="n">
        <v>0</v>
      </c>
      <c r="P704" t="n">
        <v>0</v>
      </c>
      <c r="Q704" t="n">
        <v>0</v>
      </c>
      <c r="R704" s="2" t="inlineStr"/>
    </row>
    <row r="705" ht="15" customHeight="1">
      <c r="A705" t="inlineStr">
        <is>
          <t>A 56465-2023</t>
        </is>
      </c>
      <c r="B705" s="1" t="n">
        <v>45243</v>
      </c>
      <c r="C705" s="1" t="n">
        <v>45645</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56478-2023</t>
        </is>
      </c>
      <c r="B706" s="1" t="n">
        <v>45243</v>
      </c>
      <c r="C706" s="1" t="n">
        <v>45645</v>
      </c>
      <c r="D706" t="inlineStr">
        <is>
          <t>JÄMTLANDS LÄN</t>
        </is>
      </c>
      <c r="E706" t="inlineStr">
        <is>
          <t>ÖSTERSUND</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57863-2023</t>
        </is>
      </c>
      <c r="B707" s="1" t="n">
        <v>45244</v>
      </c>
      <c r="C707" s="1" t="n">
        <v>45645</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57398-2023</t>
        </is>
      </c>
      <c r="B708" s="1" t="n">
        <v>45245</v>
      </c>
      <c r="C708" s="1" t="n">
        <v>45645</v>
      </c>
      <c r="D708" t="inlineStr">
        <is>
          <t>JÄMTLANDS LÄN</t>
        </is>
      </c>
      <c r="E708" t="inlineStr">
        <is>
          <t>ÖSTERSUND</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58809-2023</t>
        </is>
      </c>
      <c r="B709" s="1" t="n">
        <v>45247</v>
      </c>
      <c r="C709" s="1" t="n">
        <v>45645</v>
      </c>
      <c r="D709" t="inlineStr">
        <is>
          <t>JÄMTLANDS LÄN</t>
        </is>
      </c>
      <c r="E709" t="inlineStr">
        <is>
          <t>ÖSTERSUND</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58818-2023</t>
        </is>
      </c>
      <c r="B710" s="1" t="n">
        <v>45247</v>
      </c>
      <c r="C710" s="1" t="n">
        <v>45645</v>
      </c>
      <c r="D710" t="inlineStr">
        <is>
          <t>JÄMTLANDS LÄN</t>
        </is>
      </c>
      <c r="E710" t="inlineStr">
        <is>
          <t>ÖSTERSUND</t>
        </is>
      </c>
      <c r="G710" t="n">
        <v>6.7</v>
      </c>
      <c r="H710" t="n">
        <v>0</v>
      </c>
      <c r="I710" t="n">
        <v>0</v>
      </c>
      <c r="J710" t="n">
        <v>0</v>
      </c>
      <c r="K710" t="n">
        <v>0</v>
      </c>
      <c r="L710" t="n">
        <v>0</v>
      </c>
      <c r="M710" t="n">
        <v>0</v>
      </c>
      <c r="N710" t="n">
        <v>0</v>
      </c>
      <c r="O710" t="n">
        <v>0</v>
      </c>
      <c r="P710" t="n">
        <v>0</v>
      </c>
      <c r="Q710" t="n">
        <v>0</v>
      </c>
      <c r="R710" s="2" t="inlineStr"/>
    </row>
    <row r="711" ht="15" customHeight="1">
      <c r="A711" t="inlineStr">
        <is>
          <t>A 57839-2023</t>
        </is>
      </c>
      <c r="B711" s="1" t="n">
        <v>45247</v>
      </c>
      <c r="C711" s="1" t="n">
        <v>45645</v>
      </c>
      <c r="D711" t="inlineStr">
        <is>
          <t>JÄMTLANDS LÄN</t>
        </is>
      </c>
      <c r="E711" t="inlineStr">
        <is>
          <t>ÖSTERSUND</t>
        </is>
      </c>
      <c r="G711" t="n">
        <v>6.1</v>
      </c>
      <c r="H711" t="n">
        <v>0</v>
      </c>
      <c r="I711" t="n">
        <v>0</v>
      </c>
      <c r="J711" t="n">
        <v>0</v>
      </c>
      <c r="K711" t="n">
        <v>0</v>
      </c>
      <c r="L711" t="n">
        <v>0</v>
      </c>
      <c r="M711" t="n">
        <v>0</v>
      </c>
      <c r="N711" t="n">
        <v>0</v>
      </c>
      <c r="O711" t="n">
        <v>0</v>
      </c>
      <c r="P711" t="n">
        <v>0</v>
      </c>
      <c r="Q711" t="n">
        <v>0</v>
      </c>
      <c r="R711" s="2" t="inlineStr"/>
    </row>
    <row r="712" ht="15" customHeight="1">
      <c r="A712" t="inlineStr">
        <is>
          <t>A 59021-2023</t>
        </is>
      </c>
      <c r="B712" s="1" t="n">
        <v>45250</v>
      </c>
      <c r="C712" s="1" t="n">
        <v>45645</v>
      </c>
      <c r="D712" t="inlineStr">
        <is>
          <t>JÄMTLANDS LÄN</t>
        </is>
      </c>
      <c r="E712" t="inlineStr">
        <is>
          <t>ÖSTERSUND</t>
        </is>
      </c>
      <c r="G712" t="n">
        <v>7</v>
      </c>
      <c r="H712" t="n">
        <v>0</v>
      </c>
      <c r="I712" t="n">
        <v>0</v>
      </c>
      <c r="J712" t="n">
        <v>0</v>
      </c>
      <c r="K712" t="n">
        <v>0</v>
      </c>
      <c r="L712" t="n">
        <v>0</v>
      </c>
      <c r="M712" t="n">
        <v>0</v>
      </c>
      <c r="N712" t="n">
        <v>0</v>
      </c>
      <c r="O712" t="n">
        <v>0</v>
      </c>
      <c r="P712" t="n">
        <v>0</v>
      </c>
      <c r="Q712" t="n">
        <v>0</v>
      </c>
      <c r="R712" s="2" t="inlineStr"/>
    </row>
    <row r="713" ht="15" customHeight="1">
      <c r="A713" t="inlineStr">
        <is>
          <t>A 59094-2023</t>
        </is>
      </c>
      <c r="B713" s="1" t="n">
        <v>45253</v>
      </c>
      <c r="C713" s="1" t="n">
        <v>45645</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59095-2023</t>
        </is>
      </c>
      <c r="B714" s="1" t="n">
        <v>45253</v>
      </c>
      <c r="C714" s="1" t="n">
        <v>45645</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59611-2023</t>
        </is>
      </c>
      <c r="B715" s="1" t="n">
        <v>45254</v>
      </c>
      <c r="C715" s="1" t="n">
        <v>45645</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59953-2023</t>
        </is>
      </c>
      <c r="B716" s="1" t="n">
        <v>45254</v>
      </c>
      <c r="C716" s="1" t="n">
        <v>45645</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59694-2023</t>
        </is>
      </c>
      <c r="B717" s="1" t="n">
        <v>45256</v>
      </c>
      <c r="C717" s="1" t="n">
        <v>45645</v>
      </c>
      <c r="D717" t="inlineStr">
        <is>
          <t>JÄMTLANDS LÄN</t>
        </is>
      </c>
      <c r="E717" t="inlineStr">
        <is>
          <t>ÖSTERSUND</t>
        </is>
      </c>
      <c r="G717" t="n">
        <v>4.1</v>
      </c>
      <c r="H717" t="n">
        <v>0</v>
      </c>
      <c r="I717" t="n">
        <v>0</v>
      </c>
      <c r="J717" t="n">
        <v>0</v>
      </c>
      <c r="K717" t="n">
        <v>0</v>
      </c>
      <c r="L717" t="n">
        <v>0</v>
      </c>
      <c r="M717" t="n">
        <v>0</v>
      </c>
      <c r="N717" t="n">
        <v>0</v>
      </c>
      <c r="O717" t="n">
        <v>0</v>
      </c>
      <c r="P717" t="n">
        <v>0</v>
      </c>
      <c r="Q717" t="n">
        <v>0</v>
      </c>
      <c r="R717" s="2" t="inlineStr"/>
    </row>
    <row r="718" ht="15" customHeight="1">
      <c r="A718" t="inlineStr">
        <is>
          <t>A 59813-2023</t>
        </is>
      </c>
      <c r="B718" s="1" t="n">
        <v>45257</v>
      </c>
      <c r="C718" s="1" t="n">
        <v>45645</v>
      </c>
      <c r="D718" t="inlineStr">
        <is>
          <t>JÄMTLANDS LÄN</t>
        </is>
      </c>
      <c r="E718" t="inlineStr">
        <is>
          <t>ÖSTERSUND</t>
        </is>
      </c>
      <c r="G718" t="n">
        <v>3.8</v>
      </c>
      <c r="H718" t="n">
        <v>0</v>
      </c>
      <c r="I718" t="n">
        <v>0</v>
      </c>
      <c r="J718" t="n">
        <v>0</v>
      </c>
      <c r="K718" t="n">
        <v>0</v>
      </c>
      <c r="L718" t="n">
        <v>0</v>
      </c>
      <c r="M718" t="n">
        <v>0</v>
      </c>
      <c r="N718" t="n">
        <v>0</v>
      </c>
      <c r="O718" t="n">
        <v>0</v>
      </c>
      <c r="P718" t="n">
        <v>0</v>
      </c>
      <c r="Q718" t="n">
        <v>0</v>
      </c>
      <c r="R718" s="2" t="inlineStr"/>
    </row>
    <row r="719" ht="15" customHeight="1">
      <c r="A719" t="inlineStr">
        <is>
          <t>A 60029-2023</t>
        </is>
      </c>
      <c r="B719" s="1" t="n">
        <v>45258</v>
      </c>
      <c r="C719" s="1" t="n">
        <v>45645</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60477-2023</t>
        </is>
      </c>
      <c r="B720" s="1" t="n">
        <v>45258</v>
      </c>
      <c r="C720" s="1" t="n">
        <v>45645</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60794-2023</t>
        </is>
      </c>
      <c r="B721" s="1" t="n">
        <v>45260</v>
      </c>
      <c r="C721" s="1" t="n">
        <v>45645</v>
      </c>
      <c r="D721" t="inlineStr">
        <is>
          <t>JÄMTLANDS LÄN</t>
        </is>
      </c>
      <c r="E721" t="inlineStr">
        <is>
          <t>ÖSTERSUND</t>
        </is>
      </c>
      <c r="G721" t="n">
        <v>3.6</v>
      </c>
      <c r="H721" t="n">
        <v>0</v>
      </c>
      <c r="I721" t="n">
        <v>0</v>
      </c>
      <c r="J721" t="n">
        <v>0</v>
      </c>
      <c r="K721" t="n">
        <v>0</v>
      </c>
      <c r="L721" t="n">
        <v>0</v>
      </c>
      <c r="M721" t="n">
        <v>0</v>
      </c>
      <c r="N721" t="n">
        <v>0</v>
      </c>
      <c r="O721" t="n">
        <v>0</v>
      </c>
      <c r="P721" t="n">
        <v>0</v>
      </c>
      <c r="Q721" t="n">
        <v>0</v>
      </c>
      <c r="R721" s="2" t="inlineStr"/>
    </row>
    <row r="722" ht="15" customHeight="1">
      <c r="A722" t="inlineStr">
        <is>
          <t>A 60780-2023</t>
        </is>
      </c>
      <c r="B722" s="1" t="n">
        <v>45260</v>
      </c>
      <c r="C722" s="1" t="n">
        <v>45645</v>
      </c>
      <c r="D722" t="inlineStr">
        <is>
          <t>JÄMTLANDS LÄN</t>
        </is>
      </c>
      <c r="E722" t="inlineStr">
        <is>
          <t>ÖSTERSUND</t>
        </is>
      </c>
      <c r="G722" t="n">
        <v>3.7</v>
      </c>
      <c r="H722" t="n">
        <v>0</v>
      </c>
      <c r="I722" t="n">
        <v>0</v>
      </c>
      <c r="J722" t="n">
        <v>0</v>
      </c>
      <c r="K722" t="n">
        <v>0</v>
      </c>
      <c r="L722" t="n">
        <v>0</v>
      </c>
      <c r="M722" t="n">
        <v>0</v>
      </c>
      <c r="N722" t="n">
        <v>0</v>
      </c>
      <c r="O722" t="n">
        <v>0</v>
      </c>
      <c r="P722" t="n">
        <v>0</v>
      </c>
      <c r="Q722" t="n">
        <v>0</v>
      </c>
      <c r="R722" s="2" t="inlineStr"/>
    </row>
    <row r="723" ht="15" customHeight="1">
      <c r="A723" t="inlineStr">
        <is>
          <t>A 61135-2023</t>
        </is>
      </c>
      <c r="B723" s="1" t="n">
        <v>45261</v>
      </c>
      <c r="C723" s="1" t="n">
        <v>45645</v>
      </c>
      <c r="D723" t="inlineStr">
        <is>
          <t>JÄMTLANDS LÄN</t>
        </is>
      </c>
      <c r="E723" t="inlineStr">
        <is>
          <t>ÖSTERSUND</t>
        </is>
      </c>
      <c r="G723" t="n">
        <v>7.3</v>
      </c>
      <c r="H723" t="n">
        <v>0</v>
      </c>
      <c r="I723" t="n">
        <v>0</v>
      </c>
      <c r="J723" t="n">
        <v>0</v>
      </c>
      <c r="K723" t="n">
        <v>0</v>
      </c>
      <c r="L723" t="n">
        <v>0</v>
      </c>
      <c r="M723" t="n">
        <v>0</v>
      </c>
      <c r="N723" t="n">
        <v>0</v>
      </c>
      <c r="O723" t="n">
        <v>0</v>
      </c>
      <c r="P723" t="n">
        <v>0</v>
      </c>
      <c r="Q723" t="n">
        <v>0</v>
      </c>
      <c r="R723" s="2" t="inlineStr"/>
    </row>
    <row r="724" ht="15" customHeight="1">
      <c r="A724" t="inlineStr">
        <is>
          <t>A 61535-2023</t>
        </is>
      </c>
      <c r="B724" s="1" t="n">
        <v>45261</v>
      </c>
      <c r="C724" s="1" t="n">
        <v>45645</v>
      </c>
      <c r="D724" t="inlineStr">
        <is>
          <t>JÄMTLANDS LÄN</t>
        </is>
      </c>
      <c r="E724" t="inlineStr">
        <is>
          <t>ÖSTERSUND</t>
        </is>
      </c>
      <c r="F724" t="inlineStr">
        <is>
          <t>Övriga statliga verk och myndigheter</t>
        </is>
      </c>
      <c r="G724" t="n">
        <v>2.6</v>
      </c>
      <c r="H724" t="n">
        <v>0</v>
      </c>
      <c r="I724" t="n">
        <v>0</v>
      </c>
      <c r="J724" t="n">
        <v>0</v>
      </c>
      <c r="K724" t="n">
        <v>0</v>
      </c>
      <c r="L724" t="n">
        <v>0</v>
      </c>
      <c r="M724" t="n">
        <v>0</v>
      </c>
      <c r="N724" t="n">
        <v>0</v>
      </c>
      <c r="O724" t="n">
        <v>0</v>
      </c>
      <c r="P724" t="n">
        <v>0</v>
      </c>
      <c r="Q724" t="n">
        <v>0</v>
      </c>
      <c r="R724" s="2" t="inlineStr"/>
    </row>
    <row r="725" ht="15" customHeight="1">
      <c r="A725" t="inlineStr">
        <is>
          <t>A 61530-2023</t>
        </is>
      </c>
      <c r="B725" s="1" t="n">
        <v>45261</v>
      </c>
      <c r="C725" s="1" t="n">
        <v>45645</v>
      </c>
      <c r="D725" t="inlineStr">
        <is>
          <t>JÄMTLANDS LÄN</t>
        </is>
      </c>
      <c r="E725" t="inlineStr">
        <is>
          <t>ÖSTERSUND</t>
        </is>
      </c>
      <c r="F725" t="inlineStr">
        <is>
          <t>Övriga statliga verk och myndigheter</t>
        </is>
      </c>
      <c r="G725" t="n">
        <v>1</v>
      </c>
      <c r="H725" t="n">
        <v>0</v>
      </c>
      <c r="I725" t="n">
        <v>0</v>
      </c>
      <c r="J725" t="n">
        <v>0</v>
      </c>
      <c r="K725" t="n">
        <v>0</v>
      </c>
      <c r="L725" t="n">
        <v>0</v>
      </c>
      <c r="M725" t="n">
        <v>0</v>
      </c>
      <c r="N725" t="n">
        <v>0</v>
      </c>
      <c r="O725" t="n">
        <v>0</v>
      </c>
      <c r="P725" t="n">
        <v>0</v>
      </c>
      <c r="Q725" t="n">
        <v>0</v>
      </c>
      <c r="R725" s="2" t="inlineStr"/>
    </row>
    <row r="726" ht="15" customHeight="1">
      <c r="A726" t="inlineStr">
        <is>
          <t>A 61635-2023</t>
        </is>
      </c>
      <c r="B726" s="1" t="n">
        <v>45261</v>
      </c>
      <c r="C726" s="1" t="n">
        <v>45645</v>
      </c>
      <c r="D726" t="inlineStr">
        <is>
          <t>JÄMTLANDS LÄN</t>
        </is>
      </c>
      <c r="E726" t="inlineStr">
        <is>
          <t>ÖSTERSUND</t>
        </is>
      </c>
      <c r="G726" t="n">
        <v>2.2</v>
      </c>
      <c r="H726" t="n">
        <v>0</v>
      </c>
      <c r="I726" t="n">
        <v>0</v>
      </c>
      <c r="J726" t="n">
        <v>0</v>
      </c>
      <c r="K726" t="n">
        <v>0</v>
      </c>
      <c r="L726" t="n">
        <v>0</v>
      </c>
      <c r="M726" t="n">
        <v>0</v>
      </c>
      <c r="N726" t="n">
        <v>0</v>
      </c>
      <c r="O726" t="n">
        <v>0</v>
      </c>
      <c r="P726" t="n">
        <v>0</v>
      </c>
      <c r="Q726" t="n">
        <v>0</v>
      </c>
      <c r="R726" s="2" t="inlineStr"/>
    </row>
    <row r="727" ht="15" customHeight="1">
      <c r="A727" t="inlineStr">
        <is>
          <t>A 61506-2023</t>
        </is>
      </c>
      <c r="B727" s="1" t="n">
        <v>45264</v>
      </c>
      <c r="C727" s="1" t="n">
        <v>45645</v>
      </c>
      <c r="D727" t="inlineStr">
        <is>
          <t>JÄMTLANDS LÄN</t>
        </is>
      </c>
      <c r="E727" t="inlineStr">
        <is>
          <t>ÖSTERSUND</t>
        </is>
      </c>
      <c r="G727" t="n">
        <v>3</v>
      </c>
      <c r="H727" t="n">
        <v>0</v>
      </c>
      <c r="I727" t="n">
        <v>0</v>
      </c>
      <c r="J727" t="n">
        <v>0</v>
      </c>
      <c r="K727" t="n">
        <v>0</v>
      </c>
      <c r="L727" t="n">
        <v>0</v>
      </c>
      <c r="M727" t="n">
        <v>0</v>
      </c>
      <c r="N727" t="n">
        <v>0</v>
      </c>
      <c r="O727" t="n">
        <v>0</v>
      </c>
      <c r="P727" t="n">
        <v>0</v>
      </c>
      <c r="Q727" t="n">
        <v>0</v>
      </c>
      <c r="R727" s="2" t="inlineStr"/>
    </row>
    <row r="728" ht="15" customHeight="1">
      <c r="A728" t="inlineStr">
        <is>
          <t>A 61499-2023</t>
        </is>
      </c>
      <c r="B728" s="1" t="n">
        <v>45264</v>
      </c>
      <c r="C728" s="1" t="n">
        <v>45645</v>
      </c>
      <c r="D728" t="inlineStr">
        <is>
          <t>JÄMTLANDS LÄN</t>
        </is>
      </c>
      <c r="E728" t="inlineStr">
        <is>
          <t>ÖSTERSUND</t>
        </is>
      </c>
      <c r="F728" t="inlineStr">
        <is>
          <t>SCA</t>
        </is>
      </c>
      <c r="G728" t="n">
        <v>7</v>
      </c>
      <c r="H728" t="n">
        <v>0</v>
      </c>
      <c r="I728" t="n">
        <v>0</v>
      </c>
      <c r="J728" t="n">
        <v>0</v>
      </c>
      <c r="K728" t="n">
        <v>0</v>
      </c>
      <c r="L728" t="n">
        <v>0</v>
      </c>
      <c r="M728" t="n">
        <v>0</v>
      </c>
      <c r="N728" t="n">
        <v>0</v>
      </c>
      <c r="O728" t="n">
        <v>0</v>
      </c>
      <c r="P728" t="n">
        <v>0</v>
      </c>
      <c r="Q728" t="n">
        <v>0</v>
      </c>
      <c r="R728" s="2" t="inlineStr"/>
    </row>
    <row r="729" ht="15" customHeight="1">
      <c r="A729" t="inlineStr">
        <is>
          <t>A 62052-2023</t>
        </is>
      </c>
      <c r="B729" s="1" t="n">
        <v>45265</v>
      </c>
      <c r="C729" s="1" t="n">
        <v>45645</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61791-2023</t>
        </is>
      </c>
      <c r="B730" s="1" t="n">
        <v>45265</v>
      </c>
      <c r="C730" s="1" t="n">
        <v>45645</v>
      </c>
      <c r="D730" t="inlineStr">
        <is>
          <t>JÄMTLANDS LÄN</t>
        </is>
      </c>
      <c r="E730" t="inlineStr">
        <is>
          <t>ÖSTERSUND</t>
        </is>
      </c>
      <c r="F730" t="inlineStr">
        <is>
          <t>SCA</t>
        </is>
      </c>
      <c r="G730" t="n">
        <v>11.4</v>
      </c>
      <c r="H730" t="n">
        <v>0</v>
      </c>
      <c r="I730" t="n">
        <v>0</v>
      </c>
      <c r="J730" t="n">
        <v>0</v>
      </c>
      <c r="K730" t="n">
        <v>0</v>
      </c>
      <c r="L730" t="n">
        <v>0</v>
      </c>
      <c r="M730" t="n">
        <v>0</v>
      </c>
      <c r="N730" t="n">
        <v>0</v>
      </c>
      <c r="O730" t="n">
        <v>0</v>
      </c>
      <c r="P730" t="n">
        <v>0</v>
      </c>
      <c r="Q730" t="n">
        <v>0</v>
      </c>
      <c r="R730" s="2" t="inlineStr"/>
    </row>
    <row r="731" ht="15" customHeight="1">
      <c r="A731" t="inlineStr">
        <is>
          <t>A 62835-2023</t>
        </is>
      </c>
      <c r="B731" s="1" t="n">
        <v>45271</v>
      </c>
      <c r="C731" s="1" t="n">
        <v>45645</v>
      </c>
      <c r="D731" t="inlineStr">
        <is>
          <t>JÄMTLANDS LÄN</t>
        </is>
      </c>
      <c r="E731" t="inlineStr">
        <is>
          <t>ÖSTERSUND</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62834-2023</t>
        </is>
      </c>
      <c r="B732" s="1" t="n">
        <v>45271</v>
      </c>
      <c r="C732" s="1" t="n">
        <v>45645</v>
      </c>
      <c r="D732" t="inlineStr">
        <is>
          <t>JÄMTLANDS LÄN</t>
        </is>
      </c>
      <c r="E732" t="inlineStr">
        <is>
          <t>ÖSTERSUND</t>
        </is>
      </c>
      <c r="F732" t="inlineStr">
        <is>
          <t>SCA</t>
        </is>
      </c>
      <c r="G732" t="n">
        <v>12.2</v>
      </c>
      <c r="H732" t="n">
        <v>0</v>
      </c>
      <c r="I732" t="n">
        <v>0</v>
      </c>
      <c r="J732" t="n">
        <v>0</v>
      </c>
      <c r="K732" t="n">
        <v>0</v>
      </c>
      <c r="L732" t="n">
        <v>0</v>
      </c>
      <c r="M732" t="n">
        <v>0</v>
      </c>
      <c r="N732" t="n">
        <v>0</v>
      </c>
      <c r="O732" t="n">
        <v>0</v>
      </c>
      <c r="P732" t="n">
        <v>0</v>
      </c>
      <c r="Q732" t="n">
        <v>0</v>
      </c>
      <c r="R732" s="2" t="inlineStr"/>
    </row>
    <row r="733" ht="15" customHeight="1">
      <c r="A733" t="inlineStr">
        <is>
          <t>A 63086-2023</t>
        </is>
      </c>
      <c r="B733" s="1" t="n">
        <v>45272</v>
      </c>
      <c r="C733" s="1" t="n">
        <v>45645</v>
      </c>
      <c r="D733" t="inlineStr">
        <is>
          <t>JÄMTLANDS LÄN</t>
        </is>
      </c>
      <c r="E733" t="inlineStr">
        <is>
          <t>ÖSTERSUND</t>
        </is>
      </c>
      <c r="F733" t="inlineStr">
        <is>
          <t>Övriga statliga verk och myndigheter</t>
        </is>
      </c>
      <c r="G733" t="n">
        <v>2.9</v>
      </c>
      <c r="H733" t="n">
        <v>0</v>
      </c>
      <c r="I733" t="n">
        <v>0</v>
      </c>
      <c r="J733" t="n">
        <v>0</v>
      </c>
      <c r="K733" t="n">
        <v>0</v>
      </c>
      <c r="L733" t="n">
        <v>0</v>
      </c>
      <c r="M733" t="n">
        <v>0</v>
      </c>
      <c r="N733" t="n">
        <v>0</v>
      </c>
      <c r="O733" t="n">
        <v>0</v>
      </c>
      <c r="P733" t="n">
        <v>0</v>
      </c>
      <c r="Q733" t="n">
        <v>0</v>
      </c>
      <c r="R733" s="2" t="inlineStr"/>
    </row>
    <row r="734" ht="15" customHeight="1">
      <c r="A734" t="inlineStr">
        <is>
          <t>A 63101-2023</t>
        </is>
      </c>
      <c r="B734" s="1" t="n">
        <v>45273</v>
      </c>
      <c r="C734" s="1" t="n">
        <v>45645</v>
      </c>
      <c r="D734" t="inlineStr">
        <is>
          <t>JÄMTLANDS LÄN</t>
        </is>
      </c>
      <c r="E734" t="inlineStr">
        <is>
          <t>ÖSTERSUND</t>
        </is>
      </c>
      <c r="G734" t="n">
        <v>2.1</v>
      </c>
      <c r="H734" t="n">
        <v>0</v>
      </c>
      <c r="I734" t="n">
        <v>0</v>
      </c>
      <c r="J734" t="n">
        <v>0</v>
      </c>
      <c r="K734" t="n">
        <v>0</v>
      </c>
      <c r="L734" t="n">
        <v>0</v>
      </c>
      <c r="M734" t="n">
        <v>0</v>
      </c>
      <c r="N734" t="n">
        <v>0</v>
      </c>
      <c r="O734" t="n">
        <v>0</v>
      </c>
      <c r="P734" t="n">
        <v>0</v>
      </c>
      <c r="Q734" t="n">
        <v>0</v>
      </c>
      <c r="R734" s="2" t="inlineStr"/>
    </row>
    <row r="735" ht="15" customHeight="1">
      <c r="A735" t="inlineStr">
        <is>
          <t>A 63099-2023</t>
        </is>
      </c>
      <c r="B735" s="1" t="n">
        <v>45273</v>
      </c>
      <c r="C735" s="1" t="n">
        <v>45645</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63320-2023</t>
        </is>
      </c>
      <c r="B736" s="1" t="n">
        <v>45273</v>
      </c>
      <c r="C736" s="1" t="n">
        <v>45645</v>
      </c>
      <c r="D736" t="inlineStr">
        <is>
          <t>JÄMTLANDS LÄN</t>
        </is>
      </c>
      <c r="E736" t="inlineStr">
        <is>
          <t>ÖSTERSUND</t>
        </is>
      </c>
      <c r="G736" t="n">
        <v>11.3</v>
      </c>
      <c r="H736" t="n">
        <v>0</v>
      </c>
      <c r="I736" t="n">
        <v>0</v>
      </c>
      <c r="J736" t="n">
        <v>0</v>
      </c>
      <c r="K736" t="n">
        <v>0</v>
      </c>
      <c r="L736" t="n">
        <v>0</v>
      </c>
      <c r="M736" t="n">
        <v>0</v>
      </c>
      <c r="N736" t="n">
        <v>0</v>
      </c>
      <c r="O736" t="n">
        <v>0</v>
      </c>
      <c r="P736" t="n">
        <v>0</v>
      </c>
      <c r="Q736" t="n">
        <v>0</v>
      </c>
      <c r="R736" s="2" t="inlineStr"/>
    </row>
    <row r="737" ht="15" customHeight="1">
      <c r="A737" t="inlineStr">
        <is>
          <t>A 63739-2023</t>
        </is>
      </c>
      <c r="B737" s="1" t="n">
        <v>45277</v>
      </c>
      <c r="C737" s="1" t="n">
        <v>45645</v>
      </c>
      <c r="D737" t="inlineStr">
        <is>
          <t>JÄMTLANDS LÄN</t>
        </is>
      </c>
      <c r="E737" t="inlineStr">
        <is>
          <t>ÖSTERSUND</t>
        </is>
      </c>
      <c r="G737" t="n">
        <v>5.1</v>
      </c>
      <c r="H737" t="n">
        <v>0</v>
      </c>
      <c r="I737" t="n">
        <v>0</v>
      </c>
      <c r="J737" t="n">
        <v>0</v>
      </c>
      <c r="K737" t="n">
        <v>0</v>
      </c>
      <c r="L737" t="n">
        <v>0</v>
      </c>
      <c r="M737" t="n">
        <v>0</v>
      </c>
      <c r="N737" t="n">
        <v>0</v>
      </c>
      <c r="O737" t="n">
        <v>0</v>
      </c>
      <c r="P737" t="n">
        <v>0</v>
      </c>
      <c r="Q737" t="n">
        <v>0</v>
      </c>
      <c r="R737" s="2" t="inlineStr"/>
    </row>
    <row r="738" ht="15" customHeight="1">
      <c r="A738" t="inlineStr">
        <is>
          <t>A 63740-2023</t>
        </is>
      </c>
      <c r="B738" s="1" t="n">
        <v>45277</v>
      </c>
      <c r="C738" s="1" t="n">
        <v>45645</v>
      </c>
      <c r="D738" t="inlineStr">
        <is>
          <t>JÄMTLANDS LÄN</t>
        </is>
      </c>
      <c r="E738" t="inlineStr">
        <is>
          <t>ÖSTERSUND</t>
        </is>
      </c>
      <c r="G738" t="n">
        <v>3.9</v>
      </c>
      <c r="H738" t="n">
        <v>0</v>
      </c>
      <c r="I738" t="n">
        <v>0</v>
      </c>
      <c r="J738" t="n">
        <v>0</v>
      </c>
      <c r="K738" t="n">
        <v>0</v>
      </c>
      <c r="L738" t="n">
        <v>0</v>
      </c>
      <c r="M738" t="n">
        <v>0</v>
      </c>
      <c r="N738" t="n">
        <v>0</v>
      </c>
      <c r="O738" t="n">
        <v>0</v>
      </c>
      <c r="P738" t="n">
        <v>0</v>
      </c>
      <c r="Q738" t="n">
        <v>0</v>
      </c>
      <c r="R738" s="2" t="inlineStr"/>
    </row>
    <row r="739" ht="15" customHeight="1">
      <c r="A739" t="inlineStr">
        <is>
          <t>A 64233-2023</t>
        </is>
      </c>
      <c r="B739" s="1" t="n">
        <v>45279</v>
      </c>
      <c r="C739" s="1" t="n">
        <v>45645</v>
      </c>
      <c r="D739" t="inlineStr">
        <is>
          <t>JÄMTLANDS LÄN</t>
        </is>
      </c>
      <c r="E739" t="inlineStr">
        <is>
          <t>ÖSTERSUND</t>
        </is>
      </c>
      <c r="G739" t="n">
        <v>3.3</v>
      </c>
      <c r="H739" t="n">
        <v>0</v>
      </c>
      <c r="I739" t="n">
        <v>0</v>
      </c>
      <c r="J739" t="n">
        <v>0</v>
      </c>
      <c r="K739" t="n">
        <v>0</v>
      </c>
      <c r="L739" t="n">
        <v>0</v>
      </c>
      <c r="M739" t="n">
        <v>0</v>
      </c>
      <c r="N739" t="n">
        <v>0</v>
      </c>
      <c r="O739" t="n">
        <v>0</v>
      </c>
      <c r="P739" t="n">
        <v>0</v>
      </c>
      <c r="Q739" t="n">
        <v>0</v>
      </c>
      <c r="R739" s="2" t="inlineStr"/>
    </row>
    <row r="740" ht="15" customHeight="1">
      <c r="A740" t="inlineStr">
        <is>
          <t>A 64267-2023</t>
        </is>
      </c>
      <c r="B740" s="1" t="n">
        <v>45279</v>
      </c>
      <c r="C740" s="1" t="n">
        <v>45645</v>
      </c>
      <c r="D740" t="inlineStr">
        <is>
          <t>JÄMTLANDS LÄN</t>
        </is>
      </c>
      <c r="E740" t="inlineStr">
        <is>
          <t>ÖSTERSUND</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64314-2023</t>
        </is>
      </c>
      <c r="B741" s="1" t="n">
        <v>45280</v>
      </c>
      <c r="C741" s="1" t="n">
        <v>45645</v>
      </c>
      <c r="D741" t="inlineStr">
        <is>
          <t>JÄMTLANDS LÄN</t>
        </is>
      </c>
      <c r="E741" t="inlineStr">
        <is>
          <t>ÖSTERSUND</t>
        </is>
      </c>
      <c r="G741" t="n">
        <v>0.6</v>
      </c>
      <c r="H741" t="n">
        <v>0</v>
      </c>
      <c r="I741" t="n">
        <v>0</v>
      </c>
      <c r="J741" t="n">
        <v>0</v>
      </c>
      <c r="K741" t="n">
        <v>0</v>
      </c>
      <c r="L741" t="n">
        <v>0</v>
      </c>
      <c r="M741" t="n">
        <v>0</v>
      </c>
      <c r="N741" t="n">
        <v>0</v>
      </c>
      <c r="O741" t="n">
        <v>0</v>
      </c>
      <c r="P741" t="n">
        <v>0</v>
      </c>
      <c r="Q741" t="n">
        <v>0</v>
      </c>
      <c r="R741" s="2" t="inlineStr"/>
    </row>
    <row r="742" ht="15" customHeight="1">
      <c r="A742" t="inlineStr">
        <is>
          <t>A 64309-2023</t>
        </is>
      </c>
      <c r="B742" s="1" t="n">
        <v>45280</v>
      </c>
      <c r="C742" s="1" t="n">
        <v>45645</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64811-2023</t>
        </is>
      </c>
      <c r="B743" s="1" t="n">
        <v>45281</v>
      </c>
      <c r="C743" s="1" t="n">
        <v>45645</v>
      </c>
      <c r="D743" t="inlineStr">
        <is>
          <t>JÄMTLANDS LÄN</t>
        </is>
      </c>
      <c r="E743" t="inlineStr">
        <is>
          <t>ÖSTERSUND</t>
        </is>
      </c>
      <c r="G743" t="n">
        <v>7.6</v>
      </c>
      <c r="H743" t="n">
        <v>0</v>
      </c>
      <c r="I743" t="n">
        <v>0</v>
      </c>
      <c r="J743" t="n">
        <v>0</v>
      </c>
      <c r="K743" t="n">
        <v>0</v>
      </c>
      <c r="L743" t="n">
        <v>0</v>
      </c>
      <c r="M743" t="n">
        <v>0</v>
      </c>
      <c r="N743" t="n">
        <v>0</v>
      </c>
      <c r="O743" t="n">
        <v>0</v>
      </c>
      <c r="P743" t="n">
        <v>0</v>
      </c>
      <c r="Q743" t="n">
        <v>0</v>
      </c>
      <c r="R743" s="2" t="inlineStr"/>
    </row>
    <row r="744" ht="15" customHeight="1">
      <c r="A744" t="inlineStr">
        <is>
          <t>A 64954-2023</t>
        </is>
      </c>
      <c r="B744" s="1" t="n">
        <v>45282</v>
      </c>
      <c r="C744" s="1" t="n">
        <v>45645</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64953-2023</t>
        </is>
      </c>
      <c r="B745" s="1" t="n">
        <v>45282</v>
      </c>
      <c r="C745" s="1" t="n">
        <v>45645</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440-2024</t>
        </is>
      </c>
      <c r="B746" s="1" t="n">
        <v>45296</v>
      </c>
      <c r="C746" s="1" t="n">
        <v>45645</v>
      </c>
      <c r="D746" t="inlineStr">
        <is>
          <t>JÄMTLANDS LÄN</t>
        </is>
      </c>
      <c r="E746" t="inlineStr">
        <is>
          <t>ÖSTERSUND</t>
        </is>
      </c>
      <c r="F746" t="inlineStr">
        <is>
          <t>Kommuner</t>
        </is>
      </c>
      <c r="G746" t="n">
        <v>10.1</v>
      </c>
      <c r="H746" t="n">
        <v>0</v>
      </c>
      <c r="I746" t="n">
        <v>0</v>
      </c>
      <c r="J746" t="n">
        <v>0</v>
      </c>
      <c r="K746" t="n">
        <v>0</v>
      </c>
      <c r="L746" t="n">
        <v>0</v>
      </c>
      <c r="M746" t="n">
        <v>0</v>
      </c>
      <c r="N746" t="n">
        <v>0</v>
      </c>
      <c r="O746" t="n">
        <v>0</v>
      </c>
      <c r="P746" t="n">
        <v>0</v>
      </c>
      <c r="Q746" t="n">
        <v>0</v>
      </c>
      <c r="R746" s="2" t="inlineStr"/>
    </row>
    <row r="747" ht="15" customHeight="1">
      <c r="A747" t="inlineStr">
        <is>
          <t>A 484-2024</t>
        </is>
      </c>
      <c r="B747" s="1" t="n">
        <v>45298</v>
      </c>
      <c r="C747" s="1" t="n">
        <v>45645</v>
      </c>
      <c r="D747" t="inlineStr">
        <is>
          <t>JÄMTLANDS LÄN</t>
        </is>
      </c>
      <c r="E747" t="inlineStr">
        <is>
          <t>ÖSTERSUND</t>
        </is>
      </c>
      <c r="G747" t="n">
        <v>0.9</v>
      </c>
      <c r="H747" t="n">
        <v>0</v>
      </c>
      <c r="I747" t="n">
        <v>0</v>
      </c>
      <c r="J747" t="n">
        <v>0</v>
      </c>
      <c r="K747" t="n">
        <v>0</v>
      </c>
      <c r="L747" t="n">
        <v>0</v>
      </c>
      <c r="M747" t="n">
        <v>0</v>
      </c>
      <c r="N747" t="n">
        <v>0</v>
      </c>
      <c r="O747" t="n">
        <v>0</v>
      </c>
      <c r="P747" t="n">
        <v>0</v>
      </c>
      <c r="Q747" t="n">
        <v>0</v>
      </c>
      <c r="R747" s="2" t="inlineStr"/>
    </row>
    <row r="748" ht="15" customHeight="1">
      <c r="A748" t="inlineStr">
        <is>
          <t>A 485-2024</t>
        </is>
      </c>
      <c r="B748" s="1" t="n">
        <v>45298</v>
      </c>
      <c r="C748" s="1" t="n">
        <v>45645</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846-2024</t>
        </is>
      </c>
      <c r="B749" s="1" t="n">
        <v>45300</v>
      </c>
      <c r="C749" s="1" t="n">
        <v>45645</v>
      </c>
      <c r="D749" t="inlineStr">
        <is>
          <t>JÄMTLANDS LÄN</t>
        </is>
      </c>
      <c r="E749" t="inlineStr">
        <is>
          <t>ÖSTERSUND</t>
        </is>
      </c>
      <c r="G749" t="n">
        <v>2.8</v>
      </c>
      <c r="H749" t="n">
        <v>0</v>
      </c>
      <c r="I749" t="n">
        <v>0</v>
      </c>
      <c r="J749" t="n">
        <v>0</v>
      </c>
      <c r="K749" t="n">
        <v>0</v>
      </c>
      <c r="L749" t="n">
        <v>0</v>
      </c>
      <c r="M749" t="n">
        <v>0</v>
      </c>
      <c r="N749" t="n">
        <v>0</v>
      </c>
      <c r="O749" t="n">
        <v>0</v>
      </c>
      <c r="P749" t="n">
        <v>0</v>
      </c>
      <c r="Q749" t="n">
        <v>0</v>
      </c>
      <c r="R749" s="2" t="inlineStr"/>
    </row>
    <row r="750" ht="15" customHeight="1">
      <c r="A750" t="inlineStr">
        <is>
          <t>A 748-2024</t>
        </is>
      </c>
      <c r="B750" s="1" t="n">
        <v>45300</v>
      </c>
      <c r="C750" s="1" t="n">
        <v>45645</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1159-2024</t>
        </is>
      </c>
      <c r="B751" s="1" t="n">
        <v>45302</v>
      </c>
      <c r="C751" s="1" t="n">
        <v>45645</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1669-2024</t>
        </is>
      </c>
      <c r="B752" s="1" t="n">
        <v>45306</v>
      </c>
      <c r="C752" s="1" t="n">
        <v>45645</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1670-2024</t>
        </is>
      </c>
      <c r="B753" s="1" t="n">
        <v>45306</v>
      </c>
      <c r="C753" s="1" t="n">
        <v>45645</v>
      </c>
      <c r="D753" t="inlineStr">
        <is>
          <t>JÄMTLANDS LÄN</t>
        </is>
      </c>
      <c r="E753" t="inlineStr">
        <is>
          <t>ÖSTERSUND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1873-2024</t>
        </is>
      </c>
      <c r="B754" s="1" t="n">
        <v>45307</v>
      </c>
      <c r="C754" s="1" t="n">
        <v>45645</v>
      </c>
      <c r="D754" t="inlineStr">
        <is>
          <t>JÄMTLANDS LÄN</t>
        </is>
      </c>
      <c r="E754" t="inlineStr">
        <is>
          <t>ÖSTERSUND</t>
        </is>
      </c>
      <c r="G754" t="n">
        <v>4.3</v>
      </c>
      <c r="H754" t="n">
        <v>0</v>
      </c>
      <c r="I754" t="n">
        <v>0</v>
      </c>
      <c r="J754" t="n">
        <v>0</v>
      </c>
      <c r="K754" t="n">
        <v>0</v>
      </c>
      <c r="L754" t="n">
        <v>0</v>
      </c>
      <c r="M754" t="n">
        <v>0</v>
      </c>
      <c r="N754" t="n">
        <v>0</v>
      </c>
      <c r="O754" t="n">
        <v>0</v>
      </c>
      <c r="P754" t="n">
        <v>0</v>
      </c>
      <c r="Q754" t="n">
        <v>0</v>
      </c>
      <c r="R754" s="2" t="inlineStr"/>
    </row>
    <row r="755" ht="15" customHeight="1">
      <c r="A755" t="inlineStr">
        <is>
          <t>A 2228-2024</t>
        </is>
      </c>
      <c r="B755" s="1" t="n">
        <v>45309</v>
      </c>
      <c r="C755" s="1" t="n">
        <v>45645</v>
      </c>
      <c r="D755" t="inlineStr">
        <is>
          <t>JÄMTLANDS LÄN</t>
        </is>
      </c>
      <c r="E755" t="inlineStr">
        <is>
          <t>ÖSTERSUND</t>
        </is>
      </c>
      <c r="G755" t="n">
        <v>2.5</v>
      </c>
      <c r="H755" t="n">
        <v>0</v>
      </c>
      <c r="I755" t="n">
        <v>0</v>
      </c>
      <c r="J755" t="n">
        <v>0</v>
      </c>
      <c r="K755" t="n">
        <v>0</v>
      </c>
      <c r="L755" t="n">
        <v>0</v>
      </c>
      <c r="M755" t="n">
        <v>0</v>
      </c>
      <c r="N755" t="n">
        <v>0</v>
      </c>
      <c r="O755" t="n">
        <v>0</v>
      </c>
      <c r="P755" t="n">
        <v>0</v>
      </c>
      <c r="Q755" t="n">
        <v>0</v>
      </c>
      <c r="R755" s="2" t="inlineStr"/>
    </row>
    <row r="756" ht="15" customHeight="1">
      <c r="A756" t="inlineStr">
        <is>
          <t>A 2615-2024</t>
        </is>
      </c>
      <c r="B756" s="1" t="n">
        <v>45313</v>
      </c>
      <c r="C756" s="1" t="n">
        <v>45645</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2627-2024</t>
        </is>
      </c>
      <c r="B757" s="1" t="n">
        <v>45313</v>
      </c>
      <c r="C757" s="1" t="n">
        <v>45645</v>
      </c>
      <c r="D757" t="inlineStr">
        <is>
          <t>JÄMTLANDS LÄN</t>
        </is>
      </c>
      <c r="E757" t="inlineStr">
        <is>
          <t>ÖSTERSUND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2756-2024</t>
        </is>
      </c>
      <c r="B758" s="1" t="n">
        <v>45314</v>
      </c>
      <c r="C758" s="1" t="n">
        <v>45645</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2984-2024</t>
        </is>
      </c>
      <c r="B759" s="1" t="n">
        <v>45315</v>
      </c>
      <c r="C759" s="1" t="n">
        <v>45645</v>
      </c>
      <c r="D759" t="inlineStr">
        <is>
          <t>JÄMTLANDS LÄN</t>
        </is>
      </c>
      <c r="E759" t="inlineStr">
        <is>
          <t>ÖSTERSUND</t>
        </is>
      </c>
      <c r="G759" t="n">
        <v>0.7</v>
      </c>
      <c r="H759" t="n">
        <v>0</v>
      </c>
      <c r="I759" t="n">
        <v>0</v>
      </c>
      <c r="J759" t="n">
        <v>0</v>
      </c>
      <c r="K759" t="n">
        <v>0</v>
      </c>
      <c r="L759" t="n">
        <v>0</v>
      </c>
      <c r="M759" t="n">
        <v>0</v>
      </c>
      <c r="N759" t="n">
        <v>0</v>
      </c>
      <c r="O759" t="n">
        <v>0</v>
      </c>
      <c r="P759" t="n">
        <v>0</v>
      </c>
      <c r="Q759" t="n">
        <v>0</v>
      </c>
      <c r="R759" s="2" t="inlineStr"/>
    </row>
    <row r="760" ht="15" customHeight="1">
      <c r="A760" t="inlineStr">
        <is>
          <t>A 2978-2024</t>
        </is>
      </c>
      <c r="B760" s="1" t="n">
        <v>45315</v>
      </c>
      <c r="C760" s="1" t="n">
        <v>45645</v>
      </c>
      <c r="D760" t="inlineStr">
        <is>
          <t>JÄMTLANDS LÄN</t>
        </is>
      </c>
      <c r="E760" t="inlineStr">
        <is>
          <t>ÖSTERSUND</t>
        </is>
      </c>
      <c r="G760" t="n">
        <v>1.7</v>
      </c>
      <c r="H760" t="n">
        <v>0</v>
      </c>
      <c r="I760" t="n">
        <v>0</v>
      </c>
      <c r="J760" t="n">
        <v>0</v>
      </c>
      <c r="K760" t="n">
        <v>0</v>
      </c>
      <c r="L760" t="n">
        <v>0</v>
      </c>
      <c r="M760" t="n">
        <v>0</v>
      </c>
      <c r="N760" t="n">
        <v>0</v>
      </c>
      <c r="O760" t="n">
        <v>0</v>
      </c>
      <c r="P760" t="n">
        <v>0</v>
      </c>
      <c r="Q760" t="n">
        <v>0</v>
      </c>
      <c r="R760" s="2" t="inlineStr"/>
    </row>
    <row r="761" ht="15" customHeight="1">
      <c r="A761" t="inlineStr">
        <is>
          <t>A 3186-2024</t>
        </is>
      </c>
      <c r="B761" s="1" t="n">
        <v>45316</v>
      </c>
      <c r="C761" s="1" t="n">
        <v>45645</v>
      </c>
      <c r="D761" t="inlineStr">
        <is>
          <t>JÄMTLANDS LÄN</t>
        </is>
      </c>
      <c r="E761" t="inlineStr">
        <is>
          <t>ÖSTERSUND</t>
        </is>
      </c>
      <c r="G761" t="n">
        <v>5.1</v>
      </c>
      <c r="H761" t="n">
        <v>0</v>
      </c>
      <c r="I761" t="n">
        <v>0</v>
      </c>
      <c r="J761" t="n">
        <v>0</v>
      </c>
      <c r="K761" t="n">
        <v>0</v>
      </c>
      <c r="L761" t="n">
        <v>0</v>
      </c>
      <c r="M761" t="n">
        <v>0</v>
      </c>
      <c r="N761" t="n">
        <v>0</v>
      </c>
      <c r="O761" t="n">
        <v>0</v>
      </c>
      <c r="P761" t="n">
        <v>0</v>
      </c>
      <c r="Q761" t="n">
        <v>0</v>
      </c>
      <c r="R761" s="2" t="inlineStr"/>
    </row>
    <row r="762" ht="15" customHeight="1">
      <c r="A762" t="inlineStr">
        <is>
          <t>A 3230-2024</t>
        </is>
      </c>
      <c r="B762" s="1" t="n">
        <v>45316</v>
      </c>
      <c r="C762" s="1" t="n">
        <v>45645</v>
      </c>
      <c r="D762" t="inlineStr">
        <is>
          <t>JÄMTLANDS LÄN</t>
        </is>
      </c>
      <c r="E762" t="inlineStr">
        <is>
          <t>ÖSTERSUND</t>
        </is>
      </c>
      <c r="G762" t="n">
        <v>4.4</v>
      </c>
      <c r="H762" t="n">
        <v>0</v>
      </c>
      <c r="I762" t="n">
        <v>0</v>
      </c>
      <c r="J762" t="n">
        <v>0</v>
      </c>
      <c r="K762" t="n">
        <v>0</v>
      </c>
      <c r="L762" t="n">
        <v>0</v>
      </c>
      <c r="M762" t="n">
        <v>0</v>
      </c>
      <c r="N762" t="n">
        <v>0</v>
      </c>
      <c r="O762" t="n">
        <v>0</v>
      </c>
      <c r="P762" t="n">
        <v>0</v>
      </c>
      <c r="Q762" t="n">
        <v>0</v>
      </c>
      <c r="R762" s="2" t="inlineStr"/>
    </row>
    <row r="763" ht="15" customHeight="1">
      <c r="A763" t="inlineStr">
        <is>
          <t>A 3270-2024</t>
        </is>
      </c>
      <c r="B763" s="1" t="n">
        <v>45316</v>
      </c>
      <c r="C763" s="1" t="n">
        <v>45645</v>
      </c>
      <c r="D763" t="inlineStr">
        <is>
          <t>JÄMTLANDS LÄN</t>
        </is>
      </c>
      <c r="E763" t="inlineStr">
        <is>
          <t>ÖSTERSUND</t>
        </is>
      </c>
      <c r="G763" t="n">
        <v>7.5</v>
      </c>
      <c r="H763" t="n">
        <v>0</v>
      </c>
      <c r="I763" t="n">
        <v>0</v>
      </c>
      <c r="J763" t="n">
        <v>0</v>
      </c>
      <c r="K763" t="n">
        <v>0</v>
      </c>
      <c r="L763" t="n">
        <v>0</v>
      </c>
      <c r="M763" t="n">
        <v>0</v>
      </c>
      <c r="N763" t="n">
        <v>0</v>
      </c>
      <c r="O763" t="n">
        <v>0</v>
      </c>
      <c r="P763" t="n">
        <v>0</v>
      </c>
      <c r="Q763" t="n">
        <v>0</v>
      </c>
      <c r="R763" s="2" t="inlineStr"/>
    </row>
    <row r="764" ht="15" customHeight="1">
      <c r="A764" t="inlineStr">
        <is>
          <t>A 3610-2024</t>
        </is>
      </c>
      <c r="B764" s="1" t="n">
        <v>45320</v>
      </c>
      <c r="C764" s="1" t="n">
        <v>45645</v>
      </c>
      <c r="D764" t="inlineStr">
        <is>
          <t>JÄMTLANDS LÄN</t>
        </is>
      </c>
      <c r="E764" t="inlineStr">
        <is>
          <t>ÖSTERSUND</t>
        </is>
      </c>
      <c r="G764" t="n">
        <v>6.2</v>
      </c>
      <c r="H764" t="n">
        <v>0</v>
      </c>
      <c r="I764" t="n">
        <v>0</v>
      </c>
      <c r="J764" t="n">
        <v>0</v>
      </c>
      <c r="K764" t="n">
        <v>0</v>
      </c>
      <c r="L764" t="n">
        <v>0</v>
      </c>
      <c r="M764" t="n">
        <v>0</v>
      </c>
      <c r="N764" t="n">
        <v>0</v>
      </c>
      <c r="O764" t="n">
        <v>0</v>
      </c>
      <c r="P764" t="n">
        <v>0</v>
      </c>
      <c r="Q764" t="n">
        <v>0</v>
      </c>
      <c r="R764" s="2" t="inlineStr"/>
    </row>
    <row r="765" ht="15" customHeight="1">
      <c r="A765" t="inlineStr">
        <is>
          <t>A 3844-2024</t>
        </is>
      </c>
      <c r="B765" s="1" t="n">
        <v>45321</v>
      </c>
      <c r="C765" s="1" t="n">
        <v>45645</v>
      </c>
      <c r="D765" t="inlineStr">
        <is>
          <t>JÄMTLANDS LÄN</t>
        </is>
      </c>
      <c r="E765" t="inlineStr">
        <is>
          <t>ÖSTERSUND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4176-2024</t>
        </is>
      </c>
      <c r="B766" s="1" t="n">
        <v>45323</v>
      </c>
      <c r="C766" s="1" t="n">
        <v>45645</v>
      </c>
      <c r="D766" t="inlineStr">
        <is>
          <t>JÄMTLANDS LÄN</t>
        </is>
      </c>
      <c r="E766" t="inlineStr">
        <is>
          <t>ÖSTERSUND</t>
        </is>
      </c>
      <c r="F766" t="inlineStr">
        <is>
          <t>SCA</t>
        </is>
      </c>
      <c r="G766" t="n">
        <v>7.7</v>
      </c>
      <c r="H766" t="n">
        <v>0</v>
      </c>
      <c r="I766" t="n">
        <v>0</v>
      </c>
      <c r="J766" t="n">
        <v>0</v>
      </c>
      <c r="K766" t="n">
        <v>0</v>
      </c>
      <c r="L766" t="n">
        <v>0</v>
      </c>
      <c r="M766" t="n">
        <v>0</v>
      </c>
      <c r="N766" t="n">
        <v>0</v>
      </c>
      <c r="O766" t="n">
        <v>0</v>
      </c>
      <c r="P766" t="n">
        <v>0</v>
      </c>
      <c r="Q766" t="n">
        <v>0</v>
      </c>
      <c r="R766" s="2" t="inlineStr"/>
    </row>
    <row r="767" ht="15" customHeight="1">
      <c r="A767" t="inlineStr">
        <is>
          <t>A 4350-2024</t>
        </is>
      </c>
      <c r="B767" s="1" t="n">
        <v>45324</v>
      </c>
      <c r="C767" s="1" t="n">
        <v>45645</v>
      </c>
      <c r="D767" t="inlineStr">
        <is>
          <t>JÄMTLANDS LÄN</t>
        </is>
      </c>
      <c r="E767" t="inlineStr">
        <is>
          <t>ÖSTERSUND</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4707-2024</t>
        </is>
      </c>
      <c r="B768" s="1" t="n">
        <v>45328</v>
      </c>
      <c r="C768" s="1" t="n">
        <v>45645</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5455-2024</t>
        </is>
      </c>
      <c r="B769" s="1" t="n">
        <v>45331</v>
      </c>
      <c r="C769" s="1" t="n">
        <v>45645</v>
      </c>
      <c r="D769" t="inlineStr">
        <is>
          <t>JÄMTLANDS LÄN</t>
        </is>
      </c>
      <c r="E769" t="inlineStr">
        <is>
          <t>ÖSTERSUND</t>
        </is>
      </c>
      <c r="G769" t="n">
        <v>4.8</v>
      </c>
      <c r="H769" t="n">
        <v>0</v>
      </c>
      <c r="I769" t="n">
        <v>0</v>
      </c>
      <c r="J769" t="n">
        <v>0</v>
      </c>
      <c r="K769" t="n">
        <v>0</v>
      </c>
      <c r="L769" t="n">
        <v>0</v>
      </c>
      <c r="M769" t="n">
        <v>0</v>
      </c>
      <c r="N769" t="n">
        <v>0</v>
      </c>
      <c r="O769" t="n">
        <v>0</v>
      </c>
      <c r="P769" t="n">
        <v>0</v>
      </c>
      <c r="Q769" t="n">
        <v>0</v>
      </c>
      <c r="R769" s="2" t="inlineStr"/>
    </row>
    <row r="770" ht="15" customHeight="1">
      <c r="A770" t="inlineStr">
        <is>
          <t>A 5920-2024</t>
        </is>
      </c>
      <c r="B770" s="1" t="n">
        <v>45335</v>
      </c>
      <c r="C770" s="1" t="n">
        <v>45645</v>
      </c>
      <c r="D770" t="inlineStr">
        <is>
          <t>JÄMTLANDS LÄN</t>
        </is>
      </c>
      <c r="E770" t="inlineStr">
        <is>
          <t>ÖSTERSUND</t>
        </is>
      </c>
      <c r="F770" t="inlineStr">
        <is>
          <t>SCA</t>
        </is>
      </c>
      <c r="G770" t="n">
        <v>17.8</v>
      </c>
      <c r="H770" t="n">
        <v>0</v>
      </c>
      <c r="I770" t="n">
        <v>0</v>
      </c>
      <c r="J770" t="n">
        <v>0</v>
      </c>
      <c r="K770" t="n">
        <v>0</v>
      </c>
      <c r="L770" t="n">
        <v>0</v>
      </c>
      <c r="M770" t="n">
        <v>0</v>
      </c>
      <c r="N770" t="n">
        <v>0</v>
      </c>
      <c r="O770" t="n">
        <v>0</v>
      </c>
      <c r="P770" t="n">
        <v>0</v>
      </c>
      <c r="Q770" t="n">
        <v>0</v>
      </c>
      <c r="R770" s="2" t="inlineStr"/>
    </row>
    <row r="771" ht="15" customHeight="1">
      <c r="A771" t="inlineStr">
        <is>
          <t>A 6048-2024</t>
        </is>
      </c>
      <c r="B771" s="1" t="n">
        <v>45336</v>
      </c>
      <c r="C771" s="1" t="n">
        <v>45645</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6056-2024</t>
        </is>
      </c>
      <c r="B772" s="1" t="n">
        <v>45336</v>
      </c>
      <c r="C772" s="1" t="n">
        <v>45645</v>
      </c>
      <c r="D772" t="inlineStr">
        <is>
          <t>JÄMTLANDS LÄN</t>
        </is>
      </c>
      <c r="E772" t="inlineStr">
        <is>
          <t>ÖSTERSUND</t>
        </is>
      </c>
      <c r="G772" t="n">
        <v>3.9</v>
      </c>
      <c r="H772" t="n">
        <v>0</v>
      </c>
      <c r="I772" t="n">
        <v>0</v>
      </c>
      <c r="J772" t="n">
        <v>0</v>
      </c>
      <c r="K772" t="n">
        <v>0</v>
      </c>
      <c r="L772" t="n">
        <v>0</v>
      </c>
      <c r="M772" t="n">
        <v>0</v>
      </c>
      <c r="N772" t="n">
        <v>0</v>
      </c>
      <c r="O772" t="n">
        <v>0</v>
      </c>
      <c r="P772" t="n">
        <v>0</v>
      </c>
      <c r="Q772" t="n">
        <v>0</v>
      </c>
      <c r="R772" s="2" t="inlineStr"/>
    </row>
    <row r="773" ht="15" customHeight="1">
      <c r="A773" t="inlineStr">
        <is>
          <t>A 6053-2024</t>
        </is>
      </c>
      <c r="B773" s="1" t="n">
        <v>45336</v>
      </c>
      <c r="C773" s="1" t="n">
        <v>45645</v>
      </c>
      <c r="D773" t="inlineStr">
        <is>
          <t>JÄMTLANDS LÄN</t>
        </is>
      </c>
      <c r="E773" t="inlineStr">
        <is>
          <t>ÖSTERSUND</t>
        </is>
      </c>
      <c r="G773" t="n">
        <v>1.4</v>
      </c>
      <c r="H773" t="n">
        <v>0</v>
      </c>
      <c r="I773" t="n">
        <v>0</v>
      </c>
      <c r="J773" t="n">
        <v>0</v>
      </c>
      <c r="K773" t="n">
        <v>0</v>
      </c>
      <c r="L773" t="n">
        <v>0</v>
      </c>
      <c r="M773" t="n">
        <v>0</v>
      </c>
      <c r="N773" t="n">
        <v>0</v>
      </c>
      <c r="O773" t="n">
        <v>0</v>
      </c>
      <c r="P773" t="n">
        <v>0</v>
      </c>
      <c r="Q773" t="n">
        <v>0</v>
      </c>
      <c r="R773" s="2" t="inlineStr"/>
    </row>
    <row r="774" ht="15" customHeight="1">
      <c r="A774" t="inlineStr">
        <is>
          <t>A 6351-2024</t>
        </is>
      </c>
      <c r="B774" s="1" t="n">
        <v>45338</v>
      </c>
      <c r="C774" s="1" t="n">
        <v>45645</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6353-2024</t>
        </is>
      </c>
      <c r="B775" s="1" t="n">
        <v>45338</v>
      </c>
      <c r="C775" s="1" t="n">
        <v>45645</v>
      </c>
      <c r="D775" t="inlineStr">
        <is>
          <t>JÄMTLANDS LÄN</t>
        </is>
      </c>
      <c r="E775" t="inlineStr">
        <is>
          <t>ÖSTERSUND</t>
        </is>
      </c>
      <c r="G775" t="n">
        <v>1.9</v>
      </c>
      <c r="H775" t="n">
        <v>0</v>
      </c>
      <c r="I775" t="n">
        <v>0</v>
      </c>
      <c r="J775" t="n">
        <v>0</v>
      </c>
      <c r="K775" t="n">
        <v>0</v>
      </c>
      <c r="L775" t="n">
        <v>0</v>
      </c>
      <c r="M775" t="n">
        <v>0</v>
      </c>
      <c r="N775" t="n">
        <v>0</v>
      </c>
      <c r="O775" t="n">
        <v>0</v>
      </c>
      <c r="P775" t="n">
        <v>0</v>
      </c>
      <c r="Q775" t="n">
        <v>0</v>
      </c>
      <c r="R775" s="2" t="inlineStr"/>
    </row>
    <row r="776" ht="15" customHeight="1">
      <c r="A776" t="inlineStr">
        <is>
          <t>A 6376-2024</t>
        </is>
      </c>
      <c r="B776" s="1" t="n">
        <v>45338</v>
      </c>
      <c r="C776" s="1" t="n">
        <v>45645</v>
      </c>
      <c r="D776" t="inlineStr">
        <is>
          <t>JÄMTLANDS LÄN</t>
        </is>
      </c>
      <c r="E776" t="inlineStr">
        <is>
          <t>ÖSTERSUND</t>
        </is>
      </c>
      <c r="G776" t="n">
        <v>4.6</v>
      </c>
      <c r="H776" t="n">
        <v>0</v>
      </c>
      <c r="I776" t="n">
        <v>0</v>
      </c>
      <c r="J776" t="n">
        <v>0</v>
      </c>
      <c r="K776" t="n">
        <v>0</v>
      </c>
      <c r="L776" t="n">
        <v>0</v>
      </c>
      <c r="M776" t="n">
        <v>0</v>
      </c>
      <c r="N776" t="n">
        <v>0</v>
      </c>
      <c r="O776" t="n">
        <v>0</v>
      </c>
      <c r="P776" t="n">
        <v>0</v>
      </c>
      <c r="Q776" t="n">
        <v>0</v>
      </c>
      <c r="R776" s="2" t="inlineStr"/>
    </row>
    <row r="777" ht="15" customHeight="1">
      <c r="A777" t="inlineStr">
        <is>
          <t>A 6402-2024</t>
        </is>
      </c>
      <c r="B777" s="1" t="n">
        <v>45338</v>
      </c>
      <c r="C777" s="1" t="n">
        <v>45645</v>
      </c>
      <c r="D777" t="inlineStr">
        <is>
          <t>JÄMTLANDS LÄN</t>
        </is>
      </c>
      <c r="E777" t="inlineStr">
        <is>
          <t>ÖSTERSUND</t>
        </is>
      </c>
      <c r="G777" t="n">
        <v>4.4</v>
      </c>
      <c r="H777" t="n">
        <v>0</v>
      </c>
      <c r="I777" t="n">
        <v>0</v>
      </c>
      <c r="J777" t="n">
        <v>0</v>
      </c>
      <c r="K777" t="n">
        <v>0</v>
      </c>
      <c r="L777" t="n">
        <v>0</v>
      </c>
      <c r="M777" t="n">
        <v>0</v>
      </c>
      <c r="N777" t="n">
        <v>0</v>
      </c>
      <c r="O777" t="n">
        <v>0</v>
      </c>
      <c r="P777" t="n">
        <v>0</v>
      </c>
      <c r="Q777" t="n">
        <v>0</v>
      </c>
      <c r="R777" s="2" t="inlineStr"/>
    </row>
    <row r="778" ht="15" customHeight="1">
      <c r="A778" t="inlineStr">
        <is>
          <t>A 6481-2024</t>
        </is>
      </c>
      <c r="B778" s="1" t="n">
        <v>45338</v>
      </c>
      <c r="C778" s="1" t="n">
        <v>45645</v>
      </c>
      <c r="D778" t="inlineStr">
        <is>
          <t>JÄMTLANDS LÄN</t>
        </is>
      </c>
      <c r="E778" t="inlineStr">
        <is>
          <t>ÖSTERSUND</t>
        </is>
      </c>
      <c r="F778" t="inlineStr">
        <is>
          <t>SCA</t>
        </is>
      </c>
      <c r="G778" t="n">
        <v>21.3</v>
      </c>
      <c r="H778" t="n">
        <v>0</v>
      </c>
      <c r="I778" t="n">
        <v>0</v>
      </c>
      <c r="J778" t="n">
        <v>0</v>
      </c>
      <c r="K778" t="n">
        <v>0</v>
      </c>
      <c r="L778" t="n">
        <v>0</v>
      </c>
      <c r="M778" t="n">
        <v>0</v>
      </c>
      <c r="N778" t="n">
        <v>0</v>
      </c>
      <c r="O778" t="n">
        <v>0</v>
      </c>
      <c r="P778" t="n">
        <v>0</v>
      </c>
      <c r="Q778" t="n">
        <v>0</v>
      </c>
      <c r="R778" s="2" t="inlineStr"/>
    </row>
    <row r="779" ht="15" customHeight="1">
      <c r="A779" t="inlineStr">
        <is>
          <t>A 6877-2024</t>
        </is>
      </c>
      <c r="B779" s="1" t="n">
        <v>45342</v>
      </c>
      <c r="C779" s="1" t="n">
        <v>45645</v>
      </c>
      <c r="D779" t="inlineStr">
        <is>
          <t>JÄMTLANDS LÄN</t>
        </is>
      </c>
      <c r="E779" t="inlineStr">
        <is>
          <t>ÖSTERSUND</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7233-2024</t>
        </is>
      </c>
      <c r="B780" s="1" t="n">
        <v>45344</v>
      </c>
      <c r="C780" s="1" t="n">
        <v>45645</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7224-2024</t>
        </is>
      </c>
      <c r="B781" s="1" t="n">
        <v>45344</v>
      </c>
      <c r="C781" s="1" t="n">
        <v>45645</v>
      </c>
      <c r="D781" t="inlineStr">
        <is>
          <t>JÄMTLANDS LÄN</t>
        </is>
      </c>
      <c r="E781" t="inlineStr">
        <is>
          <t>ÖSTERSUND</t>
        </is>
      </c>
      <c r="G781" t="n">
        <v>2.9</v>
      </c>
      <c r="H781" t="n">
        <v>0</v>
      </c>
      <c r="I781" t="n">
        <v>0</v>
      </c>
      <c r="J781" t="n">
        <v>0</v>
      </c>
      <c r="K781" t="n">
        <v>0</v>
      </c>
      <c r="L781" t="n">
        <v>0</v>
      </c>
      <c r="M781" t="n">
        <v>0</v>
      </c>
      <c r="N781" t="n">
        <v>0</v>
      </c>
      <c r="O781" t="n">
        <v>0</v>
      </c>
      <c r="P781" t="n">
        <v>0</v>
      </c>
      <c r="Q781" t="n">
        <v>0</v>
      </c>
      <c r="R781" s="2" t="inlineStr"/>
    </row>
    <row r="782" ht="15" customHeight="1">
      <c r="A782" t="inlineStr">
        <is>
          <t>A 7228-2024</t>
        </is>
      </c>
      <c r="B782" s="1" t="n">
        <v>45344</v>
      </c>
      <c r="C782" s="1" t="n">
        <v>45645</v>
      </c>
      <c r="D782" t="inlineStr">
        <is>
          <t>JÄMTLANDS LÄN</t>
        </is>
      </c>
      <c r="E782" t="inlineStr">
        <is>
          <t>ÖSTERSUND</t>
        </is>
      </c>
      <c r="G782" t="n">
        <v>3</v>
      </c>
      <c r="H782" t="n">
        <v>0</v>
      </c>
      <c r="I782" t="n">
        <v>0</v>
      </c>
      <c r="J782" t="n">
        <v>0</v>
      </c>
      <c r="K782" t="n">
        <v>0</v>
      </c>
      <c r="L782" t="n">
        <v>0</v>
      </c>
      <c r="M782" t="n">
        <v>0</v>
      </c>
      <c r="N782" t="n">
        <v>0</v>
      </c>
      <c r="O782" t="n">
        <v>0</v>
      </c>
      <c r="P782" t="n">
        <v>0</v>
      </c>
      <c r="Q782" t="n">
        <v>0</v>
      </c>
      <c r="R782" s="2" t="inlineStr"/>
    </row>
    <row r="783" ht="15" customHeight="1">
      <c r="A783" t="inlineStr">
        <is>
          <t>A 7484-2024</t>
        </is>
      </c>
      <c r="B783" s="1" t="n">
        <v>45346</v>
      </c>
      <c r="C783" s="1" t="n">
        <v>45645</v>
      </c>
      <c r="D783" t="inlineStr">
        <is>
          <t>JÄMTLANDS LÄN</t>
        </is>
      </c>
      <c r="E783" t="inlineStr">
        <is>
          <t>ÖSTERSUND</t>
        </is>
      </c>
      <c r="G783" t="n">
        <v>5.4</v>
      </c>
      <c r="H783" t="n">
        <v>0</v>
      </c>
      <c r="I783" t="n">
        <v>0</v>
      </c>
      <c r="J783" t="n">
        <v>0</v>
      </c>
      <c r="K783" t="n">
        <v>0</v>
      </c>
      <c r="L783" t="n">
        <v>0</v>
      </c>
      <c r="M783" t="n">
        <v>0</v>
      </c>
      <c r="N783" t="n">
        <v>0</v>
      </c>
      <c r="O783" t="n">
        <v>0</v>
      </c>
      <c r="P783" t="n">
        <v>0</v>
      </c>
      <c r="Q783" t="n">
        <v>0</v>
      </c>
      <c r="R783" s="2" t="inlineStr"/>
    </row>
    <row r="784" ht="15" customHeight="1">
      <c r="A784" t="inlineStr">
        <is>
          <t>A 8166-2024</t>
        </is>
      </c>
      <c r="B784" s="1" t="n">
        <v>45349</v>
      </c>
      <c r="C784" s="1" t="n">
        <v>45645</v>
      </c>
      <c r="D784" t="inlineStr">
        <is>
          <t>JÄMTLANDS LÄN</t>
        </is>
      </c>
      <c r="E784" t="inlineStr">
        <is>
          <t>ÖSTERSUND</t>
        </is>
      </c>
      <c r="G784" t="n">
        <v>2.7</v>
      </c>
      <c r="H784" t="n">
        <v>0</v>
      </c>
      <c r="I784" t="n">
        <v>0</v>
      </c>
      <c r="J784" t="n">
        <v>0</v>
      </c>
      <c r="K784" t="n">
        <v>0</v>
      </c>
      <c r="L784" t="n">
        <v>0</v>
      </c>
      <c r="M784" t="n">
        <v>0</v>
      </c>
      <c r="N784" t="n">
        <v>0</v>
      </c>
      <c r="O784" t="n">
        <v>0</v>
      </c>
      <c r="P784" t="n">
        <v>0</v>
      </c>
      <c r="Q784" t="n">
        <v>0</v>
      </c>
      <c r="R784" s="2" t="inlineStr"/>
    </row>
    <row r="785" ht="15" customHeight="1">
      <c r="A785" t="inlineStr">
        <is>
          <t>A 9109-2024</t>
        </is>
      </c>
      <c r="B785" s="1" t="n">
        <v>45358</v>
      </c>
      <c r="C785" s="1" t="n">
        <v>45645</v>
      </c>
      <c r="D785" t="inlineStr">
        <is>
          <t>JÄMTLANDS LÄN</t>
        </is>
      </c>
      <c r="E785" t="inlineStr">
        <is>
          <t>ÖSTERSUND</t>
        </is>
      </c>
      <c r="G785" t="n">
        <v>17.1</v>
      </c>
      <c r="H785" t="n">
        <v>0</v>
      </c>
      <c r="I785" t="n">
        <v>0</v>
      </c>
      <c r="J785" t="n">
        <v>0</v>
      </c>
      <c r="K785" t="n">
        <v>0</v>
      </c>
      <c r="L785" t="n">
        <v>0</v>
      </c>
      <c r="M785" t="n">
        <v>0</v>
      </c>
      <c r="N785" t="n">
        <v>0</v>
      </c>
      <c r="O785" t="n">
        <v>0</v>
      </c>
      <c r="P785" t="n">
        <v>0</v>
      </c>
      <c r="Q785" t="n">
        <v>0</v>
      </c>
      <c r="R785" s="2" t="inlineStr"/>
    </row>
    <row r="786" ht="15" customHeight="1">
      <c r="A786" t="inlineStr">
        <is>
          <t>A 9151-2024</t>
        </is>
      </c>
      <c r="B786" s="1" t="n">
        <v>45358</v>
      </c>
      <c r="C786" s="1" t="n">
        <v>45645</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9859-2024</t>
        </is>
      </c>
      <c r="B787" s="1" t="n">
        <v>45363</v>
      </c>
      <c r="C787" s="1" t="n">
        <v>45645</v>
      </c>
      <c r="D787" t="inlineStr">
        <is>
          <t>JÄMTLANDS LÄN</t>
        </is>
      </c>
      <c r="E787" t="inlineStr">
        <is>
          <t>ÖSTERSUND</t>
        </is>
      </c>
      <c r="G787" t="n">
        <v>5.5</v>
      </c>
      <c r="H787" t="n">
        <v>0</v>
      </c>
      <c r="I787" t="n">
        <v>0</v>
      </c>
      <c r="J787" t="n">
        <v>0</v>
      </c>
      <c r="K787" t="n">
        <v>0</v>
      </c>
      <c r="L787" t="n">
        <v>0</v>
      </c>
      <c r="M787" t="n">
        <v>0</v>
      </c>
      <c r="N787" t="n">
        <v>0</v>
      </c>
      <c r="O787" t="n">
        <v>0</v>
      </c>
      <c r="P787" t="n">
        <v>0</v>
      </c>
      <c r="Q787" t="n">
        <v>0</v>
      </c>
      <c r="R787" s="2" t="inlineStr"/>
    </row>
    <row r="788" ht="15" customHeight="1">
      <c r="A788" t="inlineStr">
        <is>
          <t>A 10064-2024</t>
        </is>
      </c>
      <c r="B788" s="1" t="n">
        <v>45364</v>
      </c>
      <c r="C788" s="1" t="n">
        <v>45645</v>
      </c>
      <c r="D788" t="inlineStr">
        <is>
          <t>JÄMTLANDS LÄN</t>
        </is>
      </c>
      <c r="E788" t="inlineStr">
        <is>
          <t>ÖSTERSUND</t>
        </is>
      </c>
      <c r="G788" t="n">
        <v>13.9</v>
      </c>
      <c r="H788" t="n">
        <v>0</v>
      </c>
      <c r="I788" t="n">
        <v>0</v>
      </c>
      <c r="J788" t="n">
        <v>0</v>
      </c>
      <c r="K788" t="n">
        <v>0</v>
      </c>
      <c r="L788" t="n">
        <v>0</v>
      </c>
      <c r="M788" t="n">
        <v>0</v>
      </c>
      <c r="N788" t="n">
        <v>0</v>
      </c>
      <c r="O788" t="n">
        <v>0</v>
      </c>
      <c r="P788" t="n">
        <v>0</v>
      </c>
      <c r="Q788" t="n">
        <v>0</v>
      </c>
      <c r="R788" s="2" t="inlineStr"/>
    </row>
    <row r="789" ht="15" customHeight="1">
      <c r="A789" t="inlineStr">
        <is>
          <t>A 10619-2024</t>
        </is>
      </c>
      <c r="B789" s="1" t="n">
        <v>45367</v>
      </c>
      <c r="C789" s="1" t="n">
        <v>45645</v>
      </c>
      <c r="D789" t="inlineStr">
        <is>
          <t>JÄMTLANDS LÄN</t>
        </is>
      </c>
      <c r="E789" t="inlineStr">
        <is>
          <t>ÖSTERSUND</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11052-2024</t>
        </is>
      </c>
      <c r="B790" s="1" t="n">
        <v>45370</v>
      </c>
      <c r="C790" s="1" t="n">
        <v>45645</v>
      </c>
      <c r="D790" t="inlineStr">
        <is>
          <t>JÄMTLANDS LÄN</t>
        </is>
      </c>
      <c r="E790" t="inlineStr">
        <is>
          <t>ÖSTERSUND</t>
        </is>
      </c>
      <c r="G790" t="n">
        <v>2.3</v>
      </c>
      <c r="H790" t="n">
        <v>0</v>
      </c>
      <c r="I790" t="n">
        <v>0</v>
      </c>
      <c r="J790" t="n">
        <v>0</v>
      </c>
      <c r="K790" t="n">
        <v>0</v>
      </c>
      <c r="L790" t="n">
        <v>0</v>
      </c>
      <c r="M790" t="n">
        <v>0</v>
      </c>
      <c r="N790" t="n">
        <v>0</v>
      </c>
      <c r="O790" t="n">
        <v>0</v>
      </c>
      <c r="P790" t="n">
        <v>0</v>
      </c>
      <c r="Q790" t="n">
        <v>0</v>
      </c>
      <c r="R790" s="2" t="inlineStr"/>
    </row>
    <row r="791" ht="15" customHeight="1">
      <c r="A791" t="inlineStr">
        <is>
          <t>A 11768-2024</t>
        </is>
      </c>
      <c r="B791" s="1" t="n">
        <v>45373</v>
      </c>
      <c r="C791" s="1" t="n">
        <v>45645</v>
      </c>
      <c r="D791" t="inlineStr">
        <is>
          <t>JÄMTLANDS LÄN</t>
        </is>
      </c>
      <c r="E791" t="inlineStr">
        <is>
          <t>ÖSTERSUND</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11877-2024</t>
        </is>
      </c>
      <c r="B792" s="1" t="n">
        <v>45376</v>
      </c>
      <c r="C792" s="1" t="n">
        <v>45645</v>
      </c>
      <c r="D792" t="inlineStr">
        <is>
          <t>JÄMTLANDS LÄN</t>
        </is>
      </c>
      <c r="E792" t="inlineStr">
        <is>
          <t>ÖSTERSUND</t>
        </is>
      </c>
      <c r="G792" t="n">
        <v>2.6</v>
      </c>
      <c r="H792" t="n">
        <v>0</v>
      </c>
      <c r="I792" t="n">
        <v>0</v>
      </c>
      <c r="J792" t="n">
        <v>0</v>
      </c>
      <c r="K792" t="n">
        <v>0</v>
      </c>
      <c r="L792" t="n">
        <v>0</v>
      </c>
      <c r="M792" t="n">
        <v>0</v>
      </c>
      <c r="N792" t="n">
        <v>0</v>
      </c>
      <c r="O792" t="n">
        <v>0</v>
      </c>
      <c r="P792" t="n">
        <v>0</v>
      </c>
      <c r="Q792" t="n">
        <v>0</v>
      </c>
      <c r="R792" s="2" t="inlineStr"/>
    </row>
    <row r="793" ht="15" customHeight="1">
      <c r="A793" t="inlineStr">
        <is>
          <t>A 11931-2024</t>
        </is>
      </c>
      <c r="B793" s="1" t="n">
        <v>45376</v>
      </c>
      <c r="C793" s="1" t="n">
        <v>45645</v>
      </c>
      <c r="D793" t="inlineStr">
        <is>
          <t>JÄMTLANDS LÄN</t>
        </is>
      </c>
      <c r="E793" t="inlineStr">
        <is>
          <t>ÖSTERSUND</t>
        </is>
      </c>
      <c r="G793" t="n">
        <v>1.6</v>
      </c>
      <c r="H793" t="n">
        <v>0</v>
      </c>
      <c r="I793" t="n">
        <v>0</v>
      </c>
      <c r="J793" t="n">
        <v>0</v>
      </c>
      <c r="K793" t="n">
        <v>0</v>
      </c>
      <c r="L793" t="n">
        <v>0</v>
      </c>
      <c r="M793" t="n">
        <v>0</v>
      </c>
      <c r="N793" t="n">
        <v>0</v>
      </c>
      <c r="O793" t="n">
        <v>0</v>
      </c>
      <c r="P793" t="n">
        <v>0</v>
      </c>
      <c r="Q793" t="n">
        <v>0</v>
      </c>
      <c r="R793" s="2" t="inlineStr"/>
    </row>
    <row r="794" ht="15" customHeight="1">
      <c r="A794" t="inlineStr">
        <is>
          <t>A 14142-2024</t>
        </is>
      </c>
      <c r="B794" s="1" t="n">
        <v>45392</v>
      </c>
      <c r="C794" s="1" t="n">
        <v>45645</v>
      </c>
      <c r="D794" t="inlineStr">
        <is>
          <t>JÄMTLANDS LÄN</t>
        </is>
      </c>
      <c r="E794" t="inlineStr">
        <is>
          <t>ÖSTERSUND</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16068-2024</t>
        </is>
      </c>
      <c r="B795" s="1" t="n">
        <v>45406</v>
      </c>
      <c r="C795" s="1" t="n">
        <v>45645</v>
      </c>
      <c r="D795" t="inlineStr">
        <is>
          <t>JÄMTLANDS LÄN</t>
        </is>
      </c>
      <c r="E795" t="inlineStr">
        <is>
          <t>ÖSTERSUND</t>
        </is>
      </c>
      <c r="F795" t="inlineStr">
        <is>
          <t>SCA</t>
        </is>
      </c>
      <c r="G795" t="n">
        <v>35.6</v>
      </c>
      <c r="H795" t="n">
        <v>0</v>
      </c>
      <c r="I795" t="n">
        <v>0</v>
      </c>
      <c r="J795" t="n">
        <v>0</v>
      </c>
      <c r="K795" t="n">
        <v>0</v>
      </c>
      <c r="L795" t="n">
        <v>0</v>
      </c>
      <c r="M795" t="n">
        <v>0</v>
      </c>
      <c r="N795" t="n">
        <v>0</v>
      </c>
      <c r="O795" t="n">
        <v>0</v>
      </c>
      <c r="P795" t="n">
        <v>0</v>
      </c>
      <c r="Q795" t="n">
        <v>0</v>
      </c>
      <c r="R795" s="2" t="inlineStr"/>
    </row>
    <row r="796" ht="15" customHeight="1">
      <c r="A796" t="inlineStr">
        <is>
          <t>A 16065-2024</t>
        </is>
      </c>
      <c r="B796" s="1" t="n">
        <v>45406</v>
      </c>
      <c r="C796" s="1" t="n">
        <v>45645</v>
      </c>
      <c r="D796" t="inlineStr">
        <is>
          <t>JÄMTLANDS LÄN</t>
        </is>
      </c>
      <c r="E796" t="inlineStr">
        <is>
          <t>ÖSTERSUND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16459-2024</t>
        </is>
      </c>
      <c r="B797" s="1" t="n">
        <v>45407</v>
      </c>
      <c r="C797" s="1" t="n">
        <v>45645</v>
      </c>
      <c r="D797" t="inlineStr">
        <is>
          <t>JÄMTLANDS LÄN</t>
        </is>
      </c>
      <c r="E797" t="inlineStr">
        <is>
          <t>ÖSTERSUND</t>
        </is>
      </c>
      <c r="G797" t="n">
        <v>24</v>
      </c>
      <c r="H797" t="n">
        <v>0</v>
      </c>
      <c r="I797" t="n">
        <v>0</v>
      </c>
      <c r="J797" t="n">
        <v>0</v>
      </c>
      <c r="K797" t="n">
        <v>0</v>
      </c>
      <c r="L797" t="n">
        <v>0</v>
      </c>
      <c r="M797" t="n">
        <v>0</v>
      </c>
      <c r="N797" t="n">
        <v>0</v>
      </c>
      <c r="O797" t="n">
        <v>0</v>
      </c>
      <c r="P797" t="n">
        <v>0</v>
      </c>
      <c r="Q797" t="n">
        <v>0</v>
      </c>
      <c r="R797" s="2" t="inlineStr"/>
    </row>
    <row r="798" ht="15" customHeight="1">
      <c r="A798" t="inlineStr">
        <is>
          <t>A 16689-2024</t>
        </is>
      </c>
      <c r="B798" s="1" t="n">
        <v>45408</v>
      </c>
      <c r="C798" s="1" t="n">
        <v>45645</v>
      </c>
      <c r="D798" t="inlineStr">
        <is>
          <t>JÄMTLANDS LÄN</t>
        </is>
      </c>
      <c r="E798" t="inlineStr">
        <is>
          <t>ÖSTERSUND</t>
        </is>
      </c>
      <c r="G798" t="n">
        <v>0.6</v>
      </c>
      <c r="H798" t="n">
        <v>0</v>
      </c>
      <c r="I798" t="n">
        <v>0</v>
      </c>
      <c r="J798" t="n">
        <v>0</v>
      </c>
      <c r="K798" t="n">
        <v>0</v>
      </c>
      <c r="L798" t="n">
        <v>0</v>
      </c>
      <c r="M798" t="n">
        <v>0</v>
      </c>
      <c r="N798" t="n">
        <v>0</v>
      </c>
      <c r="O798" t="n">
        <v>0</v>
      </c>
      <c r="P798" t="n">
        <v>0</v>
      </c>
      <c r="Q798" t="n">
        <v>0</v>
      </c>
      <c r="R798" s="2" t="inlineStr"/>
    </row>
    <row r="799" ht="15" customHeight="1">
      <c r="A799" t="inlineStr">
        <is>
          <t>A 17188-2024</t>
        </is>
      </c>
      <c r="B799" s="1" t="n">
        <v>45413</v>
      </c>
      <c r="C799" s="1" t="n">
        <v>45645</v>
      </c>
      <c r="D799" t="inlineStr">
        <is>
          <t>JÄMTLANDS LÄN</t>
        </is>
      </c>
      <c r="E799" t="inlineStr">
        <is>
          <t>ÖSTERSUND</t>
        </is>
      </c>
      <c r="F799" t="inlineStr">
        <is>
          <t>SCA</t>
        </is>
      </c>
      <c r="G799" t="n">
        <v>14.6</v>
      </c>
      <c r="H799" t="n">
        <v>0</v>
      </c>
      <c r="I799" t="n">
        <v>0</v>
      </c>
      <c r="J799" t="n">
        <v>0</v>
      </c>
      <c r="K799" t="n">
        <v>0</v>
      </c>
      <c r="L799" t="n">
        <v>0</v>
      </c>
      <c r="M799" t="n">
        <v>0</v>
      </c>
      <c r="N799" t="n">
        <v>0</v>
      </c>
      <c r="O799" t="n">
        <v>0</v>
      </c>
      <c r="P799" t="n">
        <v>0</v>
      </c>
      <c r="Q799" t="n">
        <v>0</v>
      </c>
      <c r="R799" s="2" t="inlineStr"/>
    </row>
    <row r="800" ht="15" customHeight="1">
      <c r="A800" t="inlineStr">
        <is>
          <t>A 17062-2024</t>
        </is>
      </c>
      <c r="B800" s="1" t="n">
        <v>45412</v>
      </c>
      <c r="C800" s="1" t="n">
        <v>45645</v>
      </c>
      <c r="D800" t="inlineStr">
        <is>
          <t>JÄMTLANDS LÄN</t>
        </is>
      </c>
      <c r="E800" t="inlineStr">
        <is>
          <t>ÖSTERSUND</t>
        </is>
      </c>
      <c r="G800" t="n">
        <v>8</v>
      </c>
      <c r="H800" t="n">
        <v>0</v>
      </c>
      <c r="I800" t="n">
        <v>0</v>
      </c>
      <c r="J800" t="n">
        <v>0</v>
      </c>
      <c r="K800" t="n">
        <v>0</v>
      </c>
      <c r="L800" t="n">
        <v>0</v>
      </c>
      <c r="M800" t="n">
        <v>0</v>
      </c>
      <c r="N800" t="n">
        <v>0</v>
      </c>
      <c r="O800" t="n">
        <v>0</v>
      </c>
      <c r="P800" t="n">
        <v>0</v>
      </c>
      <c r="Q800" t="n">
        <v>0</v>
      </c>
      <c r="R800" s="2" t="inlineStr"/>
    </row>
    <row r="801" ht="15" customHeight="1">
      <c r="A801" t="inlineStr">
        <is>
          <t>A 17066-2024</t>
        </is>
      </c>
      <c r="B801" s="1" t="n">
        <v>45412</v>
      </c>
      <c r="C801" s="1" t="n">
        <v>45645</v>
      </c>
      <c r="D801" t="inlineStr">
        <is>
          <t>JÄMTLANDS LÄN</t>
        </is>
      </c>
      <c r="E801" t="inlineStr">
        <is>
          <t>ÖSTERSUND</t>
        </is>
      </c>
      <c r="G801" t="n">
        <v>4.2</v>
      </c>
      <c r="H801" t="n">
        <v>0</v>
      </c>
      <c r="I801" t="n">
        <v>0</v>
      </c>
      <c r="J801" t="n">
        <v>0</v>
      </c>
      <c r="K801" t="n">
        <v>0</v>
      </c>
      <c r="L801" t="n">
        <v>0</v>
      </c>
      <c r="M801" t="n">
        <v>0</v>
      </c>
      <c r="N801" t="n">
        <v>0</v>
      </c>
      <c r="O801" t="n">
        <v>0</v>
      </c>
      <c r="P801" t="n">
        <v>0</v>
      </c>
      <c r="Q801" t="n">
        <v>0</v>
      </c>
      <c r="R801" s="2" t="inlineStr"/>
    </row>
    <row r="802" ht="15" customHeight="1">
      <c r="A802" t="inlineStr">
        <is>
          <t>A 17547-2024</t>
        </is>
      </c>
      <c r="B802" s="1" t="n">
        <v>45415</v>
      </c>
      <c r="C802" s="1" t="n">
        <v>45645</v>
      </c>
      <c r="D802" t="inlineStr">
        <is>
          <t>JÄMTLANDS LÄN</t>
        </is>
      </c>
      <c r="E802" t="inlineStr">
        <is>
          <t>ÖSTERSUND</t>
        </is>
      </c>
      <c r="G802" t="n">
        <v>2.1</v>
      </c>
      <c r="H802" t="n">
        <v>0</v>
      </c>
      <c r="I802" t="n">
        <v>0</v>
      </c>
      <c r="J802" t="n">
        <v>0</v>
      </c>
      <c r="K802" t="n">
        <v>0</v>
      </c>
      <c r="L802" t="n">
        <v>0</v>
      </c>
      <c r="M802" t="n">
        <v>0</v>
      </c>
      <c r="N802" t="n">
        <v>0</v>
      </c>
      <c r="O802" t="n">
        <v>0</v>
      </c>
      <c r="P802" t="n">
        <v>0</v>
      </c>
      <c r="Q802" t="n">
        <v>0</v>
      </c>
      <c r="R802" s="2" t="inlineStr"/>
    </row>
    <row r="803" ht="15" customHeight="1">
      <c r="A803" t="inlineStr">
        <is>
          <t>A 17760-2024</t>
        </is>
      </c>
      <c r="B803" s="1" t="n">
        <v>45418</v>
      </c>
      <c r="C803" s="1" t="n">
        <v>45645</v>
      </c>
      <c r="D803" t="inlineStr">
        <is>
          <t>JÄMTLANDS LÄN</t>
        </is>
      </c>
      <c r="E803" t="inlineStr">
        <is>
          <t>ÖSTERSUND</t>
        </is>
      </c>
      <c r="G803" t="n">
        <v>1.6</v>
      </c>
      <c r="H803" t="n">
        <v>0</v>
      </c>
      <c r="I803" t="n">
        <v>0</v>
      </c>
      <c r="J803" t="n">
        <v>0</v>
      </c>
      <c r="K803" t="n">
        <v>0</v>
      </c>
      <c r="L803" t="n">
        <v>0</v>
      </c>
      <c r="M803" t="n">
        <v>0</v>
      </c>
      <c r="N803" t="n">
        <v>0</v>
      </c>
      <c r="O803" t="n">
        <v>0</v>
      </c>
      <c r="P803" t="n">
        <v>0</v>
      </c>
      <c r="Q803" t="n">
        <v>0</v>
      </c>
      <c r="R803" s="2" t="inlineStr"/>
    </row>
    <row r="804" ht="15" customHeight="1">
      <c r="A804" t="inlineStr">
        <is>
          <t>A 17709-2024</t>
        </is>
      </c>
      <c r="B804" s="1" t="n">
        <v>45418</v>
      </c>
      <c r="C804" s="1" t="n">
        <v>45645</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18627-2024</t>
        </is>
      </c>
      <c r="B805" s="1" t="n">
        <v>45426</v>
      </c>
      <c r="C805" s="1" t="n">
        <v>45645</v>
      </c>
      <c r="D805" t="inlineStr">
        <is>
          <t>JÄMTLANDS LÄN</t>
        </is>
      </c>
      <c r="E805" t="inlineStr">
        <is>
          <t>ÖSTERSUND</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18643-2024</t>
        </is>
      </c>
      <c r="B806" s="1" t="n">
        <v>45426</v>
      </c>
      <c r="C806" s="1" t="n">
        <v>45645</v>
      </c>
      <c r="D806" t="inlineStr">
        <is>
          <t>JÄMTLANDS LÄN</t>
        </is>
      </c>
      <c r="E806" t="inlineStr">
        <is>
          <t>ÖSTERSUND</t>
        </is>
      </c>
      <c r="F806" t="inlineStr">
        <is>
          <t>SCA</t>
        </is>
      </c>
      <c r="G806" t="n">
        <v>10.3</v>
      </c>
      <c r="H806" t="n">
        <v>0</v>
      </c>
      <c r="I806" t="n">
        <v>0</v>
      </c>
      <c r="J806" t="n">
        <v>0</v>
      </c>
      <c r="K806" t="n">
        <v>0</v>
      </c>
      <c r="L806" t="n">
        <v>0</v>
      </c>
      <c r="M806" t="n">
        <v>0</v>
      </c>
      <c r="N806" t="n">
        <v>0</v>
      </c>
      <c r="O806" t="n">
        <v>0</v>
      </c>
      <c r="P806" t="n">
        <v>0</v>
      </c>
      <c r="Q806" t="n">
        <v>0</v>
      </c>
      <c r="R806" s="2" t="inlineStr"/>
    </row>
    <row r="807" ht="15" customHeight="1">
      <c r="A807" t="inlineStr">
        <is>
          <t>A 18624-2024</t>
        </is>
      </c>
      <c r="B807" s="1" t="n">
        <v>45426</v>
      </c>
      <c r="C807" s="1" t="n">
        <v>45645</v>
      </c>
      <c r="D807" t="inlineStr">
        <is>
          <t>JÄMTLANDS LÄN</t>
        </is>
      </c>
      <c r="E807" t="inlineStr">
        <is>
          <t>ÖSTERSUND</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19112-2024</t>
        </is>
      </c>
      <c r="B808" s="1" t="n">
        <v>45427</v>
      </c>
      <c r="C808" s="1" t="n">
        <v>45645</v>
      </c>
      <c r="D808" t="inlineStr">
        <is>
          <t>JÄMTLANDS LÄN</t>
        </is>
      </c>
      <c r="E808" t="inlineStr">
        <is>
          <t>ÖSTERSUND</t>
        </is>
      </c>
      <c r="G808" t="n">
        <v>3.6</v>
      </c>
      <c r="H808" t="n">
        <v>0</v>
      </c>
      <c r="I808" t="n">
        <v>0</v>
      </c>
      <c r="J808" t="n">
        <v>0</v>
      </c>
      <c r="K808" t="n">
        <v>0</v>
      </c>
      <c r="L808" t="n">
        <v>0</v>
      </c>
      <c r="M808" t="n">
        <v>0</v>
      </c>
      <c r="N808" t="n">
        <v>0</v>
      </c>
      <c r="O808" t="n">
        <v>0</v>
      </c>
      <c r="P808" t="n">
        <v>0</v>
      </c>
      <c r="Q808" t="n">
        <v>0</v>
      </c>
      <c r="R808" s="2" t="inlineStr"/>
    </row>
    <row r="809" ht="15" customHeight="1">
      <c r="A809" t="inlineStr">
        <is>
          <t>A 19037-2024</t>
        </is>
      </c>
      <c r="B809" s="1" t="n">
        <v>45427</v>
      </c>
      <c r="C809" s="1" t="n">
        <v>45645</v>
      </c>
      <c r="D809" t="inlineStr">
        <is>
          <t>JÄMTLANDS LÄN</t>
        </is>
      </c>
      <c r="E809" t="inlineStr">
        <is>
          <t>ÖSTERSUND</t>
        </is>
      </c>
      <c r="G809" t="n">
        <v>2</v>
      </c>
      <c r="H809" t="n">
        <v>0</v>
      </c>
      <c r="I809" t="n">
        <v>0</v>
      </c>
      <c r="J809" t="n">
        <v>0</v>
      </c>
      <c r="K809" t="n">
        <v>0</v>
      </c>
      <c r="L809" t="n">
        <v>0</v>
      </c>
      <c r="M809" t="n">
        <v>0</v>
      </c>
      <c r="N809" t="n">
        <v>0</v>
      </c>
      <c r="O809" t="n">
        <v>0</v>
      </c>
      <c r="P809" t="n">
        <v>0</v>
      </c>
      <c r="Q809" t="n">
        <v>0</v>
      </c>
      <c r="R809" s="2" t="inlineStr"/>
    </row>
    <row r="810" ht="15" customHeight="1">
      <c r="A810" t="inlineStr">
        <is>
          <t>A 19138-2024</t>
        </is>
      </c>
      <c r="B810" s="1" t="n">
        <v>45428</v>
      </c>
      <c r="C810" s="1" t="n">
        <v>45645</v>
      </c>
      <c r="D810" t="inlineStr">
        <is>
          <t>JÄMTLANDS LÄN</t>
        </is>
      </c>
      <c r="E810" t="inlineStr">
        <is>
          <t>ÖSTERSUND</t>
        </is>
      </c>
      <c r="G810" t="n">
        <v>13.6</v>
      </c>
      <c r="H810" t="n">
        <v>0</v>
      </c>
      <c r="I810" t="n">
        <v>0</v>
      </c>
      <c r="J810" t="n">
        <v>0</v>
      </c>
      <c r="K810" t="n">
        <v>0</v>
      </c>
      <c r="L810" t="n">
        <v>0</v>
      </c>
      <c r="M810" t="n">
        <v>0</v>
      </c>
      <c r="N810" t="n">
        <v>0</v>
      </c>
      <c r="O810" t="n">
        <v>0</v>
      </c>
      <c r="P810" t="n">
        <v>0</v>
      </c>
      <c r="Q810" t="n">
        <v>0</v>
      </c>
      <c r="R810" s="2" t="inlineStr"/>
    </row>
    <row r="811" ht="15" customHeight="1">
      <c r="A811" t="inlineStr">
        <is>
          <t>A 19233-2024</t>
        </is>
      </c>
      <c r="B811" s="1" t="n">
        <v>45428</v>
      </c>
      <c r="C811" s="1" t="n">
        <v>45645</v>
      </c>
      <c r="D811" t="inlineStr">
        <is>
          <t>JÄMTLANDS LÄN</t>
        </is>
      </c>
      <c r="E811" t="inlineStr">
        <is>
          <t>ÖSTERSUND</t>
        </is>
      </c>
      <c r="G811" t="n">
        <v>2.2</v>
      </c>
      <c r="H811" t="n">
        <v>0</v>
      </c>
      <c r="I811" t="n">
        <v>0</v>
      </c>
      <c r="J811" t="n">
        <v>0</v>
      </c>
      <c r="K811" t="n">
        <v>0</v>
      </c>
      <c r="L811" t="n">
        <v>0</v>
      </c>
      <c r="M811" t="n">
        <v>0</v>
      </c>
      <c r="N811" t="n">
        <v>0</v>
      </c>
      <c r="O811" t="n">
        <v>0</v>
      </c>
      <c r="P811" t="n">
        <v>0</v>
      </c>
      <c r="Q811" t="n">
        <v>0</v>
      </c>
      <c r="R811" s="2" t="inlineStr"/>
    </row>
    <row r="812" ht="15" customHeight="1">
      <c r="A812" t="inlineStr">
        <is>
          <t>A 19408-2024</t>
        </is>
      </c>
      <c r="B812" s="1" t="n">
        <v>45428</v>
      </c>
      <c r="C812" s="1" t="n">
        <v>45645</v>
      </c>
      <c r="D812" t="inlineStr">
        <is>
          <t>JÄMTLANDS LÄN</t>
        </is>
      </c>
      <c r="E812" t="inlineStr">
        <is>
          <t>ÖSTERSUND</t>
        </is>
      </c>
      <c r="G812" t="n">
        <v>11.1</v>
      </c>
      <c r="H812" t="n">
        <v>0</v>
      </c>
      <c r="I812" t="n">
        <v>0</v>
      </c>
      <c r="J812" t="n">
        <v>0</v>
      </c>
      <c r="K812" t="n">
        <v>0</v>
      </c>
      <c r="L812" t="n">
        <v>0</v>
      </c>
      <c r="M812" t="n">
        <v>0</v>
      </c>
      <c r="N812" t="n">
        <v>0</v>
      </c>
      <c r="O812" t="n">
        <v>0</v>
      </c>
      <c r="P812" t="n">
        <v>0</v>
      </c>
      <c r="Q812" t="n">
        <v>0</v>
      </c>
      <c r="R812" s="2" t="inlineStr"/>
    </row>
    <row r="813" ht="15" customHeight="1">
      <c r="A813" t="inlineStr">
        <is>
          <t>A 19323-2024</t>
        </is>
      </c>
      <c r="B813" s="1" t="n">
        <v>45429</v>
      </c>
      <c r="C813" s="1" t="n">
        <v>45645</v>
      </c>
      <c r="D813" t="inlineStr">
        <is>
          <t>JÄMTLANDS LÄN</t>
        </is>
      </c>
      <c r="E813" t="inlineStr">
        <is>
          <t>ÖSTERSUND</t>
        </is>
      </c>
      <c r="F813" t="inlineStr">
        <is>
          <t>Kommuner</t>
        </is>
      </c>
      <c r="G813" t="n">
        <v>0.2</v>
      </c>
      <c r="H813" t="n">
        <v>0</v>
      </c>
      <c r="I813" t="n">
        <v>0</v>
      </c>
      <c r="J813" t="n">
        <v>0</v>
      </c>
      <c r="K813" t="n">
        <v>0</v>
      </c>
      <c r="L813" t="n">
        <v>0</v>
      </c>
      <c r="M813" t="n">
        <v>0</v>
      </c>
      <c r="N813" t="n">
        <v>0</v>
      </c>
      <c r="O813" t="n">
        <v>0</v>
      </c>
      <c r="P813" t="n">
        <v>0</v>
      </c>
      <c r="Q813" t="n">
        <v>0</v>
      </c>
      <c r="R813" s="2" t="inlineStr"/>
    </row>
    <row r="814" ht="15" customHeight="1">
      <c r="A814" t="inlineStr">
        <is>
          <t>A 19566-2024</t>
        </is>
      </c>
      <c r="B814" s="1" t="n">
        <v>45430</v>
      </c>
      <c r="C814" s="1" t="n">
        <v>45645</v>
      </c>
      <c r="D814" t="inlineStr">
        <is>
          <t>JÄMTLANDS LÄN</t>
        </is>
      </c>
      <c r="E814" t="inlineStr">
        <is>
          <t>ÖSTERSUND</t>
        </is>
      </c>
      <c r="G814" t="n">
        <v>0</v>
      </c>
      <c r="H814" t="n">
        <v>0</v>
      </c>
      <c r="I814" t="n">
        <v>0</v>
      </c>
      <c r="J814" t="n">
        <v>0</v>
      </c>
      <c r="K814" t="n">
        <v>0</v>
      </c>
      <c r="L814" t="n">
        <v>0</v>
      </c>
      <c r="M814" t="n">
        <v>0</v>
      </c>
      <c r="N814" t="n">
        <v>0</v>
      </c>
      <c r="O814" t="n">
        <v>0</v>
      </c>
      <c r="P814" t="n">
        <v>0</v>
      </c>
      <c r="Q814" t="n">
        <v>0</v>
      </c>
      <c r="R814" s="2" t="inlineStr"/>
    </row>
    <row r="815" ht="15" customHeight="1">
      <c r="A815" t="inlineStr">
        <is>
          <t>A 19570-2024</t>
        </is>
      </c>
      <c r="B815" s="1" t="n">
        <v>45430</v>
      </c>
      <c r="C815" s="1" t="n">
        <v>45645</v>
      </c>
      <c r="D815" t="inlineStr">
        <is>
          <t>JÄMTLANDS LÄN</t>
        </is>
      </c>
      <c r="E815" t="inlineStr">
        <is>
          <t>ÖSTERSUND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19725-2024</t>
        </is>
      </c>
      <c r="B816" s="1" t="n">
        <v>45432</v>
      </c>
      <c r="C816" s="1" t="n">
        <v>45645</v>
      </c>
      <c r="D816" t="inlineStr">
        <is>
          <t>JÄMTLANDS LÄN</t>
        </is>
      </c>
      <c r="E816" t="inlineStr">
        <is>
          <t>ÖSTERSUND</t>
        </is>
      </c>
      <c r="G816" t="n">
        <v>7.2</v>
      </c>
      <c r="H816" t="n">
        <v>0</v>
      </c>
      <c r="I816" t="n">
        <v>0</v>
      </c>
      <c r="J816" t="n">
        <v>0</v>
      </c>
      <c r="K816" t="n">
        <v>0</v>
      </c>
      <c r="L816" t="n">
        <v>0</v>
      </c>
      <c r="M816" t="n">
        <v>0</v>
      </c>
      <c r="N816" t="n">
        <v>0</v>
      </c>
      <c r="O816" t="n">
        <v>0</v>
      </c>
      <c r="P816" t="n">
        <v>0</v>
      </c>
      <c r="Q816" t="n">
        <v>0</v>
      </c>
      <c r="R816" s="2" t="inlineStr"/>
    </row>
    <row r="817" ht="15" customHeight="1">
      <c r="A817" t="inlineStr">
        <is>
          <t>A 20068-2024</t>
        </is>
      </c>
      <c r="B817" s="1" t="n">
        <v>45434</v>
      </c>
      <c r="C817" s="1" t="n">
        <v>45645</v>
      </c>
      <c r="D817" t="inlineStr">
        <is>
          <t>JÄMTLANDS LÄN</t>
        </is>
      </c>
      <c r="E817" t="inlineStr">
        <is>
          <t>ÖSTERSUND</t>
        </is>
      </c>
      <c r="G817" t="n">
        <v>10.2</v>
      </c>
      <c r="H817" t="n">
        <v>0</v>
      </c>
      <c r="I817" t="n">
        <v>0</v>
      </c>
      <c r="J817" t="n">
        <v>0</v>
      </c>
      <c r="K817" t="n">
        <v>0</v>
      </c>
      <c r="L817" t="n">
        <v>0</v>
      </c>
      <c r="M817" t="n">
        <v>0</v>
      </c>
      <c r="N817" t="n">
        <v>0</v>
      </c>
      <c r="O817" t="n">
        <v>0</v>
      </c>
      <c r="P817" t="n">
        <v>0</v>
      </c>
      <c r="Q817" t="n">
        <v>0</v>
      </c>
      <c r="R817" s="2" t="inlineStr"/>
    </row>
    <row r="818" ht="15" customHeight="1">
      <c r="A818" t="inlineStr">
        <is>
          <t>A 20400-2024</t>
        </is>
      </c>
      <c r="B818" s="1" t="n">
        <v>45435</v>
      </c>
      <c r="C818" s="1" t="n">
        <v>45645</v>
      </c>
      <c r="D818" t="inlineStr">
        <is>
          <t>JÄMTLANDS LÄN</t>
        </is>
      </c>
      <c r="E818" t="inlineStr">
        <is>
          <t>ÖSTERSUND</t>
        </is>
      </c>
      <c r="G818" t="n">
        <v>0.9</v>
      </c>
      <c r="H818" t="n">
        <v>0</v>
      </c>
      <c r="I818" t="n">
        <v>0</v>
      </c>
      <c r="J818" t="n">
        <v>0</v>
      </c>
      <c r="K818" t="n">
        <v>0</v>
      </c>
      <c r="L818" t="n">
        <v>0</v>
      </c>
      <c r="M818" t="n">
        <v>0</v>
      </c>
      <c r="N818" t="n">
        <v>0</v>
      </c>
      <c r="O818" t="n">
        <v>0</v>
      </c>
      <c r="P818" t="n">
        <v>0</v>
      </c>
      <c r="Q818" t="n">
        <v>0</v>
      </c>
      <c r="R818" s="2" t="inlineStr"/>
    </row>
    <row r="819" ht="15" customHeight="1">
      <c r="A819" t="inlineStr">
        <is>
          <t>A 20632-2024</t>
        </is>
      </c>
      <c r="B819" s="1" t="n">
        <v>45436</v>
      </c>
      <c r="C819" s="1" t="n">
        <v>45645</v>
      </c>
      <c r="D819" t="inlineStr">
        <is>
          <t>JÄMTLANDS LÄN</t>
        </is>
      </c>
      <c r="E819" t="inlineStr">
        <is>
          <t>ÖSTERSUND</t>
        </is>
      </c>
      <c r="G819" t="n">
        <v>5.6</v>
      </c>
      <c r="H819" t="n">
        <v>0</v>
      </c>
      <c r="I819" t="n">
        <v>0</v>
      </c>
      <c r="J819" t="n">
        <v>0</v>
      </c>
      <c r="K819" t="n">
        <v>0</v>
      </c>
      <c r="L819" t="n">
        <v>0</v>
      </c>
      <c r="M819" t="n">
        <v>0</v>
      </c>
      <c r="N819" t="n">
        <v>0</v>
      </c>
      <c r="O819" t="n">
        <v>0</v>
      </c>
      <c r="P819" t="n">
        <v>0</v>
      </c>
      <c r="Q819" t="n">
        <v>0</v>
      </c>
      <c r="R819" s="2" t="inlineStr"/>
    </row>
    <row r="820" ht="15" customHeight="1">
      <c r="A820" t="inlineStr">
        <is>
          <t>A 20629-2024</t>
        </is>
      </c>
      <c r="B820" s="1" t="n">
        <v>45436</v>
      </c>
      <c r="C820" s="1" t="n">
        <v>45645</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20736-2024</t>
        </is>
      </c>
      <c r="B821" s="1" t="n">
        <v>45436</v>
      </c>
      <c r="C821" s="1" t="n">
        <v>45645</v>
      </c>
      <c r="D821" t="inlineStr">
        <is>
          <t>JÄMTLANDS LÄN</t>
        </is>
      </c>
      <c r="E821" t="inlineStr">
        <is>
          <t>ÖSTERSUND</t>
        </is>
      </c>
      <c r="G821" t="n">
        <v>5.3</v>
      </c>
      <c r="H821" t="n">
        <v>0</v>
      </c>
      <c r="I821" t="n">
        <v>0</v>
      </c>
      <c r="J821" t="n">
        <v>0</v>
      </c>
      <c r="K821" t="n">
        <v>0</v>
      </c>
      <c r="L821" t="n">
        <v>0</v>
      </c>
      <c r="M821" t="n">
        <v>0</v>
      </c>
      <c r="N821" t="n">
        <v>0</v>
      </c>
      <c r="O821" t="n">
        <v>0</v>
      </c>
      <c r="P821" t="n">
        <v>0</v>
      </c>
      <c r="Q821" t="n">
        <v>0</v>
      </c>
      <c r="R821" s="2" t="inlineStr"/>
    </row>
    <row r="822" ht="15" customHeight="1">
      <c r="A822" t="inlineStr">
        <is>
          <t>A 21094-2024</t>
        </is>
      </c>
      <c r="B822" s="1" t="n">
        <v>45440</v>
      </c>
      <c r="C822" s="1" t="n">
        <v>45645</v>
      </c>
      <c r="D822" t="inlineStr">
        <is>
          <t>JÄMTLANDS LÄN</t>
        </is>
      </c>
      <c r="E822" t="inlineStr">
        <is>
          <t>ÖSTERSUND</t>
        </is>
      </c>
      <c r="F822" t="inlineStr">
        <is>
          <t>SCA</t>
        </is>
      </c>
      <c r="G822" t="n">
        <v>7.6</v>
      </c>
      <c r="H822" t="n">
        <v>0</v>
      </c>
      <c r="I822" t="n">
        <v>0</v>
      </c>
      <c r="J822" t="n">
        <v>0</v>
      </c>
      <c r="K822" t="n">
        <v>0</v>
      </c>
      <c r="L822" t="n">
        <v>0</v>
      </c>
      <c r="M822" t="n">
        <v>0</v>
      </c>
      <c r="N822" t="n">
        <v>0</v>
      </c>
      <c r="O822" t="n">
        <v>0</v>
      </c>
      <c r="P822" t="n">
        <v>0</v>
      </c>
      <c r="Q822" t="n">
        <v>0</v>
      </c>
      <c r="R822" s="2" t="inlineStr"/>
    </row>
    <row r="823" ht="15" customHeight="1">
      <c r="A823" t="inlineStr">
        <is>
          <t>A 21093-2024</t>
        </is>
      </c>
      <c r="B823" s="1" t="n">
        <v>45440</v>
      </c>
      <c r="C823" s="1" t="n">
        <v>45645</v>
      </c>
      <c r="D823" t="inlineStr">
        <is>
          <t>JÄMTLANDS LÄN</t>
        </is>
      </c>
      <c r="E823" t="inlineStr">
        <is>
          <t>ÖSTERSUND</t>
        </is>
      </c>
      <c r="F823" t="inlineStr">
        <is>
          <t>SCA</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21373-2024</t>
        </is>
      </c>
      <c r="B824" s="1" t="n">
        <v>45441</v>
      </c>
      <c r="C824" s="1" t="n">
        <v>45645</v>
      </c>
      <c r="D824" t="inlineStr">
        <is>
          <t>JÄMTLANDS LÄN</t>
        </is>
      </c>
      <c r="E824" t="inlineStr">
        <is>
          <t>ÖSTERSUND</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21822-2024</t>
        </is>
      </c>
      <c r="B825" s="1" t="n">
        <v>45442</v>
      </c>
      <c r="C825" s="1" t="n">
        <v>45645</v>
      </c>
      <c r="D825" t="inlineStr">
        <is>
          <t>JÄMTLANDS LÄN</t>
        </is>
      </c>
      <c r="E825" t="inlineStr">
        <is>
          <t>ÖSTERSUND</t>
        </is>
      </c>
      <c r="G825" t="n">
        <v>5.1</v>
      </c>
      <c r="H825" t="n">
        <v>0</v>
      </c>
      <c r="I825" t="n">
        <v>0</v>
      </c>
      <c r="J825" t="n">
        <v>0</v>
      </c>
      <c r="K825" t="n">
        <v>0</v>
      </c>
      <c r="L825" t="n">
        <v>0</v>
      </c>
      <c r="M825" t="n">
        <v>0</v>
      </c>
      <c r="N825" t="n">
        <v>0</v>
      </c>
      <c r="O825" t="n">
        <v>0</v>
      </c>
      <c r="P825" t="n">
        <v>0</v>
      </c>
      <c r="Q825" t="n">
        <v>0</v>
      </c>
      <c r="R825" s="2" t="inlineStr"/>
    </row>
    <row r="826" ht="15" customHeight="1">
      <c r="A826" t="inlineStr">
        <is>
          <t>A 21667-2024</t>
        </is>
      </c>
      <c r="B826" s="1" t="n">
        <v>45442</v>
      </c>
      <c r="C826" s="1" t="n">
        <v>45645</v>
      </c>
      <c r="D826" t="inlineStr">
        <is>
          <t>JÄMTLANDS LÄN</t>
        </is>
      </c>
      <c r="E826" t="inlineStr">
        <is>
          <t>ÖSTERSUND</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22123-2024</t>
        </is>
      </c>
      <c r="B827" s="1" t="n">
        <v>45444</v>
      </c>
      <c r="C827" s="1" t="n">
        <v>45645</v>
      </c>
      <c r="D827" t="inlineStr">
        <is>
          <t>JÄMTLANDS LÄN</t>
        </is>
      </c>
      <c r="E827" t="inlineStr">
        <is>
          <t>ÖSTERSUND</t>
        </is>
      </c>
      <c r="G827" t="n">
        <v>5.1</v>
      </c>
      <c r="H827" t="n">
        <v>0</v>
      </c>
      <c r="I827" t="n">
        <v>0</v>
      </c>
      <c r="J827" t="n">
        <v>0</v>
      </c>
      <c r="K827" t="n">
        <v>0</v>
      </c>
      <c r="L827" t="n">
        <v>0</v>
      </c>
      <c r="M827" t="n">
        <v>0</v>
      </c>
      <c r="N827" t="n">
        <v>0</v>
      </c>
      <c r="O827" t="n">
        <v>0</v>
      </c>
      <c r="P827" t="n">
        <v>0</v>
      </c>
      <c r="Q827" t="n">
        <v>0</v>
      </c>
      <c r="R827" s="2" t="inlineStr"/>
    </row>
    <row r="828" ht="15" customHeight="1">
      <c r="A828" t="inlineStr">
        <is>
          <t>A 22478-2024</t>
        </is>
      </c>
      <c r="B828" s="1" t="n">
        <v>45447</v>
      </c>
      <c r="C828" s="1" t="n">
        <v>45645</v>
      </c>
      <c r="D828" t="inlineStr">
        <is>
          <t>JÄMTLANDS LÄN</t>
        </is>
      </c>
      <c r="E828" t="inlineStr">
        <is>
          <t>ÖSTERSUND</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23124-2024</t>
        </is>
      </c>
      <c r="B829" s="1" t="n">
        <v>45450</v>
      </c>
      <c r="C829" s="1" t="n">
        <v>45645</v>
      </c>
      <c r="D829" t="inlineStr">
        <is>
          <t>JÄMTLANDS LÄN</t>
        </is>
      </c>
      <c r="E829" t="inlineStr">
        <is>
          <t>ÖSTERSUND</t>
        </is>
      </c>
      <c r="G829" t="n">
        <v>5.8</v>
      </c>
      <c r="H829" t="n">
        <v>0</v>
      </c>
      <c r="I829" t="n">
        <v>0</v>
      </c>
      <c r="J829" t="n">
        <v>0</v>
      </c>
      <c r="K829" t="n">
        <v>0</v>
      </c>
      <c r="L829" t="n">
        <v>0</v>
      </c>
      <c r="M829" t="n">
        <v>0</v>
      </c>
      <c r="N829" t="n">
        <v>0</v>
      </c>
      <c r="O829" t="n">
        <v>0</v>
      </c>
      <c r="P829" t="n">
        <v>0</v>
      </c>
      <c r="Q829" t="n">
        <v>0</v>
      </c>
      <c r="R829" s="2" t="inlineStr"/>
    </row>
    <row r="830" ht="15" customHeight="1">
      <c r="A830" t="inlineStr">
        <is>
          <t>A 23191-2024</t>
        </is>
      </c>
      <c r="B830" s="1" t="n">
        <v>45450</v>
      </c>
      <c r="C830" s="1" t="n">
        <v>45645</v>
      </c>
      <c r="D830" t="inlineStr">
        <is>
          <t>JÄMTLANDS LÄN</t>
        </is>
      </c>
      <c r="E830" t="inlineStr">
        <is>
          <t>ÖSTERSUND</t>
        </is>
      </c>
      <c r="G830" t="n">
        <v>7</v>
      </c>
      <c r="H830" t="n">
        <v>0</v>
      </c>
      <c r="I830" t="n">
        <v>0</v>
      </c>
      <c r="J830" t="n">
        <v>0</v>
      </c>
      <c r="K830" t="n">
        <v>0</v>
      </c>
      <c r="L830" t="n">
        <v>0</v>
      </c>
      <c r="M830" t="n">
        <v>0</v>
      </c>
      <c r="N830" t="n">
        <v>0</v>
      </c>
      <c r="O830" t="n">
        <v>0</v>
      </c>
      <c r="P830" t="n">
        <v>0</v>
      </c>
      <c r="Q830" t="n">
        <v>0</v>
      </c>
      <c r="R830" s="2" t="inlineStr"/>
    </row>
    <row r="831" ht="15" customHeight="1">
      <c r="A831" t="inlineStr">
        <is>
          <t>A 23492-2024</t>
        </is>
      </c>
      <c r="B831" s="1" t="n">
        <v>45453</v>
      </c>
      <c r="C831" s="1" t="n">
        <v>45645</v>
      </c>
      <c r="D831" t="inlineStr">
        <is>
          <t>JÄMTLANDS LÄN</t>
        </is>
      </c>
      <c r="E831" t="inlineStr">
        <is>
          <t>ÖSTERSUND</t>
        </is>
      </c>
      <c r="G831" t="n">
        <v>9.1</v>
      </c>
      <c r="H831" t="n">
        <v>0</v>
      </c>
      <c r="I831" t="n">
        <v>0</v>
      </c>
      <c r="J831" t="n">
        <v>0</v>
      </c>
      <c r="K831" t="n">
        <v>0</v>
      </c>
      <c r="L831" t="n">
        <v>0</v>
      </c>
      <c r="M831" t="n">
        <v>0</v>
      </c>
      <c r="N831" t="n">
        <v>0</v>
      </c>
      <c r="O831" t="n">
        <v>0</v>
      </c>
      <c r="P831" t="n">
        <v>0</v>
      </c>
      <c r="Q831" t="n">
        <v>0</v>
      </c>
      <c r="R831" s="2" t="inlineStr"/>
    </row>
    <row r="832" ht="15" customHeight="1">
      <c r="A832" t="inlineStr">
        <is>
          <t>A 24246-2024</t>
        </is>
      </c>
      <c r="B832" s="1" t="n">
        <v>45457</v>
      </c>
      <c r="C832" s="1" t="n">
        <v>45645</v>
      </c>
      <c r="D832" t="inlineStr">
        <is>
          <t>JÄMTLANDS LÄN</t>
        </is>
      </c>
      <c r="E832" t="inlineStr">
        <is>
          <t>ÖSTERSUND</t>
        </is>
      </c>
      <c r="G832" t="n">
        <v>5.3</v>
      </c>
      <c r="H832" t="n">
        <v>0</v>
      </c>
      <c r="I832" t="n">
        <v>0</v>
      </c>
      <c r="J832" t="n">
        <v>0</v>
      </c>
      <c r="K832" t="n">
        <v>0</v>
      </c>
      <c r="L832" t="n">
        <v>0</v>
      </c>
      <c r="M832" t="n">
        <v>0</v>
      </c>
      <c r="N832" t="n">
        <v>0</v>
      </c>
      <c r="O832" t="n">
        <v>0</v>
      </c>
      <c r="P832" t="n">
        <v>0</v>
      </c>
      <c r="Q832" t="n">
        <v>0</v>
      </c>
      <c r="R832" s="2" t="inlineStr"/>
    </row>
    <row r="833" ht="15" customHeight="1">
      <c r="A833" t="inlineStr">
        <is>
          <t>A 24781-2024</t>
        </is>
      </c>
      <c r="B833" s="1" t="n">
        <v>45460</v>
      </c>
      <c r="C833" s="1" t="n">
        <v>45645</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24786-2024</t>
        </is>
      </c>
      <c r="B834" s="1" t="n">
        <v>45460</v>
      </c>
      <c r="C834" s="1" t="n">
        <v>45645</v>
      </c>
      <c r="D834" t="inlineStr">
        <is>
          <t>JÄMTLANDS LÄN</t>
        </is>
      </c>
      <c r="E834" t="inlineStr">
        <is>
          <t>ÖSTERSUND</t>
        </is>
      </c>
      <c r="G834" t="n">
        <v>0.1</v>
      </c>
      <c r="H834" t="n">
        <v>0</v>
      </c>
      <c r="I834" t="n">
        <v>0</v>
      </c>
      <c r="J834" t="n">
        <v>0</v>
      </c>
      <c r="K834" t="n">
        <v>0</v>
      </c>
      <c r="L834" t="n">
        <v>0</v>
      </c>
      <c r="M834" t="n">
        <v>0</v>
      </c>
      <c r="N834" t="n">
        <v>0</v>
      </c>
      <c r="O834" t="n">
        <v>0</v>
      </c>
      <c r="P834" t="n">
        <v>0</v>
      </c>
      <c r="Q834" t="n">
        <v>0</v>
      </c>
      <c r="R834" s="2" t="inlineStr"/>
    </row>
    <row r="835" ht="15" customHeight="1">
      <c r="A835" t="inlineStr">
        <is>
          <t>A 24605-2024</t>
        </is>
      </c>
      <c r="B835" s="1" t="n">
        <v>45460</v>
      </c>
      <c r="C835" s="1" t="n">
        <v>45645</v>
      </c>
      <c r="D835" t="inlineStr">
        <is>
          <t>JÄMTLANDS LÄN</t>
        </is>
      </c>
      <c r="E835" t="inlineStr">
        <is>
          <t>ÖSTERSUND</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25388-2024</t>
        </is>
      </c>
      <c r="B836" s="1" t="n">
        <v>45463</v>
      </c>
      <c r="C836" s="1" t="n">
        <v>45645</v>
      </c>
      <c r="D836" t="inlineStr">
        <is>
          <t>JÄMTLANDS LÄN</t>
        </is>
      </c>
      <c r="E836" t="inlineStr">
        <is>
          <t>ÖSTERSUND</t>
        </is>
      </c>
      <c r="G836" t="n">
        <v>2.7</v>
      </c>
      <c r="H836" t="n">
        <v>0</v>
      </c>
      <c r="I836" t="n">
        <v>0</v>
      </c>
      <c r="J836" t="n">
        <v>0</v>
      </c>
      <c r="K836" t="n">
        <v>0</v>
      </c>
      <c r="L836" t="n">
        <v>0</v>
      </c>
      <c r="M836" t="n">
        <v>0</v>
      </c>
      <c r="N836" t="n">
        <v>0</v>
      </c>
      <c r="O836" t="n">
        <v>0</v>
      </c>
      <c r="P836" t="n">
        <v>0</v>
      </c>
      <c r="Q836" t="n">
        <v>0</v>
      </c>
      <c r="R836" s="2" t="inlineStr"/>
    </row>
    <row r="837" ht="15" customHeight="1">
      <c r="A837" t="inlineStr">
        <is>
          <t>A 25385-2024</t>
        </is>
      </c>
      <c r="B837" s="1" t="n">
        <v>45463</v>
      </c>
      <c r="C837" s="1" t="n">
        <v>45645</v>
      </c>
      <c r="D837" t="inlineStr">
        <is>
          <t>JÄMTLANDS LÄN</t>
        </is>
      </c>
      <c r="E837" t="inlineStr">
        <is>
          <t>ÖSTERSUND</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25187-2024</t>
        </is>
      </c>
      <c r="B838" s="1" t="n">
        <v>45462</v>
      </c>
      <c r="C838" s="1" t="n">
        <v>45645</v>
      </c>
      <c r="D838" t="inlineStr">
        <is>
          <t>JÄMTLANDS LÄN</t>
        </is>
      </c>
      <c r="E838" t="inlineStr">
        <is>
          <t>ÖSTERSUND</t>
        </is>
      </c>
      <c r="G838" t="n">
        <v>2.4</v>
      </c>
      <c r="H838" t="n">
        <v>0</v>
      </c>
      <c r="I838" t="n">
        <v>0</v>
      </c>
      <c r="J838" t="n">
        <v>0</v>
      </c>
      <c r="K838" t="n">
        <v>0</v>
      </c>
      <c r="L838" t="n">
        <v>0</v>
      </c>
      <c r="M838" t="n">
        <v>0</v>
      </c>
      <c r="N838" t="n">
        <v>0</v>
      </c>
      <c r="O838" t="n">
        <v>0</v>
      </c>
      <c r="P838" t="n">
        <v>0</v>
      </c>
      <c r="Q838" t="n">
        <v>0</v>
      </c>
      <c r="R838" s="2" t="inlineStr"/>
    </row>
    <row r="839" ht="15" customHeight="1">
      <c r="A839" t="inlineStr">
        <is>
          <t>A 26202-2024</t>
        </is>
      </c>
      <c r="B839" s="1" t="n">
        <v>45468</v>
      </c>
      <c r="C839" s="1" t="n">
        <v>45645</v>
      </c>
      <c r="D839" t="inlineStr">
        <is>
          <t>JÄMTLANDS LÄN</t>
        </is>
      </c>
      <c r="E839" t="inlineStr">
        <is>
          <t>ÖSTERSUND</t>
        </is>
      </c>
      <c r="G839" t="n">
        <v>6.7</v>
      </c>
      <c r="H839" t="n">
        <v>0</v>
      </c>
      <c r="I839" t="n">
        <v>0</v>
      </c>
      <c r="J839" t="n">
        <v>0</v>
      </c>
      <c r="K839" t="n">
        <v>0</v>
      </c>
      <c r="L839" t="n">
        <v>0</v>
      </c>
      <c r="M839" t="n">
        <v>0</v>
      </c>
      <c r="N839" t="n">
        <v>0</v>
      </c>
      <c r="O839" t="n">
        <v>0</v>
      </c>
      <c r="P839" t="n">
        <v>0</v>
      </c>
      <c r="Q839" t="n">
        <v>0</v>
      </c>
      <c r="R839" s="2" t="inlineStr"/>
    </row>
    <row r="840" ht="15" customHeight="1">
      <c r="A840" t="inlineStr">
        <is>
          <t>A 27906-2024</t>
        </is>
      </c>
      <c r="B840" s="1" t="n">
        <v>45476</v>
      </c>
      <c r="C840" s="1" t="n">
        <v>45645</v>
      </c>
      <c r="D840" t="inlineStr">
        <is>
          <t>JÄMTLANDS LÄN</t>
        </is>
      </c>
      <c r="E840" t="inlineStr">
        <is>
          <t>ÖSTERSUND</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27689-2024</t>
        </is>
      </c>
      <c r="B841" s="1" t="n">
        <v>45475</v>
      </c>
      <c r="C841" s="1" t="n">
        <v>45645</v>
      </c>
      <c r="D841" t="inlineStr">
        <is>
          <t>JÄMTLANDS LÄN</t>
        </is>
      </c>
      <c r="E841" t="inlineStr">
        <is>
          <t>ÖSTERSUND</t>
        </is>
      </c>
      <c r="G841" t="n">
        <v>0.6</v>
      </c>
      <c r="H841" t="n">
        <v>0</v>
      </c>
      <c r="I841" t="n">
        <v>0</v>
      </c>
      <c r="J841" t="n">
        <v>0</v>
      </c>
      <c r="K841" t="n">
        <v>0</v>
      </c>
      <c r="L841" t="n">
        <v>0</v>
      </c>
      <c r="M841" t="n">
        <v>0</v>
      </c>
      <c r="N841" t="n">
        <v>0</v>
      </c>
      <c r="O841" t="n">
        <v>0</v>
      </c>
      <c r="P841" t="n">
        <v>0</v>
      </c>
      <c r="Q841" t="n">
        <v>0</v>
      </c>
      <c r="R841" s="2" t="inlineStr"/>
    </row>
    <row r="842" ht="15" customHeight="1">
      <c r="A842" t="inlineStr">
        <is>
          <t>A 27764-2024</t>
        </is>
      </c>
      <c r="B842" s="1" t="n">
        <v>45475</v>
      </c>
      <c r="C842" s="1" t="n">
        <v>45645</v>
      </c>
      <c r="D842" t="inlineStr">
        <is>
          <t>JÄMTLANDS LÄN</t>
        </is>
      </c>
      <c r="E842" t="inlineStr">
        <is>
          <t>ÖSTERSUND</t>
        </is>
      </c>
      <c r="G842" t="n">
        <v>2.8</v>
      </c>
      <c r="H842" t="n">
        <v>0</v>
      </c>
      <c r="I842" t="n">
        <v>0</v>
      </c>
      <c r="J842" t="n">
        <v>0</v>
      </c>
      <c r="K842" t="n">
        <v>0</v>
      </c>
      <c r="L842" t="n">
        <v>0</v>
      </c>
      <c r="M842" t="n">
        <v>0</v>
      </c>
      <c r="N842" t="n">
        <v>0</v>
      </c>
      <c r="O842" t="n">
        <v>0</v>
      </c>
      <c r="P842" t="n">
        <v>0</v>
      </c>
      <c r="Q842" t="n">
        <v>0</v>
      </c>
      <c r="R842" s="2" t="inlineStr"/>
    </row>
    <row r="843" ht="15" customHeight="1">
      <c r="A843" t="inlineStr">
        <is>
          <t>A 27779-2024</t>
        </is>
      </c>
      <c r="B843" s="1" t="n">
        <v>45475</v>
      </c>
      <c r="C843" s="1" t="n">
        <v>45645</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28277-2024</t>
        </is>
      </c>
      <c r="B844" s="1" t="n">
        <v>45477</v>
      </c>
      <c r="C844" s="1" t="n">
        <v>45645</v>
      </c>
      <c r="D844" t="inlineStr">
        <is>
          <t>JÄMTLANDS LÄN</t>
        </is>
      </c>
      <c r="E844" t="inlineStr">
        <is>
          <t>ÖSTERSUND</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28179-2024</t>
        </is>
      </c>
      <c r="B845" s="1" t="n">
        <v>45477</v>
      </c>
      <c r="C845" s="1" t="n">
        <v>45645</v>
      </c>
      <c r="D845" t="inlineStr">
        <is>
          <t>JÄMTLANDS LÄN</t>
        </is>
      </c>
      <c r="E845" t="inlineStr">
        <is>
          <t>ÖSTERSUND</t>
        </is>
      </c>
      <c r="G845" t="n">
        <v>2.2</v>
      </c>
      <c r="H845" t="n">
        <v>0</v>
      </c>
      <c r="I845" t="n">
        <v>0</v>
      </c>
      <c r="J845" t="n">
        <v>0</v>
      </c>
      <c r="K845" t="n">
        <v>0</v>
      </c>
      <c r="L845" t="n">
        <v>0</v>
      </c>
      <c r="M845" t="n">
        <v>0</v>
      </c>
      <c r="N845" t="n">
        <v>0</v>
      </c>
      <c r="O845" t="n">
        <v>0</v>
      </c>
      <c r="P845" t="n">
        <v>0</v>
      </c>
      <c r="Q845" t="n">
        <v>0</v>
      </c>
      <c r="R845" s="2" t="inlineStr"/>
    </row>
    <row r="846" ht="15" customHeight="1">
      <c r="A846" t="inlineStr">
        <is>
          <t>A 28180-2024</t>
        </is>
      </c>
      <c r="B846" s="1" t="n">
        <v>45477</v>
      </c>
      <c r="C846" s="1" t="n">
        <v>45645</v>
      </c>
      <c r="D846" t="inlineStr">
        <is>
          <t>JÄMTLANDS LÄN</t>
        </is>
      </c>
      <c r="E846" t="inlineStr">
        <is>
          <t>ÖSTERSUND</t>
        </is>
      </c>
      <c r="G846" t="n">
        <v>2.6</v>
      </c>
      <c r="H846" t="n">
        <v>0</v>
      </c>
      <c r="I846" t="n">
        <v>0</v>
      </c>
      <c r="J846" t="n">
        <v>0</v>
      </c>
      <c r="K846" t="n">
        <v>0</v>
      </c>
      <c r="L846" t="n">
        <v>0</v>
      </c>
      <c r="M846" t="n">
        <v>0</v>
      </c>
      <c r="N846" t="n">
        <v>0</v>
      </c>
      <c r="O846" t="n">
        <v>0</v>
      </c>
      <c r="P846" t="n">
        <v>0</v>
      </c>
      <c r="Q846" t="n">
        <v>0</v>
      </c>
      <c r="R846" s="2" t="inlineStr"/>
    </row>
    <row r="847" ht="15" customHeight="1">
      <c r="A847" t="inlineStr">
        <is>
          <t>A 28181-2024</t>
        </is>
      </c>
      <c r="B847" s="1" t="n">
        <v>45477</v>
      </c>
      <c r="C847" s="1" t="n">
        <v>45645</v>
      </c>
      <c r="D847" t="inlineStr">
        <is>
          <t>JÄMTLANDS LÄN</t>
        </is>
      </c>
      <c r="E847" t="inlineStr">
        <is>
          <t>ÖSTERSUND</t>
        </is>
      </c>
      <c r="G847" t="n">
        <v>0.7</v>
      </c>
      <c r="H847" t="n">
        <v>0</v>
      </c>
      <c r="I847" t="n">
        <v>0</v>
      </c>
      <c r="J847" t="n">
        <v>0</v>
      </c>
      <c r="K847" t="n">
        <v>0</v>
      </c>
      <c r="L847" t="n">
        <v>0</v>
      </c>
      <c r="M847" t="n">
        <v>0</v>
      </c>
      <c r="N847" t="n">
        <v>0</v>
      </c>
      <c r="O847" t="n">
        <v>0</v>
      </c>
      <c r="P847" t="n">
        <v>0</v>
      </c>
      <c r="Q847" t="n">
        <v>0</v>
      </c>
      <c r="R847" s="2" t="inlineStr"/>
    </row>
    <row r="848" ht="15" customHeight="1">
      <c r="A848" t="inlineStr">
        <is>
          <t>A 28543-2024</t>
        </is>
      </c>
      <c r="B848" s="1" t="n">
        <v>45478</v>
      </c>
      <c r="C848" s="1" t="n">
        <v>45645</v>
      </c>
      <c r="D848" t="inlineStr">
        <is>
          <t>JÄMTLANDS LÄN</t>
        </is>
      </c>
      <c r="E848" t="inlineStr">
        <is>
          <t>ÖSTERSUND</t>
        </is>
      </c>
      <c r="G848" t="n">
        <v>5.6</v>
      </c>
      <c r="H848" t="n">
        <v>0</v>
      </c>
      <c r="I848" t="n">
        <v>0</v>
      </c>
      <c r="J848" t="n">
        <v>0</v>
      </c>
      <c r="K848" t="n">
        <v>0</v>
      </c>
      <c r="L848" t="n">
        <v>0</v>
      </c>
      <c r="M848" t="n">
        <v>0</v>
      </c>
      <c r="N848" t="n">
        <v>0</v>
      </c>
      <c r="O848" t="n">
        <v>0</v>
      </c>
      <c r="P848" t="n">
        <v>0</v>
      </c>
      <c r="Q848" t="n">
        <v>0</v>
      </c>
      <c r="R848" s="2" t="inlineStr"/>
    </row>
    <row r="849" ht="15" customHeight="1">
      <c r="A849" t="inlineStr">
        <is>
          <t>A 29496-2024</t>
        </is>
      </c>
      <c r="B849" s="1" t="n">
        <v>45484</v>
      </c>
      <c r="C849" s="1" t="n">
        <v>45645</v>
      </c>
      <c r="D849" t="inlineStr">
        <is>
          <t>JÄMTLANDS LÄN</t>
        </is>
      </c>
      <c r="E849" t="inlineStr">
        <is>
          <t>ÖSTERSUND</t>
        </is>
      </c>
      <c r="G849" t="n">
        <v>4.3</v>
      </c>
      <c r="H849" t="n">
        <v>0</v>
      </c>
      <c r="I849" t="n">
        <v>0</v>
      </c>
      <c r="J849" t="n">
        <v>0</v>
      </c>
      <c r="K849" t="n">
        <v>0</v>
      </c>
      <c r="L849" t="n">
        <v>0</v>
      </c>
      <c r="M849" t="n">
        <v>0</v>
      </c>
      <c r="N849" t="n">
        <v>0</v>
      </c>
      <c r="O849" t="n">
        <v>0</v>
      </c>
      <c r="P849" t="n">
        <v>0</v>
      </c>
      <c r="Q849" t="n">
        <v>0</v>
      </c>
      <c r="R849" s="2" t="inlineStr"/>
    </row>
    <row r="850" ht="15" customHeight="1">
      <c r="A850" t="inlineStr">
        <is>
          <t>A 30539-2024</t>
        </is>
      </c>
      <c r="B850" s="1" t="n">
        <v>45492</v>
      </c>
      <c r="C850" s="1" t="n">
        <v>45645</v>
      </c>
      <c r="D850" t="inlineStr">
        <is>
          <t>JÄMTLANDS LÄN</t>
        </is>
      </c>
      <c r="E850" t="inlineStr">
        <is>
          <t>ÖSTERSUND</t>
        </is>
      </c>
      <c r="G850" t="n">
        <v>4.9</v>
      </c>
      <c r="H850" t="n">
        <v>0</v>
      </c>
      <c r="I850" t="n">
        <v>0</v>
      </c>
      <c r="J850" t="n">
        <v>0</v>
      </c>
      <c r="K850" t="n">
        <v>0</v>
      </c>
      <c r="L850" t="n">
        <v>0</v>
      </c>
      <c r="M850" t="n">
        <v>0</v>
      </c>
      <c r="N850" t="n">
        <v>0</v>
      </c>
      <c r="O850" t="n">
        <v>0</v>
      </c>
      <c r="P850" t="n">
        <v>0</v>
      </c>
      <c r="Q850" t="n">
        <v>0</v>
      </c>
      <c r="R850" s="2" t="inlineStr"/>
    </row>
    <row r="851" ht="15" customHeight="1">
      <c r="A851" t="inlineStr">
        <is>
          <t>A 30821-2024</t>
        </is>
      </c>
      <c r="B851" s="1" t="n">
        <v>45497</v>
      </c>
      <c r="C851" s="1" t="n">
        <v>45645</v>
      </c>
      <c r="D851" t="inlineStr">
        <is>
          <t>JÄMTLANDS LÄN</t>
        </is>
      </c>
      <c r="E851" t="inlineStr">
        <is>
          <t>ÖSTERSUND</t>
        </is>
      </c>
      <c r="G851" t="n">
        <v>3.4</v>
      </c>
      <c r="H851" t="n">
        <v>0</v>
      </c>
      <c r="I851" t="n">
        <v>0</v>
      </c>
      <c r="J851" t="n">
        <v>0</v>
      </c>
      <c r="K851" t="n">
        <v>0</v>
      </c>
      <c r="L851" t="n">
        <v>0</v>
      </c>
      <c r="M851" t="n">
        <v>0</v>
      </c>
      <c r="N851" t="n">
        <v>0</v>
      </c>
      <c r="O851" t="n">
        <v>0</v>
      </c>
      <c r="P851" t="n">
        <v>0</v>
      </c>
      <c r="Q851" t="n">
        <v>0</v>
      </c>
      <c r="R851" s="2" t="inlineStr"/>
    </row>
    <row r="852" ht="15" customHeight="1">
      <c r="A852" t="inlineStr">
        <is>
          <t>A 31448-2024</t>
        </is>
      </c>
      <c r="B852" s="1" t="n">
        <v>45506</v>
      </c>
      <c r="C852" s="1" t="n">
        <v>45645</v>
      </c>
      <c r="D852" t="inlineStr">
        <is>
          <t>JÄMTLANDS LÄN</t>
        </is>
      </c>
      <c r="E852" t="inlineStr">
        <is>
          <t>ÖSTERSUND</t>
        </is>
      </c>
      <c r="G852" t="n">
        <v>10</v>
      </c>
      <c r="H852" t="n">
        <v>0</v>
      </c>
      <c r="I852" t="n">
        <v>0</v>
      </c>
      <c r="J852" t="n">
        <v>0</v>
      </c>
      <c r="K852" t="n">
        <v>0</v>
      </c>
      <c r="L852" t="n">
        <v>0</v>
      </c>
      <c r="M852" t="n">
        <v>0</v>
      </c>
      <c r="N852" t="n">
        <v>0</v>
      </c>
      <c r="O852" t="n">
        <v>0</v>
      </c>
      <c r="P852" t="n">
        <v>0</v>
      </c>
      <c r="Q852" t="n">
        <v>0</v>
      </c>
      <c r="R852" s="2" t="inlineStr"/>
    </row>
    <row r="853" ht="15" customHeight="1">
      <c r="A853" t="inlineStr">
        <is>
          <t>A 31464-2024</t>
        </is>
      </c>
      <c r="B853" s="1" t="n">
        <v>45506</v>
      </c>
      <c r="C853" s="1" t="n">
        <v>45645</v>
      </c>
      <c r="D853" t="inlineStr">
        <is>
          <t>JÄMTLANDS LÄN</t>
        </is>
      </c>
      <c r="E853" t="inlineStr">
        <is>
          <t>ÖSTERSUND</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31446-2024</t>
        </is>
      </c>
      <c r="B854" s="1" t="n">
        <v>45506</v>
      </c>
      <c r="C854" s="1" t="n">
        <v>45645</v>
      </c>
      <c r="D854" t="inlineStr">
        <is>
          <t>JÄMTLANDS LÄN</t>
        </is>
      </c>
      <c r="E854" t="inlineStr">
        <is>
          <t>ÖSTERSUND</t>
        </is>
      </c>
      <c r="G854" t="n">
        <v>5.5</v>
      </c>
      <c r="H854" t="n">
        <v>0</v>
      </c>
      <c r="I854" t="n">
        <v>0</v>
      </c>
      <c r="J854" t="n">
        <v>0</v>
      </c>
      <c r="K854" t="n">
        <v>0</v>
      </c>
      <c r="L854" t="n">
        <v>0</v>
      </c>
      <c r="M854" t="n">
        <v>0</v>
      </c>
      <c r="N854" t="n">
        <v>0</v>
      </c>
      <c r="O854" t="n">
        <v>0</v>
      </c>
      <c r="P854" t="n">
        <v>0</v>
      </c>
      <c r="Q854" t="n">
        <v>0</v>
      </c>
      <c r="R854" s="2" t="inlineStr"/>
    </row>
    <row r="855" ht="15" customHeight="1">
      <c r="A855" t="inlineStr">
        <is>
          <t>A 31445-2024</t>
        </is>
      </c>
      <c r="B855" s="1" t="n">
        <v>45506</v>
      </c>
      <c r="C855" s="1" t="n">
        <v>45645</v>
      </c>
      <c r="D855" t="inlineStr">
        <is>
          <t>JÄMTLANDS LÄN</t>
        </is>
      </c>
      <c r="E855" t="inlineStr">
        <is>
          <t>ÖSTERSUND</t>
        </is>
      </c>
      <c r="G855" t="n">
        <v>0.8</v>
      </c>
      <c r="H855" t="n">
        <v>0</v>
      </c>
      <c r="I855" t="n">
        <v>0</v>
      </c>
      <c r="J855" t="n">
        <v>0</v>
      </c>
      <c r="K855" t="n">
        <v>0</v>
      </c>
      <c r="L855" t="n">
        <v>0</v>
      </c>
      <c r="M855" t="n">
        <v>0</v>
      </c>
      <c r="N855" t="n">
        <v>0</v>
      </c>
      <c r="O855" t="n">
        <v>0</v>
      </c>
      <c r="P855" t="n">
        <v>0</v>
      </c>
      <c r="Q855" t="n">
        <v>0</v>
      </c>
      <c r="R855" s="2" t="inlineStr"/>
    </row>
    <row r="856" ht="15" customHeight="1">
      <c r="A856" t="inlineStr">
        <is>
          <t>A 32224-2024</t>
        </is>
      </c>
      <c r="B856" s="1" t="n">
        <v>45512</v>
      </c>
      <c r="C856" s="1" t="n">
        <v>45645</v>
      </c>
      <c r="D856" t="inlineStr">
        <is>
          <t>JÄMTLANDS LÄN</t>
        </is>
      </c>
      <c r="E856" t="inlineStr">
        <is>
          <t>ÖSTERSUND</t>
        </is>
      </c>
      <c r="G856" t="n">
        <v>1</v>
      </c>
      <c r="H856" t="n">
        <v>0</v>
      </c>
      <c r="I856" t="n">
        <v>0</v>
      </c>
      <c r="J856" t="n">
        <v>0</v>
      </c>
      <c r="K856" t="n">
        <v>0</v>
      </c>
      <c r="L856" t="n">
        <v>0</v>
      </c>
      <c r="M856" t="n">
        <v>0</v>
      </c>
      <c r="N856" t="n">
        <v>0</v>
      </c>
      <c r="O856" t="n">
        <v>0</v>
      </c>
      <c r="P856" t="n">
        <v>0</v>
      </c>
      <c r="Q856" t="n">
        <v>0</v>
      </c>
      <c r="R856" s="2" t="inlineStr"/>
    </row>
    <row r="857" ht="15" customHeight="1">
      <c r="A857" t="inlineStr">
        <is>
          <t>A 32225-2024</t>
        </is>
      </c>
      <c r="B857" s="1" t="n">
        <v>45512</v>
      </c>
      <c r="C857" s="1" t="n">
        <v>45645</v>
      </c>
      <c r="D857" t="inlineStr">
        <is>
          <t>JÄMTLANDS LÄN</t>
        </is>
      </c>
      <c r="E857" t="inlineStr">
        <is>
          <t>ÖSTERSUND</t>
        </is>
      </c>
      <c r="G857" t="n">
        <v>2</v>
      </c>
      <c r="H857" t="n">
        <v>0</v>
      </c>
      <c r="I857" t="n">
        <v>0</v>
      </c>
      <c r="J857" t="n">
        <v>0</v>
      </c>
      <c r="K857" t="n">
        <v>0</v>
      </c>
      <c r="L857" t="n">
        <v>0</v>
      </c>
      <c r="M857" t="n">
        <v>0</v>
      </c>
      <c r="N857" t="n">
        <v>0</v>
      </c>
      <c r="O857" t="n">
        <v>0</v>
      </c>
      <c r="P857" t="n">
        <v>0</v>
      </c>
      <c r="Q857" t="n">
        <v>0</v>
      </c>
      <c r="R857" s="2" t="inlineStr"/>
    </row>
    <row r="858" ht="15" customHeight="1">
      <c r="A858" t="inlineStr">
        <is>
          <t>A 33091-2024</t>
        </is>
      </c>
      <c r="B858" s="1" t="n">
        <v>45517</v>
      </c>
      <c r="C858" s="1" t="n">
        <v>45645</v>
      </c>
      <c r="D858" t="inlineStr">
        <is>
          <t>JÄMTLANDS LÄN</t>
        </is>
      </c>
      <c r="E858" t="inlineStr">
        <is>
          <t>ÖSTERSUND</t>
        </is>
      </c>
      <c r="G858" t="n">
        <v>1</v>
      </c>
      <c r="H858" t="n">
        <v>0</v>
      </c>
      <c r="I858" t="n">
        <v>0</v>
      </c>
      <c r="J858" t="n">
        <v>0</v>
      </c>
      <c r="K858" t="n">
        <v>0</v>
      </c>
      <c r="L858" t="n">
        <v>0</v>
      </c>
      <c r="M858" t="n">
        <v>0</v>
      </c>
      <c r="N858" t="n">
        <v>0</v>
      </c>
      <c r="O858" t="n">
        <v>0</v>
      </c>
      <c r="P858" t="n">
        <v>0</v>
      </c>
      <c r="Q858" t="n">
        <v>0</v>
      </c>
      <c r="R858" s="2" t="inlineStr"/>
    </row>
    <row r="859" ht="15" customHeight="1">
      <c r="A859" t="inlineStr">
        <is>
          <t>A 33015-2024</t>
        </is>
      </c>
      <c r="B859" s="1" t="n">
        <v>45517</v>
      </c>
      <c r="C859" s="1" t="n">
        <v>45645</v>
      </c>
      <c r="D859" t="inlineStr">
        <is>
          <t>JÄMTLANDS LÄN</t>
        </is>
      </c>
      <c r="E859" t="inlineStr">
        <is>
          <t>ÖSTERSUND</t>
        </is>
      </c>
      <c r="G859" t="n">
        <v>2.6</v>
      </c>
      <c r="H859" t="n">
        <v>0</v>
      </c>
      <c r="I859" t="n">
        <v>0</v>
      </c>
      <c r="J859" t="n">
        <v>0</v>
      </c>
      <c r="K859" t="n">
        <v>0</v>
      </c>
      <c r="L859" t="n">
        <v>0</v>
      </c>
      <c r="M859" t="n">
        <v>0</v>
      </c>
      <c r="N859" t="n">
        <v>0</v>
      </c>
      <c r="O859" t="n">
        <v>0</v>
      </c>
      <c r="P859" t="n">
        <v>0</v>
      </c>
      <c r="Q859" t="n">
        <v>0</v>
      </c>
      <c r="R859" s="2" t="inlineStr"/>
    </row>
    <row r="860" ht="15" customHeight="1">
      <c r="A860" t="inlineStr">
        <is>
          <t>A 33621-2024</t>
        </is>
      </c>
      <c r="B860" s="1" t="n">
        <v>45520</v>
      </c>
      <c r="C860" s="1" t="n">
        <v>45645</v>
      </c>
      <c r="D860" t="inlineStr">
        <is>
          <t>JÄMTLANDS LÄN</t>
        </is>
      </c>
      <c r="E860" t="inlineStr">
        <is>
          <t>ÖSTERSUND</t>
        </is>
      </c>
      <c r="G860" t="n">
        <v>2.1</v>
      </c>
      <c r="H860" t="n">
        <v>0</v>
      </c>
      <c r="I860" t="n">
        <v>0</v>
      </c>
      <c r="J860" t="n">
        <v>0</v>
      </c>
      <c r="K860" t="n">
        <v>0</v>
      </c>
      <c r="L860" t="n">
        <v>0</v>
      </c>
      <c r="M860" t="n">
        <v>0</v>
      </c>
      <c r="N860" t="n">
        <v>0</v>
      </c>
      <c r="O860" t="n">
        <v>0</v>
      </c>
      <c r="P860" t="n">
        <v>0</v>
      </c>
      <c r="Q860" t="n">
        <v>0</v>
      </c>
      <c r="R860" s="2" t="inlineStr"/>
    </row>
    <row r="861" ht="15" customHeight="1">
      <c r="A861" t="inlineStr">
        <is>
          <t>A 33779-2024</t>
        </is>
      </c>
      <c r="B861" s="1" t="n">
        <v>45520</v>
      </c>
      <c r="C861" s="1" t="n">
        <v>45645</v>
      </c>
      <c r="D861" t="inlineStr">
        <is>
          <t>JÄMTLANDS LÄN</t>
        </is>
      </c>
      <c r="E861" t="inlineStr">
        <is>
          <t>ÖSTERSUND</t>
        </is>
      </c>
      <c r="G861" t="n">
        <v>1.5</v>
      </c>
      <c r="H861" t="n">
        <v>0</v>
      </c>
      <c r="I861" t="n">
        <v>0</v>
      </c>
      <c r="J861" t="n">
        <v>0</v>
      </c>
      <c r="K861" t="n">
        <v>0</v>
      </c>
      <c r="L861" t="n">
        <v>0</v>
      </c>
      <c r="M861" t="n">
        <v>0</v>
      </c>
      <c r="N861" t="n">
        <v>0</v>
      </c>
      <c r="O861" t="n">
        <v>0</v>
      </c>
      <c r="P861" t="n">
        <v>0</v>
      </c>
      <c r="Q861" t="n">
        <v>0</v>
      </c>
      <c r="R861" s="2" t="inlineStr"/>
    </row>
    <row r="862" ht="15" customHeight="1">
      <c r="A862" t="inlineStr">
        <is>
          <t>A 34112-2024</t>
        </is>
      </c>
      <c r="B862" s="1" t="n">
        <v>45524</v>
      </c>
      <c r="C862" s="1" t="n">
        <v>45645</v>
      </c>
      <c r="D862" t="inlineStr">
        <is>
          <t>JÄMTLANDS LÄN</t>
        </is>
      </c>
      <c r="E862" t="inlineStr">
        <is>
          <t>ÖSTERSUND</t>
        </is>
      </c>
      <c r="G862" t="n">
        <v>1.2</v>
      </c>
      <c r="H862" t="n">
        <v>0</v>
      </c>
      <c r="I862" t="n">
        <v>0</v>
      </c>
      <c r="J862" t="n">
        <v>0</v>
      </c>
      <c r="K862" t="n">
        <v>0</v>
      </c>
      <c r="L862" t="n">
        <v>0</v>
      </c>
      <c r="M862" t="n">
        <v>0</v>
      </c>
      <c r="N862" t="n">
        <v>0</v>
      </c>
      <c r="O862" t="n">
        <v>0</v>
      </c>
      <c r="P862" t="n">
        <v>0</v>
      </c>
      <c r="Q862" t="n">
        <v>0</v>
      </c>
      <c r="R862" s="2" t="inlineStr"/>
    </row>
    <row r="863" ht="15" customHeight="1">
      <c r="A863" t="inlineStr">
        <is>
          <t>A 34118-2024</t>
        </is>
      </c>
      <c r="B863" s="1" t="n">
        <v>45524</v>
      </c>
      <c r="C863" s="1" t="n">
        <v>45645</v>
      </c>
      <c r="D863" t="inlineStr">
        <is>
          <t>JÄMTLANDS LÄN</t>
        </is>
      </c>
      <c r="E863" t="inlineStr">
        <is>
          <t>ÖSTERSUND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34470-2024</t>
        </is>
      </c>
      <c r="B864" s="1" t="n">
        <v>45525</v>
      </c>
      <c r="C864" s="1" t="n">
        <v>45645</v>
      </c>
      <c r="D864" t="inlineStr">
        <is>
          <t>JÄMTLANDS LÄN</t>
        </is>
      </c>
      <c r="E864" t="inlineStr">
        <is>
          <t>ÖSTERSUND</t>
        </is>
      </c>
      <c r="G864" t="n">
        <v>7.6</v>
      </c>
      <c r="H864" t="n">
        <v>0</v>
      </c>
      <c r="I864" t="n">
        <v>0</v>
      </c>
      <c r="J864" t="n">
        <v>0</v>
      </c>
      <c r="K864" t="n">
        <v>0</v>
      </c>
      <c r="L864" t="n">
        <v>0</v>
      </c>
      <c r="M864" t="n">
        <v>0</v>
      </c>
      <c r="N864" t="n">
        <v>0</v>
      </c>
      <c r="O864" t="n">
        <v>0</v>
      </c>
      <c r="P864" t="n">
        <v>0</v>
      </c>
      <c r="Q864" t="n">
        <v>0</v>
      </c>
      <c r="R864" s="2" t="inlineStr"/>
    </row>
    <row r="865" ht="15" customHeight="1">
      <c r="A865" t="inlineStr">
        <is>
          <t>A 34507-2024</t>
        </is>
      </c>
      <c r="B865" s="1" t="n">
        <v>45525</v>
      </c>
      <c r="C865" s="1" t="n">
        <v>45645</v>
      </c>
      <c r="D865" t="inlineStr">
        <is>
          <t>JÄMTLANDS LÄN</t>
        </is>
      </c>
      <c r="E865" t="inlineStr">
        <is>
          <t>ÖSTERSUND</t>
        </is>
      </c>
      <c r="G865" t="n">
        <v>0.6</v>
      </c>
      <c r="H865" t="n">
        <v>0</v>
      </c>
      <c r="I865" t="n">
        <v>0</v>
      </c>
      <c r="J865" t="n">
        <v>0</v>
      </c>
      <c r="K865" t="n">
        <v>0</v>
      </c>
      <c r="L865" t="n">
        <v>0</v>
      </c>
      <c r="M865" t="n">
        <v>0</v>
      </c>
      <c r="N865" t="n">
        <v>0</v>
      </c>
      <c r="O865" t="n">
        <v>0</v>
      </c>
      <c r="P865" t="n">
        <v>0</v>
      </c>
      <c r="Q865" t="n">
        <v>0</v>
      </c>
      <c r="R865" s="2" t="inlineStr"/>
    </row>
    <row r="866" ht="15" customHeight="1">
      <c r="A866" t="inlineStr">
        <is>
          <t>A 35984-2024</t>
        </is>
      </c>
      <c r="B866" s="1" t="n">
        <v>45533</v>
      </c>
      <c r="C866" s="1" t="n">
        <v>45645</v>
      </c>
      <c r="D866" t="inlineStr">
        <is>
          <t>JÄMTLANDS LÄN</t>
        </is>
      </c>
      <c r="E866" t="inlineStr">
        <is>
          <t>ÖSTERSUND</t>
        </is>
      </c>
      <c r="G866" t="n">
        <v>2.9</v>
      </c>
      <c r="H866" t="n">
        <v>0</v>
      </c>
      <c r="I866" t="n">
        <v>0</v>
      </c>
      <c r="J866" t="n">
        <v>0</v>
      </c>
      <c r="K866" t="n">
        <v>0</v>
      </c>
      <c r="L866" t="n">
        <v>0</v>
      </c>
      <c r="M866" t="n">
        <v>0</v>
      </c>
      <c r="N866" t="n">
        <v>0</v>
      </c>
      <c r="O866" t="n">
        <v>0</v>
      </c>
      <c r="P866" t="n">
        <v>0</v>
      </c>
      <c r="Q866" t="n">
        <v>0</v>
      </c>
      <c r="R866" s="2" t="inlineStr"/>
    </row>
    <row r="867" ht="15" customHeight="1">
      <c r="A867" t="inlineStr">
        <is>
          <t>A 36465-2024</t>
        </is>
      </c>
      <c r="B867" s="1" t="n">
        <v>45537</v>
      </c>
      <c r="C867" s="1" t="n">
        <v>45645</v>
      </c>
      <c r="D867" t="inlineStr">
        <is>
          <t>JÄMTLANDS LÄN</t>
        </is>
      </c>
      <c r="E867" t="inlineStr">
        <is>
          <t>ÖSTERSUND</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36469-2024</t>
        </is>
      </c>
      <c r="B868" s="1" t="n">
        <v>45537</v>
      </c>
      <c r="C868" s="1" t="n">
        <v>45645</v>
      </c>
      <c r="D868" t="inlineStr">
        <is>
          <t>JÄMTLANDS LÄN</t>
        </is>
      </c>
      <c r="E868" t="inlineStr">
        <is>
          <t>ÖSTERSUND</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37270-2024</t>
        </is>
      </c>
      <c r="B869" s="1" t="n">
        <v>45540</v>
      </c>
      <c r="C869" s="1" t="n">
        <v>45645</v>
      </c>
      <c r="D869" t="inlineStr">
        <is>
          <t>JÄMTLANDS LÄN</t>
        </is>
      </c>
      <c r="E869" t="inlineStr">
        <is>
          <t>ÖSTERSUND</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37685-2024</t>
        </is>
      </c>
      <c r="B870" s="1" t="n">
        <v>45541</v>
      </c>
      <c r="C870" s="1" t="n">
        <v>45645</v>
      </c>
      <c r="D870" t="inlineStr">
        <is>
          <t>JÄMTLANDS LÄN</t>
        </is>
      </c>
      <c r="E870" t="inlineStr">
        <is>
          <t>ÖSTERSUND</t>
        </is>
      </c>
      <c r="F870" t="inlineStr">
        <is>
          <t>SCA</t>
        </is>
      </c>
      <c r="G870" t="n">
        <v>11.2</v>
      </c>
      <c r="H870" t="n">
        <v>0</v>
      </c>
      <c r="I870" t="n">
        <v>0</v>
      </c>
      <c r="J870" t="n">
        <v>0</v>
      </c>
      <c r="K870" t="n">
        <v>0</v>
      </c>
      <c r="L870" t="n">
        <v>0</v>
      </c>
      <c r="M870" t="n">
        <v>0</v>
      </c>
      <c r="N870" t="n">
        <v>0</v>
      </c>
      <c r="O870" t="n">
        <v>0</v>
      </c>
      <c r="P870" t="n">
        <v>0</v>
      </c>
      <c r="Q870" t="n">
        <v>0</v>
      </c>
      <c r="R870" s="2" t="inlineStr"/>
    </row>
    <row r="871" ht="15" customHeight="1">
      <c r="A871" t="inlineStr">
        <is>
          <t>A 38926-2024</t>
        </is>
      </c>
      <c r="B871" s="1" t="n">
        <v>45547</v>
      </c>
      <c r="C871" s="1" t="n">
        <v>45645</v>
      </c>
      <c r="D871" t="inlineStr">
        <is>
          <t>JÄMTLANDS LÄN</t>
        </is>
      </c>
      <c r="E871" t="inlineStr">
        <is>
          <t>ÖSTERSUND</t>
        </is>
      </c>
      <c r="G871" t="n">
        <v>0.4</v>
      </c>
      <c r="H871" t="n">
        <v>0</v>
      </c>
      <c r="I871" t="n">
        <v>0</v>
      </c>
      <c r="J871" t="n">
        <v>0</v>
      </c>
      <c r="K871" t="n">
        <v>0</v>
      </c>
      <c r="L871" t="n">
        <v>0</v>
      </c>
      <c r="M871" t="n">
        <v>0</v>
      </c>
      <c r="N871" t="n">
        <v>0</v>
      </c>
      <c r="O871" t="n">
        <v>0</v>
      </c>
      <c r="P871" t="n">
        <v>0</v>
      </c>
      <c r="Q871" t="n">
        <v>0</v>
      </c>
      <c r="R871" s="2" t="inlineStr"/>
    </row>
    <row r="872" ht="15" customHeight="1">
      <c r="A872" t="inlineStr">
        <is>
          <t>A 38920-2024</t>
        </is>
      </c>
      <c r="B872" s="1" t="n">
        <v>45547</v>
      </c>
      <c r="C872" s="1" t="n">
        <v>45645</v>
      </c>
      <c r="D872" t="inlineStr">
        <is>
          <t>JÄMTLANDS LÄN</t>
        </is>
      </c>
      <c r="E872" t="inlineStr">
        <is>
          <t>ÖSTERSUND</t>
        </is>
      </c>
      <c r="G872" t="n">
        <v>1.9</v>
      </c>
      <c r="H872" t="n">
        <v>0</v>
      </c>
      <c r="I872" t="n">
        <v>0</v>
      </c>
      <c r="J872" t="n">
        <v>0</v>
      </c>
      <c r="K872" t="n">
        <v>0</v>
      </c>
      <c r="L872" t="n">
        <v>0</v>
      </c>
      <c r="M872" t="n">
        <v>0</v>
      </c>
      <c r="N872" t="n">
        <v>0</v>
      </c>
      <c r="O872" t="n">
        <v>0</v>
      </c>
      <c r="P872" t="n">
        <v>0</v>
      </c>
      <c r="Q872" t="n">
        <v>0</v>
      </c>
      <c r="R872" s="2" t="inlineStr"/>
    </row>
    <row r="873" ht="15" customHeight="1">
      <c r="A873" t="inlineStr">
        <is>
          <t>A 38924-2024</t>
        </is>
      </c>
      <c r="B873" s="1" t="n">
        <v>45547</v>
      </c>
      <c r="C873" s="1" t="n">
        <v>45645</v>
      </c>
      <c r="D873" t="inlineStr">
        <is>
          <t>JÄMTLANDS LÄN</t>
        </is>
      </c>
      <c r="E873" t="inlineStr">
        <is>
          <t>ÖSTERSUND</t>
        </is>
      </c>
      <c r="G873" t="n">
        <v>3.5</v>
      </c>
      <c r="H873" t="n">
        <v>0</v>
      </c>
      <c r="I873" t="n">
        <v>0</v>
      </c>
      <c r="J873" t="n">
        <v>0</v>
      </c>
      <c r="K873" t="n">
        <v>0</v>
      </c>
      <c r="L873" t="n">
        <v>0</v>
      </c>
      <c r="M873" t="n">
        <v>0</v>
      </c>
      <c r="N873" t="n">
        <v>0</v>
      </c>
      <c r="O873" t="n">
        <v>0</v>
      </c>
      <c r="P873" t="n">
        <v>0</v>
      </c>
      <c r="Q873" t="n">
        <v>0</v>
      </c>
      <c r="R873" s="2" t="inlineStr"/>
    </row>
    <row r="874" ht="15" customHeight="1">
      <c r="A874" t="inlineStr">
        <is>
          <t>A 39065-2024</t>
        </is>
      </c>
      <c r="B874" s="1" t="n">
        <v>45548</v>
      </c>
      <c r="C874" s="1" t="n">
        <v>45645</v>
      </c>
      <c r="D874" t="inlineStr">
        <is>
          <t>JÄMTLANDS LÄN</t>
        </is>
      </c>
      <c r="E874" t="inlineStr">
        <is>
          <t>ÖSTERSUND</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39510-2024</t>
        </is>
      </c>
      <c r="B875" s="1" t="n">
        <v>45551</v>
      </c>
      <c r="C875" s="1" t="n">
        <v>45645</v>
      </c>
      <c r="D875" t="inlineStr">
        <is>
          <t>JÄMTLANDS LÄN</t>
        </is>
      </c>
      <c r="E875" t="inlineStr">
        <is>
          <t>ÖSTERSUND</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39509-2024</t>
        </is>
      </c>
      <c r="B876" s="1" t="n">
        <v>45551</v>
      </c>
      <c r="C876" s="1" t="n">
        <v>45645</v>
      </c>
      <c r="D876" t="inlineStr">
        <is>
          <t>JÄMTLANDS LÄN</t>
        </is>
      </c>
      <c r="E876" t="inlineStr">
        <is>
          <t>ÖSTERSUND</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39915-2024</t>
        </is>
      </c>
      <c r="B877" s="1" t="n">
        <v>45553</v>
      </c>
      <c r="C877" s="1" t="n">
        <v>45645</v>
      </c>
      <c r="D877" t="inlineStr">
        <is>
          <t>JÄMTLANDS LÄN</t>
        </is>
      </c>
      <c r="E877" t="inlineStr">
        <is>
          <t>ÖSTERSUND</t>
        </is>
      </c>
      <c r="G877" t="n">
        <v>1.3</v>
      </c>
      <c r="H877" t="n">
        <v>0</v>
      </c>
      <c r="I877" t="n">
        <v>0</v>
      </c>
      <c r="J877" t="n">
        <v>0</v>
      </c>
      <c r="K877" t="n">
        <v>0</v>
      </c>
      <c r="L877" t="n">
        <v>0</v>
      </c>
      <c r="M877" t="n">
        <v>0</v>
      </c>
      <c r="N877" t="n">
        <v>0</v>
      </c>
      <c r="O877" t="n">
        <v>0</v>
      </c>
      <c r="P877" t="n">
        <v>0</v>
      </c>
      <c r="Q877" t="n">
        <v>0</v>
      </c>
      <c r="R877" s="2" t="inlineStr"/>
    </row>
    <row r="878" ht="15" customHeight="1">
      <c r="A878" t="inlineStr">
        <is>
          <t>A 39975-2024</t>
        </is>
      </c>
      <c r="B878" s="1" t="n">
        <v>45553</v>
      </c>
      <c r="C878" s="1" t="n">
        <v>45645</v>
      </c>
      <c r="D878" t="inlineStr">
        <is>
          <t>JÄMTLANDS LÄN</t>
        </is>
      </c>
      <c r="E878" t="inlineStr">
        <is>
          <t>ÖSTERSUND</t>
        </is>
      </c>
      <c r="G878" t="n">
        <v>3.8</v>
      </c>
      <c r="H878" t="n">
        <v>0</v>
      </c>
      <c r="I878" t="n">
        <v>0</v>
      </c>
      <c r="J878" t="n">
        <v>0</v>
      </c>
      <c r="K878" t="n">
        <v>0</v>
      </c>
      <c r="L878" t="n">
        <v>0</v>
      </c>
      <c r="M878" t="n">
        <v>0</v>
      </c>
      <c r="N878" t="n">
        <v>0</v>
      </c>
      <c r="O878" t="n">
        <v>0</v>
      </c>
      <c r="P878" t="n">
        <v>0</v>
      </c>
      <c r="Q878" t="n">
        <v>0</v>
      </c>
      <c r="R878" s="2" t="inlineStr"/>
    </row>
    <row r="879" ht="15" customHeight="1">
      <c r="A879" t="inlineStr">
        <is>
          <t>A 40672-2024</t>
        </is>
      </c>
      <c r="B879" s="1" t="n">
        <v>45557</v>
      </c>
      <c r="C879" s="1" t="n">
        <v>45645</v>
      </c>
      <c r="D879" t="inlineStr">
        <is>
          <t>JÄMTLANDS LÄN</t>
        </is>
      </c>
      <c r="E879" t="inlineStr">
        <is>
          <t>ÖSTERSUND</t>
        </is>
      </c>
      <c r="G879" t="n">
        <v>5.2</v>
      </c>
      <c r="H879" t="n">
        <v>0</v>
      </c>
      <c r="I879" t="n">
        <v>0</v>
      </c>
      <c r="J879" t="n">
        <v>0</v>
      </c>
      <c r="K879" t="n">
        <v>0</v>
      </c>
      <c r="L879" t="n">
        <v>0</v>
      </c>
      <c r="M879" t="n">
        <v>0</v>
      </c>
      <c r="N879" t="n">
        <v>0</v>
      </c>
      <c r="O879" t="n">
        <v>0</v>
      </c>
      <c r="P879" t="n">
        <v>0</v>
      </c>
      <c r="Q879" t="n">
        <v>0</v>
      </c>
      <c r="R879" s="2" t="inlineStr"/>
    </row>
    <row r="880" ht="15" customHeight="1">
      <c r="A880" t="inlineStr">
        <is>
          <t>A 40983-2024</t>
        </is>
      </c>
      <c r="B880" s="1" t="n">
        <v>45558</v>
      </c>
      <c r="C880" s="1" t="n">
        <v>45645</v>
      </c>
      <c r="D880" t="inlineStr">
        <is>
          <t>JÄMTLANDS LÄN</t>
        </is>
      </c>
      <c r="E880" t="inlineStr">
        <is>
          <t>ÖSTERSUND</t>
        </is>
      </c>
      <c r="F880" t="inlineStr">
        <is>
          <t>SCA</t>
        </is>
      </c>
      <c r="G880" t="n">
        <v>10.6</v>
      </c>
      <c r="H880" t="n">
        <v>0</v>
      </c>
      <c r="I880" t="n">
        <v>0</v>
      </c>
      <c r="J880" t="n">
        <v>0</v>
      </c>
      <c r="K880" t="n">
        <v>0</v>
      </c>
      <c r="L880" t="n">
        <v>0</v>
      </c>
      <c r="M880" t="n">
        <v>0</v>
      </c>
      <c r="N880" t="n">
        <v>0</v>
      </c>
      <c r="O880" t="n">
        <v>0</v>
      </c>
      <c r="P880" t="n">
        <v>0</v>
      </c>
      <c r="Q880" t="n">
        <v>0</v>
      </c>
      <c r="R880" s="2" t="inlineStr"/>
    </row>
    <row r="881" ht="15" customHeight="1">
      <c r="A881" t="inlineStr">
        <is>
          <t>A 41280-2024</t>
        </is>
      </c>
      <c r="B881" s="1" t="n">
        <v>45559</v>
      </c>
      <c r="C881" s="1" t="n">
        <v>45645</v>
      </c>
      <c r="D881" t="inlineStr">
        <is>
          <t>JÄMTLANDS LÄN</t>
        </is>
      </c>
      <c r="E881" t="inlineStr">
        <is>
          <t>ÖSTERSUND</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41483-2024</t>
        </is>
      </c>
      <c r="B882" s="1" t="n">
        <v>45560</v>
      </c>
      <c r="C882" s="1" t="n">
        <v>45645</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41780-2024</t>
        </is>
      </c>
      <c r="B883" s="1" t="n">
        <v>45561</v>
      </c>
      <c r="C883" s="1" t="n">
        <v>45645</v>
      </c>
      <c r="D883" t="inlineStr">
        <is>
          <t>JÄMTLANDS LÄN</t>
        </is>
      </c>
      <c r="E883" t="inlineStr">
        <is>
          <t>ÖSTERSUND</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42550-2024</t>
        </is>
      </c>
      <c r="B884" s="1" t="n">
        <v>45565</v>
      </c>
      <c r="C884" s="1" t="n">
        <v>45645</v>
      </c>
      <c r="D884" t="inlineStr">
        <is>
          <t>JÄMTLANDS LÄN</t>
        </is>
      </c>
      <c r="E884" t="inlineStr">
        <is>
          <t>ÖSTERSUND</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42547-2024</t>
        </is>
      </c>
      <c r="B885" s="1" t="n">
        <v>45565</v>
      </c>
      <c r="C885" s="1" t="n">
        <v>45645</v>
      </c>
      <c r="D885" t="inlineStr">
        <is>
          <t>JÄMTLANDS LÄN</t>
        </is>
      </c>
      <c r="E885" t="inlineStr">
        <is>
          <t>ÖSTERSUND</t>
        </is>
      </c>
      <c r="F885" t="inlineStr">
        <is>
          <t>Övriga Aktiebolag</t>
        </is>
      </c>
      <c r="G885" t="n">
        <v>7.1</v>
      </c>
      <c r="H885" t="n">
        <v>0</v>
      </c>
      <c r="I885" t="n">
        <v>0</v>
      </c>
      <c r="J885" t="n">
        <v>0</v>
      </c>
      <c r="K885" t="n">
        <v>0</v>
      </c>
      <c r="L885" t="n">
        <v>0</v>
      </c>
      <c r="M885" t="n">
        <v>0</v>
      </c>
      <c r="N885" t="n">
        <v>0</v>
      </c>
      <c r="O885" t="n">
        <v>0</v>
      </c>
      <c r="P885" t="n">
        <v>0</v>
      </c>
      <c r="Q885" t="n">
        <v>0</v>
      </c>
      <c r="R885" s="2" t="inlineStr"/>
    </row>
    <row r="886" ht="15" customHeight="1">
      <c r="A886" t="inlineStr">
        <is>
          <t>A 43082-2024</t>
        </is>
      </c>
      <c r="B886" s="1" t="n">
        <v>45567</v>
      </c>
      <c r="C886" s="1" t="n">
        <v>45645</v>
      </c>
      <c r="D886" t="inlineStr">
        <is>
          <t>JÄMTLANDS LÄN</t>
        </is>
      </c>
      <c r="E886" t="inlineStr">
        <is>
          <t>ÖSTERSUND</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43118-2024</t>
        </is>
      </c>
      <c r="B887" s="1" t="n">
        <v>45567</v>
      </c>
      <c r="C887" s="1" t="n">
        <v>45645</v>
      </c>
      <c r="D887" t="inlineStr">
        <is>
          <t>JÄMTLANDS LÄN</t>
        </is>
      </c>
      <c r="E887" t="inlineStr">
        <is>
          <t>ÖSTERSUND</t>
        </is>
      </c>
      <c r="G887" t="n">
        <v>5.1</v>
      </c>
      <c r="H887" t="n">
        <v>0</v>
      </c>
      <c r="I887" t="n">
        <v>0</v>
      </c>
      <c r="J887" t="n">
        <v>0</v>
      </c>
      <c r="K887" t="n">
        <v>0</v>
      </c>
      <c r="L887" t="n">
        <v>0</v>
      </c>
      <c r="M887" t="n">
        <v>0</v>
      </c>
      <c r="N887" t="n">
        <v>0</v>
      </c>
      <c r="O887" t="n">
        <v>0</v>
      </c>
      <c r="P887" t="n">
        <v>0</v>
      </c>
      <c r="Q887" t="n">
        <v>0</v>
      </c>
      <c r="R887" s="2" t="inlineStr"/>
    </row>
    <row r="888" ht="15" customHeight="1">
      <c r="A888" t="inlineStr">
        <is>
          <t>A 43016-2024</t>
        </is>
      </c>
      <c r="B888" s="1" t="n">
        <v>45567</v>
      </c>
      <c r="C888" s="1" t="n">
        <v>45645</v>
      </c>
      <c r="D888" t="inlineStr">
        <is>
          <t>JÄMTLANDS LÄN</t>
        </is>
      </c>
      <c r="E888" t="inlineStr">
        <is>
          <t>ÖSTERSUND</t>
        </is>
      </c>
      <c r="G888" t="n">
        <v>5.3</v>
      </c>
      <c r="H888" t="n">
        <v>0</v>
      </c>
      <c r="I888" t="n">
        <v>0</v>
      </c>
      <c r="J888" t="n">
        <v>0</v>
      </c>
      <c r="K888" t="n">
        <v>0</v>
      </c>
      <c r="L888" t="n">
        <v>0</v>
      </c>
      <c r="M888" t="n">
        <v>0</v>
      </c>
      <c r="N888" t="n">
        <v>0</v>
      </c>
      <c r="O888" t="n">
        <v>0</v>
      </c>
      <c r="P888" t="n">
        <v>0</v>
      </c>
      <c r="Q888" t="n">
        <v>0</v>
      </c>
      <c r="R888" s="2" t="inlineStr"/>
    </row>
    <row r="889" ht="15" customHeight="1">
      <c r="A889" t="inlineStr">
        <is>
          <t>A 43148-2024</t>
        </is>
      </c>
      <c r="B889" s="1" t="n">
        <v>45567</v>
      </c>
      <c r="C889" s="1" t="n">
        <v>45645</v>
      </c>
      <c r="D889" t="inlineStr">
        <is>
          <t>JÄMTLANDS LÄN</t>
        </is>
      </c>
      <c r="E889" t="inlineStr">
        <is>
          <t>ÖSTERSUND</t>
        </is>
      </c>
      <c r="G889" t="n">
        <v>3</v>
      </c>
      <c r="H889" t="n">
        <v>0</v>
      </c>
      <c r="I889" t="n">
        <v>0</v>
      </c>
      <c r="J889" t="n">
        <v>0</v>
      </c>
      <c r="K889" t="n">
        <v>0</v>
      </c>
      <c r="L889" t="n">
        <v>0</v>
      </c>
      <c r="M889" t="n">
        <v>0</v>
      </c>
      <c r="N889" t="n">
        <v>0</v>
      </c>
      <c r="O889" t="n">
        <v>0</v>
      </c>
      <c r="P889" t="n">
        <v>0</v>
      </c>
      <c r="Q889" t="n">
        <v>0</v>
      </c>
      <c r="R889" s="2" t="inlineStr"/>
    </row>
    <row r="890" ht="15" customHeight="1">
      <c r="A890" t="inlineStr">
        <is>
          <t>A 43557-2024</t>
        </is>
      </c>
      <c r="B890" s="1" t="n">
        <v>45569</v>
      </c>
      <c r="C890" s="1" t="n">
        <v>45645</v>
      </c>
      <c r="D890" t="inlineStr">
        <is>
          <t>JÄMTLANDS LÄN</t>
        </is>
      </c>
      <c r="E890" t="inlineStr">
        <is>
          <t>ÖSTERSUND</t>
        </is>
      </c>
      <c r="G890" t="n">
        <v>3.6</v>
      </c>
      <c r="H890" t="n">
        <v>0</v>
      </c>
      <c r="I890" t="n">
        <v>0</v>
      </c>
      <c r="J890" t="n">
        <v>0</v>
      </c>
      <c r="K890" t="n">
        <v>0</v>
      </c>
      <c r="L890" t="n">
        <v>0</v>
      </c>
      <c r="M890" t="n">
        <v>0</v>
      </c>
      <c r="N890" t="n">
        <v>0</v>
      </c>
      <c r="O890" t="n">
        <v>0</v>
      </c>
      <c r="P890" t="n">
        <v>0</v>
      </c>
      <c r="Q890" t="n">
        <v>0</v>
      </c>
      <c r="R890" s="2" t="inlineStr"/>
    </row>
    <row r="891" ht="15" customHeight="1">
      <c r="A891" t="inlineStr">
        <is>
          <t>A 43560-2024</t>
        </is>
      </c>
      <c r="B891" s="1" t="n">
        <v>45569</v>
      </c>
      <c r="C891" s="1" t="n">
        <v>45645</v>
      </c>
      <c r="D891" t="inlineStr">
        <is>
          <t>JÄMTLANDS LÄN</t>
        </is>
      </c>
      <c r="E891" t="inlineStr">
        <is>
          <t>ÖSTERSUND</t>
        </is>
      </c>
      <c r="G891" t="n">
        <v>2.7</v>
      </c>
      <c r="H891" t="n">
        <v>0</v>
      </c>
      <c r="I891" t="n">
        <v>0</v>
      </c>
      <c r="J891" t="n">
        <v>0</v>
      </c>
      <c r="K891" t="n">
        <v>0</v>
      </c>
      <c r="L891" t="n">
        <v>0</v>
      </c>
      <c r="M891" t="n">
        <v>0</v>
      </c>
      <c r="N891" t="n">
        <v>0</v>
      </c>
      <c r="O891" t="n">
        <v>0</v>
      </c>
      <c r="P891" t="n">
        <v>0</v>
      </c>
      <c r="Q891" t="n">
        <v>0</v>
      </c>
      <c r="R891" s="2" t="inlineStr"/>
    </row>
    <row r="892" ht="15" customHeight="1">
      <c r="A892" t="inlineStr">
        <is>
          <t>A 44048-2024</t>
        </is>
      </c>
      <c r="B892" s="1" t="n">
        <v>45572</v>
      </c>
      <c r="C892" s="1" t="n">
        <v>45645</v>
      </c>
      <c r="D892" t="inlineStr">
        <is>
          <t>JÄMTLANDS LÄN</t>
        </is>
      </c>
      <c r="E892" t="inlineStr">
        <is>
          <t>ÖSTERSUND</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44489-2024</t>
        </is>
      </c>
      <c r="B893" s="1" t="n">
        <v>45574</v>
      </c>
      <c r="C893" s="1" t="n">
        <v>45645</v>
      </c>
      <c r="D893" t="inlineStr">
        <is>
          <t>JÄMTLANDS LÄN</t>
        </is>
      </c>
      <c r="E893" t="inlineStr">
        <is>
          <t>ÖSTERSUND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44707-2024</t>
        </is>
      </c>
      <c r="B894" s="1" t="n">
        <v>45574</v>
      </c>
      <c r="C894" s="1" t="n">
        <v>45645</v>
      </c>
      <c r="D894" t="inlineStr">
        <is>
          <t>JÄMTLANDS LÄN</t>
        </is>
      </c>
      <c r="E894" t="inlineStr">
        <is>
          <t>ÖSTERSUND</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45341-2024</t>
        </is>
      </c>
      <c r="B895" s="1" t="n">
        <v>45576</v>
      </c>
      <c r="C895" s="1" t="n">
        <v>45645</v>
      </c>
      <c r="D895" t="inlineStr">
        <is>
          <t>JÄMTLANDS LÄN</t>
        </is>
      </c>
      <c r="E895" t="inlineStr">
        <is>
          <t>ÖSTERSUND</t>
        </is>
      </c>
      <c r="G895" t="n">
        <v>5.9</v>
      </c>
      <c r="H895" t="n">
        <v>0</v>
      </c>
      <c r="I895" t="n">
        <v>0</v>
      </c>
      <c r="J895" t="n">
        <v>0</v>
      </c>
      <c r="K895" t="n">
        <v>0</v>
      </c>
      <c r="L895" t="n">
        <v>0</v>
      </c>
      <c r="M895" t="n">
        <v>0</v>
      </c>
      <c r="N895" t="n">
        <v>0</v>
      </c>
      <c r="O895" t="n">
        <v>0</v>
      </c>
      <c r="P895" t="n">
        <v>0</v>
      </c>
      <c r="Q895" t="n">
        <v>0</v>
      </c>
      <c r="R895" s="2" t="inlineStr"/>
    </row>
    <row r="896" ht="15" customHeight="1">
      <c r="A896" t="inlineStr">
        <is>
          <t>A 45338-2024</t>
        </is>
      </c>
      <c r="B896" s="1" t="n">
        <v>45576</v>
      </c>
      <c r="C896" s="1" t="n">
        <v>45645</v>
      </c>
      <c r="D896" t="inlineStr">
        <is>
          <t>JÄMTLANDS LÄN</t>
        </is>
      </c>
      <c r="E896" t="inlineStr">
        <is>
          <t>ÖSTERSUND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45340-2024</t>
        </is>
      </c>
      <c r="B897" s="1" t="n">
        <v>45576</v>
      </c>
      <c r="C897" s="1" t="n">
        <v>45645</v>
      </c>
      <c r="D897" t="inlineStr">
        <is>
          <t>JÄMTLANDS LÄN</t>
        </is>
      </c>
      <c r="E897" t="inlineStr">
        <is>
          <t>ÖSTERSUND</t>
        </is>
      </c>
      <c r="G897" t="n">
        <v>1.6</v>
      </c>
      <c r="H897" t="n">
        <v>0</v>
      </c>
      <c r="I897" t="n">
        <v>0</v>
      </c>
      <c r="J897" t="n">
        <v>0</v>
      </c>
      <c r="K897" t="n">
        <v>0</v>
      </c>
      <c r="L897" t="n">
        <v>0</v>
      </c>
      <c r="M897" t="n">
        <v>0</v>
      </c>
      <c r="N897" t="n">
        <v>0</v>
      </c>
      <c r="O897" t="n">
        <v>0</v>
      </c>
      <c r="P897" t="n">
        <v>0</v>
      </c>
      <c r="Q897" t="n">
        <v>0</v>
      </c>
      <c r="R897" s="2" t="inlineStr"/>
    </row>
    <row r="898" ht="15" customHeight="1">
      <c r="A898" t="inlineStr">
        <is>
          <t>A 45610-2024</t>
        </is>
      </c>
      <c r="B898" s="1" t="n">
        <v>45579</v>
      </c>
      <c r="C898" s="1" t="n">
        <v>45645</v>
      </c>
      <c r="D898" t="inlineStr">
        <is>
          <t>JÄMTLANDS LÄN</t>
        </is>
      </c>
      <c r="E898" t="inlineStr">
        <is>
          <t>ÖSTERSUND</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45742-2024</t>
        </is>
      </c>
      <c r="B899" s="1" t="n">
        <v>45579</v>
      </c>
      <c r="C899" s="1" t="n">
        <v>45645</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45895-2024</t>
        </is>
      </c>
      <c r="B900" s="1" t="n">
        <v>45580</v>
      </c>
      <c r="C900" s="1" t="n">
        <v>45645</v>
      </c>
      <c r="D900" t="inlineStr">
        <is>
          <t>JÄMTLANDS LÄN</t>
        </is>
      </c>
      <c r="E900" t="inlineStr">
        <is>
          <t>ÖSTERSUND</t>
        </is>
      </c>
      <c r="G900" t="n">
        <v>1.2</v>
      </c>
      <c r="H900" t="n">
        <v>0</v>
      </c>
      <c r="I900" t="n">
        <v>0</v>
      </c>
      <c r="J900" t="n">
        <v>0</v>
      </c>
      <c r="K900" t="n">
        <v>0</v>
      </c>
      <c r="L900" t="n">
        <v>0</v>
      </c>
      <c r="M900" t="n">
        <v>0</v>
      </c>
      <c r="N900" t="n">
        <v>0</v>
      </c>
      <c r="O900" t="n">
        <v>0</v>
      </c>
      <c r="P900" t="n">
        <v>0</v>
      </c>
      <c r="Q900" t="n">
        <v>0</v>
      </c>
      <c r="R900" s="2" t="inlineStr"/>
    </row>
    <row r="901" ht="15" customHeight="1">
      <c r="A901" t="inlineStr">
        <is>
          <t>A 45856-2024</t>
        </is>
      </c>
      <c r="B901" s="1" t="n">
        <v>45580</v>
      </c>
      <c r="C901" s="1" t="n">
        <v>45645</v>
      </c>
      <c r="D901" t="inlineStr">
        <is>
          <t>JÄMTLANDS LÄN</t>
        </is>
      </c>
      <c r="E901" t="inlineStr">
        <is>
          <t>ÖSTERSUND</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46732-2024</t>
        </is>
      </c>
      <c r="B902" s="1" t="n">
        <v>45583</v>
      </c>
      <c r="C902" s="1" t="n">
        <v>45645</v>
      </c>
      <c r="D902" t="inlineStr">
        <is>
          <t>JÄMTLANDS LÄN</t>
        </is>
      </c>
      <c r="E902" t="inlineStr">
        <is>
          <t>ÖSTERSUND</t>
        </is>
      </c>
      <c r="G902" t="n">
        <v>3.3</v>
      </c>
      <c r="H902" t="n">
        <v>0</v>
      </c>
      <c r="I902" t="n">
        <v>0</v>
      </c>
      <c r="J902" t="n">
        <v>0</v>
      </c>
      <c r="K902" t="n">
        <v>0</v>
      </c>
      <c r="L902" t="n">
        <v>0</v>
      </c>
      <c r="M902" t="n">
        <v>0</v>
      </c>
      <c r="N902" t="n">
        <v>0</v>
      </c>
      <c r="O902" t="n">
        <v>0</v>
      </c>
      <c r="P902" t="n">
        <v>0</v>
      </c>
      <c r="Q902" t="n">
        <v>0</v>
      </c>
      <c r="R902" s="2" t="inlineStr"/>
    </row>
    <row r="903" ht="15" customHeight="1">
      <c r="A903" t="inlineStr">
        <is>
          <t>A 47245-2024</t>
        </is>
      </c>
      <c r="B903" s="1" t="n">
        <v>45586</v>
      </c>
      <c r="C903" s="1" t="n">
        <v>45645</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47022-2024</t>
        </is>
      </c>
      <c r="B904" s="1" t="n">
        <v>45586</v>
      </c>
      <c r="C904" s="1" t="n">
        <v>45645</v>
      </c>
      <c r="D904" t="inlineStr">
        <is>
          <t>JÄMTLANDS LÄN</t>
        </is>
      </c>
      <c r="E904" t="inlineStr">
        <is>
          <t>ÖSTERSUND</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47357-2024</t>
        </is>
      </c>
      <c r="B905" s="1" t="n">
        <v>45587</v>
      </c>
      <c r="C905" s="1" t="n">
        <v>45645</v>
      </c>
      <c r="D905" t="inlineStr">
        <is>
          <t>JÄMTLANDS LÄN</t>
        </is>
      </c>
      <c r="E905" t="inlineStr">
        <is>
          <t>ÖSTERSUND</t>
        </is>
      </c>
      <c r="G905" t="n">
        <v>2.4</v>
      </c>
      <c r="H905" t="n">
        <v>0</v>
      </c>
      <c r="I905" t="n">
        <v>0</v>
      </c>
      <c r="J905" t="n">
        <v>0</v>
      </c>
      <c r="K905" t="n">
        <v>0</v>
      </c>
      <c r="L905" t="n">
        <v>0</v>
      </c>
      <c r="M905" t="n">
        <v>0</v>
      </c>
      <c r="N905" t="n">
        <v>0</v>
      </c>
      <c r="O905" t="n">
        <v>0</v>
      </c>
      <c r="P905" t="n">
        <v>0</v>
      </c>
      <c r="Q905" t="n">
        <v>0</v>
      </c>
      <c r="R905" s="2" t="inlineStr"/>
    </row>
    <row r="906" ht="15" customHeight="1">
      <c r="A906" t="inlineStr">
        <is>
          <t>A 47804-2024</t>
        </is>
      </c>
      <c r="B906" s="1" t="n">
        <v>45588</v>
      </c>
      <c r="C906" s="1" t="n">
        <v>45645</v>
      </c>
      <c r="D906" t="inlineStr">
        <is>
          <t>JÄMTLANDS LÄN</t>
        </is>
      </c>
      <c r="E906" t="inlineStr">
        <is>
          <t>ÖSTERSUND</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47630-2024</t>
        </is>
      </c>
      <c r="B907" s="1" t="n">
        <v>45588</v>
      </c>
      <c r="C907" s="1" t="n">
        <v>45645</v>
      </c>
      <c r="D907" t="inlineStr">
        <is>
          <t>JÄMTLANDS LÄN</t>
        </is>
      </c>
      <c r="E907" t="inlineStr">
        <is>
          <t>ÖSTERSUND</t>
        </is>
      </c>
      <c r="G907" t="n">
        <v>0.9</v>
      </c>
      <c r="H907" t="n">
        <v>0</v>
      </c>
      <c r="I907" t="n">
        <v>0</v>
      </c>
      <c r="J907" t="n">
        <v>0</v>
      </c>
      <c r="K907" t="n">
        <v>0</v>
      </c>
      <c r="L907" t="n">
        <v>0</v>
      </c>
      <c r="M907" t="n">
        <v>0</v>
      </c>
      <c r="N907" t="n">
        <v>0</v>
      </c>
      <c r="O907" t="n">
        <v>0</v>
      </c>
      <c r="P907" t="n">
        <v>0</v>
      </c>
      <c r="Q907" t="n">
        <v>0</v>
      </c>
      <c r="R907" s="2" t="inlineStr"/>
    </row>
    <row r="908" ht="15" customHeight="1">
      <c r="A908" t="inlineStr">
        <is>
          <t>A 47628-2024</t>
        </is>
      </c>
      <c r="B908" s="1" t="n">
        <v>45588</v>
      </c>
      <c r="C908" s="1" t="n">
        <v>45645</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47789-2024</t>
        </is>
      </c>
      <c r="B909" s="1" t="n">
        <v>45588</v>
      </c>
      <c r="C909" s="1" t="n">
        <v>45645</v>
      </c>
      <c r="D909" t="inlineStr">
        <is>
          <t>JÄMTLANDS LÄN</t>
        </is>
      </c>
      <c r="E909" t="inlineStr">
        <is>
          <t>ÖSTERSUND</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47805-2024</t>
        </is>
      </c>
      <c r="B910" s="1" t="n">
        <v>45588</v>
      </c>
      <c r="C910" s="1" t="n">
        <v>45645</v>
      </c>
      <c r="D910" t="inlineStr">
        <is>
          <t>JÄMTLANDS LÄN</t>
        </is>
      </c>
      <c r="E910" t="inlineStr">
        <is>
          <t>ÖSTERSUND</t>
        </is>
      </c>
      <c r="G910" t="n">
        <v>7.4</v>
      </c>
      <c r="H910" t="n">
        <v>0</v>
      </c>
      <c r="I910" t="n">
        <v>0</v>
      </c>
      <c r="J910" t="n">
        <v>0</v>
      </c>
      <c r="K910" t="n">
        <v>0</v>
      </c>
      <c r="L910" t="n">
        <v>0</v>
      </c>
      <c r="M910" t="n">
        <v>0</v>
      </c>
      <c r="N910" t="n">
        <v>0</v>
      </c>
      <c r="O910" t="n">
        <v>0</v>
      </c>
      <c r="P910" t="n">
        <v>0</v>
      </c>
      <c r="Q910" t="n">
        <v>0</v>
      </c>
      <c r="R910" s="2" t="inlineStr"/>
    </row>
    <row r="911" ht="15" customHeight="1">
      <c r="A911" t="inlineStr">
        <is>
          <t>A 47627-2024</t>
        </is>
      </c>
      <c r="B911" s="1" t="n">
        <v>45588</v>
      </c>
      <c r="C911" s="1" t="n">
        <v>45645</v>
      </c>
      <c r="D911" t="inlineStr">
        <is>
          <t>JÄMTLANDS LÄN</t>
        </is>
      </c>
      <c r="E911" t="inlineStr">
        <is>
          <t>ÖSTERSUND</t>
        </is>
      </c>
      <c r="G911" t="n">
        <v>0.8</v>
      </c>
      <c r="H911" t="n">
        <v>0</v>
      </c>
      <c r="I911" t="n">
        <v>0</v>
      </c>
      <c r="J911" t="n">
        <v>0</v>
      </c>
      <c r="K911" t="n">
        <v>0</v>
      </c>
      <c r="L911" t="n">
        <v>0</v>
      </c>
      <c r="M911" t="n">
        <v>0</v>
      </c>
      <c r="N911" t="n">
        <v>0</v>
      </c>
      <c r="O911" t="n">
        <v>0</v>
      </c>
      <c r="P911" t="n">
        <v>0</v>
      </c>
      <c r="Q911" t="n">
        <v>0</v>
      </c>
      <c r="R911" s="2" t="inlineStr"/>
    </row>
    <row r="912" ht="15" customHeight="1">
      <c r="A912" t="inlineStr">
        <is>
          <t>A 48131-2024</t>
        </is>
      </c>
      <c r="B912" s="1" t="n">
        <v>45589</v>
      </c>
      <c r="C912" s="1" t="n">
        <v>45645</v>
      </c>
      <c r="D912" t="inlineStr">
        <is>
          <t>JÄMTLANDS LÄN</t>
        </is>
      </c>
      <c r="E912" t="inlineStr">
        <is>
          <t>ÖSTERSUND</t>
        </is>
      </c>
      <c r="G912" t="n">
        <v>2.6</v>
      </c>
      <c r="H912" t="n">
        <v>0</v>
      </c>
      <c r="I912" t="n">
        <v>0</v>
      </c>
      <c r="J912" t="n">
        <v>0</v>
      </c>
      <c r="K912" t="n">
        <v>0</v>
      </c>
      <c r="L912" t="n">
        <v>0</v>
      </c>
      <c r="M912" t="n">
        <v>0</v>
      </c>
      <c r="N912" t="n">
        <v>0</v>
      </c>
      <c r="O912" t="n">
        <v>0</v>
      </c>
      <c r="P912" t="n">
        <v>0</v>
      </c>
      <c r="Q912" t="n">
        <v>0</v>
      </c>
      <c r="R912" s="2" t="inlineStr"/>
    </row>
    <row r="913" ht="15" customHeight="1">
      <c r="A913" t="inlineStr">
        <is>
          <t>A 48106-2024</t>
        </is>
      </c>
      <c r="B913" s="1" t="n">
        <v>45589</v>
      </c>
      <c r="C913" s="1" t="n">
        <v>45645</v>
      </c>
      <c r="D913" t="inlineStr">
        <is>
          <t>JÄMTLANDS LÄN</t>
        </is>
      </c>
      <c r="E913" t="inlineStr">
        <is>
          <t>ÖSTERSUND</t>
        </is>
      </c>
      <c r="G913" t="n">
        <v>3.5</v>
      </c>
      <c r="H913" t="n">
        <v>0</v>
      </c>
      <c r="I913" t="n">
        <v>0</v>
      </c>
      <c r="J913" t="n">
        <v>0</v>
      </c>
      <c r="K913" t="n">
        <v>0</v>
      </c>
      <c r="L913" t="n">
        <v>0</v>
      </c>
      <c r="M913" t="n">
        <v>0</v>
      </c>
      <c r="N913" t="n">
        <v>0</v>
      </c>
      <c r="O913" t="n">
        <v>0</v>
      </c>
      <c r="P913" t="n">
        <v>0</v>
      </c>
      <c r="Q913" t="n">
        <v>0</v>
      </c>
      <c r="R913" s="2" t="inlineStr"/>
    </row>
    <row r="914" ht="15" customHeight="1">
      <c r="A914" t="inlineStr">
        <is>
          <t>A 48421-2024</t>
        </is>
      </c>
      <c r="B914" s="1" t="n">
        <v>45590</v>
      </c>
      <c r="C914" s="1" t="n">
        <v>45645</v>
      </c>
      <c r="D914" t="inlineStr">
        <is>
          <t>JÄMTLANDS LÄN</t>
        </is>
      </c>
      <c r="E914" t="inlineStr">
        <is>
          <t>ÖSTERSUND</t>
        </is>
      </c>
      <c r="G914" t="n">
        <v>1.9</v>
      </c>
      <c r="H914" t="n">
        <v>0</v>
      </c>
      <c r="I914" t="n">
        <v>0</v>
      </c>
      <c r="J914" t="n">
        <v>0</v>
      </c>
      <c r="K914" t="n">
        <v>0</v>
      </c>
      <c r="L914" t="n">
        <v>0</v>
      </c>
      <c r="M914" t="n">
        <v>0</v>
      </c>
      <c r="N914" t="n">
        <v>0</v>
      </c>
      <c r="O914" t="n">
        <v>0</v>
      </c>
      <c r="P914" t="n">
        <v>0</v>
      </c>
      <c r="Q914" t="n">
        <v>0</v>
      </c>
      <c r="R914" s="2" t="inlineStr"/>
    </row>
    <row r="915" ht="15" customHeight="1">
      <c r="A915" t="inlineStr">
        <is>
          <t>A 48422-2024</t>
        </is>
      </c>
      <c r="B915" s="1" t="n">
        <v>45590</v>
      </c>
      <c r="C915" s="1" t="n">
        <v>45645</v>
      </c>
      <c r="D915" t="inlineStr">
        <is>
          <t>JÄMTLANDS LÄN</t>
        </is>
      </c>
      <c r="E915" t="inlineStr">
        <is>
          <t>ÖSTERSUND</t>
        </is>
      </c>
      <c r="G915" t="n">
        <v>14.6</v>
      </c>
      <c r="H915" t="n">
        <v>0</v>
      </c>
      <c r="I915" t="n">
        <v>0</v>
      </c>
      <c r="J915" t="n">
        <v>0</v>
      </c>
      <c r="K915" t="n">
        <v>0</v>
      </c>
      <c r="L915" t="n">
        <v>0</v>
      </c>
      <c r="M915" t="n">
        <v>0</v>
      </c>
      <c r="N915" t="n">
        <v>0</v>
      </c>
      <c r="O915" t="n">
        <v>0</v>
      </c>
      <c r="P915" t="n">
        <v>0</v>
      </c>
      <c r="Q915" t="n">
        <v>0</v>
      </c>
      <c r="R915" s="2" t="inlineStr"/>
    </row>
    <row r="916" ht="15" customHeight="1">
      <c r="A916" t="inlineStr">
        <is>
          <t>A 48696-2024</t>
        </is>
      </c>
      <c r="B916" s="1" t="n">
        <v>45593</v>
      </c>
      <c r="C916" s="1" t="n">
        <v>45645</v>
      </c>
      <c r="D916" t="inlineStr">
        <is>
          <t>JÄMTLANDS LÄN</t>
        </is>
      </c>
      <c r="E916" t="inlineStr">
        <is>
          <t>ÖSTERSUND</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48737-2024</t>
        </is>
      </c>
      <c r="B917" s="1" t="n">
        <v>45593</v>
      </c>
      <c r="C917" s="1" t="n">
        <v>45645</v>
      </c>
      <c r="D917" t="inlineStr">
        <is>
          <t>JÄMTLANDS LÄN</t>
        </is>
      </c>
      <c r="E917" t="inlineStr">
        <is>
          <t>ÖSTERSUND</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49192-2024</t>
        </is>
      </c>
      <c r="B918" s="1" t="n">
        <v>45595</v>
      </c>
      <c r="C918" s="1" t="n">
        <v>45645</v>
      </c>
      <c r="D918" t="inlineStr">
        <is>
          <t>JÄMTLANDS LÄN</t>
        </is>
      </c>
      <c r="E918" t="inlineStr">
        <is>
          <t>ÖSTERSUND</t>
        </is>
      </c>
      <c r="G918" t="n">
        <v>1.1</v>
      </c>
      <c r="H918" t="n">
        <v>0</v>
      </c>
      <c r="I918" t="n">
        <v>0</v>
      </c>
      <c r="J918" t="n">
        <v>0</v>
      </c>
      <c r="K918" t="n">
        <v>0</v>
      </c>
      <c r="L918" t="n">
        <v>0</v>
      </c>
      <c r="M918" t="n">
        <v>0</v>
      </c>
      <c r="N918" t="n">
        <v>0</v>
      </c>
      <c r="O918" t="n">
        <v>0</v>
      </c>
      <c r="P918" t="n">
        <v>0</v>
      </c>
      <c r="Q918" t="n">
        <v>0</v>
      </c>
      <c r="R918" s="2" t="inlineStr"/>
    </row>
    <row r="919" ht="15" customHeight="1">
      <c r="A919" t="inlineStr">
        <is>
          <t>A 49240-2024</t>
        </is>
      </c>
      <c r="B919" s="1" t="n">
        <v>45595</v>
      </c>
      <c r="C919" s="1" t="n">
        <v>45645</v>
      </c>
      <c r="D919" t="inlineStr">
        <is>
          <t>JÄMTLANDS LÄN</t>
        </is>
      </c>
      <c r="E919" t="inlineStr">
        <is>
          <t>ÖSTERSUND</t>
        </is>
      </c>
      <c r="G919" t="n">
        <v>5.1</v>
      </c>
      <c r="H919" t="n">
        <v>0</v>
      </c>
      <c r="I919" t="n">
        <v>0</v>
      </c>
      <c r="J919" t="n">
        <v>0</v>
      </c>
      <c r="K919" t="n">
        <v>0</v>
      </c>
      <c r="L919" t="n">
        <v>0</v>
      </c>
      <c r="M919" t="n">
        <v>0</v>
      </c>
      <c r="N919" t="n">
        <v>0</v>
      </c>
      <c r="O919" t="n">
        <v>0</v>
      </c>
      <c r="P919" t="n">
        <v>0</v>
      </c>
      <c r="Q919" t="n">
        <v>0</v>
      </c>
      <c r="R919" s="2" t="inlineStr"/>
    </row>
    <row r="920" ht="15" customHeight="1">
      <c r="A920" t="inlineStr">
        <is>
          <t>A 49546-2024</t>
        </is>
      </c>
      <c r="B920" s="1" t="n">
        <v>45596</v>
      </c>
      <c r="C920" s="1" t="n">
        <v>45645</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49592-2024</t>
        </is>
      </c>
      <c r="B921" s="1" t="n">
        <v>45596</v>
      </c>
      <c r="C921" s="1" t="n">
        <v>45645</v>
      </c>
      <c r="D921" t="inlineStr">
        <is>
          <t>JÄMTLANDS LÄN</t>
        </is>
      </c>
      <c r="E921" t="inlineStr">
        <is>
          <t>ÖSTERSUND</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49788-2024</t>
        </is>
      </c>
      <c r="B922" s="1" t="n">
        <v>45597</v>
      </c>
      <c r="C922" s="1" t="n">
        <v>45645</v>
      </c>
      <c r="D922" t="inlineStr">
        <is>
          <t>JÄMTLANDS LÄN</t>
        </is>
      </c>
      <c r="E922" t="inlineStr">
        <is>
          <t>ÖSTERSUND</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50088-2024</t>
        </is>
      </c>
      <c r="B923" s="1" t="n">
        <v>45600</v>
      </c>
      <c r="C923" s="1" t="n">
        <v>45645</v>
      </c>
      <c r="D923" t="inlineStr">
        <is>
          <t>JÄMTLANDS LÄN</t>
        </is>
      </c>
      <c r="E923" t="inlineStr">
        <is>
          <t>ÖSTERSUND</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50218-2024</t>
        </is>
      </c>
      <c r="B924" s="1" t="n">
        <v>45600</v>
      </c>
      <c r="C924" s="1" t="n">
        <v>45645</v>
      </c>
      <c r="D924" t="inlineStr">
        <is>
          <t>JÄMTLANDS LÄN</t>
        </is>
      </c>
      <c r="E924" t="inlineStr">
        <is>
          <t>ÖSTERSUND</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50560-2024</t>
        </is>
      </c>
      <c r="B925" s="1" t="n">
        <v>45601</v>
      </c>
      <c r="C925" s="1" t="n">
        <v>45645</v>
      </c>
      <c r="D925" t="inlineStr">
        <is>
          <t>JÄMTLANDS LÄN</t>
        </is>
      </c>
      <c r="E925" t="inlineStr">
        <is>
          <t>ÖSTERSUND</t>
        </is>
      </c>
      <c r="G925" t="n">
        <v>2.3</v>
      </c>
      <c r="H925" t="n">
        <v>0</v>
      </c>
      <c r="I925" t="n">
        <v>0</v>
      </c>
      <c r="J925" t="n">
        <v>0</v>
      </c>
      <c r="K925" t="n">
        <v>0</v>
      </c>
      <c r="L925" t="n">
        <v>0</v>
      </c>
      <c r="M925" t="n">
        <v>0</v>
      </c>
      <c r="N925" t="n">
        <v>0</v>
      </c>
      <c r="O925" t="n">
        <v>0</v>
      </c>
      <c r="P925" t="n">
        <v>0</v>
      </c>
      <c r="Q925" t="n">
        <v>0</v>
      </c>
      <c r="R925" s="2" t="inlineStr"/>
    </row>
    <row r="926" ht="15" customHeight="1">
      <c r="A926" t="inlineStr">
        <is>
          <t>A 50860-2024</t>
        </is>
      </c>
      <c r="B926" s="1" t="n">
        <v>45602</v>
      </c>
      <c r="C926" s="1" t="n">
        <v>45645</v>
      </c>
      <c r="D926" t="inlineStr">
        <is>
          <t>JÄMTLANDS LÄN</t>
        </is>
      </c>
      <c r="E926" t="inlineStr">
        <is>
          <t>ÖSTERSUND</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50861-2024</t>
        </is>
      </c>
      <c r="B927" s="1" t="n">
        <v>45602</v>
      </c>
      <c r="C927" s="1" t="n">
        <v>45645</v>
      </c>
      <c r="D927" t="inlineStr">
        <is>
          <t>JÄMTLANDS LÄN</t>
        </is>
      </c>
      <c r="E927" t="inlineStr">
        <is>
          <t>ÖSTERSUND</t>
        </is>
      </c>
      <c r="G927" t="n">
        <v>5</v>
      </c>
      <c r="H927" t="n">
        <v>0</v>
      </c>
      <c r="I927" t="n">
        <v>0</v>
      </c>
      <c r="J927" t="n">
        <v>0</v>
      </c>
      <c r="K927" t="n">
        <v>0</v>
      </c>
      <c r="L927" t="n">
        <v>0</v>
      </c>
      <c r="M927" t="n">
        <v>0</v>
      </c>
      <c r="N927" t="n">
        <v>0</v>
      </c>
      <c r="O927" t="n">
        <v>0</v>
      </c>
      <c r="P927" t="n">
        <v>0</v>
      </c>
      <c r="Q927" t="n">
        <v>0</v>
      </c>
      <c r="R927" s="2" t="inlineStr"/>
    </row>
    <row r="928" ht="15" customHeight="1">
      <c r="A928" t="inlineStr">
        <is>
          <t>A 50971-2024</t>
        </is>
      </c>
      <c r="B928" s="1" t="n">
        <v>45603</v>
      </c>
      <c r="C928" s="1" t="n">
        <v>45645</v>
      </c>
      <c r="D928" t="inlineStr">
        <is>
          <t>JÄMTLANDS LÄN</t>
        </is>
      </c>
      <c r="E928" t="inlineStr">
        <is>
          <t>ÖSTERSUND</t>
        </is>
      </c>
      <c r="G928" t="n">
        <v>3.2</v>
      </c>
      <c r="H928" t="n">
        <v>0</v>
      </c>
      <c r="I928" t="n">
        <v>0</v>
      </c>
      <c r="J928" t="n">
        <v>0</v>
      </c>
      <c r="K928" t="n">
        <v>0</v>
      </c>
      <c r="L928" t="n">
        <v>0</v>
      </c>
      <c r="M928" t="n">
        <v>0</v>
      </c>
      <c r="N928" t="n">
        <v>0</v>
      </c>
      <c r="O928" t="n">
        <v>0</v>
      </c>
      <c r="P928" t="n">
        <v>0</v>
      </c>
      <c r="Q928" t="n">
        <v>0</v>
      </c>
      <c r="R928" s="2" t="inlineStr"/>
    </row>
    <row r="929" ht="15" customHeight="1">
      <c r="A929" t="inlineStr">
        <is>
          <t>A 51379-2024</t>
        </is>
      </c>
      <c r="B929" s="1" t="n">
        <v>45604</v>
      </c>
      <c r="C929" s="1" t="n">
        <v>45645</v>
      </c>
      <c r="D929" t="inlineStr">
        <is>
          <t>JÄMTLANDS LÄN</t>
        </is>
      </c>
      <c r="E929" t="inlineStr">
        <is>
          <t>ÖSTERSUND</t>
        </is>
      </c>
      <c r="G929" t="n">
        <v>2</v>
      </c>
      <c r="H929" t="n">
        <v>0</v>
      </c>
      <c r="I929" t="n">
        <v>0</v>
      </c>
      <c r="J929" t="n">
        <v>0</v>
      </c>
      <c r="K929" t="n">
        <v>0</v>
      </c>
      <c r="L929" t="n">
        <v>0</v>
      </c>
      <c r="M929" t="n">
        <v>0</v>
      </c>
      <c r="N929" t="n">
        <v>0</v>
      </c>
      <c r="O929" t="n">
        <v>0</v>
      </c>
      <c r="P929" t="n">
        <v>0</v>
      </c>
      <c r="Q929" t="n">
        <v>0</v>
      </c>
      <c r="R929" s="2" t="inlineStr"/>
    </row>
    <row r="930" ht="15" customHeight="1">
      <c r="A930" t="inlineStr">
        <is>
          <t>A 51856-2024</t>
        </is>
      </c>
      <c r="B930" s="1" t="n">
        <v>45607</v>
      </c>
      <c r="C930" s="1" t="n">
        <v>45645</v>
      </c>
      <c r="D930" t="inlineStr">
        <is>
          <t>JÄMTLANDS LÄN</t>
        </is>
      </c>
      <c r="E930" t="inlineStr">
        <is>
          <t>ÖSTERSUND</t>
        </is>
      </c>
      <c r="G930" t="n">
        <v>13.5</v>
      </c>
      <c r="H930" t="n">
        <v>0</v>
      </c>
      <c r="I930" t="n">
        <v>0</v>
      </c>
      <c r="J930" t="n">
        <v>0</v>
      </c>
      <c r="K930" t="n">
        <v>0</v>
      </c>
      <c r="L930" t="n">
        <v>0</v>
      </c>
      <c r="M930" t="n">
        <v>0</v>
      </c>
      <c r="N930" t="n">
        <v>0</v>
      </c>
      <c r="O930" t="n">
        <v>0</v>
      </c>
      <c r="P930" t="n">
        <v>0</v>
      </c>
      <c r="Q930" t="n">
        <v>0</v>
      </c>
      <c r="R930" s="2" t="inlineStr"/>
    </row>
    <row r="931" ht="15" customHeight="1">
      <c r="A931" t="inlineStr">
        <is>
          <t>A 51865-2024</t>
        </is>
      </c>
      <c r="B931" s="1" t="n">
        <v>45607</v>
      </c>
      <c r="C931" s="1" t="n">
        <v>45645</v>
      </c>
      <c r="D931" t="inlineStr">
        <is>
          <t>JÄMTLANDS LÄN</t>
        </is>
      </c>
      <c r="E931" t="inlineStr">
        <is>
          <t>ÖSTERSUND</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51818-2024</t>
        </is>
      </c>
      <c r="B932" s="1" t="n">
        <v>45607</v>
      </c>
      <c r="C932" s="1" t="n">
        <v>45645</v>
      </c>
      <c r="D932" t="inlineStr">
        <is>
          <t>JÄMTLANDS LÄN</t>
        </is>
      </c>
      <c r="E932" t="inlineStr">
        <is>
          <t>ÖSTERSUND</t>
        </is>
      </c>
      <c r="G932" t="n">
        <v>4.6</v>
      </c>
      <c r="H932" t="n">
        <v>0</v>
      </c>
      <c r="I932" t="n">
        <v>0</v>
      </c>
      <c r="J932" t="n">
        <v>0</v>
      </c>
      <c r="K932" t="n">
        <v>0</v>
      </c>
      <c r="L932" t="n">
        <v>0</v>
      </c>
      <c r="M932" t="n">
        <v>0</v>
      </c>
      <c r="N932" t="n">
        <v>0</v>
      </c>
      <c r="O932" t="n">
        <v>0</v>
      </c>
      <c r="P932" t="n">
        <v>0</v>
      </c>
      <c r="Q932" t="n">
        <v>0</v>
      </c>
      <c r="R932" s="2" t="inlineStr"/>
    </row>
    <row r="933" ht="15" customHeight="1">
      <c r="A933" t="inlineStr">
        <is>
          <t>A 51826-2024</t>
        </is>
      </c>
      <c r="B933" s="1" t="n">
        <v>45607</v>
      </c>
      <c r="C933" s="1" t="n">
        <v>45645</v>
      </c>
      <c r="D933" t="inlineStr">
        <is>
          <t>JÄMTLANDS LÄN</t>
        </is>
      </c>
      <c r="E933" t="inlineStr">
        <is>
          <t>ÖSTERSUND</t>
        </is>
      </c>
      <c r="G933" t="n">
        <v>1.1</v>
      </c>
      <c r="H933" t="n">
        <v>0</v>
      </c>
      <c r="I933" t="n">
        <v>0</v>
      </c>
      <c r="J933" t="n">
        <v>0</v>
      </c>
      <c r="K933" t="n">
        <v>0</v>
      </c>
      <c r="L933" t="n">
        <v>0</v>
      </c>
      <c r="M933" t="n">
        <v>0</v>
      </c>
      <c r="N933" t="n">
        <v>0</v>
      </c>
      <c r="O933" t="n">
        <v>0</v>
      </c>
      <c r="P933" t="n">
        <v>0</v>
      </c>
      <c r="Q933" t="n">
        <v>0</v>
      </c>
      <c r="R933" s="2" t="inlineStr"/>
    </row>
    <row r="934" ht="15" customHeight="1">
      <c r="A934" t="inlineStr">
        <is>
          <t>A 52405-2024</t>
        </is>
      </c>
      <c r="B934" s="1" t="n">
        <v>45609</v>
      </c>
      <c r="C934" s="1" t="n">
        <v>45645</v>
      </c>
      <c r="D934" t="inlineStr">
        <is>
          <t>JÄMTLANDS LÄN</t>
        </is>
      </c>
      <c r="E934" t="inlineStr">
        <is>
          <t>ÖSTERSUND</t>
        </is>
      </c>
      <c r="G934" t="n">
        <v>4.3</v>
      </c>
      <c r="H934" t="n">
        <v>0</v>
      </c>
      <c r="I934" t="n">
        <v>0</v>
      </c>
      <c r="J934" t="n">
        <v>0</v>
      </c>
      <c r="K934" t="n">
        <v>0</v>
      </c>
      <c r="L934" t="n">
        <v>0</v>
      </c>
      <c r="M934" t="n">
        <v>0</v>
      </c>
      <c r="N934" t="n">
        <v>0</v>
      </c>
      <c r="O934" t="n">
        <v>0</v>
      </c>
      <c r="P934" t="n">
        <v>0</v>
      </c>
      <c r="Q934" t="n">
        <v>0</v>
      </c>
      <c r="R934" s="2" t="inlineStr"/>
    </row>
    <row r="935" ht="15" customHeight="1">
      <c r="A935" t="inlineStr">
        <is>
          <t>A 52480-2024</t>
        </is>
      </c>
      <c r="B935" s="1" t="n">
        <v>45609</v>
      </c>
      <c r="C935" s="1" t="n">
        <v>45645</v>
      </c>
      <c r="D935" t="inlineStr">
        <is>
          <t>JÄMTLANDS LÄN</t>
        </is>
      </c>
      <c r="E935" t="inlineStr">
        <is>
          <t>ÖSTERSUND</t>
        </is>
      </c>
      <c r="G935" t="n">
        <v>20.2</v>
      </c>
      <c r="H935" t="n">
        <v>0</v>
      </c>
      <c r="I935" t="n">
        <v>0</v>
      </c>
      <c r="J935" t="n">
        <v>0</v>
      </c>
      <c r="K935" t="n">
        <v>0</v>
      </c>
      <c r="L935" t="n">
        <v>0</v>
      </c>
      <c r="M935" t="n">
        <v>0</v>
      </c>
      <c r="N935" t="n">
        <v>0</v>
      </c>
      <c r="O935" t="n">
        <v>0</v>
      </c>
      <c r="P935" t="n">
        <v>0</v>
      </c>
      <c r="Q935" t="n">
        <v>0</v>
      </c>
      <c r="R935" s="2" t="inlineStr"/>
    </row>
    <row r="936" ht="15" customHeight="1">
      <c r="A936" t="inlineStr">
        <is>
          <t>A 52483-2024</t>
        </is>
      </c>
      <c r="B936" s="1" t="n">
        <v>45609</v>
      </c>
      <c r="C936" s="1" t="n">
        <v>45645</v>
      </c>
      <c r="D936" t="inlineStr">
        <is>
          <t>JÄMTLANDS LÄN</t>
        </is>
      </c>
      <c r="E936" t="inlineStr">
        <is>
          <t>ÖSTERSUND</t>
        </is>
      </c>
      <c r="G936" t="n">
        <v>3</v>
      </c>
      <c r="H936" t="n">
        <v>0</v>
      </c>
      <c r="I936" t="n">
        <v>0</v>
      </c>
      <c r="J936" t="n">
        <v>0</v>
      </c>
      <c r="K936" t="n">
        <v>0</v>
      </c>
      <c r="L936" t="n">
        <v>0</v>
      </c>
      <c r="M936" t="n">
        <v>0</v>
      </c>
      <c r="N936" t="n">
        <v>0</v>
      </c>
      <c r="O936" t="n">
        <v>0</v>
      </c>
      <c r="P936" t="n">
        <v>0</v>
      </c>
      <c r="Q936" t="n">
        <v>0</v>
      </c>
      <c r="R936" s="2" t="inlineStr"/>
    </row>
    <row r="937" ht="15" customHeight="1">
      <c r="A937" t="inlineStr">
        <is>
          <t>A 52481-2024</t>
        </is>
      </c>
      <c r="B937" s="1" t="n">
        <v>45609</v>
      </c>
      <c r="C937" s="1" t="n">
        <v>45645</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52482-2024</t>
        </is>
      </c>
      <c r="B938" s="1" t="n">
        <v>45609</v>
      </c>
      <c r="C938" s="1" t="n">
        <v>45645</v>
      </c>
      <c r="D938" t="inlineStr">
        <is>
          <t>JÄMTLANDS LÄN</t>
        </is>
      </c>
      <c r="E938" t="inlineStr">
        <is>
          <t>ÖSTERSUND</t>
        </is>
      </c>
      <c r="G938" t="n">
        <v>7.3</v>
      </c>
      <c r="H938" t="n">
        <v>0</v>
      </c>
      <c r="I938" t="n">
        <v>0</v>
      </c>
      <c r="J938" t="n">
        <v>0</v>
      </c>
      <c r="K938" t="n">
        <v>0</v>
      </c>
      <c r="L938" t="n">
        <v>0</v>
      </c>
      <c r="M938" t="n">
        <v>0</v>
      </c>
      <c r="N938" t="n">
        <v>0</v>
      </c>
      <c r="O938" t="n">
        <v>0</v>
      </c>
      <c r="P938" t="n">
        <v>0</v>
      </c>
      <c r="Q938" t="n">
        <v>0</v>
      </c>
      <c r="R938" s="2" t="inlineStr"/>
    </row>
    <row r="939" ht="15" customHeight="1">
      <c r="A939" t="inlineStr">
        <is>
          <t>A 52854-2024</t>
        </is>
      </c>
      <c r="B939" s="1" t="n">
        <v>45610</v>
      </c>
      <c r="C939" s="1" t="n">
        <v>45645</v>
      </c>
      <c r="D939" t="inlineStr">
        <is>
          <t>JÄMTLANDS LÄN</t>
        </is>
      </c>
      <c r="E939" t="inlineStr">
        <is>
          <t>ÖSTERSUND</t>
        </is>
      </c>
      <c r="G939" t="n">
        <v>2.5</v>
      </c>
      <c r="H939" t="n">
        <v>0</v>
      </c>
      <c r="I939" t="n">
        <v>0</v>
      </c>
      <c r="J939" t="n">
        <v>0</v>
      </c>
      <c r="K939" t="n">
        <v>0</v>
      </c>
      <c r="L939" t="n">
        <v>0</v>
      </c>
      <c r="M939" t="n">
        <v>0</v>
      </c>
      <c r="N939" t="n">
        <v>0</v>
      </c>
      <c r="O939" t="n">
        <v>0</v>
      </c>
      <c r="P939" t="n">
        <v>0</v>
      </c>
      <c r="Q939" t="n">
        <v>0</v>
      </c>
      <c r="R939" s="2" t="inlineStr"/>
    </row>
    <row r="940" ht="15" customHeight="1">
      <c r="A940" t="inlineStr">
        <is>
          <t>A 53060-2024</t>
        </is>
      </c>
      <c r="B940" s="1" t="n">
        <v>45611</v>
      </c>
      <c r="C940" s="1" t="n">
        <v>45645</v>
      </c>
      <c r="D940" t="inlineStr">
        <is>
          <t>JÄMTLANDS LÄN</t>
        </is>
      </c>
      <c r="E940" t="inlineStr">
        <is>
          <t>ÖSTERSUND</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53176-2024</t>
        </is>
      </c>
      <c r="B941" s="1" t="n">
        <v>45611</v>
      </c>
      <c r="C941" s="1" t="n">
        <v>45645</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53130-2024</t>
        </is>
      </c>
      <c r="B942" s="1" t="n">
        <v>45611</v>
      </c>
      <c r="C942" s="1" t="n">
        <v>45645</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53516-2024</t>
        </is>
      </c>
      <c r="B943" s="1" t="n">
        <v>45614</v>
      </c>
      <c r="C943" s="1" t="n">
        <v>45645</v>
      </c>
      <c r="D943" t="inlineStr">
        <is>
          <t>JÄMTLANDS LÄN</t>
        </is>
      </c>
      <c r="E943" t="inlineStr">
        <is>
          <t>ÖSTERSUND</t>
        </is>
      </c>
      <c r="G943" t="n">
        <v>4.5</v>
      </c>
      <c r="H943" t="n">
        <v>0</v>
      </c>
      <c r="I943" t="n">
        <v>0</v>
      </c>
      <c r="J943" t="n">
        <v>0</v>
      </c>
      <c r="K943" t="n">
        <v>0</v>
      </c>
      <c r="L943" t="n">
        <v>0</v>
      </c>
      <c r="M943" t="n">
        <v>0</v>
      </c>
      <c r="N943" t="n">
        <v>0</v>
      </c>
      <c r="O943" t="n">
        <v>0</v>
      </c>
      <c r="P943" t="n">
        <v>0</v>
      </c>
      <c r="Q943" t="n">
        <v>0</v>
      </c>
      <c r="R943" s="2" t="inlineStr"/>
    </row>
    <row r="944" ht="15" customHeight="1">
      <c r="A944" t="inlineStr">
        <is>
          <t>A 53520-2024</t>
        </is>
      </c>
      <c r="B944" s="1" t="n">
        <v>45614</v>
      </c>
      <c r="C944" s="1" t="n">
        <v>45645</v>
      </c>
      <c r="D944" t="inlineStr">
        <is>
          <t>JÄMTLANDS LÄN</t>
        </is>
      </c>
      <c r="E944" t="inlineStr">
        <is>
          <t>ÖSTERSUND</t>
        </is>
      </c>
      <c r="G944" t="n">
        <v>3</v>
      </c>
      <c r="H944" t="n">
        <v>0</v>
      </c>
      <c r="I944" t="n">
        <v>0</v>
      </c>
      <c r="J944" t="n">
        <v>0</v>
      </c>
      <c r="K944" t="n">
        <v>0</v>
      </c>
      <c r="L944" t="n">
        <v>0</v>
      </c>
      <c r="M944" t="n">
        <v>0</v>
      </c>
      <c r="N944" t="n">
        <v>0</v>
      </c>
      <c r="O944" t="n">
        <v>0</v>
      </c>
      <c r="P944" t="n">
        <v>0</v>
      </c>
      <c r="Q944" t="n">
        <v>0</v>
      </c>
      <c r="R944" s="2" t="inlineStr"/>
    </row>
    <row r="945" ht="15" customHeight="1">
      <c r="A945" t="inlineStr">
        <is>
          <t>A 53536-2024</t>
        </is>
      </c>
      <c r="B945" s="1" t="n">
        <v>45614</v>
      </c>
      <c r="C945" s="1" t="n">
        <v>45645</v>
      </c>
      <c r="D945" t="inlineStr">
        <is>
          <t>JÄMTLANDS LÄN</t>
        </is>
      </c>
      <c r="E945" t="inlineStr">
        <is>
          <t>ÖSTERSUND</t>
        </is>
      </c>
      <c r="G945" t="n">
        <v>4.1</v>
      </c>
      <c r="H945" t="n">
        <v>0</v>
      </c>
      <c r="I945" t="n">
        <v>0</v>
      </c>
      <c r="J945" t="n">
        <v>0</v>
      </c>
      <c r="K945" t="n">
        <v>0</v>
      </c>
      <c r="L945" t="n">
        <v>0</v>
      </c>
      <c r="M945" t="n">
        <v>0</v>
      </c>
      <c r="N945" t="n">
        <v>0</v>
      </c>
      <c r="O945" t="n">
        <v>0</v>
      </c>
      <c r="P945" t="n">
        <v>0</v>
      </c>
      <c r="Q945" t="n">
        <v>0</v>
      </c>
      <c r="R945" s="2" t="inlineStr"/>
    </row>
    <row r="946" ht="15" customHeight="1">
      <c r="A946" t="inlineStr">
        <is>
          <t>A 53745-2024</t>
        </is>
      </c>
      <c r="B946" s="1" t="n">
        <v>45615</v>
      </c>
      <c r="C946" s="1" t="n">
        <v>45645</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53864-2024</t>
        </is>
      </c>
      <c r="B947" s="1" t="n">
        <v>45615</v>
      </c>
      <c r="C947" s="1" t="n">
        <v>45645</v>
      </c>
      <c r="D947" t="inlineStr">
        <is>
          <t>JÄMTLANDS LÄN</t>
        </is>
      </c>
      <c r="E947" t="inlineStr">
        <is>
          <t>ÖSTERSUND</t>
        </is>
      </c>
      <c r="G947" t="n">
        <v>5.5</v>
      </c>
      <c r="H947" t="n">
        <v>0</v>
      </c>
      <c r="I947" t="n">
        <v>0</v>
      </c>
      <c r="J947" t="n">
        <v>0</v>
      </c>
      <c r="K947" t="n">
        <v>0</v>
      </c>
      <c r="L947" t="n">
        <v>0</v>
      </c>
      <c r="M947" t="n">
        <v>0</v>
      </c>
      <c r="N947" t="n">
        <v>0</v>
      </c>
      <c r="O947" t="n">
        <v>0</v>
      </c>
      <c r="P947" t="n">
        <v>0</v>
      </c>
      <c r="Q947" t="n">
        <v>0</v>
      </c>
      <c r="R947" s="2" t="inlineStr"/>
    </row>
    <row r="948" ht="15" customHeight="1">
      <c r="A948" t="inlineStr">
        <is>
          <t>A 53660-2024</t>
        </is>
      </c>
      <c r="B948" s="1" t="n">
        <v>45615</v>
      </c>
      <c r="C948" s="1" t="n">
        <v>45645</v>
      </c>
      <c r="D948" t="inlineStr">
        <is>
          <t>JÄMTLANDS LÄN</t>
        </is>
      </c>
      <c r="E948" t="inlineStr">
        <is>
          <t>ÖSTERSUND</t>
        </is>
      </c>
      <c r="G948" t="n">
        <v>1.1</v>
      </c>
      <c r="H948" t="n">
        <v>0</v>
      </c>
      <c r="I948" t="n">
        <v>0</v>
      </c>
      <c r="J948" t="n">
        <v>0</v>
      </c>
      <c r="K948" t="n">
        <v>0</v>
      </c>
      <c r="L948" t="n">
        <v>0</v>
      </c>
      <c r="M948" t="n">
        <v>0</v>
      </c>
      <c r="N948" t="n">
        <v>0</v>
      </c>
      <c r="O948" t="n">
        <v>0</v>
      </c>
      <c r="P948" t="n">
        <v>0</v>
      </c>
      <c r="Q948" t="n">
        <v>0</v>
      </c>
      <c r="R948" s="2" t="inlineStr"/>
    </row>
    <row r="949" ht="15" customHeight="1">
      <c r="A949" t="inlineStr">
        <is>
          <t>A 54237-2024</t>
        </is>
      </c>
      <c r="B949" s="1" t="n">
        <v>45616</v>
      </c>
      <c r="C949" s="1" t="n">
        <v>45645</v>
      </c>
      <c r="D949" t="inlineStr">
        <is>
          <t>JÄMTLANDS LÄN</t>
        </is>
      </c>
      <c r="E949" t="inlineStr">
        <is>
          <t>ÖSTERSUND</t>
        </is>
      </c>
      <c r="F949" t="inlineStr">
        <is>
          <t>SCA</t>
        </is>
      </c>
      <c r="G949" t="n">
        <v>8.9</v>
      </c>
      <c r="H949" t="n">
        <v>0</v>
      </c>
      <c r="I949" t="n">
        <v>0</v>
      </c>
      <c r="J949" t="n">
        <v>0</v>
      </c>
      <c r="K949" t="n">
        <v>0</v>
      </c>
      <c r="L949" t="n">
        <v>0</v>
      </c>
      <c r="M949" t="n">
        <v>0</v>
      </c>
      <c r="N949" t="n">
        <v>0</v>
      </c>
      <c r="O949" t="n">
        <v>0</v>
      </c>
      <c r="P949" t="n">
        <v>0</v>
      </c>
      <c r="Q949" t="n">
        <v>0</v>
      </c>
      <c r="R949" s="2" t="inlineStr"/>
    </row>
    <row r="950" ht="15" customHeight="1">
      <c r="A950" t="inlineStr">
        <is>
          <t>A 54354-2024</t>
        </is>
      </c>
      <c r="B950" s="1" t="n">
        <v>45617</v>
      </c>
      <c r="C950" s="1" t="n">
        <v>45645</v>
      </c>
      <c r="D950" t="inlineStr">
        <is>
          <t>JÄMTLANDS LÄN</t>
        </is>
      </c>
      <c r="E950" t="inlineStr">
        <is>
          <t>ÖSTERSUND</t>
        </is>
      </c>
      <c r="G950" t="n">
        <v>7</v>
      </c>
      <c r="H950" t="n">
        <v>0</v>
      </c>
      <c r="I950" t="n">
        <v>0</v>
      </c>
      <c r="J950" t="n">
        <v>0</v>
      </c>
      <c r="K950" t="n">
        <v>0</v>
      </c>
      <c r="L950" t="n">
        <v>0</v>
      </c>
      <c r="M950" t="n">
        <v>0</v>
      </c>
      <c r="N950" t="n">
        <v>0</v>
      </c>
      <c r="O950" t="n">
        <v>0</v>
      </c>
      <c r="P950" t="n">
        <v>0</v>
      </c>
      <c r="Q950" t="n">
        <v>0</v>
      </c>
      <c r="R950" s="2" t="inlineStr"/>
    </row>
    <row r="951" ht="15" customHeight="1">
      <c r="A951" t="inlineStr">
        <is>
          <t>A 54317-2024</t>
        </is>
      </c>
      <c r="B951" s="1" t="n">
        <v>45617</v>
      </c>
      <c r="C951" s="1" t="n">
        <v>45645</v>
      </c>
      <c r="D951" t="inlineStr">
        <is>
          <t>JÄMTLANDS LÄN</t>
        </is>
      </c>
      <c r="E951" t="inlineStr">
        <is>
          <t>ÖSTERSUND</t>
        </is>
      </c>
      <c r="G951" t="n">
        <v>4.3</v>
      </c>
      <c r="H951" t="n">
        <v>0</v>
      </c>
      <c r="I951" t="n">
        <v>0</v>
      </c>
      <c r="J951" t="n">
        <v>0</v>
      </c>
      <c r="K951" t="n">
        <v>0</v>
      </c>
      <c r="L951" t="n">
        <v>0</v>
      </c>
      <c r="M951" t="n">
        <v>0</v>
      </c>
      <c r="N951" t="n">
        <v>0</v>
      </c>
      <c r="O951" t="n">
        <v>0</v>
      </c>
      <c r="P951" t="n">
        <v>0</v>
      </c>
      <c r="Q951" t="n">
        <v>0</v>
      </c>
      <c r="R951" s="2" t="inlineStr"/>
    </row>
    <row r="952" ht="15" customHeight="1">
      <c r="A952" t="inlineStr">
        <is>
          <t>A 54359-2024</t>
        </is>
      </c>
      <c r="B952" s="1" t="n">
        <v>45617</v>
      </c>
      <c r="C952" s="1" t="n">
        <v>45645</v>
      </c>
      <c r="D952" t="inlineStr">
        <is>
          <t>JÄMTLANDS LÄN</t>
        </is>
      </c>
      <c r="E952" t="inlineStr">
        <is>
          <t>ÖSTERSUND</t>
        </is>
      </c>
      <c r="G952" t="n">
        <v>3.2</v>
      </c>
      <c r="H952" t="n">
        <v>0</v>
      </c>
      <c r="I952" t="n">
        <v>0</v>
      </c>
      <c r="J952" t="n">
        <v>0</v>
      </c>
      <c r="K952" t="n">
        <v>0</v>
      </c>
      <c r="L952" t="n">
        <v>0</v>
      </c>
      <c r="M952" t="n">
        <v>0</v>
      </c>
      <c r="N952" t="n">
        <v>0</v>
      </c>
      <c r="O952" t="n">
        <v>0</v>
      </c>
      <c r="P952" t="n">
        <v>0</v>
      </c>
      <c r="Q952" t="n">
        <v>0</v>
      </c>
      <c r="R952" s="2" t="inlineStr"/>
    </row>
    <row r="953" ht="15" customHeight="1">
      <c r="A953" t="inlineStr">
        <is>
          <t>A 54587-2024</t>
        </is>
      </c>
      <c r="B953" s="1" t="n">
        <v>45617</v>
      </c>
      <c r="C953" s="1" t="n">
        <v>45645</v>
      </c>
      <c r="D953" t="inlineStr">
        <is>
          <t>JÄMTLANDS LÄN</t>
        </is>
      </c>
      <c r="E953" t="inlineStr">
        <is>
          <t>ÖSTERSUND</t>
        </is>
      </c>
      <c r="G953" t="n">
        <v>14</v>
      </c>
      <c r="H953" t="n">
        <v>0</v>
      </c>
      <c r="I953" t="n">
        <v>0</v>
      </c>
      <c r="J953" t="n">
        <v>0</v>
      </c>
      <c r="K953" t="n">
        <v>0</v>
      </c>
      <c r="L953" t="n">
        <v>0</v>
      </c>
      <c r="M953" t="n">
        <v>0</v>
      </c>
      <c r="N953" t="n">
        <v>0</v>
      </c>
      <c r="O953" t="n">
        <v>0</v>
      </c>
      <c r="P953" t="n">
        <v>0</v>
      </c>
      <c r="Q953" t="n">
        <v>0</v>
      </c>
      <c r="R953" s="2" t="inlineStr"/>
    </row>
    <row r="954" ht="15" customHeight="1">
      <c r="A954" t="inlineStr">
        <is>
          <t>A 54913-2024</t>
        </is>
      </c>
      <c r="B954" s="1" t="n">
        <v>45618</v>
      </c>
      <c r="C954" s="1" t="n">
        <v>45645</v>
      </c>
      <c r="D954" t="inlineStr">
        <is>
          <t>JÄMTLANDS LÄN</t>
        </is>
      </c>
      <c r="E954" t="inlineStr">
        <is>
          <t>ÖSTERSUND</t>
        </is>
      </c>
      <c r="G954" t="n">
        <v>4.7</v>
      </c>
      <c r="H954" t="n">
        <v>0</v>
      </c>
      <c r="I954" t="n">
        <v>0</v>
      </c>
      <c r="J954" t="n">
        <v>0</v>
      </c>
      <c r="K954" t="n">
        <v>0</v>
      </c>
      <c r="L954" t="n">
        <v>0</v>
      </c>
      <c r="M954" t="n">
        <v>0</v>
      </c>
      <c r="N954" t="n">
        <v>0</v>
      </c>
      <c r="O954" t="n">
        <v>0</v>
      </c>
      <c r="P954" t="n">
        <v>0</v>
      </c>
      <c r="Q954" t="n">
        <v>0</v>
      </c>
      <c r="R954" s="2" t="inlineStr"/>
    </row>
    <row r="955" ht="15" customHeight="1">
      <c r="A955" t="inlineStr">
        <is>
          <t>A 55061-2024</t>
        </is>
      </c>
      <c r="B955" s="1" t="n">
        <v>45621</v>
      </c>
      <c r="C955" s="1" t="n">
        <v>45645</v>
      </c>
      <c r="D955" t="inlineStr">
        <is>
          <t>JÄMTLANDS LÄN</t>
        </is>
      </c>
      <c r="E955" t="inlineStr">
        <is>
          <t>ÖSTERSUND</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55002-2024</t>
        </is>
      </c>
      <c r="B956" s="1" t="n">
        <v>45621</v>
      </c>
      <c r="C956" s="1" t="n">
        <v>45645</v>
      </c>
      <c r="D956" t="inlineStr">
        <is>
          <t>JÄMTLANDS LÄN</t>
        </is>
      </c>
      <c r="E956" t="inlineStr">
        <is>
          <t>ÖSTERSUND</t>
        </is>
      </c>
      <c r="F956" t="inlineStr">
        <is>
          <t>Övriga Aktiebolag</t>
        </is>
      </c>
      <c r="G956" t="n">
        <v>0.3</v>
      </c>
      <c r="H956" t="n">
        <v>0</v>
      </c>
      <c r="I956" t="n">
        <v>0</v>
      </c>
      <c r="J956" t="n">
        <v>0</v>
      </c>
      <c r="K956" t="n">
        <v>0</v>
      </c>
      <c r="L956" t="n">
        <v>0</v>
      </c>
      <c r="M956" t="n">
        <v>0</v>
      </c>
      <c r="N956" t="n">
        <v>0</v>
      </c>
      <c r="O956" t="n">
        <v>0</v>
      </c>
      <c r="P956" t="n">
        <v>0</v>
      </c>
      <c r="Q956" t="n">
        <v>0</v>
      </c>
      <c r="R956" s="2" t="inlineStr"/>
    </row>
    <row r="957" ht="15" customHeight="1">
      <c r="A957" t="inlineStr">
        <is>
          <t>A 55064-2024</t>
        </is>
      </c>
      <c r="B957" s="1" t="n">
        <v>45621</v>
      </c>
      <c r="C957" s="1" t="n">
        <v>45645</v>
      </c>
      <c r="D957" t="inlineStr">
        <is>
          <t>JÄMTLANDS LÄN</t>
        </is>
      </c>
      <c r="E957" t="inlineStr">
        <is>
          <t>ÖSTERSUND</t>
        </is>
      </c>
      <c r="G957" t="n">
        <v>0.8</v>
      </c>
      <c r="H957" t="n">
        <v>0</v>
      </c>
      <c r="I957" t="n">
        <v>0</v>
      </c>
      <c r="J957" t="n">
        <v>0</v>
      </c>
      <c r="K957" t="n">
        <v>0</v>
      </c>
      <c r="L957" t="n">
        <v>0</v>
      </c>
      <c r="M957" t="n">
        <v>0</v>
      </c>
      <c r="N957" t="n">
        <v>0</v>
      </c>
      <c r="O957" t="n">
        <v>0</v>
      </c>
      <c r="P957" t="n">
        <v>0</v>
      </c>
      <c r="Q957" t="n">
        <v>0</v>
      </c>
      <c r="R957" s="2" t="inlineStr"/>
    </row>
    <row r="958" ht="15" customHeight="1">
      <c r="A958" t="inlineStr">
        <is>
          <t>A 55294-2024</t>
        </is>
      </c>
      <c r="B958" s="1" t="n">
        <v>45621</v>
      </c>
      <c r="C958" s="1" t="n">
        <v>45645</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55302-2024</t>
        </is>
      </c>
      <c r="B959" s="1" t="n">
        <v>45621</v>
      </c>
      <c r="C959" s="1" t="n">
        <v>45645</v>
      </c>
      <c r="D959" t="inlineStr">
        <is>
          <t>JÄMTLANDS LÄN</t>
        </is>
      </c>
      <c r="E959" t="inlineStr">
        <is>
          <t>ÖSTERSUND</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55319-2024</t>
        </is>
      </c>
      <c r="B960" s="1" t="n">
        <v>45621</v>
      </c>
      <c r="C960" s="1" t="n">
        <v>45645</v>
      </c>
      <c r="D960" t="inlineStr">
        <is>
          <t>JÄMTLANDS LÄN</t>
        </is>
      </c>
      <c r="E960" t="inlineStr">
        <is>
          <t>ÖSTERSUND</t>
        </is>
      </c>
      <c r="G960" t="n">
        <v>7.1</v>
      </c>
      <c r="H960" t="n">
        <v>0</v>
      </c>
      <c r="I960" t="n">
        <v>0</v>
      </c>
      <c r="J960" t="n">
        <v>0</v>
      </c>
      <c r="K960" t="n">
        <v>0</v>
      </c>
      <c r="L960" t="n">
        <v>0</v>
      </c>
      <c r="M960" t="n">
        <v>0</v>
      </c>
      <c r="N960" t="n">
        <v>0</v>
      </c>
      <c r="O960" t="n">
        <v>0</v>
      </c>
      <c r="P960" t="n">
        <v>0</v>
      </c>
      <c r="Q960" t="n">
        <v>0</v>
      </c>
      <c r="R960" s="2" t="inlineStr"/>
    </row>
    <row r="961" ht="15" customHeight="1">
      <c r="A961" t="inlineStr">
        <is>
          <t>A 55323-2024</t>
        </is>
      </c>
      <c r="B961" s="1" t="n">
        <v>45621</v>
      </c>
      <c r="C961" s="1" t="n">
        <v>45645</v>
      </c>
      <c r="D961" t="inlineStr">
        <is>
          <t>JÄMTLANDS LÄN</t>
        </is>
      </c>
      <c r="E961" t="inlineStr">
        <is>
          <t>ÖSTERSUND</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55314-2024</t>
        </is>
      </c>
      <c r="B962" s="1" t="n">
        <v>45621</v>
      </c>
      <c r="C962" s="1" t="n">
        <v>45645</v>
      </c>
      <c r="D962" t="inlineStr">
        <is>
          <t>JÄMTLANDS LÄN</t>
        </is>
      </c>
      <c r="E962" t="inlineStr">
        <is>
          <t>ÖSTERSUND</t>
        </is>
      </c>
      <c r="G962" t="n">
        <v>14.2</v>
      </c>
      <c r="H962" t="n">
        <v>0</v>
      </c>
      <c r="I962" t="n">
        <v>0</v>
      </c>
      <c r="J962" t="n">
        <v>0</v>
      </c>
      <c r="K962" t="n">
        <v>0</v>
      </c>
      <c r="L962" t="n">
        <v>0</v>
      </c>
      <c r="M962" t="n">
        <v>0</v>
      </c>
      <c r="N962" t="n">
        <v>0</v>
      </c>
      <c r="O962" t="n">
        <v>0</v>
      </c>
      <c r="P962" t="n">
        <v>0</v>
      </c>
      <c r="Q962" t="n">
        <v>0</v>
      </c>
      <c r="R962" s="2" t="inlineStr"/>
    </row>
    <row r="963" ht="15" customHeight="1">
      <c r="A963" t="inlineStr">
        <is>
          <t>A 55365-2024</t>
        </is>
      </c>
      <c r="B963" s="1" t="n">
        <v>45621</v>
      </c>
      <c r="C963" s="1" t="n">
        <v>45645</v>
      </c>
      <c r="D963" t="inlineStr">
        <is>
          <t>JÄMTLANDS LÄN</t>
        </is>
      </c>
      <c r="E963" t="inlineStr">
        <is>
          <t>ÖSTERSUND</t>
        </is>
      </c>
      <c r="G963" t="n">
        <v>1.6</v>
      </c>
      <c r="H963" t="n">
        <v>0</v>
      </c>
      <c r="I963" t="n">
        <v>0</v>
      </c>
      <c r="J963" t="n">
        <v>0</v>
      </c>
      <c r="K963" t="n">
        <v>0</v>
      </c>
      <c r="L963" t="n">
        <v>0</v>
      </c>
      <c r="M963" t="n">
        <v>0</v>
      </c>
      <c r="N963" t="n">
        <v>0</v>
      </c>
      <c r="O963" t="n">
        <v>0</v>
      </c>
      <c r="P963" t="n">
        <v>0</v>
      </c>
      <c r="Q963" t="n">
        <v>0</v>
      </c>
      <c r="R963" s="2" t="inlineStr"/>
    </row>
    <row r="964" ht="15" customHeight="1">
      <c r="A964" t="inlineStr">
        <is>
          <t>A 55572-2024</t>
        </is>
      </c>
      <c r="B964" s="1" t="n">
        <v>45622</v>
      </c>
      <c r="C964" s="1" t="n">
        <v>45645</v>
      </c>
      <c r="D964" t="inlineStr">
        <is>
          <t>JÄMTLANDS LÄN</t>
        </is>
      </c>
      <c r="E964" t="inlineStr">
        <is>
          <t>ÖSTERSUND</t>
        </is>
      </c>
      <c r="F964" t="inlineStr">
        <is>
          <t>SCA</t>
        </is>
      </c>
      <c r="G964" t="n">
        <v>11.2</v>
      </c>
      <c r="H964" t="n">
        <v>0</v>
      </c>
      <c r="I964" t="n">
        <v>0</v>
      </c>
      <c r="J964" t="n">
        <v>0</v>
      </c>
      <c r="K964" t="n">
        <v>0</v>
      </c>
      <c r="L964" t="n">
        <v>0</v>
      </c>
      <c r="M964" t="n">
        <v>0</v>
      </c>
      <c r="N964" t="n">
        <v>0</v>
      </c>
      <c r="O964" t="n">
        <v>0</v>
      </c>
      <c r="P964" t="n">
        <v>0</v>
      </c>
      <c r="Q964" t="n">
        <v>0</v>
      </c>
      <c r="R964" s="2" t="inlineStr"/>
    </row>
    <row r="965" ht="15" customHeight="1">
      <c r="A965" t="inlineStr">
        <is>
          <t>A 55600-2024</t>
        </is>
      </c>
      <c r="B965" s="1" t="n">
        <v>45622</v>
      </c>
      <c r="C965" s="1" t="n">
        <v>45645</v>
      </c>
      <c r="D965" t="inlineStr">
        <is>
          <t>JÄMTLANDS LÄN</t>
        </is>
      </c>
      <c r="E965" t="inlineStr">
        <is>
          <t>ÖSTERSUND</t>
        </is>
      </c>
      <c r="G965" t="n">
        <v>6.5</v>
      </c>
      <c r="H965" t="n">
        <v>0</v>
      </c>
      <c r="I965" t="n">
        <v>0</v>
      </c>
      <c r="J965" t="n">
        <v>0</v>
      </c>
      <c r="K965" t="n">
        <v>0</v>
      </c>
      <c r="L965" t="n">
        <v>0</v>
      </c>
      <c r="M965" t="n">
        <v>0</v>
      </c>
      <c r="N965" t="n">
        <v>0</v>
      </c>
      <c r="O965" t="n">
        <v>0</v>
      </c>
      <c r="P965" t="n">
        <v>0</v>
      </c>
      <c r="Q965" t="n">
        <v>0</v>
      </c>
      <c r="R965" s="2" t="inlineStr"/>
    </row>
    <row r="966" ht="15" customHeight="1">
      <c r="A966" t="inlineStr">
        <is>
          <t>A 55700-2024</t>
        </is>
      </c>
      <c r="B966" s="1" t="n">
        <v>45622</v>
      </c>
      <c r="C966" s="1" t="n">
        <v>45645</v>
      </c>
      <c r="D966" t="inlineStr">
        <is>
          <t>JÄMTLANDS LÄN</t>
        </is>
      </c>
      <c r="E966" t="inlineStr">
        <is>
          <t>ÖSTERSUND</t>
        </is>
      </c>
      <c r="G966" t="n">
        <v>1.7</v>
      </c>
      <c r="H966" t="n">
        <v>0</v>
      </c>
      <c r="I966" t="n">
        <v>0</v>
      </c>
      <c r="J966" t="n">
        <v>0</v>
      </c>
      <c r="K966" t="n">
        <v>0</v>
      </c>
      <c r="L966" t="n">
        <v>0</v>
      </c>
      <c r="M966" t="n">
        <v>0</v>
      </c>
      <c r="N966" t="n">
        <v>0</v>
      </c>
      <c r="O966" t="n">
        <v>0</v>
      </c>
      <c r="P966" t="n">
        <v>0</v>
      </c>
      <c r="Q966" t="n">
        <v>0</v>
      </c>
      <c r="R966" s="2" t="inlineStr"/>
    </row>
    <row r="967" ht="15" customHeight="1">
      <c r="A967" t="inlineStr">
        <is>
          <t>A 56649-2024</t>
        </is>
      </c>
      <c r="B967" s="1" t="n">
        <v>45625</v>
      </c>
      <c r="C967" s="1" t="n">
        <v>45645</v>
      </c>
      <c r="D967" t="inlineStr">
        <is>
          <t>JÄMTLANDS LÄN</t>
        </is>
      </c>
      <c r="E967" t="inlineStr">
        <is>
          <t>ÖSTERSUND</t>
        </is>
      </c>
      <c r="G967" t="n">
        <v>1.6</v>
      </c>
      <c r="H967" t="n">
        <v>0</v>
      </c>
      <c r="I967" t="n">
        <v>0</v>
      </c>
      <c r="J967" t="n">
        <v>0</v>
      </c>
      <c r="K967" t="n">
        <v>0</v>
      </c>
      <c r="L967" t="n">
        <v>0</v>
      </c>
      <c r="M967" t="n">
        <v>0</v>
      </c>
      <c r="N967" t="n">
        <v>0</v>
      </c>
      <c r="O967" t="n">
        <v>0</v>
      </c>
      <c r="P967" t="n">
        <v>0</v>
      </c>
      <c r="Q967" t="n">
        <v>0</v>
      </c>
      <c r="R967" s="2" t="inlineStr"/>
    </row>
    <row r="968" ht="15" customHeight="1">
      <c r="A968" t="inlineStr">
        <is>
          <t>A 56646-2024</t>
        </is>
      </c>
      <c r="B968" s="1" t="n">
        <v>45625</v>
      </c>
      <c r="C968" s="1" t="n">
        <v>45645</v>
      </c>
      <c r="D968" t="inlineStr">
        <is>
          <t>JÄMTLANDS LÄN</t>
        </is>
      </c>
      <c r="E968" t="inlineStr">
        <is>
          <t>ÖSTERSUND</t>
        </is>
      </c>
      <c r="G968" t="n">
        <v>18.9</v>
      </c>
      <c r="H968" t="n">
        <v>0</v>
      </c>
      <c r="I968" t="n">
        <v>0</v>
      </c>
      <c r="J968" t="n">
        <v>0</v>
      </c>
      <c r="K968" t="n">
        <v>0</v>
      </c>
      <c r="L968" t="n">
        <v>0</v>
      </c>
      <c r="M968" t="n">
        <v>0</v>
      </c>
      <c r="N968" t="n">
        <v>0</v>
      </c>
      <c r="O968" t="n">
        <v>0</v>
      </c>
      <c r="P968" t="n">
        <v>0</v>
      </c>
      <c r="Q968" t="n">
        <v>0</v>
      </c>
      <c r="R968" s="2" t="inlineStr"/>
    </row>
    <row r="969" ht="15" customHeight="1">
      <c r="A969" t="inlineStr">
        <is>
          <t>A 56847-2024</t>
        </is>
      </c>
      <c r="B969" s="1" t="n">
        <v>45628</v>
      </c>
      <c r="C969" s="1" t="n">
        <v>45645</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57702-2024</t>
        </is>
      </c>
      <c r="B970" s="1" t="n">
        <v>45628</v>
      </c>
      <c r="C970" s="1" t="n">
        <v>45645</v>
      </c>
      <c r="D970" t="inlineStr">
        <is>
          <t>JÄMTLANDS LÄN</t>
        </is>
      </c>
      <c r="E970" t="inlineStr">
        <is>
          <t>ÖSTERSUND</t>
        </is>
      </c>
      <c r="G970" t="n">
        <v>2.3</v>
      </c>
      <c r="H970" t="n">
        <v>0</v>
      </c>
      <c r="I970" t="n">
        <v>0</v>
      </c>
      <c r="J970" t="n">
        <v>0</v>
      </c>
      <c r="K970" t="n">
        <v>0</v>
      </c>
      <c r="L970" t="n">
        <v>0</v>
      </c>
      <c r="M970" t="n">
        <v>0</v>
      </c>
      <c r="N970" t="n">
        <v>0</v>
      </c>
      <c r="O970" t="n">
        <v>0</v>
      </c>
      <c r="P970" t="n">
        <v>0</v>
      </c>
      <c r="Q970" t="n">
        <v>0</v>
      </c>
      <c r="R970" s="2" t="inlineStr"/>
    </row>
    <row r="971" ht="15" customHeight="1">
      <c r="A971" t="inlineStr">
        <is>
          <t>A 57397-2024</t>
        </is>
      </c>
      <c r="B971" s="1" t="n">
        <v>45629</v>
      </c>
      <c r="C971" s="1" t="n">
        <v>45645</v>
      </c>
      <c r="D971" t="inlineStr">
        <is>
          <t>JÄMTLANDS LÄN</t>
        </is>
      </c>
      <c r="E971" t="inlineStr">
        <is>
          <t>ÖSTERSUND</t>
        </is>
      </c>
      <c r="G971" t="n">
        <v>3.8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45645</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57556-2024</t>
        </is>
      </c>
      <c r="B973" s="1" t="n">
        <v>45630</v>
      </c>
      <c r="C973" s="1" t="n">
        <v>45645</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57589-2024</t>
        </is>
      </c>
      <c r="B974" s="1" t="n">
        <v>45630</v>
      </c>
      <c r="C974" s="1" t="n">
        <v>45645</v>
      </c>
      <c r="D974" t="inlineStr">
        <is>
          <t>JÄMTLANDS LÄN</t>
        </is>
      </c>
      <c r="E974" t="inlineStr">
        <is>
          <t>ÖSTERSUND</t>
        </is>
      </c>
      <c r="G974" t="n">
        <v>1.8</v>
      </c>
      <c r="H974" t="n">
        <v>0</v>
      </c>
      <c r="I974" t="n">
        <v>0</v>
      </c>
      <c r="J974" t="n">
        <v>0</v>
      </c>
      <c r="K974" t="n">
        <v>0</v>
      </c>
      <c r="L974" t="n">
        <v>0</v>
      </c>
      <c r="M974" t="n">
        <v>0</v>
      </c>
      <c r="N974" t="n">
        <v>0</v>
      </c>
      <c r="O974" t="n">
        <v>0</v>
      </c>
      <c r="P974" t="n">
        <v>0</v>
      </c>
      <c r="Q974" t="n">
        <v>0</v>
      </c>
      <c r="R974" s="2" t="inlineStr"/>
    </row>
    <row r="975" ht="15" customHeight="1">
      <c r="A975" t="inlineStr">
        <is>
          <t>A 57706-2024</t>
        </is>
      </c>
      <c r="B975" s="1" t="n">
        <v>45630</v>
      </c>
      <c r="C975" s="1" t="n">
        <v>45645</v>
      </c>
      <c r="D975" t="inlineStr">
        <is>
          <t>JÄMTLANDS LÄN</t>
        </is>
      </c>
      <c r="E975" t="inlineStr">
        <is>
          <t>ÖSTERSUND</t>
        </is>
      </c>
      <c r="G975" t="n">
        <v>13.2</v>
      </c>
      <c r="H975" t="n">
        <v>0</v>
      </c>
      <c r="I975" t="n">
        <v>0</v>
      </c>
      <c r="J975" t="n">
        <v>0</v>
      </c>
      <c r="K975" t="n">
        <v>0</v>
      </c>
      <c r="L975" t="n">
        <v>0</v>
      </c>
      <c r="M975" t="n">
        <v>0</v>
      </c>
      <c r="N975" t="n">
        <v>0</v>
      </c>
      <c r="O975" t="n">
        <v>0</v>
      </c>
      <c r="P975" t="n">
        <v>0</v>
      </c>
      <c r="Q975" t="n">
        <v>0</v>
      </c>
      <c r="R975" s="2" t="inlineStr"/>
    </row>
    <row r="976" ht="15" customHeight="1">
      <c r="A976" t="inlineStr">
        <is>
          <t>A 57917-2024</t>
        </is>
      </c>
      <c r="B976" s="1" t="n">
        <v>45630</v>
      </c>
      <c r="C976" s="1" t="n">
        <v>45645</v>
      </c>
      <c r="D976" t="inlineStr">
        <is>
          <t>JÄMTLANDS LÄN</t>
        </is>
      </c>
      <c r="E976" t="inlineStr">
        <is>
          <t>ÖSTERSUND</t>
        </is>
      </c>
      <c r="G976" t="n">
        <v>1.4</v>
      </c>
      <c r="H976" t="n">
        <v>0</v>
      </c>
      <c r="I976" t="n">
        <v>0</v>
      </c>
      <c r="J976" t="n">
        <v>0</v>
      </c>
      <c r="K976" t="n">
        <v>0</v>
      </c>
      <c r="L976" t="n">
        <v>0</v>
      </c>
      <c r="M976" t="n">
        <v>0</v>
      </c>
      <c r="N976" t="n">
        <v>0</v>
      </c>
      <c r="O976" t="n">
        <v>0</v>
      </c>
      <c r="P976" t="n">
        <v>0</v>
      </c>
      <c r="Q976" t="n">
        <v>0</v>
      </c>
      <c r="R976" s="2" t="inlineStr"/>
    </row>
    <row r="977" ht="15" customHeight="1">
      <c r="A977" t="inlineStr">
        <is>
          <t>A 58364-2024</t>
        </is>
      </c>
      <c r="B977" s="1" t="n">
        <v>45632</v>
      </c>
      <c r="C977" s="1" t="n">
        <v>45645</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58286-2024</t>
        </is>
      </c>
      <c r="B978" s="1" t="n">
        <v>45632</v>
      </c>
      <c r="C978" s="1" t="n">
        <v>45645</v>
      </c>
      <c r="D978" t="inlineStr">
        <is>
          <t>JÄMTLANDS LÄN</t>
        </is>
      </c>
      <c r="E978" t="inlineStr">
        <is>
          <t>ÖSTERSUND</t>
        </is>
      </c>
      <c r="G978" t="n">
        <v>4</v>
      </c>
      <c r="H978" t="n">
        <v>0</v>
      </c>
      <c r="I978" t="n">
        <v>0</v>
      </c>
      <c r="J978" t="n">
        <v>0</v>
      </c>
      <c r="K978" t="n">
        <v>0</v>
      </c>
      <c r="L978" t="n">
        <v>0</v>
      </c>
      <c r="M978" t="n">
        <v>0</v>
      </c>
      <c r="N978" t="n">
        <v>0</v>
      </c>
      <c r="O978" t="n">
        <v>0</v>
      </c>
      <c r="P978" t="n">
        <v>0</v>
      </c>
      <c r="Q978" t="n">
        <v>0</v>
      </c>
      <c r="R978" s="2" t="inlineStr"/>
    </row>
    <row r="979" ht="15" customHeight="1">
      <c r="A979" t="inlineStr">
        <is>
          <t>A 58407-2024</t>
        </is>
      </c>
      <c r="B979" s="1" t="n">
        <v>45634</v>
      </c>
      <c r="C979" s="1" t="n">
        <v>45645</v>
      </c>
      <c r="D979" t="inlineStr">
        <is>
          <t>JÄMTLANDS LÄN</t>
        </is>
      </c>
      <c r="E979" t="inlineStr">
        <is>
          <t>ÖSTERSUND</t>
        </is>
      </c>
      <c r="G979" t="n">
        <v>2.8</v>
      </c>
      <c r="H979" t="n">
        <v>0</v>
      </c>
      <c r="I979" t="n">
        <v>0</v>
      </c>
      <c r="J979" t="n">
        <v>0</v>
      </c>
      <c r="K979" t="n">
        <v>0</v>
      </c>
      <c r="L979" t="n">
        <v>0</v>
      </c>
      <c r="M979" t="n">
        <v>0</v>
      </c>
      <c r="N979" t="n">
        <v>0</v>
      </c>
      <c r="O979" t="n">
        <v>0</v>
      </c>
      <c r="P979" t="n">
        <v>0</v>
      </c>
      <c r="Q979" t="n">
        <v>0</v>
      </c>
      <c r="R979" s="2" t="inlineStr"/>
    </row>
    <row r="980" ht="15" customHeight="1">
      <c r="A980" t="inlineStr">
        <is>
          <t>A 58406-2024</t>
        </is>
      </c>
      <c r="B980" s="1" t="n">
        <v>45634</v>
      </c>
      <c r="C980" s="1" t="n">
        <v>45645</v>
      </c>
      <c r="D980" t="inlineStr">
        <is>
          <t>JÄMTLANDS LÄN</t>
        </is>
      </c>
      <c r="E980" t="inlineStr">
        <is>
          <t>ÖSTERSUND</t>
        </is>
      </c>
      <c r="G980" t="n">
        <v>3.8</v>
      </c>
      <c r="H980" t="n">
        <v>0</v>
      </c>
      <c r="I980" t="n">
        <v>0</v>
      </c>
      <c r="J980" t="n">
        <v>0</v>
      </c>
      <c r="K980" t="n">
        <v>0</v>
      </c>
      <c r="L980" t="n">
        <v>0</v>
      </c>
      <c r="M980" t="n">
        <v>0</v>
      </c>
      <c r="N980" t="n">
        <v>0</v>
      </c>
      <c r="O980" t="n">
        <v>0</v>
      </c>
      <c r="P980" t="n">
        <v>0</v>
      </c>
      <c r="Q980" t="n">
        <v>0</v>
      </c>
      <c r="R980" s="2" t="inlineStr"/>
    </row>
    <row r="981" ht="15" customHeight="1">
      <c r="A981" t="inlineStr">
        <is>
          <t>A 58952-2024</t>
        </is>
      </c>
      <c r="B981" s="1" t="n">
        <v>45636</v>
      </c>
      <c r="C981" s="1" t="n">
        <v>45645</v>
      </c>
      <c r="D981" t="inlineStr">
        <is>
          <t>JÄMTLANDS LÄN</t>
        </is>
      </c>
      <c r="E981" t="inlineStr">
        <is>
          <t>ÖSTERSUND</t>
        </is>
      </c>
      <c r="G981" t="n">
        <v>3.7</v>
      </c>
      <c r="H981" t="n">
        <v>0</v>
      </c>
      <c r="I981" t="n">
        <v>0</v>
      </c>
      <c r="J981" t="n">
        <v>0</v>
      </c>
      <c r="K981" t="n">
        <v>0</v>
      </c>
      <c r="L981" t="n">
        <v>0</v>
      </c>
      <c r="M981" t="n">
        <v>0</v>
      </c>
      <c r="N981" t="n">
        <v>0</v>
      </c>
      <c r="O981" t="n">
        <v>0</v>
      </c>
      <c r="P981" t="n">
        <v>0</v>
      </c>
      <c r="Q981" t="n">
        <v>0</v>
      </c>
      <c r="R981" s="2" t="inlineStr"/>
    </row>
    <row r="982" ht="15" customHeight="1">
      <c r="A982" t="inlineStr">
        <is>
          <t>A 59107-2024</t>
        </is>
      </c>
      <c r="B982" s="1" t="n">
        <v>45637</v>
      </c>
      <c r="C982" s="1" t="n">
        <v>45645</v>
      </c>
      <c r="D982" t="inlineStr">
        <is>
          <t>JÄMTLANDS LÄN</t>
        </is>
      </c>
      <c r="E982" t="inlineStr">
        <is>
          <t>ÖSTERSUND</t>
        </is>
      </c>
      <c r="F982" t="inlineStr">
        <is>
          <t>SCA</t>
        </is>
      </c>
      <c r="G982" t="n">
        <v>34.8</v>
      </c>
      <c r="H982" t="n">
        <v>0</v>
      </c>
      <c r="I982" t="n">
        <v>0</v>
      </c>
      <c r="J982" t="n">
        <v>0</v>
      </c>
      <c r="K982" t="n">
        <v>0</v>
      </c>
      <c r="L982" t="n">
        <v>0</v>
      </c>
      <c r="M982" t="n">
        <v>0</v>
      </c>
      <c r="N982" t="n">
        <v>0</v>
      </c>
      <c r="O982" t="n">
        <v>0</v>
      </c>
      <c r="P982" t="n">
        <v>0</v>
      </c>
      <c r="Q982" t="n">
        <v>0</v>
      </c>
      <c r="R982" s="2" t="inlineStr"/>
    </row>
    <row r="983" ht="15" customHeight="1">
      <c r="A983" t="inlineStr">
        <is>
          <t>A 59574-2024</t>
        </is>
      </c>
      <c r="B983" s="1" t="n">
        <v>45638</v>
      </c>
      <c r="C983" s="1" t="n">
        <v>45645</v>
      </c>
      <c r="D983" t="inlineStr">
        <is>
          <t>JÄMTLANDS LÄN</t>
        </is>
      </c>
      <c r="E983" t="inlineStr">
        <is>
          <t>ÖSTERSUND</t>
        </is>
      </c>
      <c r="G983" t="n">
        <v>6.2</v>
      </c>
      <c r="H983" t="n">
        <v>0</v>
      </c>
      <c r="I983" t="n">
        <v>0</v>
      </c>
      <c r="J983" t="n">
        <v>0</v>
      </c>
      <c r="K983" t="n">
        <v>0</v>
      </c>
      <c r="L983" t="n">
        <v>0</v>
      </c>
      <c r="M983" t="n">
        <v>0</v>
      </c>
      <c r="N983" t="n">
        <v>0</v>
      </c>
      <c r="O983" t="n">
        <v>0</v>
      </c>
      <c r="P983" t="n">
        <v>0</v>
      </c>
      <c r="Q983" t="n">
        <v>0</v>
      </c>
      <c r="R983" s="2" t="inlineStr"/>
    </row>
    <row r="984" ht="15" customHeight="1">
      <c r="A984" t="inlineStr">
        <is>
          <t>A 59487-2024</t>
        </is>
      </c>
      <c r="B984" s="1" t="n">
        <v>45638</v>
      </c>
      <c r="C984" s="1" t="n">
        <v>45645</v>
      </c>
      <c r="D984" t="inlineStr">
        <is>
          <t>JÄMTLANDS LÄN</t>
        </is>
      </c>
      <c r="E984" t="inlineStr">
        <is>
          <t>ÖSTERSUND</t>
        </is>
      </c>
      <c r="G984" t="n">
        <v>2.1</v>
      </c>
      <c r="H984" t="n">
        <v>0</v>
      </c>
      <c r="I984" t="n">
        <v>0</v>
      </c>
      <c r="J984" t="n">
        <v>0</v>
      </c>
      <c r="K984" t="n">
        <v>0</v>
      </c>
      <c r="L984" t="n">
        <v>0</v>
      </c>
      <c r="M984" t="n">
        <v>0</v>
      </c>
      <c r="N984" t="n">
        <v>0</v>
      </c>
      <c r="O984" t="n">
        <v>0</v>
      </c>
      <c r="P984" t="n">
        <v>0</v>
      </c>
      <c r="Q984" t="n">
        <v>0</v>
      </c>
      <c r="R984" s="2" t="inlineStr"/>
    </row>
    <row r="985" ht="15" customHeight="1">
      <c r="A985" t="inlineStr">
        <is>
          <t>A 59691-2024</t>
        </is>
      </c>
      <c r="B985" s="1" t="n">
        <v>45639</v>
      </c>
      <c r="C985" s="1" t="n">
        <v>45645</v>
      </c>
      <c r="D985" t="inlineStr">
        <is>
          <t>JÄMTLANDS LÄN</t>
        </is>
      </c>
      <c r="E985" t="inlineStr">
        <is>
          <t>ÖSTERSUND</t>
        </is>
      </c>
      <c r="F985" t="inlineStr">
        <is>
          <t>SCA</t>
        </is>
      </c>
      <c r="G985" t="n">
        <v>15.9</v>
      </c>
      <c r="H985" t="n">
        <v>0</v>
      </c>
      <c r="I985" t="n">
        <v>0</v>
      </c>
      <c r="J985" t="n">
        <v>0</v>
      </c>
      <c r="K985" t="n">
        <v>0</v>
      </c>
      <c r="L985" t="n">
        <v>0</v>
      </c>
      <c r="M985" t="n">
        <v>0</v>
      </c>
      <c r="N985" t="n">
        <v>0</v>
      </c>
      <c r="O985" t="n">
        <v>0</v>
      </c>
      <c r="P985" t="n">
        <v>0</v>
      </c>
      <c r="Q985" t="n">
        <v>0</v>
      </c>
      <c r="R985" s="2" t="inlineStr"/>
    </row>
    <row r="986" ht="15" customHeight="1">
      <c r="A986" t="inlineStr">
        <is>
          <t>A 60109-2024</t>
        </is>
      </c>
      <c r="B986" s="1" t="n">
        <v>45642</v>
      </c>
      <c r="C986" s="1" t="n">
        <v>45645</v>
      </c>
      <c r="D986" t="inlineStr">
        <is>
          <t>JÄMTLANDS LÄN</t>
        </is>
      </c>
      <c r="E986" t="inlineStr">
        <is>
          <t>ÖSTERSUND</t>
        </is>
      </c>
      <c r="G986" t="n">
        <v>10.2</v>
      </c>
      <c r="H986" t="n">
        <v>0</v>
      </c>
      <c r="I986" t="n">
        <v>0</v>
      </c>
      <c r="J986" t="n">
        <v>0</v>
      </c>
      <c r="K986" t="n">
        <v>0</v>
      </c>
      <c r="L986" t="n">
        <v>0</v>
      </c>
      <c r="M986" t="n">
        <v>0</v>
      </c>
      <c r="N986" t="n">
        <v>0</v>
      </c>
      <c r="O986" t="n">
        <v>0</v>
      </c>
      <c r="P986" t="n">
        <v>0</v>
      </c>
      <c r="Q986" t="n">
        <v>0</v>
      </c>
      <c r="R986" s="2" t="inlineStr"/>
    </row>
    <row r="987" ht="15" customHeight="1">
      <c r="A987" t="inlineStr">
        <is>
          <t>A 60499-2024</t>
        </is>
      </c>
      <c r="B987" s="1" t="n">
        <v>45642</v>
      </c>
      <c r="C987" s="1" t="n">
        <v>45645</v>
      </c>
      <c r="D987" t="inlineStr">
        <is>
          <t>JÄMTLANDS LÄN</t>
        </is>
      </c>
      <c r="E987" t="inlineStr">
        <is>
          <t>ÖSTERSUND</t>
        </is>
      </c>
      <c r="G987" t="n">
        <v>1.2</v>
      </c>
      <c r="H987" t="n">
        <v>0</v>
      </c>
      <c r="I987" t="n">
        <v>0</v>
      </c>
      <c r="J987" t="n">
        <v>0</v>
      </c>
      <c r="K987" t="n">
        <v>0</v>
      </c>
      <c r="L987" t="n">
        <v>0</v>
      </c>
      <c r="M987" t="n">
        <v>0</v>
      </c>
      <c r="N987" t="n">
        <v>0</v>
      </c>
      <c r="O987" t="n">
        <v>0</v>
      </c>
      <c r="P987" t="n">
        <v>0</v>
      </c>
      <c r="Q987" t="n">
        <v>0</v>
      </c>
      <c r="R987" s="2" t="inlineStr"/>
    </row>
    <row r="988" ht="15" customHeight="1">
      <c r="A988" t="inlineStr">
        <is>
          <t>A 60088-2024</t>
        </is>
      </c>
      <c r="B988" s="1" t="n">
        <v>45642</v>
      </c>
      <c r="C988" s="1" t="n">
        <v>45645</v>
      </c>
      <c r="D988" t="inlineStr">
        <is>
          <t>JÄMTLANDS LÄN</t>
        </is>
      </c>
      <c r="E988" t="inlineStr">
        <is>
          <t>ÖSTERSUND</t>
        </is>
      </c>
      <c r="G988" t="n">
        <v>5</v>
      </c>
      <c r="H988" t="n">
        <v>0</v>
      </c>
      <c r="I988" t="n">
        <v>0</v>
      </c>
      <c r="J988" t="n">
        <v>0</v>
      </c>
      <c r="K988" t="n">
        <v>0</v>
      </c>
      <c r="L988" t="n">
        <v>0</v>
      </c>
      <c r="M988" t="n">
        <v>0</v>
      </c>
      <c r="N988" t="n">
        <v>0</v>
      </c>
      <c r="O988" t="n">
        <v>0</v>
      </c>
      <c r="P988" t="n">
        <v>0</v>
      </c>
      <c r="Q988" t="n">
        <v>0</v>
      </c>
      <c r="R988" s="2" t="inlineStr"/>
    </row>
    <row r="989" ht="15" customHeight="1">
      <c r="A989" t="inlineStr">
        <is>
          <t>A 60349-2024</t>
        </is>
      </c>
      <c r="B989" s="1" t="n">
        <v>45643</v>
      </c>
      <c r="C989" s="1" t="n">
        <v>45645</v>
      </c>
      <c r="D989" t="inlineStr">
        <is>
          <t>JÄMTLANDS LÄN</t>
        </is>
      </c>
      <c r="E989" t="inlineStr">
        <is>
          <t>ÖSTERSUND</t>
        </is>
      </c>
      <c r="F989" t="inlineStr">
        <is>
          <t>Sveaskog</t>
        </is>
      </c>
      <c r="G989" t="n">
        <v>16.6</v>
      </c>
      <c r="H989" t="n">
        <v>0</v>
      </c>
      <c r="I989" t="n">
        <v>0</v>
      </c>
      <c r="J989" t="n">
        <v>0</v>
      </c>
      <c r="K989" t="n">
        <v>0</v>
      </c>
      <c r="L989" t="n">
        <v>0</v>
      </c>
      <c r="M989" t="n">
        <v>0</v>
      </c>
      <c r="N989" t="n">
        <v>0</v>
      </c>
      <c r="O989" t="n">
        <v>0</v>
      </c>
      <c r="P989" t="n">
        <v>0</v>
      </c>
      <c r="Q989" t="n">
        <v>0</v>
      </c>
      <c r="R989" s="2" t="inlineStr"/>
    </row>
    <row r="990" ht="15" customHeight="1">
      <c r="A990" t="inlineStr">
        <is>
          <t>A 60697-2024</t>
        </is>
      </c>
      <c r="B990" s="1" t="n">
        <v>45644</v>
      </c>
      <c r="C990" s="1" t="n">
        <v>45645</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60580-2024</t>
        </is>
      </c>
      <c r="B991" s="1" t="n">
        <v>45644</v>
      </c>
      <c r="C991" s="1" t="n">
        <v>45645</v>
      </c>
      <c r="D991" t="inlineStr">
        <is>
          <t>JÄMTLANDS LÄN</t>
        </is>
      </c>
      <c r="E991" t="inlineStr">
        <is>
          <t>ÖSTERSUND</t>
        </is>
      </c>
      <c r="G991" t="n">
        <v>13.5</v>
      </c>
      <c r="H991" t="n">
        <v>0</v>
      </c>
      <c r="I991" t="n">
        <v>0</v>
      </c>
      <c r="J991" t="n">
        <v>0</v>
      </c>
      <c r="K991" t="n">
        <v>0</v>
      </c>
      <c r="L991" t="n">
        <v>0</v>
      </c>
      <c r="M991" t="n">
        <v>0</v>
      </c>
      <c r="N991" t="n">
        <v>0</v>
      </c>
      <c r="O991" t="n">
        <v>0</v>
      </c>
      <c r="P991" t="n">
        <v>0</v>
      </c>
      <c r="Q991" t="n">
        <v>0</v>
      </c>
      <c r="R991" s="2" t="inlineStr"/>
    </row>
    <row r="992">
      <c r="A992" t="inlineStr">
        <is>
          <t>A 60836-2024</t>
        </is>
      </c>
      <c r="B992" s="1" t="n">
        <v>45644</v>
      </c>
      <c r="C992" s="1" t="n">
        <v>45645</v>
      </c>
      <c r="D992" t="inlineStr">
        <is>
          <t>JÄMTLANDS LÄN</t>
        </is>
      </c>
      <c r="E992" t="inlineStr">
        <is>
          <t>ÖSTERSUND</t>
        </is>
      </c>
      <c r="G992" t="n">
        <v>1.9</v>
      </c>
      <c r="H992" t="n">
        <v>0</v>
      </c>
      <c r="I992" t="n">
        <v>0</v>
      </c>
      <c r="J992" t="n">
        <v>0</v>
      </c>
      <c r="K992" t="n">
        <v>0</v>
      </c>
      <c r="L992" t="n">
        <v>0</v>
      </c>
      <c r="M992" t="n">
        <v>0</v>
      </c>
      <c r="N992" t="n">
        <v>0</v>
      </c>
      <c r="O992" t="n">
        <v>0</v>
      </c>
      <c r="P992" t="n">
        <v>0</v>
      </c>
      <c r="Q992" t="n">
        <v>0</v>
      </c>
      <c r="R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2024-12-19T14:52:52Z</dcterms:created>
  <dcterms:modified xmlns:dcterms="http://purl.org/dc/terms/" xmlns:xsi="http://www.w3.org/2001/XMLSchema-instance" xsi:type="dcterms:W3CDTF">2024-12-19T14:52:53Z</dcterms:modified>
</cp:coreProperties>
</file>