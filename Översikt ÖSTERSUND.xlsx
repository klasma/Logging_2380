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45889</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45889</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45889</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45889</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45889</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45889</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45889</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45889</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45889</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45889</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45889</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45224-2024</t>
        </is>
      </c>
      <c r="B17" s="1" t="n">
        <v>45575.77440972222</v>
      </c>
      <c r="C17" s="1" t="n">
        <v>45889</v>
      </c>
      <c r="D17" t="inlineStr">
        <is>
          <t>JÄMTLANDS LÄN</t>
        </is>
      </c>
      <c r="E17" t="inlineStr">
        <is>
          <t>ÖSTERSUND</t>
        </is>
      </c>
      <c r="G17" t="n">
        <v>31.6</v>
      </c>
      <c r="H17" t="n">
        <v>5</v>
      </c>
      <c r="I17" t="n">
        <v>4</v>
      </c>
      <c r="J17" t="n">
        <v>3</v>
      </c>
      <c r="K17" t="n">
        <v>0</v>
      </c>
      <c r="L17" t="n">
        <v>0</v>
      </c>
      <c r="M17" t="n">
        <v>0</v>
      </c>
      <c r="N17" t="n">
        <v>0</v>
      </c>
      <c r="O17" t="n">
        <v>3</v>
      </c>
      <c r="P17" t="n">
        <v>0</v>
      </c>
      <c r="Q17" t="n">
        <v>9</v>
      </c>
      <c r="R17" s="2" t="inlineStr">
        <is>
          <t>Garnlav
Talltita
Tretåig hackspett
Gräsull
Guckusko
Strimspindling
Vit vaxskivling
Tjäder
Blåsippa</t>
        </is>
      </c>
      <c r="S17">
        <f>HYPERLINK("https://klasma.github.io/Logging_2380/artfynd/A 45224-2024 artfynd.xlsx", "A 45224-2024")</f>
        <v/>
      </c>
      <c r="T17">
        <f>HYPERLINK("https://klasma.github.io/Logging_2380/kartor/A 45224-2024 karta.png", "A 45224-2024")</f>
        <v/>
      </c>
      <c r="V17">
        <f>HYPERLINK("https://klasma.github.io/Logging_2380/klagomål/A 45224-2024 FSC-klagomål.docx", "A 45224-2024")</f>
        <v/>
      </c>
      <c r="W17">
        <f>HYPERLINK("https://klasma.github.io/Logging_2380/klagomålsmail/A 45224-2024 FSC-klagomål mail.docx", "A 45224-2024")</f>
        <v/>
      </c>
      <c r="X17">
        <f>HYPERLINK("https://klasma.github.io/Logging_2380/tillsyn/A 45224-2024 tillsynsbegäran.docx", "A 45224-2024")</f>
        <v/>
      </c>
      <c r="Y17">
        <f>HYPERLINK("https://klasma.github.io/Logging_2380/tillsynsmail/A 45224-2024 tillsynsbegäran mail.docx", "A 45224-2024")</f>
        <v/>
      </c>
      <c r="Z17">
        <f>HYPERLINK("https://klasma.github.io/Logging_2380/fåglar/A 45224-2024 prioriterade fågelarter.docx", "A 45224-2024")</f>
        <v/>
      </c>
    </row>
    <row r="18" ht="15" customHeight="1">
      <c r="A18" t="inlineStr">
        <is>
          <t>A 34816-2024</t>
        </is>
      </c>
      <c r="B18" s="1" t="n">
        <v>45526</v>
      </c>
      <c r="C18" s="1" t="n">
        <v>45889</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45889</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45889</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10744-2024</t>
        </is>
      </c>
      <c r="B21" s="1" t="n">
        <v>45369</v>
      </c>
      <c r="C21" s="1" t="n">
        <v>45889</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17716-2024</t>
        </is>
      </c>
      <c r="B22" s="1" t="n">
        <v>45415</v>
      </c>
      <c r="C22" s="1" t="n">
        <v>45889</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45889</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45889</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45889</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4967-2025</t>
        </is>
      </c>
      <c r="B26" s="1" t="n">
        <v>45690</v>
      </c>
      <c r="C26" s="1" t="n">
        <v>45889</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45889</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45889</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45889</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45889</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45889</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45889</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45889</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45889</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45889</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45889</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12712-2021</t>
        </is>
      </c>
      <c r="B37" s="1" t="n">
        <v>44270.58950231481</v>
      </c>
      <c r="C37" s="1" t="n">
        <v>45889</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40555-2024</t>
        </is>
      </c>
      <c r="B38" s="1" t="n">
        <v>45555</v>
      </c>
      <c r="C38" s="1" t="n">
        <v>45889</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61153-2024</t>
        </is>
      </c>
      <c r="B39" s="1" t="n">
        <v>45645</v>
      </c>
      <c r="C39" s="1" t="n">
        <v>45889</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45889</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45889</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45889</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45889</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45889</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7717-2024</t>
        </is>
      </c>
      <c r="B45" s="1" t="n">
        <v>45349</v>
      </c>
      <c r="C45" s="1" t="n">
        <v>45889</v>
      </c>
      <c r="D45" t="inlineStr">
        <is>
          <t>JÄMTLANDS LÄN</t>
        </is>
      </c>
      <c r="E45" t="inlineStr">
        <is>
          <t>ÖSTERSUND</t>
        </is>
      </c>
      <c r="F45" t="inlineStr">
        <is>
          <t>Övriga Aktiebolag</t>
        </is>
      </c>
      <c r="G45" t="n">
        <v>2.5</v>
      </c>
      <c r="H45" t="n">
        <v>1</v>
      </c>
      <c r="I45" t="n">
        <v>1</v>
      </c>
      <c r="J45" t="n">
        <v>4</v>
      </c>
      <c r="K45" t="n">
        <v>0</v>
      </c>
      <c r="L45" t="n">
        <v>0</v>
      </c>
      <c r="M45" t="n">
        <v>0</v>
      </c>
      <c r="N45" t="n">
        <v>0</v>
      </c>
      <c r="O45" t="n">
        <v>4</v>
      </c>
      <c r="P45" t="n">
        <v>0</v>
      </c>
      <c r="Q45" t="n">
        <v>5</v>
      </c>
      <c r="R45" s="2" t="inlineStr">
        <is>
          <t>Garnlav
Lunglav
Skrovellav
Talltita
Stuplav</t>
        </is>
      </c>
      <c r="S45">
        <f>HYPERLINK("https://klasma.github.io/Logging_2380/artfynd/A 7717-2024 artfynd.xlsx", "A 7717-2024")</f>
        <v/>
      </c>
      <c r="T45">
        <f>HYPERLINK("https://klasma.github.io/Logging_2380/kartor/A 7717-2024 karta.png", "A 7717-2024")</f>
        <v/>
      </c>
      <c r="V45">
        <f>HYPERLINK("https://klasma.github.io/Logging_2380/klagomål/A 7717-2024 FSC-klagomål.docx", "A 7717-2024")</f>
        <v/>
      </c>
      <c r="W45">
        <f>HYPERLINK("https://klasma.github.io/Logging_2380/klagomålsmail/A 7717-2024 FSC-klagomål mail.docx", "A 7717-2024")</f>
        <v/>
      </c>
      <c r="X45">
        <f>HYPERLINK("https://klasma.github.io/Logging_2380/tillsyn/A 7717-2024 tillsynsbegäran.docx", "A 7717-2024")</f>
        <v/>
      </c>
      <c r="Y45">
        <f>HYPERLINK("https://klasma.github.io/Logging_2380/tillsynsmail/A 7717-2024 tillsynsbegäran mail.docx", "A 7717-2024")</f>
        <v/>
      </c>
      <c r="Z45">
        <f>HYPERLINK("https://klasma.github.io/Logging_2380/fåglar/A 7717-2024 prioriterade fågelarter.docx", "A 7717-2024")</f>
        <v/>
      </c>
    </row>
    <row r="46" ht="15" customHeight="1">
      <c r="A46" t="inlineStr">
        <is>
          <t>A 39941-2024</t>
        </is>
      </c>
      <c r="B46" s="1" t="n">
        <v>45553</v>
      </c>
      <c r="C46" s="1" t="n">
        <v>45889</v>
      </c>
      <c r="D46" t="inlineStr">
        <is>
          <t>JÄMTLANDS LÄN</t>
        </is>
      </c>
      <c r="E46" t="inlineStr">
        <is>
          <t>ÖSTERSUND</t>
        </is>
      </c>
      <c r="G46" t="n">
        <v>6</v>
      </c>
      <c r="H46" t="n">
        <v>0</v>
      </c>
      <c r="I46" t="n">
        <v>2</v>
      </c>
      <c r="J46" t="n">
        <v>3</v>
      </c>
      <c r="K46" t="n">
        <v>0</v>
      </c>
      <c r="L46" t="n">
        <v>0</v>
      </c>
      <c r="M46" t="n">
        <v>0</v>
      </c>
      <c r="N46" t="n">
        <v>0</v>
      </c>
      <c r="O46" t="n">
        <v>3</v>
      </c>
      <c r="P46" t="n">
        <v>0</v>
      </c>
      <c r="Q46" t="n">
        <v>5</v>
      </c>
      <c r="R46" s="2" t="inlineStr">
        <is>
          <t>Garnlav
Lunglav
Skrovellav
Bårdlav
Luddlav</t>
        </is>
      </c>
      <c r="S46">
        <f>HYPERLINK("https://klasma.github.io/Logging_2380/artfynd/A 39941-2024 artfynd.xlsx", "A 39941-2024")</f>
        <v/>
      </c>
      <c r="T46">
        <f>HYPERLINK("https://klasma.github.io/Logging_2380/kartor/A 39941-2024 karta.png", "A 39941-2024")</f>
        <v/>
      </c>
      <c r="V46">
        <f>HYPERLINK("https://klasma.github.io/Logging_2380/klagomål/A 39941-2024 FSC-klagomål.docx", "A 39941-2024")</f>
        <v/>
      </c>
      <c r="W46">
        <f>HYPERLINK("https://klasma.github.io/Logging_2380/klagomålsmail/A 39941-2024 FSC-klagomål mail.docx", "A 39941-2024")</f>
        <v/>
      </c>
      <c r="X46">
        <f>HYPERLINK("https://klasma.github.io/Logging_2380/tillsyn/A 39941-2024 tillsynsbegäran.docx", "A 39941-2024")</f>
        <v/>
      </c>
      <c r="Y46">
        <f>HYPERLINK("https://klasma.github.io/Logging_2380/tillsynsmail/A 39941-2024 tillsynsbegäran mail.docx", "A 39941-2024")</f>
        <v/>
      </c>
    </row>
    <row r="47" ht="15" customHeight="1">
      <c r="A47" t="inlineStr">
        <is>
          <t>A 29117-2025</t>
        </is>
      </c>
      <c r="B47" s="1" t="n">
        <v>45821.59243055555</v>
      </c>
      <c r="C47" s="1" t="n">
        <v>45889</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2962-2023</t>
        </is>
      </c>
      <c r="B48" s="1" t="n">
        <v>44945</v>
      </c>
      <c r="C48" s="1" t="n">
        <v>45889</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60580-2024</t>
        </is>
      </c>
      <c r="B49" s="1" t="n">
        <v>45644</v>
      </c>
      <c r="C49" s="1" t="n">
        <v>45889</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31127-2025</t>
        </is>
      </c>
      <c r="B50" s="1" t="n">
        <v>45831</v>
      </c>
      <c r="C50" s="1" t="n">
        <v>45889</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55344-2023</t>
        </is>
      </c>
      <c r="B51" s="1" t="n">
        <v>45237</v>
      </c>
      <c r="C51" s="1" t="n">
        <v>45889</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45889</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45889</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59291-2022</t>
        </is>
      </c>
      <c r="B54" s="1" t="n">
        <v>44904</v>
      </c>
      <c r="C54" s="1" t="n">
        <v>45889</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7698-2024</t>
        </is>
      </c>
      <c r="B55" s="1" t="n">
        <v>45349</v>
      </c>
      <c r="C55" s="1" t="n">
        <v>45889</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25279-2025</t>
        </is>
      </c>
      <c r="B56" s="1" t="n">
        <v>45800.55701388889</v>
      </c>
      <c r="C56" s="1" t="n">
        <v>45889</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45889</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45889</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46705-2023</t>
        </is>
      </c>
      <c r="B59" s="1" t="n">
        <v>45198</v>
      </c>
      <c r="C59" s="1" t="n">
        <v>45889</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40695-2024</t>
        </is>
      </c>
      <c r="B60" s="1" t="n">
        <v>45558</v>
      </c>
      <c r="C60" s="1" t="n">
        <v>45889</v>
      </c>
      <c r="D60" t="inlineStr">
        <is>
          <t>JÄMTLANDS LÄN</t>
        </is>
      </c>
      <c r="E60" t="inlineStr">
        <is>
          <t>ÖSTERSUND</t>
        </is>
      </c>
      <c r="F60" t="inlineStr">
        <is>
          <t>SCA</t>
        </is>
      </c>
      <c r="G60" t="n">
        <v>2.9</v>
      </c>
      <c r="H60" t="n">
        <v>0</v>
      </c>
      <c r="I60" t="n">
        <v>2</v>
      </c>
      <c r="J60" t="n">
        <v>1</v>
      </c>
      <c r="K60" t="n">
        <v>0</v>
      </c>
      <c r="L60" t="n">
        <v>0</v>
      </c>
      <c r="M60" t="n">
        <v>0</v>
      </c>
      <c r="N60" t="n">
        <v>0</v>
      </c>
      <c r="O60" t="n">
        <v>1</v>
      </c>
      <c r="P60" t="n">
        <v>0</v>
      </c>
      <c r="Q60" t="n">
        <v>3</v>
      </c>
      <c r="R60" s="2" t="inlineStr">
        <is>
          <t>Lunglav
Dropptaggsvamp
Skinnlav</t>
        </is>
      </c>
      <c r="S60">
        <f>HYPERLINK("https://klasma.github.io/Logging_2380/artfynd/A 40695-2024 artfynd.xlsx", "A 40695-2024")</f>
        <v/>
      </c>
      <c r="T60">
        <f>HYPERLINK("https://klasma.github.io/Logging_2380/kartor/A 40695-2024 karta.png", "A 40695-2024")</f>
        <v/>
      </c>
      <c r="V60">
        <f>HYPERLINK("https://klasma.github.io/Logging_2380/klagomål/A 40695-2024 FSC-klagomål.docx", "A 40695-2024")</f>
        <v/>
      </c>
      <c r="W60">
        <f>HYPERLINK("https://klasma.github.io/Logging_2380/klagomålsmail/A 40695-2024 FSC-klagomål mail.docx", "A 40695-2024")</f>
        <v/>
      </c>
      <c r="X60">
        <f>HYPERLINK("https://klasma.github.io/Logging_2380/tillsyn/A 40695-2024 tillsynsbegäran.docx", "A 40695-2024")</f>
        <v/>
      </c>
      <c r="Y60">
        <f>HYPERLINK("https://klasma.github.io/Logging_2380/tillsynsmail/A 40695-2024 tillsynsbegäran mail.docx", "A 40695-2024")</f>
        <v/>
      </c>
    </row>
    <row r="61" ht="15" customHeight="1">
      <c r="A61" t="inlineStr">
        <is>
          <t>A 43981-2023</t>
        </is>
      </c>
      <c r="B61" s="1" t="n">
        <v>45187</v>
      </c>
      <c r="C61" s="1" t="n">
        <v>45889</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7965-2025</t>
        </is>
      </c>
      <c r="B62" s="1" t="n">
        <v>45707.45219907408</v>
      </c>
      <c r="C62" s="1" t="n">
        <v>45889</v>
      </c>
      <c r="D62" t="inlineStr">
        <is>
          <t>JÄMTLANDS LÄN</t>
        </is>
      </c>
      <c r="E62" t="inlineStr">
        <is>
          <t>ÖSTERSUND</t>
        </is>
      </c>
      <c r="G62" t="n">
        <v>3.7</v>
      </c>
      <c r="H62" t="n">
        <v>2</v>
      </c>
      <c r="I62" t="n">
        <v>1</v>
      </c>
      <c r="J62" t="n">
        <v>0</v>
      </c>
      <c r="K62" t="n">
        <v>0</v>
      </c>
      <c r="L62" t="n">
        <v>0</v>
      </c>
      <c r="M62" t="n">
        <v>0</v>
      </c>
      <c r="N62" t="n">
        <v>0</v>
      </c>
      <c r="O62" t="n">
        <v>0</v>
      </c>
      <c r="P62" t="n">
        <v>0</v>
      </c>
      <c r="Q62" t="n">
        <v>3</v>
      </c>
      <c r="R62" s="2" t="inlineStr">
        <is>
          <t>Finbräken
Fläcknycklar
Blåsippa</t>
        </is>
      </c>
      <c r="S62">
        <f>HYPERLINK("https://klasma.github.io/Logging_2380/artfynd/A 7965-2025 artfynd.xlsx", "A 7965-2025")</f>
        <v/>
      </c>
      <c r="T62">
        <f>HYPERLINK("https://klasma.github.io/Logging_2380/kartor/A 7965-2025 karta.png", "A 7965-2025")</f>
        <v/>
      </c>
      <c r="V62">
        <f>HYPERLINK("https://klasma.github.io/Logging_2380/klagomål/A 7965-2025 FSC-klagomål.docx", "A 7965-2025")</f>
        <v/>
      </c>
      <c r="W62">
        <f>HYPERLINK("https://klasma.github.io/Logging_2380/klagomålsmail/A 7965-2025 FSC-klagomål mail.docx", "A 7965-2025")</f>
        <v/>
      </c>
      <c r="X62">
        <f>HYPERLINK("https://klasma.github.io/Logging_2380/tillsyn/A 7965-2025 tillsynsbegäran.docx", "A 7965-2025")</f>
        <v/>
      </c>
      <c r="Y62">
        <f>HYPERLINK("https://klasma.github.io/Logging_2380/tillsynsmail/A 7965-2025 tillsynsbegäran mail.docx", "A 7965-2025")</f>
        <v/>
      </c>
    </row>
    <row r="63" ht="15" customHeight="1">
      <c r="A63" t="inlineStr">
        <is>
          <t>A 19520-2023</t>
        </is>
      </c>
      <c r="B63" s="1" t="n">
        <v>45049</v>
      </c>
      <c r="C63" s="1" t="n">
        <v>45889</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3846-2024</t>
        </is>
      </c>
      <c r="B64" s="1" t="n">
        <v>45321</v>
      </c>
      <c r="C64" s="1" t="n">
        <v>45889</v>
      </c>
      <c r="D64" t="inlineStr">
        <is>
          <t>JÄMTLANDS LÄN</t>
        </is>
      </c>
      <c r="E64" t="inlineStr">
        <is>
          <t>ÖSTERSUND</t>
        </is>
      </c>
      <c r="G64" t="n">
        <v>2.2</v>
      </c>
      <c r="H64" t="n">
        <v>0</v>
      </c>
      <c r="I64" t="n">
        <v>2</v>
      </c>
      <c r="J64" t="n">
        <v>1</v>
      </c>
      <c r="K64" t="n">
        <v>0</v>
      </c>
      <c r="L64" t="n">
        <v>0</v>
      </c>
      <c r="M64" t="n">
        <v>0</v>
      </c>
      <c r="N64" t="n">
        <v>0</v>
      </c>
      <c r="O64" t="n">
        <v>1</v>
      </c>
      <c r="P64" t="n">
        <v>0</v>
      </c>
      <c r="Q64" t="n">
        <v>3</v>
      </c>
      <c r="R64" s="2" t="inlineStr">
        <is>
          <t>Granticka
Olivspindling
Svavelriska</t>
        </is>
      </c>
      <c r="S64">
        <f>HYPERLINK("https://klasma.github.io/Logging_2380/artfynd/A 3846-2024 artfynd.xlsx", "A 3846-2024")</f>
        <v/>
      </c>
      <c r="T64">
        <f>HYPERLINK("https://klasma.github.io/Logging_2380/kartor/A 3846-2024 karta.png", "A 3846-2024")</f>
        <v/>
      </c>
      <c r="V64">
        <f>HYPERLINK("https://klasma.github.io/Logging_2380/klagomål/A 3846-2024 FSC-klagomål.docx", "A 3846-2024")</f>
        <v/>
      </c>
      <c r="W64">
        <f>HYPERLINK("https://klasma.github.io/Logging_2380/klagomålsmail/A 3846-2024 FSC-klagomål mail.docx", "A 3846-2024")</f>
        <v/>
      </c>
      <c r="X64">
        <f>HYPERLINK("https://klasma.github.io/Logging_2380/tillsyn/A 3846-2024 tillsynsbegäran.docx", "A 3846-2024")</f>
        <v/>
      </c>
      <c r="Y64">
        <f>HYPERLINK("https://klasma.github.io/Logging_2380/tillsynsmail/A 3846-2024 tillsynsbegäran mail.docx", "A 3846-2024")</f>
        <v/>
      </c>
    </row>
    <row r="65" ht="15" customHeight="1">
      <c r="A65" t="inlineStr">
        <is>
          <t>A 36742-2024</t>
        </is>
      </c>
      <c r="B65" s="1" t="n">
        <v>45538.33584490741</v>
      </c>
      <c r="C65" s="1" t="n">
        <v>45889</v>
      </c>
      <c r="D65" t="inlineStr">
        <is>
          <t>JÄMTLANDS LÄN</t>
        </is>
      </c>
      <c r="E65" t="inlineStr">
        <is>
          <t>ÖSTERSUND</t>
        </is>
      </c>
      <c r="G65" t="n">
        <v>13.6</v>
      </c>
      <c r="H65" t="n">
        <v>0</v>
      </c>
      <c r="I65" t="n">
        <v>2</v>
      </c>
      <c r="J65" t="n">
        <v>1</v>
      </c>
      <c r="K65" t="n">
        <v>0</v>
      </c>
      <c r="L65" t="n">
        <v>0</v>
      </c>
      <c r="M65" t="n">
        <v>0</v>
      </c>
      <c r="N65" t="n">
        <v>0</v>
      </c>
      <c r="O65" t="n">
        <v>1</v>
      </c>
      <c r="P65" t="n">
        <v>0</v>
      </c>
      <c r="Q65" t="n">
        <v>3</v>
      </c>
      <c r="R65" s="2" t="inlineStr">
        <is>
          <t>Granticka
Skinnlav
Vedticka</t>
        </is>
      </c>
      <c r="S65">
        <f>HYPERLINK("https://klasma.github.io/Logging_2380/artfynd/A 36742-2024 artfynd.xlsx", "A 36742-2024")</f>
        <v/>
      </c>
      <c r="T65">
        <f>HYPERLINK("https://klasma.github.io/Logging_2380/kartor/A 36742-2024 karta.png", "A 36742-2024")</f>
        <v/>
      </c>
      <c r="V65">
        <f>HYPERLINK("https://klasma.github.io/Logging_2380/klagomål/A 36742-2024 FSC-klagomål.docx", "A 36742-2024")</f>
        <v/>
      </c>
      <c r="W65">
        <f>HYPERLINK("https://klasma.github.io/Logging_2380/klagomålsmail/A 36742-2024 FSC-klagomål mail.docx", "A 36742-2024")</f>
        <v/>
      </c>
      <c r="X65">
        <f>HYPERLINK("https://klasma.github.io/Logging_2380/tillsyn/A 36742-2024 tillsynsbegäran.docx", "A 36742-2024")</f>
        <v/>
      </c>
      <c r="Y65">
        <f>HYPERLINK("https://klasma.github.io/Logging_2380/tillsynsmail/A 36742-2024 tillsynsbegäran mail.docx", "A 36742-2024")</f>
        <v/>
      </c>
    </row>
    <row r="66" ht="15" customHeight="1">
      <c r="A66" t="inlineStr">
        <is>
          <t>A 53652-2024</t>
        </is>
      </c>
      <c r="B66" s="1" t="n">
        <v>45615.29761574074</v>
      </c>
      <c r="C66" s="1" t="n">
        <v>45889</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36806-2025</t>
        </is>
      </c>
      <c r="B67" s="1" t="n">
        <v>45873.69988425926</v>
      </c>
      <c r="C67" s="1" t="n">
        <v>45889</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45889</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45889</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45889</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50895-2024</t>
        </is>
      </c>
      <c r="B71" s="1" t="n">
        <v>45602</v>
      </c>
      <c r="C71" s="1" t="n">
        <v>45889</v>
      </c>
      <c r="D71" t="inlineStr">
        <is>
          <t>JÄMTLANDS LÄN</t>
        </is>
      </c>
      <c r="E71" t="inlineStr">
        <is>
          <t>ÖSTERSUND</t>
        </is>
      </c>
      <c r="F71" t="inlineStr">
        <is>
          <t>Kommuner</t>
        </is>
      </c>
      <c r="G71" t="n">
        <v>6</v>
      </c>
      <c r="H71" t="n">
        <v>1</v>
      </c>
      <c r="I71" t="n">
        <v>0</v>
      </c>
      <c r="J71" t="n">
        <v>1</v>
      </c>
      <c r="K71" t="n">
        <v>1</v>
      </c>
      <c r="L71" t="n">
        <v>0</v>
      </c>
      <c r="M71" t="n">
        <v>0</v>
      </c>
      <c r="N71" t="n">
        <v>0</v>
      </c>
      <c r="O71" t="n">
        <v>2</v>
      </c>
      <c r="P71" t="n">
        <v>1</v>
      </c>
      <c r="Q71" t="n">
        <v>2</v>
      </c>
      <c r="R71" s="2" t="inlineStr">
        <is>
          <t>Knärot
Garnlav</t>
        </is>
      </c>
      <c r="S71">
        <f>HYPERLINK("https://klasma.github.io/Logging_2380/artfynd/A 50895-2024 artfynd.xlsx", "A 50895-2024")</f>
        <v/>
      </c>
      <c r="T71">
        <f>HYPERLINK("https://klasma.github.io/Logging_2380/kartor/A 50895-2024 karta.png", "A 50895-2024")</f>
        <v/>
      </c>
      <c r="U71">
        <f>HYPERLINK("https://klasma.github.io/Logging_2380/knärot/A 50895-2024 karta knärot.png", "A 50895-2024")</f>
        <v/>
      </c>
      <c r="V71">
        <f>HYPERLINK("https://klasma.github.io/Logging_2380/klagomål/A 50895-2024 FSC-klagomål.docx", "A 50895-2024")</f>
        <v/>
      </c>
      <c r="W71">
        <f>HYPERLINK("https://klasma.github.io/Logging_2380/klagomålsmail/A 50895-2024 FSC-klagomål mail.docx", "A 50895-2024")</f>
        <v/>
      </c>
      <c r="X71">
        <f>HYPERLINK("https://klasma.github.io/Logging_2380/tillsyn/A 50895-2024 tillsynsbegäran.docx", "A 50895-2024")</f>
        <v/>
      </c>
      <c r="Y71">
        <f>HYPERLINK("https://klasma.github.io/Logging_2380/tillsynsmail/A 50895-2024 tillsynsbegäran mail.docx", "A 50895-2024")</f>
        <v/>
      </c>
    </row>
    <row r="72" ht="15" customHeight="1">
      <c r="A72" t="inlineStr">
        <is>
          <t>A 59793-2022</t>
        </is>
      </c>
      <c r="B72" s="1" t="n">
        <v>44908</v>
      </c>
      <c r="C72" s="1" t="n">
        <v>45889</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35977-2024</t>
        </is>
      </c>
      <c r="B73" s="1" t="n">
        <v>45533.49601851852</v>
      </c>
      <c r="C73" s="1" t="n">
        <v>45889</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45889</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60534-2022</t>
        </is>
      </c>
      <c r="B75" s="1" t="n">
        <v>44904</v>
      </c>
      <c r="C75" s="1" t="n">
        <v>45889</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50125-2024</t>
        </is>
      </c>
      <c r="B76" s="1" t="n">
        <v>45600.42737268518</v>
      </c>
      <c r="C76" s="1" t="n">
        <v>45889</v>
      </c>
      <c r="D76" t="inlineStr">
        <is>
          <t>JÄMTLANDS LÄN</t>
        </is>
      </c>
      <c r="E76" t="inlineStr">
        <is>
          <t>ÖSTERSUND</t>
        </is>
      </c>
      <c r="F76" t="inlineStr">
        <is>
          <t>SCA</t>
        </is>
      </c>
      <c r="G76" t="n">
        <v>2.4</v>
      </c>
      <c r="H76" t="n">
        <v>0</v>
      </c>
      <c r="I76" t="n">
        <v>1</v>
      </c>
      <c r="J76" t="n">
        <v>1</v>
      </c>
      <c r="K76" t="n">
        <v>0</v>
      </c>
      <c r="L76" t="n">
        <v>0</v>
      </c>
      <c r="M76" t="n">
        <v>0</v>
      </c>
      <c r="N76" t="n">
        <v>0</v>
      </c>
      <c r="O76" t="n">
        <v>1</v>
      </c>
      <c r="P76" t="n">
        <v>0</v>
      </c>
      <c r="Q76" t="n">
        <v>2</v>
      </c>
      <c r="R76" s="2" t="inlineStr">
        <is>
          <t>Dvärgbägarlav
Skinnlav</t>
        </is>
      </c>
      <c r="S76">
        <f>HYPERLINK("https://klasma.github.io/Logging_2380/artfynd/A 50125-2024 artfynd.xlsx", "A 50125-2024")</f>
        <v/>
      </c>
      <c r="T76">
        <f>HYPERLINK("https://klasma.github.io/Logging_2380/kartor/A 50125-2024 karta.png", "A 50125-2024")</f>
        <v/>
      </c>
      <c r="V76">
        <f>HYPERLINK("https://klasma.github.io/Logging_2380/klagomål/A 50125-2024 FSC-klagomål.docx", "A 50125-2024")</f>
        <v/>
      </c>
      <c r="W76">
        <f>HYPERLINK("https://klasma.github.io/Logging_2380/klagomålsmail/A 50125-2024 FSC-klagomål mail.docx", "A 50125-2024")</f>
        <v/>
      </c>
      <c r="X76">
        <f>HYPERLINK("https://klasma.github.io/Logging_2380/tillsyn/A 50125-2024 tillsynsbegäran.docx", "A 50125-2024")</f>
        <v/>
      </c>
      <c r="Y76">
        <f>HYPERLINK("https://klasma.github.io/Logging_2380/tillsynsmail/A 50125-2024 tillsynsbegäran mail.docx", "A 50125-2024")</f>
        <v/>
      </c>
    </row>
    <row r="77" ht="15" customHeight="1">
      <c r="A77" t="inlineStr">
        <is>
          <t>A 13795-2025</t>
        </is>
      </c>
      <c r="B77" s="1" t="n">
        <v>45737</v>
      </c>
      <c r="C77" s="1" t="n">
        <v>45889</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10529-2025</t>
        </is>
      </c>
      <c r="B78" s="1" t="n">
        <v>45721.44840277778</v>
      </c>
      <c r="C78" s="1" t="n">
        <v>45889</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39968-2024</t>
        </is>
      </c>
      <c r="B79" s="1" t="n">
        <v>45553.59296296296</v>
      </c>
      <c r="C79" s="1" t="n">
        <v>45889</v>
      </c>
      <c r="D79" t="inlineStr">
        <is>
          <t>JÄMTLANDS LÄN</t>
        </is>
      </c>
      <c r="E79" t="inlineStr">
        <is>
          <t>ÖSTERSUND</t>
        </is>
      </c>
      <c r="G79" t="n">
        <v>1.8</v>
      </c>
      <c r="H79" t="n">
        <v>2</v>
      </c>
      <c r="I79" t="n">
        <v>1</v>
      </c>
      <c r="J79" t="n">
        <v>0</v>
      </c>
      <c r="K79" t="n">
        <v>1</v>
      </c>
      <c r="L79" t="n">
        <v>0</v>
      </c>
      <c r="M79" t="n">
        <v>0</v>
      </c>
      <c r="N79" t="n">
        <v>0</v>
      </c>
      <c r="O79" t="n">
        <v>1</v>
      </c>
      <c r="P79" t="n">
        <v>1</v>
      </c>
      <c r="Q79" t="n">
        <v>2</v>
      </c>
      <c r="R79" s="2" t="inlineStr">
        <is>
          <t>Knärot
Spindelblomster</t>
        </is>
      </c>
      <c r="S79">
        <f>HYPERLINK("https://klasma.github.io/Logging_2380/artfynd/A 39968-2024 artfynd.xlsx", "A 39968-2024")</f>
        <v/>
      </c>
      <c r="T79">
        <f>HYPERLINK("https://klasma.github.io/Logging_2380/kartor/A 39968-2024 karta.png", "A 39968-2024")</f>
        <v/>
      </c>
      <c r="U79">
        <f>HYPERLINK("https://klasma.github.io/Logging_2380/knärot/A 39968-2024 karta knärot.png", "A 39968-2024")</f>
        <v/>
      </c>
      <c r="V79">
        <f>HYPERLINK("https://klasma.github.io/Logging_2380/klagomål/A 39968-2024 FSC-klagomål.docx", "A 39968-2024")</f>
        <v/>
      </c>
      <c r="W79">
        <f>HYPERLINK("https://klasma.github.io/Logging_2380/klagomålsmail/A 39968-2024 FSC-klagomål mail.docx", "A 39968-2024")</f>
        <v/>
      </c>
      <c r="X79">
        <f>HYPERLINK("https://klasma.github.io/Logging_2380/tillsyn/A 39968-2024 tillsynsbegäran.docx", "A 39968-2024")</f>
        <v/>
      </c>
      <c r="Y79">
        <f>HYPERLINK("https://klasma.github.io/Logging_2380/tillsynsmail/A 39968-2024 tillsynsbegäran mail.docx", "A 39968-2024")</f>
        <v/>
      </c>
    </row>
    <row r="80" ht="15" customHeight="1">
      <c r="A80" t="inlineStr">
        <is>
          <t>A 56006-2023</t>
        </is>
      </c>
      <c r="B80" s="1" t="n">
        <v>45233</v>
      </c>
      <c r="C80" s="1" t="n">
        <v>45889</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15700-2025</t>
        </is>
      </c>
      <c r="B81" s="1" t="n">
        <v>45748.47314814815</v>
      </c>
      <c r="C81" s="1" t="n">
        <v>45889</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45889</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45889</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47385-2022</t>
        </is>
      </c>
      <c r="B84" s="1" t="n">
        <v>44853</v>
      </c>
      <c r="C84" s="1" t="n">
        <v>45889</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60446-2024</t>
        </is>
      </c>
      <c r="B85" s="1" t="n">
        <v>45643.59420138889</v>
      </c>
      <c r="C85" s="1" t="n">
        <v>45889</v>
      </c>
      <c r="D85" t="inlineStr">
        <is>
          <t>JÄMTLANDS LÄN</t>
        </is>
      </c>
      <c r="E85" t="inlineStr">
        <is>
          <t>ÖSTERSUND</t>
        </is>
      </c>
      <c r="F85" t="inlineStr">
        <is>
          <t>SCA</t>
        </is>
      </c>
      <c r="G85" t="n">
        <v>3.6</v>
      </c>
      <c r="H85" t="n">
        <v>0</v>
      </c>
      <c r="I85" t="n">
        <v>1</v>
      </c>
      <c r="J85" t="n">
        <v>1</v>
      </c>
      <c r="K85" t="n">
        <v>0</v>
      </c>
      <c r="L85" t="n">
        <v>0</v>
      </c>
      <c r="M85" t="n">
        <v>0</v>
      </c>
      <c r="N85" t="n">
        <v>0</v>
      </c>
      <c r="O85" t="n">
        <v>1</v>
      </c>
      <c r="P85" t="n">
        <v>0</v>
      </c>
      <c r="Q85" t="n">
        <v>2</v>
      </c>
      <c r="R85" s="2" t="inlineStr">
        <is>
          <t>Ullticka
Vedticka</t>
        </is>
      </c>
      <c r="S85">
        <f>HYPERLINK("https://klasma.github.io/Logging_2380/artfynd/A 60446-2024 artfynd.xlsx", "A 60446-2024")</f>
        <v/>
      </c>
      <c r="T85">
        <f>HYPERLINK("https://klasma.github.io/Logging_2380/kartor/A 60446-2024 karta.png", "A 60446-2024")</f>
        <v/>
      </c>
      <c r="V85">
        <f>HYPERLINK("https://klasma.github.io/Logging_2380/klagomål/A 60446-2024 FSC-klagomål.docx", "A 60446-2024")</f>
        <v/>
      </c>
      <c r="W85">
        <f>HYPERLINK("https://klasma.github.io/Logging_2380/klagomålsmail/A 60446-2024 FSC-klagomål mail.docx", "A 60446-2024")</f>
        <v/>
      </c>
      <c r="X85">
        <f>HYPERLINK("https://klasma.github.io/Logging_2380/tillsyn/A 60446-2024 tillsynsbegäran.docx", "A 60446-2024")</f>
        <v/>
      </c>
      <c r="Y85">
        <f>HYPERLINK("https://klasma.github.io/Logging_2380/tillsynsmail/A 60446-2024 tillsynsbegäran mail.docx", "A 60446-2024")</f>
        <v/>
      </c>
    </row>
    <row r="86" ht="15" customHeight="1">
      <c r="A86" t="inlineStr">
        <is>
          <t>A 21615-2024</t>
        </is>
      </c>
      <c r="B86" s="1" t="n">
        <v>45441.95357638889</v>
      </c>
      <c r="C86" s="1" t="n">
        <v>45889</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4916-2023</t>
        </is>
      </c>
      <c r="B87" s="1" t="n">
        <v>44956</v>
      </c>
      <c r="C87" s="1" t="n">
        <v>45889</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46105-2021</t>
        </is>
      </c>
      <c r="B88" s="1" t="n">
        <v>44441</v>
      </c>
      <c r="C88" s="1" t="n">
        <v>45889</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45889</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45889</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45889</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45889</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45889</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64380-2023</t>
        </is>
      </c>
      <c r="B94" s="1" t="n">
        <v>45280.56451388889</v>
      </c>
      <c r="C94" s="1" t="n">
        <v>45889</v>
      </c>
      <c r="D94" t="inlineStr">
        <is>
          <t>JÄMTLANDS LÄN</t>
        </is>
      </c>
      <c r="E94" t="inlineStr">
        <is>
          <t>ÖSTERSUND</t>
        </is>
      </c>
      <c r="G94" t="n">
        <v>12.4</v>
      </c>
      <c r="H94" t="n">
        <v>0</v>
      </c>
      <c r="I94" t="n">
        <v>0</v>
      </c>
      <c r="J94" t="n">
        <v>1</v>
      </c>
      <c r="K94" t="n">
        <v>0</v>
      </c>
      <c r="L94" t="n">
        <v>0</v>
      </c>
      <c r="M94" t="n">
        <v>0</v>
      </c>
      <c r="N94" t="n">
        <v>0</v>
      </c>
      <c r="O94" t="n">
        <v>1</v>
      </c>
      <c r="P94" t="n">
        <v>0</v>
      </c>
      <c r="Q94" t="n">
        <v>1</v>
      </c>
      <c r="R94" s="2" t="inlineStr">
        <is>
          <t>Luddfingersvamp</t>
        </is>
      </c>
      <c r="S94">
        <f>HYPERLINK("https://klasma.github.io/Logging_2380/artfynd/A 64380-2023 artfynd.xlsx", "A 64380-2023")</f>
        <v/>
      </c>
      <c r="T94">
        <f>HYPERLINK("https://klasma.github.io/Logging_2380/kartor/A 64380-2023 karta.png", "A 64380-2023")</f>
        <v/>
      </c>
      <c r="V94">
        <f>HYPERLINK("https://klasma.github.io/Logging_2380/klagomål/A 64380-2023 FSC-klagomål.docx", "A 64380-2023")</f>
        <v/>
      </c>
      <c r="W94">
        <f>HYPERLINK("https://klasma.github.io/Logging_2380/klagomålsmail/A 64380-2023 FSC-klagomål mail.docx", "A 64380-2023")</f>
        <v/>
      </c>
      <c r="X94">
        <f>HYPERLINK("https://klasma.github.io/Logging_2380/tillsyn/A 64380-2023 tillsynsbegäran.docx", "A 64380-2023")</f>
        <v/>
      </c>
      <c r="Y94">
        <f>HYPERLINK("https://klasma.github.io/Logging_2380/tillsynsmail/A 64380-2023 tillsynsbegäran mail.docx", "A 64380-2023")</f>
        <v/>
      </c>
    </row>
    <row r="95" ht="15" customHeight="1">
      <c r="A95" t="inlineStr">
        <is>
          <t>A 17217-2021</t>
        </is>
      </c>
      <c r="B95" s="1" t="n">
        <v>44298</v>
      </c>
      <c r="C95" s="1" t="n">
        <v>45889</v>
      </c>
      <c r="D95" t="inlineStr">
        <is>
          <t>JÄMTLANDS LÄN</t>
        </is>
      </c>
      <c r="E95" t="inlineStr">
        <is>
          <t>ÖSTERSUND</t>
        </is>
      </c>
      <c r="G95" t="n">
        <v>10.4</v>
      </c>
      <c r="H95" t="n">
        <v>0</v>
      </c>
      <c r="I95" t="n">
        <v>0</v>
      </c>
      <c r="J95" t="n">
        <v>1</v>
      </c>
      <c r="K95" t="n">
        <v>0</v>
      </c>
      <c r="L95" t="n">
        <v>0</v>
      </c>
      <c r="M95" t="n">
        <v>0</v>
      </c>
      <c r="N95" t="n">
        <v>0</v>
      </c>
      <c r="O95" t="n">
        <v>1</v>
      </c>
      <c r="P95" t="n">
        <v>0</v>
      </c>
      <c r="Q95" t="n">
        <v>1</v>
      </c>
      <c r="R95" s="2" t="inlineStr">
        <is>
          <t>Rödbrun klubbdyna</t>
        </is>
      </c>
      <c r="S95">
        <f>HYPERLINK("https://klasma.github.io/Logging_2380/artfynd/A 17217-2021 artfynd.xlsx", "A 17217-2021")</f>
        <v/>
      </c>
      <c r="T95">
        <f>HYPERLINK("https://klasma.github.io/Logging_2380/kartor/A 17217-2021 karta.png", "A 17217-2021")</f>
        <v/>
      </c>
      <c r="V95">
        <f>HYPERLINK("https://klasma.github.io/Logging_2380/klagomål/A 17217-2021 FSC-klagomål.docx", "A 17217-2021")</f>
        <v/>
      </c>
      <c r="W95">
        <f>HYPERLINK("https://klasma.github.io/Logging_2380/klagomålsmail/A 17217-2021 FSC-klagomål mail.docx", "A 17217-2021")</f>
        <v/>
      </c>
      <c r="X95">
        <f>HYPERLINK("https://klasma.github.io/Logging_2380/tillsyn/A 17217-2021 tillsynsbegäran.docx", "A 17217-2021")</f>
        <v/>
      </c>
      <c r="Y95">
        <f>HYPERLINK("https://klasma.github.io/Logging_2380/tillsynsmail/A 17217-2021 tillsynsbegäran mail.docx", "A 17217-2021")</f>
        <v/>
      </c>
    </row>
    <row r="96" ht="15" customHeight="1">
      <c r="A96" t="inlineStr">
        <is>
          <t>A 40696-2024</t>
        </is>
      </c>
      <c r="B96" s="1" t="n">
        <v>45558</v>
      </c>
      <c r="C96" s="1" t="n">
        <v>45889</v>
      </c>
      <c r="D96" t="inlineStr">
        <is>
          <t>JÄMTLANDS LÄN</t>
        </is>
      </c>
      <c r="E96" t="inlineStr">
        <is>
          <t>ÖSTERSUND</t>
        </is>
      </c>
      <c r="F96" t="inlineStr">
        <is>
          <t>SCA</t>
        </is>
      </c>
      <c r="G96" t="n">
        <v>2.7</v>
      </c>
      <c r="H96" t="n">
        <v>0</v>
      </c>
      <c r="I96" t="n">
        <v>0</v>
      </c>
      <c r="J96" t="n">
        <v>1</v>
      </c>
      <c r="K96" t="n">
        <v>0</v>
      </c>
      <c r="L96" t="n">
        <v>0</v>
      </c>
      <c r="M96" t="n">
        <v>0</v>
      </c>
      <c r="N96" t="n">
        <v>0</v>
      </c>
      <c r="O96" t="n">
        <v>1</v>
      </c>
      <c r="P96" t="n">
        <v>0</v>
      </c>
      <c r="Q96" t="n">
        <v>1</v>
      </c>
      <c r="R96" s="2" t="inlineStr">
        <is>
          <t>Lunglav</t>
        </is>
      </c>
      <c r="S96">
        <f>HYPERLINK("https://klasma.github.io/Logging_2380/artfynd/A 40696-2024 artfynd.xlsx", "A 40696-2024")</f>
        <v/>
      </c>
      <c r="T96">
        <f>HYPERLINK("https://klasma.github.io/Logging_2380/kartor/A 40696-2024 karta.png", "A 40696-2024")</f>
        <v/>
      </c>
      <c r="V96">
        <f>HYPERLINK("https://klasma.github.io/Logging_2380/klagomål/A 40696-2024 FSC-klagomål.docx", "A 40696-2024")</f>
        <v/>
      </c>
      <c r="W96">
        <f>HYPERLINK("https://klasma.github.io/Logging_2380/klagomålsmail/A 40696-2024 FSC-klagomål mail.docx", "A 40696-2024")</f>
        <v/>
      </c>
      <c r="X96">
        <f>HYPERLINK("https://klasma.github.io/Logging_2380/tillsyn/A 40696-2024 tillsynsbegäran.docx", "A 40696-2024")</f>
        <v/>
      </c>
      <c r="Y96">
        <f>HYPERLINK("https://klasma.github.io/Logging_2380/tillsynsmail/A 40696-2024 tillsynsbegäran mail.docx", "A 40696-2024")</f>
        <v/>
      </c>
    </row>
    <row r="97" ht="15" customHeight="1">
      <c r="A97" t="inlineStr">
        <is>
          <t>A 59433-2021</t>
        </is>
      </c>
      <c r="B97" s="1" t="n">
        <v>44491</v>
      </c>
      <c r="C97" s="1" t="n">
        <v>45889</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41279-2024</t>
        </is>
      </c>
      <c r="B98" s="1" t="n">
        <v>45559</v>
      </c>
      <c r="C98" s="1" t="n">
        <v>45889</v>
      </c>
      <c r="D98" t="inlineStr">
        <is>
          <t>JÄMTLANDS LÄN</t>
        </is>
      </c>
      <c r="E98" t="inlineStr">
        <is>
          <t>ÖSTERSUND</t>
        </is>
      </c>
      <c r="F98" t="inlineStr">
        <is>
          <t>SCA</t>
        </is>
      </c>
      <c r="G98" t="n">
        <v>1.6</v>
      </c>
      <c r="H98" t="n">
        <v>0</v>
      </c>
      <c r="I98" t="n">
        <v>0</v>
      </c>
      <c r="J98" t="n">
        <v>1</v>
      </c>
      <c r="K98" t="n">
        <v>0</v>
      </c>
      <c r="L98" t="n">
        <v>0</v>
      </c>
      <c r="M98" t="n">
        <v>0</v>
      </c>
      <c r="N98" t="n">
        <v>0</v>
      </c>
      <c r="O98" t="n">
        <v>1</v>
      </c>
      <c r="P98" t="n">
        <v>0</v>
      </c>
      <c r="Q98" t="n">
        <v>1</v>
      </c>
      <c r="R98" s="2" t="inlineStr">
        <is>
          <t>Dvärgbägarlav</t>
        </is>
      </c>
      <c r="S98">
        <f>HYPERLINK("https://klasma.github.io/Logging_2380/artfynd/A 41279-2024 artfynd.xlsx", "A 41279-2024")</f>
        <v/>
      </c>
      <c r="T98">
        <f>HYPERLINK("https://klasma.github.io/Logging_2380/kartor/A 41279-2024 karta.png", "A 41279-2024")</f>
        <v/>
      </c>
      <c r="V98">
        <f>HYPERLINK("https://klasma.github.io/Logging_2380/klagomål/A 41279-2024 FSC-klagomål.docx", "A 41279-2024")</f>
        <v/>
      </c>
      <c r="W98">
        <f>HYPERLINK("https://klasma.github.io/Logging_2380/klagomålsmail/A 41279-2024 FSC-klagomål mail.docx", "A 41279-2024")</f>
        <v/>
      </c>
      <c r="X98">
        <f>HYPERLINK("https://klasma.github.io/Logging_2380/tillsyn/A 41279-2024 tillsynsbegäran.docx", "A 41279-2024")</f>
        <v/>
      </c>
      <c r="Y98">
        <f>HYPERLINK("https://klasma.github.io/Logging_2380/tillsynsmail/A 41279-2024 tillsynsbegäran mail.docx", "A 41279-2024")</f>
        <v/>
      </c>
    </row>
    <row r="99" ht="15" customHeight="1">
      <c r="A99" t="inlineStr">
        <is>
          <t>A 31883-2024</t>
        </is>
      </c>
      <c r="B99" s="1" t="n">
        <v>45509.9572800926</v>
      </c>
      <c r="C99" s="1" t="n">
        <v>45889</v>
      </c>
      <c r="D99" t="inlineStr">
        <is>
          <t>JÄMTLANDS LÄN</t>
        </is>
      </c>
      <c r="E99" t="inlineStr">
        <is>
          <t>ÖSTERSUND</t>
        </is>
      </c>
      <c r="F99" t="inlineStr">
        <is>
          <t>SCA</t>
        </is>
      </c>
      <c r="G99" t="n">
        <v>3.3</v>
      </c>
      <c r="H99" t="n">
        <v>1</v>
      </c>
      <c r="I99" t="n">
        <v>0</v>
      </c>
      <c r="J99" t="n">
        <v>0</v>
      </c>
      <c r="K99" t="n">
        <v>1</v>
      </c>
      <c r="L99" t="n">
        <v>0</v>
      </c>
      <c r="M99" t="n">
        <v>0</v>
      </c>
      <c r="N99" t="n">
        <v>0</v>
      </c>
      <c r="O99" t="n">
        <v>1</v>
      </c>
      <c r="P99" t="n">
        <v>1</v>
      </c>
      <c r="Q99" t="n">
        <v>1</v>
      </c>
      <c r="R99" s="2" t="inlineStr">
        <is>
          <t>Doftticka</t>
        </is>
      </c>
      <c r="S99">
        <f>HYPERLINK("https://klasma.github.io/Logging_2380/artfynd/A 31883-2024 artfynd.xlsx", "A 31883-2024")</f>
        <v/>
      </c>
      <c r="T99">
        <f>HYPERLINK("https://klasma.github.io/Logging_2380/kartor/A 31883-2024 karta.png", "A 31883-2024")</f>
        <v/>
      </c>
      <c r="V99">
        <f>HYPERLINK("https://klasma.github.io/Logging_2380/klagomål/A 31883-2024 FSC-klagomål.docx", "A 31883-2024")</f>
        <v/>
      </c>
      <c r="W99">
        <f>HYPERLINK("https://klasma.github.io/Logging_2380/klagomålsmail/A 31883-2024 FSC-klagomål mail.docx", "A 31883-2024")</f>
        <v/>
      </c>
      <c r="X99">
        <f>HYPERLINK("https://klasma.github.io/Logging_2380/tillsyn/A 31883-2024 tillsynsbegäran.docx", "A 31883-2024")</f>
        <v/>
      </c>
      <c r="Y99">
        <f>HYPERLINK("https://klasma.github.io/Logging_2380/tillsynsmail/A 31883-2024 tillsynsbegäran mail.docx", "A 31883-2024")</f>
        <v/>
      </c>
    </row>
    <row r="100" ht="15" customHeight="1">
      <c r="A100" t="inlineStr">
        <is>
          <t>A 55821-2021</t>
        </is>
      </c>
      <c r="B100" s="1" t="n">
        <v>44476</v>
      </c>
      <c r="C100" s="1" t="n">
        <v>45889</v>
      </c>
      <c r="D100" t="inlineStr">
        <is>
          <t>JÄMTLANDS LÄN</t>
        </is>
      </c>
      <c r="E100" t="inlineStr">
        <is>
          <t>ÖSTERSUND</t>
        </is>
      </c>
      <c r="G100" t="n">
        <v>7.2</v>
      </c>
      <c r="H100" t="n">
        <v>0</v>
      </c>
      <c r="I100" t="n">
        <v>0</v>
      </c>
      <c r="J100" t="n">
        <v>1</v>
      </c>
      <c r="K100" t="n">
        <v>0</v>
      </c>
      <c r="L100" t="n">
        <v>0</v>
      </c>
      <c r="M100" t="n">
        <v>0</v>
      </c>
      <c r="N100" t="n">
        <v>0</v>
      </c>
      <c r="O100" t="n">
        <v>1</v>
      </c>
      <c r="P100" t="n">
        <v>0</v>
      </c>
      <c r="Q100" t="n">
        <v>1</v>
      </c>
      <c r="R100" s="2" t="inlineStr">
        <is>
          <t>Harticka</t>
        </is>
      </c>
      <c r="S100">
        <f>HYPERLINK("https://klasma.github.io/Logging_2380/artfynd/A 55821-2021 artfynd.xlsx", "A 55821-2021")</f>
        <v/>
      </c>
      <c r="T100">
        <f>HYPERLINK("https://klasma.github.io/Logging_2380/kartor/A 55821-2021 karta.png", "A 55821-2021")</f>
        <v/>
      </c>
      <c r="V100">
        <f>HYPERLINK("https://klasma.github.io/Logging_2380/klagomål/A 55821-2021 FSC-klagomål.docx", "A 55821-2021")</f>
        <v/>
      </c>
      <c r="W100">
        <f>HYPERLINK("https://klasma.github.io/Logging_2380/klagomålsmail/A 55821-2021 FSC-klagomål mail.docx", "A 55821-2021")</f>
        <v/>
      </c>
      <c r="X100">
        <f>HYPERLINK("https://klasma.github.io/Logging_2380/tillsyn/A 55821-2021 tillsynsbegäran.docx", "A 55821-2021")</f>
        <v/>
      </c>
      <c r="Y100">
        <f>HYPERLINK("https://klasma.github.io/Logging_2380/tillsynsmail/A 55821-2021 tillsynsbegäran mail.docx", "A 55821-2021")</f>
        <v/>
      </c>
    </row>
    <row r="101" ht="15" customHeight="1">
      <c r="A101" t="inlineStr">
        <is>
          <t>A 58181-2022</t>
        </is>
      </c>
      <c r="B101" s="1" t="n">
        <v>44900</v>
      </c>
      <c r="C101" s="1" t="n">
        <v>45889</v>
      </c>
      <c r="D101" t="inlineStr">
        <is>
          <t>JÄMTLANDS LÄN</t>
        </is>
      </c>
      <c r="E101" t="inlineStr">
        <is>
          <t>ÖSTERSUND</t>
        </is>
      </c>
      <c r="G101" t="n">
        <v>14.8</v>
      </c>
      <c r="H101" t="n">
        <v>0</v>
      </c>
      <c r="I101" t="n">
        <v>1</v>
      </c>
      <c r="J101" t="n">
        <v>0</v>
      </c>
      <c r="K101" t="n">
        <v>0</v>
      </c>
      <c r="L101" t="n">
        <v>0</v>
      </c>
      <c r="M101" t="n">
        <v>0</v>
      </c>
      <c r="N101" t="n">
        <v>0</v>
      </c>
      <c r="O101" t="n">
        <v>0</v>
      </c>
      <c r="P101" t="n">
        <v>0</v>
      </c>
      <c r="Q101" t="n">
        <v>1</v>
      </c>
      <c r="R101" s="2" t="inlineStr">
        <is>
          <t>Finbräken</t>
        </is>
      </c>
      <c r="S101">
        <f>HYPERLINK("https://klasma.github.io/Logging_2380/artfynd/A 58181-2022 artfynd.xlsx", "A 58181-2022")</f>
        <v/>
      </c>
      <c r="T101">
        <f>HYPERLINK("https://klasma.github.io/Logging_2380/kartor/A 58181-2022 karta.png", "A 58181-2022")</f>
        <v/>
      </c>
      <c r="V101">
        <f>HYPERLINK("https://klasma.github.io/Logging_2380/klagomål/A 58181-2022 FSC-klagomål.docx", "A 58181-2022")</f>
        <v/>
      </c>
      <c r="W101">
        <f>HYPERLINK("https://klasma.github.io/Logging_2380/klagomålsmail/A 58181-2022 FSC-klagomål mail.docx", "A 58181-2022")</f>
        <v/>
      </c>
      <c r="X101">
        <f>HYPERLINK("https://klasma.github.io/Logging_2380/tillsyn/A 58181-2022 tillsynsbegäran.docx", "A 58181-2022")</f>
        <v/>
      </c>
      <c r="Y101">
        <f>HYPERLINK("https://klasma.github.io/Logging_2380/tillsynsmail/A 58181-2022 tillsynsbegäran mail.docx", "A 58181-2022")</f>
        <v/>
      </c>
    </row>
    <row r="102" ht="15" customHeight="1">
      <c r="A102" t="inlineStr">
        <is>
          <t>A 54354-2024</t>
        </is>
      </c>
      <c r="B102" s="1" t="n">
        <v>45617.40244212963</v>
      </c>
      <c r="C102" s="1" t="n">
        <v>45889</v>
      </c>
      <c r="D102" t="inlineStr">
        <is>
          <t>JÄMTLANDS LÄN</t>
        </is>
      </c>
      <c r="E102" t="inlineStr">
        <is>
          <t>ÖSTERSUND</t>
        </is>
      </c>
      <c r="G102" t="n">
        <v>7</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54354-2024 artfynd.xlsx", "A 54354-2024")</f>
        <v/>
      </c>
      <c r="T102">
        <f>HYPERLINK("https://klasma.github.io/Logging_2380/kartor/A 54354-2024 karta.png", "A 54354-2024")</f>
        <v/>
      </c>
      <c r="V102">
        <f>HYPERLINK("https://klasma.github.io/Logging_2380/klagomål/A 54354-2024 FSC-klagomål.docx", "A 54354-2024")</f>
        <v/>
      </c>
      <c r="W102">
        <f>HYPERLINK("https://klasma.github.io/Logging_2380/klagomålsmail/A 54354-2024 FSC-klagomål mail.docx", "A 54354-2024")</f>
        <v/>
      </c>
      <c r="X102">
        <f>HYPERLINK("https://klasma.github.io/Logging_2380/tillsyn/A 54354-2024 tillsynsbegäran.docx", "A 54354-2024")</f>
        <v/>
      </c>
      <c r="Y102">
        <f>HYPERLINK("https://klasma.github.io/Logging_2380/tillsynsmail/A 54354-2024 tillsynsbegäran mail.docx", "A 54354-2024")</f>
        <v/>
      </c>
      <c r="Z102">
        <f>HYPERLINK("https://klasma.github.io/Logging_2380/fåglar/A 54354-2024 prioriterade fågelarter.docx", "A 54354-2024")</f>
        <v/>
      </c>
    </row>
    <row r="103" ht="15" customHeight="1">
      <c r="A103" t="inlineStr">
        <is>
          <t>A 44049-2024</t>
        </is>
      </c>
      <c r="B103" s="1" t="n">
        <v>45572.59462962963</v>
      </c>
      <c r="C103" s="1" t="n">
        <v>45889</v>
      </c>
      <c r="D103" t="inlineStr">
        <is>
          <t>JÄMTLANDS LÄN</t>
        </is>
      </c>
      <c r="E103" t="inlineStr">
        <is>
          <t>ÖSTERSUND</t>
        </is>
      </c>
      <c r="F103" t="inlineStr">
        <is>
          <t>SCA</t>
        </is>
      </c>
      <c r="G103" t="n">
        <v>4.5</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44049-2024 artfynd.xlsx", "A 44049-2024")</f>
        <v/>
      </c>
      <c r="T103">
        <f>HYPERLINK("https://klasma.github.io/Logging_2380/kartor/A 44049-2024 karta.png", "A 44049-2024")</f>
        <v/>
      </c>
      <c r="V103">
        <f>HYPERLINK("https://klasma.github.io/Logging_2380/klagomål/A 44049-2024 FSC-klagomål.docx", "A 44049-2024")</f>
        <v/>
      </c>
      <c r="W103">
        <f>HYPERLINK("https://klasma.github.io/Logging_2380/klagomålsmail/A 44049-2024 FSC-klagomål mail.docx", "A 44049-2024")</f>
        <v/>
      </c>
      <c r="X103">
        <f>HYPERLINK("https://klasma.github.io/Logging_2380/tillsyn/A 44049-2024 tillsynsbegäran.docx", "A 44049-2024")</f>
        <v/>
      </c>
      <c r="Y103">
        <f>HYPERLINK("https://klasma.github.io/Logging_2380/tillsynsmail/A 44049-2024 tillsynsbegäran mail.docx", "A 44049-2024")</f>
        <v/>
      </c>
    </row>
    <row r="104" ht="15" customHeight="1">
      <c r="A104" t="inlineStr">
        <is>
          <t>A 57065-2024</t>
        </is>
      </c>
      <c r="B104" s="1" t="n">
        <v>45629.35344907407</v>
      </c>
      <c r="C104" s="1" t="n">
        <v>45889</v>
      </c>
      <c r="D104" t="inlineStr">
        <is>
          <t>JÄMTLANDS LÄN</t>
        </is>
      </c>
      <c r="E104" t="inlineStr">
        <is>
          <t>ÖSTERSUND</t>
        </is>
      </c>
      <c r="F104" t="inlineStr">
        <is>
          <t>SCA</t>
        </is>
      </c>
      <c r="G104" t="n">
        <v>6.3</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57065-2024 artfynd.xlsx", "A 57065-2024")</f>
        <v/>
      </c>
      <c r="T104">
        <f>HYPERLINK("https://klasma.github.io/Logging_2380/kartor/A 57065-2024 karta.png", "A 57065-2024")</f>
        <v/>
      </c>
      <c r="V104">
        <f>HYPERLINK("https://klasma.github.io/Logging_2380/klagomål/A 57065-2024 FSC-klagomål.docx", "A 57065-2024")</f>
        <v/>
      </c>
      <c r="W104">
        <f>HYPERLINK("https://klasma.github.io/Logging_2380/klagomålsmail/A 57065-2024 FSC-klagomål mail.docx", "A 57065-2024")</f>
        <v/>
      </c>
      <c r="X104">
        <f>HYPERLINK("https://klasma.github.io/Logging_2380/tillsyn/A 57065-2024 tillsynsbegäran.docx", "A 57065-2024")</f>
        <v/>
      </c>
      <c r="Y104">
        <f>HYPERLINK("https://klasma.github.io/Logging_2380/tillsynsmail/A 57065-2024 tillsynsbegäran mail.docx", "A 57065-2024")</f>
        <v/>
      </c>
      <c r="Z104">
        <f>HYPERLINK("https://klasma.github.io/Logging_2380/fåglar/A 57065-2024 prioriterade fågelarter.docx", "A 57065-2024")</f>
        <v/>
      </c>
    </row>
    <row r="105" ht="15" customHeight="1">
      <c r="A105" t="inlineStr">
        <is>
          <t>A 40692-2024</t>
        </is>
      </c>
      <c r="B105" s="1" t="n">
        <v>45558</v>
      </c>
      <c r="C105" s="1" t="n">
        <v>45889</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63775-2020</t>
        </is>
      </c>
      <c r="B106" s="1" t="n">
        <v>44165</v>
      </c>
      <c r="C106" s="1" t="n">
        <v>45889</v>
      </c>
      <c r="D106" t="inlineStr">
        <is>
          <t>JÄMTLANDS LÄN</t>
        </is>
      </c>
      <c r="E106" t="inlineStr">
        <is>
          <t>ÖSTERSUND</t>
        </is>
      </c>
      <c r="G106" t="n">
        <v>6.2</v>
      </c>
      <c r="H106" t="n">
        <v>1</v>
      </c>
      <c r="I106" t="n">
        <v>0</v>
      </c>
      <c r="J106" t="n">
        <v>0</v>
      </c>
      <c r="K106" t="n">
        <v>0</v>
      </c>
      <c r="L106" t="n">
        <v>0</v>
      </c>
      <c r="M106" t="n">
        <v>0</v>
      </c>
      <c r="N106" t="n">
        <v>0</v>
      </c>
      <c r="O106" t="n">
        <v>0</v>
      </c>
      <c r="P106" t="n">
        <v>0</v>
      </c>
      <c r="Q106" t="n">
        <v>1</v>
      </c>
      <c r="R106" s="2" t="inlineStr">
        <is>
          <t>Fläcknycklar</t>
        </is>
      </c>
      <c r="S106">
        <f>HYPERLINK("https://klasma.github.io/Logging_2380/artfynd/A 63775-2020 artfynd.xlsx", "A 63775-2020")</f>
        <v/>
      </c>
      <c r="T106">
        <f>HYPERLINK("https://klasma.github.io/Logging_2380/kartor/A 63775-2020 karta.png", "A 63775-2020")</f>
        <v/>
      </c>
      <c r="V106">
        <f>HYPERLINK("https://klasma.github.io/Logging_2380/klagomål/A 63775-2020 FSC-klagomål.docx", "A 63775-2020")</f>
        <v/>
      </c>
      <c r="W106">
        <f>HYPERLINK("https://klasma.github.io/Logging_2380/klagomålsmail/A 63775-2020 FSC-klagomål mail.docx", "A 63775-2020")</f>
        <v/>
      </c>
      <c r="X106">
        <f>HYPERLINK("https://klasma.github.io/Logging_2380/tillsyn/A 63775-2020 tillsynsbegäran.docx", "A 63775-2020")</f>
        <v/>
      </c>
      <c r="Y106">
        <f>HYPERLINK("https://klasma.github.io/Logging_2380/tillsynsmail/A 63775-2020 tillsynsbegäran mail.docx", "A 63775-2020")</f>
        <v/>
      </c>
    </row>
    <row r="107" ht="15" customHeight="1">
      <c r="A107" t="inlineStr">
        <is>
          <t>A 43883-2024</t>
        </is>
      </c>
      <c r="B107" s="1" t="n">
        <v>45570</v>
      </c>
      <c r="C107" s="1" t="n">
        <v>45889</v>
      </c>
      <c r="D107" t="inlineStr">
        <is>
          <t>JÄMTLANDS LÄN</t>
        </is>
      </c>
      <c r="E107" t="inlineStr">
        <is>
          <t>ÖSTERSUND</t>
        </is>
      </c>
      <c r="G107" t="n">
        <v>3.8</v>
      </c>
      <c r="H107" t="n">
        <v>0</v>
      </c>
      <c r="I107" t="n">
        <v>0</v>
      </c>
      <c r="J107" t="n">
        <v>0</v>
      </c>
      <c r="K107" t="n">
        <v>1</v>
      </c>
      <c r="L107" t="n">
        <v>0</v>
      </c>
      <c r="M107" t="n">
        <v>0</v>
      </c>
      <c r="N107" t="n">
        <v>0</v>
      </c>
      <c r="O107" t="n">
        <v>1</v>
      </c>
      <c r="P107" t="n">
        <v>1</v>
      </c>
      <c r="Q107" t="n">
        <v>1</v>
      </c>
      <c r="R107" s="2" t="inlineStr">
        <is>
          <t>Frösöstarr</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28980-2023</t>
        </is>
      </c>
      <c r="B108" s="1" t="n">
        <v>45096</v>
      </c>
      <c r="C108" s="1" t="n">
        <v>45889</v>
      </c>
      <c r="D108" t="inlineStr">
        <is>
          <t>JÄMTLANDS LÄN</t>
        </is>
      </c>
      <c r="E108" t="inlineStr">
        <is>
          <t>ÖSTERSUND</t>
        </is>
      </c>
      <c r="G108" t="n">
        <v>2.7</v>
      </c>
      <c r="H108" t="n">
        <v>0</v>
      </c>
      <c r="I108" t="n">
        <v>1</v>
      </c>
      <c r="J108" t="n">
        <v>0</v>
      </c>
      <c r="K108" t="n">
        <v>0</v>
      </c>
      <c r="L108" t="n">
        <v>0</v>
      </c>
      <c r="M108" t="n">
        <v>0</v>
      </c>
      <c r="N108" t="n">
        <v>0</v>
      </c>
      <c r="O108" t="n">
        <v>0</v>
      </c>
      <c r="P108" t="n">
        <v>0</v>
      </c>
      <c r="Q108" t="n">
        <v>1</v>
      </c>
      <c r="R108" s="2" t="inlineStr">
        <is>
          <t>Finbräken</t>
        </is>
      </c>
      <c r="S108">
        <f>HYPERLINK("https://klasma.github.io/Logging_2380/artfynd/A 28980-2023 artfynd.xlsx", "A 28980-2023")</f>
        <v/>
      </c>
      <c r="T108">
        <f>HYPERLINK("https://klasma.github.io/Logging_2380/kartor/A 28980-2023 karta.png", "A 28980-2023")</f>
        <v/>
      </c>
      <c r="V108">
        <f>HYPERLINK("https://klasma.github.io/Logging_2380/klagomål/A 28980-2023 FSC-klagomål.docx", "A 28980-2023")</f>
        <v/>
      </c>
      <c r="W108">
        <f>HYPERLINK("https://klasma.github.io/Logging_2380/klagomålsmail/A 28980-2023 FSC-klagomål mail.docx", "A 28980-2023")</f>
        <v/>
      </c>
      <c r="X108">
        <f>HYPERLINK("https://klasma.github.io/Logging_2380/tillsyn/A 28980-2023 tillsynsbegäran.docx", "A 28980-2023")</f>
        <v/>
      </c>
      <c r="Y108">
        <f>HYPERLINK("https://klasma.github.io/Logging_2380/tillsynsmail/A 28980-2023 tillsynsbegäran mail.docx", "A 28980-2023")</f>
        <v/>
      </c>
    </row>
    <row r="109" ht="15" customHeight="1">
      <c r="A109" t="inlineStr">
        <is>
          <t>A 40694-2024</t>
        </is>
      </c>
      <c r="B109" s="1" t="n">
        <v>45558</v>
      </c>
      <c r="C109" s="1" t="n">
        <v>45889</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9739-2022</t>
        </is>
      </c>
      <c r="B110" s="1" t="n">
        <v>44617</v>
      </c>
      <c r="C110" s="1" t="n">
        <v>45889</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41312-2024</t>
        </is>
      </c>
      <c r="B111" s="1" t="n">
        <v>45559.63584490741</v>
      </c>
      <c r="C111" s="1" t="n">
        <v>45889</v>
      </c>
      <c r="D111" t="inlineStr">
        <is>
          <t>JÄMTLANDS LÄN</t>
        </is>
      </c>
      <c r="E111" t="inlineStr">
        <is>
          <t>ÖSTERSUND</t>
        </is>
      </c>
      <c r="F111" t="inlineStr">
        <is>
          <t>SCA</t>
        </is>
      </c>
      <c r="G111" t="n">
        <v>2.6</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41312-2024 artfynd.xlsx", "A 41312-2024")</f>
        <v/>
      </c>
      <c r="T111">
        <f>HYPERLINK("https://klasma.github.io/Logging_2380/kartor/A 41312-2024 karta.png", "A 41312-2024")</f>
        <v/>
      </c>
      <c r="V111">
        <f>HYPERLINK("https://klasma.github.io/Logging_2380/klagomål/A 41312-2024 FSC-klagomål.docx", "A 41312-2024")</f>
        <v/>
      </c>
      <c r="W111">
        <f>HYPERLINK("https://klasma.github.io/Logging_2380/klagomålsmail/A 41312-2024 FSC-klagomål mail.docx", "A 41312-2024")</f>
        <v/>
      </c>
      <c r="X111">
        <f>HYPERLINK("https://klasma.github.io/Logging_2380/tillsyn/A 41312-2024 tillsynsbegäran.docx", "A 41312-2024")</f>
        <v/>
      </c>
      <c r="Y111">
        <f>HYPERLINK("https://klasma.github.io/Logging_2380/tillsynsmail/A 41312-2024 tillsynsbegäran mail.docx", "A 41312-2024")</f>
        <v/>
      </c>
    </row>
    <row r="112" ht="15" customHeight="1">
      <c r="A112" t="inlineStr">
        <is>
          <t>A 56201-2024</t>
        </is>
      </c>
      <c r="B112" s="1" t="n">
        <v>45624.59462962963</v>
      </c>
      <c r="C112" s="1" t="n">
        <v>45889</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59108-2024</t>
        </is>
      </c>
      <c r="B113" s="1" t="n">
        <v>45637.34469907408</v>
      </c>
      <c r="C113" s="1" t="n">
        <v>45889</v>
      </c>
      <c r="D113" t="inlineStr">
        <is>
          <t>JÄMTLANDS LÄN</t>
        </is>
      </c>
      <c r="E113" t="inlineStr">
        <is>
          <t>ÖSTERSUND</t>
        </is>
      </c>
      <c r="F113" t="inlineStr">
        <is>
          <t>SCA</t>
        </is>
      </c>
      <c r="G113" t="n">
        <v>10.6</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59108-2024 artfynd.xlsx", "A 59108-2024")</f>
        <v/>
      </c>
      <c r="T113">
        <f>HYPERLINK("https://klasma.github.io/Logging_2380/kartor/A 59108-2024 karta.png", "A 59108-2024")</f>
        <v/>
      </c>
      <c r="V113">
        <f>HYPERLINK("https://klasma.github.io/Logging_2380/klagomål/A 59108-2024 FSC-klagomål.docx", "A 59108-2024")</f>
        <v/>
      </c>
      <c r="W113">
        <f>HYPERLINK("https://klasma.github.io/Logging_2380/klagomålsmail/A 59108-2024 FSC-klagomål mail.docx", "A 59108-2024")</f>
        <v/>
      </c>
      <c r="X113">
        <f>HYPERLINK("https://klasma.github.io/Logging_2380/tillsyn/A 59108-2024 tillsynsbegäran.docx", "A 59108-2024")</f>
        <v/>
      </c>
      <c r="Y113">
        <f>HYPERLINK("https://klasma.github.io/Logging_2380/tillsynsmail/A 59108-2024 tillsynsbegäran mail.docx", "A 59108-2024")</f>
        <v/>
      </c>
      <c r="Z113">
        <f>HYPERLINK("https://klasma.github.io/Logging_2380/fåglar/A 59108-2024 prioriterade fågelarter.docx", "A 59108-2024")</f>
        <v/>
      </c>
    </row>
    <row r="114" ht="15" customHeight="1">
      <c r="A114" t="inlineStr">
        <is>
          <t>A 11513-2024</t>
        </is>
      </c>
      <c r="B114" s="1" t="n">
        <v>45372</v>
      </c>
      <c r="C114" s="1" t="n">
        <v>45889</v>
      </c>
      <c r="D114" t="inlineStr">
        <is>
          <t>JÄMTLANDS LÄN</t>
        </is>
      </c>
      <c r="E114" t="inlineStr">
        <is>
          <t>ÖSTERSUND</t>
        </is>
      </c>
      <c r="G114" t="n">
        <v>21.2</v>
      </c>
      <c r="H114" t="n">
        <v>0</v>
      </c>
      <c r="I114" t="n">
        <v>1</v>
      </c>
      <c r="J114" t="n">
        <v>0</v>
      </c>
      <c r="K114" t="n">
        <v>0</v>
      </c>
      <c r="L114" t="n">
        <v>0</v>
      </c>
      <c r="M114" t="n">
        <v>0</v>
      </c>
      <c r="N114" t="n">
        <v>0</v>
      </c>
      <c r="O114" t="n">
        <v>0</v>
      </c>
      <c r="P114" t="n">
        <v>0</v>
      </c>
      <c r="Q114" t="n">
        <v>1</v>
      </c>
      <c r="R114" s="2" t="inlineStr">
        <is>
          <t>Tibast</t>
        </is>
      </c>
      <c r="S114">
        <f>HYPERLINK("https://klasma.github.io/Logging_2380/artfynd/A 11513-2024 artfynd.xlsx", "A 11513-2024")</f>
        <v/>
      </c>
      <c r="T114">
        <f>HYPERLINK("https://klasma.github.io/Logging_2380/kartor/A 11513-2024 karta.png", "A 11513-2024")</f>
        <v/>
      </c>
      <c r="V114">
        <f>HYPERLINK("https://klasma.github.io/Logging_2380/klagomål/A 11513-2024 FSC-klagomål.docx", "A 11513-2024")</f>
        <v/>
      </c>
      <c r="W114">
        <f>HYPERLINK("https://klasma.github.io/Logging_2380/klagomålsmail/A 11513-2024 FSC-klagomål mail.docx", "A 11513-2024")</f>
        <v/>
      </c>
      <c r="X114">
        <f>HYPERLINK("https://klasma.github.io/Logging_2380/tillsyn/A 11513-2024 tillsynsbegäran.docx", "A 11513-2024")</f>
        <v/>
      </c>
      <c r="Y114">
        <f>HYPERLINK("https://klasma.github.io/Logging_2380/tillsynsmail/A 11513-2024 tillsynsbegäran mail.docx", "A 11513-2024")</f>
        <v/>
      </c>
    </row>
    <row r="115" ht="15" customHeight="1">
      <c r="A115" t="inlineStr">
        <is>
          <t>A 36225-2025</t>
        </is>
      </c>
      <c r="B115" s="1" t="n">
        <v>45867.51128472222</v>
      </c>
      <c r="C115" s="1" t="n">
        <v>45889</v>
      </c>
      <c r="D115" t="inlineStr">
        <is>
          <t>JÄMTLANDS LÄN</t>
        </is>
      </c>
      <c r="E115" t="inlineStr">
        <is>
          <t>ÖSTERSUND</t>
        </is>
      </c>
      <c r="F115" t="inlineStr">
        <is>
          <t>SCA</t>
        </is>
      </c>
      <c r="G115" t="n">
        <v>1.8</v>
      </c>
      <c r="H115" t="n">
        <v>0</v>
      </c>
      <c r="I115" t="n">
        <v>0</v>
      </c>
      <c r="J115" t="n">
        <v>1</v>
      </c>
      <c r="K115" t="n">
        <v>0</v>
      </c>
      <c r="L115" t="n">
        <v>0</v>
      </c>
      <c r="M115" t="n">
        <v>0</v>
      </c>
      <c r="N115" t="n">
        <v>0</v>
      </c>
      <c r="O115" t="n">
        <v>1</v>
      </c>
      <c r="P115" t="n">
        <v>0</v>
      </c>
      <c r="Q115" t="n">
        <v>1</v>
      </c>
      <c r="R115" s="2" t="inlineStr">
        <is>
          <t>Kolflarnlav</t>
        </is>
      </c>
      <c r="S115">
        <f>HYPERLINK("https://klasma.github.io/Logging_2380/artfynd/A 36225-2025 artfynd.xlsx", "A 36225-2025")</f>
        <v/>
      </c>
      <c r="T115">
        <f>HYPERLINK("https://klasma.github.io/Logging_2380/kartor/A 36225-2025 karta.png", "A 36225-2025")</f>
        <v/>
      </c>
      <c r="V115">
        <f>HYPERLINK("https://klasma.github.io/Logging_2380/klagomål/A 36225-2025 FSC-klagomål.docx", "A 36225-2025")</f>
        <v/>
      </c>
      <c r="W115">
        <f>HYPERLINK("https://klasma.github.io/Logging_2380/klagomålsmail/A 36225-2025 FSC-klagomål mail.docx", "A 36225-2025")</f>
        <v/>
      </c>
      <c r="X115">
        <f>HYPERLINK("https://klasma.github.io/Logging_2380/tillsyn/A 36225-2025 tillsynsbegäran.docx", "A 36225-2025")</f>
        <v/>
      </c>
      <c r="Y115">
        <f>HYPERLINK("https://klasma.github.io/Logging_2380/tillsynsmail/A 36225-2025 tillsynsbegäran mail.docx", "A 36225-2025")</f>
        <v/>
      </c>
    </row>
    <row r="116" ht="15" customHeight="1">
      <c r="A116" t="inlineStr">
        <is>
          <t>A 41770-2024</t>
        </is>
      </c>
      <c r="B116" s="1" t="n">
        <v>45561.34641203703</v>
      </c>
      <c r="C116" s="1" t="n">
        <v>45889</v>
      </c>
      <c r="D116" t="inlineStr">
        <is>
          <t>JÄMTLANDS LÄN</t>
        </is>
      </c>
      <c r="E116" t="inlineStr">
        <is>
          <t>ÖSTERSUND</t>
        </is>
      </c>
      <c r="F116" t="inlineStr">
        <is>
          <t>SCA</t>
        </is>
      </c>
      <c r="G116" t="n">
        <v>4.4</v>
      </c>
      <c r="H116" t="n">
        <v>0</v>
      </c>
      <c r="I116" t="n">
        <v>1</v>
      </c>
      <c r="J116" t="n">
        <v>0</v>
      </c>
      <c r="K116" t="n">
        <v>0</v>
      </c>
      <c r="L116" t="n">
        <v>0</v>
      </c>
      <c r="M116" t="n">
        <v>0</v>
      </c>
      <c r="N116" t="n">
        <v>0</v>
      </c>
      <c r="O116" t="n">
        <v>0</v>
      </c>
      <c r="P116" t="n">
        <v>0</v>
      </c>
      <c r="Q116" t="n">
        <v>1</v>
      </c>
      <c r="R116" s="2" t="inlineStr">
        <is>
          <t>Vedticka</t>
        </is>
      </c>
      <c r="S116">
        <f>HYPERLINK("https://klasma.github.io/Logging_2380/artfynd/A 41770-2024 artfynd.xlsx", "A 41770-2024")</f>
        <v/>
      </c>
      <c r="T116">
        <f>HYPERLINK("https://klasma.github.io/Logging_2380/kartor/A 41770-2024 karta.png", "A 41770-2024")</f>
        <v/>
      </c>
      <c r="V116">
        <f>HYPERLINK("https://klasma.github.io/Logging_2380/klagomål/A 41770-2024 FSC-klagomål.docx", "A 41770-2024")</f>
        <v/>
      </c>
      <c r="W116">
        <f>HYPERLINK("https://klasma.github.io/Logging_2380/klagomålsmail/A 41770-2024 FSC-klagomål mail.docx", "A 41770-2024")</f>
        <v/>
      </c>
      <c r="X116">
        <f>HYPERLINK("https://klasma.github.io/Logging_2380/tillsyn/A 41770-2024 tillsynsbegäran.docx", "A 41770-2024")</f>
        <v/>
      </c>
      <c r="Y116">
        <f>HYPERLINK("https://klasma.github.io/Logging_2380/tillsynsmail/A 41770-2024 tillsynsbegäran mail.docx", "A 41770-2024")</f>
        <v/>
      </c>
    </row>
    <row r="117" ht="15" customHeight="1">
      <c r="A117" t="inlineStr">
        <is>
          <t>A 33267-2022</t>
        </is>
      </c>
      <c r="B117" s="1" t="n">
        <v>44785</v>
      </c>
      <c r="C117" s="1" t="n">
        <v>45889</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33550-2025</t>
        </is>
      </c>
      <c r="B118" s="1" t="n">
        <v>45841.57331018519</v>
      </c>
      <c r="C118" s="1" t="n">
        <v>45889</v>
      </c>
      <c r="D118" t="inlineStr">
        <is>
          <t>JÄMTLANDS LÄN</t>
        </is>
      </c>
      <c r="E118" t="inlineStr">
        <is>
          <t>ÖSTERSUND</t>
        </is>
      </c>
      <c r="F118" t="inlineStr">
        <is>
          <t>SCA</t>
        </is>
      </c>
      <c r="G118" t="n">
        <v>7.3</v>
      </c>
      <c r="H118" t="n">
        <v>0</v>
      </c>
      <c r="I118" t="n">
        <v>1</v>
      </c>
      <c r="J118" t="n">
        <v>0</v>
      </c>
      <c r="K118" t="n">
        <v>0</v>
      </c>
      <c r="L118" t="n">
        <v>0</v>
      </c>
      <c r="M118" t="n">
        <v>0</v>
      </c>
      <c r="N118" t="n">
        <v>0</v>
      </c>
      <c r="O118" t="n">
        <v>0</v>
      </c>
      <c r="P118" t="n">
        <v>0</v>
      </c>
      <c r="Q118" t="n">
        <v>1</v>
      </c>
      <c r="R118" s="2" t="inlineStr">
        <is>
          <t>Dropptaggsvamp</t>
        </is>
      </c>
      <c r="S118">
        <f>HYPERLINK("https://klasma.github.io/Logging_2380/artfynd/A 33550-2025 artfynd.xlsx", "A 33550-2025")</f>
        <v/>
      </c>
      <c r="T118">
        <f>HYPERLINK("https://klasma.github.io/Logging_2380/kartor/A 33550-2025 karta.png", "A 33550-2025")</f>
        <v/>
      </c>
      <c r="V118">
        <f>HYPERLINK("https://klasma.github.io/Logging_2380/klagomål/A 33550-2025 FSC-klagomål.docx", "A 33550-2025")</f>
        <v/>
      </c>
      <c r="W118">
        <f>HYPERLINK("https://klasma.github.io/Logging_2380/klagomålsmail/A 33550-2025 FSC-klagomål mail.docx", "A 33550-2025")</f>
        <v/>
      </c>
      <c r="X118">
        <f>HYPERLINK("https://klasma.github.io/Logging_2380/tillsyn/A 33550-2025 tillsynsbegäran.docx", "A 33550-2025")</f>
        <v/>
      </c>
      <c r="Y118">
        <f>HYPERLINK("https://klasma.github.io/Logging_2380/tillsynsmail/A 33550-2025 tillsynsbegäran mail.docx", "A 33550-2025")</f>
        <v/>
      </c>
    </row>
    <row r="119" ht="15" customHeight="1">
      <c r="A119" t="inlineStr">
        <is>
          <t>A 25244-2025</t>
        </is>
      </c>
      <c r="B119" s="1" t="n">
        <v>45800.49240740741</v>
      </c>
      <c r="C119" s="1" t="n">
        <v>45889</v>
      </c>
      <c r="D119" t="inlineStr">
        <is>
          <t>JÄMTLANDS LÄN</t>
        </is>
      </c>
      <c r="E119" t="inlineStr">
        <is>
          <t>ÖSTERSUND</t>
        </is>
      </c>
      <c r="G119" t="n">
        <v>5</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25244-2025 artfynd.xlsx", "A 25244-2025")</f>
        <v/>
      </c>
      <c r="T119">
        <f>HYPERLINK("https://klasma.github.io/Logging_2380/kartor/A 25244-2025 karta.png", "A 25244-2025")</f>
        <v/>
      </c>
      <c r="V119">
        <f>HYPERLINK("https://klasma.github.io/Logging_2380/klagomål/A 25244-2025 FSC-klagomål.docx", "A 25244-2025")</f>
        <v/>
      </c>
      <c r="W119">
        <f>HYPERLINK("https://klasma.github.io/Logging_2380/klagomålsmail/A 25244-2025 FSC-klagomål mail.docx", "A 25244-2025")</f>
        <v/>
      </c>
      <c r="X119">
        <f>HYPERLINK("https://klasma.github.io/Logging_2380/tillsyn/A 25244-2025 tillsynsbegäran.docx", "A 25244-2025")</f>
        <v/>
      </c>
      <c r="Y119">
        <f>HYPERLINK("https://klasma.github.io/Logging_2380/tillsynsmail/A 25244-2025 tillsynsbegäran mail.docx", "A 25244-2025")</f>
        <v/>
      </c>
      <c r="Z119">
        <f>HYPERLINK("https://klasma.github.io/Logging_2380/fåglar/A 25244-2025 prioriterade fågelarter.docx", "A 25244-2025")</f>
        <v/>
      </c>
    </row>
    <row r="120" ht="15" customHeight="1">
      <c r="A120" t="inlineStr">
        <is>
          <t>A 52535-2020</t>
        </is>
      </c>
      <c r="B120" s="1" t="n">
        <v>44118</v>
      </c>
      <c r="C120" s="1" t="n">
        <v>45889</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45889</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45889</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45889</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45889</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45889</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45889</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45889</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45889</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45889</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45889</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45889</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45889</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45889</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45889</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45889</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45889</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45889</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45889</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45889</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45889</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66286-2020</t>
        </is>
      </c>
      <c r="B141" s="1" t="n">
        <v>44174</v>
      </c>
      <c r="C141" s="1" t="n">
        <v>45889</v>
      </c>
      <c r="D141" t="inlineStr">
        <is>
          <t>JÄMTLANDS LÄN</t>
        </is>
      </c>
      <c r="E141" t="inlineStr">
        <is>
          <t>ÖSTERSUND</t>
        </is>
      </c>
      <c r="F141" t="inlineStr">
        <is>
          <t>Övriga statliga verk och myndigheter</t>
        </is>
      </c>
      <c r="G141" t="n">
        <v>1.1</v>
      </c>
      <c r="H141" t="n">
        <v>0</v>
      </c>
      <c r="I141" t="n">
        <v>0</v>
      </c>
      <c r="J141" t="n">
        <v>0</v>
      </c>
      <c r="K141" t="n">
        <v>0</v>
      </c>
      <c r="L141" t="n">
        <v>0</v>
      </c>
      <c r="M141" t="n">
        <v>0</v>
      </c>
      <c r="N141" t="n">
        <v>0</v>
      </c>
      <c r="O141" t="n">
        <v>0</v>
      </c>
      <c r="P141" t="n">
        <v>0</v>
      </c>
      <c r="Q141" t="n">
        <v>0</v>
      </c>
      <c r="R141" s="2" t="inlineStr"/>
    </row>
    <row r="142" ht="15" customHeight="1">
      <c r="A142" t="inlineStr">
        <is>
          <t>A 50121-2020</t>
        </is>
      </c>
      <c r="B142" s="1" t="n">
        <v>44106</v>
      </c>
      <c r="C142" s="1" t="n">
        <v>45889</v>
      </c>
      <c r="D142" t="inlineStr">
        <is>
          <t>JÄMTLANDS LÄN</t>
        </is>
      </c>
      <c r="E142" t="inlineStr">
        <is>
          <t>ÖSTERSUND</t>
        </is>
      </c>
      <c r="F142" t="inlineStr">
        <is>
          <t>Övriga statliga verk och myndigheter</t>
        </is>
      </c>
      <c r="G142" t="n">
        <v>5.2</v>
      </c>
      <c r="H142" t="n">
        <v>0</v>
      </c>
      <c r="I142" t="n">
        <v>0</v>
      </c>
      <c r="J142" t="n">
        <v>0</v>
      </c>
      <c r="K142" t="n">
        <v>0</v>
      </c>
      <c r="L142" t="n">
        <v>0</v>
      </c>
      <c r="M142" t="n">
        <v>0</v>
      </c>
      <c r="N142" t="n">
        <v>0</v>
      </c>
      <c r="O142" t="n">
        <v>0</v>
      </c>
      <c r="P142" t="n">
        <v>0</v>
      </c>
      <c r="Q142" t="n">
        <v>0</v>
      </c>
      <c r="R142" s="2" t="inlineStr"/>
    </row>
    <row r="143" ht="15" customHeight="1">
      <c r="A143" t="inlineStr">
        <is>
          <t>A 50144-2020</t>
        </is>
      </c>
      <c r="B143" s="1" t="n">
        <v>44106</v>
      </c>
      <c r="C143" s="1" t="n">
        <v>45889</v>
      </c>
      <c r="D143" t="inlineStr">
        <is>
          <t>JÄMTLANDS LÄN</t>
        </is>
      </c>
      <c r="E143" t="inlineStr">
        <is>
          <t>ÖSTERSUND</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126-2021</t>
        </is>
      </c>
      <c r="B144" s="1" t="n">
        <v>44200</v>
      </c>
      <c r="C144" s="1" t="n">
        <v>45889</v>
      </c>
      <c r="D144" t="inlineStr">
        <is>
          <t>JÄMTLANDS LÄN</t>
        </is>
      </c>
      <c r="E144" t="inlineStr">
        <is>
          <t>ÖSTERSUND</t>
        </is>
      </c>
      <c r="G144" t="n">
        <v>1.6</v>
      </c>
      <c r="H144" t="n">
        <v>0</v>
      </c>
      <c r="I144" t="n">
        <v>0</v>
      </c>
      <c r="J144" t="n">
        <v>0</v>
      </c>
      <c r="K144" t="n">
        <v>0</v>
      </c>
      <c r="L144" t="n">
        <v>0</v>
      </c>
      <c r="M144" t="n">
        <v>0</v>
      </c>
      <c r="N144" t="n">
        <v>0</v>
      </c>
      <c r="O144" t="n">
        <v>0</v>
      </c>
      <c r="P144" t="n">
        <v>0</v>
      </c>
      <c r="Q144" t="n">
        <v>0</v>
      </c>
      <c r="R144" s="2" t="inlineStr"/>
    </row>
    <row r="145" ht="15" customHeight="1">
      <c r="A145" t="inlineStr">
        <is>
          <t>A 19541-2021</t>
        </is>
      </c>
      <c r="B145" s="1" t="n">
        <v>44312.41724537037</v>
      </c>
      <c r="C145" s="1" t="n">
        <v>45889</v>
      </c>
      <c r="D145" t="inlineStr">
        <is>
          <t>JÄMTLANDS LÄN</t>
        </is>
      </c>
      <c r="E145" t="inlineStr">
        <is>
          <t>ÖSTERSUND</t>
        </is>
      </c>
      <c r="G145" t="n">
        <v>0.7</v>
      </c>
      <c r="H145" t="n">
        <v>0</v>
      </c>
      <c r="I145" t="n">
        <v>0</v>
      </c>
      <c r="J145" t="n">
        <v>0</v>
      </c>
      <c r="K145" t="n">
        <v>0</v>
      </c>
      <c r="L145" t="n">
        <v>0</v>
      </c>
      <c r="M145" t="n">
        <v>0</v>
      </c>
      <c r="N145" t="n">
        <v>0</v>
      </c>
      <c r="O145" t="n">
        <v>0</v>
      </c>
      <c r="P145" t="n">
        <v>0</v>
      </c>
      <c r="Q145" t="n">
        <v>0</v>
      </c>
      <c r="R145" s="2" t="inlineStr"/>
    </row>
    <row r="146" ht="15" customHeight="1">
      <c r="A146" t="inlineStr">
        <is>
          <t>A 2880-2022</t>
        </is>
      </c>
      <c r="B146" s="1" t="n">
        <v>44581</v>
      </c>
      <c r="C146" s="1" t="n">
        <v>45889</v>
      </c>
      <c r="D146" t="inlineStr">
        <is>
          <t>JÄMTLANDS LÄN</t>
        </is>
      </c>
      <c r="E146" t="inlineStr">
        <is>
          <t>ÖSTERSUND</t>
        </is>
      </c>
      <c r="G146" t="n">
        <v>0.5</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45889</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45889</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45889</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45889</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45889</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45889</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45889</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46002-2021</t>
        </is>
      </c>
      <c r="B154" s="1" t="n">
        <v>44441.80453703704</v>
      </c>
      <c r="C154" s="1" t="n">
        <v>45889</v>
      </c>
      <c r="D154" t="inlineStr">
        <is>
          <t>JÄMTLANDS LÄN</t>
        </is>
      </c>
      <c r="E154" t="inlineStr">
        <is>
          <t>ÖSTERSUND</t>
        </is>
      </c>
      <c r="G154" t="n">
        <v>3.6</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45889</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45889</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45889</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27061-2021</t>
        </is>
      </c>
      <c r="B158" s="1" t="n">
        <v>44349</v>
      </c>
      <c r="C158" s="1" t="n">
        <v>45889</v>
      </c>
      <c r="D158" t="inlineStr">
        <is>
          <t>JÄMTLANDS LÄN</t>
        </is>
      </c>
      <c r="E158" t="inlineStr">
        <is>
          <t>ÖSTERSUND</t>
        </is>
      </c>
      <c r="G158" t="n">
        <v>3.2</v>
      </c>
      <c r="H158" t="n">
        <v>0</v>
      </c>
      <c r="I158" t="n">
        <v>0</v>
      </c>
      <c r="J158" t="n">
        <v>0</v>
      </c>
      <c r="K158" t="n">
        <v>0</v>
      </c>
      <c r="L158" t="n">
        <v>0</v>
      </c>
      <c r="M158" t="n">
        <v>0</v>
      </c>
      <c r="N158" t="n">
        <v>0</v>
      </c>
      <c r="O158" t="n">
        <v>0</v>
      </c>
      <c r="P158" t="n">
        <v>0</v>
      </c>
      <c r="Q158" t="n">
        <v>0</v>
      </c>
      <c r="R158" s="2" t="inlineStr"/>
    </row>
    <row r="159" ht="15" customHeight="1">
      <c r="A159" t="inlineStr">
        <is>
          <t>A 56220-2020</t>
        </is>
      </c>
      <c r="B159" s="1" t="n">
        <v>44133</v>
      </c>
      <c r="C159" s="1" t="n">
        <v>45889</v>
      </c>
      <c r="D159" t="inlineStr">
        <is>
          <t>JÄMTLANDS LÄN</t>
        </is>
      </c>
      <c r="E159" t="inlineStr">
        <is>
          <t>ÖSTERSUND</t>
        </is>
      </c>
      <c r="G159" t="n">
        <v>0.6</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45889</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45889</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45889</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44267-2021</t>
        </is>
      </c>
      <c r="B163" s="1" t="n">
        <v>44434</v>
      </c>
      <c r="C163" s="1" t="n">
        <v>45889</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45889</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45889</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17596-2021</t>
        </is>
      </c>
      <c r="B166" s="1" t="n">
        <v>44299</v>
      </c>
      <c r="C166" s="1" t="n">
        <v>45889</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72041-2021</t>
        </is>
      </c>
      <c r="B167" s="1" t="n">
        <v>44540</v>
      </c>
      <c r="C167" s="1" t="n">
        <v>45889</v>
      </c>
      <c r="D167" t="inlineStr">
        <is>
          <t>JÄMTLANDS LÄN</t>
        </is>
      </c>
      <c r="E167" t="inlineStr">
        <is>
          <t>ÖSTERSUND</t>
        </is>
      </c>
      <c r="G167" t="n">
        <v>0.4</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45889</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45889</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8227-2022</t>
        </is>
      </c>
      <c r="B170" s="1" t="n">
        <v>44609.93075231482</v>
      </c>
      <c r="C170" s="1" t="n">
        <v>45889</v>
      </c>
      <c r="D170" t="inlineStr">
        <is>
          <t>JÄMTLANDS LÄN</t>
        </is>
      </c>
      <c r="E170" t="inlineStr">
        <is>
          <t>ÖSTERSUND</t>
        </is>
      </c>
      <c r="G170" t="n">
        <v>6.6</v>
      </c>
      <c r="H170" t="n">
        <v>0</v>
      </c>
      <c r="I170" t="n">
        <v>0</v>
      </c>
      <c r="J170" t="n">
        <v>0</v>
      </c>
      <c r="K170" t="n">
        <v>0</v>
      </c>
      <c r="L170" t="n">
        <v>0</v>
      </c>
      <c r="M170" t="n">
        <v>0</v>
      </c>
      <c r="N170" t="n">
        <v>0</v>
      </c>
      <c r="O170" t="n">
        <v>0</v>
      </c>
      <c r="P170" t="n">
        <v>0</v>
      </c>
      <c r="Q170" t="n">
        <v>0</v>
      </c>
      <c r="R170" s="2" t="inlineStr"/>
    </row>
    <row r="171" ht="15" customHeight="1">
      <c r="A171" t="inlineStr">
        <is>
          <t>A 72061-2021</t>
        </is>
      </c>
      <c r="B171" s="1" t="n">
        <v>44540</v>
      </c>
      <c r="C171" s="1" t="n">
        <v>45889</v>
      </c>
      <c r="D171" t="inlineStr">
        <is>
          <t>JÄMTLANDS LÄN</t>
        </is>
      </c>
      <c r="E171" t="inlineStr">
        <is>
          <t>ÖSTERSUND</t>
        </is>
      </c>
      <c r="G171" t="n">
        <v>5.3</v>
      </c>
      <c r="H171" t="n">
        <v>0</v>
      </c>
      <c r="I171" t="n">
        <v>0</v>
      </c>
      <c r="J171" t="n">
        <v>0</v>
      </c>
      <c r="K171" t="n">
        <v>0</v>
      </c>
      <c r="L171" t="n">
        <v>0</v>
      </c>
      <c r="M171" t="n">
        <v>0</v>
      </c>
      <c r="N171" t="n">
        <v>0</v>
      </c>
      <c r="O171" t="n">
        <v>0</v>
      </c>
      <c r="P171" t="n">
        <v>0</v>
      </c>
      <c r="Q171" t="n">
        <v>0</v>
      </c>
      <c r="R171" s="2" t="inlineStr"/>
    </row>
    <row r="172" ht="15" customHeight="1">
      <c r="A172" t="inlineStr">
        <is>
          <t>A 52898-2022</t>
        </is>
      </c>
      <c r="B172" s="1" t="n">
        <v>44875</v>
      </c>
      <c r="C172" s="1" t="n">
        <v>45889</v>
      </c>
      <c r="D172" t="inlineStr">
        <is>
          <t>JÄMTLANDS LÄN</t>
        </is>
      </c>
      <c r="E172" t="inlineStr">
        <is>
          <t>ÖSTERSUND</t>
        </is>
      </c>
      <c r="F172" t="inlineStr">
        <is>
          <t>Övriga Aktiebolag</t>
        </is>
      </c>
      <c r="G172" t="n">
        <v>12.1</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45889</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55105-2022</t>
        </is>
      </c>
      <c r="B174" s="1" t="n">
        <v>44886.63148148148</v>
      </c>
      <c r="C174" s="1" t="n">
        <v>45889</v>
      </c>
      <c r="D174" t="inlineStr">
        <is>
          <t>JÄMTLANDS LÄN</t>
        </is>
      </c>
      <c r="E174" t="inlineStr">
        <is>
          <t>ÖSTERSUND</t>
        </is>
      </c>
      <c r="F174" t="inlineStr">
        <is>
          <t>Övriga Aktiebolag</t>
        </is>
      </c>
      <c r="G174" t="n">
        <v>2.4</v>
      </c>
      <c r="H174" t="n">
        <v>0</v>
      </c>
      <c r="I174" t="n">
        <v>0</v>
      </c>
      <c r="J174" t="n">
        <v>0</v>
      </c>
      <c r="K174" t="n">
        <v>0</v>
      </c>
      <c r="L174" t="n">
        <v>0</v>
      </c>
      <c r="M174" t="n">
        <v>0</v>
      </c>
      <c r="N174" t="n">
        <v>0</v>
      </c>
      <c r="O174" t="n">
        <v>0</v>
      </c>
      <c r="P174" t="n">
        <v>0</v>
      </c>
      <c r="Q174" t="n">
        <v>0</v>
      </c>
      <c r="R174" s="2" t="inlineStr"/>
      <c r="U174">
        <f>HYPERLINK("https://klasma.github.io/Logging_2380/knärot/A 55105-2022 karta knärot.png", "A 55105-2022")</f>
        <v/>
      </c>
      <c r="V174">
        <f>HYPERLINK("https://klasma.github.io/Logging_2380/klagomål/A 55105-2022 FSC-klagomål.docx", "A 55105-2022")</f>
        <v/>
      </c>
      <c r="W174">
        <f>HYPERLINK("https://klasma.github.io/Logging_2380/klagomålsmail/A 55105-2022 FSC-klagomål mail.docx", "A 55105-2022")</f>
        <v/>
      </c>
      <c r="X174">
        <f>HYPERLINK("https://klasma.github.io/Logging_2380/tillsyn/A 55105-2022 tillsynsbegäran.docx", "A 55105-2022")</f>
        <v/>
      </c>
      <c r="Y174">
        <f>HYPERLINK("https://klasma.github.io/Logging_2380/tillsynsmail/A 55105-2022 tillsynsbegäran mail.docx", "A 55105-2022")</f>
        <v/>
      </c>
    </row>
    <row r="175" ht="15" customHeight="1">
      <c r="A175" t="inlineStr">
        <is>
          <t>A 41933-2020</t>
        </is>
      </c>
      <c r="B175" s="1" t="n">
        <v>44075</v>
      </c>
      <c r="C175" s="1" t="n">
        <v>45889</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43796-2020</t>
        </is>
      </c>
      <c r="B176" s="1" t="n">
        <v>44082</v>
      </c>
      <c r="C176" s="1" t="n">
        <v>45889</v>
      </c>
      <c r="D176" t="inlineStr">
        <is>
          <t>JÄMTLANDS LÄN</t>
        </is>
      </c>
      <c r="E176" t="inlineStr">
        <is>
          <t>ÖSTERSUND</t>
        </is>
      </c>
      <c r="G176" t="n">
        <v>1.5</v>
      </c>
      <c r="H176" t="n">
        <v>0</v>
      </c>
      <c r="I176" t="n">
        <v>0</v>
      </c>
      <c r="J176" t="n">
        <v>0</v>
      </c>
      <c r="K176" t="n">
        <v>0</v>
      </c>
      <c r="L176" t="n">
        <v>0</v>
      </c>
      <c r="M176" t="n">
        <v>0</v>
      </c>
      <c r="N176" t="n">
        <v>0</v>
      </c>
      <c r="O176" t="n">
        <v>0</v>
      </c>
      <c r="P176" t="n">
        <v>0</v>
      </c>
      <c r="Q176" t="n">
        <v>0</v>
      </c>
      <c r="R176" s="2" t="inlineStr"/>
    </row>
    <row r="177" ht="15" customHeight="1">
      <c r="A177" t="inlineStr">
        <is>
          <t>A 66269-2020</t>
        </is>
      </c>
      <c r="B177" s="1" t="n">
        <v>44174</v>
      </c>
      <c r="C177" s="1" t="n">
        <v>45889</v>
      </c>
      <c r="D177" t="inlineStr">
        <is>
          <t>JÄMTLANDS LÄN</t>
        </is>
      </c>
      <c r="E177" t="inlineStr">
        <is>
          <t>ÖSTERSUND</t>
        </is>
      </c>
      <c r="F177" t="inlineStr">
        <is>
          <t>Övriga statliga verk och myndigheter</t>
        </is>
      </c>
      <c r="G177" t="n">
        <v>10</v>
      </c>
      <c r="H177" t="n">
        <v>0</v>
      </c>
      <c r="I177" t="n">
        <v>0</v>
      </c>
      <c r="J177" t="n">
        <v>0</v>
      </c>
      <c r="K177" t="n">
        <v>0</v>
      </c>
      <c r="L177" t="n">
        <v>0</v>
      </c>
      <c r="M177" t="n">
        <v>0</v>
      </c>
      <c r="N177" t="n">
        <v>0</v>
      </c>
      <c r="O177" t="n">
        <v>0</v>
      </c>
      <c r="P177" t="n">
        <v>0</v>
      </c>
      <c r="Q177" t="n">
        <v>0</v>
      </c>
      <c r="R177" s="2" t="inlineStr"/>
    </row>
    <row r="178" ht="15" customHeight="1">
      <c r="A178" t="inlineStr">
        <is>
          <t>A 42832-2021</t>
        </is>
      </c>
      <c r="B178" s="1" t="n">
        <v>44430</v>
      </c>
      <c r="C178" s="1" t="n">
        <v>45889</v>
      </c>
      <c r="D178" t="inlineStr">
        <is>
          <t>JÄMTLANDS LÄN</t>
        </is>
      </c>
      <c r="E178" t="inlineStr">
        <is>
          <t>ÖSTERSUND</t>
        </is>
      </c>
      <c r="G178" t="n">
        <v>9</v>
      </c>
      <c r="H178" t="n">
        <v>0</v>
      </c>
      <c r="I178" t="n">
        <v>0</v>
      </c>
      <c r="J178" t="n">
        <v>0</v>
      </c>
      <c r="K178" t="n">
        <v>0</v>
      </c>
      <c r="L178" t="n">
        <v>0</v>
      </c>
      <c r="M178" t="n">
        <v>0</v>
      </c>
      <c r="N178" t="n">
        <v>0</v>
      </c>
      <c r="O178" t="n">
        <v>0</v>
      </c>
      <c r="P178" t="n">
        <v>0</v>
      </c>
      <c r="Q178" t="n">
        <v>0</v>
      </c>
      <c r="R178" s="2" t="inlineStr"/>
    </row>
    <row r="179" ht="15" customHeight="1">
      <c r="A179" t="inlineStr">
        <is>
          <t>A 65428-2021</t>
        </is>
      </c>
      <c r="B179" s="1" t="n">
        <v>44515</v>
      </c>
      <c r="C179" s="1" t="n">
        <v>45889</v>
      </c>
      <c r="D179" t="inlineStr">
        <is>
          <t>JÄMTLANDS LÄN</t>
        </is>
      </c>
      <c r="E179" t="inlineStr">
        <is>
          <t>ÖSTERSUND</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45889</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65866-2021</t>
        </is>
      </c>
      <c r="B181" s="1" t="n">
        <v>44516</v>
      </c>
      <c r="C181" s="1" t="n">
        <v>45889</v>
      </c>
      <c r="D181" t="inlineStr">
        <is>
          <t>JÄMTLANDS LÄN</t>
        </is>
      </c>
      <c r="E181" t="inlineStr">
        <is>
          <t>ÖSTERSUND</t>
        </is>
      </c>
      <c r="G181" t="n">
        <v>2.6</v>
      </c>
      <c r="H181" t="n">
        <v>0</v>
      </c>
      <c r="I181" t="n">
        <v>0</v>
      </c>
      <c r="J181" t="n">
        <v>0</v>
      </c>
      <c r="K181" t="n">
        <v>0</v>
      </c>
      <c r="L181" t="n">
        <v>0</v>
      </c>
      <c r="M181" t="n">
        <v>0</v>
      </c>
      <c r="N181" t="n">
        <v>0</v>
      </c>
      <c r="O181" t="n">
        <v>0</v>
      </c>
      <c r="P181" t="n">
        <v>0</v>
      </c>
      <c r="Q181" t="n">
        <v>0</v>
      </c>
      <c r="R181" s="2" t="inlineStr"/>
    </row>
    <row r="182" ht="15" customHeight="1">
      <c r="A182" t="inlineStr">
        <is>
          <t>A 45820-2020</t>
        </is>
      </c>
      <c r="B182" s="1" t="n">
        <v>44090</v>
      </c>
      <c r="C182" s="1" t="n">
        <v>45889</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45889</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45889</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45889</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2627-2024</t>
        </is>
      </c>
      <c r="B186" s="1" t="n">
        <v>45313.9496875</v>
      </c>
      <c r="C186" s="1" t="n">
        <v>45889</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14657-2022</t>
        </is>
      </c>
      <c r="B187" s="1" t="n">
        <v>44655</v>
      </c>
      <c r="C187" s="1" t="n">
        <v>45889</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45889</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57624-2020</t>
        </is>
      </c>
      <c r="B189" s="1" t="n">
        <v>44140</v>
      </c>
      <c r="C189" s="1" t="n">
        <v>45889</v>
      </c>
      <c r="D189" t="inlineStr">
        <is>
          <t>JÄMTLANDS LÄN</t>
        </is>
      </c>
      <c r="E189" t="inlineStr">
        <is>
          <t>ÖSTERSUND</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46913-2022</t>
        </is>
      </c>
      <c r="B190" s="1" t="n">
        <v>44851</v>
      </c>
      <c r="C190" s="1" t="n">
        <v>45889</v>
      </c>
      <c r="D190" t="inlineStr">
        <is>
          <t>JÄMTLANDS LÄN</t>
        </is>
      </c>
      <c r="E190" t="inlineStr">
        <is>
          <t>ÖSTERSUND</t>
        </is>
      </c>
      <c r="G190" t="n">
        <v>2.5</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45889</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45889</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45889</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32994-2021</t>
        </is>
      </c>
      <c r="B194" s="1" t="n">
        <v>44375</v>
      </c>
      <c r="C194" s="1" t="n">
        <v>45889</v>
      </c>
      <c r="D194" t="inlineStr">
        <is>
          <t>JÄMTLANDS LÄN</t>
        </is>
      </c>
      <c r="E194" t="inlineStr">
        <is>
          <t>ÖSTERSUND</t>
        </is>
      </c>
      <c r="G194" t="n">
        <v>0.1</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45889</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45889</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5145-2022</t>
        </is>
      </c>
      <c r="B197" s="1" t="n">
        <v>44594</v>
      </c>
      <c r="C197" s="1" t="n">
        <v>45889</v>
      </c>
      <c r="D197" t="inlineStr">
        <is>
          <t>JÄMTLANDS LÄN</t>
        </is>
      </c>
      <c r="E197" t="inlineStr">
        <is>
          <t>ÖSTERSUND</t>
        </is>
      </c>
      <c r="G197" t="n">
        <v>2.6</v>
      </c>
      <c r="H197" t="n">
        <v>0</v>
      </c>
      <c r="I197" t="n">
        <v>0</v>
      </c>
      <c r="J197" t="n">
        <v>0</v>
      </c>
      <c r="K197" t="n">
        <v>0</v>
      </c>
      <c r="L197" t="n">
        <v>0</v>
      </c>
      <c r="M197" t="n">
        <v>0</v>
      </c>
      <c r="N197" t="n">
        <v>0</v>
      </c>
      <c r="O197" t="n">
        <v>0</v>
      </c>
      <c r="P197" t="n">
        <v>0</v>
      </c>
      <c r="Q197" t="n">
        <v>0</v>
      </c>
      <c r="R197" s="2" t="inlineStr"/>
    </row>
    <row r="198" ht="15" customHeight="1">
      <c r="A198" t="inlineStr">
        <is>
          <t>A 54539-2020</t>
        </is>
      </c>
      <c r="B198" s="1" t="n">
        <v>44126</v>
      </c>
      <c r="C198" s="1" t="n">
        <v>45889</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45889</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45889</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50153-2020</t>
        </is>
      </c>
      <c r="B201" s="1" t="n">
        <v>44106</v>
      </c>
      <c r="C201" s="1" t="n">
        <v>45889</v>
      </c>
      <c r="D201" t="inlineStr">
        <is>
          <t>JÄMTLANDS LÄN</t>
        </is>
      </c>
      <c r="E201" t="inlineStr">
        <is>
          <t>ÖSTERSUND</t>
        </is>
      </c>
      <c r="F201" t="inlineStr">
        <is>
          <t>Övriga statliga verk och myndigheter</t>
        </is>
      </c>
      <c r="G201" t="n">
        <v>4.6</v>
      </c>
      <c r="H201" t="n">
        <v>0</v>
      </c>
      <c r="I201" t="n">
        <v>0</v>
      </c>
      <c r="J201" t="n">
        <v>0</v>
      </c>
      <c r="K201" t="n">
        <v>0</v>
      </c>
      <c r="L201" t="n">
        <v>0</v>
      </c>
      <c r="M201" t="n">
        <v>0</v>
      </c>
      <c r="N201" t="n">
        <v>0</v>
      </c>
      <c r="O201" t="n">
        <v>0</v>
      </c>
      <c r="P201" t="n">
        <v>0</v>
      </c>
      <c r="Q201" t="n">
        <v>0</v>
      </c>
      <c r="R201" s="2" t="inlineStr"/>
    </row>
    <row r="202" ht="15" customHeight="1">
      <c r="A202" t="inlineStr">
        <is>
          <t>A 52777-2020</t>
        </is>
      </c>
      <c r="B202" s="1" t="n">
        <v>44118</v>
      </c>
      <c r="C202" s="1" t="n">
        <v>45889</v>
      </c>
      <c r="D202" t="inlineStr">
        <is>
          <t>JÄMTLANDS LÄN</t>
        </is>
      </c>
      <c r="E202" t="inlineStr">
        <is>
          <t>ÖSTERSUND</t>
        </is>
      </c>
      <c r="G202" t="n">
        <v>0.6</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45889</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68408-2020</t>
        </is>
      </c>
      <c r="B204" s="1" t="n">
        <v>44186</v>
      </c>
      <c r="C204" s="1" t="n">
        <v>45889</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56642-2020</t>
        </is>
      </c>
      <c r="B205" s="1" t="n">
        <v>44137</v>
      </c>
      <c r="C205" s="1" t="n">
        <v>45889</v>
      </c>
      <c r="D205" t="inlineStr">
        <is>
          <t>JÄMTLANDS LÄN</t>
        </is>
      </c>
      <c r="E205" t="inlineStr">
        <is>
          <t>ÖSTERSUND</t>
        </is>
      </c>
      <c r="F205" t="inlineStr">
        <is>
          <t>Övriga Aktiebolag</t>
        </is>
      </c>
      <c r="G205" t="n">
        <v>6</v>
      </c>
      <c r="H205" t="n">
        <v>0</v>
      </c>
      <c r="I205" t="n">
        <v>0</v>
      </c>
      <c r="J205" t="n">
        <v>0</v>
      </c>
      <c r="K205" t="n">
        <v>0</v>
      </c>
      <c r="L205" t="n">
        <v>0</v>
      </c>
      <c r="M205" t="n">
        <v>0</v>
      </c>
      <c r="N205" t="n">
        <v>0</v>
      </c>
      <c r="O205" t="n">
        <v>0</v>
      </c>
      <c r="P205" t="n">
        <v>0</v>
      </c>
      <c r="Q205" t="n">
        <v>0</v>
      </c>
      <c r="R205" s="2" t="inlineStr"/>
    </row>
    <row r="206" ht="15" customHeight="1">
      <c r="A206" t="inlineStr">
        <is>
          <t>A 57771-2020</t>
        </is>
      </c>
      <c r="B206" s="1" t="n">
        <v>44141</v>
      </c>
      <c r="C206" s="1" t="n">
        <v>45889</v>
      </c>
      <c r="D206" t="inlineStr">
        <is>
          <t>JÄMTLANDS LÄN</t>
        </is>
      </c>
      <c r="E206" t="inlineStr">
        <is>
          <t>ÖSTERSUND</t>
        </is>
      </c>
      <c r="F206" t="inlineStr">
        <is>
          <t>Övriga Aktiebolag</t>
        </is>
      </c>
      <c r="G206" t="n">
        <v>0.8</v>
      </c>
      <c r="H206" t="n">
        <v>0</v>
      </c>
      <c r="I206" t="n">
        <v>0</v>
      </c>
      <c r="J206" t="n">
        <v>0</v>
      </c>
      <c r="K206" t="n">
        <v>0</v>
      </c>
      <c r="L206" t="n">
        <v>0</v>
      </c>
      <c r="M206" t="n">
        <v>0</v>
      </c>
      <c r="N206" t="n">
        <v>0</v>
      </c>
      <c r="O206" t="n">
        <v>0</v>
      </c>
      <c r="P206" t="n">
        <v>0</v>
      </c>
      <c r="Q206" t="n">
        <v>0</v>
      </c>
      <c r="R206" s="2" t="inlineStr"/>
    </row>
    <row r="207" ht="15" customHeight="1">
      <c r="A207" t="inlineStr">
        <is>
          <t>A 10590-2021</t>
        </is>
      </c>
      <c r="B207" s="1" t="n">
        <v>44258</v>
      </c>
      <c r="C207" s="1" t="n">
        <v>45889</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32990-2021</t>
        </is>
      </c>
      <c r="B208" s="1" t="n">
        <v>44375</v>
      </c>
      <c r="C208" s="1" t="n">
        <v>45889</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55002-2024</t>
        </is>
      </c>
      <c r="B209" s="1" t="n">
        <v>45621</v>
      </c>
      <c r="C209" s="1" t="n">
        <v>45889</v>
      </c>
      <c r="D209" t="inlineStr">
        <is>
          <t>JÄMTLANDS LÄN</t>
        </is>
      </c>
      <c r="E209" t="inlineStr">
        <is>
          <t>ÖSTERSUND</t>
        </is>
      </c>
      <c r="F209" t="inlineStr">
        <is>
          <t>Övriga Aktiebolag</t>
        </is>
      </c>
      <c r="G209" t="n">
        <v>0.3</v>
      </c>
      <c r="H209" t="n">
        <v>0</v>
      </c>
      <c r="I209" t="n">
        <v>0</v>
      </c>
      <c r="J209" t="n">
        <v>0</v>
      </c>
      <c r="K209" t="n">
        <v>0</v>
      </c>
      <c r="L209" t="n">
        <v>0</v>
      </c>
      <c r="M209" t="n">
        <v>0</v>
      </c>
      <c r="N209" t="n">
        <v>0</v>
      </c>
      <c r="O209" t="n">
        <v>0</v>
      </c>
      <c r="P209" t="n">
        <v>0</v>
      </c>
      <c r="Q209" t="n">
        <v>0</v>
      </c>
      <c r="R209" s="2" t="inlineStr"/>
    </row>
    <row r="210" ht="15" customHeight="1">
      <c r="A210" t="inlineStr">
        <is>
          <t>A 7300-2025</t>
        </is>
      </c>
      <c r="B210" s="1" t="n">
        <v>45702.65655092592</v>
      </c>
      <c r="C210" s="1" t="n">
        <v>45889</v>
      </c>
      <c r="D210" t="inlineStr">
        <is>
          <t>JÄMTLANDS LÄN</t>
        </is>
      </c>
      <c r="E210" t="inlineStr">
        <is>
          <t>ÖSTERSUND</t>
        </is>
      </c>
      <c r="F210" t="inlineStr">
        <is>
          <t>SCA</t>
        </is>
      </c>
      <c r="G210" t="n">
        <v>10.4</v>
      </c>
      <c r="H210" t="n">
        <v>0</v>
      </c>
      <c r="I210" t="n">
        <v>0</v>
      </c>
      <c r="J210" t="n">
        <v>0</v>
      </c>
      <c r="K210" t="n">
        <v>0</v>
      </c>
      <c r="L210" t="n">
        <v>0</v>
      </c>
      <c r="M210" t="n">
        <v>0</v>
      </c>
      <c r="N210" t="n">
        <v>0</v>
      </c>
      <c r="O210" t="n">
        <v>0</v>
      </c>
      <c r="P210" t="n">
        <v>0</v>
      </c>
      <c r="Q210" t="n">
        <v>0</v>
      </c>
      <c r="R210" s="2" t="inlineStr"/>
    </row>
    <row r="211" ht="15" customHeight="1">
      <c r="A211" t="inlineStr">
        <is>
          <t>A 21849-2021</t>
        </is>
      </c>
      <c r="B211" s="1" t="n">
        <v>44322</v>
      </c>
      <c r="C211" s="1" t="n">
        <v>45889</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24721-2021</t>
        </is>
      </c>
      <c r="B212" s="1" t="n">
        <v>44340</v>
      </c>
      <c r="C212" s="1" t="n">
        <v>45889</v>
      </c>
      <c r="D212" t="inlineStr">
        <is>
          <t>JÄMTLANDS LÄN</t>
        </is>
      </c>
      <c r="E212" t="inlineStr">
        <is>
          <t>ÖSTERSUND</t>
        </is>
      </c>
      <c r="G212" t="n">
        <v>2.7</v>
      </c>
      <c r="H212" t="n">
        <v>0</v>
      </c>
      <c r="I212" t="n">
        <v>0</v>
      </c>
      <c r="J212" t="n">
        <v>0</v>
      </c>
      <c r="K212" t="n">
        <v>0</v>
      </c>
      <c r="L212" t="n">
        <v>0</v>
      </c>
      <c r="M212" t="n">
        <v>0</v>
      </c>
      <c r="N212" t="n">
        <v>0</v>
      </c>
      <c r="O212" t="n">
        <v>0</v>
      </c>
      <c r="P212" t="n">
        <v>0</v>
      </c>
      <c r="Q212" t="n">
        <v>0</v>
      </c>
      <c r="R212" s="2" t="inlineStr"/>
    </row>
    <row r="213" ht="15" customHeight="1">
      <c r="A213" t="inlineStr">
        <is>
          <t>A 55365-2024</t>
        </is>
      </c>
      <c r="B213" s="1" t="n">
        <v>45621.86827546296</v>
      </c>
      <c r="C213" s="1" t="n">
        <v>45889</v>
      </c>
      <c r="D213" t="inlineStr">
        <is>
          <t>JÄMTLANDS LÄN</t>
        </is>
      </c>
      <c r="E213" t="inlineStr">
        <is>
          <t>ÖSTERSUND</t>
        </is>
      </c>
      <c r="G213" t="n">
        <v>1.6</v>
      </c>
      <c r="H213" t="n">
        <v>0</v>
      </c>
      <c r="I213" t="n">
        <v>0</v>
      </c>
      <c r="J213" t="n">
        <v>0</v>
      </c>
      <c r="K213" t="n">
        <v>0</v>
      </c>
      <c r="L213" t="n">
        <v>0</v>
      </c>
      <c r="M213" t="n">
        <v>0</v>
      </c>
      <c r="N213" t="n">
        <v>0</v>
      </c>
      <c r="O213" t="n">
        <v>0</v>
      </c>
      <c r="P213" t="n">
        <v>0</v>
      </c>
      <c r="Q213" t="n">
        <v>0</v>
      </c>
      <c r="R213" s="2" t="inlineStr"/>
    </row>
    <row r="214" ht="15" customHeight="1">
      <c r="A214" t="inlineStr">
        <is>
          <t>A 60349-2024</t>
        </is>
      </c>
      <c r="B214" s="1" t="n">
        <v>45643.42986111111</v>
      </c>
      <c r="C214" s="1" t="n">
        <v>45889</v>
      </c>
      <c r="D214" t="inlineStr">
        <is>
          <t>JÄMTLANDS LÄN</t>
        </is>
      </c>
      <c r="E214" t="inlineStr">
        <is>
          <t>ÖSTERSUND</t>
        </is>
      </c>
      <c r="F214" t="inlineStr">
        <is>
          <t>Sveaskog</t>
        </is>
      </c>
      <c r="G214" t="n">
        <v>16.6</v>
      </c>
      <c r="H214" t="n">
        <v>0</v>
      </c>
      <c r="I214" t="n">
        <v>0</v>
      </c>
      <c r="J214" t="n">
        <v>0</v>
      </c>
      <c r="K214" t="n">
        <v>0</v>
      </c>
      <c r="L214" t="n">
        <v>0</v>
      </c>
      <c r="M214" t="n">
        <v>0</v>
      </c>
      <c r="N214" t="n">
        <v>0</v>
      </c>
      <c r="O214" t="n">
        <v>0</v>
      </c>
      <c r="P214" t="n">
        <v>0</v>
      </c>
      <c r="Q214" t="n">
        <v>0</v>
      </c>
      <c r="R214" s="2" t="inlineStr"/>
    </row>
    <row r="215" ht="15" customHeight="1">
      <c r="A215" t="inlineStr">
        <is>
          <t>A 6351-2024</t>
        </is>
      </c>
      <c r="B215" s="1" t="n">
        <v>45338</v>
      </c>
      <c r="C215" s="1" t="n">
        <v>45889</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14867-2025</t>
        </is>
      </c>
      <c r="B216" s="1" t="n">
        <v>45743.44207175926</v>
      </c>
      <c r="C216" s="1" t="n">
        <v>45889</v>
      </c>
      <c r="D216" t="inlineStr">
        <is>
          <t>JÄMTLANDS LÄN</t>
        </is>
      </c>
      <c r="E216" t="inlineStr">
        <is>
          <t>ÖSTERSUND</t>
        </is>
      </c>
      <c r="G216" t="n">
        <v>3.3</v>
      </c>
      <c r="H216" t="n">
        <v>0</v>
      </c>
      <c r="I216" t="n">
        <v>0</v>
      </c>
      <c r="J216" t="n">
        <v>0</v>
      </c>
      <c r="K216" t="n">
        <v>0</v>
      </c>
      <c r="L216" t="n">
        <v>0</v>
      </c>
      <c r="M216" t="n">
        <v>0</v>
      </c>
      <c r="N216" t="n">
        <v>0</v>
      </c>
      <c r="O216" t="n">
        <v>0</v>
      </c>
      <c r="P216" t="n">
        <v>0</v>
      </c>
      <c r="Q216" t="n">
        <v>0</v>
      </c>
      <c r="R216" s="2" t="inlineStr"/>
    </row>
    <row r="217" ht="15" customHeight="1">
      <c r="A217" t="inlineStr">
        <is>
          <t>A 14947-2025</t>
        </is>
      </c>
      <c r="B217" s="1" t="n">
        <v>45743.57336805556</v>
      </c>
      <c r="C217" s="1" t="n">
        <v>45889</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19664-2025</t>
        </is>
      </c>
      <c r="B218" s="1" t="n">
        <v>45770.6925462963</v>
      </c>
      <c r="C218" s="1" t="n">
        <v>45889</v>
      </c>
      <c r="D218" t="inlineStr">
        <is>
          <t>JÄMTLANDS LÄN</t>
        </is>
      </c>
      <c r="E218" t="inlineStr">
        <is>
          <t>ÖSTERSUND</t>
        </is>
      </c>
      <c r="G218" t="n">
        <v>8.6</v>
      </c>
      <c r="H218" t="n">
        <v>0</v>
      </c>
      <c r="I218" t="n">
        <v>0</v>
      </c>
      <c r="J218" t="n">
        <v>0</v>
      </c>
      <c r="K218" t="n">
        <v>0</v>
      </c>
      <c r="L218" t="n">
        <v>0</v>
      </c>
      <c r="M218" t="n">
        <v>0</v>
      </c>
      <c r="N218" t="n">
        <v>0</v>
      </c>
      <c r="O218" t="n">
        <v>0</v>
      </c>
      <c r="P218" t="n">
        <v>0</v>
      </c>
      <c r="Q218" t="n">
        <v>0</v>
      </c>
      <c r="R218" s="2" t="inlineStr"/>
    </row>
    <row r="219" ht="15" customHeight="1">
      <c r="A219" t="inlineStr">
        <is>
          <t>A 31464-2024</t>
        </is>
      </c>
      <c r="B219" s="1" t="n">
        <v>45505.95078703704</v>
      </c>
      <c r="C219" s="1" t="n">
        <v>45889</v>
      </c>
      <c r="D219" t="inlineStr">
        <is>
          <t>JÄMTLANDS LÄN</t>
        </is>
      </c>
      <c r="E219" t="inlineStr">
        <is>
          <t>ÖSTERSUND</t>
        </is>
      </c>
      <c r="F219" t="inlineStr">
        <is>
          <t>SCA</t>
        </is>
      </c>
      <c r="G219" t="n">
        <v>8.1</v>
      </c>
      <c r="H219" t="n">
        <v>0</v>
      </c>
      <c r="I219" t="n">
        <v>0</v>
      </c>
      <c r="J219" t="n">
        <v>0</v>
      </c>
      <c r="K219" t="n">
        <v>0</v>
      </c>
      <c r="L219" t="n">
        <v>0</v>
      </c>
      <c r="M219" t="n">
        <v>0</v>
      </c>
      <c r="N219" t="n">
        <v>0</v>
      </c>
      <c r="O219" t="n">
        <v>0</v>
      </c>
      <c r="P219" t="n">
        <v>0</v>
      </c>
      <c r="Q219" t="n">
        <v>0</v>
      </c>
      <c r="R219" s="2" t="inlineStr"/>
    </row>
    <row r="220" ht="15" customHeight="1">
      <c r="A220" t="inlineStr">
        <is>
          <t>A 21211-2022</t>
        </is>
      </c>
      <c r="B220" s="1" t="n">
        <v>44704.94370370371</v>
      </c>
      <c r="C220" s="1" t="n">
        <v>45889</v>
      </c>
      <c r="D220" t="inlineStr">
        <is>
          <t>JÄMTLANDS LÄN</t>
        </is>
      </c>
      <c r="E220" t="inlineStr">
        <is>
          <t>ÖSTERSUND</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47022-2024</t>
        </is>
      </c>
      <c r="B221" s="1" t="n">
        <v>45586.40660879629</v>
      </c>
      <c r="C221" s="1" t="n">
        <v>45889</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62225-2022</t>
        </is>
      </c>
      <c r="B222" s="1" t="n">
        <v>44922</v>
      </c>
      <c r="C222" s="1" t="n">
        <v>45889</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43252-2023</t>
        </is>
      </c>
      <c r="B223" s="1" t="n">
        <v>45183</v>
      </c>
      <c r="C223" s="1" t="n">
        <v>45889</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9552-2025</t>
        </is>
      </c>
      <c r="B224" s="1" t="n">
        <v>45715.59545138889</v>
      </c>
      <c r="C224" s="1" t="n">
        <v>45889</v>
      </c>
      <c r="D224" t="inlineStr">
        <is>
          <t>JÄMTLANDS LÄN</t>
        </is>
      </c>
      <c r="E224" t="inlineStr">
        <is>
          <t>ÖSTERSUND</t>
        </is>
      </c>
      <c r="G224" t="n">
        <v>1.6</v>
      </c>
      <c r="H224" t="n">
        <v>0</v>
      </c>
      <c r="I224" t="n">
        <v>0</v>
      </c>
      <c r="J224" t="n">
        <v>0</v>
      </c>
      <c r="K224" t="n">
        <v>0</v>
      </c>
      <c r="L224" t="n">
        <v>0</v>
      </c>
      <c r="M224" t="n">
        <v>0</v>
      </c>
      <c r="N224" t="n">
        <v>0</v>
      </c>
      <c r="O224" t="n">
        <v>0</v>
      </c>
      <c r="P224" t="n">
        <v>0</v>
      </c>
      <c r="Q224" t="n">
        <v>0</v>
      </c>
      <c r="R224" s="2" t="inlineStr"/>
    </row>
    <row r="225" ht="15" customHeight="1">
      <c r="A225" t="inlineStr">
        <is>
          <t>A 4500-2025</t>
        </is>
      </c>
      <c r="B225" s="1" t="n">
        <v>45686.6859375</v>
      </c>
      <c r="C225" s="1" t="n">
        <v>45889</v>
      </c>
      <c r="D225" t="inlineStr">
        <is>
          <t>JÄMTLANDS LÄN</t>
        </is>
      </c>
      <c r="E225" t="inlineStr">
        <is>
          <t>ÖSTERSUND</t>
        </is>
      </c>
      <c r="G225" t="n">
        <v>28.4</v>
      </c>
      <c r="H225" t="n">
        <v>0</v>
      </c>
      <c r="I225" t="n">
        <v>0</v>
      </c>
      <c r="J225" t="n">
        <v>0</v>
      </c>
      <c r="K225" t="n">
        <v>0</v>
      </c>
      <c r="L225" t="n">
        <v>0</v>
      </c>
      <c r="M225" t="n">
        <v>0</v>
      </c>
      <c r="N225" t="n">
        <v>0</v>
      </c>
      <c r="O225" t="n">
        <v>0</v>
      </c>
      <c r="P225" t="n">
        <v>0</v>
      </c>
      <c r="Q225" t="n">
        <v>0</v>
      </c>
      <c r="R225" s="2" t="inlineStr"/>
    </row>
    <row r="226" ht="15" customHeight="1">
      <c r="A226" t="inlineStr">
        <is>
          <t>A 44013-2021</t>
        </is>
      </c>
      <c r="B226" s="1" t="n">
        <v>44434</v>
      </c>
      <c r="C226" s="1" t="n">
        <v>45889</v>
      </c>
      <c r="D226" t="inlineStr">
        <is>
          <t>JÄMTLANDS LÄN</t>
        </is>
      </c>
      <c r="E226" t="inlineStr">
        <is>
          <t>ÖSTERSUND</t>
        </is>
      </c>
      <c r="G226" t="n">
        <v>1.9</v>
      </c>
      <c r="H226" t="n">
        <v>0</v>
      </c>
      <c r="I226" t="n">
        <v>0</v>
      </c>
      <c r="J226" t="n">
        <v>0</v>
      </c>
      <c r="K226" t="n">
        <v>0</v>
      </c>
      <c r="L226" t="n">
        <v>0</v>
      </c>
      <c r="M226" t="n">
        <v>0</v>
      </c>
      <c r="N226" t="n">
        <v>0</v>
      </c>
      <c r="O226" t="n">
        <v>0</v>
      </c>
      <c r="P226" t="n">
        <v>0</v>
      </c>
      <c r="Q226" t="n">
        <v>0</v>
      </c>
      <c r="R226" s="2" t="inlineStr"/>
    </row>
    <row r="227" ht="15" customHeight="1">
      <c r="A227" t="inlineStr">
        <is>
          <t>A 60088-2024</t>
        </is>
      </c>
      <c r="B227" s="1" t="n">
        <v>45642.54847222222</v>
      </c>
      <c r="C227" s="1" t="n">
        <v>45889</v>
      </c>
      <c r="D227" t="inlineStr">
        <is>
          <t>JÄMTLANDS LÄN</t>
        </is>
      </c>
      <c r="E227" t="inlineStr">
        <is>
          <t>ÖSTERSUND</t>
        </is>
      </c>
      <c r="G227" t="n">
        <v>5</v>
      </c>
      <c r="H227" t="n">
        <v>0</v>
      </c>
      <c r="I227" t="n">
        <v>0</v>
      </c>
      <c r="J227" t="n">
        <v>0</v>
      </c>
      <c r="K227" t="n">
        <v>0</v>
      </c>
      <c r="L227" t="n">
        <v>0</v>
      </c>
      <c r="M227" t="n">
        <v>0</v>
      </c>
      <c r="N227" t="n">
        <v>0</v>
      </c>
      <c r="O227" t="n">
        <v>0</v>
      </c>
      <c r="P227" t="n">
        <v>0</v>
      </c>
      <c r="Q227" t="n">
        <v>0</v>
      </c>
      <c r="R227" s="2" t="inlineStr"/>
    </row>
    <row r="228" ht="15" customHeight="1">
      <c r="A228" t="inlineStr">
        <is>
          <t>A 11182-2025</t>
        </is>
      </c>
      <c r="B228" s="1" t="n">
        <v>45725.44297453704</v>
      </c>
      <c r="C228" s="1" t="n">
        <v>45889</v>
      </c>
      <c r="D228" t="inlineStr">
        <is>
          <t>JÄMTLANDS LÄN</t>
        </is>
      </c>
      <c r="E228" t="inlineStr">
        <is>
          <t>ÖSTERSUND</t>
        </is>
      </c>
      <c r="G228" t="n">
        <v>3.3</v>
      </c>
      <c r="H228" t="n">
        <v>0</v>
      </c>
      <c r="I228" t="n">
        <v>0</v>
      </c>
      <c r="J228" t="n">
        <v>0</v>
      </c>
      <c r="K228" t="n">
        <v>0</v>
      </c>
      <c r="L228" t="n">
        <v>0</v>
      </c>
      <c r="M228" t="n">
        <v>0</v>
      </c>
      <c r="N228" t="n">
        <v>0</v>
      </c>
      <c r="O228" t="n">
        <v>0</v>
      </c>
      <c r="P228" t="n">
        <v>0</v>
      </c>
      <c r="Q228" t="n">
        <v>0</v>
      </c>
      <c r="R228" s="2" t="inlineStr"/>
    </row>
    <row r="229" ht="15" customHeight="1">
      <c r="A229" t="inlineStr">
        <is>
          <t>A 52128-2023</t>
        </is>
      </c>
      <c r="B229" s="1" t="n">
        <v>45223</v>
      </c>
      <c r="C229" s="1" t="n">
        <v>45889</v>
      </c>
      <c r="D229" t="inlineStr">
        <is>
          <t>JÄMTLANDS LÄN</t>
        </is>
      </c>
      <c r="E229" t="inlineStr">
        <is>
          <t>ÖSTERSUND</t>
        </is>
      </c>
      <c r="F229" t="inlineStr">
        <is>
          <t>SCA</t>
        </is>
      </c>
      <c r="G229" t="n">
        <v>11.9</v>
      </c>
      <c r="H229" t="n">
        <v>0</v>
      </c>
      <c r="I229" t="n">
        <v>0</v>
      </c>
      <c r="J229" t="n">
        <v>0</v>
      </c>
      <c r="K229" t="n">
        <v>0</v>
      </c>
      <c r="L229" t="n">
        <v>0</v>
      </c>
      <c r="M229" t="n">
        <v>0</v>
      </c>
      <c r="N229" t="n">
        <v>0</v>
      </c>
      <c r="O229" t="n">
        <v>0</v>
      </c>
      <c r="P229" t="n">
        <v>0</v>
      </c>
      <c r="Q229" t="n">
        <v>0</v>
      </c>
      <c r="R229" s="2" t="inlineStr"/>
    </row>
    <row r="230" ht="15" customHeight="1">
      <c r="A230" t="inlineStr">
        <is>
          <t>A 44051-2021</t>
        </is>
      </c>
      <c r="B230" s="1" t="n">
        <v>44434</v>
      </c>
      <c r="C230" s="1" t="n">
        <v>45889</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4135-2023</t>
        </is>
      </c>
      <c r="B231" s="1" t="n">
        <v>44952</v>
      </c>
      <c r="C231" s="1" t="n">
        <v>45889</v>
      </c>
      <c r="D231" t="inlineStr">
        <is>
          <t>JÄMTLANDS LÄN</t>
        </is>
      </c>
      <c r="E231" t="inlineStr">
        <is>
          <t>ÖSTERSUND</t>
        </is>
      </c>
      <c r="G231" t="n">
        <v>1.3</v>
      </c>
      <c r="H231" t="n">
        <v>0</v>
      </c>
      <c r="I231" t="n">
        <v>0</v>
      </c>
      <c r="J231" t="n">
        <v>0</v>
      </c>
      <c r="K231" t="n">
        <v>0</v>
      </c>
      <c r="L231" t="n">
        <v>0</v>
      </c>
      <c r="M231" t="n">
        <v>0</v>
      </c>
      <c r="N231" t="n">
        <v>0</v>
      </c>
      <c r="O231" t="n">
        <v>0</v>
      </c>
      <c r="P231" t="n">
        <v>0</v>
      </c>
      <c r="Q231" t="n">
        <v>0</v>
      </c>
      <c r="R231" s="2" t="inlineStr"/>
    </row>
    <row r="232" ht="15" customHeight="1">
      <c r="A232" t="inlineStr">
        <is>
          <t>A 7549-2025</t>
        </is>
      </c>
      <c r="B232" s="1" t="n">
        <v>45705.57454861111</v>
      </c>
      <c r="C232" s="1" t="n">
        <v>45889</v>
      </c>
      <c r="D232" t="inlineStr">
        <is>
          <t>JÄMTLANDS LÄN</t>
        </is>
      </c>
      <c r="E232" t="inlineStr">
        <is>
          <t>ÖSTERSUND</t>
        </is>
      </c>
      <c r="F232" t="inlineStr">
        <is>
          <t>SCA</t>
        </is>
      </c>
      <c r="G232" t="n">
        <v>6.4</v>
      </c>
      <c r="H232" t="n">
        <v>0</v>
      </c>
      <c r="I232" t="n">
        <v>0</v>
      </c>
      <c r="J232" t="n">
        <v>0</v>
      </c>
      <c r="K232" t="n">
        <v>0</v>
      </c>
      <c r="L232" t="n">
        <v>0</v>
      </c>
      <c r="M232" t="n">
        <v>0</v>
      </c>
      <c r="N232" t="n">
        <v>0</v>
      </c>
      <c r="O232" t="n">
        <v>0</v>
      </c>
      <c r="P232" t="n">
        <v>0</v>
      </c>
      <c r="Q232" t="n">
        <v>0</v>
      </c>
      <c r="R232" s="2" t="inlineStr"/>
    </row>
    <row r="233" ht="15" customHeight="1">
      <c r="A233" t="inlineStr">
        <is>
          <t>A 30217-2022</t>
        </is>
      </c>
      <c r="B233" s="1" t="n">
        <v>44757.92671296297</v>
      </c>
      <c r="C233" s="1" t="n">
        <v>45889</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3053-2025</t>
        </is>
      </c>
      <c r="B234" s="1" t="n">
        <v>45678.61495370371</v>
      </c>
      <c r="C234" s="1" t="n">
        <v>45889</v>
      </c>
      <c r="D234" t="inlineStr">
        <is>
          <t>JÄMTLANDS LÄN</t>
        </is>
      </c>
      <c r="E234" t="inlineStr">
        <is>
          <t>ÖSTERSUND</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11181-2025</t>
        </is>
      </c>
      <c r="B235" s="1" t="n">
        <v>45725.44039351852</v>
      </c>
      <c r="C235" s="1" t="n">
        <v>45889</v>
      </c>
      <c r="D235" t="inlineStr">
        <is>
          <t>JÄMTLANDS LÄN</t>
        </is>
      </c>
      <c r="E235" t="inlineStr">
        <is>
          <t>ÖSTERSUND</t>
        </is>
      </c>
      <c r="G235" t="n">
        <v>15.4</v>
      </c>
      <c r="H235" t="n">
        <v>0</v>
      </c>
      <c r="I235" t="n">
        <v>0</v>
      </c>
      <c r="J235" t="n">
        <v>0</v>
      </c>
      <c r="K235" t="n">
        <v>0</v>
      </c>
      <c r="L235" t="n">
        <v>0</v>
      </c>
      <c r="M235" t="n">
        <v>0</v>
      </c>
      <c r="N235" t="n">
        <v>0</v>
      </c>
      <c r="O235" t="n">
        <v>0</v>
      </c>
      <c r="P235" t="n">
        <v>0</v>
      </c>
      <c r="Q235" t="n">
        <v>0</v>
      </c>
      <c r="R235" s="2" t="inlineStr"/>
    </row>
    <row r="236" ht="15" customHeight="1">
      <c r="A236" t="inlineStr">
        <is>
          <t>A 14514-2025</t>
        </is>
      </c>
      <c r="B236" s="1" t="n">
        <v>45741.6369212963</v>
      </c>
      <c r="C236" s="1" t="n">
        <v>45889</v>
      </c>
      <c r="D236" t="inlineStr">
        <is>
          <t>JÄMTLANDS LÄN</t>
        </is>
      </c>
      <c r="E236" t="inlineStr">
        <is>
          <t>ÖSTERSUND</t>
        </is>
      </c>
      <c r="F236" t="inlineStr">
        <is>
          <t>SCA</t>
        </is>
      </c>
      <c r="G236" t="n">
        <v>5.4</v>
      </c>
      <c r="H236" t="n">
        <v>0</v>
      </c>
      <c r="I236" t="n">
        <v>0</v>
      </c>
      <c r="J236" t="n">
        <v>0</v>
      </c>
      <c r="K236" t="n">
        <v>0</v>
      </c>
      <c r="L236" t="n">
        <v>0</v>
      </c>
      <c r="M236" t="n">
        <v>0</v>
      </c>
      <c r="N236" t="n">
        <v>0</v>
      </c>
      <c r="O236" t="n">
        <v>0</v>
      </c>
      <c r="P236" t="n">
        <v>0</v>
      </c>
      <c r="Q236" t="n">
        <v>0</v>
      </c>
      <c r="R236" s="2" t="inlineStr"/>
    </row>
    <row r="237" ht="15" customHeight="1">
      <c r="A237" t="inlineStr">
        <is>
          <t>A 6067-2025</t>
        </is>
      </c>
      <c r="B237" s="1" t="n">
        <v>45696.34405092592</v>
      </c>
      <c r="C237" s="1" t="n">
        <v>45889</v>
      </c>
      <c r="D237" t="inlineStr">
        <is>
          <t>JÄMTLANDS LÄN</t>
        </is>
      </c>
      <c r="E237" t="inlineStr">
        <is>
          <t>ÖSTERSUND</t>
        </is>
      </c>
      <c r="G237" t="n">
        <v>2.1</v>
      </c>
      <c r="H237" t="n">
        <v>0</v>
      </c>
      <c r="I237" t="n">
        <v>0</v>
      </c>
      <c r="J237" t="n">
        <v>0</v>
      </c>
      <c r="K237" t="n">
        <v>0</v>
      </c>
      <c r="L237" t="n">
        <v>0</v>
      </c>
      <c r="M237" t="n">
        <v>0</v>
      </c>
      <c r="N237" t="n">
        <v>0</v>
      </c>
      <c r="O237" t="n">
        <v>0</v>
      </c>
      <c r="P237" t="n">
        <v>0</v>
      </c>
      <c r="Q237" t="n">
        <v>0</v>
      </c>
      <c r="R237" s="2" t="inlineStr"/>
    </row>
    <row r="238" ht="15" customHeight="1">
      <c r="A238" t="inlineStr">
        <is>
          <t>A 17066-2024</t>
        </is>
      </c>
      <c r="B238" s="1" t="n">
        <v>45412.46636574074</v>
      </c>
      <c r="C238" s="1" t="n">
        <v>45889</v>
      </c>
      <c r="D238" t="inlineStr">
        <is>
          <t>JÄMTLANDS LÄN</t>
        </is>
      </c>
      <c r="E238" t="inlineStr">
        <is>
          <t>ÖSTERSUND</t>
        </is>
      </c>
      <c r="G238" t="n">
        <v>4.2</v>
      </c>
      <c r="H238" t="n">
        <v>0</v>
      </c>
      <c r="I238" t="n">
        <v>0</v>
      </c>
      <c r="J238" t="n">
        <v>0</v>
      </c>
      <c r="K238" t="n">
        <v>0</v>
      </c>
      <c r="L238" t="n">
        <v>0</v>
      </c>
      <c r="M238" t="n">
        <v>0</v>
      </c>
      <c r="N238" t="n">
        <v>0</v>
      </c>
      <c r="O238" t="n">
        <v>0</v>
      </c>
      <c r="P238" t="n">
        <v>0</v>
      </c>
      <c r="Q238" t="n">
        <v>0</v>
      </c>
      <c r="R238" s="2" t="inlineStr"/>
    </row>
    <row r="239" ht="15" customHeight="1">
      <c r="A239" t="inlineStr">
        <is>
          <t>A 54663-2022</t>
        </is>
      </c>
      <c r="B239" s="1" t="n">
        <v>44883.44737268519</v>
      </c>
      <c r="C239" s="1" t="n">
        <v>45889</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9744-2025</t>
        </is>
      </c>
      <c r="B240" s="1" t="n">
        <v>45716.4484375</v>
      </c>
      <c r="C240" s="1" t="n">
        <v>45889</v>
      </c>
      <c r="D240" t="inlineStr">
        <is>
          <t>JÄMTLANDS LÄN</t>
        </is>
      </c>
      <c r="E240" t="inlineStr">
        <is>
          <t>ÖSTERSUND</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18578-2025</t>
        </is>
      </c>
      <c r="B241" s="1" t="n">
        <v>45763</v>
      </c>
      <c r="C241" s="1" t="n">
        <v>45889</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4350-2024</t>
        </is>
      </c>
      <c r="B242" s="1" t="n">
        <v>45324.93804398148</v>
      </c>
      <c r="C242" s="1" t="n">
        <v>45889</v>
      </c>
      <c r="D242" t="inlineStr">
        <is>
          <t>JÄMTLANDS LÄN</t>
        </is>
      </c>
      <c r="E242" t="inlineStr">
        <is>
          <t>ÖSTERSUND</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43511-2022</t>
        </is>
      </c>
      <c r="B243" s="1" t="n">
        <v>44837.36724537037</v>
      </c>
      <c r="C243" s="1" t="n">
        <v>45889</v>
      </c>
      <c r="D243" t="inlineStr">
        <is>
          <t>JÄMTLANDS LÄN</t>
        </is>
      </c>
      <c r="E243" t="inlineStr">
        <is>
          <t>ÖSTERSUND</t>
        </is>
      </c>
      <c r="G243" t="n">
        <v>3.7</v>
      </c>
      <c r="H243" t="n">
        <v>0</v>
      </c>
      <c r="I243" t="n">
        <v>0</v>
      </c>
      <c r="J243" t="n">
        <v>0</v>
      </c>
      <c r="K243" t="n">
        <v>0</v>
      </c>
      <c r="L243" t="n">
        <v>0</v>
      </c>
      <c r="M243" t="n">
        <v>0</v>
      </c>
      <c r="N243" t="n">
        <v>0</v>
      </c>
      <c r="O243" t="n">
        <v>0</v>
      </c>
      <c r="P243" t="n">
        <v>0</v>
      </c>
      <c r="Q243" t="n">
        <v>0</v>
      </c>
      <c r="R243" s="2" t="inlineStr"/>
    </row>
    <row r="244" ht="15" customHeight="1">
      <c r="A244" t="inlineStr">
        <is>
          <t>A 2730-2025</t>
        </is>
      </c>
      <c r="B244" s="1" t="n">
        <v>45677.44393518518</v>
      </c>
      <c r="C244" s="1" t="n">
        <v>45889</v>
      </c>
      <c r="D244" t="inlineStr">
        <is>
          <t>JÄMTLANDS LÄN</t>
        </is>
      </c>
      <c r="E244" t="inlineStr">
        <is>
          <t>ÖSTERSUND</t>
        </is>
      </c>
      <c r="G244" t="n">
        <v>2.5</v>
      </c>
      <c r="H244" t="n">
        <v>0</v>
      </c>
      <c r="I244" t="n">
        <v>0</v>
      </c>
      <c r="J244" t="n">
        <v>0</v>
      </c>
      <c r="K244" t="n">
        <v>0</v>
      </c>
      <c r="L244" t="n">
        <v>0</v>
      </c>
      <c r="M244" t="n">
        <v>0</v>
      </c>
      <c r="N244" t="n">
        <v>0</v>
      </c>
      <c r="O244" t="n">
        <v>0</v>
      </c>
      <c r="P244" t="n">
        <v>0</v>
      </c>
      <c r="Q244" t="n">
        <v>0</v>
      </c>
      <c r="R244" s="2" t="inlineStr"/>
    </row>
    <row r="245" ht="15" customHeight="1">
      <c r="A245" t="inlineStr">
        <is>
          <t>A 16753-2025</t>
        </is>
      </c>
      <c r="B245" s="1" t="n">
        <v>45754.56839120371</v>
      </c>
      <c r="C245" s="1" t="n">
        <v>45889</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7233-2025</t>
        </is>
      </c>
      <c r="B246" s="1" t="n">
        <v>45702.51765046296</v>
      </c>
      <c r="C246" s="1" t="n">
        <v>45889</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18577-2025</t>
        </is>
      </c>
      <c r="B247" s="1" t="n">
        <v>45763</v>
      </c>
      <c r="C247" s="1" t="n">
        <v>45889</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38142-2021</t>
        </is>
      </c>
      <c r="B248" s="1" t="n">
        <v>44405</v>
      </c>
      <c r="C248" s="1" t="n">
        <v>45889</v>
      </c>
      <c r="D248" t="inlineStr">
        <is>
          <t>JÄMTLANDS LÄN</t>
        </is>
      </c>
      <c r="E248" t="inlineStr">
        <is>
          <t>ÖSTERSUND</t>
        </is>
      </c>
      <c r="G248" t="n">
        <v>1.7</v>
      </c>
      <c r="H248" t="n">
        <v>0</v>
      </c>
      <c r="I248" t="n">
        <v>0</v>
      </c>
      <c r="J248" t="n">
        <v>0</v>
      </c>
      <c r="K248" t="n">
        <v>0</v>
      </c>
      <c r="L248" t="n">
        <v>0</v>
      </c>
      <c r="M248" t="n">
        <v>0</v>
      </c>
      <c r="N248" t="n">
        <v>0</v>
      </c>
      <c r="O248" t="n">
        <v>0</v>
      </c>
      <c r="P248" t="n">
        <v>0</v>
      </c>
      <c r="Q248" t="n">
        <v>0</v>
      </c>
      <c r="R248" s="2" t="inlineStr"/>
    </row>
    <row r="249" ht="15" customHeight="1">
      <c r="A249" t="inlineStr">
        <is>
          <t>A 60174-2022</t>
        </is>
      </c>
      <c r="B249" s="1" t="n">
        <v>44909.9640162037</v>
      </c>
      <c r="C249" s="1" t="n">
        <v>45889</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42151-2023</t>
        </is>
      </c>
      <c r="B250" s="1" t="n">
        <v>45177.93612268518</v>
      </c>
      <c r="C250" s="1" t="n">
        <v>45889</v>
      </c>
      <c r="D250" t="inlineStr">
        <is>
          <t>JÄMTLANDS LÄN</t>
        </is>
      </c>
      <c r="E250" t="inlineStr">
        <is>
          <t>ÖSTERSUND</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43016-2024</t>
        </is>
      </c>
      <c r="B251" s="1" t="n">
        <v>45567.39192129629</v>
      </c>
      <c r="C251" s="1" t="n">
        <v>45889</v>
      </c>
      <c r="D251" t="inlineStr">
        <is>
          <t>JÄMTLANDS LÄN</t>
        </is>
      </c>
      <c r="E251" t="inlineStr">
        <is>
          <t>ÖSTERSUND</t>
        </is>
      </c>
      <c r="G251" t="n">
        <v>5.3</v>
      </c>
      <c r="H251" t="n">
        <v>0</v>
      </c>
      <c r="I251" t="n">
        <v>0</v>
      </c>
      <c r="J251" t="n">
        <v>0</v>
      </c>
      <c r="K251" t="n">
        <v>0</v>
      </c>
      <c r="L251" t="n">
        <v>0</v>
      </c>
      <c r="M251" t="n">
        <v>0</v>
      </c>
      <c r="N251" t="n">
        <v>0</v>
      </c>
      <c r="O251" t="n">
        <v>0</v>
      </c>
      <c r="P251" t="n">
        <v>0</v>
      </c>
      <c r="Q251" t="n">
        <v>0</v>
      </c>
      <c r="R251" s="2" t="inlineStr"/>
    </row>
    <row r="252" ht="15" customHeight="1">
      <c r="A252" t="inlineStr">
        <is>
          <t>A 51865-2024</t>
        </is>
      </c>
      <c r="B252" s="1" t="n">
        <v>45607.55260416667</v>
      </c>
      <c r="C252" s="1" t="n">
        <v>45889</v>
      </c>
      <c r="D252" t="inlineStr">
        <is>
          <t>JÄMTLANDS LÄN</t>
        </is>
      </c>
      <c r="E252" t="inlineStr">
        <is>
          <t>ÖSTERSUND</t>
        </is>
      </c>
      <c r="F252" t="inlineStr">
        <is>
          <t>SCA</t>
        </is>
      </c>
      <c r="G252" t="n">
        <v>5.4</v>
      </c>
      <c r="H252" t="n">
        <v>0</v>
      </c>
      <c r="I252" t="n">
        <v>0</v>
      </c>
      <c r="J252" t="n">
        <v>0</v>
      </c>
      <c r="K252" t="n">
        <v>0</v>
      </c>
      <c r="L252" t="n">
        <v>0</v>
      </c>
      <c r="M252" t="n">
        <v>0</v>
      </c>
      <c r="N252" t="n">
        <v>0</v>
      </c>
      <c r="O252" t="n">
        <v>0</v>
      </c>
      <c r="P252" t="n">
        <v>0</v>
      </c>
      <c r="Q252" t="n">
        <v>0</v>
      </c>
      <c r="R252" s="2" t="inlineStr"/>
    </row>
    <row r="253" ht="15" customHeight="1">
      <c r="A253" t="inlineStr">
        <is>
          <t>A 58364-2024</t>
        </is>
      </c>
      <c r="B253" s="1" t="n">
        <v>45632.68814814815</v>
      </c>
      <c r="C253" s="1" t="n">
        <v>45889</v>
      </c>
      <c r="D253" t="inlineStr">
        <is>
          <t>JÄMTLANDS LÄN</t>
        </is>
      </c>
      <c r="E253" t="inlineStr">
        <is>
          <t>ÖSTERSUND</t>
        </is>
      </c>
      <c r="G253" t="n">
        <v>5.5</v>
      </c>
      <c r="H253" t="n">
        <v>0</v>
      </c>
      <c r="I253" t="n">
        <v>0</v>
      </c>
      <c r="J253" t="n">
        <v>0</v>
      </c>
      <c r="K253" t="n">
        <v>0</v>
      </c>
      <c r="L253" t="n">
        <v>0</v>
      </c>
      <c r="M253" t="n">
        <v>0</v>
      </c>
      <c r="N253" t="n">
        <v>0</v>
      </c>
      <c r="O253" t="n">
        <v>0</v>
      </c>
      <c r="P253" t="n">
        <v>0</v>
      </c>
      <c r="Q253" t="n">
        <v>0</v>
      </c>
      <c r="R253" s="2" t="inlineStr"/>
    </row>
    <row r="254" ht="15" customHeight="1">
      <c r="A254" t="inlineStr">
        <is>
          <t>A 20634-2023</t>
        </is>
      </c>
      <c r="B254" s="1" t="n">
        <v>45057.9441087963</v>
      </c>
      <c r="C254" s="1" t="n">
        <v>45889</v>
      </c>
      <c r="D254" t="inlineStr">
        <is>
          <t>JÄMTLANDS LÄN</t>
        </is>
      </c>
      <c r="E254" t="inlineStr">
        <is>
          <t>ÖSTERSUND</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11052-2024</t>
        </is>
      </c>
      <c r="B255" s="1" t="n">
        <v>45370</v>
      </c>
      <c r="C255" s="1" t="n">
        <v>45889</v>
      </c>
      <c r="D255" t="inlineStr">
        <is>
          <t>JÄMTLANDS LÄN</t>
        </is>
      </c>
      <c r="E255" t="inlineStr">
        <is>
          <t>ÖSTERSUND</t>
        </is>
      </c>
      <c r="G255" t="n">
        <v>2.3</v>
      </c>
      <c r="H255" t="n">
        <v>0</v>
      </c>
      <c r="I255" t="n">
        <v>0</v>
      </c>
      <c r="J255" t="n">
        <v>0</v>
      </c>
      <c r="K255" t="n">
        <v>0</v>
      </c>
      <c r="L255" t="n">
        <v>0</v>
      </c>
      <c r="M255" t="n">
        <v>0</v>
      </c>
      <c r="N255" t="n">
        <v>0</v>
      </c>
      <c r="O255" t="n">
        <v>0</v>
      </c>
      <c r="P255" t="n">
        <v>0</v>
      </c>
      <c r="Q255" t="n">
        <v>0</v>
      </c>
      <c r="R255" s="2" t="inlineStr"/>
    </row>
    <row r="256" ht="15" customHeight="1">
      <c r="A256" t="inlineStr">
        <is>
          <t>A 7941-2025</t>
        </is>
      </c>
      <c r="B256" s="1" t="n">
        <v>45707</v>
      </c>
      <c r="C256" s="1" t="n">
        <v>45889</v>
      </c>
      <c r="D256" t="inlineStr">
        <is>
          <t>JÄMTLANDS LÄN</t>
        </is>
      </c>
      <c r="E256" t="inlineStr">
        <is>
          <t>ÖSTERSUND</t>
        </is>
      </c>
      <c r="G256" t="n">
        <v>2</v>
      </c>
      <c r="H256" t="n">
        <v>0</v>
      </c>
      <c r="I256" t="n">
        <v>0</v>
      </c>
      <c r="J256" t="n">
        <v>0</v>
      </c>
      <c r="K256" t="n">
        <v>0</v>
      </c>
      <c r="L256" t="n">
        <v>0</v>
      </c>
      <c r="M256" t="n">
        <v>0</v>
      </c>
      <c r="N256" t="n">
        <v>0</v>
      </c>
      <c r="O256" t="n">
        <v>0</v>
      </c>
      <c r="P256" t="n">
        <v>0</v>
      </c>
      <c r="Q256" t="n">
        <v>0</v>
      </c>
      <c r="R256" s="2" t="inlineStr"/>
    </row>
    <row r="257" ht="15" customHeight="1">
      <c r="A257" t="inlineStr">
        <is>
          <t>A 44489-2024</t>
        </is>
      </c>
      <c r="B257" s="1" t="n">
        <v>45574.38943287037</v>
      </c>
      <c r="C257" s="1" t="n">
        <v>45889</v>
      </c>
      <c r="D257" t="inlineStr">
        <is>
          <t>JÄMTLANDS LÄN</t>
        </is>
      </c>
      <c r="E257" t="inlineStr">
        <is>
          <t>ÖSTERSUND</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55-2023</t>
        </is>
      </c>
      <c r="B258" s="1" t="n">
        <v>44928</v>
      </c>
      <c r="C258" s="1" t="n">
        <v>45889</v>
      </c>
      <c r="D258" t="inlineStr">
        <is>
          <t>JÄMTLANDS LÄN</t>
        </is>
      </c>
      <c r="E258" t="inlineStr">
        <is>
          <t>ÖSTERSUND</t>
        </is>
      </c>
      <c r="G258" t="n">
        <v>4</v>
      </c>
      <c r="H258" t="n">
        <v>0</v>
      </c>
      <c r="I258" t="n">
        <v>0</v>
      </c>
      <c r="J258" t="n">
        <v>0</v>
      </c>
      <c r="K258" t="n">
        <v>0</v>
      </c>
      <c r="L258" t="n">
        <v>0</v>
      </c>
      <c r="M258" t="n">
        <v>0</v>
      </c>
      <c r="N258" t="n">
        <v>0</v>
      </c>
      <c r="O258" t="n">
        <v>0</v>
      </c>
      <c r="P258" t="n">
        <v>0</v>
      </c>
      <c r="Q258" t="n">
        <v>0</v>
      </c>
      <c r="R258" s="2" t="inlineStr"/>
    </row>
    <row r="259" ht="15" customHeight="1">
      <c r="A259" t="inlineStr">
        <is>
          <t>A 56111-2022</t>
        </is>
      </c>
      <c r="B259" s="1" t="n">
        <v>44889</v>
      </c>
      <c r="C259" s="1" t="n">
        <v>45889</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16335-2025</t>
        </is>
      </c>
      <c r="B260" s="1" t="n">
        <v>45751.36518518518</v>
      </c>
      <c r="C260" s="1" t="n">
        <v>45889</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64309-2023</t>
        </is>
      </c>
      <c r="B261" s="1" t="n">
        <v>45280</v>
      </c>
      <c r="C261" s="1" t="n">
        <v>45889</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27124-2023</t>
        </is>
      </c>
      <c r="B262" s="1" t="n">
        <v>45096</v>
      </c>
      <c r="C262" s="1" t="n">
        <v>45889</v>
      </c>
      <c r="D262" t="inlineStr">
        <is>
          <t>JÄMTLANDS LÄN</t>
        </is>
      </c>
      <c r="E262" t="inlineStr">
        <is>
          <t>ÖSTERSUND</t>
        </is>
      </c>
      <c r="G262" t="n">
        <v>1.9</v>
      </c>
      <c r="H262" t="n">
        <v>0</v>
      </c>
      <c r="I262" t="n">
        <v>0</v>
      </c>
      <c r="J262" t="n">
        <v>0</v>
      </c>
      <c r="K262" t="n">
        <v>0</v>
      </c>
      <c r="L262" t="n">
        <v>0</v>
      </c>
      <c r="M262" t="n">
        <v>0</v>
      </c>
      <c r="N262" t="n">
        <v>0</v>
      </c>
      <c r="O262" t="n">
        <v>0</v>
      </c>
      <c r="P262" t="n">
        <v>0</v>
      </c>
      <c r="Q262" t="n">
        <v>0</v>
      </c>
      <c r="R262" s="2" t="inlineStr"/>
    </row>
    <row r="263" ht="15" customHeight="1">
      <c r="A263" t="inlineStr">
        <is>
          <t>A 53714-2022</t>
        </is>
      </c>
      <c r="B263" s="1" t="n">
        <v>44880</v>
      </c>
      <c r="C263" s="1" t="n">
        <v>45889</v>
      </c>
      <c r="D263" t="inlineStr">
        <is>
          <t>JÄMTLANDS LÄN</t>
        </is>
      </c>
      <c r="E263" t="inlineStr">
        <is>
          <t>ÖSTERSUND</t>
        </is>
      </c>
      <c r="G263" t="n">
        <v>1.3</v>
      </c>
      <c r="H263" t="n">
        <v>0</v>
      </c>
      <c r="I263" t="n">
        <v>0</v>
      </c>
      <c r="J263" t="n">
        <v>0</v>
      </c>
      <c r="K263" t="n">
        <v>0</v>
      </c>
      <c r="L263" t="n">
        <v>0</v>
      </c>
      <c r="M263" t="n">
        <v>0</v>
      </c>
      <c r="N263" t="n">
        <v>0</v>
      </c>
      <c r="O263" t="n">
        <v>0</v>
      </c>
      <c r="P263" t="n">
        <v>0</v>
      </c>
      <c r="Q263" t="n">
        <v>0</v>
      </c>
      <c r="R263" s="2" t="inlineStr"/>
    </row>
    <row r="264" ht="15" customHeight="1">
      <c r="A264" t="inlineStr">
        <is>
          <t>A 4521-2025</t>
        </is>
      </c>
      <c r="B264" s="1" t="n">
        <v>45686</v>
      </c>
      <c r="C264" s="1" t="n">
        <v>45889</v>
      </c>
      <c r="D264" t="inlineStr">
        <is>
          <t>JÄMTLANDS LÄN</t>
        </is>
      </c>
      <c r="E264" t="inlineStr">
        <is>
          <t>ÖSTERSUND</t>
        </is>
      </c>
      <c r="G264" t="n">
        <v>28.4</v>
      </c>
      <c r="H264" t="n">
        <v>0</v>
      </c>
      <c r="I264" t="n">
        <v>0</v>
      </c>
      <c r="J264" t="n">
        <v>0</v>
      </c>
      <c r="K264" t="n">
        <v>0</v>
      </c>
      <c r="L264" t="n">
        <v>0</v>
      </c>
      <c r="M264" t="n">
        <v>0</v>
      </c>
      <c r="N264" t="n">
        <v>0</v>
      </c>
      <c r="O264" t="n">
        <v>0</v>
      </c>
      <c r="P264" t="n">
        <v>0</v>
      </c>
      <c r="Q264" t="n">
        <v>0</v>
      </c>
      <c r="R264" s="2" t="inlineStr"/>
    </row>
    <row r="265" ht="15" customHeight="1">
      <c r="A265" t="inlineStr">
        <is>
          <t>A 60767-2022</t>
        </is>
      </c>
      <c r="B265" s="1" t="n">
        <v>44914.35599537037</v>
      </c>
      <c r="C265" s="1" t="n">
        <v>45889</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6578-2021</t>
        </is>
      </c>
      <c r="B266" s="1" t="n">
        <v>44236</v>
      </c>
      <c r="C266" s="1" t="n">
        <v>45889</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51826-2024</t>
        </is>
      </c>
      <c r="B267" s="1" t="n">
        <v>45607.50137731482</v>
      </c>
      <c r="C267" s="1" t="n">
        <v>45889</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61530-2023</t>
        </is>
      </c>
      <c r="B268" s="1" t="n">
        <v>45261</v>
      </c>
      <c r="C268" s="1" t="n">
        <v>45889</v>
      </c>
      <c r="D268" t="inlineStr">
        <is>
          <t>JÄMTLANDS LÄN</t>
        </is>
      </c>
      <c r="E268" t="inlineStr">
        <is>
          <t>ÖSTERSUND</t>
        </is>
      </c>
      <c r="F268" t="inlineStr">
        <is>
          <t>Övriga statliga verk och myndigheter</t>
        </is>
      </c>
      <c r="G268" t="n">
        <v>1</v>
      </c>
      <c r="H268" t="n">
        <v>0</v>
      </c>
      <c r="I268" t="n">
        <v>0</v>
      </c>
      <c r="J268" t="n">
        <v>0</v>
      </c>
      <c r="K268" t="n">
        <v>0</v>
      </c>
      <c r="L268" t="n">
        <v>0</v>
      </c>
      <c r="M268" t="n">
        <v>0</v>
      </c>
      <c r="N268" t="n">
        <v>0</v>
      </c>
      <c r="O268" t="n">
        <v>0</v>
      </c>
      <c r="P268" t="n">
        <v>0</v>
      </c>
      <c r="Q268" t="n">
        <v>0</v>
      </c>
      <c r="R268" s="2" t="inlineStr"/>
    </row>
    <row r="269" ht="15" customHeight="1">
      <c r="A269" t="inlineStr">
        <is>
          <t>A 17570-2025</t>
        </is>
      </c>
      <c r="B269" s="1" t="n">
        <v>45757.64563657407</v>
      </c>
      <c r="C269" s="1" t="n">
        <v>45889</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60681-2022</t>
        </is>
      </c>
      <c r="B270" s="1" t="n">
        <v>44911.93994212963</v>
      </c>
      <c r="C270" s="1" t="n">
        <v>45889</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15669-2025</t>
        </is>
      </c>
      <c r="B271" s="1" t="n">
        <v>45748.4396412037</v>
      </c>
      <c r="C271" s="1" t="n">
        <v>45889</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2984-2024</t>
        </is>
      </c>
      <c r="B272" s="1" t="n">
        <v>45315</v>
      </c>
      <c r="C272" s="1" t="n">
        <v>45889</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1322-2021</t>
        </is>
      </c>
      <c r="B273" s="1" t="n">
        <v>44208</v>
      </c>
      <c r="C273" s="1" t="n">
        <v>45889</v>
      </c>
      <c r="D273" t="inlineStr">
        <is>
          <t>JÄMTLANDS LÄN</t>
        </is>
      </c>
      <c r="E273" t="inlineStr">
        <is>
          <t>ÖSTERSUND</t>
        </is>
      </c>
      <c r="G273" t="n">
        <v>1.1</v>
      </c>
      <c r="H273" t="n">
        <v>0</v>
      </c>
      <c r="I273" t="n">
        <v>0</v>
      </c>
      <c r="J273" t="n">
        <v>0</v>
      </c>
      <c r="K273" t="n">
        <v>0</v>
      </c>
      <c r="L273" t="n">
        <v>0</v>
      </c>
      <c r="M273" t="n">
        <v>0</v>
      </c>
      <c r="N273" t="n">
        <v>0</v>
      </c>
      <c r="O273" t="n">
        <v>0</v>
      </c>
      <c r="P273" t="n">
        <v>0</v>
      </c>
      <c r="Q273" t="n">
        <v>0</v>
      </c>
      <c r="R273" s="2" t="inlineStr"/>
    </row>
    <row r="274" ht="15" customHeight="1">
      <c r="A274" t="inlineStr">
        <is>
          <t>A 48696-2024</t>
        </is>
      </c>
      <c r="B274" s="1" t="n">
        <v>45593.51123842593</v>
      </c>
      <c r="C274" s="1" t="n">
        <v>45889</v>
      </c>
      <c r="D274" t="inlineStr">
        <is>
          <t>JÄMTLANDS LÄN</t>
        </is>
      </c>
      <c r="E274" t="inlineStr">
        <is>
          <t>ÖSTERSUND</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22126-2021</t>
        </is>
      </c>
      <c r="B275" s="1" t="n">
        <v>44323</v>
      </c>
      <c r="C275" s="1" t="n">
        <v>45889</v>
      </c>
      <c r="D275" t="inlineStr">
        <is>
          <t>JÄMTLANDS LÄN</t>
        </is>
      </c>
      <c r="E275" t="inlineStr">
        <is>
          <t>ÖSTERSUND</t>
        </is>
      </c>
      <c r="G275" t="n">
        <v>1.4</v>
      </c>
      <c r="H275" t="n">
        <v>0</v>
      </c>
      <c r="I275" t="n">
        <v>0</v>
      </c>
      <c r="J275" t="n">
        <v>0</v>
      </c>
      <c r="K275" t="n">
        <v>0</v>
      </c>
      <c r="L275" t="n">
        <v>0</v>
      </c>
      <c r="M275" t="n">
        <v>0</v>
      </c>
      <c r="N275" t="n">
        <v>0</v>
      </c>
      <c r="O275" t="n">
        <v>0</v>
      </c>
      <c r="P275" t="n">
        <v>0</v>
      </c>
      <c r="Q275" t="n">
        <v>0</v>
      </c>
      <c r="R275" s="2" t="inlineStr"/>
    </row>
    <row r="276" ht="15" customHeight="1">
      <c r="A276" t="inlineStr">
        <is>
          <t>A 14118-2025</t>
        </is>
      </c>
      <c r="B276" s="1" t="n">
        <v>45740.46325231482</v>
      </c>
      <c r="C276" s="1" t="n">
        <v>45889</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25385-2024</t>
        </is>
      </c>
      <c r="B277" s="1" t="n">
        <v>45462.96347222223</v>
      </c>
      <c r="C277" s="1" t="n">
        <v>45889</v>
      </c>
      <c r="D277" t="inlineStr">
        <is>
          <t>JÄMTLANDS LÄN</t>
        </is>
      </c>
      <c r="E277" t="inlineStr">
        <is>
          <t>ÖSTERSUND</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39975-2024</t>
        </is>
      </c>
      <c r="B278" s="1" t="n">
        <v>45553.60474537037</v>
      </c>
      <c r="C278" s="1" t="n">
        <v>45889</v>
      </c>
      <c r="D278" t="inlineStr">
        <is>
          <t>JÄMTLANDS LÄN</t>
        </is>
      </c>
      <c r="E278" t="inlineStr">
        <is>
          <t>ÖSTERSUND</t>
        </is>
      </c>
      <c r="G278" t="n">
        <v>3.8</v>
      </c>
      <c r="H278" t="n">
        <v>0</v>
      </c>
      <c r="I278" t="n">
        <v>0</v>
      </c>
      <c r="J278" t="n">
        <v>0</v>
      </c>
      <c r="K278" t="n">
        <v>0</v>
      </c>
      <c r="L278" t="n">
        <v>0</v>
      </c>
      <c r="M278" t="n">
        <v>0</v>
      </c>
      <c r="N278" t="n">
        <v>0</v>
      </c>
      <c r="O278" t="n">
        <v>0</v>
      </c>
      <c r="P278" t="n">
        <v>0</v>
      </c>
      <c r="Q278" t="n">
        <v>0</v>
      </c>
      <c r="R278" s="2" t="inlineStr"/>
    </row>
    <row r="279" ht="15" customHeight="1">
      <c r="A279" t="inlineStr">
        <is>
          <t>A 33002-2021</t>
        </is>
      </c>
      <c r="B279" s="1" t="n">
        <v>44375</v>
      </c>
      <c r="C279" s="1" t="n">
        <v>45889</v>
      </c>
      <c r="D279" t="inlineStr">
        <is>
          <t>JÄMTLANDS LÄN</t>
        </is>
      </c>
      <c r="E279" t="inlineStr">
        <is>
          <t>ÖSTERSUND</t>
        </is>
      </c>
      <c r="G279" t="n">
        <v>0.2</v>
      </c>
      <c r="H279" t="n">
        <v>0</v>
      </c>
      <c r="I279" t="n">
        <v>0</v>
      </c>
      <c r="J279" t="n">
        <v>0</v>
      </c>
      <c r="K279" t="n">
        <v>0</v>
      </c>
      <c r="L279" t="n">
        <v>0</v>
      </c>
      <c r="M279" t="n">
        <v>0</v>
      </c>
      <c r="N279" t="n">
        <v>0</v>
      </c>
      <c r="O279" t="n">
        <v>0</v>
      </c>
      <c r="P279" t="n">
        <v>0</v>
      </c>
      <c r="Q279" t="n">
        <v>0</v>
      </c>
      <c r="R279" s="2" t="inlineStr"/>
    </row>
    <row r="280" ht="15" customHeight="1">
      <c r="A280" t="inlineStr">
        <is>
          <t>A 51936-2023</t>
        </is>
      </c>
      <c r="B280" s="1" t="n">
        <v>45223.5036574074</v>
      </c>
      <c r="C280" s="1" t="n">
        <v>45889</v>
      </c>
      <c r="D280" t="inlineStr">
        <is>
          <t>JÄMTLANDS LÄN</t>
        </is>
      </c>
      <c r="E280" t="inlineStr">
        <is>
          <t>ÖSTERSUND</t>
        </is>
      </c>
      <c r="G280" t="n">
        <v>8.4</v>
      </c>
      <c r="H280" t="n">
        <v>0</v>
      </c>
      <c r="I280" t="n">
        <v>0</v>
      </c>
      <c r="J280" t="n">
        <v>0</v>
      </c>
      <c r="K280" t="n">
        <v>0</v>
      </c>
      <c r="L280" t="n">
        <v>0</v>
      </c>
      <c r="M280" t="n">
        <v>0</v>
      </c>
      <c r="N280" t="n">
        <v>0</v>
      </c>
      <c r="O280" t="n">
        <v>0</v>
      </c>
      <c r="P280" t="n">
        <v>0</v>
      </c>
      <c r="Q280" t="n">
        <v>0</v>
      </c>
      <c r="R280" s="2" t="inlineStr"/>
    </row>
    <row r="281" ht="15" customHeight="1">
      <c r="A281" t="inlineStr">
        <is>
          <t>A 51941-2023</t>
        </is>
      </c>
      <c r="B281" s="1" t="n">
        <v>45223</v>
      </c>
      <c r="C281" s="1" t="n">
        <v>45889</v>
      </c>
      <c r="D281" t="inlineStr">
        <is>
          <t>JÄMTLANDS LÄN</t>
        </is>
      </c>
      <c r="E281" t="inlineStr">
        <is>
          <t>ÖSTERSUND</t>
        </is>
      </c>
      <c r="G281" t="n">
        <v>4.6</v>
      </c>
      <c r="H281" t="n">
        <v>0</v>
      </c>
      <c r="I281" t="n">
        <v>0</v>
      </c>
      <c r="J281" t="n">
        <v>0</v>
      </c>
      <c r="K281" t="n">
        <v>0</v>
      </c>
      <c r="L281" t="n">
        <v>0</v>
      </c>
      <c r="M281" t="n">
        <v>0</v>
      </c>
      <c r="N281" t="n">
        <v>0</v>
      </c>
      <c r="O281" t="n">
        <v>0</v>
      </c>
      <c r="P281" t="n">
        <v>0</v>
      </c>
      <c r="Q281" t="n">
        <v>0</v>
      </c>
      <c r="R281" s="2" t="inlineStr"/>
    </row>
    <row r="282" ht="15" customHeight="1">
      <c r="A282" t="inlineStr">
        <is>
          <t>A 14523-2023</t>
        </is>
      </c>
      <c r="B282" s="1" t="n">
        <v>45012</v>
      </c>
      <c r="C282" s="1" t="n">
        <v>45889</v>
      </c>
      <c r="D282" t="inlineStr">
        <is>
          <t>JÄMTLANDS LÄN</t>
        </is>
      </c>
      <c r="E282" t="inlineStr">
        <is>
          <t>ÖSTERSUND</t>
        </is>
      </c>
      <c r="G282" t="n">
        <v>4.5</v>
      </c>
      <c r="H282" t="n">
        <v>0</v>
      </c>
      <c r="I282" t="n">
        <v>0</v>
      </c>
      <c r="J282" t="n">
        <v>0</v>
      </c>
      <c r="K282" t="n">
        <v>0</v>
      </c>
      <c r="L282" t="n">
        <v>0</v>
      </c>
      <c r="M282" t="n">
        <v>0</v>
      </c>
      <c r="N282" t="n">
        <v>0</v>
      </c>
      <c r="O282" t="n">
        <v>0</v>
      </c>
      <c r="P282" t="n">
        <v>0</v>
      </c>
      <c r="Q282" t="n">
        <v>0</v>
      </c>
      <c r="R282" s="2" t="inlineStr"/>
    </row>
    <row r="283" ht="15" customHeight="1">
      <c r="A283" t="inlineStr">
        <is>
          <t>A 13282-2023</t>
        </is>
      </c>
      <c r="B283" s="1" t="n">
        <v>45004</v>
      </c>
      <c r="C283" s="1" t="n">
        <v>45889</v>
      </c>
      <c r="D283" t="inlineStr">
        <is>
          <t>JÄMTLANDS LÄN</t>
        </is>
      </c>
      <c r="E283" t="inlineStr">
        <is>
          <t>ÖSTERSUND</t>
        </is>
      </c>
      <c r="G283" t="n">
        <v>28.5</v>
      </c>
      <c r="H283" t="n">
        <v>0</v>
      </c>
      <c r="I283" t="n">
        <v>0</v>
      </c>
      <c r="J283" t="n">
        <v>0</v>
      </c>
      <c r="K283" t="n">
        <v>0</v>
      </c>
      <c r="L283" t="n">
        <v>0</v>
      </c>
      <c r="M283" t="n">
        <v>0</v>
      </c>
      <c r="N283" t="n">
        <v>0</v>
      </c>
      <c r="O283" t="n">
        <v>0</v>
      </c>
      <c r="P283" t="n">
        <v>0</v>
      </c>
      <c r="Q283" t="n">
        <v>0</v>
      </c>
      <c r="R283" s="2" t="inlineStr"/>
    </row>
    <row r="284" ht="15" customHeight="1">
      <c r="A284" t="inlineStr">
        <is>
          <t>A 54973-2023</t>
        </is>
      </c>
      <c r="B284" s="1" t="n">
        <v>45236.92776620371</v>
      </c>
      <c r="C284" s="1" t="n">
        <v>45889</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4901-2025</t>
        </is>
      </c>
      <c r="B285" s="1" t="n">
        <v>45688.67965277778</v>
      </c>
      <c r="C285" s="1" t="n">
        <v>45889</v>
      </c>
      <c r="D285" t="inlineStr">
        <is>
          <t>JÄMTLANDS LÄN</t>
        </is>
      </c>
      <c r="E285" t="inlineStr">
        <is>
          <t>ÖSTERSUND</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47727-2023</t>
        </is>
      </c>
      <c r="B286" s="1" t="n">
        <v>45203</v>
      </c>
      <c r="C286" s="1" t="n">
        <v>45889</v>
      </c>
      <c r="D286" t="inlineStr">
        <is>
          <t>JÄMTLANDS LÄN</t>
        </is>
      </c>
      <c r="E286" t="inlineStr">
        <is>
          <t>ÖSTERSUND</t>
        </is>
      </c>
      <c r="G286" t="n">
        <v>2.6</v>
      </c>
      <c r="H286" t="n">
        <v>0</v>
      </c>
      <c r="I286" t="n">
        <v>0</v>
      </c>
      <c r="J286" t="n">
        <v>0</v>
      </c>
      <c r="K286" t="n">
        <v>0</v>
      </c>
      <c r="L286" t="n">
        <v>0</v>
      </c>
      <c r="M286" t="n">
        <v>0</v>
      </c>
      <c r="N286" t="n">
        <v>0</v>
      </c>
      <c r="O286" t="n">
        <v>0</v>
      </c>
      <c r="P286" t="n">
        <v>0</v>
      </c>
      <c r="Q286" t="n">
        <v>0</v>
      </c>
      <c r="R286" s="2" t="inlineStr"/>
    </row>
    <row r="287" ht="15" customHeight="1">
      <c r="A287" t="inlineStr">
        <is>
          <t>A 25535-2023</t>
        </is>
      </c>
      <c r="B287" s="1" t="n">
        <v>45089.54944444444</v>
      </c>
      <c r="C287" s="1" t="n">
        <v>45889</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47804-2024</t>
        </is>
      </c>
      <c r="B288" s="1" t="n">
        <v>45588.61498842593</v>
      </c>
      <c r="C288" s="1" t="n">
        <v>45889</v>
      </c>
      <c r="D288" t="inlineStr">
        <is>
          <t>JÄMTLANDS LÄN</t>
        </is>
      </c>
      <c r="E288" t="inlineStr">
        <is>
          <t>ÖSTERSUND</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47805-2024</t>
        </is>
      </c>
      <c r="B289" s="1" t="n">
        <v>45588.61512731481</v>
      </c>
      <c r="C289" s="1" t="n">
        <v>45889</v>
      </c>
      <c r="D289" t="inlineStr">
        <is>
          <t>JÄMTLANDS LÄN</t>
        </is>
      </c>
      <c r="E289" t="inlineStr">
        <is>
          <t>ÖSTERSUND</t>
        </is>
      </c>
      <c r="G289" t="n">
        <v>7.4</v>
      </c>
      <c r="H289" t="n">
        <v>0</v>
      </c>
      <c r="I289" t="n">
        <v>0</v>
      </c>
      <c r="J289" t="n">
        <v>0</v>
      </c>
      <c r="K289" t="n">
        <v>0</v>
      </c>
      <c r="L289" t="n">
        <v>0</v>
      </c>
      <c r="M289" t="n">
        <v>0</v>
      </c>
      <c r="N289" t="n">
        <v>0</v>
      </c>
      <c r="O289" t="n">
        <v>0</v>
      </c>
      <c r="P289" t="n">
        <v>0</v>
      </c>
      <c r="Q289" t="n">
        <v>0</v>
      </c>
      <c r="R289" s="2" t="inlineStr"/>
    </row>
    <row r="290" ht="15" customHeight="1">
      <c r="A290" t="inlineStr">
        <is>
          <t>A 6048-2024</t>
        </is>
      </c>
      <c r="B290" s="1" t="n">
        <v>45336</v>
      </c>
      <c r="C290" s="1" t="n">
        <v>45889</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10306-2023</t>
        </is>
      </c>
      <c r="B291" s="1" t="n">
        <v>44986.94196759259</v>
      </c>
      <c r="C291" s="1" t="n">
        <v>45889</v>
      </c>
      <c r="D291" t="inlineStr">
        <is>
          <t>JÄMTLANDS LÄN</t>
        </is>
      </c>
      <c r="E291" t="inlineStr">
        <is>
          <t>ÖSTERSUND</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21667-2024</t>
        </is>
      </c>
      <c r="B292" s="1" t="n">
        <v>45442.38511574074</v>
      </c>
      <c r="C292" s="1" t="n">
        <v>45889</v>
      </c>
      <c r="D292" t="inlineStr">
        <is>
          <t>JÄMTLANDS LÄN</t>
        </is>
      </c>
      <c r="E292" t="inlineStr">
        <is>
          <t>ÖSTERSUND</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8261-2025</t>
        </is>
      </c>
      <c r="B293" s="1" t="n">
        <v>45708.50256944444</v>
      </c>
      <c r="C293" s="1" t="n">
        <v>45889</v>
      </c>
      <c r="D293" t="inlineStr">
        <is>
          <t>JÄMTLANDS LÄN</t>
        </is>
      </c>
      <c r="E293" t="inlineStr">
        <is>
          <t>ÖSTERSUND</t>
        </is>
      </c>
      <c r="G293" t="n">
        <v>5.4</v>
      </c>
      <c r="H293" t="n">
        <v>0</v>
      </c>
      <c r="I293" t="n">
        <v>0</v>
      </c>
      <c r="J293" t="n">
        <v>0</v>
      </c>
      <c r="K293" t="n">
        <v>0</v>
      </c>
      <c r="L293" t="n">
        <v>0</v>
      </c>
      <c r="M293" t="n">
        <v>0</v>
      </c>
      <c r="N293" t="n">
        <v>0</v>
      </c>
      <c r="O293" t="n">
        <v>0</v>
      </c>
      <c r="P293" t="n">
        <v>0</v>
      </c>
      <c r="Q293" t="n">
        <v>0</v>
      </c>
      <c r="R293" s="2" t="inlineStr"/>
    </row>
    <row r="294" ht="15" customHeight="1">
      <c r="A294" t="inlineStr">
        <is>
          <t>A 12352-2025</t>
        </is>
      </c>
      <c r="B294" s="1" t="n">
        <v>45730.36263888889</v>
      </c>
      <c r="C294" s="1" t="n">
        <v>45889</v>
      </c>
      <c r="D294" t="inlineStr">
        <is>
          <t>JÄMTLANDS LÄN</t>
        </is>
      </c>
      <c r="E294" t="inlineStr">
        <is>
          <t>ÖSTERSUND</t>
        </is>
      </c>
      <c r="G294" t="n">
        <v>7.8</v>
      </c>
      <c r="H294" t="n">
        <v>0</v>
      </c>
      <c r="I294" t="n">
        <v>0</v>
      </c>
      <c r="J294" t="n">
        <v>0</v>
      </c>
      <c r="K294" t="n">
        <v>0</v>
      </c>
      <c r="L294" t="n">
        <v>0</v>
      </c>
      <c r="M294" t="n">
        <v>0</v>
      </c>
      <c r="N294" t="n">
        <v>0</v>
      </c>
      <c r="O294" t="n">
        <v>0</v>
      </c>
      <c r="P294" t="n">
        <v>0</v>
      </c>
      <c r="Q294" t="n">
        <v>0</v>
      </c>
      <c r="R294" s="2" t="inlineStr"/>
    </row>
    <row r="295" ht="15" customHeight="1">
      <c r="A295" t="inlineStr">
        <is>
          <t>A 15651-2025</t>
        </is>
      </c>
      <c r="B295" s="1" t="n">
        <v>45748.40208333333</v>
      </c>
      <c r="C295" s="1" t="n">
        <v>45889</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296-2023</t>
        </is>
      </c>
      <c r="B296" s="1" t="n">
        <v>44922</v>
      </c>
      <c r="C296" s="1" t="n">
        <v>45889</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5553-2025</t>
        </is>
      </c>
      <c r="B297" s="1" t="n">
        <v>45693</v>
      </c>
      <c r="C297" s="1" t="n">
        <v>45889</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64314-2023</t>
        </is>
      </c>
      <c r="B298" s="1" t="n">
        <v>45280</v>
      </c>
      <c r="C298" s="1" t="n">
        <v>45889</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13655-2025</t>
        </is>
      </c>
      <c r="B299" s="1" t="n">
        <v>45736.71956018519</v>
      </c>
      <c r="C299" s="1" t="n">
        <v>45889</v>
      </c>
      <c r="D299" t="inlineStr">
        <is>
          <t>JÄMTLANDS LÄN</t>
        </is>
      </c>
      <c r="E299" t="inlineStr">
        <is>
          <t>ÖSTERSUND</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7233-2024</t>
        </is>
      </c>
      <c r="B300" s="1" t="n">
        <v>45344</v>
      </c>
      <c r="C300" s="1" t="n">
        <v>45889</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48737-2024</t>
        </is>
      </c>
      <c r="B301" s="1" t="n">
        <v>45593.57327546296</v>
      </c>
      <c r="C301" s="1" t="n">
        <v>45889</v>
      </c>
      <c r="D301" t="inlineStr">
        <is>
          <t>JÄMTLANDS LÄN</t>
        </is>
      </c>
      <c r="E301" t="inlineStr">
        <is>
          <t>ÖSTERSUND</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27118-2023</t>
        </is>
      </c>
      <c r="B302" s="1" t="n">
        <v>45096</v>
      </c>
      <c r="C302" s="1" t="n">
        <v>45889</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2228-2024</t>
        </is>
      </c>
      <c r="B303" s="1" t="n">
        <v>45309</v>
      </c>
      <c r="C303" s="1" t="n">
        <v>45889</v>
      </c>
      <c r="D303" t="inlineStr">
        <is>
          <t>JÄMTLANDS LÄN</t>
        </is>
      </c>
      <c r="E303" t="inlineStr">
        <is>
          <t>ÖSTERSUND</t>
        </is>
      </c>
      <c r="G303" t="n">
        <v>2.5</v>
      </c>
      <c r="H303" t="n">
        <v>0</v>
      </c>
      <c r="I303" t="n">
        <v>0</v>
      </c>
      <c r="J303" t="n">
        <v>0</v>
      </c>
      <c r="K303" t="n">
        <v>0</v>
      </c>
      <c r="L303" t="n">
        <v>0</v>
      </c>
      <c r="M303" t="n">
        <v>0</v>
      </c>
      <c r="N303" t="n">
        <v>0</v>
      </c>
      <c r="O303" t="n">
        <v>0</v>
      </c>
      <c r="P303" t="n">
        <v>0</v>
      </c>
      <c r="Q303" t="n">
        <v>0</v>
      </c>
      <c r="R303" s="2" t="inlineStr"/>
    </row>
    <row r="304" ht="15" customHeight="1">
      <c r="A304" t="inlineStr">
        <is>
          <t>A 32998-2021</t>
        </is>
      </c>
      <c r="B304" s="1" t="n">
        <v>44375</v>
      </c>
      <c r="C304" s="1" t="n">
        <v>45889</v>
      </c>
      <c r="D304" t="inlineStr">
        <is>
          <t>JÄMTLANDS LÄN</t>
        </is>
      </c>
      <c r="E304" t="inlineStr">
        <is>
          <t>ÖSTERSUND</t>
        </is>
      </c>
      <c r="G304" t="n">
        <v>0.1</v>
      </c>
      <c r="H304" t="n">
        <v>0</v>
      </c>
      <c r="I304" t="n">
        <v>0</v>
      </c>
      <c r="J304" t="n">
        <v>0</v>
      </c>
      <c r="K304" t="n">
        <v>0</v>
      </c>
      <c r="L304" t="n">
        <v>0</v>
      </c>
      <c r="M304" t="n">
        <v>0</v>
      </c>
      <c r="N304" t="n">
        <v>0</v>
      </c>
      <c r="O304" t="n">
        <v>0</v>
      </c>
      <c r="P304" t="n">
        <v>0</v>
      </c>
      <c r="Q304" t="n">
        <v>0</v>
      </c>
      <c r="R304" s="2" t="inlineStr"/>
    </row>
    <row r="305" ht="15" customHeight="1">
      <c r="A305" t="inlineStr">
        <is>
          <t>A 39493-2023</t>
        </is>
      </c>
      <c r="B305" s="1" t="n">
        <v>45166.9569675926</v>
      </c>
      <c r="C305" s="1" t="n">
        <v>45889</v>
      </c>
      <c r="D305" t="inlineStr">
        <is>
          <t>JÄMTLANDS LÄN</t>
        </is>
      </c>
      <c r="E305" t="inlineStr">
        <is>
          <t>ÖSTERSUND</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60575-2022</t>
        </is>
      </c>
      <c r="B306" s="1" t="n">
        <v>44911.5662037037</v>
      </c>
      <c r="C306" s="1" t="n">
        <v>45889</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20400-2024</t>
        </is>
      </c>
      <c r="B307" s="1" t="n">
        <v>45435.55372685185</v>
      </c>
      <c r="C307" s="1" t="n">
        <v>45889</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16306-2025</t>
        </is>
      </c>
      <c r="B308" s="1" t="n">
        <v>45751.34664351852</v>
      </c>
      <c r="C308" s="1" t="n">
        <v>45889</v>
      </c>
      <c r="D308" t="inlineStr">
        <is>
          <t>JÄMTLANDS LÄN</t>
        </is>
      </c>
      <c r="E308" t="inlineStr">
        <is>
          <t>ÖSTERSUND</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28179-2024</t>
        </is>
      </c>
      <c r="B309" s="1" t="n">
        <v>45477.26746527778</v>
      </c>
      <c r="C309" s="1" t="n">
        <v>45889</v>
      </c>
      <c r="D309" t="inlineStr">
        <is>
          <t>JÄMTLANDS LÄN</t>
        </is>
      </c>
      <c r="E309" t="inlineStr">
        <is>
          <t>ÖSTERSUND</t>
        </is>
      </c>
      <c r="G309" t="n">
        <v>2.2</v>
      </c>
      <c r="H309" t="n">
        <v>0</v>
      </c>
      <c r="I309" t="n">
        <v>0</v>
      </c>
      <c r="J309" t="n">
        <v>0</v>
      </c>
      <c r="K309" t="n">
        <v>0</v>
      </c>
      <c r="L309" t="n">
        <v>0</v>
      </c>
      <c r="M309" t="n">
        <v>0</v>
      </c>
      <c r="N309" t="n">
        <v>0</v>
      </c>
      <c r="O309" t="n">
        <v>0</v>
      </c>
      <c r="P309" t="n">
        <v>0</v>
      </c>
      <c r="Q309" t="n">
        <v>0</v>
      </c>
      <c r="R309" s="2" t="inlineStr"/>
    </row>
    <row r="310" ht="15" customHeight="1">
      <c r="A310" t="inlineStr">
        <is>
          <t>A 14518-2023</t>
        </is>
      </c>
      <c r="B310" s="1" t="n">
        <v>45012</v>
      </c>
      <c r="C310" s="1" t="n">
        <v>45889</v>
      </c>
      <c r="D310" t="inlineStr">
        <is>
          <t>JÄMTLANDS LÄN</t>
        </is>
      </c>
      <c r="E310" t="inlineStr">
        <is>
          <t>ÖSTERSUND</t>
        </is>
      </c>
      <c r="G310" t="n">
        <v>14.4</v>
      </c>
      <c r="H310" t="n">
        <v>0</v>
      </c>
      <c r="I310" t="n">
        <v>0</v>
      </c>
      <c r="J310" t="n">
        <v>0</v>
      </c>
      <c r="K310" t="n">
        <v>0</v>
      </c>
      <c r="L310" t="n">
        <v>0</v>
      </c>
      <c r="M310" t="n">
        <v>0</v>
      </c>
      <c r="N310" t="n">
        <v>0</v>
      </c>
      <c r="O310" t="n">
        <v>0</v>
      </c>
      <c r="P310" t="n">
        <v>0</v>
      </c>
      <c r="Q310" t="n">
        <v>0</v>
      </c>
      <c r="R310" s="2" t="inlineStr"/>
    </row>
    <row r="311" ht="15" customHeight="1">
      <c r="A311" t="inlineStr">
        <is>
          <t>A 27906-2024</t>
        </is>
      </c>
      <c r="B311" s="1" t="n">
        <v>45475.94585648148</v>
      </c>
      <c r="C311" s="1" t="n">
        <v>45889</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1211-2025</t>
        </is>
      </c>
      <c r="B312" s="1" t="n">
        <v>45667.40662037037</v>
      </c>
      <c r="C312" s="1" t="n">
        <v>45889</v>
      </c>
      <c r="D312" t="inlineStr">
        <is>
          <t>JÄMTLANDS LÄN</t>
        </is>
      </c>
      <c r="E312" t="inlineStr">
        <is>
          <t>ÖSTERSUND</t>
        </is>
      </c>
      <c r="F312" t="inlineStr">
        <is>
          <t>SCA</t>
        </is>
      </c>
      <c r="G312" t="n">
        <v>6.2</v>
      </c>
      <c r="H312" t="n">
        <v>0</v>
      </c>
      <c r="I312" t="n">
        <v>0</v>
      </c>
      <c r="J312" t="n">
        <v>0</v>
      </c>
      <c r="K312" t="n">
        <v>0</v>
      </c>
      <c r="L312" t="n">
        <v>0</v>
      </c>
      <c r="M312" t="n">
        <v>0</v>
      </c>
      <c r="N312" t="n">
        <v>0</v>
      </c>
      <c r="O312" t="n">
        <v>0</v>
      </c>
      <c r="P312" t="n">
        <v>0</v>
      </c>
      <c r="Q312" t="n">
        <v>0</v>
      </c>
      <c r="R312" s="2" t="inlineStr"/>
    </row>
    <row r="313" ht="15" customHeight="1">
      <c r="A313" t="inlineStr">
        <is>
          <t>A 13166-2023</t>
        </is>
      </c>
      <c r="B313" s="1" t="n">
        <v>45002</v>
      </c>
      <c r="C313" s="1" t="n">
        <v>45889</v>
      </c>
      <c r="D313" t="inlineStr">
        <is>
          <t>JÄMTLANDS LÄN</t>
        </is>
      </c>
      <c r="E313" t="inlineStr">
        <is>
          <t>ÖSTERSUND</t>
        </is>
      </c>
      <c r="F313" t="inlineStr">
        <is>
          <t>Övriga statliga verk och myndigheter</t>
        </is>
      </c>
      <c r="G313" t="n">
        <v>1</v>
      </c>
      <c r="H313" t="n">
        <v>0</v>
      </c>
      <c r="I313" t="n">
        <v>0</v>
      </c>
      <c r="J313" t="n">
        <v>0</v>
      </c>
      <c r="K313" t="n">
        <v>0</v>
      </c>
      <c r="L313" t="n">
        <v>0</v>
      </c>
      <c r="M313" t="n">
        <v>0</v>
      </c>
      <c r="N313" t="n">
        <v>0</v>
      </c>
      <c r="O313" t="n">
        <v>0</v>
      </c>
      <c r="P313" t="n">
        <v>0</v>
      </c>
      <c r="Q313" t="n">
        <v>0</v>
      </c>
      <c r="R313" s="2" t="inlineStr"/>
    </row>
    <row r="314" ht="15" customHeight="1">
      <c r="A314" t="inlineStr">
        <is>
          <t>A 37597-2023</t>
        </is>
      </c>
      <c r="B314" s="1" t="n">
        <v>45159.42180555555</v>
      </c>
      <c r="C314" s="1" t="n">
        <v>45889</v>
      </c>
      <c r="D314" t="inlineStr">
        <is>
          <t>JÄMTLANDS LÄN</t>
        </is>
      </c>
      <c r="E314" t="inlineStr">
        <is>
          <t>ÖSTERSUND</t>
        </is>
      </c>
      <c r="G314" t="n">
        <v>4.7</v>
      </c>
      <c r="H314" t="n">
        <v>0</v>
      </c>
      <c r="I314" t="n">
        <v>0</v>
      </c>
      <c r="J314" t="n">
        <v>0</v>
      </c>
      <c r="K314" t="n">
        <v>0</v>
      </c>
      <c r="L314" t="n">
        <v>0</v>
      </c>
      <c r="M314" t="n">
        <v>0</v>
      </c>
      <c r="N314" t="n">
        <v>0</v>
      </c>
      <c r="O314" t="n">
        <v>0</v>
      </c>
      <c r="P314" t="n">
        <v>0</v>
      </c>
      <c r="Q314" t="n">
        <v>0</v>
      </c>
      <c r="R314" s="2" t="inlineStr"/>
    </row>
    <row r="315" ht="15" customHeight="1">
      <c r="A315" t="inlineStr">
        <is>
          <t>A 2756-2024</t>
        </is>
      </c>
      <c r="B315" s="1" t="n">
        <v>45314.58785879629</v>
      </c>
      <c r="C315" s="1" t="n">
        <v>45889</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3997-2025</t>
        </is>
      </c>
      <c r="B316" s="1" t="n">
        <v>45684.56725694444</v>
      </c>
      <c r="C316" s="1" t="n">
        <v>45889</v>
      </c>
      <c r="D316" t="inlineStr">
        <is>
          <t>JÄMTLANDS LÄN</t>
        </is>
      </c>
      <c r="E316" t="inlineStr">
        <is>
          <t>ÖSTERSUND</t>
        </is>
      </c>
      <c r="G316" t="n">
        <v>1.9</v>
      </c>
      <c r="H316" t="n">
        <v>0</v>
      </c>
      <c r="I316" t="n">
        <v>0</v>
      </c>
      <c r="J316" t="n">
        <v>0</v>
      </c>
      <c r="K316" t="n">
        <v>0</v>
      </c>
      <c r="L316" t="n">
        <v>0</v>
      </c>
      <c r="M316" t="n">
        <v>0</v>
      </c>
      <c r="N316" t="n">
        <v>0</v>
      </c>
      <c r="O316" t="n">
        <v>0</v>
      </c>
      <c r="P316" t="n">
        <v>0</v>
      </c>
      <c r="Q316" t="n">
        <v>0</v>
      </c>
      <c r="R316" s="2" t="inlineStr"/>
    </row>
    <row r="317" ht="15" customHeight="1">
      <c r="A317" t="inlineStr">
        <is>
          <t>A 9109-2024</t>
        </is>
      </c>
      <c r="B317" s="1" t="n">
        <v>45357.96106481482</v>
      </c>
      <c r="C317" s="1" t="n">
        <v>45889</v>
      </c>
      <c r="D317" t="inlineStr">
        <is>
          <t>JÄMTLANDS LÄN</t>
        </is>
      </c>
      <c r="E317" t="inlineStr">
        <is>
          <t>ÖSTERSUND</t>
        </is>
      </c>
      <c r="G317" t="n">
        <v>17.1</v>
      </c>
      <c r="H317" t="n">
        <v>0</v>
      </c>
      <c r="I317" t="n">
        <v>0</v>
      </c>
      <c r="J317" t="n">
        <v>0</v>
      </c>
      <c r="K317" t="n">
        <v>0</v>
      </c>
      <c r="L317" t="n">
        <v>0</v>
      </c>
      <c r="M317" t="n">
        <v>0</v>
      </c>
      <c r="N317" t="n">
        <v>0</v>
      </c>
      <c r="O317" t="n">
        <v>0</v>
      </c>
      <c r="P317" t="n">
        <v>0</v>
      </c>
      <c r="Q317" t="n">
        <v>0</v>
      </c>
      <c r="R317" s="2" t="inlineStr"/>
    </row>
    <row r="318" ht="15" customHeight="1">
      <c r="A318" t="inlineStr">
        <is>
          <t>A 54587-2024</t>
        </is>
      </c>
      <c r="B318" s="1" t="n">
        <v>45617.65800925926</v>
      </c>
      <c r="C318" s="1" t="n">
        <v>45889</v>
      </c>
      <c r="D318" t="inlineStr">
        <is>
          <t>JÄMTLANDS LÄN</t>
        </is>
      </c>
      <c r="E318" t="inlineStr">
        <is>
          <t>ÖSTERSUND</t>
        </is>
      </c>
      <c r="G318" t="n">
        <v>14</v>
      </c>
      <c r="H318" t="n">
        <v>0</v>
      </c>
      <c r="I318" t="n">
        <v>0</v>
      </c>
      <c r="J318" t="n">
        <v>0</v>
      </c>
      <c r="K318" t="n">
        <v>0</v>
      </c>
      <c r="L318" t="n">
        <v>0</v>
      </c>
      <c r="M318" t="n">
        <v>0</v>
      </c>
      <c r="N318" t="n">
        <v>0</v>
      </c>
      <c r="O318" t="n">
        <v>0</v>
      </c>
      <c r="P318" t="n">
        <v>0</v>
      </c>
      <c r="Q318" t="n">
        <v>0</v>
      </c>
      <c r="R318" s="2" t="inlineStr"/>
    </row>
    <row r="319" ht="15" customHeight="1">
      <c r="A319" t="inlineStr">
        <is>
          <t>A 27294-2023</t>
        </is>
      </c>
      <c r="B319" s="1" t="n">
        <v>45092</v>
      </c>
      <c r="C319" s="1" t="n">
        <v>45889</v>
      </c>
      <c r="D319" t="inlineStr">
        <is>
          <t>JÄMTLANDS LÄN</t>
        </is>
      </c>
      <c r="E319" t="inlineStr">
        <is>
          <t>ÖSTERSUND</t>
        </is>
      </c>
      <c r="G319" t="n">
        <v>2.8</v>
      </c>
      <c r="H319" t="n">
        <v>0</v>
      </c>
      <c r="I319" t="n">
        <v>0</v>
      </c>
      <c r="J319" t="n">
        <v>0</v>
      </c>
      <c r="K319" t="n">
        <v>0</v>
      </c>
      <c r="L319" t="n">
        <v>0</v>
      </c>
      <c r="M319" t="n">
        <v>0</v>
      </c>
      <c r="N319" t="n">
        <v>0</v>
      </c>
      <c r="O319" t="n">
        <v>0</v>
      </c>
      <c r="P319" t="n">
        <v>0</v>
      </c>
      <c r="Q319" t="n">
        <v>0</v>
      </c>
      <c r="R319" s="2" t="inlineStr"/>
    </row>
    <row r="320" ht="15" customHeight="1">
      <c r="A320" t="inlineStr">
        <is>
          <t>A 24246-2024</t>
        </is>
      </c>
      <c r="B320" s="1" t="n">
        <v>45457.37893518519</v>
      </c>
      <c r="C320" s="1" t="n">
        <v>45889</v>
      </c>
      <c r="D320" t="inlineStr">
        <is>
          <t>JÄMTLANDS LÄN</t>
        </is>
      </c>
      <c r="E320" t="inlineStr">
        <is>
          <t>ÖSTERSUND</t>
        </is>
      </c>
      <c r="G320" t="n">
        <v>5.3</v>
      </c>
      <c r="H320" t="n">
        <v>0</v>
      </c>
      <c r="I320" t="n">
        <v>0</v>
      </c>
      <c r="J320" t="n">
        <v>0</v>
      </c>
      <c r="K320" t="n">
        <v>0</v>
      </c>
      <c r="L320" t="n">
        <v>0</v>
      </c>
      <c r="M320" t="n">
        <v>0</v>
      </c>
      <c r="N320" t="n">
        <v>0</v>
      </c>
      <c r="O320" t="n">
        <v>0</v>
      </c>
      <c r="P320" t="n">
        <v>0</v>
      </c>
      <c r="Q320" t="n">
        <v>0</v>
      </c>
      <c r="R320" s="2" t="inlineStr"/>
    </row>
    <row r="321" ht="15" customHeight="1">
      <c r="A321" t="inlineStr">
        <is>
          <t>A 61506-2023</t>
        </is>
      </c>
      <c r="B321" s="1" t="n">
        <v>45264</v>
      </c>
      <c r="C321" s="1" t="n">
        <v>45889</v>
      </c>
      <c r="D321" t="inlineStr">
        <is>
          <t>JÄMTLANDS LÄN</t>
        </is>
      </c>
      <c r="E321" t="inlineStr">
        <is>
          <t>ÖSTERSUND</t>
        </is>
      </c>
      <c r="G321" t="n">
        <v>3</v>
      </c>
      <c r="H321" t="n">
        <v>0</v>
      </c>
      <c r="I321" t="n">
        <v>0</v>
      </c>
      <c r="J321" t="n">
        <v>0</v>
      </c>
      <c r="K321" t="n">
        <v>0</v>
      </c>
      <c r="L321" t="n">
        <v>0</v>
      </c>
      <c r="M321" t="n">
        <v>0</v>
      </c>
      <c r="N321" t="n">
        <v>0</v>
      </c>
      <c r="O321" t="n">
        <v>0</v>
      </c>
      <c r="P321" t="n">
        <v>0</v>
      </c>
      <c r="Q321" t="n">
        <v>0</v>
      </c>
      <c r="R321" s="2" t="inlineStr"/>
    </row>
    <row r="322" ht="15" customHeight="1">
      <c r="A322" t="inlineStr">
        <is>
          <t>A 16336-2025</t>
        </is>
      </c>
      <c r="B322" s="1" t="n">
        <v>45751.36519675926</v>
      </c>
      <c r="C322" s="1" t="n">
        <v>45889</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1670-2024</t>
        </is>
      </c>
      <c r="B323" s="1" t="n">
        <v>45306</v>
      </c>
      <c r="C323" s="1" t="n">
        <v>45889</v>
      </c>
      <c r="D323" t="inlineStr">
        <is>
          <t>JÄMTLANDS LÄN</t>
        </is>
      </c>
      <c r="E323" t="inlineStr">
        <is>
          <t>ÖSTERSUND</t>
        </is>
      </c>
      <c r="G323" t="n">
        <v>1.2</v>
      </c>
      <c r="H323" t="n">
        <v>0</v>
      </c>
      <c r="I323" t="n">
        <v>0</v>
      </c>
      <c r="J323" t="n">
        <v>0</v>
      </c>
      <c r="K323" t="n">
        <v>0</v>
      </c>
      <c r="L323" t="n">
        <v>0</v>
      </c>
      <c r="M323" t="n">
        <v>0</v>
      </c>
      <c r="N323" t="n">
        <v>0</v>
      </c>
      <c r="O323" t="n">
        <v>0</v>
      </c>
      <c r="P323" t="n">
        <v>0</v>
      </c>
      <c r="Q323" t="n">
        <v>0</v>
      </c>
      <c r="R323" s="2" t="inlineStr"/>
    </row>
    <row r="324" ht="15" customHeight="1">
      <c r="A324" t="inlineStr">
        <is>
          <t>A 207-2025</t>
        </is>
      </c>
      <c r="B324" s="1" t="n">
        <v>45660.32672453704</v>
      </c>
      <c r="C324" s="1" t="n">
        <v>45889</v>
      </c>
      <c r="D324" t="inlineStr">
        <is>
          <t>JÄMTLANDS LÄN</t>
        </is>
      </c>
      <c r="E324" t="inlineStr">
        <is>
          <t>ÖSTERSUND</t>
        </is>
      </c>
      <c r="G324" t="n">
        <v>4</v>
      </c>
      <c r="H324" t="n">
        <v>0</v>
      </c>
      <c r="I324" t="n">
        <v>0</v>
      </c>
      <c r="J324" t="n">
        <v>0</v>
      </c>
      <c r="K324" t="n">
        <v>0</v>
      </c>
      <c r="L324" t="n">
        <v>0</v>
      </c>
      <c r="M324" t="n">
        <v>0</v>
      </c>
      <c r="N324" t="n">
        <v>0</v>
      </c>
      <c r="O324" t="n">
        <v>0</v>
      </c>
      <c r="P324" t="n">
        <v>0</v>
      </c>
      <c r="Q324" t="n">
        <v>0</v>
      </c>
      <c r="R324" s="2" t="inlineStr"/>
    </row>
    <row r="325" ht="15" customHeight="1">
      <c r="A325" t="inlineStr">
        <is>
          <t>A 61332-2024</t>
        </is>
      </c>
      <c r="B325" s="1" t="n">
        <v>45646.35685185185</v>
      </c>
      <c r="C325" s="1" t="n">
        <v>45889</v>
      </c>
      <c r="D325" t="inlineStr">
        <is>
          <t>JÄMTLANDS LÄN</t>
        </is>
      </c>
      <c r="E325" t="inlineStr">
        <is>
          <t>ÖSTERSUND</t>
        </is>
      </c>
      <c r="G325" t="n">
        <v>3.2</v>
      </c>
      <c r="H325" t="n">
        <v>0</v>
      </c>
      <c r="I325" t="n">
        <v>0</v>
      </c>
      <c r="J325" t="n">
        <v>0</v>
      </c>
      <c r="K325" t="n">
        <v>0</v>
      </c>
      <c r="L325" t="n">
        <v>0</v>
      </c>
      <c r="M325" t="n">
        <v>0</v>
      </c>
      <c r="N325" t="n">
        <v>0</v>
      </c>
      <c r="O325" t="n">
        <v>0</v>
      </c>
      <c r="P325" t="n">
        <v>0</v>
      </c>
      <c r="Q325" t="n">
        <v>0</v>
      </c>
      <c r="R325" s="2" t="inlineStr"/>
    </row>
    <row r="326" ht="15" customHeight="1">
      <c r="A326" t="inlineStr">
        <is>
          <t>A 17709-2024</t>
        </is>
      </c>
      <c r="B326" s="1" t="n">
        <v>45418.4843287037</v>
      </c>
      <c r="C326" s="1" t="n">
        <v>45889</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49192-2024</t>
        </is>
      </c>
      <c r="B327" s="1" t="n">
        <v>45595.34762731481</v>
      </c>
      <c r="C327" s="1" t="n">
        <v>45889</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54237-2024</t>
        </is>
      </c>
      <c r="B328" s="1" t="n">
        <v>45616.67833333334</v>
      </c>
      <c r="C328" s="1" t="n">
        <v>45889</v>
      </c>
      <c r="D328" t="inlineStr">
        <is>
          <t>JÄMTLANDS LÄN</t>
        </is>
      </c>
      <c r="E328" t="inlineStr">
        <is>
          <t>ÖSTERSUND</t>
        </is>
      </c>
      <c r="F328" t="inlineStr">
        <is>
          <t>SCA</t>
        </is>
      </c>
      <c r="G328" t="n">
        <v>8.9</v>
      </c>
      <c r="H328" t="n">
        <v>0</v>
      </c>
      <c r="I328" t="n">
        <v>0</v>
      </c>
      <c r="J328" t="n">
        <v>0</v>
      </c>
      <c r="K328" t="n">
        <v>0</v>
      </c>
      <c r="L328" t="n">
        <v>0</v>
      </c>
      <c r="M328" t="n">
        <v>0</v>
      </c>
      <c r="N328" t="n">
        <v>0</v>
      </c>
      <c r="O328" t="n">
        <v>0</v>
      </c>
      <c r="P328" t="n">
        <v>0</v>
      </c>
      <c r="Q328" t="n">
        <v>0</v>
      </c>
      <c r="R328" s="2" t="inlineStr"/>
    </row>
    <row r="329" ht="15" customHeight="1">
      <c r="A329" t="inlineStr">
        <is>
          <t>A 61256-2022</t>
        </is>
      </c>
      <c r="B329" s="1" t="n">
        <v>44909</v>
      </c>
      <c r="C329" s="1" t="n">
        <v>45889</v>
      </c>
      <c r="D329" t="inlineStr">
        <is>
          <t>JÄMTLANDS LÄN</t>
        </is>
      </c>
      <c r="E329" t="inlineStr">
        <is>
          <t>ÖSTERSUND</t>
        </is>
      </c>
      <c r="G329" t="n">
        <v>3.9</v>
      </c>
      <c r="H329" t="n">
        <v>0</v>
      </c>
      <c r="I329" t="n">
        <v>0</v>
      </c>
      <c r="J329" t="n">
        <v>0</v>
      </c>
      <c r="K329" t="n">
        <v>0</v>
      </c>
      <c r="L329" t="n">
        <v>0</v>
      </c>
      <c r="M329" t="n">
        <v>0</v>
      </c>
      <c r="N329" t="n">
        <v>0</v>
      </c>
      <c r="O329" t="n">
        <v>0</v>
      </c>
      <c r="P329" t="n">
        <v>0</v>
      </c>
      <c r="Q329" t="n">
        <v>0</v>
      </c>
      <c r="R329" s="2" t="inlineStr"/>
    </row>
    <row r="330" ht="15" customHeight="1">
      <c r="A330" t="inlineStr">
        <is>
          <t>A 20674-2025</t>
        </is>
      </c>
      <c r="B330" s="1" t="n">
        <v>45776.44195601852</v>
      </c>
      <c r="C330" s="1" t="n">
        <v>45889</v>
      </c>
      <c r="D330" t="inlineStr">
        <is>
          <t>JÄMTLANDS LÄN</t>
        </is>
      </c>
      <c r="E330" t="inlineStr">
        <is>
          <t>ÖSTERSUND</t>
        </is>
      </c>
      <c r="G330" t="n">
        <v>4.5</v>
      </c>
      <c r="H330" t="n">
        <v>0</v>
      </c>
      <c r="I330" t="n">
        <v>0</v>
      </c>
      <c r="J330" t="n">
        <v>0</v>
      </c>
      <c r="K330" t="n">
        <v>0</v>
      </c>
      <c r="L330" t="n">
        <v>0</v>
      </c>
      <c r="M330" t="n">
        <v>0</v>
      </c>
      <c r="N330" t="n">
        <v>0</v>
      </c>
      <c r="O330" t="n">
        <v>0</v>
      </c>
      <c r="P330" t="n">
        <v>0</v>
      </c>
      <c r="Q330" t="n">
        <v>0</v>
      </c>
      <c r="R330" s="2" t="inlineStr"/>
    </row>
    <row r="331" ht="15" customHeight="1">
      <c r="A331" t="inlineStr">
        <is>
          <t>A 21060-2025</t>
        </is>
      </c>
      <c r="B331" s="1" t="n">
        <v>45777.58025462963</v>
      </c>
      <c r="C331" s="1" t="n">
        <v>45889</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60560-2022</t>
        </is>
      </c>
      <c r="B332" s="1" t="n">
        <v>44911.54984953703</v>
      </c>
      <c r="C332" s="1" t="n">
        <v>45889</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25187-2024</t>
        </is>
      </c>
      <c r="B333" s="1" t="n">
        <v>45462.56172453704</v>
      </c>
      <c r="C333" s="1" t="n">
        <v>45889</v>
      </c>
      <c r="D333" t="inlineStr">
        <is>
          <t>JÄMTLANDS LÄN</t>
        </is>
      </c>
      <c r="E333" t="inlineStr">
        <is>
          <t>ÖSTERSUND</t>
        </is>
      </c>
      <c r="G333" t="n">
        <v>2.4</v>
      </c>
      <c r="H333" t="n">
        <v>0</v>
      </c>
      <c r="I333" t="n">
        <v>0</v>
      </c>
      <c r="J333" t="n">
        <v>0</v>
      </c>
      <c r="K333" t="n">
        <v>0</v>
      </c>
      <c r="L333" t="n">
        <v>0</v>
      </c>
      <c r="M333" t="n">
        <v>0</v>
      </c>
      <c r="N333" t="n">
        <v>0</v>
      </c>
      <c r="O333" t="n">
        <v>0</v>
      </c>
      <c r="P333" t="n">
        <v>0</v>
      </c>
      <c r="Q333" t="n">
        <v>0</v>
      </c>
      <c r="R333" s="2" t="inlineStr"/>
    </row>
    <row r="334" ht="15" customHeight="1">
      <c r="A334" t="inlineStr">
        <is>
          <t>A 69190-2021</t>
        </is>
      </c>
      <c r="B334" s="1" t="n">
        <v>44529</v>
      </c>
      <c r="C334" s="1" t="n">
        <v>45889</v>
      </c>
      <c r="D334" t="inlineStr">
        <is>
          <t>JÄMTLANDS LÄN</t>
        </is>
      </c>
      <c r="E334" t="inlineStr">
        <is>
          <t>ÖSTERSUND</t>
        </is>
      </c>
      <c r="G334" t="n">
        <v>4.2</v>
      </c>
      <c r="H334" t="n">
        <v>0</v>
      </c>
      <c r="I334" t="n">
        <v>0</v>
      </c>
      <c r="J334" t="n">
        <v>0</v>
      </c>
      <c r="K334" t="n">
        <v>0</v>
      </c>
      <c r="L334" t="n">
        <v>0</v>
      </c>
      <c r="M334" t="n">
        <v>0</v>
      </c>
      <c r="N334" t="n">
        <v>0</v>
      </c>
      <c r="O334" t="n">
        <v>0</v>
      </c>
      <c r="P334" t="n">
        <v>0</v>
      </c>
      <c r="Q334" t="n">
        <v>0</v>
      </c>
      <c r="R334" s="2" t="inlineStr"/>
    </row>
    <row r="335" ht="15" customHeight="1">
      <c r="A335" t="inlineStr">
        <is>
          <t>A 21094-2025</t>
        </is>
      </c>
      <c r="B335" s="1" t="n">
        <v>45777.62665509259</v>
      </c>
      <c r="C335" s="1" t="n">
        <v>45889</v>
      </c>
      <c r="D335" t="inlineStr">
        <is>
          <t>JÄMTLANDS LÄN</t>
        </is>
      </c>
      <c r="E335" t="inlineStr">
        <is>
          <t>ÖSTERSUND</t>
        </is>
      </c>
      <c r="G335" t="n">
        <v>3.3</v>
      </c>
      <c r="H335" t="n">
        <v>0</v>
      </c>
      <c r="I335" t="n">
        <v>0</v>
      </c>
      <c r="J335" t="n">
        <v>0</v>
      </c>
      <c r="K335" t="n">
        <v>0</v>
      </c>
      <c r="L335" t="n">
        <v>0</v>
      </c>
      <c r="M335" t="n">
        <v>0</v>
      </c>
      <c r="N335" t="n">
        <v>0</v>
      </c>
      <c r="O335" t="n">
        <v>0</v>
      </c>
      <c r="P335" t="n">
        <v>0</v>
      </c>
      <c r="Q335" t="n">
        <v>0</v>
      </c>
      <c r="R335" s="2" t="inlineStr"/>
    </row>
    <row r="336" ht="15" customHeight="1">
      <c r="A336" t="inlineStr">
        <is>
          <t>A 21237-2025</t>
        </is>
      </c>
      <c r="B336" s="1" t="n">
        <v>45779</v>
      </c>
      <c r="C336" s="1" t="n">
        <v>45889</v>
      </c>
      <c r="D336" t="inlineStr">
        <is>
          <t>JÄMTLANDS LÄN</t>
        </is>
      </c>
      <c r="E336" t="inlineStr">
        <is>
          <t>ÖSTERSUND</t>
        </is>
      </c>
      <c r="G336" t="n">
        <v>0.4</v>
      </c>
      <c r="H336" t="n">
        <v>0</v>
      </c>
      <c r="I336" t="n">
        <v>0</v>
      </c>
      <c r="J336" t="n">
        <v>0</v>
      </c>
      <c r="K336" t="n">
        <v>0</v>
      </c>
      <c r="L336" t="n">
        <v>0</v>
      </c>
      <c r="M336" t="n">
        <v>0</v>
      </c>
      <c r="N336" t="n">
        <v>0</v>
      </c>
      <c r="O336" t="n">
        <v>0</v>
      </c>
      <c r="P336" t="n">
        <v>0</v>
      </c>
      <c r="Q336" t="n">
        <v>0</v>
      </c>
      <c r="R336" s="2" t="inlineStr"/>
    </row>
    <row r="337" ht="15" customHeight="1">
      <c r="A337" t="inlineStr">
        <is>
          <t>A 14848-2025</t>
        </is>
      </c>
      <c r="B337" s="1" t="n">
        <v>45743.39528935185</v>
      </c>
      <c r="C337" s="1" t="n">
        <v>45889</v>
      </c>
      <c r="D337" t="inlineStr">
        <is>
          <t>JÄMTLANDS LÄN</t>
        </is>
      </c>
      <c r="E337" t="inlineStr">
        <is>
          <t>ÖSTERSUND</t>
        </is>
      </c>
      <c r="G337" t="n">
        <v>12.1</v>
      </c>
      <c r="H337" t="n">
        <v>0</v>
      </c>
      <c r="I337" t="n">
        <v>0</v>
      </c>
      <c r="J337" t="n">
        <v>0</v>
      </c>
      <c r="K337" t="n">
        <v>0</v>
      </c>
      <c r="L337" t="n">
        <v>0</v>
      </c>
      <c r="M337" t="n">
        <v>0</v>
      </c>
      <c r="N337" t="n">
        <v>0</v>
      </c>
      <c r="O337" t="n">
        <v>0</v>
      </c>
      <c r="P337" t="n">
        <v>0</v>
      </c>
      <c r="Q337" t="n">
        <v>0</v>
      </c>
      <c r="R337" s="2" t="inlineStr"/>
    </row>
    <row r="338" ht="15" customHeight="1">
      <c r="A338" t="inlineStr">
        <is>
          <t>A 16812-2025</t>
        </is>
      </c>
      <c r="B338" s="1" t="n">
        <v>45754</v>
      </c>
      <c r="C338" s="1" t="n">
        <v>45889</v>
      </c>
      <c r="D338" t="inlineStr">
        <is>
          <t>JÄMTLANDS LÄN</t>
        </is>
      </c>
      <c r="E338" t="inlineStr">
        <is>
          <t>ÖSTERSUND</t>
        </is>
      </c>
      <c r="F338" t="inlineStr">
        <is>
          <t>Övriga statliga verk och myndigheter</t>
        </is>
      </c>
      <c r="G338" t="n">
        <v>3.7</v>
      </c>
      <c r="H338" t="n">
        <v>0</v>
      </c>
      <c r="I338" t="n">
        <v>0</v>
      </c>
      <c r="J338" t="n">
        <v>0</v>
      </c>
      <c r="K338" t="n">
        <v>0</v>
      </c>
      <c r="L338" t="n">
        <v>0</v>
      </c>
      <c r="M338" t="n">
        <v>0</v>
      </c>
      <c r="N338" t="n">
        <v>0</v>
      </c>
      <c r="O338" t="n">
        <v>0</v>
      </c>
      <c r="P338" t="n">
        <v>0</v>
      </c>
      <c r="Q338" t="n">
        <v>0</v>
      </c>
      <c r="R338" s="2" t="inlineStr"/>
    </row>
    <row r="339" ht="15" customHeight="1">
      <c r="A339" t="inlineStr">
        <is>
          <t>A 16725-2025</t>
        </is>
      </c>
      <c r="B339" s="1" t="n">
        <v>45754</v>
      </c>
      <c r="C339" s="1" t="n">
        <v>45889</v>
      </c>
      <c r="D339" t="inlineStr">
        <is>
          <t>JÄMTLANDS LÄN</t>
        </is>
      </c>
      <c r="E339" t="inlineStr">
        <is>
          <t>ÖSTERSUND</t>
        </is>
      </c>
      <c r="F339" t="inlineStr">
        <is>
          <t>Övriga statliga verk och myndigheter</t>
        </is>
      </c>
      <c r="G339" t="n">
        <v>3.7</v>
      </c>
      <c r="H339" t="n">
        <v>0</v>
      </c>
      <c r="I339" t="n">
        <v>0</v>
      </c>
      <c r="J339" t="n">
        <v>0</v>
      </c>
      <c r="K339" t="n">
        <v>0</v>
      </c>
      <c r="L339" t="n">
        <v>0</v>
      </c>
      <c r="M339" t="n">
        <v>0</v>
      </c>
      <c r="N339" t="n">
        <v>0</v>
      </c>
      <c r="O339" t="n">
        <v>0</v>
      </c>
      <c r="P339" t="n">
        <v>0</v>
      </c>
      <c r="Q339" t="n">
        <v>0</v>
      </c>
      <c r="R339" s="2" t="inlineStr"/>
    </row>
    <row r="340" ht="15" customHeight="1">
      <c r="A340" t="inlineStr">
        <is>
          <t>A 4707-2024</t>
        </is>
      </c>
      <c r="B340" s="1" t="n">
        <v>45328</v>
      </c>
      <c r="C340" s="1" t="n">
        <v>45889</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4480-2025</t>
        </is>
      </c>
      <c r="B341" s="1" t="n">
        <v>45686.64175925926</v>
      </c>
      <c r="C341" s="1" t="n">
        <v>45889</v>
      </c>
      <c r="D341" t="inlineStr">
        <is>
          <t>JÄMTLANDS LÄN</t>
        </is>
      </c>
      <c r="E341" t="inlineStr">
        <is>
          <t>ÖSTERSUND</t>
        </is>
      </c>
      <c r="G341" t="n">
        <v>27.7</v>
      </c>
      <c r="H341" t="n">
        <v>0</v>
      </c>
      <c r="I341" t="n">
        <v>0</v>
      </c>
      <c r="J341" t="n">
        <v>0</v>
      </c>
      <c r="K341" t="n">
        <v>0</v>
      </c>
      <c r="L341" t="n">
        <v>0</v>
      </c>
      <c r="M341" t="n">
        <v>0</v>
      </c>
      <c r="N341" t="n">
        <v>0</v>
      </c>
      <c r="O341" t="n">
        <v>0</v>
      </c>
      <c r="P341" t="n">
        <v>0</v>
      </c>
      <c r="Q341" t="n">
        <v>0</v>
      </c>
      <c r="R341" s="2" t="inlineStr"/>
    </row>
    <row r="342" ht="15" customHeight="1">
      <c r="A342" t="inlineStr">
        <is>
          <t>A 61449-2024</t>
        </is>
      </c>
      <c r="B342" s="1" t="n">
        <v>45646.48988425926</v>
      </c>
      <c r="C342" s="1" t="n">
        <v>45889</v>
      </c>
      <c r="D342" t="inlineStr">
        <is>
          <t>JÄMTLANDS LÄN</t>
        </is>
      </c>
      <c r="E342" t="inlineStr">
        <is>
          <t>ÖSTERSUND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61450-2024</t>
        </is>
      </c>
      <c r="B343" s="1" t="n">
        <v>45646.49012731481</v>
      </c>
      <c r="C343" s="1" t="n">
        <v>45889</v>
      </c>
      <c r="D343" t="inlineStr">
        <is>
          <t>JÄMTLANDS LÄN</t>
        </is>
      </c>
      <c r="E343" t="inlineStr">
        <is>
          <t>ÖSTERSUND</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61451-2024</t>
        </is>
      </c>
      <c r="B344" s="1" t="n">
        <v>45646.49017361111</v>
      </c>
      <c r="C344" s="1" t="n">
        <v>45889</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46732-2024</t>
        </is>
      </c>
      <c r="B345" s="1" t="n">
        <v>45583.46936342592</v>
      </c>
      <c r="C345" s="1" t="n">
        <v>45889</v>
      </c>
      <c r="D345" t="inlineStr">
        <is>
          <t>JÄMTLANDS LÄN</t>
        </is>
      </c>
      <c r="E345" t="inlineStr">
        <is>
          <t>ÖSTERSUND</t>
        </is>
      </c>
      <c r="G345" t="n">
        <v>3.3</v>
      </c>
      <c r="H345" t="n">
        <v>0</v>
      </c>
      <c r="I345" t="n">
        <v>0</v>
      </c>
      <c r="J345" t="n">
        <v>0</v>
      </c>
      <c r="K345" t="n">
        <v>0</v>
      </c>
      <c r="L345" t="n">
        <v>0</v>
      </c>
      <c r="M345" t="n">
        <v>0</v>
      </c>
      <c r="N345" t="n">
        <v>0</v>
      </c>
      <c r="O345" t="n">
        <v>0</v>
      </c>
      <c r="P345" t="n">
        <v>0</v>
      </c>
      <c r="Q345" t="n">
        <v>0</v>
      </c>
      <c r="R345" s="2" t="inlineStr"/>
    </row>
    <row r="346" ht="15" customHeight="1">
      <c r="A346" t="inlineStr">
        <is>
          <t>A 21704-2025</t>
        </is>
      </c>
      <c r="B346" s="1" t="n">
        <v>45783.51381944444</v>
      </c>
      <c r="C346" s="1" t="n">
        <v>45889</v>
      </c>
      <c r="D346" t="inlineStr">
        <is>
          <t>JÄMTLANDS LÄN</t>
        </is>
      </c>
      <c r="E346" t="inlineStr">
        <is>
          <t>ÖSTERSUND</t>
        </is>
      </c>
      <c r="G346" t="n">
        <v>4.2</v>
      </c>
      <c r="H346" t="n">
        <v>0</v>
      </c>
      <c r="I346" t="n">
        <v>0</v>
      </c>
      <c r="J346" t="n">
        <v>0</v>
      </c>
      <c r="K346" t="n">
        <v>0</v>
      </c>
      <c r="L346" t="n">
        <v>0</v>
      </c>
      <c r="M346" t="n">
        <v>0</v>
      </c>
      <c r="N346" t="n">
        <v>0</v>
      </c>
      <c r="O346" t="n">
        <v>0</v>
      </c>
      <c r="P346" t="n">
        <v>0</v>
      </c>
      <c r="Q346" t="n">
        <v>0</v>
      </c>
      <c r="R346" s="2" t="inlineStr"/>
    </row>
    <row r="347" ht="15" customHeight="1">
      <c r="A347" t="inlineStr">
        <is>
          <t>A 45895-2024</t>
        </is>
      </c>
      <c r="B347" s="1" t="n">
        <v>45580.42736111111</v>
      </c>
      <c r="C347" s="1" t="n">
        <v>45889</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38335-2023</t>
        </is>
      </c>
      <c r="B348" s="1" t="n">
        <v>45161</v>
      </c>
      <c r="C348" s="1" t="n">
        <v>45889</v>
      </c>
      <c r="D348" t="inlineStr">
        <is>
          <t>JÄMTLANDS LÄN</t>
        </is>
      </c>
      <c r="E348" t="inlineStr">
        <is>
          <t>ÖSTERSUND</t>
        </is>
      </c>
      <c r="G348" t="n">
        <v>15.1</v>
      </c>
      <c r="H348" t="n">
        <v>0</v>
      </c>
      <c r="I348" t="n">
        <v>0</v>
      </c>
      <c r="J348" t="n">
        <v>0</v>
      </c>
      <c r="K348" t="n">
        <v>0</v>
      </c>
      <c r="L348" t="n">
        <v>0</v>
      </c>
      <c r="M348" t="n">
        <v>0</v>
      </c>
      <c r="N348" t="n">
        <v>0</v>
      </c>
      <c r="O348" t="n">
        <v>0</v>
      </c>
      <c r="P348" t="n">
        <v>0</v>
      </c>
      <c r="Q348" t="n">
        <v>0</v>
      </c>
      <c r="R348" s="2" t="inlineStr"/>
    </row>
    <row r="349" ht="15" customHeight="1">
      <c r="A349" t="inlineStr">
        <is>
          <t>A 55064-2024</t>
        </is>
      </c>
      <c r="B349" s="1" t="n">
        <v>45621.41050925926</v>
      </c>
      <c r="C349" s="1" t="n">
        <v>45889</v>
      </c>
      <c r="D349" t="inlineStr">
        <is>
          <t>JÄMTLANDS LÄN</t>
        </is>
      </c>
      <c r="E349" t="inlineStr">
        <is>
          <t>ÖSTERSUND</t>
        </is>
      </c>
      <c r="G349" t="n">
        <v>0.8</v>
      </c>
      <c r="H349" t="n">
        <v>0</v>
      </c>
      <c r="I349" t="n">
        <v>0</v>
      </c>
      <c r="J349" t="n">
        <v>0</v>
      </c>
      <c r="K349" t="n">
        <v>0</v>
      </c>
      <c r="L349" t="n">
        <v>0</v>
      </c>
      <c r="M349" t="n">
        <v>0</v>
      </c>
      <c r="N349" t="n">
        <v>0</v>
      </c>
      <c r="O349" t="n">
        <v>0</v>
      </c>
      <c r="P349" t="n">
        <v>0</v>
      </c>
      <c r="Q349" t="n">
        <v>0</v>
      </c>
      <c r="R349" s="2" t="inlineStr"/>
    </row>
    <row r="350" ht="15" customHeight="1">
      <c r="A350" t="inlineStr">
        <is>
          <t>A 45338-2024</t>
        </is>
      </c>
      <c r="B350" s="1" t="n">
        <v>45576.46905092592</v>
      </c>
      <c r="C350" s="1" t="n">
        <v>45889</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10116-2025</t>
        </is>
      </c>
      <c r="B351" s="1" t="n">
        <v>45719.59836805556</v>
      </c>
      <c r="C351" s="1" t="n">
        <v>45889</v>
      </c>
      <c r="D351" t="inlineStr">
        <is>
          <t>JÄMTLANDS LÄN</t>
        </is>
      </c>
      <c r="E351" t="inlineStr">
        <is>
          <t>ÖSTERSUND</t>
        </is>
      </c>
      <c r="G351" t="n">
        <v>11.1</v>
      </c>
      <c r="H351" t="n">
        <v>0</v>
      </c>
      <c r="I351" t="n">
        <v>0</v>
      </c>
      <c r="J351" t="n">
        <v>0</v>
      </c>
      <c r="K351" t="n">
        <v>0</v>
      </c>
      <c r="L351" t="n">
        <v>0</v>
      </c>
      <c r="M351" t="n">
        <v>0</v>
      </c>
      <c r="N351" t="n">
        <v>0</v>
      </c>
      <c r="O351" t="n">
        <v>0</v>
      </c>
      <c r="P351" t="n">
        <v>0</v>
      </c>
      <c r="Q351" t="n">
        <v>0</v>
      </c>
      <c r="R351" s="2" t="inlineStr"/>
    </row>
    <row r="352" ht="15" customHeight="1">
      <c r="A352" t="inlineStr">
        <is>
          <t>A 22612-2025</t>
        </is>
      </c>
      <c r="B352" s="1" t="n">
        <v>45789.42538194444</v>
      </c>
      <c r="C352" s="1" t="n">
        <v>45889</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28181-2024</t>
        </is>
      </c>
      <c r="B353" s="1" t="n">
        <v>45477.28482638889</v>
      </c>
      <c r="C353" s="1" t="n">
        <v>45889</v>
      </c>
      <c r="D353" t="inlineStr">
        <is>
          <t>JÄMTLANDS LÄN</t>
        </is>
      </c>
      <c r="E353" t="inlineStr">
        <is>
          <t>ÖSTERSUND</t>
        </is>
      </c>
      <c r="G353" t="n">
        <v>0.7</v>
      </c>
      <c r="H353" t="n">
        <v>0</v>
      </c>
      <c r="I353" t="n">
        <v>0</v>
      </c>
      <c r="J353" t="n">
        <v>0</v>
      </c>
      <c r="K353" t="n">
        <v>0</v>
      </c>
      <c r="L353" t="n">
        <v>0</v>
      </c>
      <c r="M353" t="n">
        <v>0</v>
      </c>
      <c r="N353" t="n">
        <v>0</v>
      </c>
      <c r="O353" t="n">
        <v>0</v>
      </c>
      <c r="P353" t="n">
        <v>0</v>
      </c>
      <c r="Q353" t="n">
        <v>0</v>
      </c>
      <c r="R353" s="2" t="inlineStr"/>
    </row>
    <row r="354" ht="15" customHeight="1">
      <c r="A354" t="inlineStr">
        <is>
          <t>A 55302-2021</t>
        </is>
      </c>
      <c r="B354" s="1" t="n">
        <v>44475</v>
      </c>
      <c r="C354" s="1" t="n">
        <v>45889</v>
      </c>
      <c r="D354" t="inlineStr">
        <is>
          <t>JÄMTLANDS LÄN</t>
        </is>
      </c>
      <c r="E354" t="inlineStr">
        <is>
          <t>ÖSTERSUND</t>
        </is>
      </c>
      <c r="G354" t="n">
        <v>0.3</v>
      </c>
      <c r="H354" t="n">
        <v>0</v>
      </c>
      <c r="I354" t="n">
        <v>0</v>
      </c>
      <c r="J354" t="n">
        <v>0</v>
      </c>
      <c r="K354" t="n">
        <v>0</v>
      </c>
      <c r="L354" t="n">
        <v>0</v>
      </c>
      <c r="M354" t="n">
        <v>0</v>
      </c>
      <c r="N354" t="n">
        <v>0</v>
      </c>
      <c r="O354" t="n">
        <v>0</v>
      </c>
      <c r="P354" t="n">
        <v>0</v>
      </c>
      <c r="Q354" t="n">
        <v>0</v>
      </c>
      <c r="R354" s="2" t="inlineStr"/>
    </row>
    <row r="355" ht="15" customHeight="1">
      <c r="A355" t="inlineStr">
        <is>
          <t>A 8027-2022</t>
        </is>
      </c>
      <c r="B355" s="1" t="n">
        <v>44609</v>
      </c>
      <c r="C355" s="1" t="n">
        <v>45889</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19323-2024</t>
        </is>
      </c>
      <c r="B356" s="1" t="n">
        <v>45428.92486111111</v>
      </c>
      <c r="C356" s="1" t="n">
        <v>45889</v>
      </c>
      <c r="D356" t="inlineStr">
        <is>
          <t>JÄMTLANDS LÄN</t>
        </is>
      </c>
      <c r="E356" t="inlineStr">
        <is>
          <t>ÖSTERSUND</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846-2024</t>
        </is>
      </c>
      <c r="B357" s="1" t="n">
        <v>45300</v>
      </c>
      <c r="C357" s="1" t="n">
        <v>45889</v>
      </c>
      <c r="D357" t="inlineStr">
        <is>
          <t>JÄMTLANDS LÄN</t>
        </is>
      </c>
      <c r="E357" t="inlineStr">
        <is>
          <t>ÖSTERSUND</t>
        </is>
      </c>
      <c r="G357" t="n">
        <v>2.8</v>
      </c>
      <c r="H357" t="n">
        <v>0</v>
      </c>
      <c r="I357" t="n">
        <v>0</v>
      </c>
      <c r="J357" t="n">
        <v>0</v>
      </c>
      <c r="K357" t="n">
        <v>0</v>
      </c>
      <c r="L357" t="n">
        <v>0</v>
      </c>
      <c r="M357" t="n">
        <v>0</v>
      </c>
      <c r="N357" t="n">
        <v>0</v>
      </c>
      <c r="O357" t="n">
        <v>0</v>
      </c>
      <c r="P357" t="n">
        <v>0</v>
      </c>
      <c r="Q357" t="n">
        <v>0</v>
      </c>
      <c r="R357" s="2" t="inlineStr"/>
    </row>
    <row r="358" ht="15" customHeight="1">
      <c r="A358" t="inlineStr">
        <is>
          <t>A 14831-2025</t>
        </is>
      </c>
      <c r="B358" s="1" t="n">
        <v>45743.37109953703</v>
      </c>
      <c r="C358" s="1" t="n">
        <v>45889</v>
      </c>
      <c r="D358" t="inlineStr">
        <is>
          <t>JÄMTLANDS LÄN</t>
        </is>
      </c>
      <c r="E358" t="inlineStr">
        <is>
          <t>ÖSTERSUND</t>
        </is>
      </c>
      <c r="G358" t="n">
        <v>1.2</v>
      </c>
      <c r="H358" t="n">
        <v>0</v>
      </c>
      <c r="I358" t="n">
        <v>0</v>
      </c>
      <c r="J358" t="n">
        <v>0</v>
      </c>
      <c r="K358" t="n">
        <v>0</v>
      </c>
      <c r="L358" t="n">
        <v>0</v>
      </c>
      <c r="M358" t="n">
        <v>0</v>
      </c>
      <c r="N358" t="n">
        <v>0</v>
      </c>
      <c r="O358" t="n">
        <v>0</v>
      </c>
      <c r="P358" t="n">
        <v>0</v>
      </c>
      <c r="Q358" t="n">
        <v>0</v>
      </c>
      <c r="R358" s="2" t="inlineStr"/>
    </row>
    <row r="359" ht="15" customHeight="1">
      <c r="A359" t="inlineStr">
        <is>
          <t>A 49592-2024</t>
        </is>
      </c>
      <c r="B359" s="1" t="n">
        <v>45596.55266203704</v>
      </c>
      <c r="C359" s="1" t="n">
        <v>45889</v>
      </c>
      <c r="D359" t="inlineStr">
        <is>
          <t>JÄMTLANDS LÄN</t>
        </is>
      </c>
      <c r="E359" t="inlineStr">
        <is>
          <t>ÖSTERSUND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22384-2025</t>
        </is>
      </c>
      <c r="B360" s="1" t="n">
        <v>45786</v>
      </c>
      <c r="C360" s="1" t="n">
        <v>45889</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56847-2024</t>
        </is>
      </c>
      <c r="B361" s="1" t="n">
        <v>45628.53381944444</v>
      </c>
      <c r="C361" s="1" t="n">
        <v>45889</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17948-2025</t>
        </is>
      </c>
      <c r="B362" s="1" t="n">
        <v>45760.66995370371</v>
      </c>
      <c r="C362" s="1" t="n">
        <v>45889</v>
      </c>
      <c r="D362" t="inlineStr">
        <is>
          <t>JÄMTLANDS LÄN</t>
        </is>
      </c>
      <c r="E362" t="inlineStr">
        <is>
          <t>ÖSTERSUND</t>
        </is>
      </c>
      <c r="G362" t="n">
        <v>3.9</v>
      </c>
      <c r="H362" t="n">
        <v>0</v>
      </c>
      <c r="I362" t="n">
        <v>0</v>
      </c>
      <c r="J362" t="n">
        <v>0</v>
      </c>
      <c r="K362" t="n">
        <v>0</v>
      </c>
      <c r="L362" t="n">
        <v>0</v>
      </c>
      <c r="M362" t="n">
        <v>0</v>
      </c>
      <c r="N362" t="n">
        <v>0</v>
      </c>
      <c r="O362" t="n">
        <v>0</v>
      </c>
      <c r="P362" t="n">
        <v>0</v>
      </c>
      <c r="Q362" t="n">
        <v>0</v>
      </c>
      <c r="R362" s="2" t="inlineStr"/>
    </row>
    <row r="363" ht="15" customHeight="1">
      <c r="A363" t="inlineStr">
        <is>
          <t>A 53060-2024</t>
        </is>
      </c>
      <c r="B363" s="1" t="n">
        <v>45611.46912037037</v>
      </c>
      <c r="C363" s="1" t="n">
        <v>45889</v>
      </c>
      <c r="D363" t="inlineStr">
        <is>
          <t>JÄMTLANDS LÄN</t>
        </is>
      </c>
      <c r="E363" t="inlineStr">
        <is>
          <t>ÖSTERSUND</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4520-2025</t>
        </is>
      </c>
      <c r="B364" s="1" t="n">
        <v>45686.92384259259</v>
      </c>
      <c r="C364" s="1" t="n">
        <v>45889</v>
      </c>
      <c r="D364" t="inlineStr">
        <is>
          <t>JÄMTLANDS LÄN</t>
        </is>
      </c>
      <c r="E364" t="inlineStr">
        <is>
          <t>ÖSTERSUND</t>
        </is>
      </c>
      <c r="G364" t="n">
        <v>15.2</v>
      </c>
      <c r="H364" t="n">
        <v>0</v>
      </c>
      <c r="I364" t="n">
        <v>0</v>
      </c>
      <c r="J364" t="n">
        <v>0</v>
      </c>
      <c r="K364" t="n">
        <v>0</v>
      </c>
      <c r="L364" t="n">
        <v>0</v>
      </c>
      <c r="M364" t="n">
        <v>0</v>
      </c>
      <c r="N364" t="n">
        <v>0</v>
      </c>
      <c r="O364" t="n">
        <v>0</v>
      </c>
      <c r="P364" t="n">
        <v>0</v>
      </c>
      <c r="Q364" t="n">
        <v>0</v>
      </c>
      <c r="R364" s="2" t="inlineStr"/>
    </row>
    <row r="365" ht="15" customHeight="1">
      <c r="A365" t="inlineStr">
        <is>
          <t>A 4523-2025</t>
        </is>
      </c>
      <c r="B365" s="1" t="n">
        <v>45686.92864583333</v>
      </c>
      <c r="C365" s="1" t="n">
        <v>45889</v>
      </c>
      <c r="D365" t="inlineStr">
        <is>
          <t>JÄMTLANDS LÄN</t>
        </is>
      </c>
      <c r="E365" t="inlineStr">
        <is>
          <t>ÖSTERSUND</t>
        </is>
      </c>
      <c r="G365" t="n">
        <v>15.2</v>
      </c>
      <c r="H365" t="n">
        <v>0</v>
      </c>
      <c r="I365" t="n">
        <v>0</v>
      </c>
      <c r="J365" t="n">
        <v>0</v>
      </c>
      <c r="K365" t="n">
        <v>0</v>
      </c>
      <c r="L365" t="n">
        <v>0</v>
      </c>
      <c r="M365" t="n">
        <v>0</v>
      </c>
      <c r="N365" t="n">
        <v>0</v>
      </c>
      <c r="O365" t="n">
        <v>0</v>
      </c>
      <c r="P365" t="n">
        <v>0</v>
      </c>
      <c r="Q365" t="n">
        <v>0</v>
      </c>
      <c r="R365" s="2" t="inlineStr"/>
    </row>
    <row r="366" ht="15" customHeight="1">
      <c r="A366" t="inlineStr">
        <is>
          <t>A 6013-2022</t>
        </is>
      </c>
      <c r="B366" s="1" t="n">
        <v>44599.45850694444</v>
      </c>
      <c r="C366" s="1" t="n">
        <v>45889</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44798-2023</t>
        </is>
      </c>
      <c r="B367" s="1" t="n">
        <v>45190</v>
      </c>
      <c r="C367" s="1" t="n">
        <v>45889</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61376-2024</t>
        </is>
      </c>
      <c r="B368" s="1" t="n">
        <v>45646.39434027778</v>
      </c>
      <c r="C368" s="1" t="n">
        <v>45889</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22713-2025</t>
        </is>
      </c>
      <c r="B369" s="1" t="n">
        <v>45789.56414351852</v>
      </c>
      <c r="C369" s="1" t="n">
        <v>45889</v>
      </c>
      <c r="D369" t="inlineStr">
        <is>
          <t>JÄMTLANDS LÄN</t>
        </is>
      </c>
      <c r="E369" t="inlineStr">
        <is>
          <t>ÖSTERSUND</t>
        </is>
      </c>
      <c r="G369" t="n">
        <v>0.8</v>
      </c>
      <c r="H369" t="n">
        <v>0</v>
      </c>
      <c r="I369" t="n">
        <v>0</v>
      </c>
      <c r="J369" t="n">
        <v>0</v>
      </c>
      <c r="K369" t="n">
        <v>0</v>
      </c>
      <c r="L369" t="n">
        <v>0</v>
      </c>
      <c r="M369" t="n">
        <v>0</v>
      </c>
      <c r="N369" t="n">
        <v>0</v>
      </c>
      <c r="O369" t="n">
        <v>0</v>
      </c>
      <c r="P369" t="n">
        <v>0</v>
      </c>
      <c r="Q369" t="n">
        <v>0</v>
      </c>
      <c r="R369" s="2" t="inlineStr"/>
    </row>
    <row r="370" ht="15" customHeight="1">
      <c r="A370" t="inlineStr">
        <is>
          <t>A 49788-2024</t>
        </is>
      </c>
      <c r="B370" s="1" t="n">
        <v>45597.36623842592</v>
      </c>
      <c r="C370" s="1" t="n">
        <v>45889</v>
      </c>
      <c r="D370" t="inlineStr">
        <is>
          <t>JÄMTLANDS LÄN</t>
        </is>
      </c>
      <c r="E370" t="inlineStr">
        <is>
          <t>ÖSTERSUND</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22822-2025</t>
        </is>
      </c>
      <c r="B371" s="1" t="n">
        <v>45789</v>
      </c>
      <c r="C371" s="1" t="n">
        <v>45889</v>
      </c>
      <c r="D371" t="inlineStr">
        <is>
          <t>JÄMTLANDS LÄN</t>
        </is>
      </c>
      <c r="E371" t="inlineStr">
        <is>
          <t>ÖSTERSUND</t>
        </is>
      </c>
      <c r="G371" t="n">
        <v>2.2</v>
      </c>
      <c r="H371" t="n">
        <v>0</v>
      </c>
      <c r="I371" t="n">
        <v>0</v>
      </c>
      <c r="J371" t="n">
        <v>0</v>
      </c>
      <c r="K371" t="n">
        <v>0</v>
      </c>
      <c r="L371" t="n">
        <v>0</v>
      </c>
      <c r="M371" t="n">
        <v>0</v>
      </c>
      <c r="N371" t="n">
        <v>0</v>
      </c>
      <c r="O371" t="n">
        <v>0</v>
      </c>
      <c r="P371" t="n">
        <v>0</v>
      </c>
      <c r="Q371" t="n">
        <v>0</v>
      </c>
      <c r="R371" s="2" t="inlineStr"/>
    </row>
    <row r="372" ht="15" customHeight="1">
      <c r="A372" t="inlineStr">
        <is>
          <t>A 58406-2024</t>
        </is>
      </c>
      <c r="B372" s="1" t="n">
        <v>45634.70898148148</v>
      </c>
      <c r="C372" s="1" t="n">
        <v>45889</v>
      </c>
      <c r="D372" t="inlineStr">
        <is>
          <t>JÄMTLANDS LÄN</t>
        </is>
      </c>
      <c r="E372" t="inlineStr">
        <is>
          <t>ÖSTERSUND</t>
        </is>
      </c>
      <c r="G372" t="n">
        <v>3.8</v>
      </c>
      <c r="H372" t="n">
        <v>0</v>
      </c>
      <c r="I372" t="n">
        <v>0</v>
      </c>
      <c r="J372" t="n">
        <v>0</v>
      </c>
      <c r="K372" t="n">
        <v>0</v>
      </c>
      <c r="L372" t="n">
        <v>0</v>
      </c>
      <c r="M372" t="n">
        <v>0</v>
      </c>
      <c r="N372" t="n">
        <v>0</v>
      </c>
      <c r="O372" t="n">
        <v>0</v>
      </c>
      <c r="P372" t="n">
        <v>0</v>
      </c>
      <c r="Q372" t="n">
        <v>0</v>
      </c>
      <c r="R372" s="2" t="inlineStr"/>
    </row>
    <row r="373" ht="15" customHeight="1">
      <c r="A373" t="inlineStr">
        <is>
          <t>A 14182-2025</t>
        </is>
      </c>
      <c r="B373" s="1" t="n">
        <v>45740.54168981482</v>
      </c>
      <c r="C373" s="1" t="n">
        <v>45889</v>
      </c>
      <c r="D373" t="inlineStr">
        <is>
          <t>JÄMTLANDS LÄN</t>
        </is>
      </c>
      <c r="E373" t="inlineStr">
        <is>
          <t>ÖSTERSUND</t>
        </is>
      </c>
      <c r="F373" t="inlineStr">
        <is>
          <t>Övriga Aktiebolag</t>
        </is>
      </c>
      <c r="G373" t="n">
        <v>20.1</v>
      </c>
      <c r="H373" t="n">
        <v>0</v>
      </c>
      <c r="I373" t="n">
        <v>0</v>
      </c>
      <c r="J373" t="n">
        <v>0</v>
      </c>
      <c r="K373" t="n">
        <v>0</v>
      </c>
      <c r="L373" t="n">
        <v>0</v>
      </c>
      <c r="M373" t="n">
        <v>0</v>
      </c>
      <c r="N373" t="n">
        <v>0</v>
      </c>
      <c r="O373" t="n">
        <v>0</v>
      </c>
      <c r="P373" t="n">
        <v>0</v>
      </c>
      <c r="Q373" t="n">
        <v>0</v>
      </c>
      <c r="R373" s="2" t="inlineStr"/>
    </row>
    <row r="374" ht="15" customHeight="1">
      <c r="A374" t="inlineStr">
        <is>
          <t>A 22920-2025</t>
        </is>
      </c>
      <c r="B374" s="1" t="n">
        <v>45790.43905092592</v>
      </c>
      <c r="C374" s="1" t="n">
        <v>45889</v>
      </c>
      <c r="D374" t="inlineStr">
        <is>
          <t>JÄMTLANDS LÄN</t>
        </is>
      </c>
      <c r="E374" t="inlineStr">
        <is>
          <t>ÖSTERSUND</t>
        </is>
      </c>
      <c r="G374" t="n">
        <v>0.4</v>
      </c>
      <c r="H374" t="n">
        <v>0</v>
      </c>
      <c r="I374" t="n">
        <v>0</v>
      </c>
      <c r="J374" t="n">
        <v>0</v>
      </c>
      <c r="K374" t="n">
        <v>0</v>
      </c>
      <c r="L374" t="n">
        <v>0</v>
      </c>
      <c r="M374" t="n">
        <v>0</v>
      </c>
      <c r="N374" t="n">
        <v>0</v>
      </c>
      <c r="O374" t="n">
        <v>0</v>
      </c>
      <c r="P374" t="n">
        <v>0</v>
      </c>
      <c r="Q374" t="n">
        <v>0</v>
      </c>
      <c r="R374" s="2" t="inlineStr"/>
    </row>
    <row r="375" ht="15" customHeight="1">
      <c r="A375" t="inlineStr">
        <is>
          <t>A 22952-2025</t>
        </is>
      </c>
      <c r="B375" s="1" t="n">
        <v>45790.51074074074</v>
      </c>
      <c r="C375" s="1" t="n">
        <v>45889</v>
      </c>
      <c r="D375" t="inlineStr">
        <is>
          <t>JÄMTLANDS LÄN</t>
        </is>
      </c>
      <c r="E375" t="inlineStr">
        <is>
          <t>ÖSTERSUND</t>
        </is>
      </c>
      <c r="F375" t="inlineStr">
        <is>
          <t>SCA</t>
        </is>
      </c>
      <c r="G375" t="n">
        <v>4.6</v>
      </c>
      <c r="H375" t="n">
        <v>0</v>
      </c>
      <c r="I375" t="n">
        <v>0</v>
      </c>
      <c r="J375" t="n">
        <v>0</v>
      </c>
      <c r="K375" t="n">
        <v>0</v>
      </c>
      <c r="L375" t="n">
        <v>0</v>
      </c>
      <c r="M375" t="n">
        <v>0</v>
      </c>
      <c r="N375" t="n">
        <v>0</v>
      </c>
      <c r="O375" t="n">
        <v>0</v>
      </c>
      <c r="P375" t="n">
        <v>0</v>
      </c>
      <c r="Q375" t="n">
        <v>0</v>
      </c>
      <c r="R375" s="2" t="inlineStr"/>
      <c r="U375">
        <f>HYPERLINK("https://klasma.github.io/Logging_2380/knärot/A 22952-2025 karta knärot.png", "A 22952-2025")</f>
        <v/>
      </c>
      <c r="V375">
        <f>HYPERLINK("https://klasma.github.io/Logging_2380/klagomål/A 22952-2025 FSC-klagomål.docx", "A 22952-2025")</f>
        <v/>
      </c>
      <c r="W375">
        <f>HYPERLINK("https://klasma.github.io/Logging_2380/klagomålsmail/A 22952-2025 FSC-klagomål mail.docx", "A 22952-2025")</f>
        <v/>
      </c>
      <c r="X375">
        <f>HYPERLINK("https://klasma.github.io/Logging_2380/tillsyn/A 22952-2025 tillsynsbegäran.docx", "A 22952-2025")</f>
        <v/>
      </c>
      <c r="Y375">
        <f>HYPERLINK("https://klasma.github.io/Logging_2380/tillsynsmail/A 22952-2025 tillsynsbegäran mail.docx", "A 22952-2025")</f>
        <v/>
      </c>
    </row>
    <row r="376" ht="15" customHeight="1">
      <c r="A376" t="inlineStr">
        <is>
          <t>A 61002-2024</t>
        </is>
      </c>
      <c r="B376" s="1" t="n">
        <v>45645.44158564815</v>
      </c>
      <c r="C376" s="1" t="n">
        <v>45889</v>
      </c>
      <c r="D376" t="inlineStr">
        <is>
          <t>JÄMTLANDS LÄN</t>
        </is>
      </c>
      <c r="E376" t="inlineStr">
        <is>
          <t>ÖSTERSUND</t>
        </is>
      </c>
      <c r="G376" t="n">
        <v>4.1</v>
      </c>
      <c r="H376" t="n">
        <v>0</v>
      </c>
      <c r="I376" t="n">
        <v>0</v>
      </c>
      <c r="J376" t="n">
        <v>0</v>
      </c>
      <c r="K376" t="n">
        <v>0</v>
      </c>
      <c r="L376" t="n">
        <v>0</v>
      </c>
      <c r="M376" t="n">
        <v>0</v>
      </c>
      <c r="N376" t="n">
        <v>0</v>
      </c>
      <c r="O376" t="n">
        <v>0</v>
      </c>
      <c r="P376" t="n">
        <v>0</v>
      </c>
      <c r="Q376" t="n">
        <v>0</v>
      </c>
      <c r="R376" s="2" t="inlineStr"/>
    </row>
    <row r="377" ht="15" customHeight="1">
      <c r="A377" t="inlineStr">
        <is>
          <t>A 22823-2025</t>
        </is>
      </c>
      <c r="B377" s="1" t="n">
        <v>45789</v>
      </c>
      <c r="C377" s="1" t="n">
        <v>45889</v>
      </c>
      <c r="D377" t="inlineStr">
        <is>
          <t>JÄMTLANDS LÄN</t>
        </is>
      </c>
      <c r="E377" t="inlineStr">
        <is>
          <t>ÖSTERSUND</t>
        </is>
      </c>
      <c r="G377" t="n">
        <v>8</v>
      </c>
      <c r="H377" t="n">
        <v>0</v>
      </c>
      <c r="I377" t="n">
        <v>0</v>
      </c>
      <c r="J377" t="n">
        <v>0</v>
      </c>
      <c r="K377" t="n">
        <v>0</v>
      </c>
      <c r="L377" t="n">
        <v>0</v>
      </c>
      <c r="M377" t="n">
        <v>0</v>
      </c>
      <c r="N377" t="n">
        <v>0</v>
      </c>
      <c r="O377" t="n">
        <v>0</v>
      </c>
      <c r="P377" t="n">
        <v>0</v>
      </c>
      <c r="Q377" t="n">
        <v>0</v>
      </c>
      <c r="R377" s="2" t="inlineStr"/>
    </row>
    <row r="378" ht="15" customHeight="1">
      <c r="A378" t="inlineStr">
        <is>
          <t>A 33501-2023</t>
        </is>
      </c>
      <c r="B378" s="1" t="n">
        <v>45118</v>
      </c>
      <c r="C378" s="1" t="n">
        <v>45889</v>
      </c>
      <c r="D378" t="inlineStr">
        <is>
          <t>JÄMTLANDS LÄN</t>
        </is>
      </c>
      <c r="E378" t="inlineStr">
        <is>
          <t>ÖSTERSUND</t>
        </is>
      </c>
      <c r="G378" t="n">
        <v>5.8</v>
      </c>
      <c r="H378" t="n">
        <v>0</v>
      </c>
      <c r="I378" t="n">
        <v>0</v>
      </c>
      <c r="J378" t="n">
        <v>0</v>
      </c>
      <c r="K378" t="n">
        <v>0</v>
      </c>
      <c r="L378" t="n">
        <v>0</v>
      </c>
      <c r="M378" t="n">
        <v>0</v>
      </c>
      <c r="N378" t="n">
        <v>0</v>
      </c>
      <c r="O378" t="n">
        <v>0</v>
      </c>
      <c r="P378" t="n">
        <v>0</v>
      </c>
      <c r="Q378" t="n">
        <v>0</v>
      </c>
      <c r="R378" s="2" t="inlineStr"/>
    </row>
    <row r="379" ht="15" customHeight="1">
      <c r="A379" t="inlineStr">
        <is>
          <t>A 31916-2025</t>
        </is>
      </c>
      <c r="B379" s="1" t="n">
        <v>45834.73403935185</v>
      </c>
      <c r="C379" s="1" t="n">
        <v>45889</v>
      </c>
      <c r="D379" t="inlineStr">
        <is>
          <t>JÄMTLANDS LÄN</t>
        </is>
      </c>
      <c r="E379" t="inlineStr">
        <is>
          <t>ÖSTERSUND</t>
        </is>
      </c>
      <c r="G379" t="n">
        <v>1</v>
      </c>
      <c r="H379" t="n">
        <v>0</v>
      </c>
      <c r="I379" t="n">
        <v>0</v>
      </c>
      <c r="J379" t="n">
        <v>0</v>
      </c>
      <c r="K379" t="n">
        <v>0</v>
      </c>
      <c r="L379" t="n">
        <v>0</v>
      </c>
      <c r="M379" t="n">
        <v>0</v>
      </c>
      <c r="N379" t="n">
        <v>0</v>
      </c>
      <c r="O379" t="n">
        <v>0</v>
      </c>
      <c r="P379" t="n">
        <v>0</v>
      </c>
      <c r="Q379" t="n">
        <v>0</v>
      </c>
      <c r="R379" s="2" t="inlineStr"/>
    </row>
    <row r="380" ht="15" customHeight="1">
      <c r="A380" t="inlineStr">
        <is>
          <t>A 58952-2024</t>
        </is>
      </c>
      <c r="B380" s="1" t="n">
        <v>45636.5674537037</v>
      </c>
      <c r="C380" s="1" t="n">
        <v>45889</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23249-2025</t>
        </is>
      </c>
      <c r="B381" s="1" t="n">
        <v>45791</v>
      </c>
      <c r="C381" s="1" t="n">
        <v>45889</v>
      </c>
      <c r="D381" t="inlineStr">
        <is>
          <t>JÄMTLANDS LÄN</t>
        </is>
      </c>
      <c r="E381" t="inlineStr">
        <is>
          <t>ÖSTERSUND</t>
        </is>
      </c>
      <c r="G381" t="n">
        <v>10</v>
      </c>
      <c r="H381" t="n">
        <v>0</v>
      </c>
      <c r="I381" t="n">
        <v>0</v>
      </c>
      <c r="J381" t="n">
        <v>0</v>
      </c>
      <c r="K381" t="n">
        <v>0</v>
      </c>
      <c r="L381" t="n">
        <v>0</v>
      </c>
      <c r="M381" t="n">
        <v>0</v>
      </c>
      <c r="N381" t="n">
        <v>0</v>
      </c>
      <c r="O381" t="n">
        <v>0</v>
      </c>
      <c r="P381" t="n">
        <v>0</v>
      </c>
      <c r="Q381" t="n">
        <v>0</v>
      </c>
      <c r="R381" s="2" t="inlineStr"/>
    </row>
    <row r="382" ht="15" customHeight="1">
      <c r="A382" t="inlineStr">
        <is>
          <t>A 231-2022</t>
        </is>
      </c>
      <c r="B382" s="1" t="n">
        <v>44564.93909722222</v>
      </c>
      <c r="C382" s="1" t="n">
        <v>45889</v>
      </c>
      <c r="D382" t="inlineStr">
        <is>
          <t>JÄMTLANDS LÄN</t>
        </is>
      </c>
      <c r="E382" t="inlineStr">
        <is>
          <t>ÖSTERSUND</t>
        </is>
      </c>
      <c r="G382" t="n">
        <v>1.9</v>
      </c>
      <c r="H382" t="n">
        <v>0</v>
      </c>
      <c r="I382" t="n">
        <v>0</v>
      </c>
      <c r="J382" t="n">
        <v>0</v>
      </c>
      <c r="K382" t="n">
        <v>0</v>
      </c>
      <c r="L382" t="n">
        <v>0</v>
      </c>
      <c r="M382" t="n">
        <v>0</v>
      </c>
      <c r="N382" t="n">
        <v>0</v>
      </c>
      <c r="O382" t="n">
        <v>0</v>
      </c>
      <c r="P382" t="n">
        <v>0</v>
      </c>
      <c r="Q382" t="n">
        <v>0</v>
      </c>
      <c r="R382" s="2" t="inlineStr"/>
    </row>
    <row r="383" ht="15" customHeight="1">
      <c r="A383" t="inlineStr">
        <is>
          <t>A 52854-2024</t>
        </is>
      </c>
      <c r="B383" s="1" t="n">
        <v>45610.61030092592</v>
      </c>
      <c r="C383" s="1" t="n">
        <v>45889</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23100-2025</t>
        </is>
      </c>
      <c r="B384" s="1" t="n">
        <v>45791.35212962963</v>
      </c>
      <c r="C384" s="1" t="n">
        <v>45889</v>
      </c>
      <c r="D384" t="inlineStr">
        <is>
          <t>JÄMTLANDS LÄN</t>
        </is>
      </c>
      <c r="E384" t="inlineStr">
        <is>
          <t>ÖSTERSUND</t>
        </is>
      </c>
      <c r="G384" t="n">
        <v>4.5</v>
      </c>
      <c r="H384" t="n">
        <v>0</v>
      </c>
      <c r="I384" t="n">
        <v>0</v>
      </c>
      <c r="J384" t="n">
        <v>0</v>
      </c>
      <c r="K384" t="n">
        <v>0</v>
      </c>
      <c r="L384" t="n">
        <v>0</v>
      </c>
      <c r="M384" t="n">
        <v>0</v>
      </c>
      <c r="N384" t="n">
        <v>0</v>
      </c>
      <c r="O384" t="n">
        <v>0</v>
      </c>
      <c r="P384" t="n">
        <v>0</v>
      </c>
      <c r="Q384" t="n">
        <v>0</v>
      </c>
      <c r="R384" s="2" t="inlineStr"/>
    </row>
    <row r="385" ht="15" customHeight="1">
      <c r="A385" t="inlineStr">
        <is>
          <t>A 23078-2025</t>
        </is>
      </c>
      <c r="B385" s="1" t="n">
        <v>45791.27984953704</v>
      </c>
      <c r="C385" s="1" t="n">
        <v>45889</v>
      </c>
      <c r="D385" t="inlineStr">
        <is>
          <t>JÄMTLANDS LÄN</t>
        </is>
      </c>
      <c r="E385" t="inlineStr">
        <is>
          <t>ÖSTERSUND</t>
        </is>
      </c>
      <c r="G385" t="n">
        <v>2.8</v>
      </c>
      <c r="H385" t="n">
        <v>0</v>
      </c>
      <c r="I385" t="n">
        <v>0</v>
      </c>
      <c r="J385" t="n">
        <v>0</v>
      </c>
      <c r="K385" t="n">
        <v>0</v>
      </c>
      <c r="L385" t="n">
        <v>0</v>
      </c>
      <c r="M385" t="n">
        <v>0</v>
      </c>
      <c r="N385" t="n">
        <v>0</v>
      </c>
      <c r="O385" t="n">
        <v>0</v>
      </c>
      <c r="P385" t="n">
        <v>0</v>
      </c>
      <c r="Q385" t="n">
        <v>0</v>
      </c>
      <c r="R385" s="2" t="inlineStr"/>
    </row>
    <row r="386" ht="15" customHeight="1">
      <c r="A386" t="inlineStr">
        <is>
          <t>A 23110-2025</t>
        </is>
      </c>
      <c r="B386" s="1" t="n">
        <v>45791.36526620371</v>
      </c>
      <c r="C386" s="1" t="n">
        <v>45889</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8216-2025</t>
        </is>
      </c>
      <c r="B387" s="1" t="n">
        <v>45708.44947916667</v>
      </c>
      <c r="C387" s="1" t="n">
        <v>45889</v>
      </c>
      <c r="D387" t="inlineStr">
        <is>
          <t>JÄMTLANDS LÄN</t>
        </is>
      </c>
      <c r="E387" t="inlineStr">
        <is>
          <t>ÖSTERSUND</t>
        </is>
      </c>
      <c r="F387" t="inlineStr">
        <is>
          <t>Övriga Aktiebolag</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7938-2025</t>
        </is>
      </c>
      <c r="B388" s="1" t="n">
        <v>45707</v>
      </c>
      <c r="C388" s="1" t="n">
        <v>45889</v>
      </c>
      <c r="D388" t="inlineStr">
        <is>
          <t>JÄMTLANDS LÄN</t>
        </is>
      </c>
      <c r="E388" t="inlineStr">
        <is>
          <t>ÖSTERSUND</t>
        </is>
      </c>
      <c r="G388" t="n">
        <v>3</v>
      </c>
      <c r="H388" t="n">
        <v>0</v>
      </c>
      <c r="I388" t="n">
        <v>0</v>
      </c>
      <c r="J388" t="n">
        <v>0</v>
      </c>
      <c r="K388" t="n">
        <v>0</v>
      </c>
      <c r="L388" t="n">
        <v>0</v>
      </c>
      <c r="M388" t="n">
        <v>0</v>
      </c>
      <c r="N388" t="n">
        <v>0</v>
      </c>
      <c r="O388" t="n">
        <v>0</v>
      </c>
      <c r="P388" t="n">
        <v>0</v>
      </c>
      <c r="Q388" t="n">
        <v>0</v>
      </c>
      <c r="R388" s="2" t="inlineStr"/>
    </row>
    <row r="389" ht="15" customHeight="1">
      <c r="A389" t="inlineStr">
        <is>
          <t>A 3615-2025</t>
        </is>
      </c>
      <c r="B389" s="1" t="n">
        <v>45681.36493055556</v>
      </c>
      <c r="C389" s="1" t="n">
        <v>45889</v>
      </c>
      <c r="D389" t="inlineStr">
        <is>
          <t>JÄMTLANDS LÄN</t>
        </is>
      </c>
      <c r="E389" t="inlineStr">
        <is>
          <t>ÖSTERSUND</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3651-2025</t>
        </is>
      </c>
      <c r="B390" s="1" t="n">
        <v>45681.40689814815</v>
      </c>
      <c r="C390" s="1" t="n">
        <v>45889</v>
      </c>
      <c r="D390" t="inlineStr">
        <is>
          <t>JÄMTLANDS LÄN</t>
        </is>
      </c>
      <c r="E390" t="inlineStr">
        <is>
          <t>ÖSTERSUND</t>
        </is>
      </c>
      <c r="F390" t="inlineStr">
        <is>
          <t>SCA</t>
        </is>
      </c>
      <c r="G390" t="n">
        <v>9.6</v>
      </c>
      <c r="H390" t="n">
        <v>0</v>
      </c>
      <c r="I390" t="n">
        <v>0</v>
      </c>
      <c r="J390" t="n">
        <v>0</v>
      </c>
      <c r="K390" t="n">
        <v>0</v>
      </c>
      <c r="L390" t="n">
        <v>0</v>
      </c>
      <c r="M390" t="n">
        <v>0</v>
      </c>
      <c r="N390" t="n">
        <v>0</v>
      </c>
      <c r="O390" t="n">
        <v>0</v>
      </c>
      <c r="P390" t="n">
        <v>0</v>
      </c>
      <c r="Q390" t="n">
        <v>0</v>
      </c>
      <c r="R390" s="2" t="inlineStr"/>
    </row>
    <row r="391" ht="15" customHeight="1">
      <c r="A391" t="inlineStr">
        <is>
          <t>A 3664-2025</t>
        </is>
      </c>
      <c r="B391" s="1" t="n">
        <v>45681.4275462963</v>
      </c>
      <c r="C391" s="1" t="n">
        <v>45889</v>
      </c>
      <c r="D391" t="inlineStr">
        <is>
          <t>JÄMTLANDS LÄN</t>
        </is>
      </c>
      <c r="E391" t="inlineStr">
        <is>
          <t>ÖSTERSUND</t>
        </is>
      </c>
      <c r="F391" t="inlineStr">
        <is>
          <t>SCA</t>
        </is>
      </c>
      <c r="G391" t="n">
        <v>10.9</v>
      </c>
      <c r="H391" t="n">
        <v>0</v>
      </c>
      <c r="I391" t="n">
        <v>0</v>
      </c>
      <c r="J391" t="n">
        <v>0</v>
      </c>
      <c r="K391" t="n">
        <v>0</v>
      </c>
      <c r="L391" t="n">
        <v>0</v>
      </c>
      <c r="M391" t="n">
        <v>0</v>
      </c>
      <c r="N391" t="n">
        <v>0</v>
      </c>
      <c r="O391" t="n">
        <v>0</v>
      </c>
      <c r="P391" t="n">
        <v>0</v>
      </c>
      <c r="Q391" t="n">
        <v>0</v>
      </c>
      <c r="R391" s="2" t="inlineStr"/>
    </row>
    <row r="392" ht="15" customHeight="1">
      <c r="A392" t="inlineStr">
        <is>
          <t>A 12429-2025</t>
        </is>
      </c>
      <c r="B392" s="1" t="n">
        <v>45730.45930555555</v>
      </c>
      <c r="C392" s="1" t="n">
        <v>45889</v>
      </c>
      <c r="D392" t="inlineStr">
        <is>
          <t>JÄMTLANDS LÄN</t>
        </is>
      </c>
      <c r="E392" t="inlineStr">
        <is>
          <t>ÖSTERSUND</t>
        </is>
      </c>
      <c r="F392" t="inlineStr">
        <is>
          <t>Övriga Aktiebolag</t>
        </is>
      </c>
      <c r="G392" t="n">
        <v>4.4</v>
      </c>
      <c r="H392" t="n">
        <v>0</v>
      </c>
      <c r="I392" t="n">
        <v>0</v>
      </c>
      <c r="J392" t="n">
        <v>0</v>
      </c>
      <c r="K392" t="n">
        <v>0</v>
      </c>
      <c r="L392" t="n">
        <v>0</v>
      </c>
      <c r="M392" t="n">
        <v>0</v>
      </c>
      <c r="N392" t="n">
        <v>0</v>
      </c>
      <c r="O392" t="n">
        <v>0</v>
      </c>
      <c r="P392" t="n">
        <v>0</v>
      </c>
      <c r="Q392" t="n">
        <v>0</v>
      </c>
      <c r="R392" s="2" t="inlineStr"/>
    </row>
    <row r="393" ht="15" customHeight="1">
      <c r="A393" t="inlineStr">
        <is>
          <t>A 43082-2024</t>
        </is>
      </c>
      <c r="B393" s="1" t="n">
        <v>45567.51068287037</v>
      </c>
      <c r="C393" s="1" t="n">
        <v>45889</v>
      </c>
      <c r="D393" t="inlineStr">
        <is>
          <t>JÄMTLANDS LÄN</t>
        </is>
      </c>
      <c r="E393" t="inlineStr">
        <is>
          <t>ÖSTERSUND</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5544-2025</t>
        </is>
      </c>
      <c r="B394" s="1" t="n">
        <v>45693</v>
      </c>
      <c r="C394" s="1" t="n">
        <v>45889</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41780-2024</t>
        </is>
      </c>
      <c r="B395" s="1" t="n">
        <v>45561.34908564815</v>
      </c>
      <c r="C395" s="1" t="n">
        <v>45889</v>
      </c>
      <c r="D395" t="inlineStr">
        <is>
          <t>JÄMTLANDS LÄN</t>
        </is>
      </c>
      <c r="E395" t="inlineStr">
        <is>
          <t>ÖSTERSUND</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58407-2024</t>
        </is>
      </c>
      <c r="B396" s="1" t="n">
        <v>45634.72633101852</v>
      </c>
      <c r="C396" s="1" t="n">
        <v>45889</v>
      </c>
      <c r="D396" t="inlineStr">
        <is>
          <t>JÄMTLANDS LÄN</t>
        </is>
      </c>
      <c r="E396" t="inlineStr">
        <is>
          <t>ÖSTERSUND</t>
        </is>
      </c>
      <c r="G396" t="n">
        <v>2.8</v>
      </c>
      <c r="H396" t="n">
        <v>0</v>
      </c>
      <c r="I396" t="n">
        <v>0</v>
      </c>
      <c r="J396" t="n">
        <v>0</v>
      </c>
      <c r="K396" t="n">
        <v>0</v>
      </c>
      <c r="L396" t="n">
        <v>0</v>
      </c>
      <c r="M396" t="n">
        <v>0</v>
      </c>
      <c r="N396" t="n">
        <v>0</v>
      </c>
      <c r="O396" t="n">
        <v>0</v>
      </c>
      <c r="P396" t="n">
        <v>0</v>
      </c>
      <c r="Q396" t="n">
        <v>0</v>
      </c>
      <c r="R396" s="2" t="inlineStr"/>
    </row>
    <row r="397" ht="15" customHeight="1">
      <c r="A397" t="inlineStr">
        <is>
          <t>A 24091-2025</t>
        </is>
      </c>
      <c r="B397" s="1" t="n">
        <v>45796.57071759259</v>
      </c>
      <c r="C397" s="1" t="n">
        <v>45889</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5140-2025</t>
        </is>
      </c>
      <c r="B398" s="1" t="n">
        <v>45691</v>
      </c>
      <c r="C398" s="1" t="n">
        <v>45889</v>
      </c>
      <c r="D398" t="inlineStr">
        <is>
          <t>JÄMTLANDS LÄN</t>
        </is>
      </c>
      <c r="E398" t="inlineStr">
        <is>
          <t>ÖSTERSUND</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29703-2023</t>
        </is>
      </c>
      <c r="B399" s="1" t="n">
        <v>45107</v>
      </c>
      <c r="C399" s="1" t="n">
        <v>45889</v>
      </c>
      <c r="D399" t="inlineStr">
        <is>
          <t>JÄMTLANDS LÄN</t>
        </is>
      </c>
      <c r="E399" t="inlineStr">
        <is>
          <t>ÖSTERSUND</t>
        </is>
      </c>
      <c r="G399" t="n">
        <v>0.3</v>
      </c>
      <c r="H399" t="n">
        <v>0</v>
      </c>
      <c r="I399" t="n">
        <v>0</v>
      </c>
      <c r="J399" t="n">
        <v>0</v>
      </c>
      <c r="K399" t="n">
        <v>0</v>
      </c>
      <c r="L399" t="n">
        <v>0</v>
      </c>
      <c r="M399" t="n">
        <v>0</v>
      </c>
      <c r="N399" t="n">
        <v>0</v>
      </c>
      <c r="O399" t="n">
        <v>0</v>
      </c>
      <c r="P399" t="n">
        <v>0</v>
      </c>
      <c r="Q399" t="n">
        <v>0</v>
      </c>
      <c r="R399" s="2" t="inlineStr"/>
    </row>
    <row r="400" ht="15" customHeight="1">
      <c r="A400" t="inlineStr">
        <is>
          <t>A 18429-2025</t>
        </is>
      </c>
      <c r="B400" s="1" t="n">
        <v>45762.63375</v>
      </c>
      <c r="C400" s="1" t="n">
        <v>45889</v>
      </c>
      <c r="D400" t="inlineStr">
        <is>
          <t>JÄMTLANDS LÄN</t>
        </is>
      </c>
      <c r="E400" t="inlineStr">
        <is>
          <t>ÖSTERSUND</t>
        </is>
      </c>
      <c r="F400" t="inlineStr">
        <is>
          <t>Sveaskog</t>
        </is>
      </c>
      <c r="G400" t="n">
        <v>5.5</v>
      </c>
      <c r="H400" t="n">
        <v>0</v>
      </c>
      <c r="I400" t="n">
        <v>0</v>
      </c>
      <c r="J400" t="n">
        <v>0</v>
      </c>
      <c r="K400" t="n">
        <v>0</v>
      </c>
      <c r="L400" t="n">
        <v>0</v>
      </c>
      <c r="M400" t="n">
        <v>0</v>
      </c>
      <c r="N400" t="n">
        <v>0</v>
      </c>
      <c r="O400" t="n">
        <v>0</v>
      </c>
      <c r="P400" t="n">
        <v>0</v>
      </c>
      <c r="Q400" t="n">
        <v>0</v>
      </c>
      <c r="R400" s="2" t="inlineStr"/>
    </row>
    <row r="401" ht="15" customHeight="1">
      <c r="A401" t="inlineStr">
        <is>
          <t>A 16908-2025</t>
        </is>
      </c>
      <c r="B401" s="1" t="n">
        <v>45755.35107638889</v>
      </c>
      <c r="C401" s="1" t="n">
        <v>45889</v>
      </c>
      <c r="D401" t="inlineStr">
        <is>
          <t>JÄMTLANDS LÄN</t>
        </is>
      </c>
      <c r="E401" t="inlineStr">
        <is>
          <t>ÖSTERSUND</t>
        </is>
      </c>
      <c r="G401" t="n">
        <v>8.6</v>
      </c>
      <c r="H401" t="n">
        <v>0</v>
      </c>
      <c r="I401" t="n">
        <v>0</v>
      </c>
      <c r="J401" t="n">
        <v>0</v>
      </c>
      <c r="K401" t="n">
        <v>0</v>
      </c>
      <c r="L401" t="n">
        <v>0</v>
      </c>
      <c r="M401" t="n">
        <v>0</v>
      </c>
      <c r="N401" t="n">
        <v>0</v>
      </c>
      <c r="O401" t="n">
        <v>0</v>
      </c>
      <c r="P401" t="n">
        <v>0</v>
      </c>
      <c r="Q401" t="n">
        <v>0</v>
      </c>
      <c r="R401" s="2" t="inlineStr"/>
    </row>
    <row r="402" ht="15" customHeight="1">
      <c r="A402" t="inlineStr">
        <is>
          <t>A 23877-2025</t>
        </is>
      </c>
      <c r="B402" s="1" t="n">
        <v>45793.68469907407</v>
      </c>
      <c r="C402" s="1" t="n">
        <v>45889</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51479-2023</t>
        </is>
      </c>
      <c r="B403" s="1" t="n">
        <v>45221.92429398148</v>
      </c>
      <c r="C403" s="1" t="n">
        <v>45889</v>
      </c>
      <c r="D403" t="inlineStr">
        <is>
          <t>JÄMTLANDS LÄN</t>
        </is>
      </c>
      <c r="E403" t="inlineStr">
        <is>
          <t>ÖSTERSUND</t>
        </is>
      </c>
      <c r="G403" t="n">
        <v>1.9</v>
      </c>
      <c r="H403" t="n">
        <v>0</v>
      </c>
      <c r="I403" t="n">
        <v>0</v>
      </c>
      <c r="J403" t="n">
        <v>0</v>
      </c>
      <c r="K403" t="n">
        <v>0</v>
      </c>
      <c r="L403" t="n">
        <v>0</v>
      </c>
      <c r="M403" t="n">
        <v>0</v>
      </c>
      <c r="N403" t="n">
        <v>0</v>
      </c>
      <c r="O403" t="n">
        <v>0</v>
      </c>
      <c r="P403" t="n">
        <v>0</v>
      </c>
      <c r="Q403" t="n">
        <v>0</v>
      </c>
      <c r="R403" s="2" t="inlineStr"/>
    </row>
    <row r="404" ht="15" customHeight="1">
      <c r="A404" t="inlineStr">
        <is>
          <t>A 11933-2022</t>
        </is>
      </c>
      <c r="B404" s="1" t="n">
        <v>44635</v>
      </c>
      <c r="C404" s="1" t="n">
        <v>45889</v>
      </c>
      <c r="D404" t="inlineStr">
        <is>
          <t>JÄMTLANDS LÄN</t>
        </is>
      </c>
      <c r="E404" t="inlineStr">
        <is>
          <t>ÖSTERSUND</t>
        </is>
      </c>
      <c r="G404" t="n">
        <v>0.7</v>
      </c>
      <c r="H404" t="n">
        <v>0</v>
      </c>
      <c r="I404" t="n">
        <v>0</v>
      </c>
      <c r="J404" t="n">
        <v>0</v>
      </c>
      <c r="K404" t="n">
        <v>0</v>
      </c>
      <c r="L404" t="n">
        <v>0</v>
      </c>
      <c r="M404" t="n">
        <v>0</v>
      </c>
      <c r="N404" t="n">
        <v>0</v>
      </c>
      <c r="O404" t="n">
        <v>0</v>
      </c>
      <c r="P404" t="n">
        <v>0</v>
      </c>
      <c r="Q404" t="n">
        <v>0</v>
      </c>
      <c r="R404" s="2" t="inlineStr"/>
    </row>
    <row r="405" ht="15" customHeight="1">
      <c r="A405" t="inlineStr">
        <is>
          <t>A 45980-2023</t>
        </is>
      </c>
      <c r="B405" s="1" t="n">
        <v>45189</v>
      </c>
      <c r="C405" s="1" t="n">
        <v>45889</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53660-2024</t>
        </is>
      </c>
      <c r="B406" s="1" t="n">
        <v>45615.31297453704</v>
      </c>
      <c r="C406" s="1" t="n">
        <v>45889</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19566-2024</t>
        </is>
      </c>
      <c r="B407" s="1" t="n">
        <v>45429.92313657407</v>
      </c>
      <c r="C407" s="1" t="n">
        <v>45889</v>
      </c>
      <c r="D407" t="inlineStr">
        <is>
          <t>JÄMTLANDS LÄN</t>
        </is>
      </c>
      <c r="E407" t="inlineStr">
        <is>
          <t>ÖSTERSUND</t>
        </is>
      </c>
      <c r="G407" t="n">
        <v>0</v>
      </c>
      <c r="H407" t="n">
        <v>0</v>
      </c>
      <c r="I407" t="n">
        <v>0</v>
      </c>
      <c r="J407" t="n">
        <v>0</v>
      </c>
      <c r="K407" t="n">
        <v>0</v>
      </c>
      <c r="L407" t="n">
        <v>0</v>
      </c>
      <c r="M407" t="n">
        <v>0</v>
      </c>
      <c r="N407" t="n">
        <v>0</v>
      </c>
      <c r="O407" t="n">
        <v>0</v>
      </c>
      <c r="P407" t="n">
        <v>0</v>
      </c>
      <c r="Q407" t="n">
        <v>0</v>
      </c>
      <c r="R407" s="2" t="inlineStr"/>
    </row>
    <row r="408" ht="15" customHeight="1">
      <c r="A408" t="inlineStr">
        <is>
          <t>A 24403-2025</t>
        </is>
      </c>
      <c r="B408" s="1" t="n">
        <v>45797.65025462963</v>
      </c>
      <c r="C408" s="1" t="n">
        <v>45889</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24523-2025</t>
        </is>
      </c>
      <c r="B409" s="1" t="n">
        <v>45798.42108796296</v>
      </c>
      <c r="C409" s="1" t="n">
        <v>45889</v>
      </c>
      <c r="D409" t="inlineStr">
        <is>
          <t>JÄMTLANDS LÄN</t>
        </is>
      </c>
      <c r="E409" t="inlineStr">
        <is>
          <t>ÖSTERSUND</t>
        </is>
      </c>
      <c r="G409" t="n">
        <v>13.7</v>
      </c>
      <c r="H409" t="n">
        <v>0</v>
      </c>
      <c r="I409" t="n">
        <v>0</v>
      </c>
      <c r="J409" t="n">
        <v>0</v>
      </c>
      <c r="K409" t="n">
        <v>0</v>
      </c>
      <c r="L409" t="n">
        <v>0</v>
      </c>
      <c r="M409" t="n">
        <v>0</v>
      </c>
      <c r="N409" t="n">
        <v>0</v>
      </c>
      <c r="O409" t="n">
        <v>0</v>
      </c>
      <c r="P409" t="n">
        <v>0</v>
      </c>
      <c r="Q409" t="n">
        <v>0</v>
      </c>
      <c r="R409" s="2" t="inlineStr"/>
    </row>
    <row r="410" ht="15" customHeight="1">
      <c r="A410" t="inlineStr">
        <is>
          <t>A 24368-2025</t>
        </is>
      </c>
      <c r="B410" s="1" t="n">
        <v>45797.60623842593</v>
      </c>
      <c r="C410" s="1" t="n">
        <v>45889</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17732-2022</t>
        </is>
      </c>
      <c r="B411" s="1" t="n">
        <v>44680.92873842592</v>
      </c>
      <c r="C411" s="1" t="n">
        <v>45889</v>
      </c>
      <c r="D411" t="inlineStr">
        <is>
          <t>JÄMTLANDS LÄN</t>
        </is>
      </c>
      <c r="E411" t="inlineStr">
        <is>
          <t>ÖSTERSUND</t>
        </is>
      </c>
      <c r="G411" t="n">
        <v>5.4</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45889</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24568-2025</t>
        </is>
      </c>
      <c r="B413" s="1" t="n">
        <v>45798.46913194445</v>
      </c>
      <c r="C413" s="1" t="n">
        <v>45889</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53176-2024</t>
        </is>
      </c>
      <c r="B414" s="1" t="n">
        <v>45611.66655092593</v>
      </c>
      <c r="C414" s="1" t="n">
        <v>45889</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21495-2022</t>
        </is>
      </c>
      <c r="B415" s="1" t="n">
        <v>44706</v>
      </c>
      <c r="C415" s="1" t="n">
        <v>45889</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24946-2025</t>
        </is>
      </c>
      <c r="B416" s="1" t="n">
        <v>45799.56515046296</v>
      </c>
      <c r="C416" s="1" t="n">
        <v>45889</v>
      </c>
      <c r="D416" t="inlineStr">
        <is>
          <t>JÄMTLANDS LÄN</t>
        </is>
      </c>
      <c r="E416" t="inlineStr">
        <is>
          <t>ÖSTERSUND</t>
        </is>
      </c>
      <c r="G416" t="n">
        <v>4.8</v>
      </c>
      <c r="H416" t="n">
        <v>0</v>
      </c>
      <c r="I416" t="n">
        <v>0</v>
      </c>
      <c r="J416" t="n">
        <v>0</v>
      </c>
      <c r="K416" t="n">
        <v>0</v>
      </c>
      <c r="L416" t="n">
        <v>0</v>
      </c>
      <c r="M416" t="n">
        <v>0</v>
      </c>
      <c r="N416" t="n">
        <v>0</v>
      </c>
      <c r="O416" t="n">
        <v>0</v>
      </c>
      <c r="P416" t="n">
        <v>0</v>
      </c>
      <c r="Q416" t="n">
        <v>0</v>
      </c>
      <c r="R416" s="2" t="inlineStr"/>
    </row>
    <row r="417" ht="15" customHeight="1">
      <c r="A417" t="inlineStr">
        <is>
          <t>A 24725-2025</t>
        </is>
      </c>
      <c r="B417" s="1" t="n">
        <v>45799.3231712963</v>
      </c>
      <c r="C417" s="1" t="n">
        <v>45889</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56646-2024</t>
        </is>
      </c>
      <c r="B418" s="1" t="n">
        <v>45625</v>
      </c>
      <c r="C418" s="1" t="n">
        <v>45889</v>
      </c>
      <c r="D418" t="inlineStr">
        <is>
          <t>JÄMTLANDS LÄN</t>
        </is>
      </c>
      <c r="E418" t="inlineStr">
        <is>
          <t>ÖSTERSUND</t>
        </is>
      </c>
      <c r="G418" t="n">
        <v>18.9</v>
      </c>
      <c r="H418" t="n">
        <v>0</v>
      </c>
      <c r="I418" t="n">
        <v>0</v>
      </c>
      <c r="J418" t="n">
        <v>0</v>
      </c>
      <c r="K418" t="n">
        <v>0</v>
      </c>
      <c r="L418" t="n">
        <v>0</v>
      </c>
      <c r="M418" t="n">
        <v>0</v>
      </c>
      <c r="N418" t="n">
        <v>0</v>
      </c>
      <c r="O418" t="n">
        <v>0</v>
      </c>
      <c r="P418" t="n">
        <v>0</v>
      </c>
      <c r="Q418" t="n">
        <v>0</v>
      </c>
      <c r="R418" s="2" t="inlineStr"/>
    </row>
    <row r="419" ht="15" customHeight="1">
      <c r="A419" t="inlineStr">
        <is>
          <t>A 54883-2023</t>
        </is>
      </c>
      <c r="B419" s="1" t="n">
        <v>45236.62300925926</v>
      </c>
      <c r="C419" s="1" t="n">
        <v>45889</v>
      </c>
      <c r="D419" t="inlineStr">
        <is>
          <t>JÄMTLANDS LÄN</t>
        </is>
      </c>
      <c r="E419" t="inlineStr">
        <is>
          <t>ÖSTERSUND</t>
        </is>
      </c>
      <c r="F419" t="inlineStr">
        <is>
          <t>Övriga Aktiebolag</t>
        </is>
      </c>
      <c r="G419" t="n">
        <v>3.2</v>
      </c>
      <c r="H419" t="n">
        <v>0</v>
      </c>
      <c r="I419" t="n">
        <v>0</v>
      </c>
      <c r="J419" t="n">
        <v>0</v>
      </c>
      <c r="K419" t="n">
        <v>0</v>
      </c>
      <c r="L419" t="n">
        <v>0</v>
      </c>
      <c r="M419" t="n">
        <v>0</v>
      </c>
      <c r="N419" t="n">
        <v>0</v>
      </c>
      <c r="O419" t="n">
        <v>0</v>
      </c>
      <c r="P419" t="n">
        <v>0</v>
      </c>
      <c r="Q419" t="n">
        <v>0</v>
      </c>
      <c r="R419" s="2" t="inlineStr"/>
    </row>
    <row r="420" ht="15" customHeight="1">
      <c r="A420" t="inlineStr">
        <is>
          <t>A 3122-2025</t>
        </is>
      </c>
      <c r="B420" s="1" t="n">
        <v>45678</v>
      </c>
      <c r="C420" s="1" t="n">
        <v>45889</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25210-2025</t>
        </is>
      </c>
      <c r="B421" s="1" t="n">
        <v>45800.46960648148</v>
      </c>
      <c r="C421" s="1" t="n">
        <v>45889</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25221-2025</t>
        </is>
      </c>
      <c r="B422" s="1" t="n">
        <v>45800.47802083333</v>
      </c>
      <c r="C422" s="1" t="n">
        <v>45889</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12102-2025</t>
        </is>
      </c>
      <c r="B423" s="1" t="n">
        <v>45729.3425</v>
      </c>
      <c r="C423" s="1" t="n">
        <v>45889</v>
      </c>
      <c r="D423" t="inlineStr">
        <is>
          <t>JÄMTLANDS LÄN</t>
        </is>
      </c>
      <c r="E423" t="inlineStr">
        <is>
          <t>ÖSTERSUND</t>
        </is>
      </c>
      <c r="G423" t="n">
        <v>1.5</v>
      </c>
      <c r="H423" t="n">
        <v>0</v>
      </c>
      <c r="I423" t="n">
        <v>0</v>
      </c>
      <c r="J423" t="n">
        <v>0</v>
      </c>
      <c r="K423" t="n">
        <v>0</v>
      </c>
      <c r="L423" t="n">
        <v>0</v>
      </c>
      <c r="M423" t="n">
        <v>0</v>
      </c>
      <c r="N423" t="n">
        <v>0</v>
      </c>
      <c r="O423" t="n">
        <v>0</v>
      </c>
      <c r="P423" t="n">
        <v>0</v>
      </c>
      <c r="Q423" t="n">
        <v>0</v>
      </c>
      <c r="R423" s="2" t="inlineStr"/>
    </row>
    <row r="424" ht="15" customHeight="1">
      <c r="A424" t="inlineStr">
        <is>
          <t>A 25058-2025</t>
        </is>
      </c>
      <c r="B424" s="1" t="n">
        <v>45799.68418981481</v>
      </c>
      <c r="C424" s="1" t="n">
        <v>45889</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62222-2022</t>
        </is>
      </c>
      <c r="B425" s="1" t="n">
        <v>44922</v>
      </c>
      <c r="C425" s="1" t="n">
        <v>45889</v>
      </c>
      <c r="D425" t="inlineStr">
        <is>
          <t>JÄMTLANDS LÄN</t>
        </is>
      </c>
      <c r="E425" t="inlineStr">
        <is>
          <t>ÖSTERSUND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25252-2025</t>
        </is>
      </c>
      <c r="B426" s="1" t="n">
        <v>45800.50355324074</v>
      </c>
      <c r="C426" s="1" t="n">
        <v>45889</v>
      </c>
      <c r="D426" t="inlineStr">
        <is>
          <t>JÄMTLANDS LÄN</t>
        </is>
      </c>
      <c r="E426" t="inlineStr">
        <is>
          <t>ÖSTERSUND</t>
        </is>
      </c>
      <c r="G426" t="n">
        <v>2.7</v>
      </c>
      <c r="H426" t="n">
        <v>0</v>
      </c>
      <c r="I426" t="n">
        <v>0</v>
      </c>
      <c r="J426" t="n">
        <v>0</v>
      </c>
      <c r="K426" t="n">
        <v>0</v>
      </c>
      <c r="L426" t="n">
        <v>0</v>
      </c>
      <c r="M426" t="n">
        <v>0</v>
      </c>
      <c r="N426" t="n">
        <v>0</v>
      </c>
      <c r="O426" t="n">
        <v>0</v>
      </c>
      <c r="P426" t="n">
        <v>0</v>
      </c>
      <c r="Q426" t="n">
        <v>0</v>
      </c>
      <c r="R426" s="2" t="inlineStr"/>
    </row>
    <row r="427" ht="15" customHeight="1">
      <c r="A427" t="inlineStr">
        <is>
          <t>A 41280-2024</t>
        </is>
      </c>
      <c r="B427" s="1" t="n">
        <v>45559.59476851852</v>
      </c>
      <c r="C427" s="1" t="n">
        <v>45889</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7224-2024</t>
        </is>
      </c>
      <c r="B428" s="1" t="n">
        <v>45344</v>
      </c>
      <c r="C428" s="1" t="n">
        <v>45889</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25228-2025</t>
        </is>
      </c>
      <c r="B429" s="1" t="n">
        <v>45800.48368055555</v>
      </c>
      <c r="C429" s="1" t="n">
        <v>45889</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8675-2023</t>
        </is>
      </c>
      <c r="B430" s="1" t="n">
        <v>44977.98629629629</v>
      </c>
      <c r="C430" s="1" t="n">
        <v>45889</v>
      </c>
      <c r="D430" t="inlineStr">
        <is>
          <t>JÄMTLANDS LÄN</t>
        </is>
      </c>
      <c r="E430" t="inlineStr">
        <is>
          <t>ÖSTERSUND</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25059-2025</t>
        </is>
      </c>
      <c r="B431" s="1" t="n">
        <v>45799.69116898148</v>
      </c>
      <c r="C431" s="1" t="n">
        <v>45889</v>
      </c>
      <c r="D431" t="inlineStr">
        <is>
          <t>JÄMTLANDS LÄN</t>
        </is>
      </c>
      <c r="E431" t="inlineStr">
        <is>
          <t>ÖSTERSUND</t>
        </is>
      </c>
      <c r="G431" t="n">
        <v>2.7</v>
      </c>
      <c r="H431" t="n">
        <v>0</v>
      </c>
      <c r="I431" t="n">
        <v>0</v>
      </c>
      <c r="J431" t="n">
        <v>0</v>
      </c>
      <c r="K431" t="n">
        <v>0</v>
      </c>
      <c r="L431" t="n">
        <v>0</v>
      </c>
      <c r="M431" t="n">
        <v>0</v>
      </c>
      <c r="N431" t="n">
        <v>0</v>
      </c>
      <c r="O431" t="n">
        <v>0</v>
      </c>
      <c r="P431" t="n">
        <v>0</v>
      </c>
      <c r="Q431" t="n">
        <v>0</v>
      </c>
      <c r="R431" s="2" t="inlineStr"/>
    </row>
    <row r="432" ht="15" customHeight="1">
      <c r="A432" t="inlineStr">
        <is>
          <t>A 25069-2025</t>
        </is>
      </c>
      <c r="B432" s="1" t="n">
        <v>45799.7372337963</v>
      </c>
      <c r="C432" s="1" t="n">
        <v>45889</v>
      </c>
      <c r="D432" t="inlineStr">
        <is>
          <t>JÄMTLANDS LÄN</t>
        </is>
      </c>
      <c r="E432" t="inlineStr">
        <is>
          <t>ÖSTERSUND</t>
        </is>
      </c>
      <c r="G432" t="n">
        <v>3.5</v>
      </c>
      <c r="H432" t="n">
        <v>0</v>
      </c>
      <c r="I432" t="n">
        <v>0</v>
      </c>
      <c r="J432" t="n">
        <v>0</v>
      </c>
      <c r="K432" t="n">
        <v>0</v>
      </c>
      <c r="L432" t="n">
        <v>0</v>
      </c>
      <c r="M432" t="n">
        <v>0</v>
      </c>
      <c r="N432" t="n">
        <v>0</v>
      </c>
      <c r="O432" t="n">
        <v>0</v>
      </c>
      <c r="P432" t="n">
        <v>0</v>
      </c>
      <c r="Q432" t="n">
        <v>0</v>
      </c>
      <c r="R432" s="2" t="inlineStr"/>
    </row>
    <row r="433" ht="15" customHeight="1">
      <c r="A433" t="inlineStr">
        <is>
          <t>A 12-2023</t>
        </is>
      </c>
      <c r="B433" s="1" t="n">
        <v>44927.88021990741</v>
      </c>
      <c r="C433" s="1" t="n">
        <v>45889</v>
      </c>
      <c r="D433" t="inlineStr">
        <is>
          <t>JÄMTLANDS LÄN</t>
        </is>
      </c>
      <c r="E433" t="inlineStr">
        <is>
          <t>ÖSTERSUND</t>
        </is>
      </c>
      <c r="G433" t="n">
        <v>4.7</v>
      </c>
      <c r="H433" t="n">
        <v>0</v>
      </c>
      <c r="I433" t="n">
        <v>0</v>
      </c>
      <c r="J433" t="n">
        <v>0</v>
      </c>
      <c r="K433" t="n">
        <v>0</v>
      </c>
      <c r="L433" t="n">
        <v>0</v>
      </c>
      <c r="M433" t="n">
        <v>0</v>
      </c>
      <c r="N433" t="n">
        <v>0</v>
      </c>
      <c r="O433" t="n">
        <v>0</v>
      </c>
      <c r="P433" t="n">
        <v>0</v>
      </c>
      <c r="Q433" t="n">
        <v>0</v>
      </c>
      <c r="R433" s="2" t="inlineStr"/>
    </row>
    <row r="434" ht="15" customHeight="1">
      <c r="A434" t="inlineStr">
        <is>
          <t>A 55666-2023</t>
        </is>
      </c>
      <c r="B434" s="1" t="n">
        <v>45238.96770833333</v>
      </c>
      <c r="C434" s="1" t="n">
        <v>45889</v>
      </c>
      <c r="D434" t="inlineStr">
        <is>
          <t>JÄMTLANDS LÄN</t>
        </is>
      </c>
      <c r="E434" t="inlineStr">
        <is>
          <t>ÖSTERSUND</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51481-2023</t>
        </is>
      </c>
      <c r="B435" s="1" t="n">
        <v>45221.92440972223</v>
      </c>
      <c r="C435" s="1" t="n">
        <v>45889</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55140-2023</t>
        </is>
      </c>
      <c r="B436" s="1" t="n">
        <v>45237.50966435186</v>
      </c>
      <c r="C436" s="1" t="n">
        <v>45889</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25572-2025</t>
        </is>
      </c>
      <c r="B437" s="1" t="n">
        <v>45803</v>
      </c>
      <c r="C437" s="1" t="n">
        <v>45889</v>
      </c>
      <c r="D437" t="inlineStr">
        <is>
          <t>JÄMTLANDS LÄN</t>
        </is>
      </c>
      <c r="E437" t="inlineStr">
        <is>
          <t>ÖSTERSUND</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7005-2025</t>
        </is>
      </c>
      <c r="B438" s="1" t="n">
        <v>45701.60046296296</v>
      </c>
      <c r="C438" s="1" t="n">
        <v>45889</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60126-2020</t>
        </is>
      </c>
      <c r="B439" s="1" t="n">
        <v>44152</v>
      </c>
      <c r="C439" s="1" t="n">
        <v>45889</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57556-2024</t>
        </is>
      </c>
      <c r="B440" s="1" t="n">
        <v>45630</v>
      </c>
      <c r="C440" s="1" t="n">
        <v>45889</v>
      </c>
      <c r="D440" t="inlineStr">
        <is>
          <t>JÄMTLANDS LÄN</t>
        </is>
      </c>
      <c r="E440" t="inlineStr">
        <is>
          <t>ÖSTERSUND</t>
        </is>
      </c>
      <c r="G440" t="n">
        <v>5.5</v>
      </c>
      <c r="H440" t="n">
        <v>0</v>
      </c>
      <c r="I440" t="n">
        <v>0</v>
      </c>
      <c r="J440" t="n">
        <v>0</v>
      </c>
      <c r="K440" t="n">
        <v>0</v>
      </c>
      <c r="L440" t="n">
        <v>0</v>
      </c>
      <c r="M440" t="n">
        <v>0</v>
      </c>
      <c r="N440" t="n">
        <v>0</v>
      </c>
      <c r="O440" t="n">
        <v>0</v>
      </c>
      <c r="P440" t="n">
        <v>0</v>
      </c>
      <c r="Q440" t="n">
        <v>0</v>
      </c>
      <c r="R440" s="2" t="inlineStr"/>
    </row>
    <row r="441" ht="15" customHeight="1">
      <c r="A441" t="inlineStr">
        <is>
          <t>A 25978-2025</t>
        </is>
      </c>
      <c r="B441" s="1" t="n">
        <v>45804.63628472222</v>
      </c>
      <c r="C441" s="1" t="n">
        <v>45889</v>
      </c>
      <c r="D441" t="inlineStr">
        <is>
          <t>JÄMTLANDS LÄN</t>
        </is>
      </c>
      <c r="E441" t="inlineStr">
        <is>
          <t>ÖSTERSUND</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2686-2021</t>
        </is>
      </c>
      <c r="B442" s="1" t="n">
        <v>44214</v>
      </c>
      <c r="C442" s="1" t="n">
        <v>45889</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25995-2025</t>
        </is>
      </c>
      <c r="B443" s="1" t="n">
        <v>45804.656875</v>
      </c>
      <c r="C443" s="1" t="n">
        <v>45889</v>
      </c>
      <c r="D443" t="inlineStr">
        <is>
          <t>JÄMTLANDS LÄN</t>
        </is>
      </c>
      <c r="E443" t="inlineStr">
        <is>
          <t>ÖSTERSUND</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25992-2025</t>
        </is>
      </c>
      <c r="B444" s="1" t="n">
        <v>45804.65659722222</v>
      </c>
      <c r="C444" s="1" t="n">
        <v>45889</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60623-2022</t>
        </is>
      </c>
      <c r="B445" s="1" t="n">
        <v>44911.6459837963</v>
      </c>
      <c r="C445" s="1" t="n">
        <v>45889</v>
      </c>
      <c r="D445" t="inlineStr">
        <is>
          <t>JÄMTLANDS LÄN</t>
        </is>
      </c>
      <c r="E445" t="inlineStr">
        <is>
          <t>ÖSTERSUND</t>
        </is>
      </c>
      <c r="G445" t="n">
        <v>10.9</v>
      </c>
      <c r="H445" t="n">
        <v>0</v>
      </c>
      <c r="I445" t="n">
        <v>0</v>
      </c>
      <c r="J445" t="n">
        <v>0</v>
      </c>
      <c r="K445" t="n">
        <v>0</v>
      </c>
      <c r="L445" t="n">
        <v>0</v>
      </c>
      <c r="M445" t="n">
        <v>0</v>
      </c>
      <c r="N445" t="n">
        <v>0</v>
      </c>
      <c r="O445" t="n">
        <v>0</v>
      </c>
      <c r="P445" t="n">
        <v>0</v>
      </c>
      <c r="Q445" t="n">
        <v>0</v>
      </c>
      <c r="R445" s="2" t="inlineStr"/>
    </row>
    <row r="446" ht="15" customHeight="1">
      <c r="A446" t="inlineStr">
        <is>
          <t>A 8389-2025</t>
        </is>
      </c>
      <c r="B446" s="1" t="n">
        <v>45709.36497685185</v>
      </c>
      <c r="C446" s="1" t="n">
        <v>45889</v>
      </c>
      <c r="D446" t="inlineStr">
        <is>
          <t>JÄMTLANDS LÄN</t>
        </is>
      </c>
      <c r="E446" t="inlineStr">
        <is>
          <t>ÖSTERSUND</t>
        </is>
      </c>
      <c r="F446" t="inlineStr">
        <is>
          <t>SCA</t>
        </is>
      </c>
      <c r="G446" t="n">
        <v>6.3</v>
      </c>
      <c r="H446" t="n">
        <v>0</v>
      </c>
      <c r="I446" t="n">
        <v>0</v>
      </c>
      <c r="J446" t="n">
        <v>0</v>
      </c>
      <c r="K446" t="n">
        <v>0</v>
      </c>
      <c r="L446" t="n">
        <v>0</v>
      </c>
      <c r="M446" t="n">
        <v>0</v>
      </c>
      <c r="N446" t="n">
        <v>0</v>
      </c>
      <c r="O446" t="n">
        <v>0</v>
      </c>
      <c r="P446" t="n">
        <v>0</v>
      </c>
      <c r="Q446" t="n">
        <v>0</v>
      </c>
      <c r="R446" s="2" t="inlineStr"/>
    </row>
    <row r="447" ht="15" customHeight="1">
      <c r="A447" t="inlineStr">
        <is>
          <t>A 26144-2025</t>
        </is>
      </c>
      <c r="B447" s="1" t="n">
        <v>45805.42827546296</v>
      </c>
      <c r="C447" s="1" t="n">
        <v>45889</v>
      </c>
      <c r="D447" t="inlineStr">
        <is>
          <t>JÄMTLANDS LÄN</t>
        </is>
      </c>
      <c r="E447" t="inlineStr">
        <is>
          <t>ÖSTERSUND</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47357-2024</t>
        </is>
      </c>
      <c r="B448" s="1" t="n">
        <v>45587.42835648148</v>
      </c>
      <c r="C448" s="1" t="n">
        <v>45889</v>
      </c>
      <c r="D448" t="inlineStr">
        <is>
          <t>JÄMTLANDS LÄN</t>
        </is>
      </c>
      <c r="E448" t="inlineStr">
        <is>
          <t>ÖSTERSUND</t>
        </is>
      </c>
      <c r="G448" t="n">
        <v>2.4</v>
      </c>
      <c r="H448" t="n">
        <v>0</v>
      </c>
      <c r="I448" t="n">
        <v>0</v>
      </c>
      <c r="J448" t="n">
        <v>0</v>
      </c>
      <c r="K448" t="n">
        <v>0</v>
      </c>
      <c r="L448" t="n">
        <v>0</v>
      </c>
      <c r="M448" t="n">
        <v>0</v>
      </c>
      <c r="N448" t="n">
        <v>0</v>
      </c>
      <c r="O448" t="n">
        <v>0</v>
      </c>
      <c r="P448" t="n">
        <v>0</v>
      </c>
      <c r="Q448" t="n">
        <v>0</v>
      </c>
      <c r="R448" s="2" t="inlineStr"/>
    </row>
    <row r="449" ht="15" customHeight="1">
      <c r="A449" t="inlineStr">
        <is>
          <t>A 44048-2024</t>
        </is>
      </c>
      <c r="B449" s="1" t="n">
        <v>45572.59430555555</v>
      </c>
      <c r="C449" s="1" t="n">
        <v>45889</v>
      </c>
      <c r="D449" t="inlineStr">
        <is>
          <t>JÄMTLANDS LÄN</t>
        </is>
      </c>
      <c r="E449" t="inlineStr">
        <is>
          <t>ÖSTERSUND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26373-2025</t>
        </is>
      </c>
      <c r="B450" s="1" t="n">
        <v>45806.40677083333</v>
      </c>
      <c r="C450" s="1" t="n">
        <v>45889</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34490-2025</t>
        </is>
      </c>
      <c r="B451" s="1" t="n">
        <v>45847.40722222222</v>
      </c>
      <c r="C451" s="1" t="n">
        <v>45889</v>
      </c>
      <c r="D451" t="inlineStr">
        <is>
          <t>JÄMTLANDS LÄN</t>
        </is>
      </c>
      <c r="E451" t="inlineStr">
        <is>
          <t>ÖSTERSUND</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34587-2025</t>
        </is>
      </c>
      <c r="B452" s="1" t="n">
        <v>45847.61533564814</v>
      </c>
      <c r="C452" s="1" t="n">
        <v>45889</v>
      </c>
      <c r="D452" t="inlineStr">
        <is>
          <t>JÄMTLANDS LÄN</t>
        </is>
      </c>
      <c r="E452" t="inlineStr">
        <is>
          <t>ÖSTERSUND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51818-2024</t>
        </is>
      </c>
      <c r="B453" s="1" t="n">
        <v>45607.49265046296</v>
      </c>
      <c r="C453" s="1" t="n">
        <v>45889</v>
      </c>
      <c r="D453" t="inlineStr">
        <is>
          <t>JÄMTLANDS LÄN</t>
        </is>
      </c>
      <c r="E453" t="inlineStr">
        <is>
          <t>ÖSTERSUND</t>
        </is>
      </c>
      <c r="G453" t="n">
        <v>4.6</v>
      </c>
      <c r="H453" t="n">
        <v>0</v>
      </c>
      <c r="I453" t="n">
        <v>0</v>
      </c>
      <c r="J453" t="n">
        <v>0</v>
      </c>
      <c r="K453" t="n">
        <v>0</v>
      </c>
      <c r="L453" t="n">
        <v>0</v>
      </c>
      <c r="M453" t="n">
        <v>0</v>
      </c>
      <c r="N453" t="n">
        <v>0</v>
      </c>
      <c r="O453" t="n">
        <v>0</v>
      </c>
      <c r="P453" t="n">
        <v>0</v>
      </c>
      <c r="Q453" t="n">
        <v>0</v>
      </c>
      <c r="R453" s="2" t="inlineStr"/>
    </row>
    <row r="454" ht="15" customHeight="1">
      <c r="A454" t="inlineStr">
        <is>
          <t>A 14653-2022</t>
        </is>
      </c>
      <c r="B454" s="1" t="n">
        <v>44655.69303240741</v>
      </c>
      <c r="C454" s="1" t="n">
        <v>45889</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48106-2024</t>
        </is>
      </c>
      <c r="B455" s="1" t="n">
        <v>45589.62625</v>
      </c>
      <c r="C455" s="1" t="n">
        <v>45889</v>
      </c>
      <c r="D455" t="inlineStr">
        <is>
          <t>JÄMTLANDS LÄN</t>
        </is>
      </c>
      <c r="E455" t="inlineStr">
        <is>
          <t>ÖSTERSUND</t>
        </is>
      </c>
      <c r="G455" t="n">
        <v>3.5</v>
      </c>
      <c r="H455" t="n">
        <v>0</v>
      </c>
      <c r="I455" t="n">
        <v>0</v>
      </c>
      <c r="J455" t="n">
        <v>0</v>
      </c>
      <c r="K455" t="n">
        <v>0</v>
      </c>
      <c r="L455" t="n">
        <v>0</v>
      </c>
      <c r="M455" t="n">
        <v>0</v>
      </c>
      <c r="N455" t="n">
        <v>0</v>
      </c>
      <c r="O455" t="n">
        <v>0</v>
      </c>
      <c r="P455" t="n">
        <v>0</v>
      </c>
      <c r="Q455" t="n">
        <v>0</v>
      </c>
      <c r="R455" s="2" t="inlineStr"/>
    </row>
    <row r="456" ht="15" customHeight="1">
      <c r="A456" t="inlineStr">
        <is>
          <t>A 20960-2022</t>
        </is>
      </c>
      <c r="B456" s="1" t="n">
        <v>44701.94034722223</v>
      </c>
      <c r="C456" s="1" t="n">
        <v>45889</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55235-2023</t>
        </is>
      </c>
      <c r="B457" s="1" t="n">
        <v>45231</v>
      </c>
      <c r="C457" s="1" t="n">
        <v>45889</v>
      </c>
      <c r="D457" t="inlineStr">
        <is>
          <t>JÄMTLANDS LÄN</t>
        </is>
      </c>
      <c r="E457" t="inlineStr">
        <is>
          <t>ÖSTERSUND</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4063-2025</t>
        </is>
      </c>
      <c r="B458" s="1" t="n">
        <v>45684</v>
      </c>
      <c r="C458" s="1" t="n">
        <v>45889</v>
      </c>
      <c r="D458" t="inlineStr">
        <is>
          <t>JÄMTLANDS LÄN</t>
        </is>
      </c>
      <c r="E458" t="inlineStr">
        <is>
          <t>ÖSTERSUND</t>
        </is>
      </c>
      <c r="G458" t="n">
        <v>2.9</v>
      </c>
      <c r="H458" t="n">
        <v>0</v>
      </c>
      <c r="I458" t="n">
        <v>0</v>
      </c>
      <c r="J458" t="n">
        <v>0</v>
      </c>
      <c r="K458" t="n">
        <v>0</v>
      </c>
      <c r="L458" t="n">
        <v>0</v>
      </c>
      <c r="M458" t="n">
        <v>0</v>
      </c>
      <c r="N458" t="n">
        <v>0</v>
      </c>
      <c r="O458" t="n">
        <v>0</v>
      </c>
      <c r="P458" t="n">
        <v>0</v>
      </c>
      <c r="Q458" t="n">
        <v>0</v>
      </c>
      <c r="R458" s="2" t="inlineStr"/>
    </row>
    <row r="459" ht="15" customHeight="1">
      <c r="A459" t="inlineStr">
        <is>
          <t>A 60780-2023</t>
        </is>
      </c>
      <c r="B459" s="1" t="n">
        <v>45260</v>
      </c>
      <c r="C459" s="1" t="n">
        <v>45889</v>
      </c>
      <c r="D459" t="inlineStr">
        <is>
          <t>JÄMTLANDS LÄN</t>
        </is>
      </c>
      <c r="E459" t="inlineStr">
        <is>
          <t>ÖSTERSUND</t>
        </is>
      </c>
      <c r="G459" t="n">
        <v>3.7</v>
      </c>
      <c r="H459" t="n">
        <v>0</v>
      </c>
      <c r="I459" t="n">
        <v>0</v>
      </c>
      <c r="J459" t="n">
        <v>0</v>
      </c>
      <c r="K459" t="n">
        <v>0</v>
      </c>
      <c r="L459" t="n">
        <v>0</v>
      </c>
      <c r="M459" t="n">
        <v>0</v>
      </c>
      <c r="N459" t="n">
        <v>0</v>
      </c>
      <c r="O459" t="n">
        <v>0</v>
      </c>
      <c r="P459" t="n">
        <v>0</v>
      </c>
      <c r="Q459" t="n">
        <v>0</v>
      </c>
      <c r="R459" s="2" t="inlineStr"/>
    </row>
    <row r="460" ht="15" customHeight="1">
      <c r="A460" t="inlineStr">
        <is>
          <t>A 34589-2025</t>
        </is>
      </c>
      <c r="B460" s="1" t="n">
        <v>45847.61561342593</v>
      </c>
      <c r="C460" s="1" t="n">
        <v>45889</v>
      </c>
      <c r="D460" t="inlineStr">
        <is>
          <t>JÄMTLANDS LÄN</t>
        </is>
      </c>
      <c r="E460" t="inlineStr">
        <is>
          <t>ÖSTERSUND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57589-2024</t>
        </is>
      </c>
      <c r="B461" s="1" t="n">
        <v>45630.49710648148</v>
      </c>
      <c r="C461" s="1" t="n">
        <v>45889</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44634.52982638889</v>
      </c>
      <c r="C462" s="1" t="n">
        <v>45889</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7936-2025</t>
        </is>
      </c>
      <c r="B463" s="1" t="n">
        <v>45707</v>
      </c>
      <c r="C463" s="1" t="n">
        <v>45889</v>
      </c>
      <c r="D463" t="inlineStr">
        <is>
          <t>JÄMTLANDS LÄN</t>
        </is>
      </c>
      <c r="E463" t="inlineStr">
        <is>
          <t>ÖSTERSUND</t>
        </is>
      </c>
      <c r="G463" t="n">
        <v>0.2</v>
      </c>
      <c r="H463" t="n">
        <v>0</v>
      </c>
      <c r="I463" t="n">
        <v>0</v>
      </c>
      <c r="J463" t="n">
        <v>0</v>
      </c>
      <c r="K463" t="n">
        <v>0</v>
      </c>
      <c r="L463" t="n">
        <v>0</v>
      </c>
      <c r="M463" t="n">
        <v>0</v>
      </c>
      <c r="N463" t="n">
        <v>0</v>
      </c>
      <c r="O463" t="n">
        <v>0</v>
      </c>
      <c r="P463" t="n">
        <v>0</v>
      </c>
      <c r="Q463" t="n">
        <v>0</v>
      </c>
      <c r="R463" s="2" t="inlineStr"/>
    </row>
    <row r="464" ht="15" customHeight="1">
      <c r="A464" t="inlineStr">
        <is>
          <t>A 7940-2025</t>
        </is>
      </c>
      <c r="B464" s="1" t="n">
        <v>45707.40493055555</v>
      </c>
      <c r="C464" s="1" t="n">
        <v>45889</v>
      </c>
      <c r="D464" t="inlineStr">
        <is>
          <t>JÄMTLANDS LÄN</t>
        </is>
      </c>
      <c r="E464" t="inlineStr">
        <is>
          <t>ÖSTERSUND</t>
        </is>
      </c>
      <c r="F464" t="inlineStr">
        <is>
          <t>Övriga Aktiebolag</t>
        </is>
      </c>
      <c r="G464" t="n">
        <v>48.1</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44642.93471064815</v>
      </c>
      <c r="C465" s="1" t="n">
        <v>45889</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79-2025</t>
        </is>
      </c>
      <c r="B466" s="1" t="n">
        <v>45659.44413194444</v>
      </c>
      <c r="C466" s="1" t="n">
        <v>45889</v>
      </c>
      <c r="D466" t="inlineStr">
        <is>
          <t>JÄMTLANDS LÄN</t>
        </is>
      </c>
      <c r="E466" t="inlineStr">
        <is>
          <t>ÖSTERSUND</t>
        </is>
      </c>
      <c r="G466" t="n">
        <v>0.6</v>
      </c>
      <c r="H466" t="n">
        <v>0</v>
      </c>
      <c r="I466" t="n">
        <v>0</v>
      </c>
      <c r="J466" t="n">
        <v>0</v>
      </c>
      <c r="K466" t="n">
        <v>0</v>
      </c>
      <c r="L466" t="n">
        <v>0</v>
      </c>
      <c r="M466" t="n">
        <v>0</v>
      </c>
      <c r="N466" t="n">
        <v>0</v>
      </c>
      <c r="O466" t="n">
        <v>0</v>
      </c>
      <c r="P466" t="n">
        <v>0</v>
      </c>
      <c r="Q466" t="n">
        <v>0</v>
      </c>
      <c r="R466" s="2" t="inlineStr"/>
    </row>
    <row r="467" ht="15" customHeight="1">
      <c r="A467" t="inlineStr">
        <is>
          <t>A 5135-2025</t>
        </is>
      </c>
      <c r="B467" s="1" t="n">
        <v>45691</v>
      </c>
      <c r="C467" s="1" t="n">
        <v>45889</v>
      </c>
      <c r="D467" t="inlineStr">
        <is>
          <t>JÄMTLANDS LÄN</t>
        </is>
      </c>
      <c r="E467" t="inlineStr">
        <is>
          <t>ÖSTERSUND</t>
        </is>
      </c>
      <c r="F467" t="inlineStr">
        <is>
          <t>Övriga Aktiebolag</t>
        </is>
      </c>
      <c r="G467" t="n">
        <v>126.9</v>
      </c>
      <c r="H467" t="n">
        <v>0</v>
      </c>
      <c r="I467" t="n">
        <v>0</v>
      </c>
      <c r="J467" t="n">
        <v>0</v>
      </c>
      <c r="K467" t="n">
        <v>0</v>
      </c>
      <c r="L467" t="n">
        <v>0</v>
      </c>
      <c r="M467" t="n">
        <v>0</v>
      </c>
      <c r="N467" t="n">
        <v>0</v>
      </c>
      <c r="O467" t="n">
        <v>0</v>
      </c>
      <c r="P467" t="n">
        <v>0</v>
      </c>
      <c r="Q467" t="n">
        <v>0</v>
      </c>
      <c r="R467" s="2" t="inlineStr"/>
    </row>
    <row r="468" ht="15" customHeight="1">
      <c r="A468" t="inlineStr">
        <is>
          <t>A 38926-2024</t>
        </is>
      </c>
      <c r="B468" s="1" t="n">
        <v>45547.90777777778</v>
      </c>
      <c r="C468" s="1" t="n">
        <v>45889</v>
      </c>
      <c r="D468" t="inlineStr">
        <is>
          <t>JÄMTLANDS LÄN</t>
        </is>
      </c>
      <c r="E468" t="inlineStr">
        <is>
          <t>ÖSTERSUND</t>
        </is>
      </c>
      <c r="G468" t="n">
        <v>0.4</v>
      </c>
      <c r="H468" t="n">
        <v>0</v>
      </c>
      <c r="I468" t="n">
        <v>0</v>
      </c>
      <c r="J468" t="n">
        <v>0</v>
      </c>
      <c r="K468" t="n">
        <v>0</v>
      </c>
      <c r="L468" t="n">
        <v>0</v>
      </c>
      <c r="M468" t="n">
        <v>0</v>
      </c>
      <c r="N468" t="n">
        <v>0</v>
      </c>
      <c r="O468" t="n">
        <v>0</v>
      </c>
      <c r="P468" t="n">
        <v>0</v>
      </c>
      <c r="Q468" t="n">
        <v>0</v>
      </c>
      <c r="R468" s="2" t="inlineStr"/>
    </row>
    <row r="469" ht="15" customHeight="1">
      <c r="A469" t="inlineStr">
        <is>
          <t>A 20588-2023</t>
        </is>
      </c>
      <c r="B469" s="1" t="n">
        <v>45057</v>
      </c>
      <c r="C469" s="1" t="n">
        <v>45889</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31040-2021</t>
        </is>
      </c>
      <c r="B470" s="1" t="n">
        <v>44368</v>
      </c>
      <c r="C470" s="1" t="n">
        <v>45889</v>
      </c>
      <c r="D470" t="inlineStr">
        <is>
          <t>JÄMTLANDS LÄN</t>
        </is>
      </c>
      <c r="E470" t="inlineStr">
        <is>
          <t>ÖSTERSUND</t>
        </is>
      </c>
      <c r="G470" t="n">
        <v>4.3</v>
      </c>
      <c r="H470" t="n">
        <v>0</v>
      </c>
      <c r="I470" t="n">
        <v>0</v>
      </c>
      <c r="J470" t="n">
        <v>0</v>
      </c>
      <c r="K470" t="n">
        <v>0</v>
      </c>
      <c r="L470" t="n">
        <v>0</v>
      </c>
      <c r="M470" t="n">
        <v>0</v>
      </c>
      <c r="N470" t="n">
        <v>0</v>
      </c>
      <c r="O470" t="n">
        <v>0</v>
      </c>
      <c r="P470" t="n">
        <v>0</v>
      </c>
      <c r="Q470" t="n">
        <v>0</v>
      </c>
      <c r="R470" s="2" t="inlineStr"/>
    </row>
    <row r="471" ht="15" customHeight="1">
      <c r="A471" t="inlineStr">
        <is>
          <t>A 2753-2025</t>
        </is>
      </c>
      <c r="B471" s="1" t="n">
        <v>45677.47302083333</v>
      </c>
      <c r="C471" s="1" t="n">
        <v>45889</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26321-2022</t>
        </is>
      </c>
      <c r="B472" s="1" t="n">
        <v>44735</v>
      </c>
      <c r="C472" s="1" t="n">
        <v>45889</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14542-2025</t>
        </is>
      </c>
      <c r="B473" s="1" t="n">
        <v>45741.68631944444</v>
      </c>
      <c r="C473" s="1" t="n">
        <v>45889</v>
      </c>
      <c r="D473" t="inlineStr">
        <is>
          <t>JÄMTLANDS LÄN</t>
        </is>
      </c>
      <c r="E473" t="inlineStr">
        <is>
          <t>ÖSTERSUND</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39510-2024</t>
        </is>
      </c>
      <c r="B474" s="1" t="n">
        <v>45551.67761574074</v>
      </c>
      <c r="C474" s="1" t="n">
        <v>45889</v>
      </c>
      <c r="D474" t="inlineStr">
        <is>
          <t>JÄMTLANDS LÄN</t>
        </is>
      </c>
      <c r="E474" t="inlineStr">
        <is>
          <t>ÖSTERSUND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15686-2025</t>
        </is>
      </c>
      <c r="B475" s="1" t="n">
        <v>45748.46021990741</v>
      </c>
      <c r="C475" s="1" t="n">
        <v>45889</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10064-2024</t>
        </is>
      </c>
      <c r="B476" s="1" t="n">
        <v>45364.3874074074</v>
      </c>
      <c r="C476" s="1" t="n">
        <v>45889</v>
      </c>
      <c r="D476" t="inlineStr">
        <is>
          <t>JÄMTLANDS LÄN</t>
        </is>
      </c>
      <c r="E476" t="inlineStr">
        <is>
          <t>ÖSTERSUND</t>
        </is>
      </c>
      <c r="G476" t="n">
        <v>13.9</v>
      </c>
      <c r="H476" t="n">
        <v>0</v>
      </c>
      <c r="I476" t="n">
        <v>0</v>
      </c>
      <c r="J476" t="n">
        <v>0</v>
      </c>
      <c r="K476" t="n">
        <v>0</v>
      </c>
      <c r="L476" t="n">
        <v>0</v>
      </c>
      <c r="M476" t="n">
        <v>0</v>
      </c>
      <c r="N476" t="n">
        <v>0</v>
      </c>
      <c r="O476" t="n">
        <v>0</v>
      </c>
      <c r="P476" t="n">
        <v>0</v>
      </c>
      <c r="Q476" t="n">
        <v>0</v>
      </c>
      <c r="R476" s="2" t="inlineStr"/>
    </row>
    <row r="477" ht="15" customHeight="1">
      <c r="A477" t="inlineStr">
        <is>
          <t>A 3610-2024</t>
        </is>
      </c>
      <c r="B477" s="1" t="n">
        <v>45320.92060185185</v>
      </c>
      <c r="C477" s="1" t="n">
        <v>45889</v>
      </c>
      <c r="D477" t="inlineStr">
        <is>
          <t>JÄMTLANDS LÄN</t>
        </is>
      </c>
      <c r="E477" t="inlineStr">
        <is>
          <t>ÖSTERSUND</t>
        </is>
      </c>
      <c r="G477" t="n">
        <v>6.2</v>
      </c>
      <c r="H477" t="n">
        <v>0</v>
      </c>
      <c r="I477" t="n">
        <v>0</v>
      </c>
      <c r="J477" t="n">
        <v>0</v>
      </c>
      <c r="K477" t="n">
        <v>0</v>
      </c>
      <c r="L477" t="n">
        <v>0</v>
      </c>
      <c r="M477" t="n">
        <v>0</v>
      </c>
      <c r="N477" t="n">
        <v>0</v>
      </c>
      <c r="O477" t="n">
        <v>0</v>
      </c>
      <c r="P477" t="n">
        <v>0</v>
      </c>
      <c r="Q477" t="n">
        <v>0</v>
      </c>
      <c r="R477" s="2" t="inlineStr"/>
    </row>
    <row r="478" ht="15" customHeight="1">
      <c r="A478" t="inlineStr">
        <is>
          <t>A 4936-2025</t>
        </is>
      </c>
      <c r="B478" s="1" t="n">
        <v>45688.69356481481</v>
      </c>
      <c r="C478" s="1" t="n">
        <v>45889</v>
      </c>
      <c r="D478" t="inlineStr">
        <is>
          <t>JÄMTLANDS LÄN</t>
        </is>
      </c>
      <c r="E478" t="inlineStr">
        <is>
          <t>ÖSTERSUND</t>
        </is>
      </c>
      <c r="G478" t="n">
        <v>8.1</v>
      </c>
      <c r="H478" t="n">
        <v>0</v>
      </c>
      <c r="I478" t="n">
        <v>0</v>
      </c>
      <c r="J478" t="n">
        <v>0</v>
      </c>
      <c r="K478" t="n">
        <v>0</v>
      </c>
      <c r="L478" t="n">
        <v>0</v>
      </c>
      <c r="M478" t="n">
        <v>0</v>
      </c>
      <c r="N478" t="n">
        <v>0</v>
      </c>
      <c r="O478" t="n">
        <v>0</v>
      </c>
      <c r="P478" t="n">
        <v>0</v>
      </c>
      <c r="Q478" t="n">
        <v>0</v>
      </c>
      <c r="R478" s="2" t="inlineStr"/>
    </row>
    <row r="479" ht="15" customHeight="1">
      <c r="A479" t="inlineStr">
        <is>
          <t>A 26492-2025</t>
        </is>
      </c>
      <c r="B479" s="1" t="n">
        <v>45807</v>
      </c>
      <c r="C479" s="1" t="n">
        <v>45889</v>
      </c>
      <c r="D479" t="inlineStr">
        <is>
          <t>JÄMTLANDS LÄN</t>
        </is>
      </c>
      <c r="E479" t="inlineStr">
        <is>
          <t>ÖSTERSUND</t>
        </is>
      </c>
      <c r="G479" t="n">
        <v>7</v>
      </c>
      <c r="H479" t="n">
        <v>0</v>
      </c>
      <c r="I479" t="n">
        <v>0</v>
      </c>
      <c r="J479" t="n">
        <v>0</v>
      </c>
      <c r="K479" t="n">
        <v>0</v>
      </c>
      <c r="L479" t="n">
        <v>0</v>
      </c>
      <c r="M479" t="n">
        <v>0</v>
      </c>
      <c r="N479" t="n">
        <v>0</v>
      </c>
      <c r="O479" t="n">
        <v>0</v>
      </c>
      <c r="P479" t="n">
        <v>0</v>
      </c>
      <c r="Q479" t="n">
        <v>0</v>
      </c>
      <c r="R479" s="2" t="inlineStr"/>
    </row>
    <row r="480" ht="15" customHeight="1">
      <c r="A480" t="inlineStr">
        <is>
          <t>A 26500-2025</t>
        </is>
      </c>
      <c r="B480" s="1" t="n">
        <v>45807</v>
      </c>
      <c r="C480" s="1" t="n">
        <v>45889</v>
      </c>
      <c r="D480" t="inlineStr">
        <is>
          <t>JÄMTLANDS LÄN</t>
        </is>
      </c>
      <c r="E480" t="inlineStr">
        <is>
          <t>ÖSTERSUND</t>
        </is>
      </c>
      <c r="G480" t="n">
        <v>1.7</v>
      </c>
      <c r="H480" t="n">
        <v>0</v>
      </c>
      <c r="I480" t="n">
        <v>0</v>
      </c>
      <c r="J480" t="n">
        <v>0</v>
      </c>
      <c r="K480" t="n">
        <v>0</v>
      </c>
      <c r="L480" t="n">
        <v>0</v>
      </c>
      <c r="M480" t="n">
        <v>0</v>
      </c>
      <c r="N480" t="n">
        <v>0</v>
      </c>
      <c r="O480" t="n">
        <v>0</v>
      </c>
      <c r="P480" t="n">
        <v>0</v>
      </c>
      <c r="Q480" t="n">
        <v>0</v>
      </c>
      <c r="R480" s="2" t="inlineStr"/>
    </row>
    <row r="481" ht="15" customHeight="1">
      <c r="A481" t="inlineStr">
        <is>
          <t>A 26587-2025</t>
        </is>
      </c>
      <c r="B481" s="1" t="n">
        <v>45807.75076388889</v>
      </c>
      <c r="C481" s="1" t="n">
        <v>45889</v>
      </c>
      <c r="D481" t="inlineStr">
        <is>
          <t>JÄMTLANDS LÄN</t>
        </is>
      </c>
      <c r="E481" t="inlineStr">
        <is>
          <t>ÖSTERSUND</t>
        </is>
      </c>
      <c r="G481" t="n">
        <v>0.5</v>
      </c>
      <c r="H481" t="n">
        <v>0</v>
      </c>
      <c r="I481" t="n">
        <v>0</v>
      </c>
      <c r="J481" t="n">
        <v>0</v>
      </c>
      <c r="K481" t="n">
        <v>0</v>
      </c>
      <c r="L481" t="n">
        <v>0</v>
      </c>
      <c r="M481" t="n">
        <v>0</v>
      </c>
      <c r="N481" t="n">
        <v>0</v>
      </c>
      <c r="O481" t="n">
        <v>0</v>
      </c>
      <c r="P481" t="n">
        <v>0</v>
      </c>
      <c r="Q481" t="n">
        <v>0</v>
      </c>
      <c r="R481" s="2" t="inlineStr"/>
    </row>
    <row r="482" ht="15" customHeight="1">
      <c r="A482" t="inlineStr">
        <is>
          <t>A 44327-2023</t>
        </is>
      </c>
      <c r="B482" s="1" t="n">
        <v>45188</v>
      </c>
      <c r="C482" s="1" t="n">
        <v>45889</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27780-2022</t>
        </is>
      </c>
      <c r="B483" s="1" t="n">
        <v>44743</v>
      </c>
      <c r="C483" s="1" t="n">
        <v>45889</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45889</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10267-2025</t>
        </is>
      </c>
      <c r="B485" s="1" t="n">
        <v>45720.3859375</v>
      </c>
      <c r="C485" s="1" t="n">
        <v>45889</v>
      </c>
      <c r="D485" t="inlineStr">
        <is>
          <t>JÄMTLANDS LÄN</t>
        </is>
      </c>
      <c r="E485" t="inlineStr">
        <is>
          <t>ÖSTERSUND</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10493-2025</t>
        </is>
      </c>
      <c r="B486" s="1" t="n">
        <v>45721.36320601852</v>
      </c>
      <c r="C486" s="1" t="n">
        <v>45889</v>
      </c>
      <c r="D486" t="inlineStr">
        <is>
          <t>JÄMTLANDS LÄN</t>
        </is>
      </c>
      <c r="E486" t="inlineStr">
        <is>
          <t>ÖSTERSUND</t>
        </is>
      </c>
      <c r="G486" t="n">
        <v>1.7</v>
      </c>
      <c r="H486" t="n">
        <v>0</v>
      </c>
      <c r="I486" t="n">
        <v>0</v>
      </c>
      <c r="J486" t="n">
        <v>0</v>
      </c>
      <c r="K486" t="n">
        <v>0</v>
      </c>
      <c r="L486" t="n">
        <v>0</v>
      </c>
      <c r="M486" t="n">
        <v>0</v>
      </c>
      <c r="N486" t="n">
        <v>0</v>
      </c>
      <c r="O486" t="n">
        <v>0</v>
      </c>
      <c r="P486" t="n">
        <v>0</v>
      </c>
      <c r="Q486" t="n">
        <v>0</v>
      </c>
      <c r="R486" s="2" t="inlineStr"/>
    </row>
    <row r="487" ht="15" customHeight="1">
      <c r="A487" t="inlineStr">
        <is>
          <t>A 26586-2025</t>
        </is>
      </c>
      <c r="B487" s="1" t="n">
        <v>45807.74140046296</v>
      </c>
      <c r="C487" s="1" t="n">
        <v>45889</v>
      </c>
      <c r="D487" t="inlineStr">
        <is>
          <t>JÄMTLANDS LÄN</t>
        </is>
      </c>
      <c r="E487" t="inlineStr">
        <is>
          <t>ÖSTERSUND</t>
        </is>
      </c>
      <c r="G487" t="n">
        <v>2.1</v>
      </c>
      <c r="H487" t="n">
        <v>0</v>
      </c>
      <c r="I487" t="n">
        <v>0</v>
      </c>
      <c r="J487" t="n">
        <v>0</v>
      </c>
      <c r="K487" t="n">
        <v>0</v>
      </c>
      <c r="L487" t="n">
        <v>0</v>
      </c>
      <c r="M487" t="n">
        <v>0</v>
      </c>
      <c r="N487" t="n">
        <v>0</v>
      </c>
      <c r="O487" t="n">
        <v>0</v>
      </c>
      <c r="P487" t="n">
        <v>0</v>
      </c>
      <c r="Q487" t="n">
        <v>0</v>
      </c>
      <c r="R487" s="2" t="inlineStr"/>
    </row>
    <row r="488" ht="15" customHeight="1">
      <c r="A488" t="inlineStr">
        <is>
          <t>A 3844-2024</t>
        </is>
      </c>
      <c r="B488" s="1" t="n">
        <v>45321</v>
      </c>
      <c r="C488" s="1" t="n">
        <v>45889</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59648-2022</t>
        </is>
      </c>
      <c r="B489" s="1" t="n">
        <v>44907</v>
      </c>
      <c r="C489" s="1" t="n">
        <v>45889</v>
      </c>
      <c r="D489" t="inlineStr">
        <is>
          <t>JÄMTLANDS LÄN</t>
        </is>
      </c>
      <c r="E489" t="inlineStr">
        <is>
          <t>ÖSTERSUND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26605-2025</t>
        </is>
      </c>
      <c r="B490" s="1" t="n">
        <v>45809.86790509259</v>
      </c>
      <c r="C490" s="1" t="n">
        <v>45889</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13651-2025</t>
        </is>
      </c>
      <c r="B491" s="1" t="n">
        <v>45736.71818287037</v>
      </c>
      <c r="C491" s="1" t="n">
        <v>45889</v>
      </c>
      <c r="D491" t="inlineStr">
        <is>
          <t>JÄMTLANDS LÄN</t>
        </is>
      </c>
      <c r="E491" t="inlineStr">
        <is>
          <t>ÖSTERSUND</t>
        </is>
      </c>
      <c r="G491" t="n">
        <v>3.7</v>
      </c>
      <c r="H491" t="n">
        <v>0</v>
      </c>
      <c r="I491" t="n">
        <v>0</v>
      </c>
      <c r="J491" t="n">
        <v>0</v>
      </c>
      <c r="K491" t="n">
        <v>0</v>
      </c>
      <c r="L491" t="n">
        <v>0</v>
      </c>
      <c r="M491" t="n">
        <v>0</v>
      </c>
      <c r="N491" t="n">
        <v>0</v>
      </c>
      <c r="O491" t="n">
        <v>0</v>
      </c>
      <c r="P491" t="n">
        <v>0</v>
      </c>
      <c r="Q491" t="n">
        <v>0</v>
      </c>
      <c r="R491" s="2" t="inlineStr"/>
    </row>
    <row r="492" ht="15" customHeight="1">
      <c r="A492" t="inlineStr">
        <is>
          <t>A 27035-2025</t>
        </is>
      </c>
      <c r="B492" s="1" t="n">
        <v>45811.5928587963</v>
      </c>
      <c r="C492" s="1" t="n">
        <v>45889</v>
      </c>
      <c r="D492" t="inlineStr">
        <is>
          <t>JÄMTLANDS LÄN</t>
        </is>
      </c>
      <c r="E492" t="inlineStr">
        <is>
          <t>ÖSTERSUND</t>
        </is>
      </c>
      <c r="G492" t="n">
        <v>2.8</v>
      </c>
      <c r="H492" t="n">
        <v>0</v>
      </c>
      <c r="I492" t="n">
        <v>0</v>
      </c>
      <c r="J492" t="n">
        <v>0</v>
      </c>
      <c r="K492" t="n">
        <v>0</v>
      </c>
      <c r="L492" t="n">
        <v>0</v>
      </c>
      <c r="M492" t="n">
        <v>0</v>
      </c>
      <c r="N492" t="n">
        <v>0</v>
      </c>
      <c r="O492" t="n">
        <v>0</v>
      </c>
      <c r="P492" t="n">
        <v>0</v>
      </c>
      <c r="Q492" t="n">
        <v>0</v>
      </c>
      <c r="R492" s="2" t="inlineStr"/>
    </row>
    <row r="493" ht="15" customHeight="1">
      <c r="A493" t="inlineStr">
        <is>
          <t>A 2978-2024</t>
        </is>
      </c>
      <c r="B493" s="1" t="n">
        <v>45315</v>
      </c>
      <c r="C493" s="1" t="n">
        <v>45889</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61791-2023</t>
        </is>
      </c>
      <c r="B494" s="1" t="n">
        <v>45265.95795138889</v>
      </c>
      <c r="C494" s="1" t="n">
        <v>45889</v>
      </c>
      <c r="D494" t="inlineStr">
        <is>
          <t>JÄMTLANDS LÄN</t>
        </is>
      </c>
      <c r="E494" t="inlineStr">
        <is>
          <t>ÖSTERSUND</t>
        </is>
      </c>
      <c r="F494" t="inlineStr">
        <is>
          <t>SCA</t>
        </is>
      </c>
      <c r="G494" t="n">
        <v>11.4</v>
      </c>
      <c r="H494" t="n">
        <v>0</v>
      </c>
      <c r="I494" t="n">
        <v>0</v>
      </c>
      <c r="J494" t="n">
        <v>0</v>
      </c>
      <c r="K494" t="n">
        <v>0</v>
      </c>
      <c r="L494" t="n">
        <v>0</v>
      </c>
      <c r="M494" t="n">
        <v>0</v>
      </c>
      <c r="N494" t="n">
        <v>0</v>
      </c>
      <c r="O494" t="n">
        <v>0</v>
      </c>
      <c r="P494" t="n">
        <v>0</v>
      </c>
      <c r="Q494" t="n">
        <v>0</v>
      </c>
      <c r="R494" s="2" t="inlineStr"/>
    </row>
    <row r="495" ht="15" customHeight="1">
      <c r="A495" t="inlineStr">
        <is>
          <t>A 12821-2023</t>
        </is>
      </c>
      <c r="B495" s="1" t="n">
        <v>45000</v>
      </c>
      <c r="C495" s="1" t="n">
        <v>45889</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27034-2025</t>
        </is>
      </c>
      <c r="B496" s="1" t="n">
        <v>45811.59258101852</v>
      </c>
      <c r="C496" s="1" t="n">
        <v>45889</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50088-2024</t>
        </is>
      </c>
      <c r="B497" s="1" t="n">
        <v>45600.38585648148</v>
      </c>
      <c r="C497" s="1" t="n">
        <v>45889</v>
      </c>
      <c r="D497" t="inlineStr">
        <is>
          <t>JÄMTLANDS LÄN</t>
        </is>
      </c>
      <c r="E497" t="inlineStr">
        <is>
          <t>ÖSTERSUND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27517-2025</t>
        </is>
      </c>
      <c r="B498" s="1" t="n">
        <v>45813.43966435185</v>
      </c>
      <c r="C498" s="1" t="n">
        <v>45889</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10266-2025</t>
        </is>
      </c>
      <c r="B499" s="1" t="n">
        <v>45720.38576388889</v>
      </c>
      <c r="C499" s="1" t="n">
        <v>45889</v>
      </c>
      <c r="D499" t="inlineStr">
        <is>
          <t>JÄMTLANDS LÄN</t>
        </is>
      </c>
      <c r="E499" t="inlineStr">
        <is>
          <t>ÖSTERSUND</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3255-2025</t>
        </is>
      </c>
      <c r="B500" s="1" t="n">
        <v>45679.55256944444</v>
      </c>
      <c r="C500" s="1" t="n">
        <v>45889</v>
      </c>
      <c r="D500" t="inlineStr">
        <is>
          <t>JÄMTLANDS LÄN</t>
        </is>
      </c>
      <c r="E500" t="inlineStr">
        <is>
          <t>ÖSTERSUND</t>
        </is>
      </c>
      <c r="F500" t="inlineStr">
        <is>
          <t>SCA</t>
        </is>
      </c>
      <c r="G500" t="n">
        <v>16.7</v>
      </c>
      <c r="H500" t="n">
        <v>0</v>
      </c>
      <c r="I500" t="n">
        <v>0</v>
      </c>
      <c r="J500" t="n">
        <v>0</v>
      </c>
      <c r="K500" t="n">
        <v>0</v>
      </c>
      <c r="L500" t="n">
        <v>0</v>
      </c>
      <c r="M500" t="n">
        <v>0</v>
      </c>
      <c r="N500" t="n">
        <v>0</v>
      </c>
      <c r="O500" t="n">
        <v>0</v>
      </c>
      <c r="P500" t="n">
        <v>0</v>
      </c>
      <c r="Q500" t="n">
        <v>0</v>
      </c>
      <c r="R500" s="2" t="inlineStr"/>
    </row>
    <row r="501" ht="15" customHeight="1">
      <c r="A501" t="inlineStr">
        <is>
          <t>A 2615-2024</t>
        </is>
      </c>
      <c r="B501" s="1" t="n">
        <v>45313</v>
      </c>
      <c r="C501" s="1" t="n">
        <v>45889</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1159-2024</t>
        </is>
      </c>
      <c r="B502" s="1" t="n">
        <v>45302.52006944444</v>
      </c>
      <c r="C502" s="1" t="n">
        <v>45889</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35556-2022</t>
        </is>
      </c>
      <c r="B503" s="1" t="n">
        <v>44799</v>
      </c>
      <c r="C503" s="1" t="n">
        <v>45889</v>
      </c>
      <c r="D503" t="inlineStr">
        <is>
          <t>JÄMTLANDS LÄN</t>
        </is>
      </c>
      <c r="E503" t="inlineStr">
        <is>
          <t>ÖSTERSUND</t>
        </is>
      </c>
      <c r="G503" t="n">
        <v>3.6</v>
      </c>
      <c r="H503" t="n">
        <v>0</v>
      </c>
      <c r="I503" t="n">
        <v>0</v>
      </c>
      <c r="J503" t="n">
        <v>0</v>
      </c>
      <c r="K503" t="n">
        <v>0</v>
      </c>
      <c r="L503" t="n">
        <v>0</v>
      </c>
      <c r="M503" t="n">
        <v>0</v>
      </c>
      <c r="N503" t="n">
        <v>0</v>
      </c>
      <c r="O503" t="n">
        <v>0</v>
      </c>
      <c r="P503" t="n">
        <v>0</v>
      </c>
      <c r="Q503" t="n">
        <v>0</v>
      </c>
      <c r="R503" s="2" t="inlineStr"/>
    </row>
    <row r="504" ht="15" customHeight="1">
      <c r="A504" t="inlineStr">
        <is>
          <t>A 55235-2023</t>
        </is>
      </c>
      <c r="B504" s="1" t="n">
        <v>45231</v>
      </c>
      <c r="C504" s="1" t="n">
        <v>45889</v>
      </c>
      <c r="D504" t="inlineStr">
        <is>
          <t>JÄMTLANDS LÄN</t>
        </is>
      </c>
      <c r="E504" t="inlineStr">
        <is>
          <t>ÖSTERSUND</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60794-2023</t>
        </is>
      </c>
      <c r="B505" s="1" t="n">
        <v>45260</v>
      </c>
      <c r="C505" s="1" t="n">
        <v>45889</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24786-2024</t>
        </is>
      </c>
      <c r="B506" s="1" t="n">
        <v>45460.81277777778</v>
      </c>
      <c r="C506" s="1" t="n">
        <v>45889</v>
      </c>
      <c r="D506" t="inlineStr">
        <is>
          <t>JÄMTLANDS LÄN</t>
        </is>
      </c>
      <c r="E506" t="inlineStr">
        <is>
          <t>ÖSTERSUND</t>
        </is>
      </c>
      <c r="G506" t="n">
        <v>0.1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45889</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13024-2022</t>
        </is>
      </c>
      <c r="B508" s="1" t="n">
        <v>44643</v>
      </c>
      <c r="C508" s="1" t="n">
        <v>45889</v>
      </c>
      <c r="D508" t="inlineStr">
        <is>
          <t>JÄMTLANDS LÄN</t>
        </is>
      </c>
      <c r="E508" t="inlineStr">
        <is>
          <t>ÖSTERSUND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7956-2025</t>
        </is>
      </c>
      <c r="B509" s="1" t="n">
        <v>45707.42825231481</v>
      </c>
      <c r="C509" s="1" t="n">
        <v>45889</v>
      </c>
      <c r="D509" t="inlineStr">
        <is>
          <t>JÄMTLANDS LÄN</t>
        </is>
      </c>
      <c r="E509" t="inlineStr">
        <is>
          <t>ÖSTERSUND</t>
        </is>
      </c>
      <c r="F509" t="inlineStr">
        <is>
          <t>Övriga Aktiebolag</t>
        </is>
      </c>
      <c r="G509" t="n">
        <v>111.2</v>
      </c>
      <c r="H509" t="n">
        <v>0</v>
      </c>
      <c r="I509" t="n">
        <v>0</v>
      </c>
      <c r="J509" t="n">
        <v>0</v>
      </c>
      <c r="K509" t="n">
        <v>0</v>
      </c>
      <c r="L509" t="n">
        <v>0</v>
      </c>
      <c r="M509" t="n">
        <v>0</v>
      </c>
      <c r="N509" t="n">
        <v>0</v>
      </c>
      <c r="O509" t="n">
        <v>0</v>
      </c>
      <c r="P509" t="n">
        <v>0</v>
      </c>
      <c r="Q509" t="n">
        <v>0</v>
      </c>
      <c r="R509" s="2" t="inlineStr"/>
    </row>
    <row r="510" ht="15" customHeight="1">
      <c r="A510" t="inlineStr">
        <is>
          <t>A 28025-2025</t>
        </is>
      </c>
      <c r="B510" s="1" t="n">
        <v>45817</v>
      </c>
      <c r="C510" s="1" t="n">
        <v>45889</v>
      </c>
      <c r="D510" t="inlineStr">
        <is>
          <t>JÄMTLANDS LÄN</t>
        </is>
      </c>
      <c r="E510" t="inlineStr">
        <is>
          <t>ÖSTERSUND</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29128-2022</t>
        </is>
      </c>
      <c r="B511" s="1" t="n">
        <v>44750</v>
      </c>
      <c r="C511" s="1" t="n">
        <v>45889</v>
      </c>
      <c r="D511" t="inlineStr">
        <is>
          <t>JÄMTLANDS LÄN</t>
        </is>
      </c>
      <c r="E511" t="inlineStr">
        <is>
          <t>ÖSTERSUND</t>
        </is>
      </c>
      <c r="G511" t="n">
        <v>3</v>
      </c>
      <c r="H511" t="n">
        <v>0</v>
      </c>
      <c r="I511" t="n">
        <v>0</v>
      </c>
      <c r="J511" t="n">
        <v>0</v>
      </c>
      <c r="K511" t="n">
        <v>0</v>
      </c>
      <c r="L511" t="n">
        <v>0</v>
      </c>
      <c r="M511" t="n">
        <v>0</v>
      </c>
      <c r="N511" t="n">
        <v>0</v>
      </c>
      <c r="O511" t="n">
        <v>0</v>
      </c>
      <c r="P511" t="n">
        <v>0</v>
      </c>
      <c r="Q511" t="n">
        <v>0</v>
      </c>
      <c r="R511" s="2" t="inlineStr"/>
    </row>
    <row r="512" ht="15" customHeight="1">
      <c r="A512" t="inlineStr">
        <is>
          <t>A 24312-2021</t>
        </is>
      </c>
      <c r="B512" s="1" t="n">
        <v>44336</v>
      </c>
      <c r="C512" s="1" t="n">
        <v>45889</v>
      </c>
      <c r="D512" t="inlineStr">
        <is>
          <t>JÄMTLANDS LÄN</t>
        </is>
      </c>
      <c r="E512" t="inlineStr">
        <is>
          <t>ÖSTERSUND</t>
        </is>
      </c>
      <c r="G512" t="n">
        <v>10.6</v>
      </c>
      <c r="H512" t="n">
        <v>0</v>
      </c>
      <c r="I512" t="n">
        <v>0</v>
      </c>
      <c r="J512" t="n">
        <v>0</v>
      </c>
      <c r="K512" t="n">
        <v>0</v>
      </c>
      <c r="L512" t="n">
        <v>0</v>
      </c>
      <c r="M512" t="n">
        <v>0</v>
      </c>
      <c r="N512" t="n">
        <v>0</v>
      </c>
      <c r="O512" t="n">
        <v>0</v>
      </c>
      <c r="P512" t="n">
        <v>0</v>
      </c>
      <c r="Q512" t="n">
        <v>0</v>
      </c>
      <c r="R512" s="2" t="inlineStr"/>
    </row>
    <row r="513" ht="15" customHeight="1">
      <c r="A513" t="inlineStr">
        <is>
          <t>A 28185-2025</t>
        </is>
      </c>
      <c r="B513" s="1" t="n">
        <v>45818.40337962963</v>
      </c>
      <c r="C513" s="1" t="n">
        <v>45889</v>
      </c>
      <c r="D513" t="inlineStr">
        <is>
          <t>JÄMTLANDS LÄN</t>
        </is>
      </c>
      <c r="E513" t="inlineStr">
        <is>
          <t>ÖSTERSUND</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7030-2025</t>
        </is>
      </c>
      <c r="B514" s="1" t="n">
        <v>45701.633125</v>
      </c>
      <c r="C514" s="1" t="n">
        <v>45889</v>
      </c>
      <c r="D514" t="inlineStr">
        <is>
          <t>JÄMTLANDS LÄN</t>
        </is>
      </c>
      <c r="E514" t="inlineStr">
        <is>
          <t>ÖSTERSUND</t>
        </is>
      </c>
      <c r="G514" t="n">
        <v>4.2</v>
      </c>
      <c r="H514" t="n">
        <v>0</v>
      </c>
      <c r="I514" t="n">
        <v>0</v>
      </c>
      <c r="J514" t="n">
        <v>0</v>
      </c>
      <c r="K514" t="n">
        <v>0</v>
      </c>
      <c r="L514" t="n">
        <v>0</v>
      </c>
      <c r="M514" t="n">
        <v>0</v>
      </c>
      <c r="N514" t="n">
        <v>0</v>
      </c>
      <c r="O514" t="n">
        <v>0</v>
      </c>
      <c r="P514" t="n">
        <v>0</v>
      </c>
      <c r="Q514" t="n">
        <v>0</v>
      </c>
      <c r="R514" s="2" t="inlineStr"/>
    </row>
    <row r="515" ht="15" customHeight="1">
      <c r="A515" t="inlineStr">
        <is>
          <t>A 63099-2023</t>
        </is>
      </c>
      <c r="B515" s="1" t="n">
        <v>45273</v>
      </c>
      <c r="C515" s="1" t="n">
        <v>45889</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15659-2021</t>
        </is>
      </c>
      <c r="B516" s="1" t="n">
        <v>44298</v>
      </c>
      <c r="C516" s="1" t="n">
        <v>45889</v>
      </c>
      <c r="D516" t="inlineStr">
        <is>
          <t>JÄMTLANDS LÄN</t>
        </is>
      </c>
      <c r="E516" t="inlineStr">
        <is>
          <t>ÖSTERSUND</t>
        </is>
      </c>
      <c r="G516" t="n">
        <v>13.3</v>
      </c>
      <c r="H516" t="n">
        <v>0</v>
      </c>
      <c r="I516" t="n">
        <v>0</v>
      </c>
      <c r="J516" t="n">
        <v>0</v>
      </c>
      <c r="K516" t="n">
        <v>0</v>
      </c>
      <c r="L516" t="n">
        <v>0</v>
      </c>
      <c r="M516" t="n">
        <v>0</v>
      </c>
      <c r="N516" t="n">
        <v>0</v>
      </c>
      <c r="O516" t="n">
        <v>0</v>
      </c>
      <c r="P516" t="n">
        <v>0</v>
      </c>
      <c r="Q516" t="n">
        <v>0</v>
      </c>
      <c r="R516" s="2" t="inlineStr"/>
    </row>
    <row r="517" ht="15" customHeight="1">
      <c r="A517" t="inlineStr">
        <is>
          <t>A 28551-2025</t>
        </is>
      </c>
      <c r="B517" s="1" t="n">
        <v>45818</v>
      </c>
      <c r="C517" s="1" t="n">
        <v>45889</v>
      </c>
      <c r="D517" t="inlineStr">
        <is>
          <t>JÄMTLANDS LÄN</t>
        </is>
      </c>
      <c r="E517" t="inlineStr">
        <is>
          <t>ÖSTERSUND</t>
        </is>
      </c>
      <c r="G517" t="n">
        <v>5.2</v>
      </c>
      <c r="H517" t="n">
        <v>0</v>
      </c>
      <c r="I517" t="n">
        <v>0</v>
      </c>
      <c r="J517" t="n">
        <v>0</v>
      </c>
      <c r="K517" t="n">
        <v>0</v>
      </c>
      <c r="L517" t="n">
        <v>0</v>
      </c>
      <c r="M517" t="n">
        <v>0</v>
      </c>
      <c r="N517" t="n">
        <v>0</v>
      </c>
      <c r="O517" t="n">
        <v>0</v>
      </c>
      <c r="P517" t="n">
        <v>0</v>
      </c>
      <c r="Q517" t="n">
        <v>0</v>
      </c>
      <c r="R517" s="2" t="inlineStr"/>
    </row>
    <row r="518" ht="15" customHeight="1">
      <c r="A518" t="inlineStr">
        <is>
          <t>A 16682-2023</t>
        </is>
      </c>
      <c r="B518" s="1" t="n">
        <v>45028</v>
      </c>
      <c r="C518" s="1" t="n">
        <v>45889</v>
      </c>
      <c r="D518" t="inlineStr">
        <is>
          <t>JÄMTLANDS LÄN</t>
        </is>
      </c>
      <c r="E518" t="inlineStr">
        <is>
          <t>ÖSTERSUND</t>
        </is>
      </c>
      <c r="G518" t="n">
        <v>7.9</v>
      </c>
      <c r="H518" t="n">
        <v>0</v>
      </c>
      <c r="I518" t="n">
        <v>0</v>
      </c>
      <c r="J518" t="n">
        <v>0</v>
      </c>
      <c r="K518" t="n">
        <v>0</v>
      </c>
      <c r="L518" t="n">
        <v>0</v>
      </c>
      <c r="M518" t="n">
        <v>0</v>
      </c>
      <c r="N518" t="n">
        <v>0</v>
      </c>
      <c r="O518" t="n">
        <v>0</v>
      </c>
      <c r="P518" t="n">
        <v>0</v>
      </c>
      <c r="Q518" t="n">
        <v>0</v>
      </c>
      <c r="R518" s="2" t="inlineStr"/>
    </row>
    <row r="519" ht="15" customHeight="1">
      <c r="A519" t="inlineStr">
        <is>
          <t>A 54608-2023</t>
        </is>
      </c>
      <c r="B519" s="1" t="n">
        <v>45233</v>
      </c>
      <c r="C519" s="1" t="n">
        <v>45889</v>
      </c>
      <c r="D519" t="inlineStr">
        <is>
          <t>JÄMTLANDS LÄN</t>
        </is>
      </c>
      <c r="E519" t="inlineStr">
        <is>
          <t>ÖSTERSUND</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5341-2025</t>
        </is>
      </c>
      <c r="B520" s="1" t="n">
        <v>45692.55256944444</v>
      </c>
      <c r="C520" s="1" t="n">
        <v>45889</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28595-2025</t>
        </is>
      </c>
      <c r="B521" s="1" t="n">
        <v>45819.59429398148</v>
      </c>
      <c r="C521" s="1" t="n">
        <v>45889</v>
      </c>
      <c r="D521" t="inlineStr">
        <is>
          <t>JÄMTLANDS LÄN</t>
        </is>
      </c>
      <c r="E521" t="inlineStr">
        <is>
          <t>ÖSTERSUND</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14263-2025</t>
        </is>
      </c>
      <c r="B522" s="1" t="n">
        <v>45740.63354166667</v>
      </c>
      <c r="C522" s="1" t="n">
        <v>45889</v>
      </c>
      <c r="D522" t="inlineStr">
        <is>
          <t>JÄMTLANDS LÄN</t>
        </is>
      </c>
      <c r="E522" t="inlineStr">
        <is>
          <t>ÖSTERSUND</t>
        </is>
      </c>
      <c r="F522" t="inlineStr">
        <is>
          <t>Övriga Aktiebolag</t>
        </is>
      </c>
      <c r="G522" t="n">
        <v>4.3</v>
      </c>
      <c r="H522" t="n">
        <v>0</v>
      </c>
      <c r="I522" t="n">
        <v>0</v>
      </c>
      <c r="J522" t="n">
        <v>0</v>
      </c>
      <c r="K522" t="n">
        <v>0</v>
      </c>
      <c r="L522" t="n">
        <v>0</v>
      </c>
      <c r="M522" t="n">
        <v>0</v>
      </c>
      <c r="N522" t="n">
        <v>0</v>
      </c>
      <c r="O522" t="n">
        <v>0</v>
      </c>
      <c r="P522" t="n">
        <v>0</v>
      </c>
      <c r="Q522" t="n">
        <v>0</v>
      </c>
      <c r="R522" s="2" t="inlineStr"/>
    </row>
    <row r="523" ht="15" customHeight="1">
      <c r="A523" t="inlineStr">
        <is>
          <t>A 70256-2021</t>
        </is>
      </c>
      <c r="B523" s="1" t="n">
        <v>44533</v>
      </c>
      <c r="C523" s="1" t="n">
        <v>45889</v>
      </c>
      <c r="D523" t="inlineStr">
        <is>
          <t>JÄMTLANDS LÄN</t>
        </is>
      </c>
      <c r="E523" t="inlineStr">
        <is>
          <t>ÖSTERSUND</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8972-2022</t>
        </is>
      </c>
      <c r="B524" s="1" t="n">
        <v>44614.91989583334</v>
      </c>
      <c r="C524" s="1" t="n">
        <v>45889</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34923-2025</t>
        </is>
      </c>
      <c r="B525" s="1" t="n">
        <v>45849.55601851852</v>
      </c>
      <c r="C525" s="1" t="n">
        <v>45889</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47627-2024</t>
        </is>
      </c>
      <c r="B526" s="1" t="n">
        <v>45588.3440625</v>
      </c>
      <c r="C526" s="1" t="n">
        <v>45889</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47628-2024</t>
        </is>
      </c>
      <c r="B527" s="1" t="n">
        <v>45588.34418981482</v>
      </c>
      <c r="C527" s="1" t="n">
        <v>45889</v>
      </c>
      <c r="D527" t="inlineStr">
        <is>
          <t>JÄMTLANDS LÄN</t>
        </is>
      </c>
      <c r="E527" t="inlineStr">
        <is>
          <t>ÖSTERSUND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1255-2025</t>
        </is>
      </c>
      <c r="B528" s="1" t="n">
        <v>45667.46922453704</v>
      </c>
      <c r="C528" s="1" t="n">
        <v>45889</v>
      </c>
      <c r="D528" t="inlineStr">
        <is>
          <t>JÄMTLANDS LÄN</t>
        </is>
      </c>
      <c r="E528" t="inlineStr">
        <is>
          <t>ÖSTERSUND</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45004-2022</t>
        </is>
      </c>
      <c r="B529" s="1" t="n">
        <v>44840</v>
      </c>
      <c r="C529" s="1" t="n">
        <v>45889</v>
      </c>
      <c r="D529" t="inlineStr">
        <is>
          <t>JÄMTLANDS LÄN</t>
        </is>
      </c>
      <c r="E529" t="inlineStr">
        <is>
          <t>ÖSTERSUND</t>
        </is>
      </c>
      <c r="G529" t="n">
        <v>2.5</v>
      </c>
      <c r="H529" t="n">
        <v>0</v>
      </c>
      <c r="I529" t="n">
        <v>0</v>
      </c>
      <c r="J529" t="n">
        <v>0</v>
      </c>
      <c r="K529" t="n">
        <v>0</v>
      </c>
      <c r="L529" t="n">
        <v>0</v>
      </c>
      <c r="M529" t="n">
        <v>0</v>
      </c>
      <c r="N529" t="n">
        <v>0</v>
      </c>
      <c r="O529" t="n">
        <v>0</v>
      </c>
      <c r="P529" t="n">
        <v>0</v>
      </c>
      <c r="Q529" t="n">
        <v>0</v>
      </c>
      <c r="R529" s="2" t="inlineStr"/>
    </row>
    <row r="530" ht="15" customHeight="1">
      <c r="A530" t="inlineStr">
        <is>
          <t>A 5549-2025</t>
        </is>
      </c>
      <c r="B530" s="1" t="n">
        <v>45693</v>
      </c>
      <c r="C530" s="1" t="n">
        <v>45889</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53378-2023</t>
        </is>
      </c>
      <c r="B531" s="1" t="n">
        <v>45223</v>
      </c>
      <c r="C531" s="1" t="n">
        <v>45889</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36098-2025</t>
        </is>
      </c>
      <c r="B532" s="1" t="n">
        <v>45866.50549768518</v>
      </c>
      <c r="C532" s="1" t="n">
        <v>45889</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2747-2025</t>
        </is>
      </c>
      <c r="B533" s="1" t="n">
        <v>45677.4649537037</v>
      </c>
      <c r="C533" s="1" t="n">
        <v>45889</v>
      </c>
      <c r="D533" t="inlineStr">
        <is>
          <t>JÄMTLANDS LÄN</t>
        </is>
      </c>
      <c r="E533" t="inlineStr">
        <is>
          <t>ÖSTERSUND</t>
        </is>
      </c>
      <c r="F533" t="inlineStr">
        <is>
          <t>Sveaskog</t>
        </is>
      </c>
      <c r="G533" t="n">
        <v>6.4</v>
      </c>
      <c r="H533" t="n">
        <v>0</v>
      </c>
      <c r="I533" t="n">
        <v>0</v>
      </c>
      <c r="J533" t="n">
        <v>0</v>
      </c>
      <c r="K533" t="n">
        <v>0</v>
      </c>
      <c r="L533" t="n">
        <v>0</v>
      </c>
      <c r="M533" t="n">
        <v>0</v>
      </c>
      <c r="N533" t="n">
        <v>0</v>
      </c>
      <c r="O533" t="n">
        <v>0</v>
      </c>
      <c r="P533" t="n">
        <v>0</v>
      </c>
      <c r="Q533" t="n">
        <v>0</v>
      </c>
      <c r="R533" s="2" t="inlineStr"/>
    </row>
    <row r="534" ht="15" customHeight="1">
      <c r="A534" t="inlineStr">
        <is>
          <t>A 33801-2022</t>
        </is>
      </c>
      <c r="B534" s="1" t="n">
        <v>44790</v>
      </c>
      <c r="C534" s="1" t="n">
        <v>45889</v>
      </c>
      <c r="D534" t="inlineStr">
        <is>
          <t>JÄMTLANDS LÄN</t>
        </is>
      </c>
      <c r="E534" t="inlineStr">
        <is>
          <t>ÖSTERSUND</t>
        </is>
      </c>
      <c r="G534" t="n">
        <v>7.6</v>
      </c>
      <c r="H534" t="n">
        <v>0</v>
      </c>
      <c r="I534" t="n">
        <v>0</v>
      </c>
      <c r="J534" t="n">
        <v>0</v>
      </c>
      <c r="K534" t="n">
        <v>0</v>
      </c>
      <c r="L534" t="n">
        <v>0</v>
      </c>
      <c r="M534" t="n">
        <v>0</v>
      </c>
      <c r="N534" t="n">
        <v>0</v>
      </c>
      <c r="O534" t="n">
        <v>0</v>
      </c>
      <c r="P534" t="n">
        <v>0</v>
      </c>
      <c r="Q534" t="n">
        <v>0</v>
      </c>
      <c r="R534" s="2" t="inlineStr"/>
    </row>
    <row r="535" ht="15" customHeight="1">
      <c r="A535" t="inlineStr">
        <is>
          <t>A 33831-2021</t>
        </is>
      </c>
      <c r="B535" s="1" t="n">
        <v>44378</v>
      </c>
      <c r="C535" s="1" t="n">
        <v>45889</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24781-2024</t>
        </is>
      </c>
      <c r="B536" s="1" t="n">
        <v>45460.7772800926</v>
      </c>
      <c r="C536" s="1" t="n">
        <v>45889</v>
      </c>
      <c r="D536" t="inlineStr">
        <is>
          <t>JÄMTLANDS LÄN</t>
        </is>
      </c>
      <c r="E536" t="inlineStr">
        <is>
          <t>ÖSTERSUND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36099-2025</t>
        </is>
      </c>
      <c r="B537" s="1" t="n">
        <v>45866.51630787037</v>
      </c>
      <c r="C537" s="1" t="n">
        <v>45889</v>
      </c>
      <c r="D537" t="inlineStr">
        <is>
          <t>JÄMTLANDS LÄN</t>
        </is>
      </c>
      <c r="E537" t="inlineStr">
        <is>
          <t>ÖSTERSUND</t>
        </is>
      </c>
      <c r="G537" t="n">
        <v>1.9</v>
      </c>
      <c r="H537" t="n">
        <v>0</v>
      </c>
      <c r="I537" t="n">
        <v>0</v>
      </c>
      <c r="J537" t="n">
        <v>0</v>
      </c>
      <c r="K537" t="n">
        <v>0</v>
      </c>
      <c r="L537" t="n">
        <v>0</v>
      </c>
      <c r="M537" t="n">
        <v>0</v>
      </c>
      <c r="N537" t="n">
        <v>0</v>
      </c>
      <c r="O537" t="n">
        <v>0</v>
      </c>
      <c r="P537" t="n">
        <v>0</v>
      </c>
      <c r="Q537" t="n">
        <v>0</v>
      </c>
      <c r="R537" s="2" t="inlineStr"/>
    </row>
    <row r="538" ht="15" customHeight="1">
      <c r="A538" t="inlineStr">
        <is>
          <t>A 10756-2025</t>
        </is>
      </c>
      <c r="B538" s="1" t="n">
        <v>45722.44892361111</v>
      </c>
      <c r="C538" s="1" t="n">
        <v>45889</v>
      </c>
      <c r="D538" t="inlineStr">
        <is>
          <t>JÄMTLANDS LÄN</t>
        </is>
      </c>
      <c r="E538" t="inlineStr">
        <is>
          <t>ÖSTERSUND</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36211-2025</t>
        </is>
      </c>
      <c r="B539" s="1" t="n">
        <v>45867.46946759259</v>
      </c>
      <c r="C539" s="1" t="n">
        <v>45889</v>
      </c>
      <c r="D539" t="inlineStr">
        <is>
          <t>JÄMTLANDS LÄN</t>
        </is>
      </c>
      <c r="E539" t="inlineStr">
        <is>
          <t>ÖSTERSUND</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9971-2025</t>
        </is>
      </c>
      <c r="B540" s="1" t="n">
        <v>45719.38630787037</v>
      </c>
      <c r="C540" s="1" t="n">
        <v>45889</v>
      </c>
      <c r="D540" t="inlineStr">
        <is>
          <t>JÄMTLANDS LÄN</t>
        </is>
      </c>
      <c r="E540" t="inlineStr">
        <is>
          <t>ÖSTERSUND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46748-2023</t>
        </is>
      </c>
      <c r="B541" s="1" t="n">
        <v>45198</v>
      </c>
      <c r="C541" s="1" t="n">
        <v>45889</v>
      </c>
      <c r="D541" t="inlineStr">
        <is>
          <t>JÄMTLANDS LÄN</t>
        </is>
      </c>
      <c r="E541" t="inlineStr">
        <is>
          <t>ÖSTERSUND</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46763-2023</t>
        </is>
      </c>
      <c r="B542" s="1" t="n">
        <v>45198</v>
      </c>
      <c r="C542" s="1" t="n">
        <v>45889</v>
      </c>
      <c r="D542" t="inlineStr">
        <is>
          <t>JÄMTLANDS LÄN</t>
        </is>
      </c>
      <c r="E542" t="inlineStr">
        <is>
          <t>ÖSTERSUND</t>
        </is>
      </c>
      <c r="F542" t="inlineStr">
        <is>
          <t>Sveaskog</t>
        </is>
      </c>
      <c r="G542" t="n">
        <v>13.3</v>
      </c>
      <c r="H542" t="n">
        <v>0</v>
      </c>
      <c r="I542" t="n">
        <v>0</v>
      </c>
      <c r="J542" t="n">
        <v>0</v>
      </c>
      <c r="K542" t="n">
        <v>0</v>
      </c>
      <c r="L542" t="n">
        <v>0</v>
      </c>
      <c r="M542" t="n">
        <v>0</v>
      </c>
      <c r="N542" t="n">
        <v>0</v>
      </c>
      <c r="O542" t="n">
        <v>0</v>
      </c>
      <c r="P542" t="n">
        <v>0</v>
      </c>
      <c r="Q542" t="n">
        <v>0</v>
      </c>
      <c r="R542" s="2" t="inlineStr"/>
    </row>
    <row r="543" ht="15" customHeight="1">
      <c r="A543" t="inlineStr">
        <is>
          <t>A 27689-2024</t>
        </is>
      </c>
      <c r="B543" s="1" t="n">
        <v>45475.3378125</v>
      </c>
      <c r="C543" s="1" t="n">
        <v>45889</v>
      </c>
      <c r="D543" t="inlineStr">
        <is>
          <t>JÄMTLANDS LÄN</t>
        </is>
      </c>
      <c r="E543" t="inlineStr">
        <is>
          <t>ÖSTERSUND</t>
        </is>
      </c>
      <c r="G543" t="n">
        <v>0.6</v>
      </c>
      <c r="H543" t="n">
        <v>0</v>
      </c>
      <c r="I543" t="n">
        <v>0</v>
      </c>
      <c r="J543" t="n">
        <v>0</v>
      </c>
      <c r="K543" t="n">
        <v>0</v>
      </c>
      <c r="L543" t="n">
        <v>0</v>
      </c>
      <c r="M543" t="n">
        <v>0</v>
      </c>
      <c r="N543" t="n">
        <v>0</v>
      </c>
      <c r="O543" t="n">
        <v>0</v>
      </c>
      <c r="P543" t="n">
        <v>0</v>
      </c>
      <c r="Q543" t="n">
        <v>0</v>
      </c>
      <c r="R543" s="2" t="inlineStr"/>
    </row>
    <row r="544" ht="15" customHeight="1">
      <c r="A544" t="inlineStr">
        <is>
          <t>A 30320-2025</t>
        </is>
      </c>
      <c r="B544" s="1" t="n">
        <v>45827.49415509259</v>
      </c>
      <c r="C544" s="1" t="n">
        <v>45889</v>
      </c>
      <c r="D544" t="inlineStr">
        <is>
          <t>JÄMTLANDS LÄN</t>
        </is>
      </c>
      <c r="E544" t="inlineStr">
        <is>
          <t>ÖSTERSUND</t>
        </is>
      </c>
      <c r="G544" t="n">
        <v>4.6</v>
      </c>
      <c r="H544" t="n">
        <v>0</v>
      </c>
      <c r="I544" t="n">
        <v>0</v>
      </c>
      <c r="J544" t="n">
        <v>0</v>
      </c>
      <c r="K544" t="n">
        <v>0</v>
      </c>
      <c r="L544" t="n">
        <v>0</v>
      </c>
      <c r="M544" t="n">
        <v>0</v>
      </c>
      <c r="N544" t="n">
        <v>0</v>
      </c>
      <c r="O544" t="n">
        <v>0</v>
      </c>
      <c r="P544" t="n">
        <v>0</v>
      </c>
      <c r="Q544" t="n">
        <v>0</v>
      </c>
      <c r="R544" s="2" t="inlineStr"/>
    </row>
    <row r="545" ht="15" customHeight="1">
      <c r="A545" t="inlineStr">
        <is>
          <t>A 4966-2025</t>
        </is>
      </c>
      <c r="B545" s="1" t="n">
        <v>45690.63628472222</v>
      </c>
      <c r="C545" s="1" t="n">
        <v>45889</v>
      </c>
      <c r="D545" t="inlineStr">
        <is>
          <t>JÄMTLANDS LÄN</t>
        </is>
      </c>
      <c r="E545" t="inlineStr">
        <is>
          <t>ÖSTERSUND</t>
        </is>
      </c>
      <c r="G545" t="n">
        <v>3.4</v>
      </c>
      <c r="H545" t="n">
        <v>0</v>
      </c>
      <c r="I545" t="n">
        <v>0</v>
      </c>
      <c r="J545" t="n">
        <v>0</v>
      </c>
      <c r="K545" t="n">
        <v>0</v>
      </c>
      <c r="L545" t="n">
        <v>0</v>
      </c>
      <c r="M545" t="n">
        <v>0</v>
      </c>
      <c r="N545" t="n">
        <v>0</v>
      </c>
      <c r="O545" t="n">
        <v>0</v>
      </c>
      <c r="P545" t="n">
        <v>0</v>
      </c>
      <c r="Q545" t="n">
        <v>0</v>
      </c>
      <c r="R545" s="2" t="inlineStr"/>
    </row>
    <row r="546" ht="15" customHeight="1">
      <c r="A546" t="inlineStr">
        <is>
          <t>A 57398-2023</t>
        </is>
      </c>
      <c r="B546" s="1" t="n">
        <v>45245</v>
      </c>
      <c r="C546" s="1" t="n">
        <v>45889</v>
      </c>
      <c r="D546" t="inlineStr">
        <is>
          <t>JÄMTLANDS LÄN</t>
        </is>
      </c>
      <c r="E546" t="inlineStr">
        <is>
          <t>ÖSTERSUND</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30210-2025</t>
        </is>
      </c>
      <c r="B547" s="1" t="n">
        <v>45827.36590277778</v>
      </c>
      <c r="C547" s="1" t="n">
        <v>45889</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5024-2025</t>
        </is>
      </c>
      <c r="B548" s="1" t="n">
        <v>45691.40832175926</v>
      </c>
      <c r="C548" s="1" t="n">
        <v>45889</v>
      </c>
      <c r="D548" t="inlineStr">
        <is>
          <t>JÄMTLANDS LÄN</t>
        </is>
      </c>
      <c r="E548" t="inlineStr">
        <is>
          <t>ÖSTERSUND</t>
        </is>
      </c>
      <c r="G548" t="n">
        <v>0.9</v>
      </c>
      <c r="H548" t="n">
        <v>0</v>
      </c>
      <c r="I548" t="n">
        <v>0</v>
      </c>
      <c r="J548" t="n">
        <v>0</v>
      </c>
      <c r="K548" t="n">
        <v>0</v>
      </c>
      <c r="L548" t="n">
        <v>0</v>
      </c>
      <c r="M548" t="n">
        <v>0</v>
      </c>
      <c r="N548" t="n">
        <v>0</v>
      </c>
      <c r="O548" t="n">
        <v>0</v>
      </c>
      <c r="P548" t="n">
        <v>0</v>
      </c>
      <c r="Q548" t="n">
        <v>0</v>
      </c>
      <c r="R548" s="2" t="inlineStr"/>
    </row>
    <row r="549" ht="15" customHeight="1">
      <c r="A549" t="inlineStr">
        <is>
          <t>A 5025-2025</t>
        </is>
      </c>
      <c r="B549" s="1" t="n">
        <v>45691.40836805556</v>
      </c>
      <c r="C549" s="1" t="n">
        <v>45889</v>
      </c>
      <c r="D549" t="inlineStr">
        <is>
          <t>JÄMTLANDS LÄN</t>
        </is>
      </c>
      <c r="E549" t="inlineStr">
        <is>
          <t>ÖSTERSUND</t>
        </is>
      </c>
      <c r="G549" t="n">
        <v>0.1</v>
      </c>
      <c r="H549" t="n">
        <v>0</v>
      </c>
      <c r="I549" t="n">
        <v>0</v>
      </c>
      <c r="J549" t="n">
        <v>0</v>
      </c>
      <c r="K549" t="n">
        <v>0</v>
      </c>
      <c r="L549" t="n">
        <v>0</v>
      </c>
      <c r="M549" t="n">
        <v>0</v>
      </c>
      <c r="N549" t="n">
        <v>0</v>
      </c>
      <c r="O549" t="n">
        <v>0</v>
      </c>
      <c r="P549" t="n">
        <v>0</v>
      </c>
      <c r="Q549" t="n">
        <v>0</v>
      </c>
      <c r="R549" s="2" t="inlineStr"/>
    </row>
    <row r="550" ht="15" customHeight="1">
      <c r="A550" t="inlineStr">
        <is>
          <t>A 6877-2024</t>
        </is>
      </c>
      <c r="B550" s="1" t="n">
        <v>45342</v>
      </c>
      <c r="C550" s="1" t="n">
        <v>45889</v>
      </c>
      <c r="D550" t="inlineStr">
        <is>
          <t>JÄMTLANDS LÄN</t>
        </is>
      </c>
      <c r="E550" t="inlineStr">
        <is>
          <t>ÖSTERSUND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7327-2023</t>
        </is>
      </c>
      <c r="B551" s="1" t="n">
        <v>44970.97871527778</v>
      </c>
      <c r="C551" s="1" t="n">
        <v>45889</v>
      </c>
      <c r="D551" t="inlineStr">
        <is>
          <t>JÄMTLANDS LÄN</t>
        </is>
      </c>
      <c r="E551" t="inlineStr">
        <is>
          <t>ÖSTERSUND</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7022-2025</t>
        </is>
      </c>
      <c r="B552" s="1" t="n">
        <v>45701.61899305556</v>
      </c>
      <c r="C552" s="1" t="n">
        <v>45889</v>
      </c>
      <c r="D552" t="inlineStr">
        <is>
          <t>JÄMTLANDS LÄN</t>
        </is>
      </c>
      <c r="E552" t="inlineStr">
        <is>
          <t>ÖSTERSUND</t>
        </is>
      </c>
      <c r="G552" t="n">
        <v>4.8</v>
      </c>
      <c r="H552" t="n">
        <v>0</v>
      </c>
      <c r="I552" t="n">
        <v>0</v>
      </c>
      <c r="J552" t="n">
        <v>0</v>
      </c>
      <c r="K552" t="n">
        <v>0</v>
      </c>
      <c r="L552" t="n">
        <v>0</v>
      </c>
      <c r="M552" t="n">
        <v>0</v>
      </c>
      <c r="N552" t="n">
        <v>0</v>
      </c>
      <c r="O552" t="n">
        <v>0</v>
      </c>
      <c r="P552" t="n">
        <v>0</v>
      </c>
      <c r="Q552" t="n">
        <v>0</v>
      </c>
      <c r="R552" s="2" t="inlineStr"/>
    </row>
    <row r="553" ht="15" customHeight="1">
      <c r="A553" t="inlineStr">
        <is>
          <t>A 36566-2025</t>
        </is>
      </c>
      <c r="B553" s="1" t="n">
        <v>45869</v>
      </c>
      <c r="C553" s="1" t="n">
        <v>45889</v>
      </c>
      <c r="D553" t="inlineStr">
        <is>
          <t>JÄMTLANDS LÄN</t>
        </is>
      </c>
      <c r="E553" t="inlineStr">
        <is>
          <t>ÖSTERSUND</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4311-2025</t>
        </is>
      </c>
      <c r="B554" s="1" t="n">
        <v>45685.69267361111</v>
      </c>
      <c r="C554" s="1" t="n">
        <v>45889</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8003-2025</t>
        </is>
      </c>
      <c r="B555" s="1" t="n">
        <v>45707</v>
      </c>
      <c r="C555" s="1" t="n">
        <v>45889</v>
      </c>
      <c r="D555" t="inlineStr">
        <is>
          <t>JÄMTLANDS LÄN</t>
        </is>
      </c>
      <c r="E555" t="inlineStr">
        <is>
          <t>ÖSTERSUND</t>
        </is>
      </c>
      <c r="F555" t="inlineStr">
        <is>
          <t>Övriga Aktiebolag</t>
        </is>
      </c>
      <c r="G555" t="n">
        <v>35.1</v>
      </c>
      <c r="H555" t="n">
        <v>0</v>
      </c>
      <c r="I555" t="n">
        <v>0</v>
      </c>
      <c r="J555" t="n">
        <v>0</v>
      </c>
      <c r="K555" t="n">
        <v>0</v>
      </c>
      <c r="L555" t="n">
        <v>0</v>
      </c>
      <c r="M555" t="n">
        <v>0</v>
      </c>
      <c r="N555" t="n">
        <v>0</v>
      </c>
      <c r="O555" t="n">
        <v>0</v>
      </c>
      <c r="P555" t="n">
        <v>0</v>
      </c>
      <c r="Q555" t="n">
        <v>0</v>
      </c>
      <c r="R555" s="2" t="inlineStr"/>
    </row>
    <row r="556" ht="15" customHeight="1">
      <c r="A556" t="inlineStr">
        <is>
          <t>A 4136-2023</t>
        </is>
      </c>
      <c r="B556" s="1" t="n">
        <v>44952</v>
      </c>
      <c r="C556" s="1" t="n">
        <v>45889</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38644-2021</t>
        </is>
      </c>
      <c r="B557" s="1" t="n">
        <v>44410.35376157407</v>
      </c>
      <c r="C557" s="1" t="n">
        <v>45889</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19581-2025</t>
        </is>
      </c>
      <c r="B558" s="1" t="n">
        <v>45770.56363425926</v>
      </c>
      <c r="C558" s="1" t="n">
        <v>45889</v>
      </c>
      <c r="D558" t="inlineStr">
        <is>
          <t>JÄMTLANDS LÄN</t>
        </is>
      </c>
      <c r="E558" t="inlineStr">
        <is>
          <t>ÖSTERSUND</t>
        </is>
      </c>
      <c r="G558" t="n">
        <v>17.2</v>
      </c>
      <c r="H558" t="n">
        <v>0</v>
      </c>
      <c r="I558" t="n">
        <v>0</v>
      </c>
      <c r="J558" t="n">
        <v>0</v>
      </c>
      <c r="K558" t="n">
        <v>0</v>
      </c>
      <c r="L558" t="n">
        <v>0</v>
      </c>
      <c r="M558" t="n">
        <v>0</v>
      </c>
      <c r="N558" t="n">
        <v>0</v>
      </c>
      <c r="O558" t="n">
        <v>0</v>
      </c>
      <c r="P558" t="n">
        <v>0</v>
      </c>
      <c r="Q558" t="n">
        <v>0</v>
      </c>
      <c r="R558" s="2" t="inlineStr"/>
    </row>
    <row r="559" ht="15" customHeight="1">
      <c r="A559" t="inlineStr">
        <is>
          <t>A 4872-2023</t>
        </is>
      </c>
      <c r="B559" s="1" t="n">
        <v>44957</v>
      </c>
      <c r="C559" s="1" t="n">
        <v>45889</v>
      </c>
      <c r="D559" t="inlineStr">
        <is>
          <t>JÄMTLANDS LÄN</t>
        </is>
      </c>
      <c r="E559" t="inlineStr">
        <is>
          <t>ÖSTERSUND</t>
        </is>
      </c>
      <c r="G559" t="n">
        <v>10.7</v>
      </c>
      <c r="H559" t="n">
        <v>0</v>
      </c>
      <c r="I559" t="n">
        <v>0</v>
      </c>
      <c r="J559" t="n">
        <v>0</v>
      </c>
      <c r="K559" t="n">
        <v>0</v>
      </c>
      <c r="L559" t="n">
        <v>0</v>
      </c>
      <c r="M559" t="n">
        <v>0</v>
      </c>
      <c r="N559" t="n">
        <v>0</v>
      </c>
      <c r="O559" t="n">
        <v>0</v>
      </c>
      <c r="P559" t="n">
        <v>0</v>
      </c>
      <c r="Q559" t="n">
        <v>0</v>
      </c>
      <c r="R559" s="2" t="inlineStr"/>
    </row>
    <row r="560" ht="15" customHeight="1">
      <c r="A560" t="inlineStr">
        <is>
          <t>A 62111-2024</t>
        </is>
      </c>
      <c r="B560" s="1" t="n">
        <v>45656.53215277778</v>
      </c>
      <c r="C560" s="1" t="n">
        <v>45889</v>
      </c>
      <c r="D560" t="inlineStr">
        <is>
          <t>JÄMTLANDS LÄN</t>
        </is>
      </c>
      <c r="E560" t="inlineStr">
        <is>
          <t>ÖSTERSUND</t>
        </is>
      </c>
      <c r="G560" t="n">
        <v>3.4</v>
      </c>
      <c r="H560" t="n">
        <v>0</v>
      </c>
      <c r="I560" t="n">
        <v>0</v>
      </c>
      <c r="J560" t="n">
        <v>0</v>
      </c>
      <c r="K560" t="n">
        <v>0</v>
      </c>
      <c r="L560" t="n">
        <v>0</v>
      </c>
      <c r="M560" t="n">
        <v>0</v>
      </c>
      <c r="N560" t="n">
        <v>0</v>
      </c>
      <c r="O560" t="n">
        <v>0</v>
      </c>
      <c r="P560" t="n">
        <v>0</v>
      </c>
      <c r="Q560" t="n">
        <v>0</v>
      </c>
      <c r="R560" s="2" t="inlineStr"/>
    </row>
    <row r="561" ht="15" customHeight="1">
      <c r="A561" t="inlineStr">
        <is>
          <t>A 22082-2022</t>
        </is>
      </c>
      <c r="B561" s="1" t="n">
        <v>44711.9403587963</v>
      </c>
      <c r="C561" s="1" t="n">
        <v>45889</v>
      </c>
      <c r="D561" t="inlineStr">
        <is>
          <t>JÄMTLANDS LÄN</t>
        </is>
      </c>
      <c r="E561" t="inlineStr">
        <is>
          <t>ÖSTERSUND</t>
        </is>
      </c>
      <c r="G561" t="n">
        <v>2.6</v>
      </c>
      <c r="H561" t="n">
        <v>0</v>
      </c>
      <c r="I561" t="n">
        <v>0</v>
      </c>
      <c r="J561" t="n">
        <v>0</v>
      </c>
      <c r="K561" t="n">
        <v>0</v>
      </c>
      <c r="L561" t="n">
        <v>0</v>
      </c>
      <c r="M561" t="n">
        <v>0</v>
      </c>
      <c r="N561" t="n">
        <v>0</v>
      </c>
      <c r="O561" t="n">
        <v>0</v>
      </c>
      <c r="P561" t="n">
        <v>0</v>
      </c>
      <c r="Q561" t="n">
        <v>0</v>
      </c>
      <c r="R561" s="2" t="inlineStr"/>
    </row>
    <row r="562" ht="15" customHeight="1">
      <c r="A562" t="inlineStr">
        <is>
          <t>A 13921-2023</t>
        </is>
      </c>
      <c r="B562" s="1" t="n">
        <v>45008</v>
      </c>
      <c r="C562" s="1" t="n">
        <v>45889</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37085-2025</t>
        </is>
      </c>
      <c r="B563" s="1" t="n">
        <v>45875.44840277778</v>
      </c>
      <c r="C563" s="1" t="n">
        <v>45889</v>
      </c>
      <c r="D563" t="inlineStr">
        <is>
          <t>JÄMTLANDS LÄN</t>
        </is>
      </c>
      <c r="E563" t="inlineStr">
        <is>
          <t>ÖSTERSUND</t>
        </is>
      </c>
      <c r="G563" t="n">
        <v>5.5</v>
      </c>
      <c r="H563" t="n">
        <v>0</v>
      </c>
      <c r="I563" t="n">
        <v>0</v>
      </c>
      <c r="J563" t="n">
        <v>0</v>
      </c>
      <c r="K563" t="n">
        <v>0</v>
      </c>
      <c r="L563" t="n">
        <v>0</v>
      </c>
      <c r="M563" t="n">
        <v>0</v>
      </c>
      <c r="N563" t="n">
        <v>0</v>
      </c>
      <c r="O563" t="n">
        <v>0</v>
      </c>
      <c r="P563" t="n">
        <v>0</v>
      </c>
      <c r="Q563" t="n">
        <v>0</v>
      </c>
      <c r="R563" s="2" t="inlineStr"/>
    </row>
    <row r="564" ht="15" customHeight="1">
      <c r="A564" t="inlineStr">
        <is>
          <t>A 11877-2024</t>
        </is>
      </c>
      <c r="B564" s="1" t="n">
        <v>45376</v>
      </c>
      <c r="C564" s="1" t="n">
        <v>45889</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41802-2021</t>
        </is>
      </c>
      <c r="B565" s="1" t="n">
        <v>44425</v>
      </c>
      <c r="C565" s="1" t="n">
        <v>45889</v>
      </c>
      <c r="D565" t="inlineStr">
        <is>
          <t>JÄMTLANDS LÄN</t>
        </is>
      </c>
      <c r="E565" t="inlineStr">
        <is>
          <t>ÖSTERSUND</t>
        </is>
      </c>
      <c r="G565" t="n">
        <v>1.7</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45889</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12285-2022</t>
        </is>
      </c>
      <c r="B567" s="1" t="n">
        <v>44637</v>
      </c>
      <c r="C567" s="1" t="n">
        <v>45889</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32279-2025</t>
        </is>
      </c>
      <c r="B568" s="1" t="n">
        <v>45835.67109953704</v>
      </c>
      <c r="C568" s="1" t="n">
        <v>45889</v>
      </c>
      <c r="D568" t="inlineStr">
        <is>
          <t>JÄMTLANDS LÄN</t>
        </is>
      </c>
      <c r="E568" t="inlineStr">
        <is>
          <t>ÖSTERSUND</t>
        </is>
      </c>
      <c r="G568" t="n">
        <v>3.5</v>
      </c>
      <c r="H568" t="n">
        <v>0</v>
      </c>
      <c r="I568" t="n">
        <v>0</v>
      </c>
      <c r="J568" t="n">
        <v>0</v>
      </c>
      <c r="K568" t="n">
        <v>0</v>
      </c>
      <c r="L568" t="n">
        <v>0</v>
      </c>
      <c r="M568" t="n">
        <v>0</v>
      </c>
      <c r="N568" t="n">
        <v>0</v>
      </c>
      <c r="O568" t="n">
        <v>0</v>
      </c>
      <c r="P568" t="n">
        <v>0</v>
      </c>
      <c r="Q568" t="n">
        <v>0</v>
      </c>
      <c r="R568" s="2" t="inlineStr"/>
    </row>
    <row r="569" ht="15" customHeight="1">
      <c r="A569" t="inlineStr">
        <is>
          <t>A 32353-2025</t>
        </is>
      </c>
      <c r="B569" s="1" t="n">
        <v>45837.51741898148</v>
      </c>
      <c r="C569" s="1" t="n">
        <v>45889</v>
      </c>
      <c r="D569" t="inlineStr">
        <is>
          <t>JÄMTLANDS LÄN</t>
        </is>
      </c>
      <c r="E569" t="inlineStr">
        <is>
          <t>ÖSTERSUND</t>
        </is>
      </c>
      <c r="F569" t="inlineStr">
        <is>
          <t>Övriga Aktiebolag</t>
        </is>
      </c>
      <c r="G569" t="n">
        <v>4.8</v>
      </c>
      <c r="H569" t="n">
        <v>0</v>
      </c>
      <c r="I569" t="n">
        <v>0</v>
      </c>
      <c r="J569" t="n">
        <v>0</v>
      </c>
      <c r="K569" t="n">
        <v>0</v>
      </c>
      <c r="L569" t="n">
        <v>0</v>
      </c>
      <c r="M569" t="n">
        <v>0</v>
      </c>
      <c r="N569" t="n">
        <v>0</v>
      </c>
      <c r="O569" t="n">
        <v>0</v>
      </c>
      <c r="P569" t="n">
        <v>0</v>
      </c>
      <c r="Q569" t="n">
        <v>0</v>
      </c>
      <c r="R569" s="2" t="inlineStr"/>
    </row>
    <row r="570" ht="15" customHeight="1">
      <c r="A570" t="inlineStr">
        <is>
          <t>A 32358-2025</t>
        </is>
      </c>
      <c r="B570" s="1" t="n">
        <v>45837.57481481481</v>
      </c>
      <c r="C570" s="1" t="n">
        <v>45889</v>
      </c>
      <c r="D570" t="inlineStr">
        <is>
          <t>JÄMTLANDS LÄN</t>
        </is>
      </c>
      <c r="E570" t="inlineStr">
        <is>
          <t>ÖSTERSUND</t>
        </is>
      </c>
      <c r="F570" t="inlineStr">
        <is>
          <t>Övriga Aktiebolag</t>
        </is>
      </c>
      <c r="G570" t="n">
        <v>4.8</v>
      </c>
      <c r="H570" t="n">
        <v>0</v>
      </c>
      <c r="I570" t="n">
        <v>0</v>
      </c>
      <c r="J570" t="n">
        <v>0</v>
      </c>
      <c r="K570" t="n">
        <v>0</v>
      </c>
      <c r="L570" t="n">
        <v>0</v>
      </c>
      <c r="M570" t="n">
        <v>0</v>
      </c>
      <c r="N570" t="n">
        <v>0</v>
      </c>
      <c r="O570" t="n">
        <v>0</v>
      </c>
      <c r="P570" t="n">
        <v>0</v>
      </c>
      <c r="Q570" t="n">
        <v>0</v>
      </c>
      <c r="R570" s="2" t="inlineStr"/>
    </row>
    <row r="571" ht="15" customHeight="1">
      <c r="A571" t="inlineStr">
        <is>
          <t>A 32369-2025</t>
        </is>
      </c>
      <c r="B571" s="1" t="n">
        <v>45837.67381944445</v>
      </c>
      <c r="C571" s="1" t="n">
        <v>45889</v>
      </c>
      <c r="D571" t="inlineStr">
        <is>
          <t>JÄMTLANDS LÄN</t>
        </is>
      </c>
      <c r="E571" t="inlineStr">
        <is>
          <t>ÖSTERSUND</t>
        </is>
      </c>
      <c r="F571" t="inlineStr">
        <is>
          <t>Övriga Aktiebolag</t>
        </is>
      </c>
      <c r="G571" t="n">
        <v>5.7</v>
      </c>
      <c r="H571" t="n">
        <v>0</v>
      </c>
      <c r="I571" t="n">
        <v>0</v>
      </c>
      <c r="J571" t="n">
        <v>0</v>
      </c>
      <c r="K571" t="n">
        <v>0</v>
      </c>
      <c r="L571" t="n">
        <v>0</v>
      </c>
      <c r="M571" t="n">
        <v>0</v>
      </c>
      <c r="N571" t="n">
        <v>0</v>
      </c>
      <c r="O571" t="n">
        <v>0</v>
      </c>
      <c r="P571" t="n">
        <v>0</v>
      </c>
      <c r="Q571" t="n">
        <v>0</v>
      </c>
      <c r="R571" s="2" t="inlineStr"/>
    </row>
    <row r="572" ht="15" customHeight="1">
      <c r="A572" t="inlineStr">
        <is>
          <t>A 7953-2025</t>
        </is>
      </c>
      <c r="B572" s="1" t="n">
        <v>45707.42392361111</v>
      </c>
      <c r="C572" s="1" t="n">
        <v>45889</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56067-2022</t>
        </is>
      </c>
      <c r="B573" s="1" t="n">
        <v>44889.59378472222</v>
      </c>
      <c r="C573" s="1" t="n">
        <v>45889</v>
      </c>
      <c r="D573" t="inlineStr">
        <is>
          <t>JÄMTLANDS LÄN</t>
        </is>
      </c>
      <c r="E573" t="inlineStr">
        <is>
          <t>ÖSTERSUND</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53802-2022</t>
        </is>
      </c>
      <c r="B574" s="1" t="n">
        <v>44875</v>
      </c>
      <c r="C574" s="1" t="n">
        <v>45889</v>
      </c>
      <c r="D574" t="inlineStr">
        <is>
          <t>JÄMTLANDS LÄN</t>
        </is>
      </c>
      <c r="E574" t="inlineStr">
        <is>
          <t>ÖSTERSUND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8423-2023</t>
        </is>
      </c>
      <c r="B575" s="1" t="n">
        <v>44977</v>
      </c>
      <c r="C575" s="1" t="n">
        <v>45889</v>
      </c>
      <c r="D575" t="inlineStr">
        <is>
          <t>JÄMTLANDS LÄN</t>
        </is>
      </c>
      <c r="E575" t="inlineStr">
        <is>
          <t>ÖSTERSUND</t>
        </is>
      </c>
      <c r="F575" t="inlineStr">
        <is>
          <t>Övriga Aktiebolag</t>
        </is>
      </c>
      <c r="G575" t="n">
        <v>53.1</v>
      </c>
      <c r="H575" t="n">
        <v>0</v>
      </c>
      <c r="I575" t="n">
        <v>0</v>
      </c>
      <c r="J575" t="n">
        <v>0</v>
      </c>
      <c r="K575" t="n">
        <v>0</v>
      </c>
      <c r="L575" t="n">
        <v>0</v>
      </c>
      <c r="M575" t="n">
        <v>0</v>
      </c>
      <c r="N575" t="n">
        <v>0</v>
      </c>
      <c r="O575" t="n">
        <v>0</v>
      </c>
      <c r="P575" t="n">
        <v>0</v>
      </c>
      <c r="Q575" t="n">
        <v>0</v>
      </c>
      <c r="R575" s="2" t="inlineStr"/>
    </row>
    <row r="576" ht="15" customHeight="1">
      <c r="A576" t="inlineStr">
        <is>
          <t>A 3749-2023</t>
        </is>
      </c>
      <c r="B576" s="1" t="n">
        <v>44949</v>
      </c>
      <c r="C576" s="1" t="n">
        <v>45889</v>
      </c>
      <c r="D576" t="inlineStr">
        <is>
          <t>JÄMTLANDS LÄN</t>
        </is>
      </c>
      <c r="E576" t="inlineStr">
        <is>
          <t>ÖSTERSUND</t>
        </is>
      </c>
      <c r="G576" t="n">
        <v>0.2</v>
      </c>
      <c r="H576" t="n">
        <v>0</v>
      </c>
      <c r="I576" t="n">
        <v>0</v>
      </c>
      <c r="J576" t="n">
        <v>0</v>
      </c>
      <c r="K576" t="n">
        <v>0</v>
      </c>
      <c r="L576" t="n">
        <v>0</v>
      </c>
      <c r="M576" t="n">
        <v>0</v>
      </c>
      <c r="N576" t="n">
        <v>0</v>
      </c>
      <c r="O576" t="n">
        <v>0</v>
      </c>
      <c r="P576" t="n">
        <v>0</v>
      </c>
      <c r="Q576" t="n">
        <v>0</v>
      </c>
      <c r="R576" s="2" t="inlineStr"/>
    </row>
    <row r="577" ht="15" customHeight="1">
      <c r="A577" t="inlineStr">
        <is>
          <t>A 13738-2025</t>
        </is>
      </c>
      <c r="B577" s="1" t="n">
        <v>45737.40131944444</v>
      </c>
      <c r="C577" s="1" t="n">
        <v>45889</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32368-2025</t>
        </is>
      </c>
      <c r="B578" s="1" t="n">
        <v>45837.66230324074</v>
      </c>
      <c r="C578" s="1" t="n">
        <v>45889</v>
      </c>
      <c r="D578" t="inlineStr">
        <is>
          <t>JÄMTLANDS LÄN</t>
        </is>
      </c>
      <c r="E578" t="inlineStr">
        <is>
          <t>ÖSTERSUND</t>
        </is>
      </c>
      <c r="F578" t="inlineStr">
        <is>
          <t>Övriga Aktiebolag</t>
        </is>
      </c>
      <c r="G578" t="n">
        <v>19.5</v>
      </c>
      <c r="H578" t="n">
        <v>0</v>
      </c>
      <c r="I578" t="n">
        <v>0</v>
      </c>
      <c r="J578" t="n">
        <v>0</v>
      </c>
      <c r="K578" t="n">
        <v>0</v>
      </c>
      <c r="L578" t="n">
        <v>0</v>
      </c>
      <c r="M578" t="n">
        <v>0</v>
      </c>
      <c r="N578" t="n">
        <v>0</v>
      </c>
      <c r="O578" t="n">
        <v>0</v>
      </c>
      <c r="P578" t="n">
        <v>0</v>
      </c>
      <c r="Q578" t="n">
        <v>0</v>
      </c>
      <c r="R578" s="2" t="inlineStr"/>
    </row>
    <row r="579" ht="15" customHeight="1">
      <c r="A579" t="inlineStr">
        <is>
          <t>A 32071-2025</t>
        </is>
      </c>
      <c r="B579" s="1" t="n">
        <v>45835.4491087963</v>
      </c>
      <c r="C579" s="1" t="n">
        <v>45889</v>
      </c>
      <c r="D579" t="inlineStr">
        <is>
          <t>JÄMTLANDS LÄN</t>
        </is>
      </c>
      <c r="E579" t="inlineStr">
        <is>
          <t>ÖSTERSUND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46139-2021</t>
        </is>
      </c>
      <c r="B580" s="1" t="n">
        <v>44441</v>
      </c>
      <c r="C580" s="1" t="n">
        <v>45889</v>
      </c>
      <c r="D580" t="inlineStr">
        <is>
          <t>JÄMTLANDS LÄN</t>
        </is>
      </c>
      <c r="E580" t="inlineStr">
        <is>
          <t>ÖSTERSUND</t>
        </is>
      </c>
      <c r="G580" t="n">
        <v>12.8</v>
      </c>
      <c r="H580" t="n">
        <v>0</v>
      </c>
      <c r="I580" t="n">
        <v>0</v>
      </c>
      <c r="J580" t="n">
        <v>0</v>
      </c>
      <c r="K580" t="n">
        <v>0</v>
      </c>
      <c r="L580" t="n">
        <v>0</v>
      </c>
      <c r="M580" t="n">
        <v>0</v>
      </c>
      <c r="N580" t="n">
        <v>0</v>
      </c>
      <c r="O580" t="n">
        <v>0</v>
      </c>
      <c r="P580" t="n">
        <v>0</v>
      </c>
      <c r="Q580" t="n">
        <v>0</v>
      </c>
      <c r="R580" s="2" t="inlineStr"/>
    </row>
    <row r="581" ht="15" customHeight="1">
      <c r="A581" t="inlineStr">
        <is>
          <t>A 55678-2023</t>
        </is>
      </c>
      <c r="B581" s="1" t="n">
        <v>45239.33032407407</v>
      </c>
      <c r="C581" s="1" t="n">
        <v>45889</v>
      </c>
      <c r="D581" t="inlineStr">
        <is>
          <t>JÄMTLANDS LÄN</t>
        </is>
      </c>
      <c r="E581" t="inlineStr">
        <is>
          <t>ÖSTERSUND</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33358-2025</t>
        </is>
      </c>
      <c r="B582" s="1" t="n">
        <v>45841.38054398148</v>
      </c>
      <c r="C582" s="1" t="n">
        <v>45889</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23563-2022</t>
        </is>
      </c>
      <c r="B583" s="1" t="n">
        <v>44721.47241898148</v>
      </c>
      <c r="C583" s="1" t="n">
        <v>45889</v>
      </c>
      <c r="D583" t="inlineStr">
        <is>
          <t>JÄMTLANDS LÄN</t>
        </is>
      </c>
      <c r="E583" t="inlineStr">
        <is>
          <t>ÖSTERSUND</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53380-2023</t>
        </is>
      </c>
      <c r="B584" s="1" t="n">
        <v>45223</v>
      </c>
      <c r="C584" s="1" t="n">
        <v>45889</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64645-2021</t>
        </is>
      </c>
      <c r="B585" s="1" t="n">
        <v>44511.94629629629</v>
      </c>
      <c r="C585" s="1" t="n">
        <v>45889</v>
      </c>
      <c r="D585" t="inlineStr">
        <is>
          <t>JÄMTLANDS LÄN</t>
        </is>
      </c>
      <c r="E585" t="inlineStr">
        <is>
          <t>ÖSTERSUND</t>
        </is>
      </c>
      <c r="G585" t="n">
        <v>3.2</v>
      </c>
      <c r="H585" t="n">
        <v>0</v>
      </c>
      <c r="I585" t="n">
        <v>0</v>
      </c>
      <c r="J585" t="n">
        <v>0</v>
      </c>
      <c r="K585" t="n">
        <v>0</v>
      </c>
      <c r="L585" t="n">
        <v>0</v>
      </c>
      <c r="M585" t="n">
        <v>0</v>
      </c>
      <c r="N585" t="n">
        <v>0</v>
      </c>
      <c r="O585" t="n">
        <v>0</v>
      </c>
      <c r="P585" t="n">
        <v>0</v>
      </c>
      <c r="Q585" t="n">
        <v>0</v>
      </c>
      <c r="R585" s="2" t="inlineStr"/>
    </row>
    <row r="586" ht="15" customHeight="1">
      <c r="A586" t="inlineStr">
        <is>
          <t>A 54913-2024</t>
        </is>
      </c>
      <c r="B586" s="1" t="n">
        <v>45618.6917824074</v>
      </c>
      <c r="C586" s="1" t="n">
        <v>45889</v>
      </c>
      <c r="D586" t="inlineStr">
        <is>
          <t>JÄMTLANDS LÄN</t>
        </is>
      </c>
      <c r="E586" t="inlineStr">
        <is>
          <t>ÖSTERSUND</t>
        </is>
      </c>
      <c r="G586" t="n">
        <v>4.7</v>
      </c>
      <c r="H586" t="n">
        <v>0</v>
      </c>
      <c r="I586" t="n">
        <v>0</v>
      </c>
      <c r="J586" t="n">
        <v>0</v>
      </c>
      <c r="K586" t="n">
        <v>0</v>
      </c>
      <c r="L586" t="n">
        <v>0</v>
      </c>
      <c r="M586" t="n">
        <v>0</v>
      </c>
      <c r="N586" t="n">
        <v>0</v>
      </c>
      <c r="O586" t="n">
        <v>0</v>
      </c>
      <c r="P586" t="n">
        <v>0</v>
      </c>
      <c r="Q586" t="n">
        <v>0</v>
      </c>
      <c r="R586" s="2" t="inlineStr"/>
    </row>
    <row r="587" ht="15" customHeight="1">
      <c r="A587" t="inlineStr">
        <is>
          <t>A 50218-2024</t>
        </is>
      </c>
      <c r="B587" s="1" t="n">
        <v>45600.53160879629</v>
      </c>
      <c r="C587" s="1" t="n">
        <v>45889</v>
      </c>
      <c r="D587" t="inlineStr">
        <is>
          <t>JÄMTLANDS LÄN</t>
        </is>
      </c>
      <c r="E587" t="inlineStr">
        <is>
          <t>ÖSTERSUND</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38871-2025</t>
        </is>
      </c>
      <c r="B588" s="1" t="n">
        <v>45887.57407407407</v>
      </c>
      <c r="C588" s="1" t="n">
        <v>45889</v>
      </c>
      <c r="D588" t="inlineStr">
        <is>
          <t>JÄMTLANDS LÄN</t>
        </is>
      </c>
      <c r="E588" t="inlineStr">
        <is>
          <t>ÖSTERSUND</t>
        </is>
      </c>
      <c r="G588" t="n">
        <v>3</v>
      </c>
      <c r="H588" t="n">
        <v>0</v>
      </c>
      <c r="I588" t="n">
        <v>0</v>
      </c>
      <c r="J588" t="n">
        <v>0</v>
      </c>
      <c r="K588" t="n">
        <v>0</v>
      </c>
      <c r="L588" t="n">
        <v>0</v>
      </c>
      <c r="M588" t="n">
        <v>0</v>
      </c>
      <c r="N588" t="n">
        <v>0</v>
      </c>
      <c r="O588" t="n">
        <v>0</v>
      </c>
      <c r="P588" t="n">
        <v>0</v>
      </c>
      <c r="Q588" t="n">
        <v>0</v>
      </c>
      <c r="R588" s="2" t="inlineStr"/>
    </row>
    <row r="589" ht="15" customHeight="1">
      <c r="A589" t="inlineStr">
        <is>
          <t>A 38853-2025</t>
        </is>
      </c>
      <c r="B589" s="1" t="n">
        <v>45887.55666666666</v>
      </c>
      <c r="C589" s="1" t="n">
        <v>45889</v>
      </c>
      <c r="D589" t="inlineStr">
        <is>
          <t>JÄMTLANDS LÄN</t>
        </is>
      </c>
      <c r="E589" t="inlineStr">
        <is>
          <t>ÖSTERSUND</t>
        </is>
      </c>
      <c r="G589" t="n">
        <v>2.5</v>
      </c>
      <c r="H589" t="n">
        <v>0</v>
      </c>
      <c r="I589" t="n">
        <v>0</v>
      </c>
      <c r="J589" t="n">
        <v>0</v>
      </c>
      <c r="K589" t="n">
        <v>0</v>
      </c>
      <c r="L589" t="n">
        <v>0</v>
      </c>
      <c r="M589" t="n">
        <v>0</v>
      </c>
      <c r="N589" t="n">
        <v>0</v>
      </c>
      <c r="O589" t="n">
        <v>0</v>
      </c>
      <c r="P589" t="n">
        <v>0</v>
      </c>
      <c r="Q589" t="n">
        <v>0</v>
      </c>
      <c r="R589" s="2" t="inlineStr"/>
    </row>
    <row r="590" ht="15" customHeight="1">
      <c r="A590" t="inlineStr">
        <is>
          <t>A 30602-2023</t>
        </is>
      </c>
      <c r="B590" s="1" t="n">
        <v>45112</v>
      </c>
      <c r="C590" s="1" t="n">
        <v>45889</v>
      </c>
      <c r="D590" t="inlineStr">
        <is>
          <t>JÄMTLANDS LÄN</t>
        </is>
      </c>
      <c r="E590" t="inlineStr">
        <is>
          <t>ÖSTERSUND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1893-2023</t>
        </is>
      </c>
      <c r="B591" s="1" t="n">
        <v>44937</v>
      </c>
      <c r="C591" s="1" t="n">
        <v>45889</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17574-2022</t>
        </is>
      </c>
      <c r="B592" s="1" t="n">
        <v>44679.92574074074</v>
      </c>
      <c r="C592" s="1" t="n">
        <v>45889</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34331-2025</t>
        </is>
      </c>
      <c r="B593" s="1" t="n">
        <v>45846.44827546296</v>
      </c>
      <c r="C593" s="1" t="n">
        <v>45889</v>
      </c>
      <c r="D593" t="inlineStr">
        <is>
          <t>JÄMTLANDS LÄN</t>
        </is>
      </c>
      <c r="E593" t="inlineStr">
        <is>
          <t>ÖSTERSUND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45889</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39030-2025</t>
        </is>
      </c>
      <c r="B595" s="1" t="n">
        <v>45888.40700231482</v>
      </c>
      <c r="C595" s="1" t="n">
        <v>45889</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39103-2025</t>
        </is>
      </c>
      <c r="B596" s="1" t="n">
        <v>45888.52440972222</v>
      </c>
      <c r="C596" s="1" t="n">
        <v>45889</v>
      </c>
      <c r="D596" t="inlineStr">
        <is>
          <t>JÄMTLANDS LÄN</t>
        </is>
      </c>
      <c r="E596" t="inlineStr">
        <is>
          <t>ÖSTERSUND</t>
        </is>
      </c>
      <c r="G596" t="n">
        <v>23.9</v>
      </c>
      <c r="H596" t="n">
        <v>0</v>
      </c>
      <c r="I596" t="n">
        <v>0</v>
      </c>
      <c r="J596" t="n">
        <v>0</v>
      </c>
      <c r="K596" t="n">
        <v>0</v>
      </c>
      <c r="L596" t="n">
        <v>0</v>
      </c>
      <c r="M596" t="n">
        <v>0</v>
      </c>
      <c r="N596" t="n">
        <v>0</v>
      </c>
      <c r="O596" t="n">
        <v>0</v>
      </c>
      <c r="P596" t="n">
        <v>0</v>
      </c>
      <c r="Q596" t="n">
        <v>0</v>
      </c>
      <c r="R596" s="2" t="inlineStr"/>
    </row>
    <row r="597" ht="15" customHeight="1">
      <c r="A597" t="inlineStr">
        <is>
          <t>A 18627-2024</t>
        </is>
      </c>
      <c r="B597" s="1" t="n">
        <v>45425.96443287037</v>
      </c>
      <c r="C597" s="1" t="n">
        <v>45889</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7573-2022</t>
        </is>
      </c>
      <c r="B598" s="1" t="n">
        <v>44607</v>
      </c>
      <c r="C598" s="1" t="n">
        <v>45889</v>
      </c>
      <c r="D598" t="inlineStr">
        <is>
          <t>JÄMTLANDS LÄN</t>
        </is>
      </c>
      <c r="E598" t="inlineStr">
        <is>
          <t>ÖSTERSUND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27343-2022</t>
        </is>
      </c>
      <c r="B599" s="1" t="n">
        <v>44742</v>
      </c>
      <c r="C599" s="1" t="n">
        <v>45889</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43557-2024</t>
        </is>
      </c>
      <c r="B600" s="1" t="n">
        <v>45569.39229166666</v>
      </c>
      <c r="C600" s="1" t="n">
        <v>45889</v>
      </c>
      <c r="D600" t="inlineStr">
        <is>
          <t>JÄMTLANDS LÄN</t>
        </is>
      </c>
      <c r="E600" t="inlineStr">
        <is>
          <t>ÖSTERSUND</t>
        </is>
      </c>
      <c r="G600" t="n">
        <v>3.6</v>
      </c>
      <c r="H600" t="n">
        <v>0</v>
      </c>
      <c r="I600" t="n">
        <v>0</v>
      </c>
      <c r="J600" t="n">
        <v>0</v>
      </c>
      <c r="K600" t="n">
        <v>0</v>
      </c>
      <c r="L600" t="n">
        <v>0</v>
      </c>
      <c r="M600" t="n">
        <v>0</v>
      </c>
      <c r="N600" t="n">
        <v>0</v>
      </c>
      <c r="O600" t="n">
        <v>0</v>
      </c>
      <c r="P600" t="n">
        <v>0</v>
      </c>
      <c r="Q600" t="n">
        <v>0</v>
      </c>
      <c r="R600" s="2" t="inlineStr"/>
    </row>
    <row r="601" ht="15" customHeight="1">
      <c r="A601" t="inlineStr">
        <is>
          <t>A 36406-2023</t>
        </is>
      </c>
      <c r="B601" s="1" t="n">
        <v>45149</v>
      </c>
      <c r="C601" s="1" t="n">
        <v>45889</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59691-2024</t>
        </is>
      </c>
      <c r="B602" s="1" t="n">
        <v>45639.40684027778</v>
      </c>
      <c r="C602" s="1" t="n">
        <v>45889</v>
      </c>
      <c r="D602" t="inlineStr">
        <is>
          <t>JÄMTLANDS LÄN</t>
        </is>
      </c>
      <c r="E602" t="inlineStr">
        <is>
          <t>ÖSTERSUND</t>
        </is>
      </c>
      <c r="F602" t="inlineStr">
        <is>
          <t>SCA</t>
        </is>
      </c>
      <c r="G602" t="n">
        <v>15.9</v>
      </c>
      <c r="H602" t="n">
        <v>0</v>
      </c>
      <c r="I602" t="n">
        <v>0</v>
      </c>
      <c r="J602" t="n">
        <v>0</v>
      </c>
      <c r="K602" t="n">
        <v>0</v>
      </c>
      <c r="L602" t="n">
        <v>0</v>
      </c>
      <c r="M602" t="n">
        <v>0</v>
      </c>
      <c r="N602" t="n">
        <v>0</v>
      </c>
      <c r="O602" t="n">
        <v>0</v>
      </c>
      <c r="P602" t="n">
        <v>0</v>
      </c>
      <c r="Q602" t="n">
        <v>0</v>
      </c>
      <c r="R602" s="2" t="inlineStr"/>
    </row>
    <row r="603" ht="15" customHeight="1">
      <c r="A603" t="inlineStr">
        <is>
          <t>A 12998-2025</t>
        </is>
      </c>
      <c r="B603" s="1" t="n">
        <v>45734.48991898148</v>
      </c>
      <c r="C603" s="1" t="n">
        <v>45889</v>
      </c>
      <c r="D603" t="inlineStr">
        <is>
          <t>JÄMTLANDS LÄN</t>
        </is>
      </c>
      <c r="E603" t="inlineStr">
        <is>
          <t>ÖSTERSUND</t>
        </is>
      </c>
      <c r="F603" t="inlineStr">
        <is>
          <t>SCA</t>
        </is>
      </c>
      <c r="G603" t="n">
        <v>5.7</v>
      </c>
      <c r="H603" t="n">
        <v>0</v>
      </c>
      <c r="I603" t="n">
        <v>0</v>
      </c>
      <c r="J603" t="n">
        <v>0</v>
      </c>
      <c r="K603" t="n">
        <v>0</v>
      </c>
      <c r="L603" t="n">
        <v>0</v>
      </c>
      <c r="M603" t="n">
        <v>0</v>
      </c>
      <c r="N603" t="n">
        <v>0</v>
      </c>
      <c r="O603" t="n">
        <v>0</v>
      </c>
      <c r="P603" t="n">
        <v>0</v>
      </c>
      <c r="Q603" t="n">
        <v>0</v>
      </c>
      <c r="R603" s="2" t="inlineStr"/>
    </row>
    <row r="604">
      <c r="A604" t="inlineStr">
        <is>
          <t>A 32225-2024</t>
        </is>
      </c>
      <c r="B604" s="1" t="n">
        <v>45511.92825231481</v>
      </c>
      <c r="C604" s="1" t="n">
        <v>45889</v>
      </c>
      <c r="D604" t="inlineStr">
        <is>
          <t>JÄMTLANDS LÄN</t>
        </is>
      </c>
      <c r="E604" t="inlineStr">
        <is>
          <t>ÖSTERSUND</t>
        </is>
      </c>
      <c r="G604" t="n">
        <v>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2025-08-20T08:28:33Z</dcterms:created>
  <dcterms:modified xmlns:dcterms="http://purl.org/dc/terms/" xmlns:xsi="http://www.w3.org/2001/XMLSchema-instance" xsi:type="dcterms:W3CDTF">2025-08-20T08:28:33Z</dcterms:modified>
</cp:coreProperties>
</file>