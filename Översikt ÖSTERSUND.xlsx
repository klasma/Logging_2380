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46013</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46013</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46013</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46013</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46013</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46013</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46013</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46013</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46013</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46013</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46013</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46013</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56899-2025</t>
        </is>
      </c>
      <c r="B23" s="1" t="n">
        <v>45978.57238425926</v>
      </c>
      <c r="C23" s="1" t="n">
        <v>46013</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56557-2025</t>
        </is>
      </c>
      <c r="B24" s="1" t="n">
        <v>45975.49049768518</v>
      </c>
      <c r="C24" s="1" t="n">
        <v>46013</v>
      </c>
      <c r="D24" t="inlineStr">
        <is>
          <t>JÄMTLANDS LÄN</t>
        </is>
      </c>
      <c r="E24" t="inlineStr">
        <is>
          <t>ÖSTERSUND</t>
        </is>
      </c>
      <c r="G24" t="n">
        <v>13.9</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56557-2025 artfynd.xlsx", "A 56557-2025")</f>
        <v/>
      </c>
      <c r="T24">
        <f>HYPERLINK("https://klasma.github.io/Logging_2380/kartor/A 56557-2025 karta.png", "A 56557-2025")</f>
        <v/>
      </c>
      <c r="V24">
        <f>HYPERLINK("https://klasma.github.io/Logging_2380/klagomål/A 56557-2025 FSC-klagomål.docx", "A 56557-2025")</f>
        <v/>
      </c>
      <c r="W24">
        <f>HYPERLINK("https://klasma.github.io/Logging_2380/klagomålsmail/A 56557-2025 FSC-klagomål mail.docx", "A 56557-2025")</f>
        <v/>
      </c>
      <c r="X24">
        <f>HYPERLINK("https://klasma.github.io/Logging_2380/tillsyn/A 56557-2025 tillsynsbegäran.docx", "A 56557-2025")</f>
        <v/>
      </c>
      <c r="Y24">
        <f>HYPERLINK("https://klasma.github.io/Logging_2380/tillsynsmail/A 56557-2025 tillsynsbegäran mail.docx", "A 56557-2025")</f>
        <v/>
      </c>
      <c r="Z24">
        <f>HYPERLINK("https://klasma.github.io/Logging_2380/fåglar/A 56557-2025 prioriterade fågelarter.docx", "A 56557-2025")</f>
        <v/>
      </c>
    </row>
    <row r="25" ht="15" customHeight="1">
      <c r="A25" t="inlineStr">
        <is>
          <t>A 49928-2025</t>
        </is>
      </c>
      <c r="B25" s="1" t="n">
        <v>45940.65138888889</v>
      </c>
      <c r="C25" s="1" t="n">
        <v>46013</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46013</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46013</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46013</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46013</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61766-2024</t>
        </is>
      </c>
      <c r="B30" s="1" t="n">
        <v>45649</v>
      </c>
      <c r="C30" s="1" t="n">
        <v>46013</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46013</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46013</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46013</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46013</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45224-2024</t>
        </is>
      </c>
      <c r="B35" s="1" t="n">
        <v>45575.77440972222</v>
      </c>
      <c r="C35" s="1" t="n">
        <v>46013</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46013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27907-2024</t>
        </is>
      </c>
      <c r="B37" s="1" t="n">
        <v>45475.94597222222</v>
      </c>
      <c r="C37" s="1" t="n">
        <v>46013</v>
      </c>
      <c r="D37" t="inlineStr">
        <is>
          <t>JÄMTLANDS LÄN</t>
        </is>
      </c>
      <c r="E37" t="inlineStr">
        <is>
          <t>ÖSTERSUND</t>
        </is>
      </c>
      <c r="F37" t="inlineStr">
        <is>
          <t>SCA</t>
        </is>
      </c>
      <c r="G37" t="n">
        <v>12.7</v>
      </c>
      <c r="H37" t="n">
        <v>0</v>
      </c>
      <c r="I37" t="n">
        <v>1</v>
      </c>
      <c r="J37" t="n">
        <v>6</v>
      </c>
      <c r="K37" t="n">
        <v>2</v>
      </c>
      <c r="L37" t="n">
        <v>0</v>
      </c>
      <c r="M37" t="n">
        <v>0</v>
      </c>
      <c r="N37" t="n">
        <v>0</v>
      </c>
      <c r="O37" t="n">
        <v>8</v>
      </c>
      <c r="P37" t="n">
        <v>2</v>
      </c>
      <c r="Q37" t="n">
        <v>9</v>
      </c>
      <c r="R37" s="2" t="inlineStr">
        <is>
          <t>Goliatmusseron
Jättemusseron
Blå taggsvamp
Dvärgbägarlav
Orange taggsvamp
Skrovlig taggsvamp
Svart taggsvamp
Vedflamlav
Skarp dropptaggsvamp</t>
        </is>
      </c>
      <c r="S37">
        <f>HYPERLINK("https://klasma.github.io/Logging_2380/artfynd/A 27907-2024 artfynd.xlsx", "A 27907-2024")</f>
        <v/>
      </c>
      <c r="T37">
        <f>HYPERLINK("https://klasma.github.io/Logging_2380/kartor/A 27907-2024 karta.png", "A 27907-2024")</f>
        <v/>
      </c>
      <c r="V37">
        <f>HYPERLINK("https://klasma.github.io/Logging_2380/klagomål/A 27907-2024 FSC-klagomål.docx", "A 27907-2024")</f>
        <v/>
      </c>
      <c r="W37">
        <f>HYPERLINK("https://klasma.github.io/Logging_2380/klagomålsmail/A 27907-2024 FSC-klagomål mail.docx", "A 27907-2024")</f>
        <v/>
      </c>
      <c r="X37">
        <f>HYPERLINK("https://klasma.github.io/Logging_2380/tillsyn/A 27907-2024 tillsynsbegäran.docx", "A 27907-2024")</f>
        <v/>
      </c>
      <c r="Y37">
        <f>HYPERLINK("https://klasma.github.io/Logging_2380/tillsynsmail/A 27907-2024 tillsynsbegäran mail.docx", "A 27907-2024")</f>
        <v/>
      </c>
    </row>
    <row r="38" ht="15" customHeight="1">
      <c r="A38" t="inlineStr">
        <is>
          <t>A 34816-2024</t>
        </is>
      </c>
      <c r="B38" s="1" t="n">
        <v>45526</v>
      </c>
      <c r="C38" s="1" t="n">
        <v>46013</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17716-2024</t>
        </is>
      </c>
      <c r="B39" s="1" t="n">
        <v>45415</v>
      </c>
      <c r="C39" s="1" t="n">
        <v>46013</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46013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7710-2024</t>
        </is>
      </c>
      <c r="B41" s="1" t="n">
        <v>45349</v>
      </c>
      <c r="C41" s="1" t="n">
        <v>46013</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56648-2025</t>
        </is>
      </c>
      <c r="B42" s="1" t="n">
        <v>45975.63604166666</v>
      </c>
      <c r="C42" s="1" t="n">
        <v>46013</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55039-2025</t>
        </is>
      </c>
      <c r="B43" s="1" t="n">
        <v>45967.65594907408</v>
      </c>
      <c r="C43" s="1" t="n">
        <v>46013</v>
      </c>
      <c r="D43" t="inlineStr">
        <is>
          <t>JÄMTLANDS LÄN</t>
        </is>
      </c>
      <c r="E43" t="inlineStr">
        <is>
          <t>ÖSTERSUND</t>
        </is>
      </c>
      <c r="G43" t="n">
        <v>19.6</v>
      </c>
      <c r="H43" t="n">
        <v>5</v>
      </c>
      <c r="I43" t="n">
        <v>1</v>
      </c>
      <c r="J43" t="n">
        <v>5</v>
      </c>
      <c r="K43" t="n">
        <v>0</v>
      </c>
      <c r="L43" t="n">
        <v>0</v>
      </c>
      <c r="M43" t="n">
        <v>0</v>
      </c>
      <c r="N43" t="n">
        <v>0</v>
      </c>
      <c r="O43" t="n">
        <v>5</v>
      </c>
      <c r="P43" t="n">
        <v>0</v>
      </c>
      <c r="Q43" t="n">
        <v>8</v>
      </c>
      <c r="R43" s="2" t="inlineStr">
        <is>
          <t>Garnlav
Granticka
Harticka
Järpe
Spillkråka
Guckusko
Lavskrika
Revlummer</t>
        </is>
      </c>
      <c r="S43">
        <f>HYPERLINK("https://klasma.github.io/Logging_2380/artfynd/A 55039-2025 artfynd.xlsx", "A 55039-2025")</f>
        <v/>
      </c>
      <c r="T43">
        <f>HYPERLINK("https://klasma.github.io/Logging_2380/kartor/A 55039-2025 karta.png", "A 55039-2025")</f>
        <v/>
      </c>
      <c r="V43">
        <f>HYPERLINK("https://klasma.github.io/Logging_2380/klagomål/A 55039-2025 FSC-klagomål.docx", "A 55039-2025")</f>
        <v/>
      </c>
      <c r="W43">
        <f>HYPERLINK("https://klasma.github.io/Logging_2380/klagomålsmail/A 55039-2025 FSC-klagomål mail.docx", "A 55039-2025")</f>
        <v/>
      </c>
      <c r="X43">
        <f>HYPERLINK("https://klasma.github.io/Logging_2380/tillsyn/A 55039-2025 tillsynsbegäran.docx", "A 55039-2025")</f>
        <v/>
      </c>
      <c r="Y43">
        <f>HYPERLINK("https://klasma.github.io/Logging_2380/tillsynsmail/A 55039-2025 tillsynsbegäran mail.docx", "A 55039-2025")</f>
        <v/>
      </c>
      <c r="Z43">
        <f>HYPERLINK("https://klasma.github.io/Logging_2380/fåglar/A 55039-2025 prioriterade fågelarter.docx", "A 55039-2025")</f>
        <v/>
      </c>
    </row>
    <row r="44" ht="15" customHeight="1">
      <c r="A44" t="inlineStr">
        <is>
          <t>A 40777-2023</t>
        </is>
      </c>
      <c r="B44" s="1" t="n">
        <v>45170</v>
      </c>
      <c r="C44" s="1" t="n">
        <v>46013</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10744-2024</t>
        </is>
      </c>
      <c r="B45" s="1" t="n">
        <v>45369</v>
      </c>
      <c r="C45" s="1" t="n">
        <v>46013</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46013</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46013</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46013</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50529-2025</t>
        </is>
      </c>
      <c r="B49" s="1" t="n">
        <v>45945.47331018518</v>
      </c>
      <c r="C49" s="1" t="n">
        <v>46013</v>
      </c>
      <c r="D49" t="inlineStr">
        <is>
          <t>JÄMTLANDS LÄN</t>
        </is>
      </c>
      <c r="E49" t="inlineStr">
        <is>
          <t>ÖSTERSUND</t>
        </is>
      </c>
      <c r="G49" t="n">
        <v>7</v>
      </c>
      <c r="H49" t="n">
        <v>3</v>
      </c>
      <c r="I49" t="n">
        <v>2</v>
      </c>
      <c r="J49" t="n">
        <v>4</v>
      </c>
      <c r="K49" t="n">
        <v>1</v>
      </c>
      <c r="L49" t="n">
        <v>0</v>
      </c>
      <c r="M49" t="n">
        <v>0</v>
      </c>
      <c r="N49" t="n">
        <v>0</v>
      </c>
      <c r="O49" t="n">
        <v>5</v>
      </c>
      <c r="P49" t="n">
        <v>1</v>
      </c>
      <c r="Q49" t="n">
        <v>7</v>
      </c>
      <c r="R49" s="2" t="inlineStr">
        <is>
          <t>Knärot
Garnlav
Granticka
Harticka
Tretåig hackspett
Korallrot
Ögonpyrola</t>
        </is>
      </c>
      <c r="S49">
        <f>HYPERLINK("https://klasma.github.io/Logging_2380/artfynd/A 50529-2025 artfynd.xlsx", "A 50529-2025")</f>
        <v/>
      </c>
      <c r="T49">
        <f>HYPERLINK("https://klasma.github.io/Logging_2380/kartor/A 50529-2025 karta.png", "A 50529-2025")</f>
        <v/>
      </c>
      <c r="U49">
        <f>HYPERLINK("https://klasma.github.io/Logging_2380/knärot/A 50529-2025 karta knärot.png", "A 50529-2025")</f>
        <v/>
      </c>
      <c r="V49">
        <f>HYPERLINK("https://klasma.github.io/Logging_2380/klagomål/A 50529-2025 FSC-klagomål.docx", "A 50529-2025")</f>
        <v/>
      </c>
      <c r="W49">
        <f>HYPERLINK("https://klasma.github.io/Logging_2380/klagomålsmail/A 50529-2025 FSC-klagomål mail.docx", "A 50529-2025")</f>
        <v/>
      </c>
      <c r="X49">
        <f>HYPERLINK("https://klasma.github.io/Logging_2380/tillsyn/A 50529-2025 tillsynsbegäran.docx", "A 50529-2025")</f>
        <v/>
      </c>
      <c r="Y49">
        <f>HYPERLINK("https://klasma.github.io/Logging_2380/tillsynsmail/A 50529-2025 tillsynsbegäran mail.docx", "A 50529-2025")</f>
        <v/>
      </c>
      <c r="Z49">
        <f>HYPERLINK("https://klasma.github.io/Logging_2380/fåglar/A 50529-2025 prioriterade fågelarter.docx", "A 50529-2025")</f>
        <v/>
      </c>
    </row>
    <row r="50" ht="15" customHeight="1">
      <c r="A50" t="inlineStr">
        <is>
          <t>A 48736-2025</t>
        </is>
      </c>
      <c r="B50" s="1" t="n">
        <v>45936.66547453704</v>
      </c>
      <c r="C50" s="1" t="n">
        <v>46013</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52297-2025</t>
        </is>
      </c>
      <c r="B51" s="1" t="n">
        <v>45953.61092592592</v>
      </c>
      <c r="C51" s="1" t="n">
        <v>46013</v>
      </c>
      <c r="D51" t="inlineStr">
        <is>
          <t>JÄMTLANDS LÄN</t>
        </is>
      </c>
      <c r="E51" t="inlineStr">
        <is>
          <t>ÖSTERSUND</t>
        </is>
      </c>
      <c r="G51" t="n">
        <v>2.3</v>
      </c>
      <c r="H51" t="n">
        <v>3</v>
      </c>
      <c r="I51" t="n">
        <v>1</v>
      </c>
      <c r="J51" t="n">
        <v>5</v>
      </c>
      <c r="K51" t="n">
        <v>1</v>
      </c>
      <c r="L51" t="n">
        <v>0</v>
      </c>
      <c r="M51" t="n">
        <v>0</v>
      </c>
      <c r="N51" t="n">
        <v>0</v>
      </c>
      <c r="O51" t="n">
        <v>6</v>
      </c>
      <c r="P51" t="n">
        <v>1</v>
      </c>
      <c r="Q51" t="n">
        <v>7</v>
      </c>
      <c r="R51" s="2" t="inlineStr">
        <is>
          <t>Knärot
Garnlav
Harticka
Rosenticka
Talltita
Tretåig hackspett
Gullgröppa</t>
        </is>
      </c>
      <c r="S51">
        <f>HYPERLINK("https://klasma.github.io/Logging_2380/artfynd/A 52297-2025 artfynd.xlsx", "A 52297-2025")</f>
        <v/>
      </c>
      <c r="T51">
        <f>HYPERLINK("https://klasma.github.io/Logging_2380/kartor/A 52297-2025 karta.png", "A 52297-2025")</f>
        <v/>
      </c>
      <c r="U51">
        <f>HYPERLINK("https://klasma.github.io/Logging_2380/knärot/A 52297-2025 karta knärot.png", "A 52297-2025")</f>
        <v/>
      </c>
      <c r="V51">
        <f>HYPERLINK("https://klasma.github.io/Logging_2380/klagomål/A 52297-2025 FSC-klagomål.docx", "A 52297-2025")</f>
        <v/>
      </c>
      <c r="W51">
        <f>HYPERLINK("https://klasma.github.io/Logging_2380/klagomålsmail/A 52297-2025 FSC-klagomål mail.docx", "A 52297-2025")</f>
        <v/>
      </c>
      <c r="X51">
        <f>HYPERLINK("https://klasma.github.io/Logging_2380/tillsyn/A 52297-2025 tillsynsbegäran.docx", "A 52297-2025")</f>
        <v/>
      </c>
      <c r="Y51">
        <f>HYPERLINK("https://klasma.github.io/Logging_2380/tillsynsmail/A 52297-2025 tillsynsbegäran mail.docx", "A 52297-2025")</f>
        <v/>
      </c>
      <c r="Z51">
        <f>HYPERLINK("https://klasma.github.io/Logging_2380/fåglar/A 52297-2025 prioriterade fågelarter.docx", "A 52297-2025")</f>
        <v/>
      </c>
    </row>
    <row r="52" ht="15" customHeight="1">
      <c r="A52" t="inlineStr">
        <is>
          <t>A 53292-2025</t>
        </is>
      </c>
      <c r="B52" s="1" t="n">
        <v>45958</v>
      </c>
      <c r="C52" s="1" t="n">
        <v>46013</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46013</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46013</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46013</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54608-2023</t>
        </is>
      </c>
      <c r="B56" s="1" t="n">
        <v>45233</v>
      </c>
      <c r="C56" s="1" t="n">
        <v>46013</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46013</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46013</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46013</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46013</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46013</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40815-2025</t>
        </is>
      </c>
      <c r="B62" s="1" t="n">
        <v>45897</v>
      </c>
      <c r="C62" s="1" t="n">
        <v>46013</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40555-2024</t>
        </is>
      </c>
      <c r="B63" s="1" t="n">
        <v>45555</v>
      </c>
      <c r="C63" s="1" t="n">
        <v>46013</v>
      </c>
      <c r="D63" t="inlineStr">
        <is>
          <t>JÄMTLANDS LÄN</t>
        </is>
      </c>
      <c r="E63" t="inlineStr">
        <is>
          <t>ÖSTERSUND</t>
        </is>
      </c>
      <c r="G63" t="n">
        <v>7.7</v>
      </c>
      <c r="H63" t="n">
        <v>3</v>
      </c>
      <c r="I63" t="n">
        <v>3</v>
      </c>
      <c r="J63" t="n">
        <v>2</v>
      </c>
      <c r="K63" t="n">
        <v>1</v>
      </c>
      <c r="L63" t="n">
        <v>0</v>
      </c>
      <c r="M63" t="n">
        <v>0</v>
      </c>
      <c r="N63" t="n">
        <v>0</v>
      </c>
      <c r="O63" t="n">
        <v>3</v>
      </c>
      <c r="P63" t="n">
        <v>1</v>
      </c>
      <c r="Q63" t="n">
        <v>6</v>
      </c>
      <c r="R63" s="2" t="inlineStr">
        <is>
          <t>Knärot
Lunglav
Talltita
Guckusko
Luddlav
Skinnlav</t>
        </is>
      </c>
      <c r="S63">
        <f>HYPERLINK("https://klasma.github.io/Logging_2380/artfynd/A 40555-2024 artfynd.xlsx", "A 40555-2024")</f>
        <v/>
      </c>
      <c r="T63">
        <f>HYPERLINK("https://klasma.github.io/Logging_2380/kartor/A 40555-2024 karta.png", "A 40555-2024")</f>
        <v/>
      </c>
      <c r="U63">
        <f>HYPERLINK("https://klasma.github.io/Logging_2380/knärot/A 40555-2024 karta knärot.png", "A 40555-2024")</f>
        <v/>
      </c>
      <c r="V63">
        <f>HYPERLINK("https://klasma.github.io/Logging_2380/klagomål/A 40555-2024 FSC-klagomål.docx", "A 40555-2024")</f>
        <v/>
      </c>
      <c r="W63">
        <f>HYPERLINK("https://klasma.github.io/Logging_2380/klagomålsmail/A 40555-2024 FSC-klagomål mail.docx", "A 40555-2024")</f>
        <v/>
      </c>
      <c r="X63">
        <f>HYPERLINK("https://klasma.github.io/Logging_2380/tillsyn/A 40555-2024 tillsynsbegäran.docx", "A 40555-2024")</f>
        <v/>
      </c>
      <c r="Y63">
        <f>HYPERLINK("https://klasma.github.io/Logging_2380/tillsynsmail/A 40555-2024 tillsynsbegäran mail.docx", "A 40555-2024")</f>
        <v/>
      </c>
      <c r="Z63">
        <f>HYPERLINK("https://klasma.github.io/Logging_2380/fåglar/A 40555-2024 prioriterade fågelarter.docx", "A 40555-2024")</f>
        <v/>
      </c>
    </row>
    <row r="64" ht="15" customHeight="1">
      <c r="A64" t="inlineStr">
        <is>
          <t>A 61153-2024</t>
        </is>
      </c>
      <c r="B64" s="1" t="n">
        <v>45645</v>
      </c>
      <c r="C64" s="1" t="n">
        <v>46013</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18338-2025</t>
        </is>
      </c>
      <c r="B65" s="1" t="n">
        <v>45762.51075231482</v>
      </c>
      <c r="C65" s="1" t="n">
        <v>46013</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61212-2025</t>
        </is>
      </c>
      <c r="B66" s="1" t="n">
        <v>46000.61640046296</v>
      </c>
      <c r="C66" s="1" t="n">
        <v>46013</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46013</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46013</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46013</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46013</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29117-2025</t>
        </is>
      </c>
      <c r="B71" s="1" t="n">
        <v>45821.59243055555</v>
      </c>
      <c r="C71" s="1" t="n">
        <v>46013</v>
      </c>
      <c r="D71" t="inlineStr">
        <is>
          <t>JÄMTLANDS LÄN</t>
        </is>
      </c>
      <c r="E71" t="inlineStr">
        <is>
          <t>ÖSTERSUND</t>
        </is>
      </c>
      <c r="G71" t="n">
        <v>15.4</v>
      </c>
      <c r="H71" t="n">
        <v>5</v>
      </c>
      <c r="I71" t="n">
        <v>2</v>
      </c>
      <c r="J71" t="n">
        <v>0</v>
      </c>
      <c r="K71" t="n">
        <v>1</v>
      </c>
      <c r="L71" t="n">
        <v>0</v>
      </c>
      <c r="M71" t="n">
        <v>0</v>
      </c>
      <c r="N71" t="n">
        <v>0</v>
      </c>
      <c r="O71" t="n">
        <v>1</v>
      </c>
      <c r="P71" t="n">
        <v>1</v>
      </c>
      <c r="Q71" t="n">
        <v>5</v>
      </c>
      <c r="R71" s="2" t="inlineStr">
        <is>
          <t>Knärot
Guckusko
Spindelblomster
Fläcknycklar
Revlummer</t>
        </is>
      </c>
      <c r="S71">
        <f>HYPERLINK("https://klasma.github.io/Logging_2380/artfynd/A 29117-2025 artfynd.xlsx", "A 29117-2025")</f>
        <v/>
      </c>
      <c r="T71">
        <f>HYPERLINK("https://klasma.github.io/Logging_2380/kartor/A 29117-2025 karta.png", "A 29117-2025")</f>
        <v/>
      </c>
      <c r="U71">
        <f>HYPERLINK("https://klasma.github.io/Logging_2380/knärot/A 29117-2025 karta knärot.png", "A 29117-2025")</f>
        <v/>
      </c>
      <c r="V71">
        <f>HYPERLINK("https://klasma.github.io/Logging_2380/klagomål/A 29117-2025 FSC-klagomål.docx", "A 29117-2025")</f>
        <v/>
      </c>
      <c r="W71">
        <f>HYPERLINK("https://klasma.github.io/Logging_2380/klagomålsmail/A 29117-2025 FSC-klagomål mail.docx", "A 29117-2025")</f>
        <v/>
      </c>
      <c r="X71">
        <f>HYPERLINK("https://klasma.github.io/Logging_2380/tillsyn/A 29117-2025 tillsynsbegäran.docx", "A 29117-2025")</f>
        <v/>
      </c>
      <c r="Y71">
        <f>HYPERLINK("https://klasma.github.io/Logging_2380/tillsynsmail/A 29117-2025 tillsynsbegäran mail.docx", "A 29117-2025")</f>
        <v/>
      </c>
    </row>
    <row r="72" ht="15" customHeight="1">
      <c r="A72" t="inlineStr">
        <is>
          <t>A 56934-2025</t>
        </is>
      </c>
      <c r="B72" s="1" t="n">
        <v>45978.61351851852</v>
      </c>
      <c r="C72" s="1" t="n">
        <v>46013</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39941-2024</t>
        </is>
      </c>
      <c r="B73" s="1" t="n">
        <v>45553</v>
      </c>
      <c r="C73" s="1" t="n">
        <v>46013</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45979-2023</t>
        </is>
      </c>
      <c r="B74" s="1" t="n">
        <v>45189</v>
      </c>
      <c r="C74" s="1" t="n">
        <v>46013</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56499-2025</t>
        </is>
      </c>
      <c r="B75" s="1" t="n">
        <v>45975.43427083334</v>
      </c>
      <c r="C75" s="1" t="n">
        <v>46013</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62060-2025</t>
        </is>
      </c>
      <c r="B76" s="1" t="n">
        <v>46006.34435185185</v>
      </c>
      <c r="C76" s="1" t="n">
        <v>46013</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54731-2024</t>
        </is>
      </c>
      <c r="B77" s="1" t="n">
        <v>45618.43853009259</v>
      </c>
      <c r="C77" s="1" t="n">
        <v>46013</v>
      </c>
      <c r="D77" t="inlineStr">
        <is>
          <t>JÄMTLANDS LÄN</t>
        </is>
      </c>
      <c r="E77" t="inlineStr">
        <is>
          <t>ÖSTERSUND</t>
        </is>
      </c>
      <c r="F77" t="inlineStr">
        <is>
          <t>SCA</t>
        </is>
      </c>
      <c r="G77" t="n">
        <v>16.8</v>
      </c>
      <c r="H77" t="n">
        <v>1</v>
      </c>
      <c r="I77" t="n">
        <v>1</v>
      </c>
      <c r="J77" t="n">
        <v>4</v>
      </c>
      <c r="K77" t="n">
        <v>0</v>
      </c>
      <c r="L77" t="n">
        <v>0</v>
      </c>
      <c r="M77" t="n">
        <v>0</v>
      </c>
      <c r="N77" t="n">
        <v>0</v>
      </c>
      <c r="O77" t="n">
        <v>4</v>
      </c>
      <c r="P77" t="n">
        <v>0</v>
      </c>
      <c r="Q77" t="n">
        <v>5</v>
      </c>
      <c r="R77" s="2" t="inlineStr">
        <is>
          <t>Granticka
Lunglav
Rödvingetrast
Ullticka
Kransrams</t>
        </is>
      </c>
      <c r="S77">
        <f>HYPERLINK("https://klasma.github.io/Logging_2380/artfynd/A 54731-2024 artfynd.xlsx", "A 54731-2024")</f>
        <v/>
      </c>
      <c r="T77">
        <f>HYPERLINK("https://klasma.github.io/Logging_2380/kartor/A 54731-2024 karta.png", "A 54731-2024")</f>
        <v/>
      </c>
      <c r="V77">
        <f>HYPERLINK("https://klasma.github.io/Logging_2380/klagomål/A 54731-2024 FSC-klagomål.docx", "A 54731-2024")</f>
        <v/>
      </c>
      <c r="W77">
        <f>HYPERLINK("https://klasma.github.io/Logging_2380/klagomålsmail/A 54731-2024 FSC-klagomål mail.docx", "A 54731-2024")</f>
        <v/>
      </c>
      <c r="X77">
        <f>HYPERLINK("https://klasma.github.io/Logging_2380/tillsyn/A 54731-2024 tillsynsbegäran.docx", "A 54731-2024")</f>
        <v/>
      </c>
      <c r="Y77">
        <f>HYPERLINK("https://klasma.github.io/Logging_2380/tillsynsmail/A 54731-2024 tillsynsbegäran mail.docx", "A 54731-2024")</f>
        <v/>
      </c>
      <c r="Z77">
        <f>HYPERLINK("https://klasma.github.io/Logging_2380/fåglar/A 54731-2024 prioriterade fågelarter.docx", "A 54731-2024")</f>
        <v/>
      </c>
    </row>
    <row r="78" ht="15" customHeight="1">
      <c r="A78" t="inlineStr">
        <is>
          <t>A 38334-2023</t>
        </is>
      </c>
      <c r="B78" s="1" t="n">
        <v>45161</v>
      </c>
      <c r="C78" s="1" t="n">
        <v>46013</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7717-2024</t>
        </is>
      </c>
      <c r="B79" s="1" t="n">
        <v>45349</v>
      </c>
      <c r="C79" s="1" t="n">
        <v>46013</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10747-2024</t>
        </is>
      </c>
      <c r="B80" s="1" t="n">
        <v>45369</v>
      </c>
      <c r="C80" s="1" t="n">
        <v>46013</v>
      </c>
      <c r="D80" t="inlineStr">
        <is>
          <t>JÄMTLANDS LÄN</t>
        </is>
      </c>
      <c r="E80" t="inlineStr">
        <is>
          <t>ÖSTERSUND</t>
        </is>
      </c>
      <c r="G80" t="n">
        <v>4.3</v>
      </c>
      <c r="H80" t="n">
        <v>1</v>
      </c>
      <c r="I80" t="n">
        <v>1</v>
      </c>
      <c r="J80" t="n">
        <v>3</v>
      </c>
      <c r="K80" t="n">
        <v>1</v>
      </c>
      <c r="L80" t="n">
        <v>0</v>
      </c>
      <c r="M80" t="n">
        <v>0</v>
      </c>
      <c r="N80" t="n">
        <v>0</v>
      </c>
      <c r="O80" t="n">
        <v>4</v>
      </c>
      <c r="P80" t="n">
        <v>1</v>
      </c>
      <c r="Q80" t="n">
        <v>5</v>
      </c>
      <c r="R80" s="2" t="inlineStr">
        <is>
          <t>Fjällfotad musseron
Barrviolspindling
Gultoppig fingersvamp
Tretåig hackspett
Fjällig taggsvamp s.str.</t>
        </is>
      </c>
      <c r="S80">
        <f>HYPERLINK("https://klasma.github.io/Logging_2380/artfynd/A 10747-2024 artfynd.xlsx", "A 10747-2024")</f>
        <v/>
      </c>
      <c r="T80">
        <f>HYPERLINK("https://klasma.github.io/Logging_2380/kartor/A 10747-2024 karta.png", "A 10747-2024")</f>
        <v/>
      </c>
      <c r="V80">
        <f>HYPERLINK("https://klasma.github.io/Logging_2380/klagomål/A 10747-2024 FSC-klagomål.docx", "A 10747-2024")</f>
        <v/>
      </c>
      <c r="W80">
        <f>HYPERLINK("https://klasma.github.io/Logging_2380/klagomålsmail/A 10747-2024 FSC-klagomål mail.docx", "A 10747-2024")</f>
        <v/>
      </c>
      <c r="X80">
        <f>HYPERLINK("https://klasma.github.io/Logging_2380/tillsyn/A 10747-2024 tillsynsbegäran.docx", "A 10747-2024")</f>
        <v/>
      </c>
      <c r="Y80">
        <f>HYPERLINK("https://klasma.github.io/Logging_2380/tillsynsmail/A 10747-2024 tillsynsbegäran mail.docx", "A 10747-2024")</f>
        <v/>
      </c>
      <c r="Z80">
        <f>HYPERLINK("https://klasma.github.io/Logging_2380/fåglar/A 10747-2024 prioriterade fågelarter.docx", "A 10747-2024")</f>
        <v/>
      </c>
    </row>
    <row r="81" ht="15" customHeight="1">
      <c r="A81" t="inlineStr">
        <is>
          <t>A 60580-2024</t>
        </is>
      </c>
      <c r="B81" s="1" t="n">
        <v>45644</v>
      </c>
      <c r="C81" s="1" t="n">
        <v>46013</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25369-2024</t>
        </is>
      </c>
      <c r="B82" s="1" t="n">
        <v>45462.95982638889</v>
      </c>
      <c r="C82" s="1" t="n">
        <v>46013</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7698-2024</t>
        </is>
      </c>
      <c r="B83" s="1" t="n">
        <v>45349</v>
      </c>
      <c r="C83" s="1" t="n">
        <v>46013</v>
      </c>
      <c r="D83" t="inlineStr">
        <is>
          <t>JÄMTLANDS LÄN</t>
        </is>
      </c>
      <c r="E83" t="inlineStr">
        <is>
          <t>ÖSTERSUND</t>
        </is>
      </c>
      <c r="F83" t="inlineStr">
        <is>
          <t>Övriga Aktiebolag</t>
        </is>
      </c>
      <c r="G83" t="n">
        <v>4.5</v>
      </c>
      <c r="H83" t="n">
        <v>2</v>
      </c>
      <c r="I83" t="n">
        <v>1</v>
      </c>
      <c r="J83" t="n">
        <v>2</v>
      </c>
      <c r="K83" t="n">
        <v>0</v>
      </c>
      <c r="L83" t="n">
        <v>0</v>
      </c>
      <c r="M83" t="n">
        <v>0</v>
      </c>
      <c r="N83" t="n">
        <v>0</v>
      </c>
      <c r="O83" t="n">
        <v>2</v>
      </c>
      <c r="P83" t="n">
        <v>0</v>
      </c>
      <c r="Q83" t="n">
        <v>4</v>
      </c>
      <c r="R83" s="2" t="inlineStr">
        <is>
          <t>Brunklöver
Månlåsbräken
Tvåblad
Brudsporre</t>
        </is>
      </c>
      <c r="S83">
        <f>HYPERLINK("https://klasma.github.io/Logging_2380/artfynd/A 7698-2024 artfynd.xlsx", "A 7698-2024")</f>
        <v/>
      </c>
      <c r="T83">
        <f>HYPERLINK("https://klasma.github.io/Logging_2380/kartor/A 7698-2024 karta.png", "A 7698-2024")</f>
        <v/>
      </c>
      <c r="V83">
        <f>HYPERLINK("https://klasma.github.io/Logging_2380/klagomål/A 7698-2024 FSC-klagomål.docx", "A 7698-2024")</f>
        <v/>
      </c>
      <c r="W83">
        <f>HYPERLINK("https://klasma.github.io/Logging_2380/klagomålsmail/A 7698-2024 FSC-klagomål mail.docx", "A 7698-2024")</f>
        <v/>
      </c>
      <c r="X83">
        <f>HYPERLINK("https://klasma.github.io/Logging_2380/tillsyn/A 7698-2024 tillsynsbegäran.docx", "A 7698-2024")</f>
        <v/>
      </c>
      <c r="Y83">
        <f>HYPERLINK("https://klasma.github.io/Logging_2380/tillsynsmail/A 7698-2024 tillsynsbegäran mail.docx", "A 7698-2024")</f>
        <v/>
      </c>
    </row>
    <row r="84" ht="15" customHeight="1">
      <c r="A84" t="inlineStr">
        <is>
          <t>A 55344-2023</t>
        </is>
      </c>
      <c r="B84" s="1" t="n">
        <v>45237</v>
      </c>
      <c r="C84" s="1" t="n">
        <v>46013</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41493-2025</t>
        </is>
      </c>
      <c r="B85" s="1" t="n">
        <v>45901.49171296296</v>
      </c>
      <c r="C85" s="1" t="n">
        <v>46013</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31127-2025</t>
        </is>
      </c>
      <c r="B86" s="1" t="n">
        <v>45831</v>
      </c>
      <c r="C86" s="1" t="n">
        <v>46013</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31127-2025 artfynd.xlsx", "A 31127-2025")</f>
        <v/>
      </c>
      <c r="T86">
        <f>HYPERLINK("https://klasma.github.io/Logging_2380/kartor/A 31127-2025 karta.png", "A 31127-2025")</f>
        <v/>
      </c>
      <c r="V86">
        <f>HYPERLINK("https://klasma.github.io/Logging_2380/klagomål/A 31127-2025 FSC-klagomål.docx", "A 31127-2025")</f>
        <v/>
      </c>
      <c r="W86">
        <f>HYPERLINK("https://klasma.github.io/Logging_2380/klagomålsmail/A 31127-2025 FSC-klagomål mail.docx", "A 31127-2025")</f>
        <v/>
      </c>
      <c r="X86">
        <f>HYPERLINK("https://klasma.github.io/Logging_2380/tillsyn/A 31127-2025 tillsynsbegäran.docx", "A 31127-2025")</f>
        <v/>
      </c>
      <c r="Y86">
        <f>HYPERLINK("https://klasma.github.io/Logging_2380/tillsynsmail/A 31127-2025 tillsynsbegäran mail.docx", "A 31127-2025")</f>
        <v/>
      </c>
      <c r="Z86">
        <f>HYPERLINK("https://klasma.github.io/Logging_2380/fåglar/A 31127-2025 prioriterade fågelarter.docx", "A 31127-2025")</f>
        <v/>
      </c>
    </row>
    <row r="87" ht="15" customHeight="1">
      <c r="A87" t="inlineStr">
        <is>
          <t>A 49192-2025</t>
        </is>
      </c>
      <c r="B87" s="1" t="n">
        <v>45938.40790509259</v>
      </c>
      <c r="C87" s="1" t="n">
        <v>46013</v>
      </c>
      <c r="D87" t="inlineStr">
        <is>
          <t>JÄMTLANDS LÄN</t>
        </is>
      </c>
      <c r="E87" t="inlineStr">
        <is>
          <t>ÖSTERSUND</t>
        </is>
      </c>
      <c r="F87" t="inlineStr">
        <is>
          <t>SCA</t>
        </is>
      </c>
      <c r="G87" t="n">
        <v>2.6</v>
      </c>
      <c r="H87" t="n">
        <v>2</v>
      </c>
      <c r="I87" t="n">
        <v>2</v>
      </c>
      <c r="J87" t="n">
        <v>1</v>
      </c>
      <c r="K87" t="n">
        <v>0</v>
      </c>
      <c r="L87" t="n">
        <v>0</v>
      </c>
      <c r="M87" t="n">
        <v>0</v>
      </c>
      <c r="N87" t="n">
        <v>0</v>
      </c>
      <c r="O87" t="n">
        <v>1</v>
      </c>
      <c r="P87" t="n">
        <v>0</v>
      </c>
      <c r="Q87" t="n">
        <v>4</v>
      </c>
      <c r="R87" s="2" t="inlineStr">
        <is>
          <t>Kolflarnlav
Guckusko
Tibast
Blåsippa</t>
        </is>
      </c>
      <c r="S87">
        <f>HYPERLINK("https://klasma.github.io/Logging_2380/artfynd/A 49192-2025 artfynd.xlsx", "A 49192-2025")</f>
        <v/>
      </c>
      <c r="T87">
        <f>HYPERLINK("https://klasma.github.io/Logging_2380/kartor/A 49192-2025 karta.png", "A 49192-2025")</f>
        <v/>
      </c>
      <c r="V87">
        <f>HYPERLINK("https://klasma.github.io/Logging_2380/klagomål/A 49192-2025 FSC-klagomål.docx", "A 49192-2025")</f>
        <v/>
      </c>
      <c r="W87">
        <f>HYPERLINK("https://klasma.github.io/Logging_2380/klagomålsmail/A 49192-2025 FSC-klagomål mail.docx", "A 49192-2025")</f>
        <v/>
      </c>
      <c r="X87">
        <f>HYPERLINK("https://klasma.github.io/Logging_2380/tillsyn/A 49192-2025 tillsynsbegäran.docx", "A 49192-2025")</f>
        <v/>
      </c>
      <c r="Y87">
        <f>HYPERLINK("https://klasma.github.io/Logging_2380/tillsynsmail/A 49192-2025 tillsynsbegäran mail.docx", "A 49192-2025")</f>
        <v/>
      </c>
    </row>
    <row r="88" ht="15" customHeight="1">
      <c r="A88" t="inlineStr">
        <is>
          <t>A 57711-2025</t>
        </is>
      </c>
      <c r="B88" s="1" t="n">
        <v>45981.47217592593</v>
      </c>
      <c r="C88" s="1" t="n">
        <v>46013</v>
      </c>
      <c r="D88" t="inlineStr">
        <is>
          <t>JÄMTLANDS LÄN</t>
        </is>
      </c>
      <c r="E88" t="inlineStr">
        <is>
          <t>ÖSTERSUND</t>
        </is>
      </c>
      <c r="F88" t="inlineStr">
        <is>
          <t>Övriga Aktiebolag</t>
        </is>
      </c>
      <c r="G88" t="n">
        <v>2.6</v>
      </c>
      <c r="H88" t="n">
        <v>0</v>
      </c>
      <c r="I88" t="n">
        <v>4</v>
      </c>
      <c r="J88" t="n">
        <v>0</v>
      </c>
      <c r="K88" t="n">
        <v>0</v>
      </c>
      <c r="L88" t="n">
        <v>0</v>
      </c>
      <c r="M88" t="n">
        <v>0</v>
      </c>
      <c r="N88" t="n">
        <v>0</v>
      </c>
      <c r="O88" t="n">
        <v>0</v>
      </c>
      <c r="P88" t="n">
        <v>0</v>
      </c>
      <c r="Q88" t="n">
        <v>4</v>
      </c>
      <c r="R88" s="2" t="inlineStr">
        <is>
          <t>Diskvaxskivling
Fjällig taggsvamp s.str.
Kransrams
Kryddspindling</t>
        </is>
      </c>
      <c r="S88">
        <f>HYPERLINK("https://klasma.github.io/Logging_2380/artfynd/A 57711-2025 artfynd.xlsx", "A 57711-2025")</f>
        <v/>
      </c>
      <c r="T88">
        <f>HYPERLINK("https://klasma.github.io/Logging_2380/kartor/A 57711-2025 karta.png", "A 57711-2025")</f>
        <v/>
      </c>
      <c r="V88">
        <f>HYPERLINK("https://klasma.github.io/Logging_2380/klagomål/A 57711-2025 FSC-klagomål.docx", "A 57711-2025")</f>
        <v/>
      </c>
      <c r="W88">
        <f>HYPERLINK("https://klasma.github.io/Logging_2380/klagomålsmail/A 57711-2025 FSC-klagomål mail.docx", "A 57711-2025")</f>
        <v/>
      </c>
      <c r="X88">
        <f>HYPERLINK("https://klasma.github.io/Logging_2380/tillsyn/A 57711-2025 tillsynsbegäran.docx", "A 57711-2025")</f>
        <v/>
      </c>
      <c r="Y88">
        <f>HYPERLINK("https://klasma.github.io/Logging_2380/tillsynsmail/A 57711-2025 tillsynsbegäran mail.docx", "A 57711-2025")</f>
        <v/>
      </c>
    </row>
    <row r="89" ht="15" customHeight="1">
      <c r="A89" t="inlineStr">
        <is>
          <t>A 56539-2025</t>
        </is>
      </c>
      <c r="B89" s="1" t="n">
        <v>45975.47357638889</v>
      </c>
      <c r="C89" s="1" t="n">
        <v>46013</v>
      </c>
      <c r="D89" t="inlineStr">
        <is>
          <t>JÄMTLANDS LÄN</t>
        </is>
      </c>
      <c r="E89" t="inlineStr">
        <is>
          <t>ÖSTERSUND</t>
        </is>
      </c>
      <c r="G89" t="n">
        <v>7.5</v>
      </c>
      <c r="H89" t="n">
        <v>1</v>
      </c>
      <c r="I89" t="n">
        <v>0</v>
      </c>
      <c r="J89" t="n">
        <v>4</v>
      </c>
      <c r="K89" t="n">
        <v>0</v>
      </c>
      <c r="L89" t="n">
        <v>0</v>
      </c>
      <c r="M89" t="n">
        <v>0</v>
      </c>
      <c r="N89" t="n">
        <v>0</v>
      </c>
      <c r="O89" t="n">
        <v>4</v>
      </c>
      <c r="P89" t="n">
        <v>0</v>
      </c>
      <c r="Q89" t="n">
        <v>4</v>
      </c>
      <c r="R89" s="2" t="inlineStr">
        <is>
          <t>Garnlav
Granticka
Tretåig hackspett
Vitgrynig nållav</t>
        </is>
      </c>
      <c r="S89">
        <f>HYPERLINK("https://klasma.github.io/Logging_2380/artfynd/A 56539-2025 artfynd.xlsx", "A 56539-2025")</f>
        <v/>
      </c>
      <c r="T89">
        <f>HYPERLINK("https://klasma.github.io/Logging_2380/kartor/A 56539-2025 karta.png", "A 56539-2025")</f>
        <v/>
      </c>
      <c r="V89">
        <f>HYPERLINK("https://klasma.github.io/Logging_2380/klagomål/A 56539-2025 FSC-klagomål.docx", "A 56539-2025")</f>
        <v/>
      </c>
      <c r="W89">
        <f>HYPERLINK("https://klasma.github.io/Logging_2380/klagomålsmail/A 56539-2025 FSC-klagomål mail.docx", "A 56539-2025")</f>
        <v/>
      </c>
      <c r="X89">
        <f>HYPERLINK("https://klasma.github.io/Logging_2380/tillsyn/A 56539-2025 tillsynsbegäran.docx", "A 56539-2025")</f>
        <v/>
      </c>
      <c r="Y89">
        <f>HYPERLINK("https://klasma.github.io/Logging_2380/tillsynsmail/A 56539-2025 tillsynsbegäran mail.docx", "A 56539-2025")</f>
        <v/>
      </c>
      <c r="Z89">
        <f>HYPERLINK("https://klasma.github.io/Logging_2380/fåglar/A 56539-2025 prioriterade fågelarter.docx", "A 56539-2025")</f>
        <v/>
      </c>
    </row>
    <row r="90" ht="15" customHeight="1">
      <c r="A90" t="inlineStr">
        <is>
          <t>A 55258-2025</t>
        </is>
      </c>
      <c r="B90" s="1" t="n">
        <v>45968.6444212963</v>
      </c>
      <c r="C90" s="1" t="n">
        <v>46013</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2962-2023</t>
        </is>
      </c>
      <c r="B91" s="1" t="n">
        <v>44945</v>
      </c>
      <c r="C91" s="1" t="n">
        <v>46013</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38335-2023</t>
        </is>
      </c>
      <c r="B92" s="1" t="n">
        <v>45161</v>
      </c>
      <c r="C92" s="1" t="n">
        <v>46013</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29135-2022</t>
        </is>
      </c>
      <c r="B93" s="1" t="n">
        <v>44750</v>
      </c>
      <c r="C93" s="1" t="n">
        <v>46013</v>
      </c>
      <c r="D93" t="inlineStr">
        <is>
          <t>JÄMTLANDS LÄN</t>
        </is>
      </c>
      <c r="E93" t="inlineStr">
        <is>
          <t>ÖSTERSUND</t>
        </is>
      </c>
      <c r="G93" t="n">
        <v>2.3</v>
      </c>
      <c r="H93" t="n">
        <v>3</v>
      </c>
      <c r="I93" t="n">
        <v>2</v>
      </c>
      <c r="J93" t="n">
        <v>0</v>
      </c>
      <c r="K93" t="n">
        <v>0</v>
      </c>
      <c r="L93" t="n">
        <v>0</v>
      </c>
      <c r="M93" t="n">
        <v>0</v>
      </c>
      <c r="N93" t="n">
        <v>0</v>
      </c>
      <c r="O93" t="n">
        <v>0</v>
      </c>
      <c r="P93" t="n">
        <v>0</v>
      </c>
      <c r="Q93" t="n">
        <v>4</v>
      </c>
      <c r="R93" s="2" t="inlineStr">
        <is>
          <t>Finbräken
Grönkulla
Fläcknycklar
Blåsippa</t>
        </is>
      </c>
      <c r="S93">
        <f>HYPERLINK("https://klasma.github.io/Logging_2380/artfynd/A 29135-2022 artfynd.xlsx", "A 29135-2022")</f>
        <v/>
      </c>
      <c r="T93">
        <f>HYPERLINK("https://klasma.github.io/Logging_2380/kartor/A 29135-2022 karta.png", "A 29135-2022")</f>
        <v/>
      </c>
      <c r="V93">
        <f>HYPERLINK("https://klasma.github.io/Logging_2380/klagomål/A 29135-2022 FSC-klagomål.docx", "A 29135-2022")</f>
        <v/>
      </c>
      <c r="W93">
        <f>HYPERLINK("https://klasma.github.io/Logging_2380/klagomålsmail/A 29135-2022 FSC-klagomål mail.docx", "A 29135-2022")</f>
        <v/>
      </c>
      <c r="X93">
        <f>HYPERLINK("https://klasma.github.io/Logging_2380/tillsyn/A 29135-2022 tillsynsbegäran.docx", "A 29135-2022")</f>
        <v/>
      </c>
      <c r="Y93">
        <f>HYPERLINK("https://klasma.github.io/Logging_2380/tillsynsmail/A 29135-2022 tillsynsbegäran mail.docx", "A 29135-2022")</f>
        <v/>
      </c>
    </row>
    <row r="94" ht="15" customHeight="1">
      <c r="A94" t="inlineStr">
        <is>
          <t>A 59291-2022</t>
        </is>
      </c>
      <c r="B94" s="1" t="n">
        <v>44904</v>
      </c>
      <c r="C94" s="1" t="n">
        <v>46013</v>
      </c>
      <c r="D94" t="inlineStr">
        <is>
          <t>JÄMTLANDS LÄN</t>
        </is>
      </c>
      <c r="E94" t="inlineStr">
        <is>
          <t>ÖSTERSUND</t>
        </is>
      </c>
      <c r="G94" t="n">
        <v>9.199999999999999</v>
      </c>
      <c r="H94" t="n">
        <v>1</v>
      </c>
      <c r="I94" t="n">
        <v>0</v>
      </c>
      <c r="J94" t="n">
        <v>3</v>
      </c>
      <c r="K94" t="n">
        <v>0</v>
      </c>
      <c r="L94" t="n">
        <v>0</v>
      </c>
      <c r="M94" t="n">
        <v>0</v>
      </c>
      <c r="N94" t="n">
        <v>0</v>
      </c>
      <c r="O94" t="n">
        <v>3</v>
      </c>
      <c r="P94" t="n">
        <v>0</v>
      </c>
      <c r="Q94" t="n">
        <v>4</v>
      </c>
      <c r="R94" s="2" t="inlineStr">
        <is>
          <t>Garnlav
Lunglav
Skrovellav
Revlummer</t>
        </is>
      </c>
      <c r="S94">
        <f>HYPERLINK("https://klasma.github.io/Logging_2380/artfynd/A 59291-2022 artfynd.xlsx", "A 59291-2022")</f>
        <v/>
      </c>
      <c r="T94">
        <f>HYPERLINK("https://klasma.github.io/Logging_2380/kartor/A 59291-2022 karta.png", "A 59291-2022")</f>
        <v/>
      </c>
      <c r="V94">
        <f>HYPERLINK("https://klasma.github.io/Logging_2380/klagomål/A 59291-2022 FSC-klagomål.docx", "A 59291-2022")</f>
        <v/>
      </c>
      <c r="W94">
        <f>HYPERLINK("https://klasma.github.io/Logging_2380/klagomålsmail/A 59291-2022 FSC-klagomål mail.docx", "A 59291-2022")</f>
        <v/>
      </c>
      <c r="X94">
        <f>HYPERLINK("https://klasma.github.io/Logging_2380/tillsyn/A 59291-2022 tillsynsbegäran.docx", "A 59291-2022")</f>
        <v/>
      </c>
      <c r="Y94">
        <f>HYPERLINK("https://klasma.github.io/Logging_2380/tillsynsmail/A 59291-2022 tillsynsbegäran mail.docx", "A 59291-2022")</f>
        <v/>
      </c>
    </row>
    <row r="95" ht="15" customHeight="1">
      <c r="A95" t="inlineStr">
        <is>
          <t>A 54421-2021</t>
        </is>
      </c>
      <c r="B95" s="1" t="n">
        <v>44473.43114583333</v>
      </c>
      <c r="C95" s="1" t="n">
        <v>46013</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60565-2022</t>
        </is>
      </c>
      <c r="B96" s="1" t="n">
        <v>44904</v>
      </c>
      <c r="C96" s="1" t="n">
        <v>46013</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36742-2024</t>
        </is>
      </c>
      <c r="B97" s="1" t="n">
        <v>45538.33584490741</v>
      </c>
      <c r="C97" s="1" t="n">
        <v>46013</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56647-2025</t>
        </is>
      </c>
      <c r="B98" s="1" t="n">
        <v>45975.63585648148</v>
      </c>
      <c r="C98" s="1" t="n">
        <v>46013</v>
      </c>
      <c r="D98" t="inlineStr">
        <is>
          <t>JÄMTLANDS LÄN</t>
        </is>
      </c>
      <c r="E98" t="inlineStr">
        <is>
          <t>ÖSTERSUND</t>
        </is>
      </c>
      <c r="G98" t="n">
        <v>12.1</v>
      </c>
      <c r="H98" t="n">
        <v>1</v>
      </c>
      <c r="I98" t="n">
        <v>0</v>
      </c>
      <c r="J98" t="n">
        <v>2</v>
      </c>
      <c r="K98" t="n">
        <v>1</v>
      </c>
      <c r="L98" t="n">
        <v>0</v>
      </c>
      <c r="M98" t="n">
        <v>0</v>
      </c>
      <c r="N98" t="n">
        <v>0</v>
      </c>
      <c r="O98" t="n">
        <v>3</v>
      </c>
      <c r="P98" t="n">
        <v>1</v>
      </c>
      <c r="Q98" t="n">
        <v>3</v>
      </c>
      <c r="R98" s="2" t="inlineStr">
        <is>
          <t>Rynkskinn
Garnlav
Tretåig hackspett</t>
        </is>
      </c>
      <c r="S98">
        <f>HYPERLINK("https://klasma.github.io/Logging_2380/artfynd/A 56647-2025 artfynd.xlsx", "A 56647-2025")</f>
        <v/>
      </c>
      <c r="T98">
        <f>HYPERLINK("https://klasma.github.io/Logging_2380/kartor/A 56647-2025 karta.png", "A 56647-2025")</f>
        <v/>
      </c>
      <c r="V98">
        <f>HYPERLINK("https://klasma.github.io/Logging_2380/klagomål/A 56647-2025 FSC-klagomål.docx", "A 56647-2025")</f>
        <v/>
      </c>
      <c r="W98">
        <f>HYPERLINK("https://klasma.github.io/Logging_2380/klagomålsmail/A 56647-2025 FSC-klagomål mail.docx", "A 56647-2025")</f>
        <v/>
      </c>
      <c r="X98">
        <f>HYPERLINK("https://klasma.github.io/Logging_2380/tillsyn/A 56647-2025 tillsynsbegäran.docx", "A 56647-2025")</f>
        <v/>
      </c>
      <c r="Y98">
        <f>HYPERLINK("https://klasma.github.io/Logging_2380/tillsynsmail/A 56647-2025 tillsynsbegäran mail.docx", "A 56647-2025")</f>
        <v/>
      </c>
      <c r="Z98">
        <f>HYPERLINK("https://klasma.github.io/Logging_2380/fåglar/A 56647-2025 prioriterade fågelarter.docx", "A 56647-2025")</f>
        <v/>
      </c>
    </row>
    <row r="99" ht="15" customHeight="1">
      <c r="A99" t="inlineStr">
        <is>
          <t>A 36806-2025</t>
        </is>
      </c>
      <c r="B99" s="1" t="n">
        <v>45873.69988425926</v>
      </c>
      <c r="C99" s="1" t="n">
        <v>46013</v>
      </c>
      <c r="D99" t="inlineStr">
        <is>
          <t>JÄMTLANDS LÄN</t>
        </is>
      </c>
      <c r="E99" t="inlineStr">
        <is>
          <t>ÖSTERSUND</t>
        </is>
      </c>
      <c r="G99" t="n">
        <v>9.800000000000001</v>
      </c>
      <c r="H99" t="n">
        <v>2</v>
      </c>
      <c r="I99" t="n">
        <v>2</v>
      </c>
      <c r="J99" t="n">
        <v>0</v>
      </c>
      <c r="K99" t="n">
        <v>0</v>
      </c>
      <c r="L99" t="n">
        <v>0</v>
      </c>
      <c r="M99" t="n">
        <v>0</v>
      </c>
      <c r="N99" t="n">
        <v>0</v>
      </c>
      <c r="O99" t="n">
        <v>0</v>
      </c>
      <c r="P99" t="n">
        <v>0</v>
      </c>
      <c r="Q99" t="n">
        <v>3</v>
      </c>
      <c r="R99" s="2" t="inlineStr">
        <is>
          <t>Grönkulla
Vårärt
Blåsippa</t>
        </is>
      </c>
      <c r="S99">
        <f>HYPERLINK("https://klasma.github.io/Logging_2380/artfynd/A 36806-2025 artfynd.xlsx", "A 36806-2025")</f>
        <v/>
      </c>
      <c r="T99">
        <f>HYPERLINK("https://klasma.github.io/Logging_2380/kartor/A 36806-2025 karta.png", "A 36806-2025")</f>
        <v/>
      </c>
      <c r="V99">
        <f>HYPERLINK("https://klasma.github.io/Logging_2380/klagomål/A 36806-2025 FSC-klagomål.docx", "A 36806-2025")</f>
        <v/>
      </c>
      <c r="W99">
        <f>HYPERLINK("https://klasma.github.io/Logging_2380/klagomålsmail/A 36806-2025 FSC-klagomål mail.docx", "A 36806-2025")</f>
        <v/>
      </c>
      <c r="X99">
        <f>HYPERLINK("https://klasma.github.io/Logging_2380/tillsyn/A 36806-2025 tillsynsbegäran.docx", "A 36806-2025")</f>
        <v/>
      </c>
      <c r="Y99">
        <f>HYPERLINK("https://klasma.github.io/Logging_2380/tillsynsmail/A 36806-2025 tillsynsbegäran mail.docx", "A 36806-2025")</f>
        <v/>
      </c>
    </row>
    <row r="100" ht="15" customHeight="1">
      <c r="A100" t="inlineStr">
        <is>
          <t>A 53652-2024</t>
        </is>
      </c>
      <c r="B100" s="1" t="n">
        <v>45615.29761574074</v>
      </c>
      <c r="C100" s="1" t="n">
        <v>46013</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5100-2023</t>
        </is>
      </c>
      <c r="B101" s="1" t="n">
        <v>44956</v>
      </c>
      <c r="C101" s="1" t="n">
        <v>46013</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46013</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46705-2023</t>
        </is>
      </c>
      <c r="B103" s="1" t="n">
        <v>45198</v>
      </c>
      <c r="C103" s="1" t="n">
        <v>46013</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43981-2023</t>
        </is>
      </c>
      <c r="B104" s="1" t="n">
        <v>45187</v>
      </c>
      <c r="C104" s="1" t="n">
        <v>46013</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3846-2024</t>
        </is>
      </c>
      <c r="B105" s="1" t="n">
        <v>45321</v>
      </c>
      <c r="C105" s="1" t="n">
        <v>46013</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60565-2022</t>
        </is>
      </c>
      <c r="B106" s="1" t="n">
        <v>44904</v>
      </c>
      <c r="C106" s="1" t="n">
        <v>46013</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46013</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40695-2024</t>
        </is>
      </c>
      <c r="B108" s="1" t="n">
        <v>45558</v>
      </c>
      <c r="C108" s="1" t="n">
        <v>46013</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7965-2025</t>
        </is>
      </c>
      <c r="B109" s="1" t="n">
        <v>45707.45219907408</v>
      </c>
      <c r="C109" s="1" t="n">
        <v>46013</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52129-2023</t>
        </is>
      </c>
      <c r="B110" s="1" t="n">
        <v>45223</v>
      </c>
      <c r="C110" s="1" t="n">
        <v>46013</v>
      </c>
      <c r="D110" t="inlineStr">
        <is>
          <t>JÄMTLANDS LÄN</t>
        </is>
      </c>
      <c r="E110" t="inlineStr">
        <is>
          <t>ÖSTERSUND</t>
        </is>
      </c>
      <c r="F110" t="inlineStr">
        <is>
          <t>SCA</t>
        </is>
      </c>
      <c r="G110" t="n">
        <v>2</v>
      </c>
      <c r="H110" t="n">
        <v>0</v>
      </c>
      <c r="I110" t="n">
        <v>0</v>
      </c>
      <c r="J110" t="n">
        <v>2</v>
      </c>
      <c r="K110" t="n">
        <v>0</v>
      </c>
      <c r="L110" t="n">
        <v>0</v>
      </c>
      <c r="M110" t="n">
        <v>0</v>
      </c>
      <c r="N110" t="n">
        <v>0</v>
      </c>
      <c r="O110" t="n">
        <v>2</v>
      </c>
      <c r="P110" t="n">
        <v>0</v>
      </c>
      <c r="Q110" t="n">
        <v>2</v>
      </c>
      <c r="R110" s="2" t="inlineStr">
        <is>
          <t>Dvärgbägarlav
Kolflarnlav</t>
        </is>
      </c>
      <c r="S110">
        <f>HYPERLINK("https://klasma.github.io/Logging_2380/artfynd/A 52129-2023 artfynd.xlsx", "A 52129-2023")</f>
        <v/>
      </c>
      <c r="T110">
        <f>HYPERLINK("https://klasma.github.io/Logging_2380/kartor/A 52129-2023 karta.png", "A 52129-2023")</f>
        <v/>
      </c>
      <c r="V110">
        <f>HYPERLINK("https://klasma.github.io/Logging_2380/klagomål/A 52129-2023 FSC-klagomål.docx", "A 52129-2023")</f>
        <v/>
      </c>
      <c r="W110">
        <f>HYPERLINK("https://klasma.github.io/Logging_2380/klagomålsmail/A 52129-2023 FSC-klagomål mail.docx", "A 52129-2023")</f>
        <v/>
      </c>
      <c r="X110">
        <f>HYPERLINK("https://klasma.github.io/Logging_2380/tillsyn/A 52129-2023 tillsynsbegäran.docx", "A 52129-2023")</f>
        <v/>
      </c>
      <c r="Y110">
        <f>HYPERLINK("https://klasma.github.io/Logging_2380/tillsynsmail/A 52129-2023 tillsynsbegäran mail.docx", "A 52129-2023")</f>
        <v/>
      </c>
    </row>
    <row r="111" ht="15" customHeight="1">
      <c r="A111" t="inlineStr">
        <is>
          <t>A 63930-2023</t>
        </is>
      </c>
      <c r="B111" s="1" t="n">
        <v>45278</v>
      </c>
      <c r="C111" s="1" t="n">
        <v>46013</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59793-2022</t>
        </is>
      </c>
      <c r="B112" s="1" t="n">
        <v>44908</v>
      </c>
      <c r="C112" s="1" t="n">
        <v>46013</v>
      </c>
      <c r="D112" t="inlineStr">
        <is>
          <t>JÄMTLANDS LÄN</t>
        </is>
      </c>
      <c r="E112" t="inlineStr">
        <is>
          <t>ÖSTERSUND</t>
        </is>
      </c>
      <c r="G112" t="n">
        <v>23.3</v>
      </c>
      <c r="H112" t="n">
        <v>1</v>
      </c>
      <c r="I112" t="n">
        <v>1</v>
      </c>
      <c r="J112" t="n">
        <v>1</v>
      </c>
      <c r="K112" t="n">
        <v>0</v>
      </c>
      <c r="L112" t="n">
        <v>0</v>
      </c>
      <c r="M112" t="n">
        <v>0</v>
      </c>
      <c r="N112" t="n">
        <v>0</v>
      </c>
      <c r="O112" t="n">
        <v>1</v>
      </c>
      <c r="P112" t="n">
        <v>0</v>
      </c>
      <c r="Q112" t="n">
        <v>2</v>
      </c>
      <c r="R112" s="2" t="inlineStr">
        <is>
          <t>Majviva
Spindelblomster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40207-2025</t>
        </is>
      </c>
      <c r="B113" s="1" t="n">
        <v>45894.67988425926</v>
      </c>
      <c r="C113" s="1" t="n">
        <v>46013</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26612-2025</t>
        </is>
      </c>
      <c r="B114" s="1" t="n">
        <v>45810</v>
      </c>
      <c r="C114" s="1" t="n">
        <v>46013</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39968-2024</t>
        </is>
      </c>
      <c r="B115" s="1" t="n">
        <v>45553.59296296296</v>
      </c>
      <c r="C115" s="1" t="n">
        <v>46013</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45237-2025</t>
        </is>
      </c>
      <c r="B116" s="1" t="n">
        <v>45919.59467592592</v>
      </c>
      <c r="C116" s="1" t="n">
        <v>46013</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15700-2025</t>
        </is>
      </c>
      <c r="B117" s="1" t="n">
        <v>45748.47314814815</v>
      </c>
      <c r="C117" s="1" t="n">
        <v>46013</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60614-2022</t>
        </is>
      </c>
      <c r="B118" s="1" t="n">
        <v>44911</v>
      </c>
      <c r="C118" s="1" t="n">
        <v>46013</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56750-2025</t>
        </is>
      </c>
      <c r="B119" s="1" t="n">
        <v>45975</v>
      </c>
      <c r="C119" s="1" t="n">
        <v>46013</v>
      </c>
      <c r="D119" t="inlineStr">
        <is>
          <t>JÄMTLANDS LÄN</t>
        </is>
      </c>
      <c r="E119" t="inlineStr">
        <is>
          <t>ÖSTERSUND</t>
        </is>
      </c>
      <c r="G119" t="n">
        <v>5.1</v>
      </c>
      <c r="H119" t="n">
        <v>1</v>
      </c>
      <c r="I119" t="n">
        <v>0</v>
      </c>
      <c r="J119" t="n">
        <v>1</v>
      </c>
      <c r="K119" t="n">
        <v>0</v>
      </c>
      <c r="L119" t="n">
        <v>0</v>
      </c>
      <c r="M119" t="n">
        <v>0</v>
      </c>
      <c r="N119" t="n">
        <v>0</v>
      </c>
      <c r="O119" t="n">
        <v>1</v>
      </c>
      <c r="P119" t="n">
        <v>0</v>
      </c>
      <c r="Q119" t="n">
        <v>2</v>
      </c>
      <c r="R119" s="2" t="inlineStr">
        <is>
          <t>Garnlav
Revlummer</t>
        </is>
      </c>
      <c r="S119">
        <f>HYPERLINK("https://klasma.github.io/Logging_2380/artfynd/A 56750-2025 artfynd.xlsx", "A 56750-2025")</f>
        <v/>
      </c>
      <c r="T119">
        <f>HYPERLINK("https://klasma.github.io/Logging_2380/kartor/A 56750-2025 karta.png", "A 56750-2025")</f>
        <v/>
      </c>
      <c r="V119">
        <f>HYPERLINK("https://klasma.github.io/Logging_2380/klagomål/A 56750-2025 FSC-klagomål.docx", "A 56750-2025")</f>
        <v/>
      </c>
      <c r="W119">
        <f>HYPERLINK("https://klasma.github.io/Logging_2380/klagomålsmail/A 56750-2025 FSC-klagomål mail.docx", "A 56750-2025")</f>
        <v/>
      </c>
      <c r="X119">
        <f>HYPERLINK("https://klasma.github.io/Logging_2380/tillsyn/A 56750-2025 tillsynsbegäran.docx", "A 56750-2025")</f>
        <v/>
      </c>
      <c r="Y119">
        <f>HYPERLINK("https://klasma.github.io/Logging_2380/tillsynsmail/A 56750-2025 tillsynsbegäran mail.docx", "A 56750-2025")</f>
        <v/>
      </c>
    </row>
    <row r="120" ht="15" customHeight="1">
      <c r="A120" t="inlineStr">
        <is>
          <t>A 47385-2022</t>
        </is>
      </c>
      <c r="B120" s="1" t="n">
        <v>44853</v>
      </c>
      <c r="C120" s="1" t="n">
        <v>46013</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58931-2025</t>
        </is>
      </c>
      <c r="B121" s="1" t="n">
        <v>45987.55831018519</v>
      </c>
      <c r="C121" s="1" t="n">
        <v>46013</v>
      </c>
      <c r="D121" t="inlineStr">
        <is>
          <t>JÄMTLANDS LÄN</t>
        </is>
      </c>
      <c r="E121" t="inlineStr">
        <is>
          <t>ÖSTERSUND</t>
        </is>
      </c>
      <c r="G121" t="n">
        <v>3.9</v>
      </c>
      <c r="H121" t="n">
        <v>2</v>
      </c>
      <c r="I121" t="n">
        <v>0</v>
      </c>
      <c r="J121" t="n">
        <v>0</v>
      </c>
      <c r="K121" t="n">
        <v>0</v>
      </c>
      <c r="L121" t="n">
        <v>0</v>
      </c>
      <c r="M121" t="n">
        <v>0</v>
      </c>
      <c r="N121" t="n">
        <v>0</v>
      </c>
      <c r="O121" t="n">
        <v>0</v>
      </c>
      <c r="P121" t="n">
        <v>0</v>
      </c>
      <c r="Q121" t="n">
        <v>2</v>
      </c>
      <c r="R121" s="2" t="inlineStr">
        <is>
          <t>Blåsippa
Revlummer</t>
        </is>
      </c>
      <c r="S121">
        <f>HYPERLINK("https://klasma.github.io/Logging_2380/artfynd/A 58931-2025 artfynd.xlsx", "A 58931-2025")</f>
        <v/>
      </c>
      <c r="T121">
        <f>HYPERLINK("https://klasma.github.io/Logging_2380/kartor/A 58931-2025 karta.png", "A 58931-2025")</f>
        <v/>
      </c>
      <c r="V121">
        <f>HYPERLINK("https://klasma.github.io/Logging_2380/klagomål/A 58931-2025 FSC-klagomål.docx", "A 58931-2025")</f>
        <v/>
      </c>
      <c r="W121">
        <f>HYPERLINK("https://klasma.github.io/Logging_2380/klagomålsmail/A 58931-2025 FSC-klagomål mail.docx", "A 58931-2025")</f>
        <v/>
      </c>
      <c r="X121">
        <f>HYPERLINK("https://klasma.github.io/Logging_2380/tillsyn/A 58931-2025 tillsynsbegäran.docx", "A 58931-2025")</f>
        <v/>
      </c>
      <c r="Y121">
        <f>HYPERLINK("https://klasma.github.io/Logging_2380/tillsynsmail/A 58931-2025 tillsynsbegäran mail.docx", "A 58931-2025")</f>
        <v/>
      </c>
    </row>
    <row r="122" ht="15" customHeight="1">
      <c r="A122" t="inlineStr">
        <is>
          <t>A 60446-2024</t>
        </is>
      </c>
      <c r="B122" s="1" t="n">
        <v>45643.59420138889</v>
      </c>
      <c r="C122" s="1" t="n">
        <v>46013</v>
      </c>
      <c r="D122" t="inlineStr">
        <is>
          <t>JÄMTLANDS LÄN</t>
        </is>
      </c>
      <c r="E122" t="inlineStr">
        <is>
          <t>ÖSTERSUND</t>
        </is>
      </c>
      <c r="F122" t="inlineStr">
        <is>
          <t>SCA</t>
        </is>
      </c>
      <c r="G122" t="n">
        <v>3.6</v>
      </c>
      <c r="H122" t="n">
        <v>0</v>
      </c>
      <c r="I122" t="n">
        <v>1</v>
      </c>
      <c r="J122" t="n">
        <v>1</v>
      </c>
      <c r="K122" t="n">
        <v>0</v>
      </c>
      <c r="L122" t="n">
        <v>0</v>
      </c>
      <c r="M122" t="n">
        <v>0</v>
      </c>
      <c r="N122" t="n">
        <v>0</v>
      </c>
      <c r="O122" t="n">
        <v>1</v>
      </c>
      <c r="P122" t="n">
        <v>0</v>
      </c>
      <c r="Q122" t="n">
        <v>2</v>
      </c>
      <c r="R122" s="2" t="inlineStr">
        <is>
          <t>Ullticka
Vedticka</t>
        </is>
      </c>
      <c r="S122">
        <f>HYPERLINK("https://klasma.github.io/Logging_2380/artfynd/A 60446-2024 artfynd.xlsx", "A 60446-2024")</f>
        <v/>
      </c>
      <c r="T122">
        <f>HYPERLINK("https://klasma.github.io/Logging_2380/kartor/A 60446-2024 karta.png", "A 60446-2024")</f>
        <v/>
      </c>
      <c r="V122">
        <f>HYPERLINK("https://klasma.github.io/Logging_2380/klagomål/A 60446-2024 FSC-klagomål.docx", "A 60446-2024")</f>
        <v/>
      </c>
      <c r="W122">
        <f>HYPERLINK("https://klasma.github.io/Logging_2380/klagomålsmail/A 60446-2024 FSC-klagomål mail.docx", "A 60446-2024")</f>
        <v/>
      </c>
      <c r="X122">
        <f>HYPERLINK("https://klasma.github.io/Logging_2380/tillsyn/A 60446-2024 tillsynsbegäran.docx", "A 60446-2024")</f>
        <v/>
      </c>
      <c r="Y122">
        <f>HYPERLINK("https://klasma.github.io/Logging_2380/tillsynsmail/A 60446-2024 tillsynsbegäran mail.docx", "A 60446-2024")</f>
        <v/>
      </c>
    </row>
    <row r="123" ht="15" customHeight="1">
      <c r="A123" t="inlineStr">
        <is>
          <t>A 21615-2024</t>
        </is>
      </c>
      <c r="B123" s="1" t="n">
        <v>45441.95357638889</v>
      </c>
      <c r="C123" s="1" t="n">
        <v>46013</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54872-2025</t>
        </is>
      </c>
      <c r="B124" s="1" t="n">
        <v>45966.94104166667</v>
      </c>
      <c r="C124" s="1" t="n">
        <v>46013</v>
      </c>
      <c r="D124" t="inlineStr">
        <is>
          <t>JÄMTLANDS LÄN</t>
        </is>
      </c>
      <c r="E124" t="inlineStr">
        <is>
          <t>ÖSTERSUND</t>
        </is>
      </c>
      <c r="G124" t="n">
        <v>2.4</v>
      </c>
      <c r="H124" t="n">
        <v>1</v>
      </c>
      <c r="I124" t="n">
        <v>1</v>
      </c>
      <c r="J124" t="n">
        <v>1</v>
      </c>
      <c r="K124" t="n">
        <v>0</v>
      </c>
      <c r="L124" t="n">
        <v>0</v>
      </c>
      <c r="M124" t="n">
        <v>0</v>
      </c>
      <c r="N124" t="n">
        <v>0</v>
      </c>
      <c r="O124" t="n">
        <v>1</v>
      </c>
      <c r="P124" t="n">
        <v>0</v>
      </c>
      <c r="Q124" t="n">
        <v>2</v>
      </c>
      <c r="R124" s="2" t="inlineStr">
        <is>
          <t>Slåtterfibbla
Korallrot</t>
        </is>
      </c>
      <c r="S124">
        <f>HYPERLINK("https://klasma.github.io/Logging_2380/artfynd/A 54872-2025 artfynd.xlsx", "A 54872-2025")</f>
        <v/>
      </c>
      <c r="T124">
        <f>HYPERLINK("https://klasma.github.io/Logging_2380/kartor/A 54872-2025 karta.png", "A 54872-2025")</f>
        <v/>
      </c>
      <c r="V124">
        <f>HYPERLINK("https://klasma.github.io/Logging_2380/klagomål/A 54872-2025 FSC-klagomål.docx", "A 54872-2025")</f>
        <v/>
      </c>
      <c r="W124">
        <f>HYPERLINK("https://klasma.github.io/Logging_2380/klagomålsmail/A 54872-2025 FSC-klagomål mail.docx", "A 54872-2025")</f>
        <v/>
      </c>
      <c r="X124">
        <f>HYPERLINK("https://klasma.github.io/Logging_2380/tillsyn/A 54872-2025 tillsynsbegäran.docx", "A 54872-2025")</f>
        <v/>
      </c>
      <c r="Y124">
        <f>HYPERLINK("https://klasma.github.io/Logging_2380/tillsynsmail/A 54872-2025 tillsynsbegäran mail.docx", "A 54872-2025")</f>
        <v/>
      </c>
    </row>
    <row r="125" ht="15" customHeight="1">
      <c r="A125" t="inlineStr">
        <is>
          <t>A 35977-2024</t>
        </is>
      </c>
      <c r="B125" s="1" t="n">
        <v>45533.49601851852</v>
      </c>
      <c r="C125" s="1" t="n">
        <v>46013</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50125-2024</t>
        </is>
      </c>
      <c r="B126" s="1" t="n">
        <v>45600.42737268518</v>
      </c>
      <c r="C126" s="1" t="n">
        <v>46013</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10529-2025</t>
        </is>
      </c>
      <c r="B127" s="1" t="n">
        <v>45721.44840277778</v>
      </c>
      <c r="C127" s="1" t="n">
        <v>46013</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46013</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4916-2023</t>
        </is>
      </c>
      <c r="B129" s="1" t="n">
        <v>44956</v>
      </c>
      <c r="C129" s="1" t="n">
        <v>46013</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46105-2021</t>
        </is>
      </c>
      <c r="B130" s="1" t="n">
        <v>44441</v>
      </c>
      <c r="C130" s="1" t="n">
        <v>46013</v>
      </c>
      <c r="D130" t="inlineStr">
        <is>
          <t>JÄMTLANDS LÄN</t>
        </is>
      </c>
      <c r="E130" t="inlineStr">
        <is>
          <t>ÖSTERSUND</t>
        </is>
      </c>
      <c r="G130" t="n">
        <v>4.4</v>
      </c>
      <c r="H130" t="n">
        <v>2</v>
      </c>
      <c r="I130" t="n">
        <v>0</v>
      </c>
      <c r="J130" t="n">
        <v>1</v>
      </c>
      <c r="K130" t="n">
        <v>1</v>
      </c>
      <c r="L130" t="n">
        <v>0</v>
      </c>
      <c r="M130" t="n">
        <v>0</v>
      </c>
      <c r="N130" t="n">
        <v>0</v>
      </c>
      <c r="O130" t="n">
        <v>2</v>
      </c>
      <c r="P130" t="n">
        <v>1</v>
      </c>
      <c r="Q130" t="n">
        <v>2</v>
      </c>
      <c r="R130" s="2" t="inlineStr">
        <is>
          <t>Tallbit
Tretåig hackspett</t>
        </is>
      </c>
      <c r="S130">
        <f>HYPERLINK("https://klasma.github.io/Logging_2380/artfynd/A 46105-2021 artfynd.xlsx", "A 46105-2021")</f>
        <v/>
      </c>
      <c r="T130">
        <f>HYPERLINK("https://klasma.github.io/Logging_2380/kartor/A 46105-2021 karta.png", "A 46105-2021")</f>
        <v/>
      </c>
      <c r="V130">
        <f>HYPERLINK("https://klasma.github.io/Logging_2380/klagomål/A 46105-2021 FSC-klagomål.docx", "A 46105-2021")</f>
        <v/>
      </c>
      <c r="W130">
        <f>HYPERLINK("https://klasma.github.io/Logging_2380/klagomålsmail/A 46105-2021 FSC-klagomål mail.docx", "A 46105-2021")</f>
        <v/>
      </c>
      <c r="X130">
        <f>HYPERLINK("https://klasma.github.io/Logging_2380/tillsyn/A 46105-2021 tillsynsbegäran.docx", "A 46105-2021")</f>
        <v/>
      </c>
      <c r="Y130">
        <f>HYPERLINK("https://klasma.github.io/Logging_2380/tillsynsmail/A 46105-2021 tillsynsbegäran mail.docx", "A 46105-2021")</f>
        <v/>
      </c>
      <c r="Z130">
        <f>HYPERLINK("https://klasma.github.io/Logging_2380/fåglar/A 46105-2021 prioriterade fågelarter.docx", "A 46105-2021")</f>
        <v/>
      </c>
    </row>
    <row r="131" ht="15" customHeight="1">
      <c r="A131" t="inlineStr">
        <is>
          <t>A 60534-2022</t>
        </is>
      </c>
      <c r="B131" s="1" t="n">
        <v>44904</v>
      </c>
      <c r="C131" s="1" t="n">
        <v>46013</v>
      </c>
      <c r="D131" t="inlineStr">
        <is>
          <t>JÄMTLANDS LÄN</t>
        </is>
      </c>
      <c r="E131" t="inlineStr">
        <is>
          <t>ÖSTERSUND</t>
        </is>
      </c>
      <c r="G131" t="n">
        <v>9.9</v>
      </c>
      <c r="H131" t="n">
        <v>0</v>
      </c>
      <c r="I131" t="n">
        <v>0</v>
      </c>
      <c r="J131" t="n">
        <v>2</v>
      </c>
      <c r="K131" t="n">
        <v>0</v>
      </c>
      <c r="L131" t="n">
        <v>0</v>
      </c>
      <c r="M131" t="n">
        <v>0</v>
      </c>
      <c r="N131" t="n">
        <v>0</v>
      </c>
      <c r="O131" t="n">
        <v>2</v>
      </c>
      <c r="P131" t="n">
        <v>0</v>
      </c>
      <c r="Q131" t="n">
        <v>2</v>
      </c>
      <c r="R131" s="2" t="inlineStr">
        <is>
          <t>Rosenticka
Ullticka</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13795-2025</t>
        </is>
      </c>
      <c r="B132" s="1" t="n">
        <v>45737</v>
      </c>
      <c r="C132" s="1" t="n">
        <v>46013</v>
      </c>
      <c r="D132" t="inlineStr">
        <is>
          <t>JÄMTLANDS LÄN</t>
        </is>
      </c>
      <c r="E132" t="inlineStr">
        <is>
          <t>ÖSTERSUND</t>
        </is>
      </c>
      <c r="G132" t="n">
        <v>13.4</v>
      </c>
      <c r="H132" t="n">
        <v>1</v>
      </c>
      <c r="I132" t="n">
        <v>0</v>
      </c>
      <c r="J132" t="n">
        <v>1</v>
      </c>
      <c r="K132" t="n">
        <v>1</v>
      </c>
      <c r="L132" t="n">
        <v>0</v>
      </c>
      <c r="M132" t="n">
        <v>0</v>
      </c>
      <c r="N132" t="n">
        <v>0</v>
      </c>
      <c r="O132" t="n">
        <v>2</v>
      </c>
      <c r="P132" t="n">
        <v>1</v>
      </c>
      <c r="Q132" t="n">
        <v>2</v>
      </c>
      <c r="R132" s="2" t="inlineStr">
        <is>
          <t>Knärot
Lunglav</t>
        </is>
      </c>
      <c r="S132">
        <f>HYPERLINK("https://klasma.github.io/Logging_2380/artfynd/A 13795-2025 artfynd.xlsx", "A 13795-2025")</f>
        <v/>
      </c>
      <c r="T132">
        <f>HYPERLINK("https://klasma.github.io/Logging_2380/kartor/A 13795-2025 karta.png", "A 13795-2025")</f>
        <v/>
      </c>
      <c r="U132">
        <f>HYPERLINK("https://klasma.github.io/Logging_2380/knärot/A 13795-2025 karta knärot.png", "A 13795-2025")</f>
        <v/>
      </c>
      <c r="V132">
        <f>HYPERLINK("https://klasma.github.io/Logging_2380/klagomål/A 13795-2025 FSC-klagomål.docx", "A 13795-2025")</f>
        <v/>
      </c>
      <c r="W132">
        <f>HYPERLINK("https://klasma.github.io/Logging_2380/klagomålsmail/A 13795-2025 FSC-klagomål mail.docx", "A 13795-2025")</f>
        <v/>
      </c>
      <c r="X132">
        <f>HYPERLINK("https://klasma.github.io/Logging_2380/tillsyn/A 13795-2025 tillsynsbegäran.docx", "A 13795-2025")</f>
        <v/>
      </c>
      <c r="Y132">
        <f>HYPERLINK("https://klasma.github.io/Logging_2380/tillsynsmail/A 13795-2025 tillsynsbegäran mail.docx", "A 13795-2025")</f>
        <v/>
      </c>
    </row>
    <row r="133" ht="15" customHeight="1">
      <c r="A133" t="inlineStr">
        <is>
          <t>A 33137-2021</t>
        </is>
      </c>
      <c r="B133" s="1" t="n">
        <v>44376</v>
      </c>
      <c r="C133" s="1" t="n">
        <v>46013</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46013</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46013</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27578-2022</t>
        </is>
      </c>
      <c r="B136" s="1" t="n">
        <v>44742</v>
      </c>
      <c r="C136" s="1" t="n">
        <v>46013</v>
      </c>
      <c r="D136" t="inlineStr">
        <is>
          <t>JÄMTLANDS LÄN</t>
        </is>
      </c>
      <c r="E136" t="inlineStr">
        <is>
          <t>ÖSTERSUND</t>
        </is>
      </c>
      <c r="F136" t="inlineStr">
        <is>
          <t>SCA</t>
        </is>
      </c>
      <c r="G136" t="n">
        <v>2</v>
      </c>
      <c r="H136" t="n">
        <v>1</v>
      </c>
      <c r="I136" t="n">
        <v>0</v>
      </c>
      <c r="J136" t="n">
        <v>0</v>
      </c>
      <c r="K136" t="n">
        <v>0</v>
      </c>
      <c r="L136" t="n">
        <v>0</v>
      </c>
      <c r="M136" t="n">
        <v>0</v>
      </c>
      <c r="N136" t="n">
        <v>0</v>
      </c>
      <c r="O136" t="n">
        <v>0</v>
      </c>
      <c r="P136" t="n">
        <v>0</v>
      </c>
      <c r="Q136" t="n">
        <v>1</v>
      </c>
      <c r="R136" s="2" t="inlineStr">
        <is>
          <t>Blåsippa</t>
        </is>
      </c>
      <c r="S136">
        <f>HYPERLINK("https://klasma.github.io/Logging_2380/artfynd/A 27578-2022 artfynd.xlsx", "A 27578-2022")</f>
        <v/>
      </c>
      <c r="T136">
        <f>HYPERLINK("https://klasma.github.io/Logging_2380/kartor/A 27578-2022 karta.png", "A 27578-2022")</f>
        <v/>
      </c>
      <c r="V136">
        <f>HYPERLINK("https://klasma.github.io/Logging_2380/klagomål/A 27578-2022 FSC-klagomål.docx", "A 27578-2022")</f>
        <v/>
      </c>
      <c r="W136">
        <f>HYPERLINK("https://klasma.github.io/Logging_2380/klagomålsmail/A 27578-2022 FSC-klagomål mail.docx", "A 27578-2022")</f>
        <v/>
      </c>
      <c r="X136">
        <f>HYPERLINK("https://klasma.github.io/Logging_2380/tillsyn/A 27578-2022 tillsynsbegäran.docx", "A 27578-2022")</f>
        <v/>
      </c>
      <c r="Y136">
        <f>HYPERLINK("https://klasma.github.io/Logging_2380/tillsynsmail/A 27578-2022 tillsynsbegäran mail.docx", "A 27578-2022")</f>
        <v/>
      </c>
    </row>
    <row r="137" ht="15" customHeight="1">
      <c r="A137" t="inlineStr">
        <is>
          <t>A 40694-2024</t>
        </is>
      </c>
      <c r="B137" s="1" t="n">
        <v>45558</v>
      </c>
      <c r="C137" s="1" t="n">
        <v>46013</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41279-2024</t>
        </is>
      </c>
      <c r="B138" s="1" t="n">
        <v>45559</v>
      </c>
      <c r="C138" s="1" t="n">
        <v>46013</v>
      </c>
      <c r="D138" t="inlineStr">
        <is>
          <t>JÄMTLANDS LÄN</t>
        </is>
      </c>
      <c r="E138" t="inlineStr">
        <is>
          <t>ÖSTERSUND</t>
        </is>
      </c>
      <c r="F138" t="inlineStr">
        <is>
          <t>SCA</t>
        </is>
      </c>
      <c r="G138" t="n">
        <v>1.6</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41279-2024 artfynd.xlsx", "A 41279-2024")</f>
        <v/>
      </c>
      <c r="T138">
        <f>HYPERLINK("https://klasma.github.io/Logging_2380/kartor/A 41279-2024 karta.png", "A 41279-2024")</f>
        <v/>
      </c>
      <c r="V138">
        <f>HYPERLINK("https://klasma.github.io/Logging_2380/klagomål/A 41279-2024 FSC-klagomål.docx", "A 41279-2024")</f>
        <v/>
      </c>
      <c r="W138">
        <f>HYPERLINK("https://klasma.github.io/Logging_2380/klagomålsmail/A 41279-2024 FSC-klagomål mail.docx", "A 41279-2024")</f>
        <v/>
      </c>
      <c r="X138">
        <f>HYPERLINK("https://klasma.github.io/Logging_2380/tillsyn/A 41279-2024 tillsynsbegäran.docx", "A 41279-2024")</f>
        <v/>
      </c>
      <c r="Y138">
        <f>HYPERLINK("https://klasma.github.io/Logging_2380/tillsynsmail/A 41279-2024 tillsynsbegäran mail.docx", "A 41279-2024")</f>
        <v/>
      </c>
    </row>
    <row r="139" ht="15" customHeight="1">
      <c r="A139" t="inlineStr">
        <is>
          <t>A 58181-2022</t>
        </is>
      </c>
      <c r="B139" s="1" t="n">
        <v>44900</v>
      </c>
      <c r="C139" s="1" t="n">
        <v>46013</v>
      </c>
      <c r="D139" t="inlineStr">
        <is>
          <t>JÄMTLANDS LÄN</t>
        </is>
      </c>
      <c r="E139" t="inlineStr">
        <is>
          <t>ÖSTERSUND</t>
        </is>
      </c>
      <c r="G139" t="n">
        <v>14.8</v>
      </c>
      <c r="H139" t="n">
        <v>0</v>
      </c>
      <c r="I139" t="n">
        <v>1</v>
      </c>
      <c r="J139" t="n">
        <v>0</v>
      </c>
      <c r="K139" t="n">
        <v>0</v>
      </c>
      <c r="L139" t="n">
        <v>0</v>
      </c>
      <c r="M139" t="n">
        <v>0</v>
      </c>
      <c r="N139" t="n">
        <v>0</v>
      </c>
      <c r="O139" t="n">
        <v>0</v>
      </c>
      <c r="P139" t="n">
        <v>0</v>
      </c>
      <c r="Q139" t="n">
        <v>1</v>
      </c>
      <c r="R139" s="2" t="inlineStr">
        <is>
          <t>Finbräken</t>
        </is>
      </c>
      <c r="S139">
        <f>HYPERLINK("https://klasma.github.io/Logging_2380/artfynd/A 58181-2022 artfynd.xlsx", "A 58181-2022")</f>
        <v/>
      </c>
      <c r="T139">
        <f>HYPERLINK("https://klasma.github.io/Logging_2380/kartor/A 58181-2022 karta.png", "A 58181-2022")</f>
        <v/>
      </c>
      <c r="V139">
        <f>HYPERLINK("https://klasma.github.io/Logging_2380/klagomål/A 58181-2022 FSC-klagomål.docx", "A 58181-2022")</f>
        <v/>
      </c>
      <c r="W139">
        <f>HYPERLINK("https://klasma.github.io/Logging_2380/klagomålsmail/A 58181-2022 FSC-klagomål mail.docx", "A 58181-2022")</f>
        <v/>
      </c>
      <c r="X139">
        <f>HYPERLINK("https://klasma.github.io/Logging_2380/tillsyn/A 58181-2022 tillsynsbegäran.docx", "A 58181-2022")</f>
        <v/>
      </c>
      <c r="Y139">
        <f>HYPERLINK("https://klasma.github.io/Logging_2380/tillsynsmail/A 58181-2022 tillsynsbegäran mail.docx", "A 58181-2022")</f>
        <v/>
      </c>
    </row>
    <row r="140" ht="15" customHeight="1">
      <c r="A140" t="inlineStr">
        <is>
          <t>A 26605-2025</t>
        </is>
      </c>
      <c r="B140" s="1" t="n">
        <v>45809.86790509259</v>
      </c>
      <c r="C140" s="1" t="n">
        <v>46013</v>
      </c>
      <c r="D140" t="inlineStr">
        <is>
          <t>JÄMTLANDS LÄN</t>
        </is>
      </c>
      <c r="E140" t="inlineStr">
        <is>
          <t>ÖSTERSUND</t>
        </is>
      </c>
      <c r="G140" t="n">
        <v>1.3</v>
      </c>
      <c r="H140" t="n">
        <v>0</v>
      </c>
      <c r="I140" t="n">
        <v>0</v>
      </c>
      <c r="J140" t="n">
        <v>1</v>
      </c>
      <c r="K140" t="n">
        <v>0</v>
      </c>
      <c r="L140" t="n">
        <v>0</v>
      </c>
      <c r="M140" t="n">
        <v>0</v>
      </c>
      <c r="N140" t="n">
        <v>0</v>
      </c>
      <c r="O140" t="n">
        <v>1</v>
      </c>
      <c r="P140" t="n">
        <v>0</v>
      </c>
      <c r="Q140" t="n">
        <v>1</v>
      </c>
      <c r="R140" s="2" t="inlineStr">
        <is>
          <t>Garnlav</t>
        </is>
      </c>
      <c r="S140">
        <f>HYPERLINK("https://klasma.github.io/Logging_2380/artfynd/A 26605-2025 artfynd.xlsx", "A 26605-2025")</f>
        <v/>
      </c>
      <c r="T140">
        <f>HYPERLINK("https://klasma.github.io/Logging_2380/kartor/A 26605-2025 karta.png", "A 26605-2025")</f>
        <v/>
      </c>
      <c r="V140">
        <f>HYPERLINK("https://klasma.github.io/Logging_2380/klagomål/A 26605-2025 FSC-klagomål.docx", "A 26605-2025")</f>
        <v/>
      </c>
      <c r="W140">
        <f>HYPERLINK("https://klasma.github.io/Logging_2380/klagomålsmail/A 26605-2025 FSC-klagomål mail.docx", "A 26605-2025")</f>
        <v/>
      </c>
      <c r="X140">
        <f>HYPERLINK("https://klasma.github.io/Logging_2380/tillsyn/A 26605-2025 tillsynsbegäran.docx", "A 26605-2025")</f>
        <v/>
      </c>
      <c r="Y140">
        <f>HYPERLINK("https://klasma.github.io/Logging_2380/tillsynsmail/A 26605-2025 tillsynsbegäran mail.docx", "A 26605-2025")</f>
        <v/>
      </c>
    </row>
    <row r="141" ht="15" customHeight="1">
      <c r="A141" t="inlineStr">
        <is>
          <t>A 57065-2024</t>
        </is>
      </c>
      <c r="B141" s="1" t="n">
        <v>45629.35344907407</v>
      </c>
      <c r="C141" s="1" t="n">
        <v>46013</v>
      </c>
      <c r="D141" t="inlineStr">
        <is>
          <t>JÄMTLANDS LÄN</t>
        </is>
      </c>
      <c r="E141" t="inlineStr">
        <is>
          <t>ÖSTERSUND</t>
        </is>
      </c>
      <c r="F141" t="inlineStr">
        <is>
          <t>SCA</t>
        </is>
      </c>
      <c r="G141" t="n">
        <v>6.3</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57065-2024 artfynd.xlsx", "A 57065-2024")</f>
        <v/>
      </c>
      <c r="T141">
        <f>HYPERLINK("https://klasma.github.io/Logging_2380/kartor/A 57065-2024 karta.png", "A 57065-2024")</f>
        <v/>
      </c>
      <c r="V141">
        <f>HYPERLINK("https://klasma.github.io/Logging_2380/klagomål/A 57065-2024 FSC-klagomål.docx", "A 57065-2024")</f>
        <v/>
      </c>
      <c r="W141">
        <f>HYPERLINK("https://klasma.github.io/Logging_2380/klagomålsmail/A 57065-2024 FSC-klagomål mail.docx", "A 57065-2024")</f>
        <v/>
      </c>
      <c r="X141">
        <f>HYPERLINK("https://klasma.github.io/Logging_2380/tillsyn/A 57065-2024 tillsynsbegäran.docx", "A 57065-2024")</f>
        <v/>
      </c>
      <c r="Y141">
        <f>HYPERLINK("https://klasma.github.io/Logging_2380/tillsynsmail/A 57065-2024 tillsynsbegäran mail.docx", "A 57065-2024")</f>
        <v/>
      </c>
      <c r="Z141">
        <f>HYPERLINK("https://klasma.github.io/Logging_2380/fåglar/A 57065-2024 prioriterade fågelarter.docx", "A 57065-2024")</f>
        <v/>
      </c>
    </row>
    <row r="142" ht="15" customHeight="1">
      <c r="A142" t="inlineStr">
        <is>
          <t>A 40781-2025</t>
        </is>
      </c>
      <c r="B142" s="1" t="n">
        <v>45897</v>
      </c>
      <c r="C142" s="1" t="n">
        <v>46013</v>
      </c>
      <c r="D142" t="inlineStr">
        <is>
          <t>JÄMTLANDS LÄN</t>
        </is>
      </c>
      <c r="E142" t="inlineStr">
        <is>
          <t>ÖSTERSUND</t>
        </is>
      </c>
      <c r="F142" t="inlineStr">
        <is>
          <t>Övriga Aktiebolag</t>
        </is>
      </c>
      <c r="G142" t="n">
        <v>2.2</v>
      </c>
      <c r="H142" t="n">
        <v>1</v>
      </c>
      <c r="I142" t="n">
        <v>0</v>
      </c>
      <c r="J142" t="n">
        <v>0</v>
      </c>
      <c r="K142" t="n">
        <v>0</v>
      </c>
      <c r="L142" t="n">
        <v>0</v>
      </c>
      <c r="M142" t="n">
        <v>0</v>
      </c>
      <c r="N142" t="n">
        <v>0</v>
      </c>
      <c r="O142" t="n">
        <v>0</v>
      </c>
      <c r="P142" t="n">
        <v>0</v>
      </c>
      <c r="Q142" t="n">
        <v>1</v>
      </c>
      <c r="R142" s="2" t="inlineStr">
        <is>
          <t>Blåsippa</t>
        </is>
      </c>
      <c r="S142">
        <f>HYPERLINK("https://klasma.github.io/Logging_2380/artfynd/A 40781-2025 artfynd.xlsx", "A 40781-2025")</f>
        <v/>
      </c>
      <c r="T142">
        <f>HYPERLINK("https://klasma.github.io/Logging_2380/kartor/A 40781-2025 karta.png", "A 40781-2025")</f>
        <v/>
      </c>
      <c r="V142">
        <f>HYPERLINK("https://klasma.github.io/Logging_2380/klagomål/A 40781-2025 FSC-klagomål.docx", "A 40781-2025")</f>
        <v/>
      </c>
      <c r="W142">
        <f>HYPERLINK("https://klasma.github.io/Logging_2380/klagomålsmail/A 40781-2025 FSC-klagomål mail.docx", "A 40781-2025")</f>
        <v/>
      </c>
      <c r="X142">
        <f>HYPERLINK("https://klasma.github.io/Logging_2380/tillsyn/A 40781-2025 tillsynsbegäran.docx", "A 40781-2025")</f>
        <v/>
      </c>
      <c r="Y142">
        <f>HYPERLINK("https://klasma.github.io/Logging_2380/tillsynsmail/A 40781-2025 tillsynsbegäran mail.docx", "A 40781-2025")</f>
        <v/>
      </c>
    </row>
    <row r="143" ht="15" customHeight="1">
      <c r="A143" t="inlineStr">
        <is>
          <t>A 40692-2024</t>
        </is>
      </c>
      <c r="B143" s="1" t="n">
        <v>45558</v>
      </c>
      <c r="C143" s="1" t="n">
        <v>46013</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46013</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46013</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43188-2025</t>
        </is>
      </c>
      <c r="B146" s="1" t="n">
        <v>45910.41201388889</v>
      </c>
      <c r="C146" s="1" t="n">
        <v>46013</v>
      </c>
      <c r="D146" t="inlineStr">
        <is>
          <t>JÄMTLANDS LÄN</t>
        </is>
      </c>
      <c r="E146" t="inlineStr">
        <is>
          <t>ÖSTERSUND</t>
        </is>
      </c>
      <c r="G146" t="n">
        <v>8.6</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43188-2025 artfynd.xlsx", "A 43188-2025")</f>
        <v/>
      </c>
      <c r="T146">
        <f>HYPERLINK("https://klasma.github.io/Logging_2380/kartor/A 43188-2025 karta.png", "A 43188-2025")</f>
        <v/>
      </c>
      <c r="V146">
        <f>HYPERLINK("https://klasma.github.io/Logging_2380/klagomål/A 43188-2025 FSC-klagomål.docx", "A 43188-2025")</f>
        <v/>
      </c>
      <c r="W146">
        <f>HYPERLINK("https://klasma.github.io/Logging_2380/klagomålsmail/A 43188-2025 FSC-klagomål mail.docx", "A 43188-2025")</f>
        <v/>
      </c>
      <c r="X146">
        <f>HYPERLINK("https://klasma.github.io/Logging_2380/tillsyn/A 43188-2025 tillsynsbegäran.docx", "A 43188-2025")</f>
        <v/>
      </c>
      <c r="Y146">
        <f>HYPERLINK("https://klasma.github.io/Logging_2380/tillsynsmail/A 43188-2025 tillsynsbegäran mail.docx", "A 43188-2025")</f>
        <v/>
      </c>
      <c r="Z146">
        <f>HYPERLINK("https://klasma.github.io/Logging_2380/fåglar/A 43188-2025 prioriterade fågelarter.docx", "A 43188-2025")</f>
        <v/>
      </c>
    </row>
    <row r="147" ht="15" customHeight="1">
      <c r="A147" t="inlineStr">
        <is>
          <t>A 33550-2025</t>
        </is>
      </c>
      <c r="B147" s="1" t="n">
        <v>45841.57331018519</v>
      </c>
      <c r="C147" s="1" t="n">
        <v>46013</v>
      </c>
      <c r="D147" t="inlineStr">
        <is>
          <t>JÄMTLANDS LÄN</t>
        </is>
      </c>
      <c r="E147" t="inlineStr">
        <is>
          <t>ÖSTERSUND</t>
        </is>
      </c>
      <c r="F147" t="inlineStr">
        <is>
          <t>SCA</t>
        </is>
      </c>
      <c r="G147" t="n">
        <v>7.3</v>
      </c>
      <c r="H147" t="n">
        <v>0</v>
      </c>
      <c r="I147" t="n">
        <v>1</v>
      </c>
      <c r="J147" t="n">
        <v>0</v>
      </c>
      <c r="K147" t="n">
        <v>0</v>
      </c>
      <c r="L147" t="n">
        <v>0</v>
      </c>
      <c r="M147" t="n">
        <v>0</v>
      </c>
      <c r="N147" t="n">
        <v>0</v>
      </c>
      <c r="O147" t="n">
        <v>0</v>
      </c>
      <c r="P147" t="n">
        <v>0</v>
      </c>
      <c r="Q147" t="n">
        <v>1</v>
      </c>
      <c r="R147" s="2" t="inlineStr">
        <is>
          <t>Dropptaggsvamp</t>
        </is>
      </c>
      <c r="S147">
        <f>HYPERLINK("https://klasma.github.io/Logging_2380/artfynd/A 33550-2025 artfynd.xlsx", "A 33550-2025")</f>
        <v/>
      </c>
      <c r="T147">
        <f>HYPERLINK("https://klasma.github.io/Logging_2380/kartor/A 33550-2025 karta.png", "A 33550-2025")</f>
        <v/>
      </c>
      <c r="V147">
        <f>HYPERLINK("https://klasma.github.io/Logging_2380/klagomål/A 33550-2025 FSC-klagomål.docx", "A 33550-2025")</f>
        <v/>
      </c>
      <c r="W147">
        <f>HYPERLINK("https://klasma.github.io/Logging_2380/klagomålsmail/A 33550-2025 FSC-klagomål mail.docx", "A 33550-2025")</f>
        <v/>
      </c>
      <c r="X147">
        <f>HYPERLINK("https://klasma.github.io/Logging_2380/tillsyn/A 33550-2025 tillsynsbegäran.docx", "A 33550-2025")</f>
        <v/>
      </c>
      <c r="Y147">
        <f>HYPERLINK("https://klasma.github.io/Logging_2380/tillsynsmail/A 33550-2025 tillsynsbegäran mail.docx", "A 33550-2025")</f>
        <v/>
      </c>
    </row>
    <row r="148" ht="15" customHeight="1">
      <c r="A148" t="inlineStr">
        <is>
          <t>A 41312-2024</t>
        </is>
      </c>
      <c r="B148" s="1" t="n">
        <v>45559.63584490741</v>
      </c>
      <c r="C148" s="1" t="n">
        <v>46013</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56201-2024</t>
        </is>
      </c>
      <c r="B149" s="1" t="n">
        <v>45624.59462962963</v>
      </c>
      <c r="C149" s="1" t="n">
        <v>46013</v>
      </c>
      <c r="D149" t="inlineStr">
        <is>
          <t>JÄMTLANDS LÄN</t>
        </is>
      </c>
      <c r="E149" t="inlineStr">
        <is>
          <t>ÖSTERSUND</t>
        </is>
      </c>
      <c r="F149" t="inlineStr">
        <is>
          <t>SCA</t>
        </is>
      </c>
      <c r="G149" t="n">
        <v>5.9</v>
      </c>
      <c r="H149" t="n">
        <v>1</v>
      </c>
      <c r="I149" t="n">
        <v>0</v>
      </c>
      <c r="J149" t="n">
        <v>0</v>
      </c>
      <c r="K149" t="n">
        <v>1</v>
      </c>
      <c r="L149" t="n">
        <v>0</v>
      </c>
      <c r="M149" t="n">
        <v>0</v>
      </c>
      <c r="N149" t="n">
        <v>0</v>
      </c>
      <c r="O149" t="n">
        <v>1</v>
      </c>
      <c r="P149" t="n">
        <v>1</v>
      </c>
      <c r="Q149" t="n">
        <v>1</v>
      </c>
      <c r="R149" s="2" t="inlineStr">
        <is>
          <t>Doftticka</t>
        </is>
      </c>
      <c r="S149">
        <f>HYPERLINK("https://klasma.github.io/Logging_2380/artfynd/A 56201-2024 artfynd.xlsx", "A 56201-2024")</f>
        <v/>
      </c>
      <c r="T149">
        <f>HYPERLINK("https://klasma.github.io/Logging_2380/kartor/A 56201-2024 karta.png", "A 56201-2024")</f>
        <v/>
      </c>
      <c r="V149">
        <f>HYPERLINK("https://klasma.github.io/Logging_2380/klagomål/A 56201-2024 FSC-klagomål.docx", "A 56201-2024")</f>
        <v/>
      </c>
      <c r="W149">
        <f>HYPERLINK("https://klasma.github.io/Logging_2380/klagomålsmail/A 56201-2024 FSC-klagomål mail.docx", "A 56201-2024")</f>
        <v/>
      </c>
      <c r="X149">
        <f>HYPERLINK("https://klasma.github.io/Logging_2380/tillsyn/A 56201-2024 tillsynsbegäran.docx", "A 56201-2024")</f>
        <v/>
      </c>
      <c r="Y149">
        <f>HYPERLINK("https://klasma.github.io/Logging_2380/tillsynsmail/A 56201-2024 tillsynsbegäran mail.docx", "A 56201-2024")</f>
        <v/>
      </c>
    </row>
    <row r="150" ht="15" customHeight="1">
      <c r="A150" t="inlineStr">
        <is>
          <t>A 47580-2025</t>
        </is>
      </c>
      <c r="B150" s="1" t="n">
        <v>45931.40935185185</v>
      </c>
      <c r="C150" s="1" t="n">
        <v>46013</v>
      </c>
      <c r="D150" t="inlineStr">
        <is>
          <t>JÄMTLANDS LÄN</t>
        </is>
      </c>
      <c r="E150" t="inlineStr">
        <is>
          <t>ÖSTERSUND</t>
        </is>
      </c>
      <c r="G150" t="n">
        <v>4.1</v>
      </c>
      <c r="H150" t="n">
        <v>1</v>
      </c>
      <c r="I150" t="n">
        <v>0</v>
      </c>
      <c r="J150" t="n">
        <v>0</v>
      </c>
      <c r="K150" t="n">
        <v>0</v>
      </c>
      <c r="L150" t="n">
        <v>0</v>
      </c>
      <c r="M150" t="n">
        <v>0</v>
      </c>
      <c r="N150" t="n">
        <v>0</v>
      </c>
      <c r="O150" t="n">
        <v>0</v>
      </c>
      <c r="P150" t="n">
        <v>0</v>
      </c>
      <c r="Q150" t="n">
        <v>1</v>
      </c>
      <c r="R150" s="2" t="inlineStr">
        <is>
          <t>Revlummer</t>
        </is>
      </c>
      <c r="S150">
        <f>HYPERLINK("https://klasma.github.io/Logging_2380/artfynd/A 47580-2025 artfynd.xlsx", "A 47580-2025")</f>
        <v/>
      </c>
      <c r="T150">
        <f>HYPERLINK("https://klasma.github.io/Logging_2380/kartor/A 47580-2025 karta.png", "A 47580-2025")</f>
        <v/>
      </c>
      <c r="V150">
        <f>HYPERLINK("https://klasma.github.io/Logging_2380/klagomål/A 47580-2025 FSC-klagomål.docx", "A 47580-2025")</f>
        <v/>
      </c>
      <c r="W150">
        <f>HYPERLINK("https://klasma.github.io/Logging_2380/klagomålsmail/A 47580-2025 FSC-klagomål mail.docx", "A 47580-2025")</f>
        <v/>
      </c>
      <c r="X150">
        <f>HYPERLINK("https://klasma.github.io/Logging_2380/tillsyn/A 47580-2025 tillsynsbegäran.docx", "A 47580-2025")</f>
        <v/>
      </c>
      <c r="Y150">
        <f>HYPERLINK("https://klasma.github.io/Logging_2380/tillsynsmail/A 47580-2025 tillsynsbegäran mail.docx", "A 47580-2025")</f>
        <v/>
      </c>
    </row>
    <row r="151" ht="15" customHeight="1">
      <c r="A151" t="inlineStr">
        <is>
          <t>A 9739-2022</t>
        </is>
      </c>
      <c r="B151" s="1" t="n">
        <v>44617</v>
      </c>
      <c r="C151" s="1" t="n">
        <v>46013</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31883-2024</t>
        </is>
      </c>
      <c r="B152" s="1" t="n">
        <v>45509.9572800926</v>
      </c>
      <c r="C152" s="1" t="n">
        <v>46013</v>
      </c>
      <c r="D152" t="inlineStr">
        <is>
          <t>JÄMTLANDS LÄN</t>
        </is>
      </c>
      <c r="E152" t="inlineStr">
        <is>
          <t>ÖSTERSUND</t>
        </is>
      </c>
      <c r="F152" t="inlineStr">
        <is>
          <t>SCA</t>
        </is>
      </c>
      <c r="G152" t="n">
        <v>3.3</v>
      </c>
      <c r="H152" t="n">
        <v>1</v>
      </c>
      <c r="I152" t="n">
        <v>0</v>
      </c>
      <c r="J152" t="n">
        <v>0</v>
      </c>
      <c r="K152" t="n">
        <v>1</v>
      </c>
      <c r="L152" t="n">
        <v>0</v>
      </c>
      <c r="M152" t="n">
        <v>0</v>
      </c>
      <c r="N152" t="n">
        <v>0</v>
      </c>
      <c r="O152" t="n">
        <v>1</v>
      </c>
      <c r="P152" t="n">
        <v>1</v>
      </c>
      <c r="Q152" t="n">
        <v>1</v>
      </c>
      <c r="R152" s="2" t="inlineStr">
        <is>
          <t>Doftticka</t>
        </is>
      </c>
      <c r="S152">
        <f>HYPERLINK("https://klasma.github.io/Logging_2380/artfynd/A 31883-2024 artfynd.xlsx", "A 31883-2024")</f>
        <v/>
      </c>
      <c r="T152">
        <f>HYPERLINK("https://klasma.github.io/Logging_2380/kartor/A 31883-2024 karta.png", "A 31883-2024")</f>
        <v/>
      </c>
      <c r="V152">
        <f>HYPERLINK("https://klasma.github.io/Logging_2380/klagomål/A 31883-2024 FSC-klagomål.docx", "A 31883-2024")</f>
        <v/>
      </c>
      <c r="W152">
        <f>HYPERLINK("https://klasma.github.io/Logging_2380/klagomålsmail/A 31883-2024 FSC-klagomål mail.docx", "A 31883-2024")</f>
        <v/>
      </c>
      <c r="X152">
        <f>HYPERLINK("https://klasma.github.io/Logging_2380/tillsyn/A 31883-2024 tillsynsbegäran.docx", "A 31883-2024")</f>
        <v/>
      </c>
      <c r="Y152">
        <f>HYPERLINK("https://klasma.github.io/Logging_2380/tillsynsmail/A 31883-2024 tillsynsbegäran mail.docx", "A 31883-2024")</f>
        <v/>
      </c>
    </row>
    <row r="153" ht="15" customHeight="1">
      <c r="A153" t="inlineStr">
        <is>
          <t>A 59108-2024</t>
        </is>
      </c>
      <c r="B153" s="1" t="n">
        <v>45637.34469907408</v>
      </c>
      <c r="C153" s="1" t="n">
        <v>46013</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36225-2025</t>
        </is>
      </c>
      <c r="B154" s="1" t="n">
        <v>45867.51128472222</v>
      </c>
      <c r="C154" s="1" t="n">
        <v>46013</v>
      </c>
      <c r="D154" t="inlineStr">
        <is>
          <t>JÄMTLANDS LÄN</t>
        </is>
      </c>
      <c r="E154" t="inlineStr">
        <is>
          <t>ÖSTERSUND</t>
        </is>
      </c>
      <c r="F154" t="inlineStr">
        <is>
          <t>SCA</t>
        </is>
      </c>
      <c r="G154" t="n">
        <v>1.8</v>
      </c>
      <c r="H154" t="n">
        <v>0</v>
      </c>
      <c r="I154" t="n">
        <v>0</v>
      </c>
      <c r="J154" t="n">
        <v>1</v>
      </c>
      <c r="K154" t="n">
        <v>0</v>
      </c>
      <c r="L154" t="n">
        <v>0</v>
      </c>
      <c r="M154" t="n">
        <v>0</v>
      </c>
      <c r="N154" t="n">
        <v>0</v>
      </c>
      <c r="O154" t="n">
        <v>1</v>
      </c>
      <c r="P154" t="n">
        <v>0</v>
      </c>
      <c r="Q154" t="n">
        <v>1</v>
      </c>
      <c r="R154" s="2" t="inlineStr">
        <is>
          <t>Kolflarnlav</t>
        </is>
      </c>
      <c r="S154">
        <f>HYPERLINK("https://klasma.github.io/Logging_2380/artfynd/A 36225-2025 artfynd.xlsx", "A 36225-2025")</f>
        <v/>
      </c>
      <c r="T154">
        <f>HYPERLINK("https://klasma.github.io/Logging_2380/kartor/A 36225-2025 karta.png", "A 36225-2025")</f>
        <v/>
      </c>
      <c r="V154">
        <f>HYPERLINK("https://klasma.github.io/Logging_2380/klagomål/A 36225-2025 FSC-klagomål.docx", "A 36225-2025")</f>
        <v/>
      </c>
      <c r="W154">
        <f>HYPERLINK("https://klasma.github.io/Logging_2380/klagomålsmail/A 36225-2025 FSC-klagomål mail.docx", "A 36225-2025")</f>
        <v/>
      </c>
      <c r="X154">
        <f>HYPERLINK("https://klasma.github.io/Logging_2380/tillsyn/A 36225-2025 tillsynsbegäran.docx", "A 36225-2025")</f>
        <v/>
      </c>
      <c r="Y154">
        <f>HYPERLINK("https://klasma.github.io/Logging_2380/tillsynsmail/A 36225-2025 tillsynsbegäran mail.docx", "A 36225-2025")</f>
        <v/>
      </c>
    </row>
    <row r="155" ht="15" customHeight="1">
      <c r="A155" t="inlineStr">
        <is>
          <t>A 24368-2025</t>
        </is>
      </c>
      <c r="B155" s="1" t="n">
        <v>45797.60623842593</v>
      </c>
      <c r="C155" s="1" t="n">
        <v>46013</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58274-2025</t>
        </is>
      </c>
      <c r="B156" s="1" t="n">
        <v>45985.43086805556</v>
      </c>
      <c r="C156" s="1" t="n">
        <v>46013</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60966-2025</t>
        </is>
      </c>
      <c r="B157" s="1" t="n">
        <v>45999.67758101852</v>
      </c>
      <c r="C157" s="1" t="n">
        <v>46013</v>
      </c>
      <c r="D157" t="inlineStr">
        <is>
          <t>JÄMTLANDS LÄN</t>
        </is>
      </c>
      <c r="E157" t="inlineStr">
        <is>
          <t>ÖSTERSUND</t>
        </is>
      </c>
      <c r="F157" t="inlineStr">
        <is>
          <t>SCA</t>
        </is>
      </c>
      <c r="G157" t="n">
        <v>1.9</v>
      </c>
      <c r="H157" t="n">
        <v>1</v>
      </c>
      <c r="I157" t="n">
        <v>1</v>
      </c>
      <c r="J157" t="n">
        <v>0</v>
      </c>
      <c r="K157" t="n">
        <v>0</v>
      </c>
      <c r="L157" t="n">
        <v>0</v>
      </c>
      <c r="M157" t="n">
        <v>0</v>
      </c>
      <c r="N157" t="n">
        <v>0</v>
      </c>
      <c r="O157" t="n">
        <v>0</v>
      </c>
      <c r="P157" t="n">
        <v>0</v>
      </c>
      <c r="Q157" t="n">
        <v>1</v>
      </c>
      <c r="R157" s="2" t="inlineStr">
        <is>
          <t>Tvåblad</t>
        </is>
      </c>
      <c r="S157">
        <f>HYPERLINK("https://klasma.github.io/Logging_2380/artfynd/A 60966-2025 artfynd.xlsx", "A 60966-2025")</f>
        <v/>
      </c>
      <c r="T157">
        <f>HYPERLINK("https://klasma.github.io/Logging_2380/kartor/A 60966-2025 karta.png", "A 60966-2025")</f>
        <v/>
      </c>
      <c r="V157">
        <f>HYPERLINK("https://klasma.github.io/Logging_2380/klagomål/A 60966-2025 FSC-klagomål.docx", "A 60966-2025")</f>
        <v/>
      </c>
      <c r="W157">
        <f>HYPERLINK("https://klasma.github.io/Logging_2380/klagomålsmail/A 60966-2025 FSC-klagomål mail.docx", "A 60966-2025")</f>
        <v/>
      </c>
      <c r="X157">
        <f>HYPERLINK("https://klasma.github.io/Logging_2380/tillsyn/A 60966-2025 tillsynsbegäran.docx", "A 60966-2025")</f>
        <v/>
      </c>
      <c r="Y157">
        <f>HYPERLINK("https://klasma.github.io/Logging_2380/tillsynsmail/A 60966-2025 tillsynsbegäran mail.docx", "A 60966-2025")</f>
        <v/>
      </c>
    </row>
    <row r="158" ht="15" customHeight="1">
      <c r="A158" t="inlineStr">
        <is>
          <t>A 46163-2021</t>
        </is>
      </c>
      <c r="B158" s="1" t="n">
        <v>44441</v>
      </c>
      <c r="C158" s="1" t="n">
        <v>46013</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53300-2025</t>
        </is>
      </c>
      <c r="B159" s="1" t="n">
        <v>45959.32394675926</v>
      </c>
      <c r="C159" s="1" t="n">
        <v>46013</v>
      </c>
      <c r="D159" t="inlineStr">
        <is>
          <t>JÄMTLANDS LÄN</t>
        </is>
      </c>
      <c r="E159" t="inlineStr">
        <is>
          <t>ÖSTERSUND</t>
        </is>
      </c>
      <c r="F159" t="inlineStr">
        <is>
          <t>Sveaskog</t>
        </is>
      </c>
      <c r="G159" t="n">
        <v>12.2</v>
      </c>
      <c r="H159" t="n">
        <v>0</v>
      </c>
      <c r="I159" t="n">
        <v>1</v>
      </c>
      <c r="J159" t="n">
        <v>0</v>
      </c>
      <c r="K159" t="n">
        <v>0</v>
      </c>
      <c r="L159" t="n">
        <v>0</v>
      </c>
      <c r="M159" t="n">
        <v>0</v>
      </c>
      <c r="N159" t="n">
        <v>0</v>
      </c>
      <c r="O159" t="n">
        <v>0</v>
      </c>
      <c r="P159" t="n">
        <v>0</v>
      </c>
      <c r="Q159" t="n">
        <v>1</v>
      </c>
      <c r="R159" s="2" t="inlineStr">
        <is>
          <t>Rödgul trumpetsvamp</t>
        </is>
      </c>
      <c r="S159">
        <f>HYPERLINK("https://klasma.github.io/Logging_2380/artfynd/A 53300-2025 artfynd.xlsx", "A 53300-2025")</f>
        <v/>
      </c>
      <c r="T159">
        <f>HYPERLINK("https://klasma.github.io/Logging_2380/kartor/A 53300-2025 karta.png", "A 53300-2025")</f>
        <v/>
      </c>
      <c r="V159">
        <f>HYPERLINK("https://klasma.github.io/Logging_2380/klagomål/A 53300-2025 FSC-klagomål.docx", "A 53300-2025")</f>
        <v/>
      </c>
      <c r="W159">
        <f>HYPERLINK("https://klasma.github.io/Logging_2380/klagomålsmail/A 53300-2025 FSC-klagomål mail.docx", "A 53300-2025")</f>
        <v/>
      </c>
      <c r="X159">
        <f>HYPERLINK("https://klasma.github.io/Logging_2380/tillsyn/A 53300-2025 tillsynsbegäran.docx", "A 53300-2025")</f>
        <v/>
      </c>
      <c r="Y159">
        <f>HYPERLINK("https://klasma.github.io/Logging_2380/tillsynsmail/A 53300-2025 tillsynsbegäran mail.docx", "A 53300-2025")</f>
        <v/>
      </c>
    </row>
    <row r="160" ht="15" customHeight="1">
      <c r="A160" t="inlineStr">
        <is>
          <t>A 64380-2023</t>
        </is>
      </c>
      <c r="B160" s="1" t="n">
        <v>45280.56451388889</v>
      </c>
      <c r="C160" s="1" t="n">
        <v>46013</v>
      </c>
      <c r="D160" t="inlineStr">
        <is>
          <t>JÄMTLANDS LÄN</t>
        </is>
      </c>
      <c r="E160" t="inlineStr">
        <is>
          <t>ÖSTERSUND</t>
        </is>
      </c>
      <c r="G160" t="n">
        <v>12.4</v>
      </c>
      <c r="H160" t="n">
        <v>0</v>
      </c>
      <c r="I160" t="n">
        <v>0</v>
      </c>
      <c r="J160" t="n">
        <v>1</v>
      </c>
      <c r="K160" t="n">
        <v>0</v>
      </c>
      <c r="L160" t="n">
        <v>0</v>
      </c>
      <c r="M160" t="n">
        <v>0</v>
      </c>
      <c r="N160" t="n">
        <v>0</v>
      </c>
      <c r="O160" t="n">
        <v>1</v>
      </c>
      <c r="P160" t="n">
        <v>0</v>
      </c>
      <c r="Q160" t="n">
        <v>1</v>
      </c>
      <c r="R160" s="2" t="inlineStr">
        <is>
          <t>Luddfingersvamp</t>
        </is>
      </c>
      <c r="S160">
        <f>HYPERLINK("https://klasma.github.io/Logging_2380/artfynd/A 64380-2023 artfynd.xlsx", "A 64380-2023")</f>
        <v/>
      </c>
      <c r="T160">
        <f>HYPERLINK("https://klasma.github.io/Logging_2380/kartor/A 64380-2023 karta.png", "A 64380-2023")</f>
        <v/>
      </c>
      <c r="V160">
        <f>HYPERLINK("https://klasma.github.io/Logging_2380/klagomål/A 64380-2023 FSC-klagomål.docx", "A 64380-2023")</f>
        <v/>
      </c>
      <c r="W160">
        <f>HYPERLINK("https://klasma.github.io/Logging_2380/klagomålsmail/A 64380-2023 FSC-klagomål mail.docx", "A 64380-2023")</f>
        <v/>
      </c>
      <c r="X160">
        <f>HYPERLINK("https://klasma.github.io/Logging_2380/tillsyn/A 64380-2023 tillsynsbegäran.docx", "A 64380-2023")</f>
        <v/>
      </c>
      <c r="Y160">
        <f>HYPERLINK("https://klasma.github.io/Logging_2380/tillsynsmail/A 64380-2023 tillsynsbegäran mail.docx", "A 64380-2023")</f>
        <v/>
      </c>
    </row>
    <row r="161" ht="15" customHeight="1">
      <c r="A161" t="inlineStr">
        <is>
          <t>A 40696-2024</t>
        </is>
      </c>
      <c r="B161" s="1" t="n">
        <v>45558</v>
      </c>
      <c r="C161" s="1" t="n">
        <v>46013</v>
      </c>
      <c r="D161" t="inlineStr">
        <is>
          <t>JÄMTLANDS LÄN</t>
        </is>
      </c>
      <c r="E161" t="inlineStr">
        <is>
          <t>ÖSTERSUND</t>
        </is>
      </c>
      <c r="F161" t="inlineStr">
        <is>
          <t>SCA</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HYPERLINK("https://klasma.github.io/Logging_2380/artfynd/A 40696-2024 artfynd.xlsx", "A 40696-2024")</f>
        <v/>
      </c>
      <c r="T161">
        <f>HYPERLINK("https://klasma.github.io/Logging_2380/kartor/A 40696-2024 karta.png", "A 40696-2024")</f>
        <v/>
      </c>
      <c r="V161">
        <f>HYPERLINK("https://klasma.github.io/Logging_2380/klagomål/A 40696-2024 FSC-klagomål.docx", "A 40696-2024")</f>
        <v/>
      </c>
      <c r="W161">
        <f>HYPERLINK("https://klasma.github.io/Logging_2380/klagomålsmail/A 40696-2024 FSC-klagomål mail.docx", "A 40696-2024")</f>
        <v/>
      </c>
      <c r="X161">
        <f>HYPERLINK("https://klasma.github.io/Logging_2380/tillsyn/A 40696-2024 tillsynsbegäran.docx", "A 40696-2024")</f>
        <v/>
      </c>
      <c r="Y161">
        <f>HYPERLINK("https://klasma.github.io/Logging_2380/tillsynsmail/A 40696-2024 tillsynsbegäran mail.docx", "A 40696-2024")</f>
        <v/>
      </c>
    </row>
    <row r="162" ht="15" customHeight="1">
      <c r="A162" t="inlineStr">
        <is>
          <t>A 62835-2025</t>
        </is>
      </c>
      <c r="B162" s="1" t="n">
        <v>46008.67969907408</v>
      </c>
      <c r="C162" s="1" t="n">
        <v>46013</v>
      </c>
      <c r="D162" t="inlineStr">
        <is>
          <t>JÄMTLANDS LÄN</t>
        </is>
      </c>
      <c r="E162" t="inlineStr">
        <is>
          <t>ÖSTERSUND</t>
        </is>
      </c>
      <c r="G162" t="n">
        <v>2.2</v>
      </c>
      <c r="H162" t="n">
        <v>0</v>
      </c>
      <c r="I162" t="n">
        <v>0</v>
      </c>
      <c r="J162" t="n">
        <v>1</v>
      </c>
      <c r="K162" t="n">
        <v>0</v>
      </c>
      <c r="L162" t="n">
        <v>0</v>
      </c>
      <c r="M162" t="n">
        <v>0</v>
      </c>
      <c r="N162" t="n">
        <v>0</v>
      </c>
      <c r="O162" t="n">
        <v>1</v>
      </c>
      <c r="P162" t="n">
        <v>0</v>
      </c>
      <c r="Q162" t="n">
        <v>1</v>
      </c>
      <c r="R162" s="2" t="inlineStr">
        <is>
          <t>Åkerkål</t>
        </is>
      </c>
      <c r="S162">
        <f>HYPERLINK("https://klasma.github.io/Logging_2380/artfynd/A 62835-2025 artfynd.xlsx", "A 62835-2025")</f>
        <v/>
      </c>
      <c r="T162">
        <f>HYPERLINK("https://klasma.github.io/Logging_2380/kartor/A 62835-2025 karta.png", "A 62835-2025")</f>
        <v/>
      </c>
      <c r="V162">
        <f>HYPERLINK("https://klasma.github.io/Logging_2380/klagomål/A 62835-2025 FSC-klagomål.docx", "A 62835-2025")</f>
        <v/>
      </c>
      <c r="W162">
        <f>HYPERLINK("https://klasma.github.io/Logging_2380/klagomålsmail/A 62835-2025 FSC-klagomål mail.docx", "A 62835-2025")</f>
        <v/>
      </c>
      <c r="X162">
        <f>HYPERLINK("https://klasma.github.io/Logging_2380/tillsyn/A 62835-2025 tillsynsbegäran.docx", "A 62835-2025")</f>
        <v/>
      </c>
      <c r="Y162">
        <f>HYPERLINK("https://klasma.github.io/Logging_2380/tillsynsmail/A 62835-2025 tillsynsbegäran mail.docx", "A 62835-2025")</f>
        <v/>
      </c>
    </row>
    <row r="163" ht="15" customHeight="1">
      <c r="A163" t="inlineStr">
        <is>
          <t>A 59433-2021</t>
        </is>
      </c>
      <c r="B163" s="1" t="n">
        <v>44491</v>
      </c>
      <c r="C163" s="1" t="n">
        <v>46013</v>
      </c>
      <c r="D163" t="inlineStr">
        <is>
          <t>JÄMTLANDS LÄN</t>
        </is>
      </c>
      <c r="E163" t="inlineStr">
        <is>
          <t>ÖSTERSUND</t>
        </is>
      </c>
      <c r="F163" t="inlineStr">
        <is>
          <t>Övriga statliga verk och myndigheter</t>
        </is>
      </c>
      <c r="G163" t="n">
        <v>1.6</v>
      </c>
      <c r="H163" t="n">
        <v>0</v>
      </c>
      <c r="I163" t="n">
        <v>0</v>
      </c>
      <c r="J163" t="n">
        <v>1</v>
      </c>
      <c r="K163" t="n">
        <v>0</v>
      </c>
      <c r="L163" t="n">
        <v>0</v>
      </c>
      <c r="M163" t="n">
        <v>0</v>
      </c>
      <c r="N163" t="n">
        <v>0</v>
      </c>
      <c r="O163" t="n">
        <v>1</v>
      </c>
      <c r="P163" t="n">
        <v>0</v>
      </c>
      <c r="Q163" t="n">
        <v>1</v>
      </c>
      <c r="R163" s="2" t="inlineStr">
        <is>
          <t>Brunpudrad nållav</t>
        </is>
      </c>
      <c r="S163">
        <f>HYPERLINK("https://klasma.github.io/Logging_2380/artfynd/A 59433-2021 artfynd.xlsx", "A 59433-2021")</f>
        <v/>
      </c>
      <c r="T163">
        <f>HYPERLINK("https://klasma.github.io/Logging_2380/kartor/A 59433-2021 karta.png", "A 59433-2021")</f>
        <v/>
      </c>
      <c r="V163">
        <f>HYPERLINK("https://klasma.github.io/Logging_2380/klagomål/A 59433-2021 FSC-klagomål.docx", "A 59433-2021")</f>
        <v/>
      </c>
      <c r="W163">
        <f>HYPERLINK("https://klasma.github.io/Logging_2380/klagomålsmail/A 59433-2021 FSC-klagomål mail.docx", "A 59433-2021")</f>
        <v/>
      </c>
      <c r="X163">
        <f>HYPERLINK("https://klasma.github.io/Logging_2380/tillsyn/A 59433-2021 tillsynsbegäran.docx", "A 59433-2021")</f>
        <v/>
      </c>
      <c r="Y163">
        <f>HYPERLINK("https://klasma.github.io/Logging_2380/tillsynsmail/A 59433-2021 tillsynsbegäran mail.docx", "A 59433-2021")</f>
        <v/>
      </c>
    </row>
    <row r="164" ht="15" customHeight="1">
      <c r="A164" t="inlineStr">
        <is>
          <t>A 63201-2025</t>
        </is>
      </c>
      <c r="B164" s="1" t="n">
        <v>46010.46366898148</v>
      </c>
      <c r="C164" s="1" t="n">
        <v>46013</v>
      </c>
      <c r="D164" t="inlineStr">
        <is>
          <t>JÄMTLANDS LÄN</t>
        </is>
      </c>
      <c r="E164" t="inlineStr">
        <is>
          <t>ÖSTERSUND</t>
        </is>
      </c>
      <c r="G164" t="n">
        <v>5.8</v>
      </c>
      <c r="H164" t="n">
        <v>1</v>
      </c>
      <c r="I164" t="n">
        <v>0</v>
      </c>
      <c r="J164" t="n">
        <v>0</v>
      </c>
      <c r="K164" t="n">
        <v>0</v>
      </c>
      <c r="L164" t="n">
        <v>0</v>
      </c>
      <c r="M164" t="n">
        <v>0</v>
      </c>
      <c r="N164" t="n">
        <v>0</v>
      </c>
      <c r="O164" t="n">
        <v>0</v>
      </c>
      <c r="P164" t="n">
        <v>0</v>
      </c>
      <c r="Q164" t="n">
        <v>1</v>
      </c>
      <c r="R164" s="2" t="inlineStr">
        <is>
          <t>Lavskrika</t>
        </is>
      </c>
      <c r="S164">
        <f>HYPERLINK("https://klasma.github.io/Logging_2380/artfynd/A 63201-2025 artfynd.xlsx", "A 63201-2025")</f>
        <v/>
      </c>
      <c r="T164">
        <f>HYPERLINK("https://klasma.github.io/Logging_2380/kartor/A 63201-2025 karta.png", "A 63201-2025")</f>
        <v/>
      </c>
      <c r="V164">
        <f>HYPERLINK("https://klasma.github.io/Logging_2380/klagomål/A 63201-2025 FSC-klagomål.docx", "A 63201-2025")</f>
        <v/>
      </c>
      <c r="W164">
        <f>HYPERLINK("https://klasma.github.io/Logging_2380/klagomålsmail/A 63201-2025 FSC-klagomål mail.docx", "A 63201-2025")</f>
        <v/>
      </c>
      <c r="X164">
        <f>HYPERLINK("https://klasma.github.io/Logging_2380/tillsyn/A 63201-2025 tillsynsbegäran.docx", "A 63201-2025")</f>
        <v/>
      </c>
      <c r="Y164">
        <f>HYPERLINK("https://klasma.github.io/Logging_2380/tillsynsmail/A 63201-2025 tillsynsbegäran mail.docx", "A 63201-2025")</f>
        <v/>
      </c>
      <c r="Z164">
        <f>HYPERLINK("https://klasma.github.io/Logging_2380/fåglar/A 63201-2025 prioriterade fågelarter.docx", "A 63201-2025")</f>
        <v/>
      </c>
    </row>
    <row r="165" ht="15" customHeight="1">
      <c r="A165" t="inlineStr">
        <is>
          <t>A 55821-2021</t>
        </is>
      </c>
      <c r="B165" s="1" t="n">
        <v>44476</v>
      </c>
      <c r="C165" s="1" t="n">
        <v>46013</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54354-2024</t>
        </is>
      </c>
      <c r="B166" s="1" t="n">
        <v>45617.40244212963</v>
      </c>
      <c r="C166" s="1" t="n">
        <v>46013</v>
      </c>
      <c r="D166" t="inlineStr">
        <is>
          <t>JÄMTLANDS LÄN</t>
        </is>
      </c>
      <c r="E166" t="inlineStr">
        <is>
          <t>ÖSTERSUND</t>
        </is>
      </c>
      <c r="G166" t="n">
        <v>7</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54354-2024 artfynd.xlsx", "A 54354-2024")</f>
        <v/>
      </c>
      <c r="T166">
        <f>HYPERLINK("https://klasma.github.io/Logging_2380/kartor/A 54354-2024 karta.png", "A 54354-2024")</f>
        <v/>
      </c>
      <c r="V166">
        <f>HYPERLINK("https://klasma.github.io/Logging_2380/klagomål/A 54354-2024 FSC-klagomål.docx", "A 54354-2024")</f>
        <v/>
      </c>
      <c r="W166">
        <f>HYPERLINK("https://klasma.github.io/Logging_2380/klagomålsmail/A 54354-2024 FSC-klagomål mail.docx", "A 54354-2024")</f>
        <v/>
      </c>
      <c r="X166">
        <f>HYPERLINK("https://klasma.github.io/Logging_2380/tillsyn/A 54354-2024 tillsynsbegäran.docx", "A 54354-2024")</f>
        <v/>
      </c>
      <c r="Y166">
        <f>HYPERLINK("https://klasma.github.io/Logging_2380/tillsynsmail/A 54354-2024 tillsynsbegäran mail.docx", "A 54354-2024")</f>
        <v/>
      </c>
      <c r="Z166">
        <f>HYPERLINK("https://klasma.github.io/Logging_2380/fåglar/A 54354-2024 prioriterade fågelarter.docx", "A 54354-2024")</f>
        <v/>
      </c>
    </row>
    <row r="167" ht="15" customHeight="1">
      <c r="A167" t="inlineStr">
        <is>
          <t>A 44049-2024</t>
        </is>
      </c>
      <c r="B167" s="1" t="n">
        <v>45572.59462962963</v>
      </c>
      <c r="C167" s="1" t="n">
        <v>46013</v>
      </c>
      <c r="D167" t="inlineStr">
        <is>
          <t>JÄMTLANDS LÄN</t>
        </is>
      </c>
      <c r="E167" t="inlineStr">
        <is>
          <t>ÖSTERSUND</t>
        </is>
      </c>
      <c r="F167" t="inlineStr">
        <is>
          <t>SCA</t>
        </is>
      </c>
      <c r="G167" t="n">
        <v>4.5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44049-2024 artfynd.xlsx", "A 44049-2024")</f>
        <v/>
      </c>
      <c r="T167">
        <f>HYPERLINK("https://klasma.github.io/Logging_2380/kartor/A 44049-2024 karta.png", "A 44049-2024")</f>
        <v/>
      </c>
      <c r="V167">
        <f>HYPERLINK("https://klasma.github.io/Logging_2380/klagomål/A 44049-2024 FSC-klagomål.docx", "A 44049-2024")</f>
        <v/>
      </c>
      <c r="W167">
        <f>HYPERLINK("https://klasma.github.io/Logging_2380/klagomålsmail/A 44049-2024 FSC-klagomål mail.docx", "A 44049-2024")</f>
        <v/>
      </c>
      <c r="X167">
        <f>HYPERLINK("https://klasma.github.io/Logging_2380/tillsyn/A 44049-2024 tillsynsbegäran.docx", "A 44049-2024")</f>
        <v/>
      </c>
      <c r="Y167">
        <f>HYPERLINK("https://klasma.github.io/Logging_2380/tillsynsmail/A 44049-2024 tillsynsbegäran mail.docx", "A 44049-2024")</f>
        <v/>
      </c>
    </row>
    <row r="168" ht="15" customHeight="1">
      <c r="A168" t="inlineStr">
        <is>
          <t>A 11513-2024</t>
        </is>
      </c>
      <c r="B168" s="1" t="n">
        <v>45372</v>
      </c>
      <c r="C168" s="1" t="n">
        <v>46013</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41770-2024</t>
        </is>
      </c>
      <c r="B169" s="1" t="n">
        <v>45561.34641203703</v>
      </c>
      <c r="C169" s="1" t="n">
        <v>46013</v>
      </c>
      <c r="D169" t="inlineStr">
        <is>
          <t>JÄMTLANDS LÄN</t>
        </is>
      </c>
      <c r="E169" t="inlineStr">
        <is>
          <t>ÖSTERSUND</t>
        </is>
      </c>
      <c r="F169" t="inlineStr">
        <is>
          <t>SCA</t>
        </is>
      </c>
      <c r="G169" t="n">
        <v>4.4</v>
      </c>
      <c r="H169" t="n">
        <v>0</v>
      </c>
      <c r="I169" t="n">
        <v>1</v>
      </c>
      <c r="J169" t="n">
        <v>0</v>
      </c>
      <c r="K169" t="n">
        <v>0</v>
      </c>
      <c r="L169" t="n">
        <v>0</v>
      </c>
      <c r="M169" t="n">
        <v>0</v>
      </c>
      <c r="N169" t="n">
        <v>0</v>
      </c>
      <c r="O169" t="n">
        <v>0</v>
      </c>
      <c r="P169" t="n">
        <v>0</v>
      </c>
      <c r="Q169" t="n">
        <v>1</v>
      </c>
      <c r="R169" s="2" t="inlineStr">
        <is>
          <t>Vedticka</t>
        </is>
      </c>
      <c r="S169">
        <f>HYPERLINK("https://klasma.github.io/Logging_2380/artfynd/A 41770-2024 artfynd.xlsx", "A 41770-2024")</f>
        <v/>
      </c>
      <c r="T169">
        <f>HYPERLINK("https://klasma.github.io/Logging_2380/kartor/A 41770-2024 karta.png", "A 41770-2024")</f>
        <v/>
      </c>
      <c r="V169">
        <f>HYPERLINK("https://klasma.github.io/Logging_2380/klagomål/A 41770-2024 FSC-klagomål.docx", "A 41770-2024")</f>
        <v/>
      </c>
      <c r="W169">
        <f>HYPERLINK("https://klasma.github.io/Logging_2380/klagomålsmail/A 41770-2024 FSC-klagomål mail.docx", "A 41770-2024")</f>
        <v/>
      </c>
      <c r="X169">
        <f>HYPERLINK("https://klasma.github.io/Logging_2380/tillsyn/A 41770-2024 tillsynsbegäran.docx", "A 41770-2024")</f>
        <v/>
      </c>
      <c r="Y169">
        <f>HYPERLINK("https://klasma.github.io/Logging_2380/tillsynsmail/A 41770-2024 tillsynsbegäran mail.docx", "A 41770-2024")</f>
        <v/>
      </c>
    </row>
    <row r="170" ht="15" customHeight="1">
      <c r="A170" t="inlineStr">
        <is>
          <t>A 33267-2022</t>
        </is>
      </c>
      <c r="B170" s="1" t="n">
        <v>44785</v>
      </c>
      <c r="C170" s="1" t="n">
        <v>46013</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55-2023</t>
        </is>
      </c>
      <c r="B171" s="1" t="n">
        <v>44928</v>
      </c>
      <c r="C171" s="1" t="n">
        <v>46013</v>
      </c>
      <c r="D171" t="inlineStr">
        <is>
          <t>JÄMTLANDS LÄN</t>
        </is>
      </c>
      <c r="E171" t="inlineStr">
        <is>
          <t>ÖSTERSUND</t>
        </is>
      </c>
      <c r="G171" t="n">
        <v>4</v>
      </c>
      <c r="H171" t="n">
        <v>1</v>
      </c>
      <c r="I171" t="n">
        <v>0</v>
      </c>
      <c r="J171" t="n">
        <v>0</v>
      </c>
      <c r="K171" t="n">
        <v>1</v>
      </c>
      <c r="L171" t="n">
        <v>0</v>
      </c>
      <c r="M171" t="n">
        <v>0</v>
      </c>
      <c r="N171" t="n">
        <v>0</v>
      </c>
      <c r="O171" t="n">
        <v>1</v>
      </c>
      <c r="P171" t="n">
        <v>1</v>
      </c>
      <c r="Q171" t="n">
        <v>1</v>
      </c>
      <c r="R171" s="2" t="inlineStr">
        <is>
          <t>Knärot</t>
        </is>
      </c>
      <c r="S171">
        <f>HYPERLINK("https://klasma.github.io/Logging_2380/artfynd/A 55-2023 artfynd.xlsx", "A 55-2023")</f>
        <v/>
      </c>
      <c r="T171">
        <f>HYPERLINK("https://klasma.github.io/Logging_2380/kartor/A 55-2023 karta.png", "A 55-2023")</f>
        <v/>
      </c>
      <c r="U171">
        <f>HYPERLINK("https://klasma.github.io/Logging_2380/knärot/A 55-2023 karta knärot.png", "A 55-2023")</f>
        <v/>
      </c>
      <c r="V171">
        <f>HYPERLINK("https://klasma.github.io/Logging_2380/klagomål/A 55-2023 FSC-klagomål.docx", "A 55-2023")</f>
        <v/>
      </c>
      <c r="W171">
        <f>HYPERLINK("https://klasma.github.io/Logging_2380/klagomålsmail/A 55-2023 FSC-klagomål mail.docx", "A 55-2023")</f>
        <v/>
      </c>
      <c r="X171">
        <f>HYPERLINK("https://klasma.github.io/Logging_2380/tillsyn/A 55-2023 tillsynsbegäran.docx", "A 55-2023")</f>
        <v/>
      </c>
      <c r="Y171">
        <f>HYPERLINK("https://klasma.github.io/Logging_2380/tillsynsmail/A 55-2023 tillsynsbegäran mail.docx", "A 55-2023")</f>
        <v/>
      </c>
    </row>
    <row r="172" ht="15" customHeight="1">
      <c r="A172" t="inlineStr">
        <is>
          <t>A 17217-2021</t>
        </is>
      </c>
      <c r="B172" s="1" t="n">
        <v>44298</v>
      </c>
      <c r="C172" s="1" t="n">
        <v>46013</v>
      </c>
      <c r="D172" t="inlineStr">
        <is>
          <t>JÄMTLANDS LÄN</t>
        </is>
      </c>
      <c r="E172" t="inlineStr">
        <is>
          <t>ÖSTERSUND</t>
        </is>
      </c>
      <c r="G172" t="n">
        <v>10.4</v>
      </c>
      <c r="H172" t="n">
        <v>0</v>
      </c>
      <c r="I172" t="n">
        <v>0</v>
      </c>
      <c r="J172" t="n">
        <v>1</v>
      </c>
      <c r="K172" t="n">
        <v>0</v>
      </c>
      <c r="L172" t="n">
        <v>0</v>
      </c>
      <c r="M172" t="n">
        <v>0</v>
      </c>
      <c r="N172" t="n">
        <v>0</v>
      </c>
      <c r="O172" t="n">
        <v>1</v>
      </c>
      <c r="P172" t="n">
        <v>0</v>
      </c>
      <c r="Q172" t="n">
        <v>1</v>
      </c>
      <c r="R172" s="2" t="inlineStr">
        <is>
          <t>Rödbrun klubbdyna</t>
        </is>
      </c>
      <c r="S172">
        <f>HYPERLINK("https://klasma.github.io/Logging_2380/artfynd/A 17217-2021 artfynd.xlsx", "A 17217-2021")</f>
        <v/>
      </c>
      <c r="T172">
        <f>HYPERLINK("https://klasma.github.io/Logging_2380/kartor/A 17217-2021 karta.png", "A 17217-2021")</f>
        <v/>
      </c>
      <c r="V172">
        <f>HYPERLINK("https://klasma.github.io/Logging_2380/klagomål/A 17217-2021 FSC-klagomål.docx", "A 17217-2021")</f>
        <v/>
      </c>
      <c r="W172">
        <f>HYPERLINK("https://klasma.github.io/Logging_2380/klagomålsmail/A 17217-2021 FSC-klagomål mail.docx", "A 17217-2021")</f>
        <v/>
      </c>
      <c r="X172">
        <f>HYPERLINK("https://klasma.github.io/Logging_2380/tillsyn/A 17217-2021 tillsynsbegäran.docx", "A 17217-2021")</f>
        <v/>
      </c>
      <c r="Y172">
        <f>HYPERLINK("https://klasma.github.io/Logging_2380/tillsynsmail/A 17217-2021 tillsynsbegäran mail.docx", "A 17217-2021")</f>
        <v/>
      </c>
    </row>
    <row r="173" ht="15" customHeight="1">
      <c r="A173" t="inlineStr">
        <is>
          <t>A 20620-2021</t>
        </is>
      </c>
      <c r="B173" s="1" t="n">
        <v>44316</v>
      </c>
      <c r="C173" s="1" t="n">
        <v>46013</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43310-2021</t>
        </is>
      </c>
      <c r="B174" s="1" t="n">
        <v>44432</v>
      </c>
      <c r="C174" s="1" t="n">
        <v>46013</v>
      </c>
      <c r="D174" t="inlineStr">
        <is>
          <t>JÄMTLANDS LÄN</t>
        </is>
      </c>
      <c r="E174" t="inlineStr">
        <is>
          <t>ÖSTERSUND</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501-2021</t>
        </is>
      </c>
      <c r="B175" s="1" t="n">
        <v>44200</v>
      </c>
      <c r="C175" s="1" t="n">
        <v>46013</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46013</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46013</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46013</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46013</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46013</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46013</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46013</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46013</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46013</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46013</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46013</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46013</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126-2021</t>
        </is>
      </c>
      <c r="B188" s="1" t="n">
        <v>44200</v>
      </c>
      <c r="C188" s="1" t="n">
        <v>46013</v>
      </c>
      <c r="D188" t="inlineStr">
        <is>
          <t>JÄMTLANDS LÄN</t>
        </is>
      </c>
      <c r="E188" t="inlineStr">
        <is>
          <t>ÖSTERSUND</t>
        </is>
      </c>
      <c r="G188" t="n">
        <v>1.6</v>
      </c>
      <c r="H188" t="n">
        <v>0</v>
      </c>
      <c r="I188" t="n">
        <v>0</v>
      </c>
      <c r="J188" t="n">
        <v>0</v>
      </c>
      <c r="K188" t="n">
        <v>0</v>
      </c>
      <c r="L188" t="n">
        <v>0</v>
      </c>
      <c r="M188" t="n">
        <v>0</v>
      </c>
      <c r="N188" t="n">
        <v>0</v>
      </c>
      <c r="O188" t="n">
        <v>0</v>
      </c>
      <c r="P188" t="n">
        <v>0</v>
      </c>
      <c r="Q188" t="n">
        <v>0</v>
      </c>
      <c r="R188" s="2" t="inlineStr"/>
    </row>
    <row r="189" ht="15" customHeight="1">
      <c r="A189" t="inlineStr">
        <is>
          <t>A 19541-2021</t>
        </is>
      </c>
      <c r="B189" s="1" t="n">
        <v>44312.41724537037</v>
      </c>
      <c r="C189" s="1" t="n">
        <v>46013</v>
      </c>
      <c r="D189" t="inlineStr">
        <is>
          <t>JÄMTLANDS LÄN</t>
        </is>
      </c>
      <c r="E189" t="inlineStr">
        <is>
          <t>ÖSTERSUND</t>
        </is>
      </c>
      <c r="G189" t="n">
        <v>0.7</v>
      </c>
      <c r="H189" t="n">
        <v>0</v>
      </c>
      <c r="I189" t="n">
        <v>0</v>
      </c>
      <c r="J189" t="n">
        <v>0</v>
      </c>
      <c r="K189" t="n">
        <v>0</v>
      </c>
      <c r="L189" t="n">
        <v>0</v>
      </c>
      <c r="M189" t="n">
        <v>0</v>
      </c>
      <c r="N189" t="n">
        <v>0</v>
      </c>
      <c r="O189" t="n">
        <v>0</v>
      </c>
      <c r="P189" t="n">
        <v>0</v>
      </c>
      <c r="Q189" t="n">
        <v>0</v>
      </c>
      <c r="R189" s="2" t="inlineStr"/>
    </row>
    <row r="190" ht="15" customHeight="1">
      <c r="A190" t="inlineStr">
        <is>
          <t>A 2880-2022</t>
        </is>
      </c>
      <c r="B190" s="1" t="n">
        <v>44581</v>
      </c>
      <c r="C190" s="1" t="n">
        <v>46013</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10834-2021</t>
        </is>
      </c>
      <c r="B191" s="1" t="n">
        <v>44259</v>
      </c>
      <c r="C191" s="1" t="n">
        <v>46013</v>
      </c>
      <c r="D191" t="inlineStr">
        <is>
          <t>JÄMTLANDS LÄN</t>
        </is>
      </c>
      <c r="E191" t="inlineStr">
        <is>
          <t>ÖSTERSUND</t>
        </is>
      </c>
      <c r="G191" t="n">
        <v>12.2</v>
      </c>
      <c r="H191" t="n">
        <v>0</v>
      </c>
      <c r="I191" t="n">
        <v>0</v>
      </c>
      <c r="J191" t="n">
        <v>0</v>
      </c>
      <c r="K191" t="n">
        <v>0</v>
      </c>
      <c r="L191" t="n">
        <v>0</v>
      </c>
      <c r="M191" t="n">
        <v>0</v>
      </c>
      <c r="N191" t="n">
        <v>0</v>
      </c>
      <c r="O191" t="n">
        <v>0</v>
      </c>
      <c r="P191" t="n">
        <v>0</v>
      </c>
      <c r="Q191" t="n">
        <v>0</v>
      </c>
      <c r="R191" s="2" t="inlineStr"/>
    </row>
    <row r="192" ht="15" customHeight="1">
      <c r="A192" t="inlineStr">
        <is>
          <t>A 47295-2022</t>
        </is>
      </c>
      <c r="B192" s="1" t="n">
        <v>44852</v>
      </c>
      <c r="C192" s="1" t="n">
        <v>46013</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154-2022</t>
        </is>
      </c>
      <c r="B193" s="1" t="n">
        <v>44561</v>
      </c>
      <c r="C193" s="1" t="n">
        <v>46013</v>
      </c>
      <c r="D193" t="inlineStr">
        <is>
          <t>JÄMTLANDS LÄN</t>
        </is>
      </c>
      <c r="E193" t="inlineStr">
        <is>
          <t>ÖSTERSUND</t>
        </is>
      </c>
      <c r="G193" t="n">
        <v>4.2</v>
      </c>
      <c r="H193" t="n">
        <v>0</v>
      </c>
      <c r="I193" t="n">
        <v>0</v>
      </c>
      <c r="J193" t="n">
        <v>0</v>
      </c>
      <c r="K193" t="n">
        <v>0</v>
      </c>
      <c r="L193" t="n">
        <v>0</v>
      </c>
      <c r="M193" t="n">
        <v>0</v>
      </c>
      <c r="N193" t="n">
        <v>0</v>
      </c>
      <c r="O193" t="n">
        <v>0</v>
      </c>
      <c r="P193" t="n">
        <v>0</v>
      </c>
      <c r="Q193" t="n">
        <v>0</v>
      </c>
      <c r="R193" s="2" t="inlineStr"/>
    </row>
    <row r="194" ht="15" customHeight="1">
      <c r="A194" t="inlineStr">
        <is>
          <t>A 14155-2021</t>
        </is>
      </c>
      <c r="B194" s="1" t="n">
        <v>44278.42459490741</v>
      </c>
      <c r="C194" s="1" t="n">
        <v>46013</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35032-2021</t>
        </is>
      </c>
      <c r="B195" s="1" t="n">
        <v>44383.85295138889</v>
      </c>
      <c r="C195" s="1" t="n">
        <v>46013</v>
      </c>
      <c r="D195" t="inlineStr">
        <is>
          <t>JÄMTLANDS LÄN</t>
        </is>
      </c>
      <c r="E195" t="inlineStr">
        <is>
          <t>ÖSTERSUND</t>
        </is>
      </c>
      <c r="G195" t="n">
        <v>0.9</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46013</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46013</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46013</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48947-2021</t>
        </is>
      </c>
      <c r="B199" s="1" t="n">
        <v>44453</v>
      </c>
      <c r="C199" s="1" t="n">
        <v>46013</v>
      </c>
      <c r="D199" t="inlineStr">
        <is>
          <t>JÄMTLANDS LÄN</t>
        </is>
      </c>
      <c r="E199" t="inlineStr">
        <is>
          <t>ÖSTERSUND</t>
        </is>
      </c>
      <c r="G199" t="n">
        <v>22.3</v>
      </c>
      <c r="H199" t="n">
        <v>0</v>
      </c>
      <c r="I199" t="n">
        <v>0</v>
      </c>
      <c r="J199" t="n">
        <v>0</v>
      </c>
      <c r="K199" t="n">
        <v>0</v>
      </c>
      <c r="L199" t="n">
        <v>0</v>
      </c>
      <c r="M199" t="n">
        <v>0</v>
      </c>
      <c r="N199" t="n">
        <v>0</v>
      </c>
      <c r="O199" t="n">
        <v>0</v>
      </c>
      <c r="P199" t="n">
        <v>0</v>
      </c>
      <c r="Q199" t="n">
        <v>0</v>
      </c>
      <c r="R199" s="2" t="inlineStr"/>
    </row>
    <row r="200" ht="15" customHeight="1">
      <c r="A200" t="inlineStr">
        <is>
          <t>A 27061-2021</t>
        </is>
      </c>
      <c r="B200" s="1" t="n">
        <v>44349</v>
      </c>
      <c r="C200" s="1" t="n">
        <v>46013</v>
      </c>
      <c r="D200" t="inlineStr">
        <is>
          <t>JÄMTLANDS LÄN</t>
        </is>
      </c>
      <c r="E200" t="inlineStr">
        <is>
          <t>ÖSTERSUND</t>
        </is>
      </c>
      <c r="G200" t="n">
        <v>3.2</v>
      </c>
      <c r="H200" t="n">
        <v>0</v>
      </c>
      <c r="I200" t="n">
        <v>0</v>
      </c>
      <c r="J200" t="n">
        <v>0</v>
      </c>
      <c r="K200" t="n">
        <v>0</v>
      </c>
      <c r="L200" t="n">
        <v>0</v>
      </c>
      <c r="M200" t="n">
        <v>0</v>
      </c>
      <c r="N200" t="n">
        <v>0</v>
      </c>
      <c r="O200" t="n">
        <v>0</v>
      </c>
      <c r="P200" t="n">
        <v>0</v>
      </c>
      <c r="Q200" t="n">
        <v>0</v>
      </c>
      <c r="R200" s="2" t="inlineStr"/>
    </row>
    <row r="201" ht="15" customHeight="1">
      <c r="A201" t="inlineStr">
        <is>
          <t>A 17362-2021</t>
        </is>
      </c>
      <c r="B201" s="1" t="n">
        <v>44298</v>
      </c>
      <c r="C201" s="1" t="n">
        <v>46013</v>
      </c>
      <c r="D201" t="inlineStr">
        <is>
          <t>JÄMTLANDS LÄN</t>
        </is>
      </c>
      <c r="E201" t="inlineStr">
        <is>
          <t>ÖSTERSUND</t>
        </is>
      </c>
      <c r="G201" t="n">
        <v>3.7</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46013</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695-2022</t>
        </is>
      </c>
      <c r="B203" s="1" t="n">
        <v>44566</v>
      </c>
      <c r="C203" s="1" t="n">
        <v>46013</v>
      </c>
      <c r="D203" t="inlineStr">
        <is>
          <t>JÄMTLANDS LÄN</t>
        </is>
      </c>
      <c r="E203" t="inlineStr">
        <is>
          <t>ÖSTERSUND</t>
        </is>
      </c>
      <c r="G203" t="n">
        <v>14.9</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46013</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44267-2021</t>
        </is>
      </c>
      <c r="B205" s="1" t="n">
        <v>44434</v>
      </c>
      <c r="C205" s="1" t="n">
        <v>46013</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47296-2022</t>
        </is>
      </c>
      <c r="B206" s="1" t="n">
        <v>44852.95248842592</v>
      </c>
      <c r="C206" s="1" t="n">
        <v>46013</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46013</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46013</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23895-2021</t>
        </is>
      </c>
      <c r="B209" s="1" t="n">
        <v>44335</v>
      </c>
      <c r="C209" s="1" t="n">
        <v>46013</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70816-2021</t>
        </is>
      </c>
      <c r="B210" s="1" t="n">
        <v>44537.935</v>
      </c>
      <c r="C210" s="1" t="n">
        <v>46013</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8227-2022</t>
        </is>
      </c>
      <c r="B211" s="1" t="n">
        <v>44609.93075231482</v>
      </c>
      <c r="C211" s="1" t="n">
        <v>46013</v>
      </c>
      <c r="D211" t="inlineStr">
        <is>
          <t>JÄMTLANDS LÄN</t>
        </is>
      </c>
      <c r="E211" t="inlineStr">
        <is>
          <t>ÖSTERSUND</t>
        </is>
      </c>
      <c r="G211" t="n">
        <v>6.6</v>
      </c>
      <c r="H211" t="n">
        <v>0</v>
      </c>
      <c r="I211" t="n">
        <v>0</v>
      </c>
      <c r="J211" t="n">
        <v>0</v>
      </c>
      <c r="K211" t="n">
        <v>0</v>
      </c>
      <c r="L211" t="n">
        <v>0</v>
      </c>
      <c r="M211" t="n">
        <v>0</v>
      </c>
      <c r="N211" t="n">
        <v>0</v>
      </c>
      <c r="O211" t="n">
        <v>0</v>
      </c>
      <c r="P211" t="n">
        <v>0</v>
      </c>
      <c r="Q211" t="n">
        <v>0</v>
      </c>
      <c r="R211" s="2" t="inlineStr"/>
    </row>
    <row r="212" ht="15" customHeight="1">
      <c r="A212" t="inlineStr">
        <is>
          <t>A 56148-2022</t>
        </is>
      </c>
      <c r="B212" s="1" t="n">
        <v>44889.89929398148</v>
      </c>
      <c r="C212" s="1" t="n">
        <v>46013</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65866-2021</t>
        </is>
      </c>
      <c r="B213" s="1" t="n">
        <v>44516</v>
      </c>
      <c r="C213" s="1" t="n">
        <v>46013</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46913-2022</t>
        </is>
      </c>
      <c r="B214" s="1" t="n">
        <v>44851</v>
      </c>
      <c r="C214" s="1" t="n">
        <v>46013</v>
      </c>
      <c r="D214" t="inlineStr">
        <is>
          <t>JÄMTLANDS LÄN</t>
        </is>
      </c>
      <c r="E214" t="inlineStr">
        <is>
          <t>ÖSTERSUND</t>
        </is>
      </c>
      <c r="G214" t="n">
        <v>2.5</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46013</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68408-2020</t>
        </is>
      </c>
      <c r="B216" s="1" t="n">
        <v>44186</v>
      </c>
      <c r="C216" s="1" t="n">
        <v>46013</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46013</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46013</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46013</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29094-2022</t>
        </is>
      </c>
      <c r="B220" s="1" t="n">
        <v>44750</v>
      </c>
      <c r="C220" s="1" t="n">
        <v>46013</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46013</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65991-2021</t>
        </is>
      </c>
      <c r="B222" s="1" t="n">
        <v>44517.55134259259</v>
      </c>
      <c r="C222" s="1" t="n">
        <v>46013</v>
      </c>
      <c r="D222" t="inlineStr">
        <is>
          <t>JÄMTLANDS LÄN</t>
        </is>
      </c>
      <c r="E222" t="inlineStr">
        <is>
          <t>ÖSTERSUND</t>
        </is>
      </c>
      <c r="G222" t="n">
        <v>4.3</v>
      </c>
      <c r="H222" t="n">
        <v>0</v>
      </c>
      <c r="I222" t="n">
        <v>0</v>
      </c>
      <c r="J222" t="n">
        <v>0</v>
      </c>
      <c r="K222" t="n">
        <v>0</v>
      </c>
      <c r="L222" t="n">
        <v>0</v>
      </c>
      <c r="M222" t="n">
        <v>0</v>
      </c>
      <c r="N222" t="n">
        <v>0</v>
      </c>
      <c r="O222" t="n">
        <v>0</v>
      </c>
      <c r="P222" t="n">
        <v>0</v>
      </c>
      <c r="Q222" t="n">
        <v>0</v>
      </c>
      <c r="R222" s="2" t="inlineStr"/>
    </row>
    <row r="223" ht="15" customHeight="1">
      <c r="A223" t="inlineStr">
        <is>
          <t>A 6458-2022</t>
        </is>
      </c>
      <c r="B223" s="1" t="n">
        <v>44601.36165509259</v>
      </c>
      <c r="C223" s="1" t="n">
        <v>46013</v>
      </c>
      <c r="D223" t="inlineStr">
        <is>
          <t>JÄMTLANDS LÄN</t>
        </is>
      </c>
      <c r="E223" t="inlineStr">
        <is>
          <t>ÖSTERSUND</t>
        </is>
      </c>
      <c r="G223" t="n">
        <v>3.1</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46013</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46013</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46013</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23992-2022</t>
        </is>
      </c>
      <c r="B227" s="1" t="n">
        <v>44722</v>
      </c>
      <c r="C227" s="1" t="n">
        <v>46013</v>
      </c>
      <c r="D227" t="inlineStr">
        <is>
          <t>JÄMTLANDS LÄN</t>
        </is>
      </c>
      <c r="E227" t="inlineStr">
        <is>
          <t>ÖSTERSUND</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23993-2022</t>
        </is>
      </c>
      <c r="B228" s="1" t="n">
        <v>44722.94023148148</v>
      </c>
      <c r="C228" s="1" t="n">
        <v>46013</v>
      </c>
      <c r="D228" t="inlineStr">
        <is>
          <t>JÄMTLANDS LÄN</t>
        </is>
      </c>
      <c r="E228" t="inlineStr">
        <is>
          <t>ÖSTERSUND</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46013</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46013</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46013</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46013</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46013</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46013</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46013</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46013</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46013</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46013</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21211-2022</t>
        </is>
      </c>
      <c r="B239" s="1" t="n">
        <v>44704.94370370371</v>
      </c>
      <c r="C239" s="1" t="n">
        <v>46013</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55002-2024</t>
        </is>
      </c>
      <c r="B240" s="1" t="n">
        <v>45621</v>
      </c>
      <c r="C240" s="1" t="n">
        <v>46013</v>
      </c>
      <c r="D240" t="inlineStr">
        <is>
          <t>JÄMTLANDS LÄN</t>
        </is>
      </c>
      <c r="E240" t="inlineStr">
        <is>
          <t>ÖSTERSUND</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14867-2025</t>
        </is>
      </c>
      <c r="B241" s="1" t="n">
        <v>45743.44207175926</v>
      </c>
      <c r="C241" s="1" t="n">
        <v>46013</v>
      </c>
      <c r="D241" t="inlineStr">
        <is>
          <t>JÄMTLANDS LÄN</t>
        </is>
      </c>
      <c r="E241" t="inlineStr">
        <is>
          <t>ÖSTERSUND</t>
        </is>
      </c>
      <c r="G241" t="n">
        <v>3.3</v>
      </c>
      <c r="H241" t="n">
        <v>0</v>
      </c>
      <c r="I241" t="n">
        <v>0</v>
      </c>
      <c r="J241" t="n">
        <v>0</v>
      </c>
      <c r="K241" t="n">
        <v>0</v>
      </c>
      <c r="L241" t="n">
        <v>0</v>
      </c>
      <c r="M241" t="n">
        <v>0</v>
      </c>
      <c r="N241" t="n">
        <v>0</v>
      </c>
      <c r="O241" t="n">
        <v>0</v>
      </c>
      <c r="P241" t="n">
        <v>0</v>
      </c>
      <c r="Q241" t="n">
        <v>0</v>
      </c>
      <c r="R241" s="2" t="inlineStr"/>
    </row>
    <row r="242" ht="15" customHeight="1">
      <c r="A242" t="inlineStr">
        <is>
          <t>A 14947-2025</t>
        </is>
      </c>
      <c r="B242" s="1" t="n">
        <v>45743.57336805556</v>
      </c>
      <c r="C242" s="1" t="n">
        <v>46013</v>
      </c>
      <c r="D242" t="inlineStr">
        <is>
          <t>JÄMTLANDS LÄN</t>
        </is>
      </c>
      <c r="E242" t="inlineStr">
        <is>
          <t>ÖSTERSUND</t>
        </is>
      </c>
      <c r="G242" t="n">
        <v>0.5</v>
      </c>
      <c r="H242" t="n">
        <v>0</v>
      </c>
      <c r="I242" t="n">
        <v>0</v>
      </c>
      <c r="J242" t="n">
        <v>0</v>
      </c>
      <c r="K242" t="n">
        <v>0</v>
      </c>
      <c r="L242" t="n">
        <v>0</v>
      </c>
      <c r="M242" t="n">
        <v>0</v>
      </c>
      <c r="N242" t="n">
        <v>0</v>
      </c>
      <c r="O242" t="n">
        <v>0</v>
      </c>
      <c r="P242" t="n">
        <v>0</v>
      </c>
      <c r="Q242" t="n">
        <v>0</v>
      </c>
      <c r="R242" s="2" t="inlineStr"/>
    </row>
    <row r="243" ht="15" customHeight="1">
      <c r="A243" t="inlineStr">
        <is>
          <t>A 6351-2024</t>
        </is>
      </c>
      <c r="B243" s="1" t="n">
        <v>45338</v>
      </c>
      <c r="C243" s="1" t="n">
        <v>46013</v>
      </c>
      <c r="D243" t="inlineStr">
        <is>
          <t>JÄMTLANDS LÄN</t>
        </is>
      </c>
      <c r="E243" t="inlineStr">
        <is>
          <t>ÖSTERSUND</t>
        </is>
      </c>
      <c r="G243" t="n">
        <v>0.8</v>
      </c>
      <c r="H243" t="n">
        <v>0</v>
      </c>
      <c r="I243" t="n">
        <v>0</v>
      </c>
      <c r="J243" t="n">
        <v>0</v>
      </c>
      <c r="K243" t="n">
        <v>0</v>
      </c>
      <c r="L243" t="n">
        <v>0</v>
      </c>
      <c r="M243" t="n">
        <v>0</v>
      </c>
      <c r="N243" t="n">
        <v>0</v>
      </c>
      <c r="O243" t="n">
        <v>0</v>
      </c>
      <c r="P243" t="n">
        <v>0</v>
      </c>
      <c r="Q243" t="n">
        <v>0</v>
      </c>
      <c r="R243" s="2" t="inlineStr"/>
    </row>
    <row r="244" ht="15" customHeight="1">
      <c r="A244" t="inlineStr">
        <is>
          <t>A 11182-2025</t>
        </is>
      </c>
      <c r="B244" s="1" t="n">
        <v>45725.44297453704</v>
      </c>
      <c r="C244" s="1" t="n">
        <v>46013</v>
      </c>
      <c r="D244" t="inlineStr">
        <is>
          <t>JÄMTLANDS LÄN</t>
        </is>
      </c>
      <c r="E244" t="inlineStr">
        <is>
          <t>ÖSTERSUND</t>
        </is>
      </c>
      <c r="G244" t="n">
        <v>3.3</v>
      </c>
      <c r="H244" t="n">
        <v>0</v>
      </c>
      <c r="I244" t="n">
        <v>0</v>
      </c>
      <c r="J244" t="n">
        <v>0</v>
      </c>
      <c r="K244" t="n">
        <v>0</v>
      </c>
      <c r="L244" t="n">
        <v>0</v>
      </c>
      <c r="M244" t="n">
        <v>0</v>
      </c>
      <c r="N244" t="n">
        <v>0</v>
      </c>
      <c r="O244" t="n">
        <v>0</v>
      </c>
      <c r="P244" t="n">
        <v>0</v>
      </c>
      <c r="Q244" t="n">
        <v>0</v>
      </c>
      <c r="R244" s="2" t="inlineStr"/>
    </row>
    <row r="245" ht="15" customHeight="1">
      <c r="A245" t="inlineStr">
        <is>
          <t>A 44013-2021</t>
        </is>
      </c>
      <c r="B245" s="1" t="n">
        <v>44434</v>
      </c>
      <c r="C245" s="1" t="n">
        <v>46013</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52128-2023</t>
        </is>
      </c>
      <c r="B246" s="1" t="n">
        <v>45223</v>
      </c>
      <c r="C246" s="1" t="n">
        <v>46013</v>
      </c>
      <c r="D246" t="inlineStr">
        <is>
          <t>JÄMTLANDS LÄN</t>
        </is>
      </c>
      <c r="E246" t="inlineStr">
        <is>
          <t>ÖSTERSUND</t>
        </is>
      </c>
      <c r="F246" t="inlineStr">
        <is>
          <t>SCA</t>
        </is>
      </c>
      <c r="G246" t="n">
        <v>11.9</v>
      </c>
      <c r="H246" t="n">
        <v>0</v>
      </c>
      <c r="I246" t="n">
        <v>0</v>
      </c>
      <c r="J246" t="n">
        <v>0</v>
      </c>
      <c r="K246" t="n">
        <v>0</v>
      </c>
      <c r="L246" t="n">
        <v>0</v>
      </c>
      <c r="M246" t="n">
        <v>0</v>
      </c>
      <c r="N246" t="n">
        <v>0</v>
      </c>
      <c r="O246" t="n">
        <v>0</v>
      </c>
      <c r="P246" t="n">
        <v>0</v>
      </c>
      <c r="Q246" t="n">
        <v>0</v>
      </c>
      <c r="R246" s="2" t="inlineStr"/>
    </row>
    <row r="247" ht="15" customHeight="1">
      <c r="A247" t="inlineStr">
        <is>
          <t>A 17066-2024</t>
        </is>
      </c>
      <c r="B247" s="1" t="n">
        <v>45412.46636574074</v>
      </c>
      <c r="C247" s="1" t="n">
        <v>46013</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46013</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46013</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38142-2021</t>
        </is>
      </c>
      <c r="B250" s="1" t="n">
        <v>44405</v>
      </c>
      <c r="C250" s="1" t="n">
        <v>46013</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11052-2024</t>
        </is>
      </c>
      <c r="B251" s="1" t="n">
        <v>45370</v>
      </c>
      <c r="C251" s="1" t="n">
        <v>46013</v>
      </c>
      <c r="D251" t="inlineStr">
        <is>
          <t>JÄMTLANDS LÄN</t>
        </is>
      </c>
      <c r="E251" t="inlineStr">
        <is>
          <t>ÖSTERSUND</t>
        </is>
      </c>
      <c r="G251" t="n">
        <v>2.3</v>
      </c>
      <c r="H251" t="n">
        <v>0</v>
      </c>
      <c r="I251" t="n">
        <v>0</v>
      </c>
      <c r="J251" t="n">
        <v>0</v>
      </c>
      <c r="K251" t="n">
        <v>0</v>
      </c>
      <c r="L251" t="n">
        <v>0</v>
      </c>
      <c r="M251" t="n">
        <v>0</v>
      </c>
      <c r="N251" t="n">
        <v>0</v>
      </c>
      <c r="O251" t="n">
        <v>0</v>
      </c>
      <c r="P251" t="n">
        <v>0</v>
      </c>
      <c r="Q251" t="n">
        <v>0</v>
      </c>
      <c r="R251" s="2" t="inlineStr"/>
    </row>
    <row r="252" ht="15" customHeight="1">
      <c r="A252" t="inlineStr">
        <is>
          <t>A 15669-2025</t>
        </is>
      </c>
      <c r="B252" s="1" t="n">
        <v>45748.4396412037</v>
      </c>
      <c r="C252" s="1" t="n">
        <v>46013</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30217-2022</t>
        </is>
      </c>
      <c r="B253" s="1" t="n">
        <v>44757.92671296297</v>
      </c>
      <c r="C253" s="1" t="n">
        <v>46013</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2984-2024</t>
        </is>
      </c>
      <c r="B254" s="1" t="n">
        <v>45315</v>
      </c>
      <c r="C254" s="1" t="n">
        <v>46013</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25385-2024</t>
        </is>
      </c>
      <c r="B255" s="1" t="n">
        <v>45462.96347222223</v>
      </c>
      <c r="C255" s="1" t="n">
        <v>46013</v>
      </c>
      <c r="D255" t="inlineStr">
        <is>
          <t>JÄMTLANDS LÄN</t>
        </is>
      </c>
      <c r="E255" t="inlineStr">
        <is>
          <t>ÖSTERSUND</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21667-2024</t>
        </is>
      </c>
      <c r="B256" s="1" t="n">
        <v>45442.38511574074</v>
      </c>
      <c r="C256" s="1" t="n">
        <v>46013</v>
      </c>
      <c r="D256" t="inlineStr">
        <is>
          <t>JÄMTLANDS LÄN</t>
        </is>
      </c>
      <c r="E256" t="inlineStr">
        <is>
          <t>ÖSTERSUND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46013</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41780-2024</t>
        </is>
      </c>
      <c r="B258" s="1" t="n">
        <v>45561.34908564815</v>
      </c>
      <c r="C258" s="1" t="n">
        <v>46013</v>
      </c>
      <c r="D258" t="inlineStr">
        <is>
          <t>JÄMTLANDS LÄN</t>
        </is>
      </c>
      <c r="E258" t="inlineStr">
        <is>
          <t>ÖSTERSUND</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2228-2024</t>
        </is>
      </c>
      <c r="B259" s="1" t="n">
        <v>45309</v>
      </c>
      <c r="C259" s="1" t="n">
        <v>46013</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23877-2025</t>
        </is>
      </c>
      <c r="B260" s="1" t="n">
        <v>45793.68469907407</v>
      </c>
      <c r="C260" s="1" t="n">
        <v>46013</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20400-2024</t>
        </is>
      </c>
      <c r="B261" s="1" t="n">
        <v>45435.55372685185</v>
      </c>
      <c r="C261" s="1" t="n">
        <v>46013</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24403-2025</t>
        </is>
      </c>
      <c r="B262" s="1" t="n">
        <v>45797.65025462963</v>
      </c>
      <c r="C262" s="1" t="n">
        <v>46013</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24523-2025</t>
        </is>
      </c>
      <c r="B263" s="1" t="n">
        <v>45798.42108796296</v>
      </c>
      <c r="C263" s="1" t="n">
        <v>46013</v>
      </c>
      <c r="D263" t="inlineStr">
        <is>
          <t>JÄMTLANDS LÄN</t>
        </is>
      </c>
      <c r="E263" t="inlineStr">
        <is>
          <t>ÖSTERSUND</t>
        </is>
      </c>
      <c r="G263" t="n">
        <v>13.7</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46013</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46013</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24568-2025</t>
        </is>
      </c>
      <c r="B266" s="1" t="n">
        <v>45798.46913194445</v>
      </c>
      <c r="C266" s="1" t="n">
        <v>46013</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53176-2024</t>
        </is>
      </c>
      <c r="B267" s="1" t="n">
        <v>45611.66655092593</v>
      </c>
      <c r="C267" s="1" t="n">
        <v>46013</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46013</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24946-2025</t>
        </is>
      </c>
      <c r="B269" s="1" t="n">
        <v>45799.56515046296</v>
      </c>
      <c r="C269" s="1" t="n">
        <v>46013</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13166-2023</t>
        </is>
      </c>
      <c r="B270" s="1" t="n">
        <v>45002</v>
      </c>
      <c r="C270" s="1" t="n">
        <v>46013</v>
      </c>
      <c r="D270" t="inlineStr">
        <is>
          <t>JÄMTLANDS LÄN</t>
        </is>
      </c>
      <c r="E270" t="inlineStr">
        <is>
          <t>ÖSTERSUND</t>
        </is>
      </c>
      <c r="F270" t="inlineStr">
        <is>
          <t>Övriga statliga verk och myndigheter</t>
        </is>
      </c>
      <c r="G270" t="n">
        <v>1</v>
      </c>
      <c r="H270" t="n">
        <v>0</v>
      </c>
      <c r="I270" t="n">
        <v>0</v>
      </c>
      <c r="J270" t="n">
        <v>0</v>
      </c>
      <c r="K270" t="n">
        <v>0</v>
      </c>
      <c r="L270" t="n">
        <v>0</v>
      </c>
      <c r="M270" t="n">
        <v>0</v>
      </c>
      <c r="N270" t="n">
        <v>0</v>
      </c>
      <c r="O270" t="n">
        <v>0</v>
      </c>
      <c r="P270" t="n">
        <v>0</v>
      </c>
      <c r="Q270" t="n">
        <v>0</v>
      </c>
      <c r="R270" s="2" t="inlineStr"/>
    </row>
    <row r="271" ht="15" customHeight="1">
      <c r="A271" t="inlineStr">
        <is>
          <t>A 25210-2025</t>
        </is>
      </c>
      <c r="B271" s="1" t="n">
        <v>45800.46960648148</v>
      </c>
      <c r="C271" s="1" t="n">
        <v>46013</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25058-2025</t>
        </is>
      </c>
      <c r="B272" s="1" t="n">
        <v>45799.68418981481</v>
      </c>
      <c r="C272" s="1" t="n">
        <v>46013</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25252-2025</t>
        </is>
      </c>
      <c r="B273" s="1" t="n">
        <v>45800.50355324074</v>
      </c>
      <c r="C273" s="1" t="n">
        <v>46013</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38871-2025</t>
        </is>
      </c>
      <c r="B274" s="1" t="n">
        <v>45887.57407407407</v>
      </c>
      <c r="C274" s="1" t="n">
        <v>46013</v>
      </c>
      <c r="D274" t="inlineStr">
        <is>
          <t>JÄMTLANDS LÄN</t>
        </is>
      </c>
      <c r="E274" t="inlineStr">
        <is>
          <t>ÖSTERSUND</t>
        </is>
      </c>
      <c r="G274" t="n">
        <v>3</v>
      </c>
      <c r="H274" t="n">
        <v>0</v>
      </c>
      <c r="I274" t="n">
        <v>0</v>
      </c>
      <c r="J274" t="n">
        <v>0</v>
      </c>
      <c r="K274" t="n">
        <v>0</v>
      </c>
      <c r="L274" t="n">
        <v>0</v>
      </c>
      <c r="M274" t="n">
        <v>0</v>
      </c>
      <c r="N274" t="n">
        <v>0</v>
      </c>
      <c r="O274" t="n">
        <v>0</v>
      </c>
      <c r="P274" t="n">
        <v>0</v>
      </c>
      <c r="Q274" t="n">
        <v>0</v>
      </c>
      <c r="R274" s="2" t="inlineStr"/>
    </row>
    <row r="275" ht="15" customHeight="1">
      <c r="A275" t="inlineStr">
        <is>
          <t>A 39030-2025</t>
        </is>
      </c>
      <c r="B275" s="1" t="n">
        <v>45888.40700231482</v>
      </c>
      <c r="C275" s="1" t="n">
        <v>46013</v>
      </c>
      <c r="D275" t="inlineStr">
        <is>
          <t>JÄMTLANDS LÄN</t>
        </is>
      </c>
      <c r="E275" t="inlineStr">
        <is>
          <t>ÖSTERSUND</t>
        </is>
      </c>
      <c r="G275" t="n">
        <v>1.8</v>
      </c>
      <c r="H275" t="n">
        <v>0</v>
      </c>
      <c r="I275" t="n">
        <v>0</v>
      </c>
      <c r="J275" t="n">
        <v>0</v>
      </c>
      <c r="K275" t="n">
        <v>0</v>
      </c>
      <c r="L275" t="n">
        <v>0</v>
      </c>
      <c r="M275" t="n">
        <v>0</v>
      </c>
      <c r="N275" t="n">
        <v>0</v>
      </c>
      <c r="O275" t="n">
        <v>0</v>
      </c>
      <c r="P275" t="n">
        <v>0</v>
      </c>
      <c r="Q275" t="n">
        <v>0</v>
      </c>
      <c r="R275" s="2" t="inlineStr"/>
    </row>
    <row r="276" ht="15" customHeight="1">
      <c r="A276" t="inlineStr">
        <is>
          <t>A 25059-2025</t>
        </is>
      </c>
      <c r="B276" s="1" t="n">
        <v>45799.69116898148</v>
      </c>
      <c r="C276" s="1" t="n">
        <v>46013</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25069-2025</t>
        </is>
      </c>
      <c r="B277" s="1" t="n">
        <v>45799.7372337963</v>
      </c>
      <c r="C277" s="1" t="n">
        <v>46013</v>
      </c>
      <c r="D277" t="inlineStr">
        <is>
          <t>JÄMTLANDS LÄN</t>
        </is>
      </c>
      <c r="E277" t="inlineStr">
        <is>
          <t>ÖSTERSUND</t>
        </is>
      </c>
      <c r="G277" t="n">
        <v>3.5</v>
      </c>
      <c r="H277" t="n">
        <v>0</v>
      </c>
      <c r="I277" t="n">
        <v>0</v>
      </c>
      <c r="J277" t="n">
        <v>0</v>
      </c>
      <c r="K277" t="n">
        <v>0</v>
      </c>
      <c r="L277" t="n">
        <v>0</v>
      </c>
      <c r="M277" t="n">
        <v>0</v>
      </c>
      <c r="N277" t="n">
        <v>0</v>
      </c>
      <c r="O277" t="n">
        <v>0</v>
      </c>
      <c r="P277" t="n">
        <v>0</v>
      </c>
      <c r="Q277" t="n">
        <v>0</v>
      </c>
      <c r="R277" s="2" t="inlineStr"/>
    </row>
    <row r="278" ht="15" customHeight="1">
      <c r="A278" t="inlineStr">
        <is>
          <t>A 9109-2024</t>
        </is>
      </c>
      <c r="B278" s="1" t="n">
        <v>45357.96106481482</v>
      </c>
      <c r="C278" s="1" t="n">
        <v>46013</v>
      </c>
      <c r="D278" t="inlineStr">
        <is>
          <t>JÄMTLANDS LÄN</t>
        </is>
      </c>
      <c r="E278" t="inlineStr">
        <is>
          <t>ÖSTERSUND</t>
        </is>
      </c>
      <c r="G278" t="n">
        <v>17.1</v>
      </c>
      <c r="H278" t="n">
        <v>0</v>
      </c>
      <c r="I278" t="n">
        <v>0</v>
      </c>
      <c r="J278" t="n">
        <v>0</v>
      </c>
      <c r="K278" t="n">
        <v>0</v>
      </c>
      <c r="L278" t="n">
        <v>0</v>
      </c>
      <c r="M278" t="n">
        <v>0</v>
      </c>
      <c r="N278" t="n">
        <v>0</v>
      </c>
      <c r="O278" t="n">
        <v>0</v>
      </c>
      <c r="P278" t="n">
        <v>0</v>
      </c>
      <c r="Q278" t="n">
        <v>0</v>
      </c>
      <c r="R278" s="2" t="inlineStr"/>
    </row>
    <row r="279" ht="15" customHeight="1">
      <c r="A279" t="inlineStr">
        <is>
          <t>A 38853-2025</t>
        </is>
      </c>
      <c r="B279" s="1" t="n">
        <v>45887.55666666666</v>
      </c>
      <c r="C279" s="1" t="n">
        <v>46013</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25572-2025</t>
        </is>
      </c>
      <c r="B280" s="1" t="n">
        <v>45803</v>
      </c>
      <c r="C280" s="1" t="n">
        <v>46013</v>
      </c>
      <c r="D280" t="inlineStr">
        <is>
          <t>JÄMTLANDS LÄN</t>
        </is>
      </c>
      <c r="E280" t="inlineStr">
        <is>
          <t>ÖSTERSUND</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16335-2025</t>
        </is>
      </c>
      <c r="B281" s="1" t="n">
        <v>45751.36518518518</v>
      </c>
      <c r="C281" s="1" t="n">
        <v>46013</v>
      </c>
      <c r="D281" t="inlineStr">
        <is>
          <t>JÄMTLANDS LÄN</t>
        </is>
      </c>
      <c r="E281" t="inlineStr">
        <is>
          <t>ÖSTERSUND</t>
        </is>
      </c>
      <c r="G281" t="n">
        <v>3.7</v>
      </c>
      <c r="H281" t="n">
        <v>0</v>
      </c>
      <c r="I281" t="n">
        <v>0</v>
      </c>
      <c r="J281" t="n">
        <v>0</v>
      </c>
      <c r="K281" t="n">
        <v>0</v>
      </c>
      <c r="L281" t="n">
        <v>0</v>
      </c>
      <c r="M281" t="n">
        <v>0</v>
      </c>
      <c r="N281" t="n">
        <v>0</v>
      </c>
      <c r="O281" t="n">
        <v>0</v>
      </c>
      <c r="P281" t="n">
        <v>0</v>
      </c>
      <c r="Q281" t="n">
        <v>0</v>
      </c>
      <c r="R281" s="2" t="inlineStr"/>
    </row>
    <row r="282" ht="15" customHeight="1">
      <c r="A282" t="inlineStr">
        <is>
          <t>A 56646-2024</t>
        </is>
      </c>
      <c r="B282" s="1" t="n">
        <v>45625</v>
      </c>
      <c r="C282" s="1" t="n">
        <v>46013</v>
      </c>
      <c r="D282" t="inlineStr">
        <is>
          <t>JÄMTLANDS LÄN</t>
        </is>
      </c>
      <c r="E282" t="inlineStr">
        <is>
          <t>ÖSTERSUND</t>
        </is>
      </c>
      <c r="G282" t="n">
        <v>18.9</v>
      </c>
      <c r="H282" t="n">
        <v>0</v>
      </c>
      <c r="I282" t="n">
        <v>0</v>
      </c>
      <c r="J282" t="n">
        <v>0</v>
      </c>
      <c r="K282" t="n">
        <v>0</v>
      </c>
      <c r="L282" t="n">
        <v>0</v>
      </c>
      <c r="M282" t="n">
        <v>0</v>
      </c>
      <c r="N282" t="n">
        <v>0</v>
      </c>
      <c r="O282" t="n">
        <v>0</v>
      </c>
      <c r="P282" t="n">
        <v>0</v>
      </c>
      <c r="Q282" t="n">
        <v>0</v>
      </c>
      <c r="R282" s="2" t="inlineStr"/>
    </row>
    <row r="283" ht="15" customHeight="1">
      <c r="A283" t="inlineStr">
        <is>
          <t>A 15686-2025</t>
        </is>
      </c>
      <c r="B283" s="1" t="n">
        <v>45748.46021990741</v>
      </c>
      <c r="C283" s="1" t="n">
        <v>46013</v>
      </c>
      <c r="D283" t="inlineStr">
        <is>
          <t>JÄMTLANDS LÄN</t>
        </is>
      </c>
      <c r="E283" t="inlineStr">
        <is>
          <t>ÖSTERSUND</t>
        </is>
      </c>
      <c r="G283" t="n">
        <v>1.5</v>
      </c>
      <c r="H283" t="n">
        <v>0</v>
      </c>
      <c r="I283" t="n">
        <v>0</v>
      </c>
      <c r="J283" t="n">
        <v>0</v>
      </c>
      <c r="K283" t="n">
        <v>0</v>
      </c>
      <c r="L283" t="n">
        <v>0</v>
      </c>
      <c r="M283" t="n">
        <v>0</v>
      </c>
      <c r="N283" t="n">
        <v>0</v>
      </c>
      <c r="O283" t="n">
        <v>0</v>
      </c>
      <c r="P283" t="n">
        <v>0</v>
      </c>
      <c r="Q283" t="n">
        <v>0</v>
      </c>
      <c r="R283" s="2" t="inlineStr"/>
    </row>
    <row r="284" ht="15" customHeight="1">
      <c r="A284" t="inlineStr">
        <is>
          <t>A 39103-2025</t>
        </is>
      </c>
      <c r="B284" s="1" t="n">
        <v>45888.52440972222</v>
      </c>
      <c r="C284" s="1" t="n">
        <v>46013</v>
      </c>
      <c r="D284" t="inlineStr">
        <is>
          <t>JÄMTLANDS LÄN</t>
        </is>
      </c>
      <c r="E284" t="inlineStr">
        <is>
          <t>ÖSTERSUND</t>
        </is>
      </c>
      <c r="G284" t="n">
        <v>23.9</v>
      </c>
      <c r="H284" t="n">
        <v>0</v>
      </c>
      <c r="I284" t="n">
        <v>0</v>
      </c>
      <c r="J284" t="n">
        <v>0</v>
      </c>
      <c r="K284" t="n">
        <v>0</v>
      </c>
      <c r="L284" t="n">
        <v>0</v>
      </c>
      <c r="M284" t="n">
        <v>0</v>
      </c>
      <c r="N284" t="n">
        <v>0</v>
      </c>
      <c r="O284" t="n">
        <v>0</v>
      </c>
      <c r="P284" t="n">
        <v>0</v>
      </c>
      <c r="Q284" t="n">
        <v>0</v>
      </c>
      <c r="R284" s="2" t="inlineStr"/>
    </row>
    <row r="285" ht="15" customHeight="1">
      <c r="A285" t="inlineStr">
        <is>
          <t>A 61256-2022</t>
        </is>
      </c>
      <c r="B285" s="1" t="n">
        <v>44909</v>
      </c>
      <c r="C285" s="1" t="n">
        <v>46013</v>
      </c>
      <c r="D285" t="inlineStr">
        <is>
          <t>JÄMTLANDS LÄN</t>
        </is>
      </c>
      <c r="E285" t="inlineStr">
        <is>
          <t>ÖSTERSUND</t>
        </is>
      </c>
      <c r="G285" t="n">
        <v>3.9</v>
      </c>
      <c r="H285" t="n">
        <v>0</v>
      </c>
      <c r="I285" t="n">
        <v>0</v>
      </c>
      <c r="J285" t="n">
        <v>0</v>
      </c>
      <c r="K285" t="n">
        <v>0</v>
      </c>
      <c r="L285" t="n">
        <v>0</v>
      </c>
      <c r="M285" t="n">
        <v>0</v>
      </c>
      <c r="N285" t="n">
        <v>0</v>
      </c>
      <c r="O285" t="n">
        <v>0</v>
      </c>
      <c r="P285" t="n">
        <v>0</v>
      </c>
      <c r="Q285" t="n">
        <v>0</v>
      </c>
      <c r="R285" s="2" t="inlineStr"/>
    </row>
    <row r="286" ht="15" customHeight="1">
      <c r="A286" t="inlineStr">
        <is>
          <t>A 26144-2025</t>
        </is>
      </c>
      <c r="B286" s="1" t="n">
        <v>45805.42827546296</v>
      </c>
      <c r="C286" s="1" t="n">
        <v>46013</v>
      </c>
      <c r="D286" t="inlineStr">
        <is>
          <t>JÄMTLANDS LÄN</t>
        </is>
      </c>
      <c r="E286" t="inlineStr">
        <is>
          <t>ÖSTERSUND</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47357-2024</t>
        </is>
      </c>
      <c r="B287" s="1" t="n">
        <v>45587.42835648148</v>
      </c>
      <c r="C287" s="1" t="n">
        <v>46013</v>
      </c>
      <c r="D287" t="inlineStr">
        <is>
          <t>JÄMTLANDS LÄN</t>
        </is>
      </c>
      <c r="E287" t="inlineStr">
        <is>
          <t>ÖSTERSUND</t>
        </is>
      </c>
      <c r="G287" t="n">
        <v>2.4</v>
      </c>
      <c r="H287" t="n">
        <v>0</v>
      </c>
      <c r="I287" t="n">
        <v>0</v>
      </c>
      <c r="J287" t="n">
        <v>0</v>
      </c>
      <c r="K287" t="n">
        <v>0</v>
      </c>
      <c r="L287" t="n">
        <v>0</v>
      </c>
      <c r="M287" t="n">
        <v>0</v>
      </c>
      <c r="N287" t="n">
        <v>0</v>
      </c>
      <c r="O287" t="n">
        <v>0</v>
      </c>
      <c r="P287" t="n">
        <v>0</v>
      </c>
      <c r="Q287" t="n">
        <v>0</v>
      </c>
      <c r="R287" s="2" t="inlineStr"/>
    </row>
    <row r="288" ht="15" customHeight="1">
      <c r="A288" t="inlineStr">
        <is>
          <t>A 25221-2025</t>
        </is>
      </c>
      <c r="B288" s="1" t="n">
        <v>45800.47802083333</v>
      </c>
      <c r="C288" s="1" t="n">
        <v>46013</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60560-2022</t>
        </is>
      </c>
      <c r="B289" s="1" t="n">
        <v>44911.54984953703</v>
      </c>
      <c r="C289" s="1" t="n">
        <v>46013</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25187-2024</t>
        </is>
      </c>
      <c r="B290" s="1" t="n">
        <v>45462.56172453704</v>
      </c>
      <c r="C290" s="1" t="n">
        <v>46013</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5135-2025</t>
        </is>
      </c>
      <c r="B291" s="1" t="n">
        <v>45691</v>
      </c>
      <c r="C291" s="1" t="n">
        <v>46013</v>
      </c>
      <c r="D291" t="inlineStr">
        <is>
          <t>JÄMTLANDS LÄN</t>
        </is>
      </c>
      <c r="E291" t="inlineStr">
        <is>
          <t>ÖSTERSUND</t>
        </is>
      </c>
      <c r="F291" t="inlineStr">
        <is>
          <t>Övriga Aktiebolag</t>
        </is>
      </c>
      <c r="G291" t="n">
        <v>126.9</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46013</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39510-2024</t>
        </is>
      </c>
      <c r="B293" s="1" t="n">
        <v>45551.67761574074</v>
      </c>
      <c r="C293" s="1" t="n">
        <v>46013</v>
      </c>
      <c r="D293" t="inlineStr">
        <is>
          <t>JÄMTLANDS LÄN</t>
        </is>
      </c>
      <c r="E293" t="inlineStr">
        <is>
          <t>ÖSTERSUND</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10064-2024</t>
        </is>
      </c>
      <c r="B294" s="1" t="n">
        <v>45364.3874074074</v>
      </c>
      <c r="C294" s="1" t="n">
        <v>46013</v>
      </c>
      <c r="D294" t="inlineStr">
        <is>
          <t>JÄMTLANDS LÄN</t>
        </is>
      </c>
      <c r="E294" t="inlineStr">
        <is>
          <t>ÖSTERSUND</t>
        </is>
      </c>
      <c r="G294" t="n">
        <v>13.9</v>
      </c>
      <c r="H294" t="n">
        <v>0</v>
      </c>
      <c r="I294" t="n">
        <v>0</v>
      </c>
      <c r="J294" t="n">
        <v>0</v>
      </c>
      <c r="K294" t="n">
        <v>0</v>
      </c>
      <c r="L294" t="n">
        <v>0</v>
      </c>
      <c r="M294" t="n">
        <v>0</v>
      </c>
      <c r="N294" t="n">
        <v>0</v>
      </c>
      <c r="O294" t="n">
        <v>0</v>
      </c>
      <c r="P294" t="n">
        <v>0</v>
      </c>
      <c r="Q294" t="n">
        <v>0</v>
      </c>
      <c r="R294" s="2" t="inlineStr"/>
    </row>
    <row r="295" ht="15" customHeight="1">
      <c r="A295" t="inlineStr">
        <is>
          <t>A 3610-2024</t>
        </is>
      </c>
      <c r="B295" s="1" t="n">
        <v>45320.92060185185</v>
      </c>
      <c r="C295" s="1" t="n">
        <v>46013</v>
      </c>
      <c r="D295" t="inlineStr">
        <is>
          <t>JÄMTLANDS LÄN</t>
        </is>
      </c>
      <c r="E295" t="inlineStr">
        <is>
          <t>ÖSTERSUND</t>
        </is>
      </c>
      <c r="G295" t="n">
        <v>6.2</v>
      </c>
      <c r="H295" t="n">
        <v>0</v>
      </c>
      <c r="I295" t="n">
        <v>0</v>
      </c>
      <c r="J295" t="n">
        <v>0</v>
      </c>
      <c r="K295" t="n">
        <v>0</v>
      </c>
      <c r="L295" t="n">
        <v>0</v>
      </c>
      <c r="M295" t="n">
        <v>0</v>
      </c>
      <c r="N295" t="n">
        <v>0</v>
      </c>
      <c r="O295" t="n">
        <v>0</v>
      </c>
      <c r="P295" t="n">
        <v>0</v>
      </c>
      <c r="Q295" t="n">
        <v>0</v>
      </c>
      <c r="R295" s="2" t="inlineStr"/>
    </row>
    <row r="296" ht="15" customHeight="1">
      <c r="A296" t="inlineStr">
        <is>
          <t>A 26492-2025</t>
        </is>
      </c>
      <c r="B296" s="1" t="n">
        <v>45807</v>
      </c>
      <c r="C296" s="1" t="n">
        <v>46013</v>
      </c>
      <c r="D296" t="inlineStr">
        <is>
          <t>JÄMTLANDS LÄN</t>
        </is>
      </c>
      <c r="E296" t="inlineStr">
        <is>
          <t>ÖSTERSUND</t>
        </is>
      </c>
      <c r="G296" t="n">
        <v>7</v>
      </c>
      <c r="H296" t="n">
        <v>0</v>
      </c>
      <c r="I296" t="n">
        <v>0</v>
      </c>
      <c r="J296" t="n">
        <v>0</v>
      </c>
      <c r="K296" t="n">
        <v>0</v>
      </c>
      <c r="L296" t="n">
        <v>0</v>
      </c>
      <c r="M296" t="n">
        <v>0</v>
      </c>
      <c r="N296" t="n">
        <v>0</v>
      </c>
      <c r="O296" t="n">
        <v>0</v>
      </c>
      <c r="P296" t="n">
        <v>0</v>
      </c>
      <c r="Q296" t="n">
        <v>0</v>
      </c>
      <c r="R296" s="2" t="inlineStr"/>
    </row>
    <row r="297" ht="15" customHeight="1">
      <c r="A297" t="inlineStr">
        <is>
          <t>A 26500-2025</t>
        </is>
      </c>
      <c r="B297" s="1" t="n">
        <v>45807</v>
      </c>
      <c r="C297" s="1" t="n">
        <v>46013</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26587-2025</t>
        </is>
      </c>
      <c r="B298" s="1" t="n">
        <v>45807.75076388889</v>
      </c>
      <c r="C298" s="1" t="n">
        <v>46013</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61449-2024</t>
        </is>
      </c>
      <c r="B299" s="1" t="n">
        <v>45646.48988425926</v>
      </c>
      <c r="C299" s="1" t="n">
        <v>46013</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61450-2024</t>
        </is>
      </c>
      <c r="B300" s="1" t="n">
        <v>45646.49012731481</v>
      </c>
      <c r="C300" s="1" t="n">
        <v>46013</v>
      </c>
      <c r="D300" t="inlineStr">
        <is>
          <t>JÄMTLANDS LÄN</t>
        </is>
      </c>
      <c r="E300" t="inlineStr">
        <is>
          <t>ÖSTERSUND</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61451-2024</t>
        </is>
      </c>
      <c r="B301" s="1" t="n">
        <v>45646.49017361111</v>
      </c>
      <c r="C301" s="1" t="n">
        <v>46013</v>
      </c>
      <c r="D301" t="inlineStr">
        <is>
          <t>JÄMTLANDS LÄN</t>
        </is>
      </c>
      <c r="E301" t="inlineStr">
        <is>
          <t>ÖSTERSUND</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13651-2025</t>
        </is>
      </c>
      <c r="B302" s="1" t="n">
        <v>45736.71818287037</v>
      </c>
      <c r="C302" s="1" t="n">
        <v>46013</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27035-2025</t>
        </is>
      </c>
      <c r="B303" s="1" t="n">
        <v>45811.5928587963</v>
      </c>
      <c r="C303" s="1" t="n">
        <v>46013</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40360-2025</t>
        </is>
      </c>
      <c r="B304" s="1" t="n">
        <v>45895.49024305555</v>
      </c>
      <c r="C304" s="1" t="n">
        <v>46013</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40325-2025</t>
        </is>
      </c>
      <c r="B305" s="1" t="n">
        <v>45895.4484837963</v>
      </c>
      <c r="C305" s="1" t="n">
        <v>46013</v>
      </c>
      <c r="D305" t="inlineStr">
        <is>
          <t>JÄMTLANDS LÄN</t>
        </is>
      </c>
      <c r="E305" t="inlineStr">
        <is>
          <t>ÖSTERSUND</t>
        </is>
      </c>
      <c r="G305" t="n">
        <v>1</v>
      </c>
      <c r="H305" t="n">
        <v>0</v>
      </c>
      <c r="I305" t="n">
        <v>0</v>
      </c>
      <c r="J305" t="n">
        <v>0</v>
      </c>
      <c r="K305" t="n">
        <v>0</v>
      </c>
      <c r="L305" t="n">
        <v>0</v>
      </c>
      <c r="M305" t="n">
        <v>0</v>
      </c>
      <c r="N305" t="n">
        <v>0</v>
      </c>
      <c r="O305" t="n">
        <v>0</v>
      </c>
      <c r="P305" t="n">
        <v>0</v>
      </c>
      <c r="Q305" t="n">
        <v>0</v>
      </c>
      <c r="R305" s="2" t="inlineStr"/>
    </row>
    <row r="306" ht="15" customHeight="1">
      <c r="A306" t="inlineStr">
        <is>
          <t>A 40361-2025</t>
        </is>
      </c>
      <c r="B306" s="1" t="n">
        <v>45895.49026620371</v>
      </c>
      <c r="C306" s="1" t="n">
        <v>46013</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28181-2024</t>
        </is>
      </c>
      <c r="B307" s="1" t="n">
        <v>45477.28482638889</v>
      </c>
      <c r="C307" s="1" t="n">
        <v>46013</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27034-2025</t>
        </is>
      </c>
      <c r="B308" s="1" t="n">
        <v>45811.59258101852</v>
      </c>
      <c r="C308" s="1" t="n">
        <v>46013</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55302-2021</t>
        </is>
      </c>
      <c r="B309" s="1" t="n">
        <v>44475</v>
      </c>
      <c r="C309" s="1" t="n">
        <v>46013</v>
      </c>
      <c r="D309" t="inlineStr">
        <is>
          <t>JÄMTLANDS LÄN</t>
        </is>
      </c>
      <c r="E309" t="inlineStr">
        <is>
          <t>ÖSTERSUND</t>
        </is>
      </c>
      <c r="G309" t="n">
        <v>0.3</v>
      </c>
      <c r="H309" t="n">
        <v>0</v>
      </c>
      <c r="I309" t="n">
        <v>0</v>
      </c>
      <c r="J309" t="n">
        <v>0</v>
      </c>
      <c r="K309" t="n">
        <v>0</v>
      </c>
      <c r="L309" t="n">
        <v>0</v>
      </c>
      <c r="M309" t="n">
        <v>0</v>
      </c>
      <c r="N309" t="n">
        <v>0</v>
      </c>
      <c r="O309" t="n">
        <v>0</v>
      </c>
      <c r="P309" t="n">
        <v>0</v>
      </c>
      <c r="Q309" t="n">
        <v>0</v>
      </c>
      <c r="R309" s="2" t="inlineStr"/>
    </row>
    <row r="310" ht="15" customHeight="1">
      <c r="A310" t="inlineStr">
        <is>
          <t>A 40326-2025</t>
        </is>
      </c>
      <c r="B310" s="1" t="n">
        <v>45895.44856481482</v>
      </c>
      <c r="C310" s="1" t="n">
        <v>46013</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14182-2025</t>
        </is>
      </c>
      <c r="B311" s="1" t="n">
        <v>45740.54168981482</v>
      </c>
      <c r="C311" s="1" t="n">
        <v>46013</v>
      </c>
      <c r="D311" t="inlineStr">
        <is>
          <t>JÄMTLANDS LÄN</t>
        </is>
      </c>
      <c r="E311" t="inlineStr">
        <is>
          <t>ÖSTERSUND</t>
        </is>
      </c>
      <c r="F311" t="inlineStr">
        <is>
          <t>Övriga Aktiebolag</t>
        </is>
      </c>
      <c r="G311" t="n">
        <v>20.1</v>
      </c>
      <c r="H311" t="n">
        <v>0</v>
      </c>
      <c r="I311" t="n">
        <v>0</v>
      </c>
      <c r="J311" t="n">
        <v>0</v>
      </c>
      <c r="K311" t="n">
        <v>0</v>
      </c>
      <c r="L311" t="n">
        <v>0</v>
      </c>
      <c r="M311" t="n">
        <v>0</v>
      </c>
      <c r="N311" t="n">
        <v>0</v>
      </c>
      <c r="O311" t="n">
        <v>0</v>
      </c>
      <c r="P311" t="n">
        <v>0</v>
      </c>
      <c r="Q311" t="n">
        <v>0</v>
      </c>
      <c r="R311" s="2" t="inlineStr"/>
    </row>
    <row r="312" ht="15" customHeight="1">
      <c r="A312" t="inlineStr">
        <is>
          <t>A 27517-2025</t>
        </is>
      </c>
      <c r="B312" s="1" t="n">
        <v>45813.43966435185</v>
      </c>
      <c r="C312" s="1" t="n">
        <v>46013</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846-2024</t>
        </is>
      </c>
      <c r="B313" s="1" t="n">
        <v>45300</v>
      </c>
      <c r="C313" s="1" t="n">
        <v>46013</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10266-2025</t>
        </is>
      </c>
      <c r="B314" s="1" t="n">
        <v>45720.38576388889</v>
      </c>
      <c r="C314" s="1" t="n">
        <v>46013</v>
      </c>
      <c r="D314" t="inlineStr">
        <is>
          <t>JÄMTLANDS LÄN</t>
        </is>
      </c>
      <c r="E314" t="inlineStr">
        <is>
          <t>ÖSTERSUND</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7956-2025</t>
        </is>
      </c>
      <c r="B315" s="1" t="n">
        <v>45707.42825231481</v>
      </c>
      <c r="C315" s="1" t="n">
        <v>46013</v>
      </c>
      <c r="D315" t="inlineStr">
        <is>
          <t>JÄMTLANDS LÄN</t>
        </is>
      </c>
      <c r="E315" t="inlineStr">
        <is>
          <t>ÖSTERSUND</t>
        </is>
      </c>
      <c r="F315" t="inlineStr">
        <is>
          <t>Övriga Aktiebolag</t>
        </is>
      </c>
      <c r="G315" t="n">
        <v>111.2</v>
      </c>
      <c r="H315" t="n">
        <v>0</v>
      </c>
      <c r="I315" t="n">
        <v>0</v>
      </c>
      <c r="J315" t="n">
        <v>0</v>
      </c>
      <c r="K315" t="n">
        <v>0</v>
      </c>
      <c r="L315" t="n">
        <v>0</v>
      </c>
      <c r="M315" t="n">
        <v>0</v>
      </c>
      <c r="N315" t="n">
        <v>0</v>
      </c>
      <c r="O315" t="n">
        <v>0</v>
      </c>
      <c r="P315" t="n">
        <v>0</v>
      </c>
      <c r="Q315" t="n">
        <v>0</v>
      </c>
      <c r="R315" s="2" t="inlineStr"/>
    </row>
    <row r="316" ht="15" customHeight="1">
      <c r="A316" t="inlineStr">
        <is>
          <t>A 28025-2025</t>
        </is>
      </c>
      <c r="B316" s="1" t="n">
        <v>45817</v>
      </c>
      <c r="C316" s="1" t="n">
        <v>46013</v>
      </c>
      <c r="D316" t="inlineStr">
        <is>
          <t>JÄMTLANDS LÄN</t>
        </is>
      </c>
      <c r="E316" t="inlineStr">
        <is>
          <t>ÖSTERSUND</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28185-2025</t>
        </is>
      </c>
      <c r="B317" s="1" t="n">
        <v>45818.40337962963</v>
      </c>
      <c r="C317" s="1" t="n">
        <v>46013</v>
      </c>
      <c r="D317" t="inlineStr">
        <is>
          <t>JÄMTLANDS LÄN</t>
        </is>
      </c>
      <c r="E317" t="inlineStr">
        <is>
          <t>ÖSTERSUND</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53060-2024</t>
        </is>
      </c>
      <c r="B318" s="1" t="n">
        <v>45611.46912037037</v>
      </c>
      <c r="C318" s="1" t="n">
        <v>46013</v>
      </c>
      <c r="D318" t="inlineStr">
        <is>
          <t>JÄMTLANDS LÄN</t>
        </is>
      </c>
      <c r="E318" t="inlineStr">
        <is>
          <t>ÖSTERSUND</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6013-2022</t>
        </is>
      </c>
      <c r="B319" s="1" t="n">
        <v>44599.45850694444</v>
      </c>
      <c r="C319" s="1" t="n">
        <v>46013</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41675-2025</t>
        </is>
      </c>
      <c r="B320" s="1" t="n">
        <v>45902.36641203704</v>
      </c>
      <c r="C320" s="1" t="n">
        <v>46013</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41708-2025</t>
        </is>
      </c>
      <c r="B321" s="1" t="n">
        <v>45902.42280092592</v>
      </c>
      <c r="C321" s="1" t="n">
        <v>46013</v>
      </c>
      <c r="D321" t="inlineStr">
        <is>
          <t>JÄMTLANDS LÄN</t>
        </is>
      </c>
      <c r="E321" t="inlineStr">
        <is>
          <t>ÖSTERSUND</t>
        </is>
      </c>
      <c r="G321" t="n">
        <v>1.2</v>
      </c>
      <c r="H321" t="n">
        <v>0</v>
      </c>
      <c r="I321" t="n">
        <v>0</v>
      </c>
      <c r="J321" t="n">
        <v>0</v>
      </c>
      <c r="K321" t="n">
        <v>0</v>
      </c>
      <c r="L321" t="n">
        <v>0</v>
      </c>
      <c r="M321" t="n">
        <v>0</v>
      </c>
      <c r="N321" t="n">
        <v>0</v>
      </c>
      <c r="O321" t="n">
        <v>0</v>
      </c>
      <c r="P321" t="n">
        <v>0</v>
      </c>
      <c r="Q321" t="n">
        <v>0</v>
      </c>
      <c r="R321" s="2" t="inlineStr"/>
    </row>
    <row r="322" ht="15" customHeight="1">
      <c r="A322" t="inlineStr">
        <is>
          <t>A 28595-2025</t>
        </is>
      </c>
      <c r="B322" s="1" t="n">
        <v>45819.59429398148</v>
      </c>
      <c r="C322" s="1" t="n">
        <v>46013</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41582-2025</t>
        </is>
      </c>
      <c r="B323" s="1" t="n">
        <v>45901</v>
      </c>
      <c r="C323" s="1" t="n">
        <v>46013</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42129-2025</t>
        </is>
      </c>
      <c r="B324" s="1" t="n">
        <v>45904.3452662037</v>
      </c>
      <c r="C324" s="1" t="n">
        <v>46013</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24781-2024</t>
        </is>
      </c>
      <c r="B325" s="1" t="n">
        <v>45460.7772800926</v>
      </c>
      <c r="C325" s="1" t="n">
        <v>46013</v>
      </c>
      <c r="D325" t="inlineStr">
        <is>
          <t>JÄMTLANDS LÄN</t>
        </is>
      </c>
      <c r="E325" t="inlineStr">
        <is>
          <t>ÖSTERSUND</t>
        </is>
      </c>
      <c r="G325" t="n">
        <v>2.2</v>
      </c>
      <c r="H325" t="n">
        <v>0</v>
      </c>
      <c r="I325" t="n">
        <v>0</v>
      </c>
      <c r="J325" t="n">
        <v>0</v>
      </c>
      <c r="K325" t="n">
        <v>0</v>
      </c>
      <c r="L325" t="n">
        <v>0</v>
      </c>
      <c r="M325" t="n">
        <v>0</v>
      </c>
      <c r="N325" t="n">
        <v>0</v>
      </c>
      <c r="O325" t="n">
        <v>0</v>
      </c>
      <c r="P325" t="n">
        <v>0</v>
      </c>
      <c r="Q325" t="n">
        <v>0</v>
      </c>
      <c r="R325" s="2" t="inlineStr"/>
    </row>
    <row r="326" ht="15" customHeight="1">
      <c r="A326" t="inlineStr">
        <is>
          <t>A 25995-2025</t>
        </is>
      </c>
      <c r="B326" s="1" t="n">
        <v>45804.656875</v>
      </c>
      <c r="C326" s="1" t="n">
        <v>46013</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18627-2024</t>
        </is>
      </c>
      <c r="B327" s="1" t="n">
        <v>45425.96443287037</v>
      </c>
      <c r="C327" s="1" t="n">
        <v>46013</v>
      </c>
      <c r="D327" t="inlineStr">
        <is>
          <t>JÄMTLANDS LÄN</t>
        </is>
      </c>
      <c r="E327" t="inlineStr">
        <is>
          <t>ÖSTERSUND</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58952-2024</t>
        </is>
      </c>
      <c r="B328" s="1" t="n">
        <v>45636.5674537037</v>
      </c>
      <c r="C328" s="1" t="n">
        <v>46013</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36099-2025</t>
        </is>
      </c>
      <c r="B329" s="1" t="n">
        <v>45866.51630787037</v>
      </c>
      <c r="C329" s="1" t="n">
        <v>46013</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43082-2024</t>
        </is>
      </c>
      <c r="B330" s="1" t="n">
        <v>45567.51068287037</v>
      </c>
      <c r="C330" s="1" t="n">
        <v>46013</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5544-2025</t>
        </is>
      </c>
      <c r="B331" s="1" t="n">
        <v>45693</v>
      </c>
      <c r="C331" s="1" t="n">
        <v>46013</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30320-2025</t>
        </is>
      </c>
      <c r="B332" s="1" t="n">
        <v>45827.49415509259</v>
      </c>
      <c r="C332" s="1" t="n">
        <v>46013</v>
      </c>
      <c r="D332" t="inlineStr">
        <is>
          <t>JÄMTLANDS LÄN</t>
        </is>
      </c>
      <c r="E332" t="inlineStr">
        <is>
          <t>ÖSTERSUND</t>
        </is>
      </c>
      <c r="G332" t="n">
        <v>4.6</v>
      </c>
      <c r="H332" t="n">
        <v>0</v>
      </c>
      <c r="I332" t="n">
        <v>0</v>
      </c>
      <c r="J332" t="n">
        <v>0</v>
      </c>
      <c r="K332" t="n">
        <v>0</v>
      </c>
      <c r="L332" t="n">
        <v>0</v>
      </c>
      <c r="M332" t="n">
        <v>0</v>
      </c>
      <c r="N332" t="n">
        <v>0</v>
      </c>
      <c r="O332" t="n">
        <v>0</v>
      </c>
      <c r="P332" t="n">
        <v>0</v>
      </c>
      <c r="Q332" t="n">
        <v>0</v>
      </c>
      <c r="R332" s="2" t="inlineStr"/>
    </row>
    <row r="333" ht="15" customHeight="1">
      <c r="A333" t="inlineStr">
        <is>
          <t>A 42989-2025</t>
        </is>
      </c>
      <c r="B333" s="1" t="n">
        <v>45909.44971064815</v>
      </c>
      <c r="C333" s="1" t="n">
        <v>46013</v>
      </c>
      <c r="D333" t="inlineStr">
        <is>
          <t>JÄMTLANDS LÄN</t>
        </is>
      </c>
      <c r="E333" t="inlineStr">
        <is>
          <t>ÖSTERSUND</t>
        </is>
      </c>
      <c r="G333" t="n">
        <v>3</v>
      </c>
      <c r="H333" t="n">
        <v>0</v>
      </c>
      <c r="I333" t="n">
        <v>0</v>
      </c>
      <c r="J333" t="n">
        <v>0</v>
      </c>
      <c r="K333" t="n">
        <v>0</v>
      </c>
      <c r="L333" t="n">
        <v>0</v>
      </c>
      <c r="M333" t="n">
        <v>0</v>
      </c>
      <c r="N333" t="n">
        <v>0</v>
      </c>
      <c r="O333" t="n">
        <v>0</v>
      </c>
      <c r="P333" t="n">
        <v>0</v>
      </c>
      <c r="Q333" t="n">
        <v>0</v>
      </c>
      <c r="R333" s="2" t="inlineStr"/>
    </row>
    <row r="334" ht="15" customHeight="1">
      <c r="A334" t="inlineStr">
        <is>
          <t>A 30210-2025</t>
        </is>
      </c>
      <c r="B334" s="1" t="n">
        <v>45827.36590277778</v>
      </c>
      <c r="C334" s="1" t="n">
        <v>46013</v>
      </c>
      <c r="D334" t="inlineStr">
        <is>
          <t>JÄMTLANDS LÄN</t>
        </is>
      </c>
      <c r="E334" t="inlineStr">
        <is>
          <t>ÖSTERSUND</t>
        </is>
      </c>
      <c r="G334" t="n">
        <v>0.7</v>
      </c>
      <c r="H334" t="n">
        <v>0</v>
      </c>
      <c r="I334" t="n">
        <v>0</v>
      </c>
      <c r="J334" t="n">
        <v>0</v>
      </c>
      <c r="K334" t="n">
        <v>0</v>
      </c>
      <c r="L334" t="n">
        <v>0</v>
      </c>
      <c r="M334" t="n">
        <v>0</v>
      </c>
      <c r="N334" t="n">
        <v>0</v>
      </c>
      <c r="O334" t="n">
        <v>0</v>
      </c>
      <c r="P334" t="n">
        <v>0</v>
      </c>
      <c r="Q334" t="n">
        <v>0</v>
      </c>
      <c r="R334" s="2" t="inlineStr"/>
    </row>
    <row r="335" ht="15" customHeight="1">
      <c r="A335" t="inlineStr">
        <is>
          <t>A 43225-2025</t>
        </is>
      </c>
      <c r="B335" s="1" t="n">
        <v>45910.4900462963</v>
      </c>
      <c r="C335" s="1" t="n">
        <v>46013</v>
      </c>
      <c r="D335" t="inlineStr">
        <is>
          <t>JÄMTLANDS LÄN</t>
        </is>
      </c>
      <c r="E335" t="inlineStr">
        <is>
          <t>ÖSTERSUND</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58407-2024</t>
        </is>
      </c>
      <c r="B336" s="1" t="n">
        <v>45634.72633101852</v>
      </c>
      <c r="C336" s="1" t="n">
        <v>46013</v>
      </c>
      <c r="D336" t="inlineStr">
        <is>
          <t>JÄMTLANDS LÄN</t>
        </is>
      </c>
      <c r="E336" t="inlineStr">
        <is>
          <t>ÖSTERSUND</t>
        </is>
      </c>
      <c r="G336" t="n">
        <v>2.8</v>
      </c>
      <c r="H336" t="n">
        <v>0</v>
      </c>
      <c r="I336" t="n">
        <v>0</v>
      </c>
      <c r="J336" t="n">
        <v>0</v>
      </c>
      <c r="K336" t="n">
        <v>0</v>
      </c>
      <c r="L336" t="n">
        <v>0</v>
      </c>
      <c r="M336" t="n">
        <v>0</v>
      </c>
      <c r="N336" t="n">
        <v>0</v>
      </c>
      <c r="O336" t="n">
        <v>0</v>
      </c>
      <c r="P336" t="n">
        <v>0</v>
      </c>
      <c r="Q336" t="n">
        <v>0</v>
      </c>
      <c r="R336" s="2" t="inlineStr"/>
    </row>
    <row r="337" ht="15" customHeight="1">
      <c r="A337" t="inlineStr">
        <is>
          <t>A 17732-2022</t>
        </is>
      </c>
      <c r="B337" s="1" t="n">
        <v>44680.92873842592</v>
      </c>
      <c r="C337" s="1" t="n">
        <v>46013</v>
      </c>
      <c r="D337" t="inlineStr">
        <is>
          <t>JÄMTLANDS LÄN</t>
        </is>
      </c>
      <c r="E337" t="inlineStr">
        <is>
          <t>ÖSTERSUND</t>
        </is>
      </c>
      <c r="G337" t="n">
        <v>5.4</v>
      </c>
      <c r="H337" t="n">
        <v>0</v>
      </c>
      <c r="I337" t="n">
        <v>0</v>
      </c>
      <c r="J337" t="n">
        <v>0</v>
      </c>
      <c r="K337" t="n">
        <v>0</v>
      </c>
      <c r="L337" t="n">
        <v>0</v>
      </c>
      <c r="M337" t="n">
        <v>0</v>
      </c>
      <c r="N337" t="n">
        <v>0</v>
      </c>
      <c r="O337" t="n">
        <v>0</v>
      </c>
      <c r="P337" t="n">
        <v>0</v>
      </c>
      <c r="Q337" t="n">
        <v>0</v>
      </c>
      <c r="R337" s="2" t="inlineStr"/>
    </row>
    <row r="338" ht="15" customHeight="1">
      <c r="A338" t="inlineStr">
        <is>
          <t>A 43411-2025</t>
        </is>
      </c>
      <c r="B338" s="1" t="n">
        <v>45911.40074074074</v>
      </c>
      <c r="C338" s="1" t="n">
        <v>46013</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43548-2025</t>
        </is>
      </c>
      <c r="B339" s="1" t="n">
        <v>45911.61579861111</v>
      </c>
      <c r="C339" s="1" t="n">
        <v>46013</v>
      </c>
      <c r="D339" t="inlineStr">
        <is>
          <t>JÄMTLANDS LÄN</t>
        </is>
      </c>
      <c r="E339" t="inlineStr">
        <is>
          <t>ÖSTERSUND</t>
        </is>
      </c>
      <c r="F339" t="inlineStr">
        <is>
          <t>SCA</t>
        </is>
      </c>
      <c r="G339" t="n">
        <v>17.3</v>
      </c>
      <c r="H339" t="n">
        <v>0</v>
      </c>
      <c r="I339" t="n">
        <v>0</v>
      </c>
      <c r="J339" t="n">
        <v>0</v>
      </c>
      <c r="K339" t="n">
        <v>0</v>
      </c>
      <c r="L339" t="n">
        <v>0</v>
      </c>
      <c r="M339" t="n">
        <v>0</v>
      </c>
      <c r="N339" t="n">
        <v>0</v>
      </c>
      <c r="O339" t="n">
        <v>0</v>
      </c>
      <c r="P339" t="n">
        <v>0</v>
      </c>
      <c r="Q339" t="n">
        <v>0</v>
      </c>
      <c r="R339" s="2" t="inlineStr"/>
    </row>
    <row r="340" ht="15" customHeight="1">
      <c r="A340" t="inlineStr">
        <is>
          <t>A 52913-2021</t>
        </is>
      </c>
      <c r="B340" s="1" t="n">
        <v>44466</v>
      </c>
      <c r="C340" s="1" t="n">
        <v>46013</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43519-2025</t>
        </is>
      </c>
      <c r="B341" s="1" t="n">
        <v>45911.57349537037</v>
      </c>
      <c r="C341" s="1" t="n">
        <v>46013</v>
      </c>
      <c r="D341" t="inlineStr">
        <is>
          <t>JÄMTLANDS LÄN</t>
        </is>
      </c>
      <c r="E341" t="inlineStr">
        <is>
          <t>ÖSTERSUND</t>
        </is>
      </c>
      <c r="F341" t="inlineStr">
        <is>
          <t>SCA</t>
        </is>
      </c>
      <c r="G341" t="n">
        <v>14.4</v>
      </c>
      <c r="H341" t="n">
        <v>0</v>
      </c>
      <c r="I341" t="n">
        <v>0</v>
      </c>
      <c r="J341" t="n">
        <v>0</v>
      </c>
      <c r="K341" t="n">
        <v>0</v>
      </c>
      <c r="L341" t="n">
        <v>0</v>
      </c>
      <c r="M341" t="n">
        <v>0</v>
      </c>
      <c r="N341" t="n">
        <v>0</v>
      </c>
      <c r="O341" t="n">
        <v>0</v>
      </c>
      <c r="P341" t="n">
        <v>0</v>
      </c>
      <c r="Q341" t="n">
        <v>0</v>
      </c>
      <c r="R341" s="2" t="inlineStr"/>
    </row>
    <row r="342" ht="15" customHeight="1">
      <c r="A342" t="inlineStr">
        <is>
          <t>A 44446-2025</t>
        </is>
      </c>
      <c r="B342" s="1" t="n">
        <v>45916.59773148148</v>
      </c>
      <c r="C342" s="1" t="n">
        <v>46013</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54883-2023</t>
        </is>
      </c>
      <c r="B343" s="1" t="n">
        <v>45236.62300925926</v>
      </c>
      <c r="C343" s="1" t="n">
        <v>46013</v>
      </c>
      <c r="D343" t="inlineStr">
        <is>
          <t>JÄMTLANDS LÄN</t>
        </is>
      </c>
      <c r="E343" t="inlineStr">
        <is>
          <t>ÖSTERSUND</t>
        </is>
      </c>
      <c r="F343" t="inlineStr">
        <is>
          <t>Övriga Aktiebolag</t>
        </is>
      </c>
      <c r="G343" t="n">
        <v>3.2</v>
      </c>
      <c r="H343" t="n">
        <v>0</v>
      </c>
      <c r="I343" t="n">
        <v>0</v>
      </c>
      <c r="J343" t="n">
        <v>0</v>
      </c>
      <c r="K343" t="n">
        <v>0</v>
      </c>
      <c r="L343" t="n">
        <v>0</v>
      </c>
      <c r="M343" t="n">
        <v>0</v>
      </c>
      <c r="N343" t="n">
        <v>0</v>
      </c>
      <c r="O343" t="n">
        <v>0</v>
      </c>
      <c r="P343" t="n">
        <v>0</v>
      </c>
      <c r="Q343" t="n">
        <v>0</v>
      </c>
      <c r="R343" s="2" t="inlineStr"/>
    </row>
    <row r="344" ht="15" customHeight="1">
      <c r="A344" t="inlineStr">
        <is>
          <t>A 44429-2025</t>
        </is>
      </c>
      <c r="B344" s="1" t="n">
        <v>45916.57010416667</v>
      </c>
      <c r="C344" s="1" t="n">
        <v>46013</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3122-2025</t>
        </is>
      </c>
      <c r="B345" s="1" t="n">
        <v>45678</v>
      </c>
      <c r="C345" s="1" t="n">
        <v>46013</v>
      </c>
      <c r="D345" t="inlineStr">
        <is>
          <t>JÄMTLANDS LÄN</t>
        </is>
      </c>
      <c r="E345" t="inlineStr">
        <is>
          <t>ÖSTERSUND</t>
        </is>
      </c>
      <c r="G345" t="n">
        <v>1.3</v>
      </c>
      <c r="H345" t="n">
        <v>0</v>
      </c>
      <c r="I345" t="n">
        <v>0</v>
      </c>
      <c r="J345" t="n">
        <v>0</v>
      </c>
      <c r="K345" t="n">
        <v>0</v>
      </c>
      <c r="L345" t="n">
        <v>0</v>
      </c>
      <c r="M345" t="n">
        <v>0</v>
      </c>
      <c r="N345" t="n">
        <v>0</v>
      </c>
      <c r="O345" t="n">
        <v>0</v>
      </c>
      <c r="P345" t="n">
        <v>0</v>
      </c>
      <c r="Q345" t="n">
        <v>0</v>
      </c>
      <c r="R345" s="2" t="inlineStr"/>
    </row>
    <row r="346" ht="15" customHeight="1">
      <c r="A346" t="inlineStr">
        <is>
          <t>A 62222-2022</t>
        </is>
      </c>
      <c r="B346" s="1" t="n">
        <v>44922</v>
      </c>
      <c r="C346" s="1" t="n">
        <v>46013</v>
      </c>
      <c r="D346" t="inlineStr">
        <is>
          <t>JÄMTLANDS LÄN</t>
        </is>
      </c>
      <c r="E346" t="inlineStr">
        <is>
          <t>ÖSTERSUND</t>
        </is>
      </c>
      <c r="G346" t="n">
        <v>4.1</v>
      </c>
      <c r="H346" t="n">
        <v>0</v>
      </c>
      <c r="I346" t="n">
        <v>0</v>
      </c>
      <c r="J346" t="n">
        <v>0</v>
      </c>
      <c r="K346" t="n">
        <v>0</v>
      </c>
      <c r="L346" t="n">
        <v>0</v>
      </c>
      <c r="M346" t="n">
        <v>0</v>
      </c>
      <c r="N346" t="n">
        <v>0</v>
      </c>
      <c r="O346" t="n">
        <v>0</v>
      </c>
      <c r="P346" t="n">
        <v>0</v>
      </c>
      <c r="Q346" t="n">
        <v>0</v>
      </c>
      <c r="R346" s="2" t="inlineStr"/>
    </row>
    <row r="347" ht="15" customHeight="1">
      <c r="A347" t="inlineStr">
        <is>
          <t>A 41280-2024</t>
        </is>
      </c>
      <c r="B347" s="1" t="n">
        <v>45559.59476851852</v>
      </c>
      <c r="C347" s="1" t="n">
        <v>46013</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32279-2025</t>
        </is>
      </c>
      <c r="B348" s="1" t="n">
        <v>45835.67109953704</v>
      </c>
      <c r="C348" s="1" t="n">
        <v>46013</v>
      </c>
      <c r="D348" t="inlineStr">
        <is>
          <t>JÄMTLANDS LÄN</t>
        </is>
      </c>
      <c r="E348" t="inlineStr">
        <is>
          <t>ÖSTERSUND</t>
        </is>
      </c>
      <c r="G348" t="n">
        <v>3.5</v>
      </c>
      <c r="H348" t="n">
        <v>0</v>
      </c>
      <c r="I348" t="n">
        <v>0</v>
      </c>
      <c r="J348" t="n">
        <v>0</v>
      </c>
      <c r="K348" t="n">
        <v>0</v>
      </c>
      <c r="L348" t="n">
        <v>0</v>
      </c>
      <c r="M348" t="n">
        <v>0</v>
      </c>
      <c r="N348" t="n">
        <v>0</v>
      </c>
      <c r="O348" t="n">
        <v>0</v>
      </c>
      <c r="P348" t="n">
        <v>0</v>
      </c>
      <c r="Q348" t="n">
        <v>0</v>
      </c>
      <c r="R348" s="2" t="inlineStr"/>
    </row>
    <row r="349" ht="15" customHeight="1">
      <c r="A349" t="inlineStr">
        <is>
          <t>A 32353-2025</t>
        </is>
      </c>
      <c r="B349" s="1" t="n">
        <v>45837.51741898148</v>
      </c>
      <c r="C349" s="1" t="n">
        <v>46013</v>
      </c>
      <c r="D349" t="inlineStr">
        <is>
          <t>JÄMTLANDS LÄN</t>
        </is>
      </c>
      <c r="E349" t="inlineStr">
        <is>
          <t>ÖSTERSUND</t>
        </is>
      </c>
      <c r="F349" t="inlineStr">
        <is>
          <t>Övriga Aktiebolag</t>
        </is>
      </c>
      <c r="G349" t="n">
        <v>4.8</v>
      </c>
      <c r="H349" t="n">
        <v>0</v>
      </c>
      <c r="I349" t="n">
        <v>0</v>
      </c>
      <c r="J349" t="n">
        <v>0</v>
      </c>
      <c r="K349" t="n">
        <v>0</v>
      </c>
      <c r="L349" t="n">
        <v>0</v>
      </c>
      <c r="M349" t="n">
        <v>0</v>
      </c>
      <c r="N349" t="n">
        <v>0</v>
      </c>
      <c r="O349" t="n">
        <v>0</v>
      </c>
      <c r="P349" t="n">
        <v>0</v>
      </c>
      <c r="Q349" t="n">
        <v>0</v>
      </c>
      <c r="R349" s="2" t="inlineStr"/>
    </row>
    <row r="350" ht="15" customHeight="1">
      <c r="A350" t="inlineStr">
        <is>
          <t>A 7224-2024</t>
        </is>
      </c>
      <c r="B350" s="1" t="n">
        <v>45344</v>
      </c>
      <c r="C350" s="1" t="n">
        <v>46013</v>
      </c>
      <c r="D350" t="inlineStr">
        <is>
          <t>JÄMTLANDS LÄN</t>
        </is>
      </c>
      <c r="E350" t="inlineStr">
        <is>
          <t>ÖSTERSUND</t>
        </is>
      </c>
      <c r="G350" t="n">
        <v>2.9</v>
      </c>
      <c r="H350" t="n">
        <v>0</v>
      </c>
      <c r="I350" t="n">
        <v>0</v>
      </c>
      <c r="J350" t="n">
        <v>0</v>
      </c>
      <c r="K350" t="n">
        <v>0</v>
      </c>
      <c r="L350" t="n">
        <v>0</v>
      </c>
      <c r="M350" t="n">
        <v>0</v>
      </c>
      <c r="N350" t="n">
        <v>0</v>
      </c>
      <c r="O350" t="n">
        <v>0</v>
      </c>
      <c r="P350" t="n">
        <v>0</v>
      </c>
      <c r="Q350" t="n">
        <v>0</v>
      </c>
      <c r="R350" s="2" t="inlineStr"/>
    </row>
    <row r="351" ht="15" customHeight="1">
      <c r="A351" t="inlineStr">
        <is>
          <t>A 32358-2025</t>
        </is>
      </c>
      <c r="B351" s="1" t="n">
        <v>45837.57481481481</v>
      </c>
      <c r="C351" s="1" t="n">
        <v>46013</v>
      </c>
      <c r="D351" t="inlineStr">
        <is>
          <t>JÄMTLANDS LÄN</t>
        </is>
      </c>
      <c r="E351" t="inlineStr">
        <is>
          <t>ÖSTERSUND</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32369-2025</t>
        </is>
      </c>
      <c r="B352" s="1" t="n">
        <v>45837.67381944445</v>
      </c>
      <c r="C352" s="1" t="n">
        <v>46013</v>
      </c>
      <c r="D352" t="inlineStr">
        <is>
          <t>JÄMTLANDS LÄN</t>
        </is>
      </c>
      <c r="E352" t="inlineStr">
        <is>
          <t>ÖSTERSUND</t>
        </is>
      </c>
      <c r="F352" t="inlineStr">
        <is>
          <t>Övriga Aktiebolag</t>
        </is>
      </c>
      <c r="G352" t="n">
        <v>5.7</v>
      </c>
      <c r="H352" t="n">
        <v>0</v>
      </c>
      <c r="I352" t="n">
        <v>0</v>
      </c>
      <c r="J352" t="n">
        <v>0</v>
      </c>
      <c r="K352" t="n">
        <v>0</v>
      </c>
      <c r="L352" t="n">
        <v>0</v>
      </c>
      <c r="M352" t="n">
        <v>0</v>
      </c>
      <c r="N352" t="n">
        <v>0</v>
      </c>
      <c r="O352" t="n">
        <v>0</v>
      </c>
      <c r="P352" t="n">
        <v>0</v>
      </c>
      <c r="Q352" t="n">
        <v>0</v>
      </c>
      <c r="R352" s="2" t="inlineStr"/>
    </row>
    <row r="353" ht="15" customHeight="1">
      <c r="A353" t="inlineStr">
        <is>
          <t>A 8675-2023</t>
        </is>
      </c>
      <c r="B353" s="1" t="n">
        <v>44977.98629629629</v>
      </c>
      <c r="C353" s="1" t="n">
        <v>46013</v>
      </c>
      <c r="D353" t="inlineStr">
        <is>
          <t>JÄMTLANDS LÄN</t>
        </is>
      </c>
      <c r="E353" t="inlineStr">
        <is>
          <t>ÖSTERSUND</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12-2023</t>
        </is>
      </c>
      <c r="B354" s="1" t="n">
        <v>44927.88021990741</v>
      </c>
      <c r="C354" s="1" t="n">
        <v>46013</v>
      </c>
      <c r="D354" t="inlineStr">
        <is>
          <t>JÄMTLANDS LÄN</t>
        </is>
      </c>
      <c r="E354" t="inlineStr">
        <is>
          <t>ÖSTERSUND</t>
        </is>
      </c>
      <c r="G354" t="n">
        <v>4.7</v>
      </c>
      <c r="H354" t="n">
        <v>0</v>
      </c>
      <c r="I354" t="n">
        <v>0</v>
      </c>
      <c r="J354" t="n">
        <v>0</v>
      </c>
      <c r="K354" t="n">
        <v>0</v>
      </c>
      <c r="L354" t="n">
        <v>0</v>
      </c>
      <c r="M354" t="n">
        <v>0</v>
      </c>
      <c r="N354" t="n">
        <v>0</v>
      </c>
      <c r="O354" t="n">
        <v>0</v>
      </c>
      <c r="P354" t="n">
        <v>0</v>
      </c>
      <c r="Q354" t="n">
        <v>0</v>
      </c>
      <c r="R354" s="2" t="inlineStr"/>
    </row>
    <row r="355" ht="15" customHeight="1">
      <c r="A355" t="inlineStr">
        <is>
          <t>A 55666-2023</t>
        </is>
      </c>
      <c r="B355" s="1" t="n">
        <v>45238.96770833333</v>
      </c>
      <c r="C355" s="1" t="n">
        <v>46013</v>
      </c>
      <c r="D355" t="inlineStr">
        <is>
          <t>JÄMTLANDS LÄN</t>
        </is>
      </c>
      <c r="E355" t="inlineStr">
        <is>
          <t>ÖSTERSUND</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32368-2025</t>
        </is>
      </c>
      <c r="B356" s="1" t="n">
        <v>45837.66230324074</v>
      </c>
      <c r="C356" s="1" t="n">
        <v>46013</v>
      </c>
      <c r="D356" t="inlineStr">
        <is>
          <t>JÄMTLANDS LÄN</t>
        </is>
      </c>
      <c r="E356" t="inlineStr">
        <is>
          <t>ÖSTERSUND</t>
        </is>
      </c>
      <c r="F356" t="inlineStr">
        <is>
          <t>Övriga Aktiebolag</t>
        </is>
      </c>
      <c r="G356" t="n">
        <v>19.5</v>
      </c>
      <c r="H356" t="n">
        <v>0</v>
      </c>
      <c r="I356" t="n">
        <v>0</v>
      </c>
      <c r="J356" t="n">
        <v>0</v>
      </c>
      <c r="K356" t="n">
        <v>0</v>
      </c>
      <c r="L356" t="n">
        <v>0</v>
      </c>
      <c r="M356" t="n">
        <v>0</v>
      </c>
      <c r="N356" t="n">
        <v>0</v>
      </c>
      <c r="O356" t="n">
        <v>0</v>
      </c>
      <c r="P356" t="n">
        <v>0</v>
      </c>
      <c r="Q356" t="n">
        <v>0</v>
      </c>
      <c r="R356" s="2" t="inlineStr"/>
    </row>
    <row r="357" ht="15" customHeight="1">
      <c r="A357" t="inlineStr">
        <is>
          <t>A 51481-2023</t>
        </is>
      </c>
      <c r="B357" s="1" t="n">
        <v>45221.92440972223</v>
      </c>
      <c r="C357" s="1" t="n">
        <v>46013</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32071-2025</t>
        </is>
      </c>
      <c r="B358" s="1" t="n">
        <v>45835.4491087963</v>
      </c>
      <c r="C358" s="1" t="n">
        <v>46013</v>
      </c>
      <c r="D358" t="inlineStr">
        <is>
          <t>JÄMTLANDS LÄN</t>
        </is>
      </c>
      <c r="E358" t="inlineStr">
        <is>
          <t>ÖSTERSUND</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45391-2025</t>
        </is>
      </c>
      <c r="B359" s="1" t="n">
        <v>45922.4077662037</v>
      </c>
      <c r="C359" s="1" t="n">
        <v>46013</v>
      </c>
      <c r="D359" t="inlineStr">
        <is>
          <t>JÄMTLANDS LÄN</t>
        </is>
      </c>
      <c r="E359" t="inlineStr">
        <is>
          <t>ÖSTERSUND</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45389-2025</t>
        </is>
      </c>
      <c r="B360" s="1" t="n">
        <v>45922.4075</v>
      </c>
      <c r="C360" s="1" t="n">
        <v>46013</v>
      </c>
      <c r="D360" t="inlineStr">
        <is>
          <t>JÄMTLANDS LÄN</t>
        </is>
      </c>
      <c r="E360" t="inlineStr">
        <is>
          <t>ÖSTERSUND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55140-2023</t>
        </is>
      </c>
      <c r="B361" s="1" t="n">
        <v>45237.50966435186</v>
      </c>
      <c r="C361" s="1" t="n">
        <v>46013</v>
      </c>
      <c r="D361" t="inlineStr">
        <is>
          <t>JÄMTLANDS LÄN</t>
        </is>
      </c>
      <c r="E361" t="inlineStr">
        <is>
          <t>ÖSTERSUND</t>
        </is>
      </c>
      <c r="G361" t="n">
        <v>1.8</v>
      </c>
      <c r="H361" t="n">
        <v>0</v>
      </c>
      <c r="I361" t="n">
        <v>0</v>
      </c>
      <c r="J361" t="n">
        <v>0</v>
      </c>
      <c r="K361" t="n">
        <v>0</v>
      </c>
      <c r="L361" t="n">
        <v>0</v>
      </c>
      <c r="M361" t="n">
        <v>0</v>
      </c>
      <c r="N361" t="n">
        <v>0</v>
      </c>
      <c r="O361" t="n">
        <v>0</v>
      </c>
      <c r="P361" t="n">
        <v>0</v>
      </c>
      <c r="Q361" t="n">
        <v>0</v>
      </c>
      <c r="R361" s="2" t="inlineStr"/>
    </row>
    <row r="362" ht="15" customHeight="1">
      <c r="A362" t="inlineStr">
        <is>
          <t>A 45558-2025</t>
        </is>
      </c>
      <c r="B362" s="1" t="n">
        <v>45922</v>
      </c>
      <c r="C362" s="1" t="n">
        <v>46013</v>
      </c>
      <c r="D362" t="inlineStr">
        <is>
          <t>JÄMTLANDS LÄN</t>
        </is>
      </c>
      <c r="E362" t="inlineStr">
        <is>
          <t>ÖSTERSUND</t>
        </is>
      </c>
      <c r="F362" t="inlineStr">
        <is>
          <t>SCA</t>
        </is>
      </c>
      <c r="G362" t="n">
        <v>6.7</v>
      </c>
      <c r="H362" t="n">
        <v>0</v>
      </c>
      <c r="I362" t="n">
        <v>0</v>
      </c>
      <c r="J362" t="n">
        <v>0</v>
      </c>
      <c r="K362" t="n">
        <v>0</v>
      </c>
      <c r="L362" t="n">
        <v>0</v>
      </c>
      <c r="M362" t="n">
        <v>0</v>
      </c>
      <c r="N362" t="n">
        <v>0</v>
      </c>
      <c r="O362" t="n">
        <v>0</v>
      </c>
      <c r="P362" t="n">
        <v>0</v>
      </c>
      <c r="Q362" t="n">
        <v>0</v>
      </c>
      <c r="R362" s="2" t="inlineStr"/>
    </row>
    <row r="363" ht="15" customHeight="1">
      <c r="A363" t="inlineStr">
        <is>
          <t>A 45297-2025</t>
        </is>
      </c>
      <c r="B363" s="1" t="n">
        <v>45920.8446412037</v>
      </c>
      <c r="C363" s="1" t="n">
        <v>46013</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60623-2022</t>
        </is>
      </c>
      <c r="B364" s="1" t="n">
        <v>44911.6459837963</v>
      </c>
      <c r="C364" s="1" t="n">
        <v>46013</v>
      </c>
      <c r="D364" t="inlineStr">
        <is>
          <t>JÄMTLANDS LÄN</t>
        </is>
      </c>
      <c r="E364" t="inlineStr">
        <is>
          <t>ÖSTERSUND</t>
        </is>
      </c>
      <c r="G364" t="n">
        <v>10.9</v>
      </c>
      <c r="H364" t="n">
        <v>0</v>
      </c>
      <c r="I364" t="n">
        <v>0</v>
      </c>
      <c r="J364" t="n">
        <v>0</v>
      </c>
      <c r="K364" t="n">
        <v>0</v>
      </c>
      <c r="L364" t="n">
        <v>0</v>
      </c>
      <c r="M364" t="n">
        <v>0</v>
      </c>
      <c r="N364" t="n">
        <v>0</v>
      </c>
      <c r="O364" t="n">
        <v>0</v>
      </c>
      <c r="P364" t="n">
        <v>0</v>
      </c>
      <c r="Q364" t="n">
        <v>0</v>
      </c>
      <c r="R364" s="2" t="inlineStr"/>
    </row>
    <row r="365" ht="15" customHeight="1">
      <c r="A365" t="inlineStr">
        <is>
          <t>A 45386-2025</t>
        </is>
      </c>
      <c r="B365" s="1" t="n">
        <v>45922.40697916667</v>
      </c>
      <c r="C365" s="1" t="n">
        <v>46013</v>
      </c>
      <c r="D365" t="inlineStr">
        <is>
          <t>JÄMTLANDS LÄN</t>
        </is>
      </c>
      <c r="E365" t="inlineStr">
        <is>
          <t>ÖSTERSUND</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45388-2025</t>
        </is>
      </c>
      <c r="B366" s="1" t="n">
        <v>45922.4074537037</v>
      </c>
      <c r="C366" s="1" t="n">
        <v>46013</v>
      </c>
      <c r="D366" t="inlineStr">
        <is>
          <t>JÄMTLANDS LÄN</t>
        </is>
      </c>
      <c r="E366" t="inlineStr">
        <is>
          <t>ÖSTERSUND</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45385-2025</t>
        </is>
      </c>
      <c r="B367" s="1" t="n">
        <v>45922.40680555555</v>
      </c>
      <c r="C367" s="1" t="n">
        <v>46013</v>
      </c>
      <c r="D367" t="inlineStr">
        <is>
          <t>JÄMTLANDS LÄN</t>
        </is>
      </c>
      <c r="E367" t="inlineStr">
        <is>
          <t>ÖSTERSUND</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45481-2025</t>
        </is>
      </c>
      <c r="B368" s="1" t="n">
        <v>45922.53217592592</v>
      </c>
      <c r="C368" s="1" t="n">
        <v>46013</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51818-2024</t>
        </is>
      </c>
      <c r="B369" s="1" t="n">
        <v>45607.49265046296</v>
      </c>
      <c r="C369" s="1" t="n">
        <v>46013</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14653-2022</t>
        </is>
      </c>
      <c r="B370" s="1" t="n">
        <v>44655.69303240741</v>
      </c>
      <c r="C370" s="1" t="n">
        <v>46013</v>
      </c>
      <c r="D370" t="inlineStr">
        <is>
          <t>JÄMTLANDS LÄN</t>
        </is>
      </c>
      <c r="E370" t="inlineStr">
        <is>
          <t>ÖSTERSUND</t>
        </is>
      </c>
      <c r="G370" t="n">
        <v>1.6</v>
      </c>
      <c r="H370" t="n">
        <v>0</v>
      </c>
      <c r="I370" t="n">
        <v>0</v>
      </c>
      <c r="J370" t="n">
        <v>0</v>
      </c>
      <c r="K370" t="n">
        <v>0</v>
      </c>
      <c r="L370" t="n">
        <v>0</v>
      </c>
      <c r="M370" t="n">
        <v>0</v>
      </c>
      <c r="N370" t="n">
        <v>0</v>
      </c>
      <c r="O370" t="n">
        <v>0</v>
      </c>
      <c r="P370" t="n">
        <v>0</v>
      </c>
      <c r="Q370" t="n">
        <v>0</v>
      </c>
      <c r="R370" s="2" t="inlineStr"/>
    </row>
    <row r="371" ht="15" customHeight="1">
      <c r="A371" t="inlineStr">
        <is>
          <t>A 48106-2024</t>
        </is>
      </c>
      <c r="B371" s="1" t="n">
        <v>45589.62625</v>
      </c>
      <c r="C371" s="1" t="n">
        <v>46013</v>
      </c>
      <c r="D371" t="inlineStr">
        <is>
          <t>JÄMTLANDS LÄN</t>
        </is>
      </c>
      <c r="E371" t="inlineStr">
        <is>
          <t>ÖSTERSUND</t>
        </is>
      </c>
      <c r="G371" t="n">
        <v>3.5</v>
      </c>
      <c r="H371" t="n">
        <v>0</v>
      </c>
      <c r="I371" t="n">
        <v>0</v>
      </c>
      <c r="J371" t="n">
        <v>0</v>
      </c>
      <c r="K371" t="n">
        <v>0</v>
      </c>
      <c r="L371" t="n">
        <v>0</v>
      </c>
      <c r="M371" t="n">
        <v>0</v>
      </c>
      <c r="N371" t="n">
        <v>0</v>
      </c>
      <c r="O371" t="n">
        <v>0</v>
      </c>
      <c r="P371" t="n">
        <v>0</v>
      </c>
      <c r="Q371" t="n">
        <v>0</v>
      </c>
      <c r="R371" s="2" t="inlineStr"/>
    </row>
    <row r="372" ht="15" customHeight="1">
      <c r="A372" t="inlineStr">
        <is>
          <t>A 33358-2025</t>
        </is>
      </c>
      <c r="B372" s="1" t="n">
        <v>45841.38054398148</v>
      </c>
      <c r="C372" s="1" t="n">
        <v>46013</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46152-2025</t>
        </is>
      </c>
      <c r="B373" s="1" t="n">
        <v>45924.61512731481</v>
      </c>
      <c r="C373" s="1" t="n">
        <v>46013</v>
      </c>
      <c r="D373" t="inlineStr">
        <is>
          <t>JÄMTLANDS LÄN</t>
        </is>
      </c>
      <c r="E373" t="inlineStr">
        <is>
          <t>ÖSTERSUND</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20960-2022</t>
        </is>
      </c>
      <c r="B374" s="1" t="n">
        <v>44701.94034722223</v>
      </c>
      <c r="C374" s="1" t="n">
        <v>46013</v>
      </c>
      <c r="D374" t="inlineStr">
        <is>
          <t>JÄMTLANDS LÄN</t>
        </is>
      </c>
      <c r="E374" t="inlineStr">
        <is>
          <t>ÖSTERSUND</t>
        </is>
      </c>
      <c r="G374" t="n">
        <v>3.6</v>
      </c>
      <c r="H374" t="n">
        <v>0</v>
      </c>
      <c r="I374" t="n">
        <v>0</v>
      </c>
      <c r="J374" t="n">
        <v>0</v>
      </c>
      <c r="K374" t="n">
        <v>0</v>
      </c>
      <c r="L374" t="n">
        <v>0</v>
      </c>
      <c r="M374" t="n">
        <v>0</v>
      </c>
      <c r="N374" t="n">
        <v>0</v>
      </c>
      <c r="O374" t="n">
        <v>0</v>
      </c>
      <c r="P374" t="n">
        <v>0</v>
      </c>
      <c r="Q374" t="n">
        <v>0</v>
      </c>
      <c r="R374" s="2" t="inlineStr"/>
    </row>
    <row r="375" ht="15" customHeight="1">
      <c r="A375" t="inlineStr">
        <is>
          <t>A 46202-2025</t>
        </is>
      </c>
      <c r="B375" s="1" t="n">
        <v>45924.70346064815</v>
      </c>
      <c r="C375" s="1" t="n">
        <v>46013</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60780-2023</t>
        </is>
      </c>
      <c r="B376" s="1" t="n">
        <v>45260</v>
      </c>
      <c r="C376" s="1" t="n">
        <v>46013</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46132-2025</t>
        </is>
      </c>
      <c r="B377" s="1" t="n">
        <v>45924.59484953704</v>
      </c>
      <c r="C377" s="1" t="n">
        <v>46013</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57589-2024</t>
        </is>
      </c>
      <c r="B378" s="1" t="n">
        <v>45630.49710648148</v>
      </c>
      <c r="C378" s="1" t="n">
        <v>46013</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11740-2022</t>
        </is>
      </c>
      <c r="B379" s="1" t="n">
        <v>44634.52982638889</v>
      </c>
      <c r="C379" s="1" t="n">
        <v>46013</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38926-2024</t>
        </is>
      </c>
      <c r="B380" s="1" t="n">
        <v>45547.90777777778</v>
      </c>
      <c r="C380" s="1" t="n">
        <v>46013</v>
      </c>
      <c r="D380" t="inlineStr">
        <is>
          <t>JÄMTLANDS LÄN</t>
        </is>
      </c>
      <c r="E380" t="inlineStr">
        <is>
          <t>ÖSTERSUND</t>
        </is>
      </c>
      <c r="G380" t="n">
        <v>0.4</v>
      </c>
      <c r="H380" t="n">
        <v>0</v>
      </c>
      <c r="I380" t="n">
        <v>0</v>
      </c>
      <c r="J380" t="n">
        <v>0</v>
      </c>
      <c r="K380" t="n">
        <v>0</v>
      </c>
      <c r="L380" t="n">
        <v>0</v>
      </c>
      <c r="M380" t="n">
        <v>0</v>
      </c>
      <c r="N380" t="n">
        <v>0</v>
      </c>
      <c r="O380" t="n">
        <v>0</v>
      </c>
      <c r="P380" t="n">
        <v>0</v>
      </c>
      <c r="Q380" t="n">
        <v>0</v>
      </c>
      <c r="R380" s="2" t="inlineStr"/>
    </row>
    <row r="381" ht="15" customHeight="1">
      <c r="A381" t="inlineStr">
        <is>
          <t>A 20588-2023</t>
        </is>
      </c>
      <c r="B381" s="1" t="n">
        <v>45057</v>
      </c>
      <c r="C381" s="1" t="n">
        <v>46013</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26321-2022</t>
        </is>
      </c>
      <c r="B382" s="1" t="n">
        <v>44735</v>
      </c>
      <c r="C382" s="1" t="n">
        <v>46013</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34331-2025</t>
        </is>
      </c>
      <c r="B383" s="1" t="n">
        <v>45846.44827546296</v>
      </c>
      <c r="C383" s="1" t="n">
        <v>46013</v>
      </c>
      <c r="D383" t="inlineStr">
        <is>
          <t>JÄMTLANDS LÄN</t>
        </is>
      </c>
      <c r="E383" t="inlineStr">
        <is>
          <t>ÖSTERSUND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14542-2025</t>
        </is>
      </c>
      <c r="B384" s="1" t="n">
        <v>45741.68631944444</v>
      </c>
      <c r="C384" s="1" t="n">
        <v>46013</v>
      </c>
      <c r="D384" t="inlineStr">
        <is>
          <t>JÄMTLANDS LÄN</t>
        </is>
      </c>
      <c r="E384" t="inlineStr">
        <is>
          <t>ÖSTERSUND</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34490-2025</t>
        </is>
      </c>
      <c r="B385" s="1" t="n">
        <v>45847.40722222222</v>
      </c>
      <c r="C385" s="1" t="n">
        <v>46013</v>
      </c>
      <c r="D385" t="inlineStr">
        <is>
          <t>JÄMTLANDS LÄN</t>
        </is>
      </c>
      <c r="E385" t="inlineStr">
        <is>
          <t>ÖSTERSUND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34589-2025</t>
        </is>
      </c>
      <c r="B386" s="1" t="n">
        <v>45847.61561342593</v>
      </c>
      <c r="C386" s="1" t="n">
        <v>46013</v>
      </c>
      <c r="D386" t="inlineStr">
        <is>
          <t>JÄMTLANDS LÄN</t>
        </is>
      </c>
      <c r="E386" t="inlineStr">
        <is>
          <t>ÖSTERSUND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34587-2025</t>
        </is>
      </c>
      <c r="B387" s="1" t="n">
        <v>45847.61533564814</v>
      </c>
      <c r="C387" s="1" t="n">
        <v>46013</v>
      </c>
      <c r="D387" t="inlineStr">
        <is>
          <t>JÄMTLANDS LÄN</t>
        </is>
      </c>
      <c r="E387" t="inlineStr">
        <is>
          <t>ÖSTERSUND</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4936-2025</t>
        </is>
      </c>
      <c r="B388" s="1" t="n">
        <v>45688.69356481481</v>
      </c>
      <c r="C388" s="1" t="n">
        <v>46013</v>
      </c>
      <c r="D388" t="inlineStr">
        <is>
          <t>JÄMTLANDS LÄN</t>
        </is>
      </c>
      <c r="E388" t="inlineStr">
        <is>
          <t>ÖSTERSUND</t>
        </is>
      </c>
      <c r="G388" t="n">
        <v>8.1</v>
      </c>
      <c r="H388" t="n">
        <v>0</v>
      </c>
      <c r="I388" t="n">
        <v>0</v>
      </c>
      <c r="J388" t="n">
        <v>0</v>
      </c>
      <c r="K388" t="n">
        <v>0</v>
      </c>
      <c r="L388" t="n">
        <v>0</v>
      </c>
      <c r="M388" t="n">
        <v>0</v>
      </c>
      <c r="N388" t="n">
        <v>0</v>
      </c>
      <c r="O388" t="n">
        <v>0</v>
      </c>
      <c r="P388" t="n">
        <v>0</v>
      </c>
      <c r="Q388" t="n">
        <v>0</v>
      </c>
      <c r="R388" s="2" t="inlineStr"/>
    </row>
    <row r="389" ht="15" customHeight="1">
      <c r="A389" t="inlineStr">
        <is>
          <t>A 47575-2025</t>
        </is>
      </c>
      <c r="B389" s="1" t="n">
        <v>45931.40100694444</v>
      </c>
      <c r="C389" s="1" t="n">
        <v>46013</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47805-2024</t>
        </is>
      </c>
      <c r="B390" s="1" t="n">
        <v>45588.61512731481</v>
      </c>
      <c r="C390" s="1" t="n">
        <v>46013</v>
      </c>
      <c r="D390" t="inlineStr">
        <is>
          <t>JÄMTLANDS LÄN</t>
        </is>
      </c>
      <c r="E390" t="inlineStr">
        <is>
          <t>ÖSTERSUND</t>
        </is>
      </c>
      <c r="G390" t="n">
        <v>7.4</v>
      </c>
      <c r="H390" t="n">
        <v>0</v>
      </c>
      <c r="I390" t="n">
        <v>0</v>
      </c>
      <c r="J390" t="n">
        <v>0</v>
      </c>
      <c r="K390" t="n">
        <v>0</v>
      </c>
      <c r="L390" t="n">
        <v>0</v>
      </c>
      <c r="M390" t="n">
        <v>0</v>
      </c>
      <c r="N390" t="n">
        <v>0</v>
      </c>
      <c r="O390" t="n">
        <v>0</v>
      </c>
      <c r="P390" t="n">
        <v>0</v>
      </c>
      <c r="Q390" t="n">
        <v>0</v>
      </c>
      <c r="R390" s="2" t="inlineStr"/>
    </row>
    <row r="391" ht="15" customHeight="1">
      <c r="A391" t="inlineStr">
        <is>
          <t>A 26373-2025</t>
        </is>
      </c>
      <c r="B391" s="1" t="n">
        <v>45806.40677083333</v>
      </c>
      <c r="C391" s="1" t="n">
        <v>46013</v>
      </c>
      <c r="D391" t="inlineStr">
        <is>
          <t>JÄMTLANDS LÄN</t>
        </is>
      </c>
      <c r="E391" t="inlineStr">
        <is>
          <t>ÖSTERSUND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2763-2022</t>
        </is>
      </c>
      <c r="B392" s="1" t="n">
        <v>44580</v>
      </c>
      <c r="C392" s="1" t="n">
        <v>46013</v>
      </c>
      <c r="D392" t="inlineStr">
        <is>
          <t>JÄMTLANDS LÄN</t>
        </is>
      </c>
      <c r="E392" t="inlineStr">
        <is>
          <t>ÖSTERSUND</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25228-2025</t>
        </is>
      </c>
      <c r="B393" s="1" t="n">
        <v>45800.48368055555</v>
      </c>
      <c r="C393" s="1" t="n">
        <v>46013</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47563-2025</t>
        </is>
      </c>
      <c r="B394" s="1" t="n">
        <v>45931.38956018518</v>
      </c>
      <c r="C394" s="1" t="n">
        <v>46013</v>
      </c>
      <c r="D394" t="inlineStr">
        <is>
          <t>JÄMTLANDS LÄN</t>
        </is>
      </c>
      <c r="E394" t="inlineStr">
        <is>
          <t>ÖSTERSUND</t>
        </is>
      </c>
      <c r="G394" t="n">
        <v>2.3</v>
      </c>
      <c r="H394" t="n">
        <v>0</v>
      </c>
      <c r="I394" t="n">
        <v>0</v>
      </c>
      <c r="J394" t="n">
        <v>0</v>
      </c>
      <c r="K394" t="n">
        <v>0</v>
      </c>
      <c r="L394" t="n">
        <v>0</v>
      </c>
      <c r="M394" t="n">
        <v>0</v>
      </c>
      <c r="N394" t="n">
        <v>0</v>
      </c>
      <c r="O394" t="n">
        <v>0</v>
      </c>
      <c r="P394" t="n">
        <v>0</v>
      </c>
      <c r="Q394" t="n">
        <v>0</v>
      </c>
      <c r="R394" s="2" t="inlineStr"/>
    </row>
    <row r="395" ht="15" customHeight="1">
      <c r="A395" t="inlineStr">
        <is>
          <t>A 56165-2025</t>
        </is>
      </c>
      <c r="B395" s="1" t="n">
        <v>45974.38310185185</v>
      </c>
      <c r="C395" s="1" t="n">
        <v>46013</v>
      </c>
      <c r="D395" t="inlineStr">
        <is>
          <t>JÄMTLANDS LÄN</t>
        </is>
      </c>
      <c r="E395" t="inlineStr">
        <is>
          <t>ÖSTERSUND</t>
        </is>
      </c>
      <c r="G395" t="n">
        <v>1.2</v>
      </c>
      <c r="H395" t="n">
        <v>0</v>
      </c>
      <c r="I395" t="n">
        <v>0</v>
      </c>
      <c r="J395" t="n">
        <v>0</v>
      </c>
      <c r="K395" t="n">
        <v>0</v>
      </c>
      <c r="L395" t="n">
        <v>0</v>
      </c>
      <c r="M395" t="n">
        <v>0</v>
      </c>
      <c r="N395" t="n">
        <v>0</v>
      </c>
      <c r="O395" t="n">
        <v>0</v>
      </c>
      <c r="P395" t="n">
        <v>0</v>
      </c>
      <c r="Q395" t="n">
        <v>0</v>
      </c>
      <c r="R395" s="2" t="inlineStr"/>
    </row>
    <row r="396" ht="15" customHeight="1">
      <c r="A396" t="inlineStr">
        <is>
          <t>A 12821-2023</t>
        </is>
      </c>
      <c r="B396" s="1" t="n">
        <v>45000</v>
      </c>
      <c r="C396" s="1" t="n">
        <v>46013</v>
      </c>
      <c r="D396" t="inlineStr">
        <is>
          <t>JÄMTLANDS LÄN</t>
        </is>
      </c>
      <c r="E396" t="inlineStr">
        <is>
          <t>ÖSTERSUND</t>
        </is>
      </c>
      <c r="G396" t="n">
        <v>0.7</v>
      </c>
      <c r="H396" t="n">
        <v>0</v>
      </c>
      <c r="I396" t="n">
        <v>0</v>
      </c>
      <c r="J396" t="n">
        <v>0</v>
      </c>
      <c r="K396" t="n">
        <v>0</v>
      </c>
      <c r="L396" t="n">
        <v>0</v>
      </c>
      <c r="M396" t="n">
        <v>0</v>
      </c>
      <c r="N396" t="n">
        <v>0</v>
      </c>
      <c r="O396" t="n">
        <v>0</v>
      </c>
      <c r="P396" t="n">
        <v>0</v>
      </c>
      <c r="Q396" t="n">
        <v>0</v>
      </c>
      <c r="R396" s="2" t="inlineStr"/>
    </row>
    <row r="397" ht="15" customHeight="1">
      <c r="A397" t="inlineStr">
        <is>
          <t>A 47759-2025</t>
        </is>
      </c>
      <c r="B397" s="1" t="n">
        <v>45931.67381944445</v>
      </c>
      <c r="C397" s="1" t="n">
        <v>46013</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46013</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50088-2024</t>
        </is>
      </c>
      <c r="B399" s="1" t="n">
        <v>45600.38585648148</v>
      </c>
      <c r="C399" s="1" t="n">
        <v>46013</v>
      </c>
      <c r="D399" t="inlineStr">
        <is>
          <t>JÄMTLANDS LÄN</t>
        </is>
      </c>
      <c r="E399" t="inlineStr">
        <is>
          <t>ÖSTERSUND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34923-2025</t>
        </is>
      </c>
      <c r="B400" s="1" t="n">
        <v>45849.55601851852</v>
      </c>
      <c r="C400" s="1" t="n">
        <v>46013</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36098-2025</t>
        </is>
      </c>
      <c r="B401" s="1" t="n">
        <v>45866.50549768518</v>
      </c>
      <c r="C401" s="1" t="n">
        <v>46013</v>
      </c>
      <c r="D401" t="inlineStr">
        <is>
          <t>JÄMTLANDS LÄN</t>
        </is>
      </c>
      <c r="E401" t="inlineStr">
        <is>
          <t>ÖSTERSUND</t>
        </is>
      </c>
      <c r="F401" t="inlineStr">
        <is>
          <t>Övriga Aktiebolag</t>
        </is>
      </c>
      <c r="G401" t="n">
        <v>1.1</v>
      </c>
      <c r="H401" t="n">
        <v>0</v>
      </c>
      <c r="I401" t="n">
        <v>0</v>
      </c>
      <c r="J401" t="n">
        <v>0</v>
      </c>
      <c r="K401" t="n">
        <v>0</v>
      </c>
      <c r="L401" t="n">
        <v>0</v>
      </c>
      <c r="M401" t="n">
        <v>0</v>
      </c>
      <c r="N401" t="n">
        <v>0</v>
      </c>
      <c r="O401" t="n">
        <v>0</v>
      </c>
      <c r="P401" t="n">
        <v>0</v>
      </c>
      <c r="Q401" t="n">
        <v>0</v>
      </c>
      <c r="R401" s="2" t="inlineStr"/>
    </row>
    <row r="402" ht="15" customHeight="1">
      <c r="A402" t="inlineStr">
        <is>
          <t>A 47579-2025</t>
        </is>
      </c>
      <c r="B402" s="1" t="n">
        <v>45931.40671296296</v>
      </c>
      <c r="C402" s="1" t="n">
        <v>46013</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46013</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45895-2024</t>
        </is>
      </c>
      <c r="B404" s="1" t="n">
        <v>45580.42736111111</v>
      </c>
      <c r="C404" s="1" t="n">
        <v>46013</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2686-2021</t>
        </is>
      </c>
      <c r="B405" s="1" t="n">
        <v>44214</v>
      </c>
      <c r="C405" s="1" t="n">
        <v>46013</v>
      </c>
      <c r="D405" t="inlineStr">
        <is>
          <t>JÄMTLANDS LÄN</t>
        </is>
      </c>
      <c r="E405" t="inlineStr">
        <is>
          <t>ÖSTERSUND</t>
        </is>
      </c>
      <c r="G405" t="n">
        <v>1.6</v>
      </c>
      <c r="H405" t="n">
        <v>0</v>
      </c>
      <c r="I405" t="n">
        <v>0</v>
      </c>
      <c r="J405" t="n">
        <v>0</v>
      </c>
      <c r="K405" t="n">
        <v>0</v>
      </c>
      <c r="L405" t="n">
        <v>0</v>
      </c>
      <c r="M405" t="n">
        <v>0</v>
      </c>
      <c r="N405" t="n">
        <v>0</v>
      </c>
      <c r="O405" t="n">
        <v>0</v>
      </c>
      <c r="P405" t="n">
        <v>0</v>
      </c>
      <c r="Q405" t="n">
        <v>0</v>
      </c>
      <c r="R405" s="2" t="inlineStr"/>
    </row>
    <row r="406" ht="15" customHeight="1">
      <c r="A406" t="inlineStr">
        <is>
          <t>A 26586-2025</t>
        </is>
      </c>
      <c r="B406" s="1" t="n">
        <v>45807.74140046296</v>
      </c>
      <c r="C406" s="1" t="n">
        <v>46013</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56811-2025</t>
        </is>
      </c>
      <c r="B407" s="1" t="n">
        <v>45978.45540509259</v>
      </c>
      <c r="C407" s="1" t="n">
        <v>46013</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56903-2025</t>
        </is>
      </c>
      <c r="B408" s="1" t="n">
        <v>45978.57414351852</v>
      </c>
      <c r="C408" s="1" t="n">
        <v>46013</v>
      </c>
      <c r="D408" t="inlineStr">
        <is>
          <t>JÄMTLANDS LÄN</t>
        </is>
      </c>
      <c r="E408" t="inlineStr">
        <is>
          <t>ÖSTERSUND</t>
        </is>
      </c>
      <c r="G408" t="n">
        <v>3</v>
      </c>
      <c r="H408" t="n">
        <v>0</v>
      </c>
      <c r="I408" t="n">
        <v>0</v>
      </c>
      <c r="J408" t="n">
        <v>0</v>
      </c>
      <c r="K408" t="n">
        <v>0</v>
      </c>
      <c r="L408" t="n">
        <v>0</v>
      </c>
      <c r="M408" t="n">
        <v>0</v>
      </c>
      <c r="N408" t="n">
        <v>0</v>
      </c>
      <c r="O408" t="n">
        <v>0</v>
      </c>
      <c r="P408" t="n">
        <v>0</v>
      </c>
      <c r="Q408" t="n">
        <v>0</v>
      </c>
      <c r="R408" s="2" t="inlineStr"/>
    </row>
    <row r="409" ht="15" customHeight="1">
      <c r="A409" t="inlineStr">
        <is>
          <t>A 36211-2025</t>
        </is>
      </c>
      <c r="B409" s="1" t="n">
        <v>45867.46946759259</v>
      </c>
      <c r="C409" s="1" t="n">
        <v>46013</v>
      </c>
      <c r="D409" t="inlineStr">
        <is>
          <t>JÄMTLANDS LÄN</t>
        </is>
      </c>
      <c r="E409" t="inlineStr">
        <is>
          <t>ÖSTERSUND</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24786-2024</t>
        </is>
      </c>
      <c r="B410" s="1" t="n">
        <v>45460.81277777778</v>
      </c>
      <c r="C410" s="1" t="n">
        <v>46013</v>
      </c>
      <c r="D410" t="inlineStr">
        <is>
          <t>JÄMTLANDS LÄN</t>
        </is>
      </c>
      <c r="E410" t="inlineStr">
        <is>
          <t>ÖSTERSUND</t>
        </is>
      </c>
      <c r="G410" t="n">
        <v>0.1</v>
      </c>
      <c r="H410" t="n">
        <v>0</v>
      </c>
      <c r="I410" t="n">
        <v>0</v>
      </c>
      <c r="J410" t="n">
        <v>0</v>
      </c>
      <c r="K410" t="n">
        <v>0</v>
      </c>
      <c r="L410" t="n">
        <v>0</v>
      </c>
      <c r="M410" t="n">
        <v>0</v>
      </c>
      <c r="N410" t="n">
        <v>0</v>
      </c>
      <c r="O410" t="n">
        <v>0</v>
      </c>
      <c r="P410" t="n">
        <v>0</v>
      </c>
      <c r="Q410" t="n">
        <v>0</v>
      </c>
      <c r="R410" s="2" t="inlineStr"/>
    </row>
    <row r="411" ht="15" customHeight="1">
      <c r="A411" t="inlineStr">
        <is>
          <t>A 36566-2025</t>
        </is>
      </c>
      <c r="B411" s="1" t="n">
        <v>45869</v>
      </c>
      <c r="C411" s="1" t="n">
        <v>46013</v>
      </c>
      <c r="D411" t="inlineStr">
        <is>
          <t>JÄMTLANDS LÄN</t>
        </is>
      </c>
      <c r="E411" t="inlineStr">
        <is>
          <t>ÖSTERSUND</t>
        </is>
      </c>
      <c r="F411" t="inlineStr">
        <is>
          <t>Sveaskog</t>
        </is>
      </c>
      <c r="G411" t="n">
        <v>6.9</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46013</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29128-2022</t>
        </is>
      </c>
      <c r="B413" s="1" t="n">
        <v>44750</v>
      </c>
      <c r="C413" s="1" t="n">
        <v>46013</v>
      </c>
      <c r="D413" t="inlineStr">
        <is>
          <t>JÄMTLANDS LÄN</t>
        </is>
      </c>
      <c r="E413" t="inlineStr">
        <is>
          <t>ÖSTERSUND</t>
        </is>
      </c>
      <c r="G413" t="n">
        <v>3</v>
      </c>
      <c r="H413" t="n">
        <v>0</v>
      </c>
      <c r="I413" t="n">
        <v>0</v>
      </c>
      <c r="J413" t="n">
        <v>0</v>
      </c>
      <c r="K413" t="n">
        <v>0</v>
      </c>
      <c r="L413" t="n">
        <v>0</v>
      </c>
      <c r="M413" t="n">
        <v>0</v>
      </c>
      <c r="N413" t="n">
        <v>0</v>
      </c>
      <c r="O413" t="n">
        <v>0</v>
      </c>
      <c r="P413" t="n">
        <v>0</v>
      </c>
      <c r="Q413" t="n">
        <v>0</v>
      </c>
      <c r="R413" s="2" t="inlineStr"/>
    </row>
    <row r="414" ht="15" customHeight="1">
      <c r="A414" t="inlineStr">
        <is>
          <t>A 24312-2021</t>
        </is>
      </c>
      <c r="B414" s="1" t="n">
        <v>44336</v>
      </c>
      <c r="C414" s="1" t="n">
        <v>46013</v>
      </c>
      <c r="D414" t="inlineStr">
        <is>
          <t>JÄMTLANDS LÄN</t>
        </is>
      </c>
      <c r="E414" t="inlineStr">
        <is>
          <t>ÖSTERSUND</t>
        </is>
      </c>
      <c r="G414" t="n">
        <v>10.6</v>
      </c>
      <c r="H414" t="n">
        <v>0</v>
      </c>
      <c r="I414" t="n">
        <v>0</v>
      </c>
      <c r="J414" t="n">
        <v>0</v>
      </c>
      <c r="K414" t="n">
        <v>0</v>
      </c>
      <c r="L414" t="n">
        <v>0</v>
      </c>
      <c r="M414" t="n">
        <v>0</v>
      </c>
      <c r="N414" t="n">
        <v>0</v>
      </c>
      <c r="O414" t="n">
        <v>0</v>
      </c>
      <c r="P414" t="n">
        <v>0</v>
      </c>
      <c r="Q414" t="n">
        <v>0</v>
      </c>
      <c r="R414" s="2" t="inlineStr"/>
    </row>
    <row r="415" ht="15" customHeight="1">
      <c r="A415" t="inlineStr">
        <is>
          <t>A 56690-2025</t>
        </is>
      </c>
      <c r="B415" s="1" t="n">
        <v>45976.58684027778</v>
      </c>
      <c r="C415" s="1" t="n">
        <v>46013</v>
      </c>
      <c r="D415" t="inlineStr">
        <is>
          <t>JÄMTLANDS LÄN</t>
        </is>
      </c>
      <c r="E415" t="inlineStr">
        <is>
          <t>ÖSTERSUND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15659-2021</t>
        </is>
      </c>
      <c r="B416" s="1" t="n">
        <v>44298</v>
      </c>
      <c r="C416" s="1" t="n">
        <v>46013</v>
      </c>
      <c r="D416" t="inlineStr">
        <is>
          <t>JÄMTLANDS LÄN</t>
        </is>
      </c>
      <c r="E416" t="inlineStr">
        <is>
          <t>ÖSTERSUND</t>
        </is>
      </c>
      <c r="G416" t="n">
        <v>13.3</v>
      </c>
      <c r="H416" t="n">
        <v>0</v>
      </c>
      <c r="I416" t="n">
        <v>0</v>
      </c>
      <c r="J416" t="n">
        <v>0</v>
      </c>
      <c r="K416" t="n">
        <v>0</v>
      </c>
      <c r="L416" t="n">
        <v>0</v>
      </c>
      <c r="M416" t="n">
        <v>0</v>
      </c>
      <c r="N416" t="n">
        <v>0</v>
      </c>
      <c r="O416" t="n">
        <v>0</v>
      </c>
      <c r="P416" t="n">
        <v>0</v>
      </c>
      <c r="Q416" t="n">
        <v>0</v>
      </c>
      <c r="R416" s="2" t="inlineStr"/>
    </row>
    <row r="417" ht="15" customHeight="1">
      <c r="A417" t="inlineStr">
        <is>
          <t>A 57513-2025</t>
        </is>
      </c>
      <c r="B417" s="1" t="n">
        <v>45980.61142361111</v>
      </c>
      <c r="C417" s="1" t="n">
        <v>46013</v>
      </c>
      <c r="D417" t="inlineStr">
        <is>
          <t>JÄMTLANDS LÄN</t>
        </is>
      </c>
      <c r="E417" t="inlineStr">
        <is>
          <t>ÖSTERSUND</t>
        </is>
      </c>
      <c r="G417" t="n">
        <v>3.8</v>
      </c>
      <c r="H417" t="n">
        <v>0</v>
      </c>
      <c r="I417" t="n">
        <v>0</v>
      </c>
      <c r="J417" t="n">
        <v>0</v>
      </c>
      <c r="K417" t="n">
        <v>0</v>
      </c>
      <c r="L417" t="n">
        <v>0</v>
      </c>
      <c r="M417" t="n">
        <v>0</v>
      </c>
      <c r="N417" t="n">
        <v>0</v>
      </c>
      <c r="O417" t="n">
        <v>0</v>
      </c>
      <c r="P417" t="n">
        <v>0</v>
      </c>
      <c r="Q417" t="n">
        <v>0</v>
      </c>
      <c r="R417" s="2" t="inlineStr"/>
    </row>
    <row r="418" ht="15" customHeight="1">
      <c r="A418" t="inlineStr">
        <is>
          <t>A 37085-2025</t>
        </is>
      </c>
      <c r="B418" s="1" t="n">
        <v>45875.44840277778</v>
      </c>
      <c r="C418" s="1" t="n">
        <v>46013</v>
      </c>
      <c r="D418" t="inlineStr">
        <is>
          <t>JÄMTLANDS LÄN</t>
        </is>
      </c>
      <c r="E418" t="inlineStr">
        <is>
          <t>ÖSTERSUND</t>
        </is>
      </c>
      <c r="G418" t="n">
        <v>5.5</v>
      </c>
      <c r="H418" t="n">
        <v>0</v>
      </c>
      <c r="I418" t="n">
        <v>0</v>
      </c>
      <c r="J418" t="n">
        <v>0</v>
      </c>
      <c r="K418" t="n">
        <v>0</v>
      </c>
      <c r="L418" t="n">
        <v>0</v>
      </c>
      <c r="M418" t="n">
        <v>0</v>
      </c>
      <c r="N418" t="n">
        <v>0</v>
      </c>
      <c r="O418" t="n">
        <v>0</v>
      </c>
      <c r="P418" t="n">
        <v>0</v>
      </c>
      <c r="Q418" t="n">
        <v>0</v>
      </c>
      <c r="R418" s="2" t="inlineStr"/>
    </row>
    <row r="419" ht="15" customHeight="1">
      <c r="A419" t="inlineStr">
        <is>
          <t>A 5341-2025</t>
        </is>
      </c>
      <c r="B419" s="1" t="n">
        <v>45692.55256944444</v>
      </c>
      <c r="C419" s="1" t="n">
        <v>46013</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46013</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57268-2025</t>
        </is>
      </c>
      <c r="B421" s="1" t="n">
        <v>45979.6756712963</v>
      </c>
      <c r="C421" s="1" t="n">
        <v>46013</v>
      </c>
      <c r="D421" t="inlineStr">
        <is>
          <t>JÄMTLANDS LÄN</t>
        </is>
      </c>
      <c r="E421" t="inlineStr">
        <is>
          <t>ÖSTERSUND</t>
        </is>
      </c>
      <c r="F421" t="inlineStr">
        <is>
          <t>Kommuner</t>
        </is>
      </c>
      <c r="G421" t="n">
        <v>0.7</v>
      </c>
      <c r="H421" t="n">
        <v>0</v>
      </c>
      <c r="I421" t="n">
        <v>0</v>
      </c>
      <c r="J421" t="n">
        <v>0</v>
      </c>
      <c r="K421" t="n">
        <v>0</v>
      </c>
      <c r="L421" t="n">
        <v>0</v>
      </c>
      <c r="M421" t="n">
        <v>0</v>
      </c>
      <c r="N421" t="n">
        <v>0</v>
      </c>
      <c r="O421" t="n">
        <v>0</v>
      </c>
      <c r="P421" t="n">
        <v>0</v>
      </c>
      <c r="Q421" t="n">
        <v>0</v>
      </c>
      <c r="R421" s="2" t="inlineStr"/>
    </row>
    <row r="422" ht="15" customHeight="1">
      <c r="A422" t="inlineStr">
        <is>
          <t>A 48893-2025</t>
        </is>
      </c>
      <c r="B422" s="1" t="n">
        <v>45937.47302083333</v>
      </c>
      <c r="C422" s="1" t="n">
        <v>46013</v>
      </c>
      <c r="D422" t="inlineStr">
        <is>
          <t>JÄMTLANDS LÄN</t>
        </is>
      </c>
      <c r="E422" t="inlineStr">
        <is>
          <t>ÖSTERSUND</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1255-2025</t>
        </is>
      </c>
      <c r="B423" s="1" t="n">
        <v>45667.46922453704</v>
      </c>
      <c r="C423" s="1" t="n">
        <v>46013</v>
      </c>
      <c r="D423" t="inlineStr">
        <is>
          <t>JÄMTLANDS LÄN</t>
        </is>
      </c>
      <c r="E423" t="inlineStr">
        <is>
          <t>ÖSTERSUND</t>
        </is>
      </c>
      <c r="F423" t="inlineStr">
        <is>
          <t>SCA</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58099-2025</t>
        </is>
      </c>
      <c r="B424" s="1" t="n">
        <v>45982.5862037037</v>
      </c>
      <c r="C424" s="1" t="n">
        <v>46013</v>
      </c>
      <c r="D424" t="inlineStr">
        <is>
          <t>JÄMTLANDS LÄN</t>
        </is>
      </c>
      <c r="E424" t="inlineStr">
        <is>
          <t>ÖSTERSUND</t>
        </is>
      </c>
      <c r="G424" t="n">
        <v>6.1</v>
      </c>
      <c r="H424" t="n">
        <v>0</v>
      </c>
      <c r="I424" t="n">
        <v>0</v>
      </c>
      <c r="J424" t="n">
        <v>0</v>
      </c>
      <c r="K424" t="n">
        <v>0</v>
      </c>
      <c r="L424" t="n">
        <v>0</v>
      </c>
      <c r="M424" t="n">
        <v>0</v>
      </c>
      <c r="N424" t="n">
        <v>0</v>
      </c>
      <c r="O424" t="n">
        <v>0</v>
      </c>
      <c r="P424" t="n">
        <v>0</v>
      </c>
      <c r="Q424" t="n">
        <v>0</v>
      </c>
      <c r="R424" s="2" t="inlineStr"/>
    </row>
    <row r="425" ht="15" customHeight="1">
      <c r="A425" t="inlineStr">
        <is>
          <t>A 5549-2025</t>
        </is>
      </c>
      <c r="B425" s="1" t="n">
        <v>45693</v>
      </c>
      <c r="C425" s="1" t="n">
        <v>46013</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49576-2025</t>
        </is>
      </c>
      <c r="B426" s="1" t="n">
        <v>45939</v>
      </c>
      <c r="C426" s="1" t="n">
        <v>46013</v>
      </c>
      <c r="D426" t="inlineStr">
        <is>
          <t>JÄMTLANDS LÄN</t>
        </is>
      </c>
      <c r="E426" t="inlineStr">
        <is>
          <t>ÖSTERSUND</t>
        </is>
      </c>
      <c r="F426" t="inlineStr">
        <is>
          <t>SCA</t>
        </is>
      </c>
      <c r="G426" t="n">
        <v>17.1</v>
      </c>
      <c r="H426" t="n">
        <v>0</v>
      </c>
      <c r="I426" t="n">
        <v>0</v>
      </c>
      <c r="J426" t="n">
        <v>0</v>
      </c>
      <c r="K426" t="n">
        <v>0</v>
      </c>
      <c r="L426" t="n">
        <v>0</v>
      </c>
      <c r="M426" t="n">
        <v>0</v>
      </c>
      <c r="N426" t="n">
        <v>0</v>
      </c>
      <c r="O426" t="n">
        <v>0</v>
      </c>
      <c r="P426" t="n">
        <v>0</v>
      </c>
      <c r="Q426" t="n">
        <v>0</v>
      </c>
      <c r="R426" s="2" t="inlineStr"/>
    </row>
    <row r="427" ht="15" customHeight="1">
      <c r="A427" t="inlineStr">
        <is>
          <t>A 58122-2025</t>
        </is>
      </c>
      <c r="B427" s="1" t="n">
        <v>45982.61043981482</v>
      </c>
      <c r="C427" s="1" t="n">
        <v>46013</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33831-2021</t>
        </is>
      </c>
      <c r="B428" s="1" t="n">
        <v>44378</v>
      </c>
      <c r="C428" s="1" t="n">
        <v>46013</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10756-2025</t>
        </is>
      </c>
      <c r="B429" s="1" t="n">
        <v>45722.44892361111</v>
      </c>
      <c r="C429" s="1" t="n">
        <v>46013</v>
      </c>
      <c r="D429" t="inlineStr">
        <is>
          <t>JÄMTLANDS LÄN</t>
        </is>
      </c>
      <c r="E429" t="inlineStr">
        <is>
          <t>ÖSTERSUND</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9971-2025</t>
        </is>
      </c>
      <c r="B430" s="1" t="n">
        <v>45719.38630787037</v>
      </c>
      <c r="C430" s="1" t="n">
        <v>46013</v>
      </c>
      <c r="D430" t="inlineStr">
        <is>
          <t>JÄMTLANDS LÄN</t>
        </is>
      </c>
      <c r="E430" t="inlineStr">
        <is>
          <t>ÖSTERSUND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49572-2025</t>
        </is>
      </c>
      <c r="B431" s="1" t="n">
        <v>45939.49018518518</v>
      </c>
      <c r="C431" s="1" t="n">
        <v>46013</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58440-2025</t>
        </is>
      </c>
      <c r="B432" s="1" t="n">
        <v>45985.61524305555</v>
      </c>
      <c r="C432" s="1" t="n">
        <v>46013</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50168-2025</t>
        </is>
      </c>
      <c r="B433" s="1" t="n">
        <v>45943.59442129629</v>
      </c>
      <c r="C433" s="1" t="n">
        <v>46013</v>
      </c>
      <c r="D433" t="inlineStr">
        <is>
          <t>JÄMTLANDS LÄN</t>
        </is>
      </c>
      <c r="E433" t="inlineStr">
        <is>
          <t>ÖSTERSUND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58353-2025</t>
        </is>
      </c>
      <c r="B434" s="1" t="n">
        <v>45985.51128472222</v>
      </c>
      <c r="C434" s="1" t="n">
        <v>46013</v>
      </c>
      <c r="D434" t="inlineStr">
        <is>
          <t>JÄMTLANDS LÄN</t>
        </is>
      </c>
      <c r="E434" t="inlineStr">
        <is>
          <t>ÖSTERSUND</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58583-2025</t>
        </is>
      </c>
      <c r="B435" s="1" t="n">
        <v>45986.39024305555</v>
      </c>
      <c r="C435" s="1" t="n">
        <v>46013</v>
      </c>
      <c r="D435" t="inlineStr">
        <is>
          <t>JÄMTLANDS LÄN</t>
        </is>
      </c>
      <c r="E435" t="inlineStr">
        <is>
          <t>ÖSTERSUND</t>
        </is>
      </c>
      <c r="G435" t="n">
        <v>43.1</v>
      </c>
      <c r="H435" t="n">
        <v>0</v>
      </c>
      <c r="I435" t="n">
        <v>0</v>
      </c>
      <c r="J435" t="n">
        <v>0</v>
      </c>
      <c r="K435" t="n">
        <v>0</v>
      </c>
      <c r="L435" t="n">
        <v>0</v>
      </c>
      <c r="M435" t="n">
        <v>0</v>
      </c>
      <c r="N435" t="n">
        <v>0</v>
      </c>
      <c r="O435" t="n">
        <v>0</v>
      </c>
      <c r="P435" t="n">
        <v>0</v>
      </c>
      <c r="Q435" t="n">
        <v>0</v>
      </c>
      <c r="R435" s="2" t="inlineStr"/>
    </row>
    <row r="436" ht="15" customHeight="1">
      <c r="A436" t="inlineStr">
        <is>
          <t>A 58354-2025</t>
        </is>
      </c>
      <c r="B436" s="1" t="n">
        <v>45985.51131944444</v>
      </c>
      <c r="C436" s="1" t="n">
        <v>46013</v>
      </c>
      <c r="D436" t="inlineStr">
        <is>
          <t>JÄMTLANDS LÄN</t>
        </is>
      </c>
      <c r="E436" t="inlineStr">
        <is>
          <t>ÖSTERSUND</t>
        </is>
      </c>
      <c r="G436" t="n">
        <v>1.5</v>
      </c>
      <c r="H436" t="n">
        <v>0</v>
      </c>
      <c r="I436" t="n">
        <v>0</v>
      </c>
      <c r="J436" t="n">
        <v>0</v>
      </c>
      <c r="K436" t="n">
        <v>0</v>
      </c>
      <c r="L436" t="n">
        <v>0</v>
      </c>
      <c r="M436" t="n">
        <v>0</v>
      </c>
      <c r="N436" t="n">
        <v>0</v>
      </c>
      <c r="O436" t="n">
        <v>0</v>
      </c>
      <c r="P436" t="n">
        <v>0</v>
      </c>
      <c r="Q436" t="n">
        <v>0</v>
      </c>
      <c r="R436" s="2" t="inlineStr"/>
    </row>
    <row r="437" ht="15" customHeight="1">
      <c r="A437" t="inlineStr">
        <is>
          <t>A 46748-2023</t>
        </is>
      </c>
      <c r="B437" s="1" t="n">
        <v>45198</v>
      </c>
      <c r="C437" s="1" t="n">
        <v>46013</v>
      </c>
      <c r="D437" t="inlineStr">
        <is>
          <t>JÄMTLANDS LÄN</t>
        </is>
      </c>
      <c r="E437" t="inlineStr">
        <is>
          <t>ÖSTERSUND</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46763-2023</t>
        </is>
      </c>
      <c r="B438" s="1" t="n">
        <v>45198</v>
      </c>
      <c r="C438" s="1" t="n">
        <v>46013</v>
      </c>
      <c r="D438" t="inlineStr">
        <is>
          <t>JÄMTLANDS LÄN</t>
        </is>
      </c>
      <c r="E438" t="inlineStr">
        <is>
          <t>ÖSTERSUND</t>
        </is>
      </c>
      <c r="F438" t="inlineStr">
        <is>
          <t>Sveaskog</t>
        </is>
      </c>
      <c r="G438" t="n">
        <v>13.3</v>
      </c>
      <c r="H438" t="n">
        <v>0</v>
      </c>
      <c r="I438" t="n">
        <v>0</v>
      </c>
      <c r="J438" t="n">
        <v>0</v>
      </c>
      <c r="K438" t="n">
        <v>0</v>
      </c>
      <c r="L438" t="n">
        <v>0</v>
      </c>
      <c r="M438" t="n">
        <v>0</v>
      </c>
      <c r="N438" t="n">
        <v>0</v>
      </c>
      <c r="O438" t="n">
        <v>0</v>
      </c>
      <c r="P438" t="n">
        <v>0</v>
      </c>
      <c r="Q438" t="n">
        <v>0</v>
      </c>
      <c r="R438" s="2" t="inlineStr"/>
    </row>
    <row r="439" ht="15" customHeight="1">
      <c r="A439" t="inlineStr">
        <is>
          <t>A 58372-2025</t>
        </is>
      </c>
      <c r="B439" s="1" t="n">
        <v>45985.53155092592</v>
      </c>
      <c r="C439" s="1" t="n">
        <v>46013</v>
      </c>
      <c r="D439" t="inlineStr">
        <is>
          <t>JÄMTLANDS LÄN</t>
        </is>
      </c>
      <c r="E439" t="inlineStr">
        <is>
          <t>ÖSTERSUND</t>
        </is>
      </c>
      <c r="G439" t="n">
        <v>7.1</v>
      </c>
      <c r="H439" t="n">
        <v>0</v>
      </c>
      <c r="I439" t="n">
        <v>0</v>
      </c>
      <c r="J439" t="n">
        <v>0</v>
      </c>
      <c r="K439" t="n">
        <v>0</v>
      </c>
      <c r="L439" t="n">
        <v>0</v>
      </c>
      <c r="M439" t="n">
        <v>0</v>
      </c>
      <c r="N439" t="n">
        <v>0</v>
      </c>
      <c r="O439" t="n">
        <v>0</v>
      </c>
      <c r="P439" t="n">
        <v>0</v>
      </c>
      <c r="Q439" t="n">
        <v>0</v>
      </c>
      <c r="R439" s="2" t="inlineStr"/>
    </row>
    <row r="440" ht="15" customHeight="1">
      <c r="A440" t="inlineStr">
        <is>
          <t>A 57398-2023</t>
        </is>
      </c>
      <c r="B440" s="1" t="n">
        <v>45245</v>
      </c>
      <c r="C440" s="1" t="n">
        <v>46013</v>
      </c>
      <c r="D440" t="inlineStr">
        <is>
          <t>JÄMTLANDS LÄN</t>
        </is>
      </c>
      <c r="E440" t="inlineStr">
        <is>
          <t>ÖSTERSUND</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46139-2021</t>
        </is>
      </c>
      <c r="B441" s="1" t="n">
        <v>44441</v>
      </c>
      <c r="C441" s="1" t="n">
        <v>46013</v>
      </c>
      <c r="D441" t="inlineStr">
        <is>
          <t>JÄMTLANDS LÄN</t>
        </is>
      </c>
      <c r="E441" t="inlineStr">
        <is>
          <t>ÖSTERSUND</t>
        </is>
      </c>
      <c r="G441" t="n">
        <v>12.8</v>
      </c>
      <c r="H441" t="n">
        <v>0</v>
      </c>
      <c r="I441" t="n">
        <v>0</v>
      </c>
      <c r="J441" t="n">
        <v>0</v>
      </c>
      <c r="K441" t="n">
        <v>0</v>
      </c>
      <c r="L441" t="n">
        <v>0</v>
      </c>
      <c r="M441" t="n">
        <v>0</v>
      </c>
      <c r="N441" t="n">
        <v>0</v>
      </c>
      <c r="O441" t="n">
        <v>0</v>
      </c>
      <c r="P441" t="n">
        <v>0</v>
      </c>
      <c r="Q441" t="n">
        <v>0</v>
      </c>
      <c r="R441" s="2" t="inlineStr"/>
    </row>
    <row r="442" ht="15" customHeight="1">
      <c r="A442" t="inlineStr">
        <is>
          <t>A 5024-2025</t>
        </is>
      </c>
      <c r="B442" s="1" t="n">
        <v>45691.40832175926</v>
      </c>
      <c r="C442" s="1" t="n">
        <v>46013</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5025-2025</t>
        </is>
      </c>
      <c r="B443" s="1" t="n">
        <v>45691.40836805556</v>
      </c>
      <c r="C443" s="1" t="n">
        <v>46013</v>
      </c>
      <c r="D443" t="inlineStr">
        <is>
          <t>JÄMTLANDS LÄN</t>
        </is>
      </c>
      <c r="E443" t="inlineStr">
        <is>
          <t>ÖSTERSUND</t>
        </is>
      </c>
      <c r="G443" t="n">
        <v>0.1</v>
      </c>
      <c r="H443" t="n">
        <v>0</v>
      </c>
      <c r="I443" t="n">
        <v>0</v>
      </c>
      <c r="J443" t="n">
        <v>0</v>
      </c>
      <c r="K443" t="n">
        <v>0</v>
      </c>
      <c r="L443" t="n">
        <v>0</v>
      </c>
      <c r="M443" t="n">
        <v>0</v>
      </c>
      <c r="N443" t="n">
        <v>0</v>
      </c>
      <c r="O443" t="n">
        <v>0</v>
      </c>
      <c r="P443" t="n">
        <v>0</v>
      </c>
      <c r="Q443" t="n">
        <v>0</v>
      </c>
      <c r="R443" s="2" t="inlineStr"/>
    </row>
    <row r="444" ht="15" customHeight="1">
      <c r="A444" t="inlineStr">
        <is>
          <t>A 50428-2025</t>
        </is>
      </c>
      <c r="B444" s="1" t="n">
        <v>45944.67787037037</v>
      </c>
      <c r="C444" s="1" t="n">
        <v>46013</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58373-2025</t>
        </is>
      </c>
      <c r="B445" s="1" t="n">
        <v>45985.53162037037</v>
      </c>
      <c r="C445" s="1" t="n">
        <v>46013</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7327-2023</t>
        </is>
      </c>
      <c r="B446" s="1" t="n">
        <v>44970.97871527778</v>
      </c>
      <c r="C446" s="1" t="n">
        <v>46013</v>
      </c>
      <c r="D446" t="inlineStr">
        <is>
          <t>JÄMTLANDS LÄN</t>
        </is>
      </c>
      <c r="E446" t="inlineStr">
        <is>
          <t>ÖSTERSUND</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7022-2025</t>
        </is>
      </c>
      <c r="B447" s="1" t="n">
        <v>45701.61899305556</v>
      </c>
      <c r="C447" s="1" t="n">
        <v>46013</v>
      </c>
      <c r="D447" t="inlineStr">
        <is>
          <t>JÄMTLANDS LÄN</t>
        </is>
      </c>
      <c r="E447" t="inlineStr">
        <is>
          <t>ÖSTERSUND</t>
        </is>
      </c>
      <c r="G447" t="n">
        <v>4.8</v>
      </c>
      <c r="H447" t="n">
        <v>0</v>
      </c>
      <c r="I447" t="n">
        <v>0</v>
      </c>
      <c r="J447" t="n">
        <v>0</v>
      </c>
      <c r="K447" t="n">
        <v>0</v>
      </c>
      <c r="L447" t="n">
        <v>0</v>
      </c>
      <c r="M447" t="n">
        <v>0</v>
      </c>
      <c r="N447" t="n">
        <v>0</v>
      </c>
      <c r="O447" t="n">
        <v>0</v>
      </c>
      <c r="P447" t="n">
        <v>0</v>
      </c>
      <c r="Q447" t="n">
        <v>0</v>
      </c>
      <c r="R447" s="2" t="inlineStr"/>
    </row>
    <row r="448" ht="15" customHeight="1">
      <c r="A448" t="inlineStr">
        <is>
          <t>A 58917-2025</t>
        </is>
      </c>
      <c r="B448" s="1" t="n">
        <v>45987.52949074074</v>
      </c>
      <c r="C448" s="1" t="n">
        <v>46013</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59188-2025</t>
        </is>
      </c>
      <c r="B449" s="1" t="n">
        <v>45988.58856481482</v>
      </c>
      <c r="C449" s="1" t="n">
        <v>46013</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58824-2025</t>
        </is>
      </c>
      <c r="B450" s="1" t="n">
        <v>45987.34543981482</v>
      </c>
      <c r="C450" s="1" t="n">
        <v>46013</v>
      </c>
      <c r="D450" t="inlineStr">
        <is>
          <t>JÄMTLANDS LÄN</t>
        </is>
      </c>
      <c r="E450" t="inlineStr">
        <is>
          <t>ÖSTERSUND</t>
        </is>
      </c>
      <c r="G450" t="n">
        <v>3.2</v>
      </c>
      <c r="H450" t="n">
        <v>0</v>
      </c>
      <c r="I450" t="n">
        <v>0</v>
      </c>
      <c r="J450" t="n">
        <v>0</v>
      </c>
      <c r="K450" t="n">
        <v>0</v>
      </c>
      <c r="L450" t="n">
        <v>0</v>
      </c>
      <c r="M450" t="n">
        <v>0</v>
      </c>
      <c r="N450" t="n">
        <v>0</v>
      </c>
      <c r="O450" t="n">
        <v>0</v>
      </c>
      <c r="P450" t="n">
        <v>0</v>
      </c>
      <c r="Q450" t="n">
        <v>0</v>
      </c>
      <c r="R450" s="2" t="inlineStr"/>
    </row>
    <row r="451" ht="15" customHeight="1">
      <c r="A451" t="inlineStr">
        <is>
          <t>A 58996-2025</t>
        </is>
      </c>
      <c r="B451" s="1" t="n">
        <v>45987.67032407408</v>
      </c>
      <c r="C451" s="1" t="n">
        <v>46013</v>
      </c>
      <c r="D451" t="inlineStr">
        <is>
          <t>JÄMTLANDS LÄN</t>
        </is>
      </c>
      <c r="E451" t="inlineStr">
        <is>
          <t>ÖSTERSUND</t>
        </is>
      </c>
      <c r="G451" t="n">
        <v>4.3</v>
      </c>
      <c r="H451" t="n">
        <v>0</v>
      </c>
      <c r="I451" t="n">
        <v>0</v>
      </c>
      <c r="J451" t="n">
        <v>0</v>
      </c>
      <c r="K451" t="n">
        <v>0</v>
      </c>
      <c r="L451" t="n">
        <v>0</v>
      </c>
      <c r="M451" t="n">
        <v>0</v>
      </c>
      <c r="N451" t="n">
        <v>0</v>
      </c>
      <c r="O451" t="n">
        <v>0</v>
      </c>
      <c r="P451" t="n">
        <v>0</v>
      </c>
      <c r="Q451" t="n">
        <v>0</v>
      </c>
      <c r="R451" s="2" t="inlineStr"/>
    </row>
    <row r="452" ht="15" customHeight="1">
      <c r="A452" t="inlineStr">
        <is>
          <t>A 4311-2025</t>
        </is>
      </c>
      <c r="B452" s="1" t="n">
        <v>45685.69267361111</v>
      </c>
      <c r="C452" s="1" t="n">
        <v>46013</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8003-2025</t>
        </is>
      </c>
      <c r="B453" s="1" t="n">
        <v>45707</v>
      </c>
      <c r="C453" s="1" t="n">
        <v>46013</v>
      </c>
      <c r="D453" t="inlineStr">
        <is>
          <t>JÄMTLANDS LÄN</t>
        </is>
      </c>
      <c r="E453" t="inlineStr">
        <is>
          <t>ÖSTERSUND</t>
        </is>
      </c>
      <c r="F453" t="inlineStr">
        <is>
          <t>Övriga Aktiebolag</t>
        </is>
      </c>
      <c r="G453" t="n">
        <v>35.1</v>
      </c>
      <c r="H453" t="n">
        <v>0</v>
      </c>
      <c r="I453" t="n">
        <v>0</v>
      </c>
      <c r="J453" t="n">
        <v>0</v>
      </c>
      <c r="K453" t="n">
        <v>0</v>
      </c>
      <c r="L453" t="n">
        <v>0</v>
      </c>
      <c r="M453" t="n">
        <v>0</v>
      </c>
      <c r="N453" t="n">
        <v>0</v>
      </c>
      <c r="O453" t="n">
        <v>0</v>
      </c>
      <c r="P453" t="n">
        <v>0</v>
      </c>
      <c r="Q453" t="n">
        <v>0</v>
      </c>
      <c r="R453" s="2" t="inlineStr"/>
    </row>
    <row r="454" ht="15" customHeight="1">
      <c r="A454" t="inlineStr">
        <is>
          <t>A 50528-2025</t>
        </is>
      </c>
      <c r="B454" s="1" t="n">
        <v>45945.47097222223</v>
      </c>
      <c r="C454" s="1" t="n">
        <v>46013</v>
      </c>
      <c r="D454" t="inlineStr">
        <is>
          <t>JÄMTLANDS LÄN</t>
        </is>
      </c>
      <c r="E454" t="inlineStr">
        <is>
          <t>ÖSTERSUND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38644-2021</t>
        </is>
      </c>
      <c r="B455" s="1" t="n">
        <v>44410.35376157407</v>
      </c>
      <c r="C455" s="1" t="n">
        <v>46013</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58818-2025</t>
        </is>
      </c>
      <c r="B456" s="1" t="n">
        <v>45987.33479166667</v>
      </c>
      <c r="C456" s="1" t="n">
        <v>46013</v>
      </c>
      <c r="D456" t="inlineStr">
        <is>
          <t>JÄMTLANDS LÄN</t>
        </is>
      </c>
      <c r="E456" t="inlineStr">
        <is>
          <t>ÖSTERSUND</t>
        </is>
      </c>
      <c r="G456" t="n">
        <v>3.6</v>
      </c>
      <c r="H456" t="n">
        <v>0</v>
      </c>
      <c r="I456" t="n">
        <v>0</v>
      </c>
      <c r="J456" t="n">
        <v>0</v>
      </c>
      <c r="K456" t="n">
        <v>0</v>
      </c>
      <c r="L456" t="n">
        <v>0</v>
      </c>
      <c r="M456" t="n">
        <v>0</v>
      </c>
      <c r="N456" t="n">
        <v>0</v>
      </c>
      <c r="O456" t="n">
        <v>0</v>
      </c>
      <c r="P456" t="n">
        <v>0</v>
      </c>
      <c r="Q456" t="n">
        <v>0</v>
      </c>
      <c r="R456" s="2" t="inlineStr"/>
    </row>
    <row r="457" ht="15" customHeight="1">
      <c r="A457" t="inlineStr">
        <is>
          <t>A 19581-2025</t>
        </is>
      </c>
      <c r="B457" s="1" t="n">
        <v>45770.56363425926</v>
      </c>
      <c r="C457" s="1" t="n">
        <v>46013</v>
      </c>
      <c r="D457" t="inlineStr">
        <is>
          <t>JÄMTLANDS LÄN</t>
        </is>
      </c>
      <c r="E457" t="inlineStr">
        <is>
          <t>ÖSTERSUND</t>
        </is>
      </c>
      <c r="G457" t="n">
        <v>17.2</v>
      </c>
      <c r="H457" t="n">
        <v>0</v>
      </c>
      <c r="I457" t="n">
        <v>0</v>
      </c>
      <c r="J457" t="n">
        <v>0</v>
      </c>
      <c r="K457" t="n">
        <v>0</v>
      </c>
      <c r="L457" t="n">
        <v>0</v>
      </c>
      <c r="M457" t="n">
        <v>0</v>
      </c>
      <c r="N457" t="n">
        <v>0</v>
      </c>
      <c r="O457" t="n">
        <v>0</v>
      </c>
      <c r="P457" t="n">
        <v>0</v>
      </c>
      <c r="Q457" t="n">
        <v>0</v>
      </c>
      <c r="R457" s="2" t="inlineStr"/>
    </row>
    <row r="458" ht="15" customHeight="1">
      <c r="A458" t="inlineStr">
        <is>
          <t>A 62111-2024</t>
        </is>
      </c>
      <c r="B458" s="1" t="n">
        <v>45656.53215277778</v>
      </c>
      <c r="C458" s="1" t="n">
        <v>46013</v>
      </c>
      <c r="D458" t="inlineStr">
        <is>
          <t>JÄMTLANDS LÄN</t>
        </is>
      </c>
      <c r="E458" t="inlineStr">
        <is>
          <t>ÖSTERSUND</t>
        </is>
      </c>
      <c r="G458" t="n">
        <v>3.4</v>
      </c>
      <c r="H458" t="n">
        <v>0</v>
      </c>
      <c r="I458" t="n">
        <v>0</v>
      </c>
      <c r="J458" t="n">
        <v>0</v>
      </c>
      <c r="K458" t="n">
        <v>0</v>
      </c>
      <c r="L458" t="n">
        <v>0</v>
      </c>
      <c r="M458" t="n">
        <v>0</v>
      </c>
      <c r="N458" t="n">
        <v>0</v>
      </c>
      <c r="O458" t="n">
        <v>0</v>
      </c>
      <c r="P458" t="n">
        <v>0</v>
      </c>
      <c r="Q458" t="n">
        <v>0</v>
      </c>
      <c r="R458" s="2" t="inlineStr"/>
    </row>
    <row r="459" ht="15" customHeight="1">
      <c r="A459" t="inlineStr">
        <is>
          <t>A 59619-2025</t>
        </is>
      </c>
      <c r="B459" s="1" t="n">
        <v>45992.38109953704</v>
      </c>
      <c r="C459" s="1" t="n">
        <v>46013</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22082-2022</t>
        </is>
      </c>
      <c r="B460" s="1" t="n">
        <v>44711.9403587963</v>
      </c>
      <c r="C460" s="1" t="n">
        <v>46013</v>
      </c>
      <c r="D460" t="inlineStr">
        <is>
          <t>JÄMTLANDS LÄN</t>
        </is>
      </c>
      <c r="E460" t="inlineStr">
        <is>
          <t>ÖSTERSUND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59613-2025</t>
        </is>
      </c>
      <c r="B461" s="1" t="n">
        <v>45992.37172453704</v>
      </c>
      <c r="C461" s="1" t="n">
        <v>46013</v>
      </c>
      <c r="D461" t="inlineStr">
        <is>
          <t>JÄMTLANDS LÄN</t>
        </is>
      </c>
      <c r="E461" t="inlineStr">
        <is>
          <t>ÖSTERSUND</t>
        </is>
      </c>
      <c r="G461" t="n">
        <v>2.1</v>
      </c>
      <c r="H461" t="n">
        <v>0</v>
      </c>
      <c r="I461" t="n">
        <v>0</v>
      </c>
      <c r="J461" t="n">
        <v>0</v>
      </c>
      <c r="K461" t="n">
        <v>0</v>
      </c>
      <c r="L461" t="n">
        <v>0</v>
      </c>
      <c r="M461" t="n">
        <v>0</v>
      </c>
      <c r="N461" t="n">
        <v>0</v>
      </c>
      <c r="O461" t="n">
        <v>0</v>
      </c>
      <c r="P461" t="n">
        <v>0</v>
      </c>
      <c r="Q461" t="n">
        <v>0</v>
      </c>
      <c r="R461" s="2" t="inlineStr"/>
    </row>
    <row r="462" ht="15" customHeight="1">
      <c r="A462" t="inlineStr">
        <is>
          <t>A 59612-2025</t>
        </is>
      </c>
      <c r="B462" s="1" t="n">
        <v>45992.3706712963</v>
      </c>
      <c r="C462" s="1" t="n">
        <v>46013</v>
      </c>
      <c r="D462" t="inlineStr">
        <is>
          <t>JÄMTLANDS LÄN</t>
        </is>
      </c>
      <c r="E462" t="inlineStr">
        <is>
          <t>ÖSTERSUND</t>
        </is>
      </c>
      <c r="G462" t="n">
        <v>2.3</v>
      </c>
      <c r="H462" t="n">
        <v>0</v>
      </c>
      <c r="I462" t="n">
        <v>0</v>
      </c>
      <c r="J462" t="n">
        <v>0</v>
      </c>
      <c r="K462" t="n">
        <v>0</v>
      </c>
      <c r="L462" t="n">
        <v>0</v>
      </c>
      <c r="M462" t="n">
        <v>0</v>
      </c>
      <c r="N462" t="n">
        <v>0</v>
      </c>
      <c r="O462" t="n">
        <v>0</v>
      </c>
      <c r="P462" t="n">
        <v>0</v>
      </c>
      <c r="Q462" t="n">
        <v>0</v>
      </c>
      <c r="R462" s="2" t="inlineStr"/>
    </row>
    <row r="463" ht="15" customHeight="1">
      <c r="A463" t="inlineStr">
        <is>
          <t>A 41802-2021</t>
        </is>
      </c>
      <c r="B463" s="1" t="n">
        <v>44425</v>
      </c>
      <c r="C463" s="1" t="n">
        <v>46013</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59015-2025</t>
        </is>
      </c>
      <c r="B464" s="1" t="n">
        <v>45987.83457175926</v>
      </c>
      <c r="C464" s="1" t="n">
        <v>46013</v>
      </c>
      <c r="D464" t="inlineStr">
        <is>
          <t>JÄMTLANDS LÄN</t>
        </is>
      </c>
      <c r="E464" t="inlineStr">
        <is>
          <t>ÖSTERSUND</t>
        </is>
      </c>
      <c r="G464" t="n">
        <v>2.4</v>
      </c>
      <c r="H464" t="n">
        <v>0</v>
      </c>
      <c r="I464" t="n">
        <v>0</v>
      </c>
      <c r="J464" t="n">
        <v>0</v>
      </c>
      <c r="K464" t="n">
        <v>0</v>
      </c>
      <c r="L464" t="n">
        <v>0</v>
      </c>
      <c r="M464" t="n">
        <v>0</v>
      </c>
      <c r="N464" t="n">
        <v>0</v>
      </c>
      <c r="O464" t="n">
        <v>0</v>
      </c>
      <c r="P464" t="n">
        <v>0</v>
      </c>
      <c r="Q464" t="n">
        <v>0</v>
      </c>
      <c r="R464" s="2" t="inlineStr"/>
    </row>
    <row r="465" ht="15" customHeight="1">
      <c r="A465" t="inlineStr">
        <is>
          <t>A 59687-2025</t>
        </is>
      </c>
      <c r="B465" s="1" t="n">
        <v>45992.47729166667</v>
      </c>
      <c r="C465" s="1" t="n">
        <v>46013</v>
      </c>
      <c r="D465" t="inlineStr">
        <is>
          <t>JÄMTLANDS LÄN</t>
        </is>
      </c>
      <c r="E465" t="inlineStr">
        <is>
          <t>ÖSTERSUND</t>
        </is>
      </c>
      <c r="G465" t="n">
        <v>5</v>
      </c>
      <c r="H465" t="n">
        <v>0</v>
      </c>
      <c r="I465" t="n">
        <v>0</v>
      </c>
      <c r="J465" t="n">
        <v>0</v>
      </c>
      <c r="K465" t="n">
        <v>0</v>
      </c>
      <c r="L465" t="n">
        <v>0</v>
      </c>
      <c r="M465" t="n">
        <v>0</v>
      </c>
      <c r="N465" t="n">
        <v>0</v>
      </c>
      <c r="O465" t="n">
        <v>0</v>
      </c>
      <c r="P465" t="n">
        <v>0</v>
      </c>
      <c r="Q465" t="n">
        <v>0</v>
      </c>
      <c r="R465" s="2" t="inlineStr"/>
    </row>
    <row r="466" ht="15" customHeight="1">
      <c r="A466" t="inlineStr">
        <is>
          <t>A 7953-2025</t>
        </is>
      </c>
      <c r="B466" s="1" t="n">
        <v>45707.42392361111</v>
      </c>
      <c r="C466" s="1" t="n">
        <v>46013</v>
      </c>
      <c r="D466" t="inlineStr">
        <is>
          <t>JÄMTLANDS LÄN</t>
        </is>
      </c>
      <c r="E466" t="inlineStr">
        <is>
          <t>ÖSTERSUND</t>
        </is>
      </c>
      <c r="G466" t="n">
        <v>1.8</v>
      </c>
      <c r="H466" t="n">
        <v>0</v>
      </c>
      <c r="I466" t="n">
        <v>0</v>
      </c>
      <c r="J466" t="n">
        <v>0</v>
      </c>
      <c r="K466" t="n">
        <v>0</v>
      </c>
      <c r="L466" t="n">
        <v>0</v>
      </c>
      <c r="M466" t="n">
        <v>0</v>
      </c>
      <c r="N466" t="n">
        <v>0</v>
      </c>
      <c r="O466" t="n">
        <v>0</v>
      </c>
      <c r="P466" t="n">
        <v>0</v>
      </c>
      <c r="Q466" t="n">
        <v>0</v>
      </c>
      <c r="R466" s="2" t="inlineStr"/>
    </row>
    <row r="467" ht="15" customHeight="1">
      <c r="A467" t="inlineStr">
        <is>
          <t>A 13738-2025</t>
        </is>
      </c>
      <c r="B467" s="1" t="n">
        <v>45737.40131944444</v>
      </c>
      <c r="C467" s="1" t="n">
        <v>46013</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55365-2024</t>
        </is>
      </c>
      <c r="B468" s="1" t="n">
        <v>45621.86827546296</v>
      </c>
      <c r="C468" s="1" t="n">
        <v>46013</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60349-2024</t>
        </is>
      </c>
      <c r="B469" s="1" t="n">
        <v>45643.42986111111</v>
      </c>
      <c r="C469" s="1" t="n">
        <v>46013</v>
      </c>
      <c r="D469" t="inlineStr">
        <is>
          <t>JÄMTLANDS LÄN</t>
        </is>
      </c>
      <c r="E469" t="inlineStr">
        <is>
          <t>ÖSTERSUND</t>
        </is>
      </c>
      <c r="F469" t="inlineStr">
        <is>
          <t>Sveaskog</t>
        </is>
      </c>
      <c r="G469" t="n">
        <v>16.6</v>
      </c>
      <c r="H469" t="n">
        <v>0</v>
      </c>
      <c r="I469" t="n">
        <v>0</v>
      </c>
      <c r="J469" t="n">
        <v>0</v>
      </c>
      <c r="K469" t="n">
        <v>0</v>
      </c>
      <c r="L469" t="n">
        <v>0</v>
      </c>
      <c r="M469" t="n">
        <v>0</v>
      </c>
      <c r="N469" t="n">
        <v>0</v>
      </c>
      <c r="O469" t="n">
        <v>0</v>
      </c>
      <c r="P469" t="n">
        <v>0</v>
      </c>
      <c r="Q469" t="n">
        <v>0</v>
      </c>
      <c r="R469" s="2" t="inlineStr"/>
    </row>
    <row r="470" ht="15" customHeight="1">
      <c r="A470" t="inlineStr">
        <is>
          <t>A 59007-2025</t>
        </is>
      </c>
      <c r="B470" s="1" t="n">
        <v>45987.69552083333</v>
      </c>
      <c r="C470" s="1" t="n">
        <v>46013</v>
      </c>
      <c r="D470" t="inlineStr">
        <is>
          <t>JÄMTLANDS LÄN</t>
        </is>
      </c>
      <c r="E470" t="inlineStr">
        <is>
          <t>ÖSTERSUND</t>
        </is>
      </c>
      <c r="G470" t="n">
        <v>4</v>
      </c>
      <c r="H470" t="n">
        <v>0</v>
      </c>
      <c r="I470" t="n">
        <v>0</v>
      </c>
      <c r="J470" t="n">
        <v>0</v>
      </c>
      <c r="K470" t="n">
        <v>0</v>
      </c>
      <c r="L470" t="n">
        <v>0</v>
      </c>
      <c r="M470" t="n">
        <v>0</v>
      </c>
      <c r="N470" t="n">
        <v>0</v>
      </c>
      <c r="O470" t="n">
        <v>0</v>
      </c>
      <c r="P470" t="n">
        <v>0</v>
      </c>
      <c r="Q470" t="n">
        <v>0</v>
      </c>
      <c r="R470" s="2" t="inlineStr"/>
    </row>
    <row r="471" ht="15" customHeight="1">
      <c r="A471" t="inlineStr">
        <is>
          <t>A 19664-2025</t>
        </is>
      </c>
      <c r="B471" s="1" t="n">
        <v>45770.6925462963</v>
      </c>
      <c r="C471" s="1" t="n">
        <v>46013</v>
      </c>
      <c r="D471" t="inlineStr">
        <is>
          <t>JÄMTLANDS LÄN</t>
        </is>
      </c>
      <c r="E471" t="inlineStr">
        <is>
          <t>ÖSTERSUND</t>
        </is>
      </c>
      <c r="G471" t="n">
        <v>8.6</v>
      </c>
      <c r="H471" t="n">
        <v>0</v>
      </c>
      <c r="I471" t="n">
        <v>0</v>
      </c>
      <c r="J471" t="n">
        <v>0</v>
      </c>
      <c r="K471" t="n">
        <v>0</v>
      </c>
      <c r="L471" t="n">
        <v>0</v>
      </c>
      <c r="M471" t="n">
        <v>0</v>
      </c>
      <c r="N471" t="n">
        <v>0</v>
      </c>
      <c r="O471" t="n">
        <v>0</v>
      </c>
      <c r="P471" t="n">
        <v>0</v>
      </c>
      <c r="Q471" t="n">
        <v>0</v>
      </c>
      <c r="R471" s="2" t="inlineStr"/>
    </row>
    <row r="472" ht="15" customHeight="1">
      <c r="A472" t="inlineStr">
        <is>
          <t>A 31464-2024</t>
        </is>
      </c>
      <c r="B472" s="1" t="n">
        <v>45505.95078703704</v>
      </c>
      <c r="C472" s="1" t="n">
        <v>46013</v>
      </c>
      <c r="D472" t="inlineStr">
        <is>
          <t>JÄMTLANDS LÄN</t>
        </is>
      </c>
      <c r="E472" t="inlineStr">
        <is>
          <t>ÖSTERSUND</t>
        </is>
      </c>
      <c r="F472" t="inlineStr">
        <is>
          <t>SCA</t>
        </is>
      </c>
      <c r="G472" t="n">
        <v>8.1</v>
      </c>
      <c r="H472" t="n">
        <v>0</v>
      </c>
      <c r="I472" t="n">
        <v>0</v>
      </c>
      <c r="J472" t="n">
        <v>0</v>
      </c>
      <c r="K472" t="n">
        <v>0</v>
      </c>
      <c r="L472" t="n">
        <v>0</v>
      </c>
      <c r="M472" t="n">
        <v>0</v>
      </c>
      <c r="N472" t="n">
        <v>0</v>
      </c>
      <c r="O472" t="n">
        <v>0</v>
      </c>
      <c r="P472" t="n">
        <v>0</v>
      </c>
      <c r="Q472" t="n">
        <v>0</v>
      </c>
      <c r="R472" s="2" t="inlineStr"/>
    </row>
    <row r="473" ht="15" customHeight="1">
      <c r="A473" t="inlineStr">
        <is>
          <t>A 7941-2025</t>
        </is>
      </c>
      <c r="B473" s="1" t="n">
        <v>45707</v>
      </c>
      <c r="C473" s="1" t="n">
        <v>46013</v>
      </c>
      <c r="D473" t="inlineStr">
        <is>
          <t>JÄMTLANDS LÄN</t>
        </is>
      </c>
      <c r="E473" t="inlineStr">
        <is>
          <t>ÖSTERSUND</t>
        </is>
      </c>
      <c r="G473" t="n">
        <v>2</v>
      </c>
      <c r="H473" t="n">
        <v>0</v>
      </c>
      <c r="I473" t="n">
        <v>0</v>
      </c>
      <c r="J473" t="n">
        <v>0</v>
      </c>
      <c r="K473" t="n">
        <v>0</v>
      </c>
      <c r="L473" t="n">
        <v>0</v>
      </c>
      <c r="M473" t="n">
        <v>0</v>
      </c>
      <c r="N473" t="n">
        <v>0</v>
      </c>
      <c r="O473" t="n">
        <v>0</v>
      </c>
      <c r="P473" t="n">
        <v>0</v>
      </c>
      <c r="Q473" t="n">
        <v>0</v>
      </c>
      <c r="R473" s="2" t="inlineStr"/>
    </row>
    <row r="474" ht="15" customHeight="1">
      <c r="A474" t="inlineStr">
        <is>
          <t>A 52003-2025</t>
        </is>
      </c>
      <c r="B474" s="1" t="n">
        <v>45952.5909375</v>
      </c>
      <c r="C474" s="1" t="n">
        <v>46013</v>
      </c>
      <c r="D474" t="inlineStr">
        <is>
          <t>JÄMTLANDS LÄN</t>
        </is>
      </c>
      <c r="E474" t="inlineStr">
        <is>
          <t>ÖSTERSUND</t>
        </is>
      </c>
      <c r="G474" t="n">
        <v>5.7</v>
      </c>
      <c r="H474" t="n">
        <v>0</v>
      </c>
      <c r="I474" t="n">
        <v>0</v>
      </c>
      <c r="J474" t="n">
        <v>0</v>
      </c>
      <c r="K474" t="n">
        <v>0</v>
      </c>
      <c r="L474" t="n">
        <v>0</v>
      </c>
      <c r="M474" t="n">
        <v>0</v>
      </c>
      <c r="N474" t="n">
        <v>0</v>
      </c>
      <c r="O474" t="n">
        <v>0</v>
      </c>
      <c r="P474" t="n">
        <v>0</v>
      </c>
      <c r="Q474" t="n">
        <v>0</v>
      </c>
      <c r="R474" s="2" t="inlineStr"/>
    </row>
    <row r="475" ht="15" customHeight="1">
      <c r="A475" t="inlineStr">
        <is>
          <t>A 47022-2024</t>
        </is>
      </c>
      <c r="B475" s="1" t="n">
        <v>45586.40660879629</v>
      </c>
      <c r="C475" s="1" t="n">
        <v>46013</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62225-2022</t>
        </is>
      </c>
      <c r="B476" s="1" t="n">
        <v>44922</v>
      </c>
      <c r="C476" s="1" t="n">
        <v>46013</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9552-2025</t>
        </is>
      </c>
      <c r="B477" s="1" t="n">
        <v>45715.59545138889</v>
      </c>
      <c r="C477" s="1" t="n">
        <v>46013</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4500-2025</t>
        </is>
      </c>
      <c r="B478" s="1" t="n">
        <v>45686.6859375</v>
      </c>
      <c r="C478" s="1" t="n">
        <v>46013</v>
      </c>
      <c r="D478" t="inlineStr">
        <is>
          <t>JÄMTLANDS LÄN</t>
        </is>
      </c>
      <c r="E478" t="inlineStr">
        <is>
          <t>ÖSTERSUND</t>
        </is>
      </c>
      <c r="G478" t="n">
        <v>28.4</v>
      </c>
      <c r="H478" t="n">
        <v>0</v>
      </c>
      <c r="I478" t="n">
        <v>0</v>
      </c>
      <c r="J478" t="n">
        <v>0</v>
      </c>
      <c r="K478" t="n">
        <v>0</v>
      </c>
      <c r="L478" t="n">
        <v>0</v>
      </c>
      <c r="M478" t="n">
        <v>0</v>
      </c>
      <c r="N478" t="n">
        <v>0</v>
      </c>
      <c r="O478" t="n">
        <v>0</v>
      </c>
      <c r="P478" t="n">
        <v>0</v>
      </c>
      <c r="Q478" t="n">
        <v>0</v>
      </c>
      <c r="R478" s="2" t="inlineStr"/>
    </row>
    <row r="479" ht="15" customHeight="1">
      <c r="A479" t="inlineStr">
        <is>
          <t>A 60048-2025</t>
        </is>
      </c>
      <c r="B479" s="1" t="n">
        <v>45993.62974537037</v>
      </c>
      <c r="C479" s="1" t="n">
        <v>46013</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44051-2021</t>
        </is>
      </c>
      <c r="B480" s="1" t="n">
        <v>44434</v>
      </c>
      <c r="C480" s="1" t="n">
        <v>46013</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52280-2025</t>
        </is>
      </c>
      <c r="B481" s="1" t="n">
        <v>45953.56976851852</v>
      </c>
      <c r="C481" s="1" t="n">
        <v>46013</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52620-2025</t>
        </is>
      </c>
      <c r="B482" s="1" t="n">
        <v>45954.68207175926</v>
      </c>
      <c r="C482" s="1" t="n">
        <v>46013</v>
      </c>
      <c r="D482" t="inlineStr">
        <is>
          <t>JÄMTLANDS LÄN</t>
        </is>
      </c>
      <c r="E482" t="inlineStr">
        <is>
          <t>ÖSTERSUND</t>
        </is>
      </c>
      <c r="G482" t="n">
        <v>4.6</v>
      </c>
      <c r="H482" t="n">
        <v>0</v>
      </c>
      <c r="I482" t="n">
        <v>0</v>
      </c>
      <c r="J482" t="n">
        <v>0</v>
      </c>
      <c r="K482" t="n">
        <v>0</v>
      </c>
      <c r="L482" t="n">
        <v>0</v>
      </c>
      <c r="M482" t="n">
        <v>0</v>
      </c>
      <c r="N482" t="n">
        <v>0</v>
      </c>
      <c r="O482" t="n">
        <v>0</v>
      </c>
      <c r="P482" t="n">
        <v>0</v>
      </c>
      <c r="Q482" t="n">
        <v>0</v>
      </c>
      <c r="R482" s="2" t="inlineStr"/>
    </row>
    <row r="483" ht="15" customHeight="1">
      <c r="A483" t="inlineStr">
        <is>
          <t>A 52247-2025</t>
        </is>
      </c>
      <c r="B483" s="1" t="n">
        <v>45953.47575231481</v>
      </c>
      <c r="C483" s="1" t="n">
        <v>46013</v>
      </c>
      <c r="D483" t="inlineStr">
        <is>
          <t>JÄMTLANDS LÄN</t>
        </is>
      </c>
      <c r="E483" t="inlineStr">
        <is>
          <t>ÖSTERSUND</t>
        </is>
      </c>
      <c r="G483" t="n">
        <v>8.4</v>
      </c>
      <c r="H483" t="n">
        <v>0</v>
      </c>
      <c r="I483" t="n">
        <v>0</v>
      </c>
      <c r="J483" t="n">
        <v>0</v>
      </c>
      <c r="K483" t="n">
        <v>0</v>
      </c>
      <c r="L483" t="n">
        <v>0</v>
      </c>
      <c r="M483" t="n">
        <v>0</v>
      </c>
      <c r="N483" t="n">
        <v>0</v>
      </c>
      <c r="O483" t="n">
        <v>0</v>
      </c>
      <c r="P483" t="n">
        <v>0</v>
      </c>
      <c r="Q483" t="n">
        <v>0</v>
      </c>
      <c r="R483" s="2" t="inlineStr"/>
    </row>
    <row r="484" ht="15" customHeight="1">
      <c r="A484" t="inlineStr">
        <is>
          <t>A 52286-2025</t>
        </is>
      </c>
      <c r="B484" s="1" t="n">
        <v>45953.58497685185</v>
      </c>
      <c r="C484" s="1" t="n">
        <v>46013</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61235-2025</t>
        </is>
      </c>
      <c r="B485" s="1" t="n">
        <v>46000.63969907408</v>
      </c>
      <c r="C485" s="1" t="n">
        <v>46013</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16753-2025</t>
        </is>
      </c>
      <c r="B486" s="1" t="n">
        <v>45754.56839120371</v>
      </c>
      <c r="C486" s="1" t="n">
        <v>46013</v>
      </c>
      <c r="D486" t="inlineStr">
        <is>
          <t>JÄMTLANDS LÄN</t>
        </is>
      </c>
      <c r="E486" t="inlineStr">
        <is>
          <t>ÖSTERSUND</t>
        </is>
      </c>
      <c r="G486" t="n">
        <v>0.5</v>
      </c>
      <c r="H486" t="n">
        <v>0</v>
      </c>
      <c r="I486" t="n">
        <v>0</v>
      </c>
      <c r="J486" t="n">
        <v>0</v>
      </c>
      <c r="K486" t="n">
        <v>0</v>
      </c>
      <c r="L486" t="n">
        <v>0</v>
      </c>
      <c r="M486" t="n">
        <v>0</v>
      </c>
      <c r="N486" t="n">
        <v>0</v>
      </c>
      <c r="O486" t="n">
        <v>0</v>
      </c>
      <c r="P486" t="n">
        <v>0</v>
      </c>
      <c r="Q486" t="n">
        <v>0</v>
      </c>
      <c r="R486" s="2" t="inlineStr"/>
    </row>
    <row r="487" ht="15" customHeight="1">
      <c r="A487" t="inlineStr">
        <is>
          <t>A 52935-2025</t>
        </is>
      </c>
      <c r="B487" s="1" t="n">
        <v>45957.62978009259</v>
      </c>
      <c r="C487" s="1" t="n">
        <v>46013</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18577-2025</t>
        </is>
      </c>
      <c r="B488" s="1" t="n">
        <v>45763</v>
      </c>
      <c r="C488" s="1" t="n">
        <v>46013</v>
      </c>
      <c r="D488" t="inlineStr">
        <is>
          <t>JÄMTLANDS LÄN</t>
        </is>
      </c>
      <c r="E488" t="inlineStr">
        <is>
          <t>ÖSTERSUND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52975-2025</t>
        </is>
      </c>
      <c r="B489" s="1" t="n">
        <v>45957.67876157408</v>
      </c>
      <c r="C489" s="1" t="n">
        <v>46013</v>
      </c>
      <c r="D489" t="inlineStr">
        <is>
          <t>JÄMTLANDS LÄN</t>
        </is>
      </c>
      <c r="E489" t="inlineStr">
        <is>
          <t>ÖSTERSUND</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60174-2022</t>
        </is>
      </c>
      <c r="B490" s="1" t="n">
        <v>44909.9640162037</v>
      </c>
      <c r="C490" s="1" t="n">
        <v>46013</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61267-2025</t>
        </is>
      </c>
      <c r="B491" s="1" t="n">
        <v>46000.67793981481</v>
      </c>
      <c r="C491" s="1" t="n">
        <v>46013</v>
      </c>
      <c r="D491" t="inlineStr">
        <is>
          <t>JÄMTLANDS LÄN</t>
        </is>
      </c>
      <c r="E491" t="inlineStr">
        <is>
          <t>ÖSTERSUND</t>
        </is>
      </c>
      <c r="G491" t="n">
        <v>3.6</v>
      </c>
      <c r="H491" t="n">
        <v>0</v>
      </c>
      <c r="I491" t="n">
        <v>0</v>
      </c>
      <c r="J491" t="n">
        <v>0</v>
      </c>
      <c r="K491" t="n">
        <v>0</v>
      </c>
      <c r="L491" t="n">
        <v>0</v>
      </c>
      <c r="M491" t="n">
        <v>0</v>
      </c>
      <c r="N491" t="n">
        <v>0</v>
      </c>
      <c r="O491" t="n">
        <v>0</v>
      </c>
      <c r="P491" t="n">
        <v>0</v>
      </c>
      <c r="Q491" t="n">
        <v>0</v>
      </c>
      <c r="R491" s="2" t="inlineStr"/>
    </row>
    <row r="492" ht="15" customHeight="1">
      <c r="A492" t="inlineStr">
        <is>
          <t>A 20634-2023</t>
        </is>
      </c>
      <c r="B492" s="1" t="n">
        <v>45057.9441087963</v>
      </c>
      <c r="C492" s="1" t="n">
        <v>46013</v>
      </c>
      <c r="D492" t="inlineStr">
        <is>
          <t>JÄMTLANDS LÄN</t>
        </is>
      </c>
      <c r="E492" t="inlineStr">
        <is>
          <t>ÖSTERSUND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53057-2025</t>
        </is>
      </c>
      <c r="B493" s="1" t="n">
        <v>45958.36537037037</v>
      </c>
      <c r="C493" s="1" t="n">
        <v>46013</v>
      </c>
      <c r="D493" t="inlineStr">
        <is>
          <t>JÄMTLANDS LÄN</t>
        </is>
      </c>
      <c r="E493" t="inlineStr">
        <is>
          <t>ÖSTERSUND</t>
        </is>
      </c>
      <c r="F493" t="inlineStr">
        <is>
          <t>SCA</t>
        </is>
      </c>
      <c r="G493" t="n">
        <v>47.8</v>
      </c>
      <c r="H493" t="n">
        <v>0</v>
      </c>
      <c r="I493" t="n">
        <v>0</v>
      </c>
      <c r="J493" t="n">
        <v>0</v>
      </c>
      <c r="K493" t="n">
        <v>0</v>
      </c>
      <c r="L493" t="n">
        <v>0</v>
      </c>
      <c r="M493" t="n">
        <v>0</v>
      </c>
      <c r="N493" t="n">
        <v>0</v>
      </c>
      <c r="O493" t="n">
        <v>0</v>
      </c>
      <c r="P493" t="n">
        <v>0</v>
      </c>
      <c r="Q493" t="n">
        <v>0</v>
      </c>
      <c r="R493" s="2" t="inlineStr"/>
    </row>
    <row r="494" ht="15" customHeight="1">
      <c r="A494" t="inlineStr">
        <is>
          <t>A 61222-2025</t>
        </is>
      </c>
      <c r="B494" s="1" t="n">
        <v>46000.62851851852</v>
      </c>
      <c r="C494" s="1" t="n">
        <v>46013</v>
      </c>
      <c r="D494" t="inlineStr">
        <is>
          <t>JÄMTLANDS LÄN</t>
        </is>
      </c>
      <c r="E494" t="inlineStr">
        <is>
          <t>ÖSTERSUND</t>
        </is>
      </c>
      <c r="G494" t="n">
        <v>9.1</v>
      </c>
      <c r="H494" t="n">
        <v>0</v>
      </c>
      <c r="I494" t="n">
        <v>0</v>
      </c>
      <c r="J494" t="n">
        <v>0</v>
      </c>
      <c r="K494" t="n">
        <v>0</v>
      </c>
      <c r="L494" t="n">
        <v>0</v>
      </c>
      <c r="M494" t="n">
        <v>0</v>
      </c>
      <c r="N494" t="n">
        <v>0</v>
      </c>
      <c r="O494" t="n">
        <v>0</v>
      </c>
      <c r="P494" t="n">
        <v>0</v>
      </c>
      <c r="Q494" t="n">
        <v>0</v>
      </c>
      <c r="R494" s="2" t="inlineStr"/>
    </row>
    <row r="495" ht="15" customHeight="1">
      <c r="A495" t="inlineStr">
        <is>
          <t>A 53054-2025</t>
        </is>
      </c>
      <c r="B495" s="1" t="n">
        <v>45958.36498842593</v>
      </c>
      <c r="C495" s="1" t="n">
        <v>46013</v>
      </c>
      <c r="D495" t="inlineStr">
        <is>
          <t>JÄMTLANDS LÄN</t>
        </is>
      </c>
      <c r="E495" t="inlineStr">
        <is>
          <t>ÖSTERSUND</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64309-2023</t>
        </is>
      </c>
      <c r="B496" s="1" t="n">
        <v>45280</v>
      </c>
      <c r="C496" s="1" t="n">
        <v>46013</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45533-2025</t>
        </is>
      </c>
      <c r="B497" s="1" t="n">
        <v>45922</v>
      </c>
      <c r="C497" s="1" t="n">
        <v>46013</v>
      </c>
      <c r="D497" t="inlineStr">
        <is>
          <t>JÄMTLANDS LÄN</t>
        </is>
      </c>
      <c r="E497" t="inlineStr">
        <is>
          <t>ÖSTERSUND</t>
        </is>
      </c>
      <c r="F497" t="inlineStr">
        <is>
          <t>Övriga statliga verk och myndigheter</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27124-2023</t>
        </is>
      </c>
      <c r="B498" s="1" t="n">
        <v>45096</v>
      </c>
      <c r="C498" s="1" t="n">
        <v>46013</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53714-2022</t>
        </is>
      </c>
      <c r="B499" s="1" t="n">
        <v>44880</v>
      </c>
      <c r="C499" s="1" t="n">
        <v>46013</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61427-2025</t>
        </is>
      </c>
      <c r="B500" s="1" t="n">
        <v>46000</v>
      </c>
      <c r="C500" s="1" t="n">
        <v>46013</v>
      </c>
      <c r="D500" t="inlineStr">
        <is>
          <t>JÄMTLANDS LÄN</t>
        </is>
      </c>
      <c r="E500" t="inlineStr">
        <is>
          <t>ÖSTERSUND</t>
        </is>
      </c>
      <c r="G500" t="n">
        <v>0.3</v>
      </c>
      <c r="H500" t="n">
        <v>0</v>
      </c>
      <c r="I500" t="n">
        <v>0</v>
      </c>
      <c r="J500" t="n">
        <v>0</v>
      </c>
      <c r="K500" t="n">
        <v>0</v>
      </c>
      <c r="L500" t="n">
        <v>0</v>
      </c>
      <c r="M500" t="n">
        <v>0</v>
      </c>
      <c r="N500" t="n">
        <v>0</v>
      </c>
      <c r="O500" t="n">
        <v>0</v>
      </c>
      <c r="P500" t="n">
        <v>0</v>
      </c>
      <c r="Q500" t="n">
        <v>0</v>
      </c>
      <c r="R500" s="2" t="inlineStr"/>
    </row>
    <row r="501" ht="15" customHeight="1">
      <c r="A501" t="inlineStr">
        <is>
          <t>A 60767-2022</t>
        </is>
      </c>
      <c r="B501" s="1" t="n">
        <v>44914.35599537037</v>
      </c>
      <c r="C501" s="1" t="n">
        <v>46013</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61530-2023</t>
        </is>
      </c>
      <c r="B502" s="1" t="n">
        <v>45261</v>
      </c>
      <c r="C502" s="1" t="n">
        <v>46013</v>
      </c>
      <c r="D502" t="inlineStr">
        <is>
          <t>JÄMTLANDS LÄN</t>
        </is>
      </c>
      <c r="E502" t="inlineStr">
        <is>
          <t>ÖSTERSUND</t>
        </is>
      </c>
      <c r="F502" t="inlineStr">
        <is>
          <t>Övriga statliga verk och myndigheter</t>
        </is>
      </c>
      <c r="G502" t="n">
        <v>1</v>
      </c>
      <c r="H502" t="n">
        <v>0</v>
      </c>
      <c r="I502" t="n">
        <v>0</v>
      </c>
      <c r="J502" t="n">
        <v>0</v>
      </c>
      <c r="K502" t="n">
        <v>0</v>
      </c>
      <c r="L502" t="n">
        <v>0</v>
      </c>
      <c r="M502" t="n">
        <v>0</v>
      </c>
      <c r="N502" t="n">
        <v>0</v>
      </c>
      <c r="O502" t="n">
        <v>0</v>
      </c>
      <c r="P502" t="n">
        <v>0</v>
      </c>
      <c r="Q502" t="n">
        <v>0</v>
      </c>
      <c r="R502" s="2" t="inlineStr"/>
    </row>
    <row r="503" ht="15" customHeight="1">
      <c r="A503" t="inlineStr">
        <is>
          <t>A 62176-2025</t>
        </is>
      </c>
      <c r="B503" s="1" t="n">
        <v>46006.51157407407</v>
      </c>
      <c r="C503" s="1" t="n">
        <v>46013</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61964-2025</t>
        </is>
      </c>
      <c r="B504" s="1" t="n">
        <v>46003</v>
      </c>
      <c r="C504" s="1" t="n">
        <v>46013</v>
      </c>
      <c r="D504" t="inlineStr">
        <is>
          <t>JÄMTLANDS LÄN</t>
        </is>
      </c>
      <c r="E504" t="inlineStr">
        <is>
          <t>ÖSTERSUND</t>
        </is>
      </c>
      <c r="G504" t="n">
        <v>16.5</v>
      </c>
      <c r="H504" t="n">
        <v>0</v>
      </c>
      <c r="I504" t="n">
        <v>0</v>
      </c>
      <c r="J504" t="n">
        <v>0</v>
      </c>
      <c r="K504" t="n">
        <v>0</v>
      </c>
      <c r="L504" t="n">
        <v>0</v>
      </c>
      <c r="M504" t="n">
        <v>0</v>
      </c>
      <c r="N504" t="n">
        <v>0</v>
      </c>
      <c r="O504" t="n">
        <v>0</v>
      </c>
      <c r="P504" t="n">
        <v>0</v>
      </c>
      <c r="Q504" t="n">
        <v>0</v>
      </c>
      <c r="R504" s="2" t="inlineStr"/>
    </row>
    <row r="505" ht="15" customHeight="1">
      <c r="A505" t="inlineStr">
        <is>
          <t>A 61849-2025</t>
        </is>
      </c>
      <c r="B505" s="1" t="n">
        <v>46003.38026620371</v>
      </c>
      <c r="C505" s="1" t="n">
        <v>46013</v>
      </c>
      <c r="D505" t="inlineStr">
        <is>
          <t>JÄMTLANDS LÄN</t>
        </is>
      </c>
      <c r="E505" t="inlineStr">
        <is>
          <t>ÖSTERSUND</t>
        </is>
      </c>
      <c r="G505" t="n">
        <v>5.5</v>
      </c>
      <c r="H505" t="n">
        <v>0</v>
      </c>
      <c r="I505" t="n">
        <v>0</v>
      </c>
      <c r="J505" t="n">
        <v>0</v>
      </c>
      <c r="K505" t="n">
        <v>0</v>
      </c>
      <c r="L505" t="n">
        <v>0</v>
      </c>
      <c r="M505" t="n">
        <v>0</v>
      </c>
      <c r="N505" t="n">
        <v>0</v>
      </c>
      <c r="O505" t="n">
        <v>0</v>
      </c>
      <c r="P505" t="n">
        <v>0</v>
      </c>
      <c r="Q505" t="n">
        <v>0</v>
      </c>
      <c r="R505" s="2" t="inlineStr"/>
    </row>
    <row r="506" ht="15" customHeight="1">
      <c r="A506" t="inlineStr">
        <is>
          <t>A 1322-2021</t>
        </is>
      </c>
      <c r="B506" s="1" t="n">
        <v>44208</v>
      </c>
      <c r="C506" s="1" t="n">
        <v>46013</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14118-2025</t>
        </is>
      </c>
      <c r="B507" s="1" t="n">
        <v>45740.46325231482</v>
      </c>
      <c r="C507" s="1" t="n">
        <v>46013</v>
      </c>
      <c r="D507" t="inlineStr">
        <is>
          <t>JÄMTLANDS LÄN</t>
        </is>
      </c>
      <c r="E507" t="inlineStr">
        <is>
          <t>ÖSTERSUND</t>
        </is>
      </c>
      <c r="G507" t="n">
        <v>3.6</v>
      </c>
      <c r="H507" t="n">
        <v>0</v>
      </c>
      <c r="I507" t="n">
        <v>0</v>
      </c>
      <c r="J507" t="n">
        <v>0</v>
      </c>
      <c r="K507" t="n">
        <v>0</v>
      </c>
      <c r="L507" t="n">
        <v>0</v>
      </c>
      <c r="M507" t="n">
        <v>0</v>
      </c>
      <c r="N507" t="n">
        <v>0</v>
      </c>
      <c r="O507" t="n">
        <v>0</v>
      </c>
      <c r="P507" t="n">
        <v>0</v>
      </c>
      <c r="Q507" t="n">
        <v>0</v>
      </c>
      <c r="R507" s="2" t="inlineStr"/>
    </row>
    <row r="508" ht="15" customHeight="1">
      <c r="A508" t="inlineStr">
        <is>
          <t>A 61982-2025</t>
        </is>
      </c>
      <c r="B508" s="1" t="n">
        <v>46003.6159375</v>
      </c>
      <c r="C508" s="1" t="n">
        <v>46013</v>
      </c>
      <c r="D508" t="inlineStr">
        <is>
          <t>JÄMTLANDS LÄN</t>
        </is>
      </c>
      <c r="E508" t="inlineStr">
        <is>
          <t>ÖSTERSUND</t>
        </is>
      </c>
      <c r="G508" t="n">
        <v>4.7</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46003.56467592593</v>
      </c>
      <c r="C509" s="1" t="n">
        <v>46013</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61985-2025</t>
        </is>
      </c>
      <c r="B510" s="1" t="n">
        <v>46003.62509259259</v>
      </c>
      <c r="C510" s="1" t="n">
        <v>46013</v>
      </c>
      <c r="D510" t="inlineStr">
        <is>
          <t>JÄMTLANDS LÄN</t>
        </is>
      </c>
      <c r="E510" t="inlineStr">
        <is>
          <t>ÖSTERSUND</t>
        </is>
      </c>
      <c r="G510" t="n">
        <v>4.2</v>
      </c>
      <c r="H510" t="n">
        <v>0</v>
      </c>
      <c r="I510" t="n">
        <v>0</v>
      </c>
      <c r="J510" t="n">
        <v>0</v>
      </c>
      <c r="K510" t="n">
        <v>0</v>
      </c>
      <c r="L510" t="n">
        <v>0</v>
      </c>
      <c r="M510" t="n">
        <v>0</v>
      </c>
      <c r="N510" t="n">
        <v>0</v>
      </c>
      <c r="O510" t="n">
        <v>0</v>
      </c>
      <c r="P510" t="n">
        <v>0</v>
      </c>
      <c r="Q510" t="n">
        <v>0</v>
      </c>
      <c r="R510" s="2" t="inlineStr"/>
    </row>
    <row r="511" ht="15" customHeight="1">
      <c r="A511" t="inlineStr">
        <is>
          <t>A 54133-2025</t>
        </is>
      </c>
      <c r="B511" s="1" t="n">
        <v>45964.46944444445</v>
      </c>
      <c r="C511" s="1" t="n">
        <v>46013</v>
      </c>
      <c r="D511" t="inlineStr">
        <is>
          <t>JÄMTLANDS LÄN</t>
        </is>
      </c>
      <c r="E511" t="inlineStr">
        <is>
          <t>ÖSTERSUND</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62175-2025</t>
        </is>
      </c>
      <c r="B512" s="1" t="n">
        <v>46006.51155092593</v>
      </c>
      <c r="C512" s="1" t="n">
        <v>46013</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25535-2023</t>
        </is>
      </c>
      <c r="B513" s="1" t="n">
        <v>45089.54944444444</v>
      </c>
      <c r="C513" s="1" t="n">
        <v>46013</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6048-2024</t>
        </is>
      </c>
      <c r="B514" s="1" t="n">
        <v>45336</v>
      </c>
      <c r="C514" s="1" t="n">
        <v>46013</v>
      </c>
      <c r="D514" t="inlineStr">
        <is>
          <t>JÄMTLANDS LÄN</t>
        </is>
      </c>
      <c r="E514" t="inlineStr">
        <is>
          <t>ÖSTERSUND</t>
        </is>
      </c>
      <c r="G514" t="n">
        <v>0.7</v>
      </c>
      <c r="H514" t="n">
        <v>0</v>
      </c>
      <c r="I514" t="n">
        <v>0</v>
      </c>
      <c r="J514" t="n">
        <v>0</v>
      </c>
      <c r="K514" t="n">
        <v>0</v>
      </c>
      <c r="L514" t="n">
        <v>0</v>
      </c>
      <c r="M514" t="n">
        <v>0</v>
      </c>
      <c r="N514" t="n">
        <v>0</v>
      </c>
      <c r="O514" t="n">
        <v>0</v>
      </c>
      <c r="P514" t="n">
        <v>0</v>
      </c>
      <c r="Q514" t="n">
        <v>0</v>
      </c>
      <c r="R514" s="2" t="inlineStr"/>
    </row>
    <row r="515" ht="15" customHeight="1">
      <c r="A515" t="inlineStr">
        <is>
          <t>A 54667-2025</t>
        </is>
      </c>
      <c r="B515" s="1" t="n">
        <v>45966.4077662037</v>
      </c>
      <c r="C515" s="1" t="n">
        <v>46013</v>
      </c>
      <c r="D515" t="inlineStr">
        <is>
          <t>JÄMTLANDS LÄN</t>
        </is>
      </c>
      <c r="E515" t="inlineStr">
        <is>
          <t>ÖSTERSUND</t>
        </is>
      </c>
      <c r="G515" t="n">
        <v>6.8</v>
      </c>
      <c r="H515" t="n">
        <v>0</v>
      </c>
      <c r="I515" t="n">
        <v>0</v>
      </c>
      <c r="J515" t="n">
        <v>0</v>
      </c>
      <c r="K515" t="n">
        <v>0</v>
      </c>
      <c r="L515" t="n">
        <v>0</v>
      </c>
      <c r="M515" t="n">
        <v>0</v>
      </c>
      <c r="N515" t="n">
        <v>0</v>
      </c>
      <c r="O515" t="n">
        <v>0</v>
      </c>
      <c r="P515" t="n">
        <v>0</v>
      </c>
      <c r="Q515" t="n">
        <v>0</v>
      </c>
      <c r="R515" s="2" t="inlineStr"/>
    </row>
    <row r="516" ht="15" customHeight="1">
      <c r="A516" t="inlineStr">
        <is>
          <t>A 62509-2025</t>
        </is>
      </c>
      <c r="B516" s="1" t="n">
        <v>46007.5958912037</v>
      </c>
      <c r="C516" s="1" t="n">
        <v>46013</v>
      </c>
      <c r="D516" t="inlineStr">
        <is>
          <t>JÄMTLANDS LÄN</t>
        </is>
      </c>
      <c r="E516" t="inlineStr">
        <is>
          <t>ÖSTERSUND</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62369-2025</t>
        </is>
      </c>
      <c r="B517" s="1" t="n">
        <v>46007.33719907407</v>
      </c>
      <c r="C517" s="1" t="n">
        <v>46013</v>
      </c>
      <c r="D517" t="inlineStr">
        <is>
          <t>JÄMTLANDS LÄN</t>
        </is>
      </c>
      <c r="E517" t="inlineStr">
        <is>
          <t>ÖSTERSUND</t>
        </is>
      </c>
      <c r="F517" t="inlineStr">
        <is>
          <t>Sveaskog</t>
        </is>
      </c>
      <c r="G517" t="n">
        <v>20.3</v>
      </c>
      <c r="H517" t="n">
        <v>0</v>
      </c>
      <c r="I517" t="n">
        <v>0</v>
      </c>
      <c r="J517" t="n">
        <v>0</v>
      </c>
      <c r="K517" t="n">
        <v>0</v>
      </c>
      <c r="L517" t="n">
        <v>0</v>
      </c>
      <c r="M517" t="n">
        <v>0</v>
      </c>
      <c r="N517" t="n">
        <v>0</v>
      </c>
      <c r="O517" t="n">
        <v>0</v>
      </c>
      <c r="P517" t="n">
        <v>0</v>
      </c>
      <c r="Q517" t="n">
        <v>0</v>
      </c>
      <c r="R517" s="2" t="inlineStr"/>
    </row>
    <row r="518" ht="15" customHeight="1">
      <c r="A518" t="inlineStr">
        <is>
          <t>A 62437-2025</t>
        </is>
      </c>
      <c r="B518" s="1" t="n">
        <v>46007.46907407408</v>
      </c>
      <c r="C518" s="1" t="n">
        <v>46013</v>
      </c>
      <c r="D518" t="inlineStr">
        <is>
          <t>JÄMTLANDS LÄN</t>
        </is>
      </c>
      <c r="E518" t="inlineStr">
        <is>
          <t>ÖSTERSUND</t>
        </is>
      </c>
      <c r="G518" t="n">
        <v>6.3</v>
      </c>
      <c r="H518" t="n">
        <v>0</v>
      </c>
      <c r="I518" t="n">
        <v>0</v>
      </c>
      <c r="J518" t="n">
        <v>0</v>
      </c>
      <c r="K518" t="n">
        <v>0</v>
      </c>
      <c r="L518" t="n">
        <v>0</v>
      </c>
      <c r="M518" t="n">
        <v>0</v>
      </c>
      <c r="N518" t="n">
        <v>0</v>
      </c>
      <c r="O518" t="n">
        <v>0</v>
      </c>
      <c r="P518" t="n">
        <v>0</v>
      </c>
      <c r="Q518" t="n">
        <v>0</v>
      </c>
      <c r="R518" s="2" t="inlineStr"/>
    </row>
    <row r="519" ht="15" customHeight="1">
      <c r="A519" t="inlineStr">
        <is>
          <t>A 62622-2025</t>
        </is>
      </c>
      <c r="B519" s="1" t="n">
        <v>46008.34438657408</v>
      </c>
      <c r="C519" s="1" t="n">
        <v>46013</v>
      </c>
      <c r="D519" t="inlineStr">
        <is>
          <t>JÄMTLANDS LÄN</t>
        </is>
      </c>
      <c r="E519" t="inlineStr">
        <is>
          <t>ÖSTERSUND</t>
        </is>
      </c>
      <c r="G519" t="n">
        <v>7.4</v>
      </c>
      <c r="H519" t="n">
        <v>0</v>
      </c>
      <c r="I519" t="n">
        <v>0</v>
      </c>
      <c r="J519" t="n">
        <v>0</v>
      </c>
      <c r="K519" t="n">
        <v>0</v>
      </c>
      <c r="L519" t="n">
        <v>0</v>
      </c>
      <c r="M519" t="n">
        <v>0</v>
      </c>
      <c r="N519" t="n">
        <v>0</v>
      </c>
      <c r="O519" t="n">
        <v>0</v>
      </c>
      <c r="P519" t="n">
        <v>0</v>
      </c>
      <c r="Q519" t="n">
        <v>0</v>
      </c>
      <c r="R519" s="2" t="inlineStr"/>
    </row>
    <row r="520" ht="15" customHeight="1">
      <c r="A520" t="inlineStr">
        <is>
          <t>A 62623-2025</t>
        </is>
      </c>
      <c r="B520" s="1" t="n">
        <v>46008.34443287037</v>
      </c>
      <c r="C520" s="1" t="n">
        <v>46013</v>
      </c>
      <c r="D520" t="inlineStr">
        <is>
          <t>JÄMTLANDS LÄN</t>
        </is>
      </c>
      <c r="E520" t="inlineStr">
        <is>
          <t>ÖSTERSUND</t>
        </is>
      </c>
      <c r="G520" t="n">
        <v>7.9</v>
      </c>
      <c r="H520" t="n">
        <v>0</v>
      </c>
      <c r="I520" t="n">
        <v>0</v>
      </c>
      <c r="J520" t="n">
        <v>0</v>
      </c>
      <c r="K520" t="n">
        <v>0</v>
      </c>
      <c r="L520" t="n">
        <v>0</v>
      </c>
      <c r="M520" t="n">
        <v>0</v>
      </c>
      <c r="N520" t="n">
        <v>0</v>
      </c>
      <c r="O520" t="n">
        <v>0</v>
      </c>
      <c r="P520" t="n">
        <v>0</v>
      </c>
      <c r="Q520" t="n">
        <v>0</v>
      </c>
      <c r="R520" s="2" t="inlineStr"/>
    </row>
    <row r="521" ht="15" customHeight="1">
      <c r="A521" t="inlineStr">
        <is>
          <t>A 62452-2025</t>
        </is>
      </c>
      <c r="B521" s="1" t="n">
        <v>46007.49001157407</v>
      </c>
      <c r="C521" s="1" t="n">
        <v>46013</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62696-2025</t>
        </is>
      </c>
      <c r="B522" s="1" t="n">
        <v>46008.48708333333</v>
      </c>
      <c r="C522" s="1" t="n">
        <v>46013</v>
      </c>
      <c r="D522" t="inlineStr">
        <is>
          <t>JÄMTLANDS LÄN</t>
        </is>
      </c>
      <c r="E522" t="inlineStr">
        <is>
          <t>ÖSTERSUND</t>
        </is>
      </c>
      <c r="G522" t="n">
        <v>11.3</v>
      </c>
      <c r="H522" t="n">
        <v>0</v>
      </c>
      <c r="I522" t="n">
        <v>0</v>
      </c>
      <c r="J522" t="n">
        <v>0</v>
      </c>
      <c r="K522" t="n">
        <v>0</v>
      </c>
      <c r="L522" t="n">
        <v>0</v>
      </c>
      <c r="M522" t="n">
        <v>0</v>
      </c>
      <c r="N522" t="n">
        <v>0</v>
      </c>
      <c r="O522" t="n">
        <v>0</v>
      </c>
      <c r="P522" t="n">
        <v>0</v>
      </c>
      <c r="Q522" t="n">
        <v>0</v>
      </c>
      <c r="R522" s="2" t="inlineStr"/>
    </row>
    <row r="523" ht="15" customHeight="1">
      <c r="A523" t="inlineStr">
        <is>
          <t>A 54528-2025</t>
        </is>
      </c>
      <c r="B523" s="1" t="n">
        <v>45965.63496527778</v>
      </c>
      <c r="C523" s="1" t="n">
        <v>46013</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54965-2025</t>
        </is>
      </c>
      <c r="B524" s="1" t="n">
        <v>45967.49037037037</v>
      </c>
      <c r="C524" s="1" t="n">
        <v>46013</v>
      </c>
      <c r="D524" t="inlineStr">
        <is>
          <t>JÄMTLANDS LÄN</t>
        </is>
      </c>
      <c r="E524" t="inlineStr">
        <is>
          <t>ÖSTERSUND</t>
        </is>
      </c>
      <c r="G524" t="n">
        <v>4.3</v>
      </c>
      <c r="H524" t="n">
        <v>0</v>
      </c>
      <c r="I524" t="n">
        <v>0</v>
      </c>
      <c r="J524" t="n">
        <v>0</v>
      </c>
      <c r="K524" t="n">
        <v>0</v>
      </c>
      <c r="L524" t="n">
        <v>0</v>
      </c>
      <c r="M524" t="n">
        <v>0</v>
      </c>
      <c r="N524" t="n">
        <v>0</v>
      </c>
      <c r="O524" t="n">
        <v>0</v>
      </c>
      <c r="P524" t="n">
        <v>0</v>
      </c>
      <c r="Q524" t="n">
        <v>0</v>
      </c>
      <c r="R524" s="2" t="inlineStr"/>
    </row>
    <row r="525" ht="15" customHeight="1">
      <c r="A525" t="inlineStr">
        <is>
          <t>A 63193-2025</t>
        </is>
      </c>
      <c r="B525" s="1" t="n">
        <v>46010.45428240741</v>
      </c>
      <c r="C525" s="1" t="n">
        <v>46013</v>
      </c>
      <c r="D525" t="inlineStr">
        <is>
          <t>JÄMTLANDS LÄN</t>
        </is>
      </c>
      <c r="E525" t="inlineStr">
        <is>
          <t>ÖSTERSUND</t>
        </is>
      </c>
      <c r="G525" t="n">
        <v>9</v>
      </c>
      <c r="H525" t="n">
        <v>0</v>
      </c>
      <c r="I525" t="n">
        <v>0</v>
      </c>
      <c r="J525" t="n">
        <v>0</v>
      </c>
      <c r="K525" t="n">
        <v>0</v>
      </c>
      <c r="L525" t="n">
        <v>0</v>
      </c>
      <c r="M525" t="n">
        <v>0</v>
      </c>
      <c r="N525" t="n">
        <v>0</v>
      </c>
      <c r="O525" t="n">
        <v>0</v>
      </c>
      <c r="P525" t="n">
        <v>0</v>
      </c>
      <c r="Q525" t="n">
        <v>0</v>
      </c>
      <c r="R525" s="2" t="inlineStr"/>
      <c r="U525">
        <f>HYPERLINK("https://klasma.github.io/Logging_2380/knärot/A 63193-2025 karta knärot.png", "A 63193-2025")</f>
        <v/>
      </c>
      <c r="V525">
        <f>HYPERLINK("https://klasma.github.io/Logging_2380/klagomål/A 63193-2025 FSC-klagomål.docx", "A 63193-2025")</f>
        <v/>
      </c>
      <c r="W525">
        <f>HYPERLINK("https://klasma.github.io/Logging_2380/klagomålsmail/A 63193-2025 FSC-klagomål mail.docx", "A 63193-2025")</f>
        <v/>
      </c>
      <c r="X525">
        <f>HYPERLINK("https://klasma.github.io/Logging_2380/tillsyn/A 63193-2025 tillsynsbegäran.docx", "A 63193-2025")</f>
        <v/>
      </c>
      <c r="Y525">
        <f>HYPERLINK("https://klasma.github.io/Logging_2380/tillsynsmail/A 63193-2025 tillsynsbegäran mail.docx", "A 63193-2025")</f>
        <v/>
      </c>
    </row>
    <row r="526" ht="15" customHeight="1">
      <c r="A526" t="inlineStr">
        <is>
          <t>A 55179-2025</t>
        </is>
      </c>
      <c r="B526" s="1" t="n">
        <v>45968.53167824074</v>
      </c>
      <c r="C526" s="1" t="n">
        <v>46013</v>
      </c>
      <c r="D526" t="inlineStr">
        <is>
          <t>JÄMTLANDS LÄN</t>
        </is>
      </c>
      <c r="E526" t="inlineStr">
        <is>
          <t>ÖSTERSUND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54931-2025</t>
        </is>
      </c>
      <c r="B527" s="1" t="n">
        <v>45967.42462962963</v>
      </c>
      <c r="C527" s="1" t="n">
        <v>46013</v>
      </c>
      <c r="D527" t="inlineStr">
        <is>
          <t>JÄMTLANDS LÄN</t>
        </is>
      </c>
      <c r="E527" t="inlineStr">
        <is>
          <t>ÖSTERSUND</t>
        </is>
      </c>
      <c r="G527" t="n">
        <v>7.1</v>
      </c>
      <c r="H527" t="n">
        <v>0</v>
      </c>
      <c r="I527" t="n">
        <v>0</v>
      </c>
      <c r="J527" t="n">
        <v>0</v>
      </c>
      <c r="K527" t="n">
        <v>0</v>
      </c>
      <c r="L527" t="n">
        <v>0</v>
      </c>
      <c r="M527" t="n">
        <v>0</v>
      </c>
      <c r="N527" t="n">
        <v>0</v>
      </c>
      <c r="O527" t="n">
        <v>0</v>
      </c>
      <c r="P527" t="n">
        <v>0</v>
      </c>
      <c r="Q527" t="n">
        <v>0</v>
      </c>
      <c r="R527" s="2" t="inlineStr"/>
    </row>
    <row r="528" ht="15" customHeight="1">
      <c r="A528" t="inlineStr">
        <is>
          <t>A 7233-2024</t>
        </is>
      </c>
      <c r="B528" s="1" t="n">
        <v>45344</v>
      </c>
      <c r="C528" s="1" t="n">
        <v>46013</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63245-2025</t>
        </is>
      </c>
      <c r="B529" s="1" t="n">
        <v>46010.53825231481</v>
      </c>
      <c r="C529" s="1" t="n">
        <v>46013</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48737-2024</t>
        </is>
      </c>
      <c r="B530" s="1" t="n">
        <v>45593.57327546296</v>
      </c>
      <c r="C530" s="1" t="n">
        <v>46013</v>
      </c>
      <c r="D530" t="inlineStr">
        <is>
          <t>JÄMTLANDS LÄN</t>
        </is>
      </c>
      <c r="E530" t="inlineStr">
        <is>
          <t>ÖSTERSUND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27118-2023</t>
        </is>
      </c>
      <c r="B531" s="1" t="n">
        <v>45096</v>
      </c>
      <c r="C531" s="1" t="n">
        <v>46013</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39493-2023</t>
        </is>
      </c>
      <c r="B532" s="1" t="n">
        <v>45166.9569675926</v>
      </c>
      <c r="C532" s="1" t="n">
        <v>46013</v>
      </c>
      <c r="D532" t="inlineStr">
        <is>
          <t>JÄMTLANDS LÄN</t>
        </is>
      </c>
      <c r="E532" t="inlineStr">
        <is>
          <t>ÖSTERSUND</t>
        </is>
      </c>
      <c r="F532" t="inlineStr">
        <is>
          <t>SCA</t>
        </is>
      </c>
      <c r="G532" t="n">
        <v>4.5</v>
      </c>
      <c r="H532" t="n">
        <v>0</v>
      </c>
      <c r="I532" t="n">
        <v>0</v>
      </c>
      <c r="J532" t="n">
        <v>0</v>
      </c>
      <c r="K532" t="n">
        <v>0</v>
      </c>
      <c r="L532" t="n">
        <v>0</v>
      </c>
      <c r="M532" t="n">
        <v>0</v>
      </c>
      <c r="N532" t="n">
        <v>0</v>
      </c>
      <c r="O532" t="n">
        <v>0</v>
      </c>
      <c r="P532" t="n">
        <v>0</v>
      </c>
      <c r="Q532" t="n">
        <v>0</v>
      </c>
      <c r="R532" s="2" t="inlineStr"/>
    </row>
    <row r="533" ht="15" customHeight="1">
      <c r="A533" t="inlineStr">
        <is>
          <t>A 63195-2025</t>
        </is>
      </c>
      <c r="B533" s="1" t="n">
        <v>46010.45680555556</v>
      </c>
      <c r="C533" s="1" t="n">
        <v>46013</v>
      </c>
      <c r="D533" t="inlineStr">
        <is>
          <t>JÄMTLANDS LÄN</t>
        </is>
      </c>
      <c r="E533" t="inlineStr">
        <is>
          <t>ÖSTERSUND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16306-2025</t>
        </is>
      </c>
      <c r="B534" s="1" t="n">
        <v>45751.34664351852</v>
      </c>
      <c r="C534" s="1" t="n">
        <v>46013</v>
      </c>
      <c r="D534" t="inlineStr">
        <is>
          <t>JÄMTLANDS LÄN</t>
        </is>
      </c>
      <c r="E534" t="inlineStr">
        <is>
          <t>ÖSTERSUND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2756-2024</t>
        </is>
      </c>
      <c r="B535" s="1" t="n">
        <v>45314.58785879629</v>
      </c>
      <c r="C535" s="1" t="n">
        <v>46013</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27294-2023</t>
        </is>
      </c>
      <c r="B536" s="1" t="n">
        <v>45092</v>
      </c>
      <c r="C536" s="1" t="n">
        <v>46013</v>
      </c>
      <c r="D536" t="inlineStr">
        <is>
          <t>JÄMTLANDS LÄN</t>
        </is>
      </c>
      <c r="E536" t="inlineStr">
        <is>
          <t>ÖSTERSUND</t>
        </is>
      </c>
      <c r="G536" t="n">
        <v>2.8</v>
      </c>
      <c r="H536" t="n">
        <v>0</v>
      </c>
      <c r="I536" t="n">
        <v>0</v>
      </c>
      <c r="J536" t="n">
        <v>0</v>
      </c>
      <c r="K536" t="n">
        <v>0</v>
      </c>
      <c r="L536" t="n">
        <v>0</v>
      </c>
      <c r="M536" t="n">
        <v>0</v>
      </c>
      <c r="N536" t="n">
        <v>0</v>
      </c>
      <c r="O536" t="n">
        <v>0</v>
      </c>
      <c r="P536" t="n">
        <v>0</v>
      </c>
      <c r="Q536" t="n">
        <v>0</v>
      </c>
      <c r="R536" s="2" t="inlineStr"/>
    </row>
    <row r="537" ht="15" customHeight="1">
      <c r="A537" t="inlineStr">
        <is>
          <t>A 24246-2024</t>
        </is>
      </c>
      <c r="B537" s="1" t="n">
        <v>45457.37893518519</v>
      </c>
      <c r="C537" s="1" t="n">
        <v>46013</v>
      </c>
      <c r="D537" t="inlineStr">
        <is>
          <t>JÄMTLANDS LÄN</t>
        </is>
      </c>
      <c r="E537" t="inlineStr">
        <is>
          <t>ÖSTERSUND</t>
        </is>
      </c>
      <c r="G537" t="n">
        <v>5.3</v>
      </c>
      <c r="H537" t="n">
        <v>0</v>
      </c>
      <c r="I537" t="n">
        <v>0</v>
      </c>
      <c r="J537" t="n">
        <v>0</v>
      </c>
      <c r="K537" t="n">
        <v>0</v>
      </c>
      <c r="L537" t="n">
        <v>0</v>
      </c>
      <c r="M537" t="n">
        <v>0</v>
      </c>
      <c r="N537" t="n">
        <v>0</v>
      </c>
      <c r="O537" t="n">
        <v>0</v>
      </c>
      <c r="P537" t="n">
        <v>0</v>
      </c>
      <c r="Q537" t="n">
        <v>0</v>
      </c>
      <c r="R537" s="2" t="inlineStr"/>
    </row>
    <row r="538" ht="15" customHeight="1">
      <c r="A538" t="inlineStr">
        <is>
          <t>A 1670-2024</t>
        </is>
      </c>
      <c r="B538" s="1" t="n">
        <v>45306</v>
      </c>
      <c r="C538" s="1" t="n">
        <v>46013</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49192-2024</t>
        </is>
      </c>
      <c r="B539" s="1" t="n">
        <v>45595.34762731481</v>
      </c>
      <c r="C539" s="1" t="n">
        <v>46013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54237-2024</t>
        </is>
      </c>
      <c r="B540" s="1" t="n">
        <v>45616.67833333334</v>
      </c>
      <c r="C540" s="1" t="n">
        <v>46013</v>
      </c>
      <c r="D540" t="inlineStr">
        <is>
          <t>JÄMTLANDS LÄN</t>
        </is>
      </c>
      <c r="E540" t="inlineStr">
        <is>
          <t>ÖSTERSUND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69190-2021</t>
        </is>
      </c>
      <c r="B541" s="1" t="n">
        <v>44529</v>
      </c>
      <c r="C541" s="1" t="n">
        <v>46013</v>
      </c>
      <c r="D541" t="inlineStr">
        <is>
          <t>JÄMTLANDS LÄN</t>
        </is>
      </c>
      <c r="E541" t="inlineStr">
        <is>
          <t>ÖSTERSUND</t>
        </is>
      </c>
      <c r="G541" t="n">
        <v>4.2</v>
      </c>
      <c r="H541" t="n">
        <v>0</v>
      </c>
      <c r="I541" t="n">
        <v>0</v>
      </c>
      <c r="J541" t="n">
        <v>0</v>
      </c>
      <c r="K541" t="n">
        <v>0</v>
      </c>
      <c r="L541" t="n">
        <v>0</v>
      </c>
      <c r="M541" t="n">
        <v>0</v>
      </c>
      <c r="N541" t="n">
        <v>0</v>
      </c>
      <c r="O541" t="n">
        <v>0</v>
      </c>
      <c r="P541" t="n">
        <v>0</v>
      </c>
      <c r="Q541" t="n">
        <v>0</v>
      </c>
      <c r="R541" s="2" t="inlineStr"/>
    </row>
    <row r="542" ht="15" customHeight="1">
      <c r="A542" t="inlineStr">
        <is>
          <t>A 4707-2024</t>
        </is>
      </c>
      <c r="B542" s="1" t="n">
        <v>45328</v>
      </c>
      <c r="C542" s="1" t="n">
        <v>46013</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55064-2024</t>
        </is>
      </c>
      <c r="B543" s="1" t="n">
        <v>45621.41050925926</v>
      </c>
      <c r="C543" s="1" t="n">
        <v>46013</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10116-2025</t>
        </is>
      </c>
      <c r="B544" s="1" t="n">
        <v>45719.59836805556</v>
      </c>
      <c r="C544" s="1" t="n">
        <v>46013</v>
      </c>
      <c r="D544" t="inlineStr">
        <is>
          <t>JÄMTLANDS LÄN</t>
        </is>
      </c>
      <c r="E544" t="inlineStr">
        <is>
          <t>ÖSTERSUND</t>
        </is>
      </c>
      <c r="G544" t="n">
        <v>11.1</v>
      </c>
      <c r="H544" t="n">
        <v>0</v>
      </c>
      <c r="I544" t="n">
        <v>0</v>
      </c>
      <c r="J544" t="n">
        <v>0</v>
      </c>
      <c r="K544" t="n">
        <v>0</v>
      </c>
      <c r="L544" t="n">
        <v>0</v>
      </c>
      <c r="M544" t="n">
        <v>0</v>
      </c>
      <c r="N544" t="n">
        <v>0</v>
      </c>
      <c r="O544" t="n">
        <v>0</v>
      </c>
      <c r="P544" t="n">
        <v>0</v>
      </c>
      <c r="Q544" t="n">
        <v>0</v>
      </c>
      <c r="R544" s="2" t="inlineStr"/>
    </row>
    <row r="545" ht="15" customHeight="1">
      <c r="A545" t="inlineStr">
        <is>
          <t>A 8027-2022</t>
        </is>
      </c>
      <c r="B545" s="1" t="n">
        <v>44609</v>
      </c>
      <c r="C545" s="1" t="n">
        <v>46013</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19323-2024</t>
        </is>
      </c>
      <c r="B546" s="1" t="n">
        <v>45428.92486111111</v>
      </c>
      <c r="C546" s="1" t="n">
        <v>46013</v>
      </c>
      <c r="D546" t="inlineStr">
        <is>
          <t>JÄMTLANDS LÄN</t>
        </is>
      </c>
      <c r="E546" t="inlineStr">
        <is>
          <t>ÖSTERSUND</t>
        </is>
      </c>
      <c r="F546" t="inlineStr">
        <is>
          <t>Kommuner</t>
        </is>
      </c>
      <c r="G546" t="n">
        <v>0.2</v>
      </c>
      <c r="H546" t="n">
        <v>0</v>
      </c>
      <c r="I546" t="n">
        <v>0</v>
      </c>
      <c r="J546" t="n">
        <v>0</v>
      </c>
      <c r="K546" t="n">
        <v>0</v>
      </c>
      <c r="L546" t="n">
        <v>0</v>
      </c>
      <c r="M546" t="n">
        <v>0</v>
      </c>
      <c r="N546" t="n">
        <v>0</v>
      </c>
      <c r="O546" t="n">
        <v>0</v>
      </c>
      <c r="P546" t="n">
        <v>0</v>
      </c>
      <c r="Q546" t="n">
        <v>0</v>
      </c>
      <c r="R546" s="2" t="inlineStr"/>
    </row>
    <row r="547" ht="15" customHeight="1">
      <c r="A547" t="inlineStr">
        <is>
          <t>A 14831-2025</t>
        </is>
      </c>
      <c r="B547" s="1" t="n">
        <v>45743.37109953703</v>
      </c>
      <c r="C547" s="1" t="n">
        <v>46013</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49592-2024</t>
        </is>
      </c>
      <c r="B548" s="1" t="n">
        <v>45596.55266203704</v>
      </c>
      <c r="C548" s="1" t="n">
        <v>46013</v>
      </c>
      <c r="D548" t="inlineStr">
        <is>
          <t>JÄMTLANDS LÄN</t>
        </is>
      </c>
      <c r="E548" t="inlineStr">
        <is>
          <t>ÖSTERSUND</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56847-2024</t>
        </is>
      </c>
      <c r="B549" s="1" t="n">
        <v>45628.53381944444</v>
      </c>
      <c r="C549" s="1" t="n">
        <v>46013</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44798-2023</t>
        </is>
      </c>
      <c r="B550" s="1" t="n">
        <v>45190</v>
      </c>
      <c r="C550" s="1" t="n">
        <v>46013</v>
      </c>
      <c r="D550" t="inlineStr">
        <is>
          <t>JÄMTLANDS LÄN</t>
        </is>
      </c>
      <c r="E550" t="inlineStr">
        <is>
          <t>ÖSTERSUND</t>
        </is>
      </c>
      <c r="G550" t="n">
        <v>1.1</v>
      </c>
      <c r="H550" t="n">
        <v>0</v>
      </c>
      <c r="I550" t="n">
        <v>0</v>
      </c>
      <c r="J550" t="n">
        <v>0</v>
      </c>
      <c r="K550" t="n">
        <v>0</v>
      </c>
      <c r="L550" t="n">
        <v>0</v>
      </c>
      <c r="M550" t="n">
        <v>0</v>
      </c>
      <c r="N550" t="n">
        <v>0</v>
      </c>
      <c r="O550" t="n">
        <v>0</v>
      </c>
      <c r="P550" t="n">
        <v>0</v>
      </c>
      <c r="Q550" t="n">
        <v>0</v>
      </c>
      <c r="R550" s="2" t="inlineStr"/>
    </row>
    <row r="551" ht="15" customHeight="1">
      <c r="A551" t="inlineStr">
        <is>
          <t>A 61376-2024</t>
        </is>
      </c>
      <c r="B551" s="1" t="n">
        <v>45646.39434027778</v>
      </c>
      <c r="C551" s="1" t="n">
        <v>46013</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49788-2024</t>
        </is>
      </c>
      <c r="B552" s="1" t="n">
        <v>45597.36623842592</v>
      </c>
      <c r="C552" s="1" t="n">
        <v>46013</v>
      </c>
      <c r="D552" t="inlineStr">
        <is>
          <t>JÄMTLANDS LÄN</t>
        </is>
      </c>
      <c r="E552" t="inlineStr">
        <is>
          <t>ÖSTERSUND</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58406-2024</t>
        </is>
      </c>
      <c r="B553" s="1" t="n">
        <v>45634.70898148148</v>
      </c>
      <c r="C553" s="1" t="n">
        <v>46013</v>
      </c>
      <c r="D553" t="inlineStr">
        <is>
          <t>JÄMTLANDS LÄN</t>
        </is>
      </c>
      <c r="E553" t="inlineStr">
        <is>
          <t>ÖSTERSUND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61002-2024</t>
        </is>
      </c>
      <c r="B554" s="1" t="n">
        <v>45645.44158564815</v>
      </c>
      <c r="C554" s="1" t="n">
        <v>46013</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33501-2023</t>
        </is>
      </c>
      <c r="B555" s="1" t="n">
        <v>45118</v>
      </c>
      <c r="C555" s="1" t="n">
        <v>46013</v>
      </c>
      <c r="D555" t="inlineStr">
        <is>
          <t>JÄMTLANDS LÄN</t>
        </is>
      </c>
      <c r="E555" t="inlineStr">
        <is>
          <t>ÖSTERSUND</t>
        </is>
      </c>
      <c r="G555" t="n">
        <v>5.8</v>
      </c>
      <c r="H555" t="n">
        <v>0</v>
      </c>
      <c r="I555" t="n">
        <v>0</v>
      </c>
      <c r="J555" t="n">
        <v>0</v>
      </c>
      <c r="K555" t="n">
        <v>0</v>
      </c>
      <c r="L555" t="n">
        <v>0</v>
      </c>
      <c r="M555" t="n">
        <v>0</v>
      </c>
      <c r="N555" t="n">
        <v>0</v>
      </c>
      <c r="O555" t="n">
        <v>0</v>
      </c>
      <c r="P555" t="n">
        <v>0</v>
      </c>
      <c r="Q555" t="n">
        <v>0</v>
      </c>
      <c r="R555" s="2" t="inlineStr"/>
    </row>
    <row r="556" ht="15" customHeight="1">
      <c r="A556" t="inlineStr">
        <is>
          <t>A 231-2022</t>
        </is>
      </c>
      <c r="B556" s="1" t="n">
        <v>44564.93909722222</v>
      </c>
      <c r="C556" s="1" t="n">
        <v>46013</v>
      </c>
      <c r="D556" t="inlineStr">
        <is>
          <t>JÄMTLANDS LÄN</t>
        </is>
      </c>
      <c r="E556" t="inlineStr">
        <is>
          <t>ÖSTERSUND</t>
        </is>
      </c>
      <c r="G556" t="n">
        <v>1.9</v>
      </c>
      <c r="H556" t="n">
        <v>0</v>
      </c>
      <c r="I556" t="n">
        <v>0</v>
      </c>
      <c r="J556" t="n">
        <v>0</v>
      </c>
      <c r="K556" t="n">
        <v>0</v>
      </c>
      <c r="L556" t="n">
        <v>0</v>
      </c>
      <c r="M556" t="n">
        <v>0</v>
      </c>
      <c r="N556" t="n">
        <v>0</v>
      </c>
      <c r="O556" t="n">
        <v>0</v>
      </c>
      <c r="P556" t="n">
        <v>0</v>
      </c>
      <c r="Q556" t="n">
        <v>0</v>
      </c>
      <c r="R556" s="2" t="inlineStr"/>
    </row>
    <row r="557" ht="15" customHeight="1">
      <c r="A557" t="inlineStr">
        <is>
          <t>A 52854-2024</t>
        </is>
      </c>
      <c r="B557" s="1" t="n">
        <v>45610.61030092592</v>
      </c>
      <c r="C557" s="1" t="n">
        <v>46013</v>
      </c>
      <c r="D557" t="inlineStr">
        <is>
          <t>JÄMTLANDS LÄN</t>
        </is>
      </c>
      <c r="E557" t="inlineStr">
        <is>
          <t>ÖSTERSUND</t>
        </is>
      </c>
      <c r="G557" t="n">
        <v>2.5</v>
      </c>
      <c r="H557" t="n">
        <v>0</v>
      </c>
      <c r="I557" t="n">
        <v>0</v>
      </c>
      <c r="J557" t="n">
        <v>0</v>
      </c>
      <c r="K557" t="n">
        <v>0</v>
      </c>
      <c r="L557" t="n">
        <v>0</v>
      </c>
      <c r="M557" t="n">
        <v>0</v>
      </c>
      <c r="N557" t="n">
        <v>0</v>
      </c>
      <c r="O557" t="n">
        <v>0</v>
      </c>
      <c r="P557" t="n">
        <v>0</v>
      </c>
      <c r="Q557" t="n">
        <v>0</v>
      </c>
      <c r="R557" s="2" t="inlineStr"/>
    </row>
    <row r="558" ht="15" customHeight="1">
      <c r="A558" t="inlineStr">
        <is>
          <t>A 8216-2025</t>
        </is>
      </c>
      <c r="B558" s="1" t="n">
        <v>45708.44947916667</v>
      </c>
      <c r="C558" s="1" t="n">
        <v>46013</v>
      </c>
      <c r="D558" t="inlineStr">
        <is>
          <t>JÄMTLANDS LÄN</t>
        </is>
      </c>
      <c r="E558" t="inlineStr">
        <is>
          <t>ÖSTERSUND</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3615-2025</t>
        </is>
      </c>
      <c r="B559" s="1" t="n">
        <v>45681.36493055556</v>
      </c>
      <c r="C559" s="1" t="n">
        <v>46013</v>
      </c>
      <c r="D559" t="inlineStr">
        <is>
          <t>JÄMTLANDS LÄN</t>
        </is>
      </c>
      <c r="E559" t="inlineStr">
        <is>
          <t>ÖSTERSUND</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3651-2025</t>
        </is>
      </c>
      <c r="B560" s="1" t="n">
        <v>45681.40689814815</v>
      </c>
      <c r="C560" s="1" t="n">
        <v>46013</v>
      </c>
      <c r="D560" t="inlineStr">
        <is>
          <t>JÄMTLANDS LÄN</t>
        </is>
      </c>
      <c r="E560" t="inlineStr">
        <is>
          <t>ÖSTERSUND</t>
        </is>
      </c>
      <c r="F560" t="inlineStr">
        <is>
          <t>SCA</t>
        </is>
      </c>
      <c r="G560" t="n">
        <v>9.6</v>
      </c>
      <c r="H560" t="n">
        <v>0</v>
      </c>
      <c r="I560" t="n">
        <v>0</v>
      </c>
      <c r="J560" t="n">
        <v>0</v>
      </c>
      <c r="K560" t="n">
        <v>0</v>
      </c>
      <c r="L560" t="n">
        <v>0</v>
      </c>
      <c r="M560" t="n">
        <v>0</v>
      </c>
      <c r="N560" t="n">
        <v>0</v>
      </c>
      <c r="O560" t="n">
        <v>0</v>
      </c>
      <c r="P560" t="n">
        <v>0</v>
      </c>
      <c r="Q560" t="n">
        <v>0</v>
      </c>
      <c r="R560" s="2" t="inlineStr"/>
    </row>
    <row r="561" ht="15" customHeight="1">
      <c r="A561" t="inlineStr">
        <is>
          <t>A 3664-2025</t>
        </is>
      </c>
      <c r="B561" s="1" t="n">
        <v>45681.4275462963</v>
      </c>
      <c r="C561" s="1" t="n">
        <v>46013</v>
      </c>
      <c r="D561" t="inlineStr">
        <is>
          <t>JÄMTLANDS LÄN</t>
        </is>
      </c>
      <c r="E561" t="inlineStr">
        <is>
          <t>ÖSTERSUND</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12429-2025</t>
        </is>
      </c>
      <c r="B562" s="1" t="n">
        <v>45730.45930555555</v>
      </c>
      <c r="C562" s="1" t="n">
        <v>46013</v>
      </c>
      <c r="D562" t="inlineStr">
        <is>
          <t>JÄMTLANDS LÄN</t>
        </is>
      </c>
      <c r="E562" t="inlineStr">
        <is>
          <t>ÖSTERSUND</t>
        </is>
      </c>
      <c r="F562" t="inlineStr">
        <is>
          <t>Övriga Aktiebolag</t>
        </is>
      </c>
      <c r="G562" t="n">
        <v>4.4</v>
      </c>
      <c r="H562" t="n">
        <v>0</v>
      </c>
      <c r="I562" t="n">
        <v>0</v>
      </c>
      <c r="J562" t="n">
        <v>0</v>
      </c>
      <c r="K562" t="n">
        <v>0</v>
      </c>
      <c r="L562" t="n">
        <v>0</v>
      </c>
      <c r="M562" t="n">
        <v>0</v>
      </c>
      <c r="N562" t="n">
        <v>0</v>
      </c>
      <c r="O562" t="n">
        <v>0</v>
      </c>
      <c r="P562" t="n">
        <v>0</v>
      </c>
      <c r="Q562" t="n">
        <v>0</v>
      </c>
      <c r="R562" s="2" t="inlineStr"/>
    </row>
    <row r="563" ht="15" customHeight="1">
      <c r="A563" t="inlineStr">
        <is>
          <t>A 5140-2025</t>
        </is>
      </c>
      <c r="B563" s="1" t="n">
        <v>45691</v>
      </c>
      <c r="C563" s="1" t="n">
        <v>46013</v>
      </c>
      <c r="D563" t="inlineStr">
        <is>
          <t>JÄMTLANDS LÄN</t>
        </is>
      </c>
      <c r="E563" t="inlineStr">
        <is>
          <t>ÖSTERSUND</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29703-2023</t>
        </is>
      </c>
      <c r="B564" s="1" t="n">
        <v>45107</v>
      </c>
      <c r="C564" s="1" t="n">
        <v>46013</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18429-2025</t>
        </is>
      </c>
      <c r="B565" s="1" t="n">
        <v>45762.63375</v>
      </c>
      <c r="C565" s="1" t="n">
        <v>46013</v>
      </c>
      <c r="D565" t="inlineStr">
        <is>
          <t>JÄMTLANDS LÄN</t>
        </is>
      </c>
      <c r="E565" t="inlineStr">
        <is>
          <t>ÖSTERSUND</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51479-2023</t>
        </is>
      </c>
      <c r="B566" s="1" t="n">
        <v>45221.92429398148</v>
      </c>
      <c r="C566" s="1" t="n">
        <v>46013</v>
      </c>
      <c r="D566" t="inlineStr">
        <is>
          <t>JÄMTLANDS LÄN</t>
        </is>
      </c>
      <c r="E566" t="inlineStr">
        <is>
          <t>ÖSTERSUND</t>
        </is>
      </c>
      <c r="G566" t="n">
        <v>1.9</v>
      </c>
      <c r="H566" t="n">
        <v>0</v>
      </c>
      <c r="I566" t="n">
        <v>0</v>
      </c>
      <c r="J566" t="n">
        <v>0</v>
      </c>
      <c r="K566" t="n">
        <v>0</v>
      </c>
      <c r="L566" t="n">
        <v>0</v>
      </c>
      <c r="M566" t="n">
        <v>0</v>
      </c>
      <c r="N566" t="n">
        <v>0</v>
      </c>
      <c r="O566" t="n">
        <v>0</v>
      </c>
      <c r="P566" t="n">
        <v>0</v>
      </c>
      <c r="Q566" t="n">
        <v>0</v>
      </c>
      <c r="R566" s="2" t="inlineStr"/>
    </row>
    <row r="567" ht="15" customHeight="1">
      <c r="A567" t="inlineStr">
        <is>
          <t>A 11933-2022</t>
        </is>
      </c>
      <c r="B567" s="1" t="n">
        <v>44635</v>
      </c>
      <c r="C567" s="1" t="n">
        <v>46013</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45980-2023</t>
        </is>
      </c>
      <c r="B568" s="1" t="n">
        <v>45189</v>
      </c>
      <c r="C568" s="1" t="n">
        <v>46013</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53660-2024</t>
        </is>
      </c>
      <c r="B569" s="1" t="n">
        <v>45615.31297453704</v>
      </c>
      <c r="C569" s="1" t="n">
        <v>46013</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19566-2024</t>
        </is>
      </c>
      <c r="B570" s="1" t="n">
        <v>45429.92313657407</v>
      </c>
      <c r="C570" s="1" t="n">
        <v>46013</v>
      </c>
      <c r="D570" t="inlineStr">
        <is>
          <t>JÄMTLANDS LÄN</t>
        </is>
      </c>
      <c r="E570" t="inlineStr">
        <is>
          <t>ÖSTERSUND</t>
        </is>
      </c>
      <c r="G570" t="n">
        <v>0</v>
      </c>
      <c r="H570" t="n">
        <v>0</v>
      </c>
      <c r="I570" t="n">
        <v>0</v>
      </c>
      <c r="J570" t="n">
        <v>0</v>
      </c>
      <c r="K570" t="n">
        <v>0</v>
      </c>
      <c r="L570" t="n">
        <v>0</v>
      </c>
      <c r="M570" t="n">
        <v>0</v>
      </c>
      <c r="N570" t="n">
        <v>0</v>
      </c>
      <c r="O570" t="n">
        <v>0</v>
      </c>
      <c r="P570" t="n">
        <v>0</v>
      </c>
      <c r="Q570" t="n">
        <v>0</v>
      </c>
      <c r="R570" s="2" t="inlineStr"/>
    </row>
    <row r="571" ht="15" customHeight="1">
      <c r="A571" t="inlineStr">
        <is>
          <t>A 21495-2022</t>
        </is>
      </c>
      <c r="B571" s="1" t="n">
        <v>44706</v>
      </c>
      <c r="C571" s="1" t="n">
        <v>46013</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12102-2025</t>
        </is>
      </c>
      <c r="B572" s="1" t="n">
        <v>45729.3425</v>
      </c>
      <c r="C572" s="1" t="n">
        <v>46013</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7005-2025</t>
        </is>
      </c>
      <c r="B573" s="1" t="n">
        <v>45701.60046296296</v>
      </c>
      <c r="C573" s="1" t="n">
        <v>46013</v>
      </c>
      <c r="D573" t="inlineStr">
        <is>
          <t>JÄMTLANDS LÄN</t>
        </is>
      </c>
      <c r="E573" t="inlineStr">
        <is>
          <t>ÖSTERSUND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57556-2024</t>
        </is>
      </c>
      <c r="B574" s="1" t="n">
        <v>45630</v>
      </c>
      <c r="C574" s="1" t="n">
        <v>46013</v>
      </c>
      <c r="D574" t="inlineStr">
        <is>
          <t>JÄMTLANDS LÄN</t>
        </is>
      </c>
      <c r="E574" t="inlineStr">
        <is>
          <t>ÖSTERSUND</t>
        </is>
      </c>
      <c r="G574" t="n">
        <v>5.5</v>
      </c>
      <c r="H574" t="n">
        <v>0</v>
      </c>
      <c r="I574" t="n">
        <v>0</v>
      </c>
      <c r="J574" t="n">
        <v>0</v>
      </c>
      <c r="K574" t="n">
        <v>0</v>
      </c>
      <c r="L574" t="n">
        <v>0</v>
      </c>
      <c r="M574" t="n">
        <v>0</v>
      </c>
      <c r="N574" t="n">
        <v>0</v>
      </c>
      <c r="O574" t="n">
        <v>0</v>
      </c>
      <c r="P574" t="n">
        <v>0</v>
      </c>
      <c r="Q574" t="n">
        <v>0</v>
      </c>
      <c r="R574" s="2" t="inlineStr"/>
    </row>
    <row r="575" ht="15" customHeight="1">
      <c r="A575" t="inlineStr">
        <is>
          <t>A 8389-2025</t>
        </is>
      </c>
      <c r="B575" s="1" t="n">
        <v>45709.36497685185</v>
      </c>
      <c r="C575" s="1" t="n">
        <v>46013</v>
      </c>
      <c r="D575" t="inlineStr">
        <is>
          <t>JÄMTLANDS LÄN</t>
        </is>
      </c>
      <c r="E575" t="inlineStr">
        <is>
          <t>ÖSTERSUND</t>
        </is>
      </c>
      <c r="F575" t="inlineStr">
        <is>
          <t>SCA</t>
        </is>
      </c>
      <c r="G575" t="n">
        <v>6.3</v>
      </c>
      <c r="H575" t="n">
        <v>0</v>
      </c>
      <c r="I575" t="n">
        <v>0</v>
      </c>
      <c r="J575" t="n">
        <v>0</v>
      </c>
      <c r="K575" t="n">
        <v>0</v>
      </c>
      <c r="L575" t="n">
        <v>0</v>
      </c>
      <c r="M575" t="n">
        <v>0</v>
      </c>
      <c r="N575" t="n">
        <v>0</v>
      </c>
      <c r="O575" t="n">
        <v>0</v>
      </c>
      <c r="P575" t="n">
        <v>0</v>
      </c>
      <c r="Q575" t="n">
        <v>0</v>
      </c>
      <c r="R575" s="2" t="inlineStr"/>
    </row>
    <row r="576" ht="15" customHeight="1">
      <c r="A576" t="inlineStr">
        <is>
          <t>A 44048-2024</t>
        </is>
      </c>
      <c r="B576" s="1" t="n">
        <v>45572.59430555555</v>
      </c>
      <c r="C576" s="1" t="n">
        <v>46013</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55235-2023</t>
        </is>
      </c>
      <c r="B577" s="1" t="n">
        <v>45231</v>
      </c>
      <c r="C577" s="1" t="n">
        <v>46013</v>
      </c>
      <c r="D577" t="inlineStr">
        <is>
          <t>JÄMTLANDS LÄN</t>
        </is>
      </c>
      <c r="E577" t="inlineStr">
        <is>
          <t>ÖSTERSUND</t>
        </is>
      </c>
      <c r="F577" t="inlineStr">
        <is>
          <t>SCA</t>
        </is>
      </c>
      <c r="G577" t="n">
        <v>0.4</v>
      </c>
      <c r="H577" t="n">
        <v>0</v>
      </c>
      <c r="I577" t="n">
        <v>0</v>
      </c>
      <c r="J577" t="n">
        <v>0</v>
      </c>
      <c r="K577" t="n">
        <v>0</v>
      </c>
      <c r="L577" t="n">
        <v>0</v>
      </c>
      <c r="M577" t="n">
        <v>0</v>
      </c>
      <c r="N577" t="n">
        <v>0</v>
      </c>
      <c r="O577" t="n">
        <v>0</v>
      </c>
      <c r="P577" t="n">
        <v>0</v>
      </c>
      <c r="Q577" t="n">
        <v>0</v>
      </c>
      <c r="R577" s="2" t="inlineStr"/>
    </row>
    <row r="578" ht="15" customHeight="1">
      <c r="A578" t="inlineStr">
        <is>
          <t>A 4063-2025</t>
        </is>
      </c>
      <c r="B578" s="1" t="n">
        <v>45684</v>
      </c>
      <c r="C578" s="1" t="n">
        <v>46013</v>
      </c>
      <c r="D578" t="inlineStr">
        <is>
          <t>JÄMTLANDS LÄN</t>
        </is>
      </c>
      <c r="E578" t="inlineStr">
        <is>
          <t>ÖSTERSUND</t>
        </is>
      </c>
      <c r="G578" t="n">
        <v>2.9</v>
      </c>
      <c r="H578" t="n">
        <v>0</v>
      </c>
      <c r="I578" t="n">
        <v>0</v>
      </c>
      <c r="J578" t="n">
        <v>0</v>
      </c>
      <c r="K578" t="n">
        <v>0</v>
      </c>
      <c r="L578" t="n">
        <v>0</v>
      </c>
      <c r="M578" t="n">
        <v>0</v>
      </c>
      <c r="N578" t="n">
        <v>0</v>
      </c>
      <c r="O578" t="n">
        <v>0</v>
      </c>
      <c r="P578" t="n">
        <v>0</v>
      </c>
      <c r="Q578" t="n">
        <v>0</v>
      </c>
      <c r="R578" s="2" t="inlineStr"/>
    </row>
    <row r="579" ht="15" customHeight="1">
      <c r="A579" t="inlineStr">
        <is>
          <t>A 7936-2025</t>
        </is>
      </c>
      <c r="B579" s="1" t="n">
        <v>45707</v>
      </c>
      <c r="C579" s="1" t="n">
        <v>46013</v>
      </c>
      <c r="D579" t="inlineStr">
        <is>
          <t>JÄMTLANDS LÄN</t>
        </is>
      </c>
      <c r="E579" t="inlineStr">
        <is>
          <t>ÖSTERSUND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7940-2025</t>
        </is>
      </c>
      <c r="B580" s="1" t="n">
        <v>45707.40493055555</v>
      </c>
      <c r="C580" s="1" t="n">
        <v>46013</v>
      </c>
      <c r="D580" t="inlineStr">
        <is>
          <t>JÄMTLANDS LÄN</t>
        </is>
      </c>
      <c r="E580" t="inlineStr">
        <is>
          <t>ÖSTERSUND</t>
        </is>
      </c>
      <c r="F580" t="inlineStr">
        <is>
          <t>Övriga Aktiebolag</t>
        </is>
      </c>
      <c r="G580" t="n">
        <v>48.1</v>
      </c>
      <c r="H580" t="n">
        <v>0</v>
      </c>
      <c r="I580" t="n">
        <v>0</v>
      </c>
      <c r="J580" t="n">
        <v>0</v>
      </c>
      <c r="K580" t="n">
        <v>0</v>
      </c>
      <c r="L580" t="n">
        <v>0</v>
      </c>
      <c r="M580" t="n">
        <v>0</v>
      </c>
      <c r="N580" t="n">
        <v>0</v>
      </c>
      <c r="O580" t="n">
        <v>0</v>
      </c>
      <c r="P580" t="n">
        <v>0</v>
      </c>
      <c r="Q580" t="n">
        <v>0</v>
      </c>
      <c r="R580" s="2" t="inlineStr"/>
    </row>
    <row r="581" ht="15" customHeight="1">
      <c r="A581" t="inlineStr">
        <is>
          <t>A 12946-2022</t>
        </is>
      </c>
      <c r="B581" s="1" t="n">
        <v>44642.93471064815</v>
      </c>
      <c r="C581" s="1" t="n">
        <v>46013</v>
      </c>
      <c r="D581" t="inlineStr">
        <is>
          <t>JÄMTLANDS LÄN</t>
        </is>
      </c>
      <c r="E581" t="inlineStr">
        <is>
          <t>ÖSTERSUND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79-2025</t>
        </is>
      </c>
      <c r="B582" s="1" t="n">
        <v>45659.44413194444</v>
      </c>
      <c r="C582" s="1" t="n">
        <v>46013</v>
      </c>
      <c r="D582" t="inlineStr">
        <is>
          <t>JÄMTLANDS LÄN</t>
        </is>
      </c>
      <c r="E582" t="inlineStr">
        <is>
          <t>ÖSTERSUND</t>
        </is>
      </c>
      <c r="G582" t="n">
        <v>0.6</v>
      </c>
      <c r="H582" t="n">
        <v>0</v>
      </c>
      <c r="I582" t="n">
        <v>0</v>
      </c>
      <c r="J582" t="n">
        <v>0</v>
      </c>
      <c r="K582" t="n">
        <v>0</v>
      </c>
      <c r="L582" t="n">
        <v>0</v>
      </c>
      <c r="M582" t="n">
        <v>0</v>
      </c>
      <c r="N582" t="n">
        <v>0</v>
      </c>
      <c r="O582" t="n">
        <v>0</v>
      </c>
      <c r="P582" t="n">
        <v>0</v>
      </c>
      <c r="Q582" t="n">
        <v>0</v>
      </c>
      <c r="R582" s="2" t="inlineStr"/>
    </row>
    <row r="583" ht="15" customHeight="1">
      <c r="A583" t="inlineStr">
        <is>
          <t>A 31040-2021</t>
        </is>
      </c>
      <c r="B583" s="1" t="n">
        <v>44368</v>
      </c>
      <c r="C583" s="1" t="n">
        <v>46013</v>
      </c>
      <c r="D583" t="inlineStr">
        <is>
          <t>JÄMTLANDS LÄN</t>
        </is>
      </c>
      <c r="E583" t="inlineStr">
        <is>
          <t>ÖSTERSUND</t>
        </is>
      </c>
      <c r="G583" t="n">
        <v>4.3</v>
      </c>
      <c r="H583" t="n">
        <v>0</v>
      </c>
      <c r="I583" t="n">
        <v>0</v>
      </c>
      <c r="J583" t="n">
        <v>0</v>
      </c>
      <c r="K583" t="n">
        <v>0</v>
      </c>
      <c r="L583" t="n">
        <v>0</v>
      </c>
      <c r="M583" t="n">
        <v>0</v>
      </c>
      <c r="N583" t="n">
        <v>0</v>
      </c>
      <c r="O583" t="n">
        <v>0</v>
      </c>
      <c r="P583" t="n">
        <v>0</v>
      </c>
      <c r="Q583" t="n">
        <v>0</v>
      </c>
      <c r="R583" s="2" t="inlineStr"/>
    </row>
    <row r="584" ht="15" customHeight="1">
      <c r="A584" t="inlineStr">
        <is>
          <t>A 2753-2025</t>
        </is>
      </c>
      <c r="B584" s="1" t="n">
        <v>45677.47302083333</v>
      </c>
      <c r="C584" s="1" t="n">
        <v>46013</v>
      </c>
      <c r="D584" t="inlineStr">
        <is>
          <t>JÄMTLANDS LÄN</t>
        </is>
      </c>
      <c r="E584" t="inlineStr">
        <is>
          <t>ÖSTERSUND</t>
        </is>
      </c>
      <c r="G584" t="n">
        <v>6.4</v>
      </c>
      <c r="H584" t="n">
        <v>0</v>
      </c>
      <c r="I584" t="n">
        <v>0</v>
      </c>
      <c r="J584" t="n">
        <v>0</v>
      </c>
      <c r="K584" t="n">
        <v>0</v>
      </c>
      <c r="L584" t="n">
        <v>0</v>
      </c>
      <c r="M584" t="n">
        <v>0</v>
      </c>
      <c r="N584" t="n">
        <v>0</v>
      </c>
      <c r="O584" t="n">
        <v>0</v>
      </c>
      <c r="P584" t="n">
        <v>0</v>
      </c>
      <c r="Q584" t="n">
        <v>0</v>
      </c>
      <c r="R584" s="2" t="inlineStr"/>
    </row>
    <row r="585" ht="15" customHeight="1">
      <c r="A585" t="inlineStr">
        <is>
          <t>A 44327-2023</t>
        </is>
      </c>
      <c r="B585" s="1" t="n">
        <v>45188</v>
      </c>
      <c r="C585" s="1" t="n">
        <v>46013</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27780-2022</t>
        </is>
      </c>
      <c r="B586" s="1" t="n">
        <v>44743</v>
      </c>
      <c r="C586" s="1" t="n">
        <v>46013</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23555-2022</t>
        </is>
      </c>
      <c r="B587" s="1" t="n">
        <v>44721</v>
      </c>
      <c r="C587" s="1" t="n">
        <v>46013</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10267-2025</t>
        </is>
      </c>
      <c r="B588" s="1" t="n">
        <v>45720.3859375</v>
      </c>
      <c r="C588" s="1" t="n">
        <v>46013</v>
      </c>
      <c r="D588" t="inlineStr">
        <is>
          <t>JÄMTLANDS LÄN</t>
        </is>
      </c>
      <c r="E588" t="inlineStr">
        <is>
          <t>ÖSTERSUND</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10493-2025</t>
        </is>
      </c>
      <c r="B589" s="1" t="n">
        <v>45721.36320601852</v>
      </c>
      <c r="C589" s="1" t="n">
        <v>46013</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3844-2024</t>
        </is>
      </c>
      <c r="B590" s="1" t="n">
        <v>45321</v>
      </c>
      <c r="C590" s="1" t="n">
        <v>46013</v>
      </c>
      <c r="D590" t="inlineStr">
        <is>
          <t>JÄMTLANDS LÄN</t>
        </is>
      </c>
      <c r="E590" t="inlineStr">
        <is>
          <t>ÖSTERSUND</t>
        </is>
      </c>
      <c r="G590" t="n">
        <v>2.2</v>
      </c>
      <c r="H590" t="n">
        <v>0</v>
      </c>
      <c r="I590" t="n">
        <v>0</v>
      </c>
      <c r="J590" t="n">
        <v>0</v>
      </c>
      <c r="K590" t="n">
        <v>0</v>
      </c>
      <c r="L590" t="n">
        <v>0</v>
      </c>
      <c r="M590" t="n">
        <v>0</v>
      </c>
      <c r="N590" t="n">
        <v>0</v>
      </c>
      <c r="O590" t="n">
        <v>0</v>
      </c>
      <c r="P590" t="n">
        <v>0</v>
      </c>
      <c r="Q590" t="n">
        <v>0</v>
      </c>
      <c r="R590" s="2" t="inlineStr"/>
    </row>
    <row r="591" ht="15" customHeight="1">
      <c r="A591" t="inlineStr">
        <is>
          <t>A 59648-2022</t>
        </is>
      </c>
      <c r="B591" s="1" t="n">
        <v>44907</v>
      </c>
      <c r="C591" s="1" t="n">
        <v>46013</v>
      </c>
      <c r="D591" t="inlineStr">
        <is>
          <t>JÄMTLANDS LÄN</t>
        </is>
      </c>
      <c r="E591" t="inlineStr">
        <is>
          <t>ÖSTERSUND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46013</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61791-2023</t>
        </is>
      </c>
      <c r="B593" s="1" t="n">
        <v>45265.95795138889</v>
      </c>
      <c r="C593" s="1" t="n">
        <v>46013</v>
      </c>
      <c r="D593" t="inlineStr">
        <is>
          <t>JÄMTLANDS LÄN</t>
        </is>
      </c>
      <c r="E593" t="inlineStr">
        <is>
          <t>ÖSTERSUND</t>
        </is>
      </c>
      <c r="F593" t="inlineStr">
        <is>
          <t>SCA</t>
        </is>
      </c>
      <c r="G593" t="n">
        <v>11.4</v>
      </c>
      <c r="H593" t="n">
        <v>0</v>
      </c>
      <c r="I593" t="n">
        <v>0</v>
      </c>
      <c r="J593" t="n">
        <v>0</v>
      </c>
      <c r="K593" t="n">
        <v>0</v>
      </c>
      <c r="L593" t="n">
        <v>0</v>
      </c>
      <c r="M593" t="n">
        <v>0</v>
      </c>
      <c r="N593" t="n">
        <v>0</v>
      </c>
      <c r="O593" t="n">
        <v>0</v>
      </c>
      <c r="P593" t="n">
        <v>0</v>
      </c>
      <c r="Q593" t="n">
        <v>0</v>
      </c>
      <c r="R593" s="2" t="inlineStr"/>
    </row>
    <row r="594" ht="15" customHeight="1">
      <c r="A594" t="inlineStr">
        <is>
          <t>A 3255-2025</t>
        </is>
      </c>
      <c r="B594" s="1" t="n">
        <v>45679.55256944444</v>
      </c>
      <c r="C594" s="1" t="n">
        <v>46013</v>
      </c>
      <c r="D594" t="inlineStr">
        <is>
          <t>JÄMTLANDS LÄN</t>
        </is>
      </c>
      <c r="E594" t="inlineStr">
        <is>
          <t>ÖSTERSUND</t>
        </is>
      </c>
      <c r="F594" t="inlineStr">
        <is>
          <t>SCA</t>
        </is>
      </c>
      <c r="G594" t="n">
        <v>16.7</v>
      </c>
      <c r="H594" t="n">
        <v>0</v>
      </c>
      <c r="I594" t="n">
        <v>0</v>
      </c>
      <c r="J594" t="n">
        <v>0</v>
      </c>
      <c r="K594" t="n">
        <v>0</v>
      </c>
      <c r="L594" t="n">
        <v>0</v>
      </c>
      <c r="M594" t="n">
        <v>0</v>
      </c>
      <c r="N594" t="n">
        <v>0</v>
      </c>
      <c r="O594" t="n">
        <v>0</v>
      </c>
      <c r="P594" t="n">
        <v>0</v>
      </c>
      <c r="Q594" t="n">
        <v>0</v>
      </c>
      <c r="R594" s="2" t="inlineStr"/>
    </row>
    <row r="595" ht="15" customHeight="1">
      <c r="A595" t="inlineStr">
        <is>
          <t>A 2615-2024</t>
        </is>
      </c>
      <c r="B595" s="1" t="n">
        <v>45313</v>
      </c>
      <c r="C595" s="1" t="n">
        <v>46013</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1159-2024</t>
        </is>
      </c>
      <c r="B596" s="1" t="n">
        <v>45302.52006944444</v>
      </c>
      <c r="C596" s="1" t="n">
        <v>46013</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35556-2022</t>
        </is>
      </c>
      <c r="B597" s="1" t="n">
        <v>44799</v>
      </c>
      <c r="C597" s="1" t="n">
        <v>46013</v>
      </c>
      <c r="D597" t="inlineStr">
        <is>
          <t>JÄMTLANDS LÄN</t>
        </is>
      </c>
      <c r="E597" t="inlineStr">
        <is>
          <t>ÖSTERSUND</t>
        </is>
      </c>
      <c r="G597" t="n">
        <v>3.6</v>
      </c>
      <c r="H597" t="n">
        <v>0</v>
      </c>
      <c r="I597" t="n">
        <v>0</v>
      </c>
      <c r="J597" t="n">
        <v>0</v>
      </c>
      <c r="K597" t="n">
        <v>0</v>
      </c>
      <c r="L597" t="n">
        <v>0</v>
      </c>
      <c r="M597" t="n">
        <v>0</v>
      </c>
      <c r="N597" t="n">
        <v>0</v>
      </c>
      <c r="O597" t="n">
        <v>0</v>
      </c>
      <c r="P597" t="n">
        <v>0</v>
      </c>
      <c r="Q597" t="n">
        <v>0</v>
      </c>
      <c r="R597" s="2" t="inlineStr"/>
    </row>
    <row r="598" ht="15" customHeight="1">
      <c r="A598" t="inlineStr">
        <is>
          <t>A 55235-2023</t>
        </is>
      </c>
      <c r="B598" s="1" t="n">
        <v>45231</v>
      </c>
      <c r="C598" s="1" t="n">
        <v>46013</v>
      </c>
      <c r="D598" t="inlineStr">
        <is>
          <t>JÄMTLANDS LÄN</t>
        </is>
      </c>
      <c r="E598" t="inlineStr">
        <is>
          <t>ÖSTERSUND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60794-2023</t>
        </is>
      </c>
      <c r="B599" s="1" t="n">
        <v>45260</v>
      </c>
      <c r="C599" s="1" t="n">
        <v>46013</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63099-2023</t>
        </is>
      </c>
      <c r="B600" s="1" t="n">
        <v>45273</v>
      </c>
      <c r="C600" s="1" t="n">
        <v>46013</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46013</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70256-2021</t>
        </is>
      </c>
      <c r="B602" s="1" t="n">
        <v>44533</v>
      </c>
      <c r="C602" s="1" t="n">
        <v>46013</v>
      </c>
      <c r="D602" t="inlineStr">
        <is>
          <t>JÄMTLANDS LÄN</t>
        </is>
      </c>
      <c r="E602" t="inlineStr">
        <is>
          <t>ÖSTERSUND</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8972-2022</t>
        </is>
      </c>
      <c r="B603" s="1" t="n">
        <v>44614.91989583334</v>
      </c>
      <c r="C603" s="1" t="n">
        <v>46013</v>
      </c>
      <c r="D603" t="inlineStr">
        <is>
          <t>JÄMTLANDS LÄN</t>
        </is>
      </c>
      <c r="E603" t="inlineStr">
        <is>
          <t>ÖSTERSUND</t>
        </is>
      </c>
      <c r="G603" t="n">
        <v>0.8</v>
      </c>
      <c r="H603" t="n">
        <v>0</v>
      </c>
      <c r="I603" t="n">
        <v>0</v>
      </c>
      <c r="J603" t="n">
        <v>0</v>
      </c>
      <c r="K603" t="n">
        <v>0</v>
      </c>
      <c r="L603" t="n">
        <v>0</v>
      </c>
      <c r="M603" t="n">
        <v>0</v>
      </c>
      <c r="N603" t="n">
        <v>0</v>
      </c>
      <c r="O603" t="n">
        <v>0</v>
      </c>
      <c r="P603" t="n">
        <v>0</v>
      </c>
      <c r="Q603" t="n">
        <v>0</v>
      </c>
      <c r="R603" s="2" t="inlineStr"/>
    </row>
    <row r="604" ht="15" customHeight="1">
      <c r="A604" t="inlineStr">
        <is>
          <t>A 47627-2024</t>
        </is>
      </c>
      <c r="B604" s="1" t="n">
        <v>45588.3440625</v>
      </c>
      <c r="C604" s="1" t="n">
        <v>46013</v>
      </c>
      <c r="D604" t="inlineStr">
        <is>
          <t>JÄMTLANDS LÄN</t>
        </is>
      </c>
      <c r="E604" t="inlineStr">
        <is>
          <t>ÖSTERSUND</t>
        </is>
      </c>
      <c r="G604" t="n">
        <v>0.8</v>
      </c>
      <c r="H604" t="n">
        <v>0</v>
      </c>
      <c r="I604" t="n">
        <v>0</v>
      </c>
      <c r="J604" t="n">
        <v>0</v>
      </c>
      <c r="K604" t="n">
        <v>0</v>
      </c>
      <c r="L604" t="n">
        <v>0</v>
      </c>
      <c r="M604" t="n">
        <v>0</v>
      </c>
      <c r="N604" t="n">
        <v>0</v>
      </c>
      <c r="O604" t="n">
        <v>0</v>
      </c>
      <c r="P604" t="n">
        <v>0</v>
      </c>
      <c r="Q604" t="n">
        <v>0</v>
      </c>
      <c r="R604" s="2" t="inlineStr"/>
    </row>
    <row r="605" ht="15" customHeight="1">
      <c r="A605" t="inlineStr">
        <is>
          <t>A 47628-2024</t>
        </is>
      </c>
      <c r="B605" s="1" t="n">
        <v>45588.34418981482</v>
      </c>
      <c r="C605" s="1" t="n">
        <v>46013</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45004-2022</t>
        </is>
      </c>
      <c r="B606" s="1" t="n">
        <v>44840</v>
      </c>
      <c r="C606" s="1" t="n">
        <v>46013</v>
      </c>
      <c r="D606" t="inlineStr">
        <is>
          <t>JÄMTLANDS LÄN</t>
        </is>
      </c>
      <c r="E606" t="inlineStr">
        <is>
          <t>ÖSTERSUND</t>
        </is>
      </c>
      <c r="G606" t="n">
        <v>2.5</v>
      </c>
      <c r="H606" t="n">
        <v>0</v>
      </c>
      <c r="I606" t="n">
        <v>0</v>
      </c>
      <c r="J606" t="n">
        <v>0</v>
      </c>
      <c r="K606" t="n">
        <v>0</v>
      </c>
      <c r="L606" t="n">
        <v>0</v>
      </c>
      <c r="M606" t="n">
        <v>0</v>
      </c>
      <c r="N606" t="n">
        <v>0</v>
      </c>
      <c r="O606" t="n">
        <v>0</v>
      </c>
      <c r="P606" t="n">
        <v>0</v>
      </c>
      <c r="Q606" t="n">
        <v>0</v>
      </c>
      <c r="R606" s="2" t="inlineStr"/>
    </row>
    <row r="607" ht="15" customHeight="1">
      <c r="A607" t="inlineStr">
        <is>
          <t>A 53378-2023</t>
        </is>
      </c>
      <c r="B607" s="1" t="n">
        <v>45223</v>
      </c>
      <c r="C607" s="1" t="n">
        <v>46013</v>
      </c>
      <c r="D607" t="inlineStr">
        <is>
          <t>JÄMTLANDS LÄN</t>
        </is>
      </c>
      <c r="E607" t="inlineStr">
        <is>
          <t>ÖSTERSUND</t>
        </is>
      </c>
      <c r="G607" t="n">
        <v>1.5</v>
      </c>
      <c r="H607" t="n">
        <v>0</v>
      </c>
      <c r="I607" t="n">
        <v>0</v>
      </c>
      <c r="J607" t="n">
        <v>0</v>
      </c>
      <c r="K607" t="n">
        <v>0</v>
      </c>
      <c r="L607" t="n">
        <v>0</v>
      </c>
      <c r="M607" t="n">
        <v>0</v>
      </c>
      <c r="N607" t="n">
        <v>0</v>
      </c>
      <c r="O607" t="n">
        <v>0</v>
      </c>
      <c r="P607" t="n">
        <v>0</v>
      </c>
      <c r="Q607" t="n">
        <v>0</v>
      </c>
      <c r="R607" s="2" t="inlineStr"/>
    </row>
    <row r="608" ht="15" customHeight="1">
      <c r="A608" t="inlineStr">
        <is>
          <t>A 2747-2025</t>
        </is>
      </c>
      <c r="B608" s="1" t="n">
        <v>45677.4649537037</v>
      </c>
      <c r="C608" s="1" t="n">
        <v>46013</v>
      </c>
      <c r="D608" t="inlineStr">
        <is>
          <t>JÄMTLANDS LÄN</t>
        </is>
      </c>
      <c r="E608" t="inlineStr">
        <is>
          <t>ÖSTERSUND</t>
        </is>
      </c>
      <c r="F608" t="inlineStr">
        <is>
          <t>Sveaskog</t>
        </is>
      </c>
      <c r="G608" t="n">
        <v>6.4</v>
      </c>
      <c r="H608" t="n">
        <v>0</v>
      </c>
      <c r="I608" t="n">
        <v>0</v>
      </c>
      <c r="J608" t="n">
        <v>0</v>
      </c>
      <c r="K608" t="n">
        <v>0</v>
      </c>
      <c r="L608" t="n">
        <v>0</v>
      </c>
      <c r="M608" t="n">
        <v>0</v>
      </c>
      <c r="N608" t="n">
        <v>0</v>
      </c>
      <c r="O608" t="n">
        <v>0</v>
      </c>
      <c r="P608" t="n">
        <v>0</v>
      </c>
      <c r="Q608" t="n">
        <v>0</v>
      </c>
      <c r="R608" s="2" t="inlineStr"/>
    </row>
    <row r="609" ht="15" customHeight="1">
      <c r="A609" t="inlineStr">
        <is>
          <t>A 33801-2022</t>
        </is>
      </c>
      <c r="B609" s="1" t="n">
        <v>44790</v>
      </c>
      <c r="C609" s="1" t="n">
        <v>46013</v>
      </c>
      <c r="D609" t="inlineStr">
        <is>
          <t>JÄMTLANDS LÄN</t>
        </is>
      </c>
      <c r="E609" t="inlineStr">
        <is>
          <t>ÖSTERSUND</t>
        </is>
      </c>
      <c r="G609" t="n">
        <v>7.6</v>
      </c>
      <c r="H609" t="n">
        <v>0</v>
      </c>
      <c r="I609" t="n">
        <v>0</v>
      </c>
      <c r="J609" t="n">
        <v>0</v>
      </c>
      <c r="K609" t="n">
        <v>0</v>
      </c>
      <c r="L609" t="n">
        <v>0</v>
      </c>
      <c r="M609" t="n">
        <v>0</v>
      </c>
      <c r="N609" t="n">
        <v>0</v>
      </c>
      <c r="O609" t="n">
        <v>0</v>
      </c>
      <c r="P609" t="n">
        <v>0</v>
      </c>
      <c r="Q609" t="n">
        <v>0</v>
      </c>
      <c r="R609" s="2" t="inlineStr"/>
    </row>
    <row r="610" ht="15" customHeight="1">
      <c r="A610" t="inlineStr">
        <is>
          <t>A 27689-2024</t>
        </is>
      </c>
      <c r="B610" s="1" t="n">
        <v>45475.3378125</v>
      </c>
      <c r="C610" s="1" t="n">
        <v>46013</v>
      </c>
      <c r="D610" t="inlineStr">
        <is>
          <t>JÄMTLANDS LÄN</t>
        </is>
      </c>
      <c r="E610" t="inlineStr">
        <is>
          <t>ÖSTERSUND</t>
        </is>
      </c>
      <c r="G610" t="n">
        <v>0.6</v>
      </c>
      <c r="H610" t="n">
        <v>0</v>
      </c>
      <c r="I610" t="n">
        <v>0</v>
      </c>
      <c r="J610" t="n">
        <v>0</v>
      </c>
      <c r="K610" t="n">
        <v>0</v>
      </c>
      <c r="L610" t="n">
        <v>0</v>
      </c>
      <c r="M610" t="n">
        <v>0</v>
      </c>
      <c r="N610" t="n">
        <v>0</v>
      </c>
      <c r="O610" t="n">
        <v>0</v>
      </c>
      <c r="P610" t="n">
        <v>0</v>
      </c>
      <c r="Q610" t="n">
        <v>0</v>
      </c>
      <c r="R610" s="2" t="inlineStr"/>
    </row>
    <row r="611" ht="15" customHeight="1">
      <c r="A611" t="inlineStr">
        <is>
          <t>A 4966-2025</t>
        </is>
      </c>
      <c r="B611" s="1" t="n">
        <v>45690.63628472222</v>
      </c>
      <c r="C611" s="1" t="n">
        <v>46013</v>
      </c>
      <c r="D611" t="inlineStr">
        <is>
          <t>JÄMTLANDS LÄN</t>
        </is>
      </c>
      <c r="E611" t="inlineStr">
        <is>
          <t>ÖSTERSUND</t>
        </is>
      </c>
      <c r="G611" t="n">
        <v>3.4</v>
      </c>
      <c r="H611" t="n">
        <v>0</v>
      </c>
      <c r="I611" t="n">
        <v>0</v>
      </c>
      <c r="J611" t="n">
        <v>0</v>
      </c>
      <c r="K611" t="n">
        <v>0</v>
      </c>
      <c r="L611" t="n">
        <v>0</v>
      </c>
      <c r="M611" t="n">
        <v>0</v>
      </c>
      <c r="N611" t="n">
        <v>0</v>
      </c>
      <c r="O611" t="n">
        <v>0</v>
      </c>
      <c r="P611" t="n">
        <v>0</v>
      </c>
      <c r="Q611" t="n">
        <v>0</v>
      </c>
      <c r="R611" s="2" t="inlineStr"/>
    </row>
    <row r="612" ht="15" customHeight="1">
      <c r="A612" t="inlineStr">
        <is>
          <t>A 6877-2024</t>
        </is>
      </c>
      <c r="B612" s="1" t="n">
        <v>45342</v>
      </c>
      <c r="C612" s="1" t="n">
        <v>46013</v>
      </c>
      <c r="D612" t="inlineStr">
        <is>
          <t>JÄMTLANDS LÄN</t>
        </is>
      </c>
      <c r="E612" t="inlineStr">
        <is>
          <t>ÖSTERSUND</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4136-2023</t>
        </is>
      </c>
      <c r="B613" s="1" t="n">
        <v>44952</v>
      </c>
      <c r="C613" s="1" t="n">
        <v>46013</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4872-2023</t>
        </is>
      </c>
      <c r="B614" s="1" t="n">
        <v>44957</v>
      </c>
      <c r="C614" s="1" t="n">
        <v>46013</v>
      </c>
      <c r="D614" t="inlineStr">
        <is>
          <t>JÄMTLANDS LÄN</t>
        </is>
      </c>
      <c r="E614" t="inlineStr">
        <is>
          <t>ÖSTERSUND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13921-2023</t>
        </is>
      </c>
      <c r="B615" s="1" t="n">
        <v>45008</v>
      </c>
      <c r="C615" s="1" t="n">
        <v>46013</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11877-2024</t>
        </is>
      </c>
      <c r="B616" s="1" t="n">
        <v>45376</v>
      </c>
      <c r="C616" s="1" t="n">
        <v>46013</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61653-2022</t>
        </is>
      </c>
      <c r="B617" s="1" t="n">
        <v>44916</v>
      </c>
      <c r="C617" s="1" t="n">
        <v>46013</v>
      </c>
      <c r="D617" t="inlineStr">
        <is>
          <t>JÄMTLANDS LÄN</t>
        </is>
      </c>
      <c r="E617" t="inlineStr">
        <is>
          <t>ÖSTERSUND</t>
        </is>
      </c>
      <c r="G617" t="n">
        <v>7.6</v>
      </c>
      <c r="H617" t="n">
        <v>0</v>
      </c>
      <c r="I617" t="n">
        <v>0</v>
      </c>
      <c r="J617" t="n">
        <v>0</v>
      </c>
      <c r="K617" t="n">
        <v>0</v>
      </c>
      <c r="L617" t="n">
        <v>0</v>
      </c>
      <c r="M617" t="n">
        <v>0</v>
      </c>
      <c r="N617" t="n">
        <v>0</v>
      </c>
      <c r="O617" t="n">
        <v>0</v>
      </c>
      <c r="P617" t="n">
        <v>0</v>
      </c>
      <c r="Q617" t="n">
        <v>0</v>
      </c>
      <c r="R617" s="2" t="inlineStr"/>
    </row>
    <row r="618" ht="15" customHeight="1">
      <c r="A618" t="inlineStr">
        <is>
          <t>A 12285-2022</t>
        </is>
      </c>
      <c r="B618" s="1" t="n">
        <v>44637</v>
      </c>
      <c r="C618" s="1" t="n">
        <v>46013</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56067-2022</t>
        </is>
      </c>
      <c r="B619" s="1" t="n">
        <v>44889.59378472222</v>
      </c>
      <c r="C619" s="1" t="n">
        <v>46013</v>
      </c>
      <c r="D619" t="inlineStr">
        <is>
          <t>JÄMTLANDS LÄN</t>
        </is>
      </c>
      <c r="E619" t="inlineStr">
        <is>
          <t>ÖSTERSUND</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53802-2022</t>
        </is>
      </c>
      <c r="B620" s="1" t="n">
        <v>44875</v>
      </c>
      <c r="C620" s="1" t="n">
        <v>46013</v>
      </c>
      <c r="D620" t="inlineStr">
        <is>
          <t>JÄMTLANDS LÄN</t>
        </is>
      </c>
      <c r="E620" t="inlineStr">
        <is>
          <t>ÖSTERSUND</t>
        </is>
      </c>
      <c r="G620" t="n">
        <v>0.2</v>
      </c>
      <c r="H620" t="n">
        <v>0</v>
      </c>
      <c r="I620" t="n">
        <v>0</v>
      </c>
      <c r="J620" t="n">
        <v>0</v>
      </c>
      <c r="K620" t="n">
        <v>0</v>
      </c>
      <c r="L620" t="n">
        <v>0</v>
      </c>
      <c r="M620" t="n">
        <v>0</v>
      </c>
      <c r="N620" t="n">
        <v>0</v>
      </c>
      <c r="O620" t="n">
        <v>0</v>
      </c>
      <c r="P620" t="n">
        <v>0</v>
      </c>
      <c r="Q620" t="n">
        <v>0</v>
      </c>
      <c r="R620" s="2" t="inlineStr"/>
    </row>
    <row r="621" ht="15" customHeight="1">
      <c r="A621" t="inlineStr">
        <is>
          <t>A 8423-2023</t>
        </is>
      </c>
      <c r="B621" s="1" t="n">
        <v>44977</v>
      </c>
      <c r="C621" s="1" t="n">
        <v>46013</v>
      </c>
      <c r="D621" t="inlineStr">
        <is>
          <t>JÄMTLANDS LÄN</t>
        </is>
      </c>
      <c r="E621" t="inlineStr">
        <is>
          <t>ÖSTERSUND</t>
        </is>
      </c>
      <c r="F621" t="inlineStr">
        <is>
          <t>Övriga Aktiebolag</t>
        </is>
      </c>
      <c r="G621" t="n">
        <v>53.1</v>
      </c>
      <c r="H621" t="n">
        <v>0</v>
      </c>
      <c r="I621" t="n">
        <v>0</v>
      </c>
      <c r="J621" t="n">
        <v>0</v>
      </c>
      <c r="K621" t="n">
        <v>0</v>
      </c>
      <c r="L621" t="n">
        <v>0</v>
      </c>
      <c r="M621" t="n">
        <v>0</v>
      </c>
      <c r="N621" t="n">
        <v>0</v>
      </c>
      <c r="O621" t="n">
        <v>0</v>
      </c>
      <c r="P621" t="n">
        <v>0</v>
      </c>
      <c r="Q621" t="n">
        <v>0</v>
      </c>
      <c r="R621" s="2" t="inlineStr"/>
    </row>
    <row r="622" ht="15" customHeight="1">
      <c r="A622" t="inlineStr">
        <is>
          <t>A 3749-2023</t>
        </is>
      </c>
      <c r="B622" s="1" t="n">
        <v>44949</v>
      </c>
      <c r="C622" s="1" t="n">
        <v>46013</v>
      </c>
      <c r="D622" t="inlineStr">
        <is>
          <t>JÄMTLANDS LÄN</t>
        </is>
      </c>
      <c r="E622" t="inlineStr">
        <is>
          <t>ÖSTERSUND</t>
        </is>
      </c>
      <c r="G622" t="n">
        <v>0.2</v>
      </c>
      <c r="H622" t="n">
        <v>0</v>
      </c>
      <c r="I622" t="n">
        <v>0</v>
      </c>
      <c r="J622" t="n">
        <v>0</v>
      </c>
      <c r="K622" t="n">
        <v>0</v>
      </c>
      <c r="L622" t="n">
        <v>0</v>
      </c>
      <c r="M622" t="n">
        <v>0</v>
      </c>
      <c r="N622" t="n">
        <v>0</v>
      </c>
      <c r="O622" t="n">
        <v>0</v>
      </c>
      <c r="P622" t="n">
        <v>0</v>
      </c>
      <c r="Q622" t="n">
        <v>0</v>
      </c>
      <c r="R622" s="2" t="inlineStr"/>
    </row>
    <row r="623" ht="15" customHeight="1">
      <c r="A623" t="inlineStr">
        <is>
          <t>A 55678-2023</t>
        </is>
      </c>
      <c r="B623" s="1" t="n">
        <v>45239.33032407407</v>
      </c>
      <c r="C623" s="1" t="n">
        <v>46013</v>
      </c>
      <c r="D623" t="inlineStr">
        <is>
          <t>JÄMTLANDS LÄN</t>
        </is>
      </c>
      <c r="E623" t="inlineStr">
        <is>
          <t>ÖSTERSUND</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23563-2022</t>
        </is>
      </c>
      <c r="B624" s="1" t="n">
        <v>44721.47241898148</v>
      </c>
      <c r="C624" s="1" t="n">
        <v>46013</v>
      </c>
      <c r="D624" t="inlineStr">
        <is>
          <t>JÄMTLANDS LÄN</t>
        </is>
      </c>
      <c r="E624" t="inlineStr">
        <is>
          <t>ÖSTERSUND</t>
        </is>
      </c>
      <c r="F624" t="inlineStr">
        <is>
          <t>Övriga Aktiebolag</t>
        </is>
      </c>
      <c r="G624" t="n">
        <v>3.7</v>
      </c>
      <c r="H624" t="n">
        <v>0</v>
      </c>
      <c r="I624" t="n">
        <v>0</v>
      </c>
      <c r="J624" t="n">
        <v>0</v>
      </c>
      <c r="K624" t="n">
        <v>0</v>
      </c>
      <c r="L624" t="n">
        <v>0</v>
      </c>
      <c r="M624" t="n">
        <v>0</v>
      </c>
      <c r="N624" t="n">
        <v>0</v>
      </c>
      <c r="O624" t="n">
        <v>0</v>
      </c>
      <c r="P624" t="n">
        <v>0</v>
      </c>
      <c r="Q624" t="n">
        <v>0</v>
      </c>
      <c r="R624" s="2" t="inlineStr"/>
    </row>
    <row r="625" ht="15" customHeight="1">
      <c r="A625" t="inlineStr">
        <is>
          <t>A 53380-2023</t>
        </is>
      </c>
      <c r="B625" s="1" t="n">
        <v>45223</v>
      </c>
      <c r="C625" s="1" t="n">
        <v>46013</v>
      </c>
      <c r="D625" t="inlineStr">
        <is>
          <t>JÄMTLANDS LÄN</t>
        </is>
      </c>
      <c r="E625" t="inlineStr">
        <is>
          <t>ÖSTERSUND</t>
        </is>
      </c>
      <c r="G625" t="n">
        <v>1.7</v>
      </c>
      <c r="H625" t="n">
        <v>0</v>
      </c>
      <c r="I625" t="n">
        <v>0</v>
      </c>
      <c r="J625" t="n">
        <v>0</v>
      </c>
      <c r="K625" t="n">
        <v>0</v>
      </c>
      <c r="L625" t="n">
        <v>0</v>
      </c>
      <c r="M625" t="n">
        <v>0</v>
      </c>
      <c r="N625" t="n">
        <v>0</v>
      </c>
      <c r="O625" t="n">
        <v>0</v>
      </c>
      <c r="P625" t="n">
        <v>0</v>
      </c>
      <c r="Q625" t="n">
        <v>0</v>
      </c>
      <c r="R625" s="2" t="inlineStr"/>
    </row>
    <row r="626" ht="15" customHeight="1">
      <c r="A626" t="inlineStr">
        <is>
          <t>A 64645-2021</t>
        </is>
      </c>
      <c r="B626" s="1" t="n">
        <v>44511.94629629629</v>
      </c>
      <c r="C626" s="1" t="n">
        <v>46013</v>
      </c>
      <c r="D626" t="inlineStr">
        <is>
          <t>JÄMTLANDS LÄN</t>
        </is>
      </c>
      <c r="E626" t="inlineStr">
        <is>
          <t>ÖSTERSUND</t>
        </is>
      </c>
      <c r="G626" t="n">
        <v>3.2</v>
      </c>
      <c r="H626" t="n">
        <v>0</v>
      </c>
      <c r="I626" t="n">
        <v>0</v>
      </c>
      <c r="J626" t="n">
        <v>0</v>
      </c>
      <c r="K626" t="n">
        <v>0</v>
      </c>
      <c r="L626" t="n">
        <v>0</v>
      </c>
      <c r="M626" t="n">
        <v>0</v>
      </c>
      <c r="N626" t="n">
        <v>0</v>
      </c>
      <c r="O626" t="n">
        <v>0</v>
      </c>
      <c r="P626" t="n">
        <v>0</v>
      </c>
      <c r="Q626" t="n">
        <v>0</v>
      </c>
      <c r="R626" s="2" t="inlineStr"/>
    </row>
    <row r="627" ht="15" customHeight="1">
      <c r="A627" t="inlineStr">
        <is>
          <t>A 54913-2024</t>
        </is>
      </c>
      <c r="B627" s="1" t="n">
        <v>45618.6917824074</v>
      </c>
      <c r="C627" s="1" t="n">
        <v>46013</v>
      </c>
      <c r="D627" t="inlineStr">
        <is>
          <t>JÄMTLANDS LÄN</t>
        </is>
      </c>
      <c r="E627" t="inlineStr">
        <is>
          <t>ÖSTERSUND</t>
        </is>
      </c>
      <c r="G627" t="n">
        <v>4.7</v>
      </c>
      <c r="H627" t="n">
        <v>0</v>
      </c>
      <c r="I627" t="n">
        <v>0</v>
      </c>
      <c r="J627" t="n">
        <v>0</v>
      </c>
      <c r="K627" t="n">
        <v>0</v>
      </c>
      <c r="L627" t="n">
        <v>0</v>
      </c>
      <c r="M627" t="n">
        <v>0</v>
      </c>
      <c r="N627" t="n">
        <v>0</v>
      </c>
      <c r="O627" t="n">
        <v>0</v>
      </c>
      <c r="P627" t="n">
        <v>0</v>
      </c>
      <c r="Q627" t="n">
        <v>0</v>
      </c>
      <c r="R627" s="2" t="inlineStr"/>
    </row>
    <row r="628" ht="15" customHeight="1">
      <c r="A628" t="inlineStr">
        <is>
          <t>A 50218-2024</t>
        </is>
      </c>
      <c r="B628" s="1" t="n">
        <v>45600.53160879629</v>
      </c>
      <c r="C628" s="1" t="n">
        <v>46013</v>
      </c>
      <c r="D628" t="inlineStr">
        <is>
          <t>JÄMTLANDS LÄN</t>
        </is>
      </c>
      <c r="E628" t="inlineStr">
        <is>
          <t>ÖSTERSUND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30602-2023</t>
        </is>
      </c>
      <c r="B629" s="1" t="n">
        <v>45112</v>
      </c>
      <c r="C629" s="1" t="n">
        <v>46013</v>
      </c>
      <c r="D629" t="inlineStr">
        <is>
          <t>JÄMTLANDS LÄN</t>
        </is>
      </c>
      <c r="E629" t="inlineStr">
        <is>
          <t>ÖSTERSUND</t>
        </is>
      </c>
      <c r="G629" t="n">
        <v>0.5</v>
      </c>
      <c r="H629" t="n">
        <v>0</v>
      </c>
      <c r="I629" t="n">
        <v>0</v>
      </c>
      <c r="J629" t="n">
        <v>0</v>
      </c>
      <c r="K629" t="n">
        <v>0</v>
      </c>
      <c r="L629" t="n">
        <v>0</v>
      </c>
      <c r="M629" t="n">
        <v>0</v>
      </c>
      <c r="N629" t="n">
        <v>0</v>
      </c>
      <c r="O629" t="n">
        <v>0</v>
      </c>
      <c r="P629" t="n">
        <v>0</v>
      </c>
      <c r="Q629" t="n">
        <v>0</v>
      </c>
      <c r="R629" s="2" t="inlineStr"/>
    </row>
    <row r="630" ht="15" customHeight="1">
      <c r="A630" t="inlineStr">
        <is>
          <t>A 1893-2023</t>
        </is>
      </c>
      <c r="B630" s="1" t="n">
        <v>44937</v>
      </c>
      <c r="C630" s="1" t="n">
        <v>46013</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17574-2022</t>
        </is>
      </c>
      <c r="B631" s="1" t="n">
        <v>44679.92574074074</v>
      </c>
      <c r="C631" s="1" t="n">
        <v>46013</v>
      </c>
      <c r="D631" t="inlineStr">
        <is>
          <t>JÄMTLANDS LÄN</t>
        </is>
      </c>
      <c r="E631" t="inlineStr">
        <is>
          <t>ÖSTERSUND</t>
        </is>
      </c>
      <c r="G631" t="n">
        <v>0.8</v>
      </c>
      <c r="H631" t="n">
        <v>0</v>
      </c>
      <c r="I631" t="n">
        <v>0</v>
      </c>
      <c r="J631" t="n">
        <v>0</v>
      </c>
      <c r="K631" t="n">
        <v>0</v>
      </c>
      <c r="L631" t="n">
        <v>0</v>
      </c>
      <c r="M631" t="n">
        <v>0</v>
      </c>
      <c r="N631" t="n">
        <v>0</v>
      </c>
      <c r="O631" t="n">
        <v>0</v>
      </c>
      <c r="P631" t="n">
        <v>0</v>
      </c>
      <c r="Q631" t="n">
        <v>0</v>
      </c>
      <c r="R631" s="2" t="inlineStr"/>
    </row>
    <row r="632" ht="15" customHeight="1">
      <c r="A632" t="inlineStr">
        <is>
          <t>A 10305-2023</t>
        </is>
      </c>
      <c r="B632" s="1" t="n">
        <v>44986</v>
      </c>
      <c r="C632" s="1" t="n">
        <v>46013</v>
      </c>
      <c r="D632" t="inlineStr">
        <is>
          <t>JÄMTLANDS LÄN</t>
        </is>
      </c>
      <c r="E632" t="inlineStr">
        <is>
          <t>ÖSTERSUND</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7573-2022</t>
        </is>
      </c>
      <c r="B633" s="1" t="n">
        <v>44607</v>
      </c>
      <c r="C633" s="1" t="n">
        <v>46013</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27343-2022</t>
        </is>
      </c>
      <c r="B634" s="1" t="n">
        <v>44742</v>
      </c>
      <c r="C634" s="1" t="n">
        <v>46013</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43557-2024</t>
        </is>
      </c>
      <c r="B635" s="1" t="n">
        <v>45569.39229166666</v>
      </c>
      <c r="C635" s="1" t="n">
        <v>46013</v>
      </c>
      <c r="D635" t="inlineStr">
        <is>
          <t>JÄMTLANDS LÄN</t>
        </is>
      </c>
      <c r="E635" t="inlineStr">
        <is>
          <t>ÖSTERSUND</t>
        </is>
      </c>
      <c r="G635" t="n">
        <v>3.6</v>
      </c>
      <c r="H635" t="n">
        <v>0</v>
      </c>
      <c r="I635" t="n">
        <v>0</v>
      </c>
      <c r="J635" t="n">
        <v>0</v>
      </c>
      <c r="K635" t="n">
        <v>0</v>
      </c>
      <c r="L635" t="n">
        <v>0</v>
      </c>
      <c r="M635" t="n">
        <v>0</v>
      </c>
      <c r="N635" t="n">
        <v>0</v>
      </c>
      <c r="O635" t="n">
        <v>0</v>
      </c>
      <c r="P635" t="n">
        <v>0</v>
      </c>
      <c r="Q635" t="n">
        <v>0</v>
      </c>
      <c r="R635" s="2" t="inlineStr"/>
    </row>
    <row r="636" ht="15" customHeight="1">
      <c r="A636" t="inlineStr">
        <is>
          <t>A 36406-2023</t>
        </is>
      </c>
      <c r="B636" s="1" t="n">
        <v>45149</v>
      </c>
      <c r="C636" s="1" t="n">
        <v>46013</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59691-2024</t>
        </is>
      </c>
      <c r="B637" s="1" t="n">
        <v>45639.40684027778</v>
      </c>
      <c r="C637" s="1" t="n">
        <v>46013</v>
      </c>
      <c r="D637" t="inlineStr">
        <is>
          <t>JÄMTLANDS LÄN</t>
        </is>
      </c>
      <c r="E637" t="inlineStr">
        <is>
          <t>ÖSTERSUND</t>
        </is>
      </c>
      <c r="F637" t="inlineStr">
        <is>
          <t>SCA</t>
        </is>
      </c>
      <c r="G637" t="n">
        <v>15.9</v>
      </c>
      <c r="H637" t="n">
        <v>0</v>
      </c>
      <c r="I637" t="n">
        <v>0</v>
      </c>
      <c r="J637" t="n">
        <v>0</v>
      </c>
      <c r="K637" t="n">
        <v>0</v>
      </c>
      <c r="L637" t="n">
        <v>0</v>
      </c>
      <c r="M637" t="n">
        <v>0</v>
      </c>
      <c r="N637" t="n">
        <v>0</v>
      </c>
      <c r="O637" t="n">
        <v>0</v>
      </c>
      <c r="P637" t="n">
        <v>0</v>
      </c>
      <c r="Q637" t="n">
        <v>0</v>
      </c>
      <c r="R637" s="2" t="inlineStr"/>
    </row>
    <row r="638" ht="15" customHeight="1">
      <c r="A638" t="inlineStr">
        <is>
          <t>A 12998-2025</t>
        </is>
      </c>
      <c r="B638" s="1" t="n">
        <v>45734.48991898148</v>
      </c>
      <c r="C638" s="1" t="n">
        <v>46013</v>
      </c>
      <c r="D638" t="inlineStr">
        <is>
          <t>JÄMTLANDS LÄN</t>
        </is>
      </c>
      <c r="E638" t="inlineStr">
        <is>
          <t>ÖSTERSUND</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32225-2024</t>
        </is>
      </c>
      <c r="B639" s="1" t="n">
        <v>45511.92825231481</v>
      </c>
      <c r="C639" s="1" t="n">
        <v>46013</v>
      </c>
      <c r="D639" t="inlineStr">
        <is>
          <t>JÄMTLANDS LÄN</t>
        </is>
      </c>
      <c r="E639" t="inlineStr">
        <is>
          <t>ÖSTERSUND</t>
        </is>
      </c>
      <c r="G639" t="n">
        <v>2</v>
      </c>
      <c r="H639" t="n">
        <v>0</v>
      </c>
      <c r="I639" t="n">
        <v>0</v>
      </c>
      <c r="J639" t="n">
        <v>0</v>
      </c>
      <c r="K639" t="n">
        <v>0</v>
      </c>
      <c r="L639" t="n">
        <v>0</v>
      </c>
      <c r="M639" t="n">
        <v>0</v>
      </c>
      <c r="N639" t="n">
        <v>0</v>
      </c>
      <c r="O639" t="n">
        <v>0</v>
      </c>
      <c r="P639" t="n">
        <v>0</v>
      </c>
      <c r="Q639" t="n">
        <v>0</v>
      </c>
      <c r="R639" s="2" t="inlineStr"/>
    </row>
    <row r="640" ht="15" customHeight="1">
      <c r="A640" t="inlineStr">
        <is>
          <t>A 43252-2023</t>
        </is>
      </c>
      <c r="B640" s="1" t="n">
        <v>45183</v>
      </c>
      <c r="C640" s="1" t="n">
        <v>46013</v>
      </c>
      <c r="D640" t="inlineStr">
        <is>
          <t>JÄMTLANDS LÄN</t>
        </is>
      </c>
      <c r="E640" t="inlineStr">
        <is>
          <t>ÖSTERSUND</t>
        </is>
      </c>
      <c r="G640" t="n">
        <v>2.9</v>
      </c>
      <c r="H640" t="n">
        <v>0</v>
      </c>
      <c r="I640" t="n">
        <v>0</v>
      </c>
      <c r="J640" t="n">
        <v>0</v>
      </c>
      <c r="K640" t="n">
        <v>0</v>
      </c>
      <c r="L640" t="n">
        <v>0</v>
      </c>
      <c r="M640" t="n">
        <v>0</v>
      </c>
      <c r="N640" t="n">
        <v>0</v>
      </c>
      <c r="O640" t="n">
        <v>0</v>
      </c>
      <c r="P640" t="n">
        <v>0</v>
      </c>
      <c r="Q640" t="n">
        <v>0</v>
      </c>
      <c r="R640" s="2" t="inlineStr"/>
    </row>
    <row r="641" ht="15" customHeight="1">
      <c r="A641" t="inlineStr">
        <is>
          <t>A 60088-2024</t>
        </is>
      </c>
      <c r="B641" s="1" t="n">
        <v>45642.54847222222</v>
      </c>
      <c r="C641" s="1" t="n">
        <v>46013</v>
      </c>
      <c r="D641" t="inlineStr">
        <is>
          <t>JÄMTLANDS LÄN</t>
        </is>
      </c>
      <c r="E641" t="inlineStr">
        <is>
          <t>ÖSTERSUND</t>
        </is>
      </c>
      <c r="G641" t="n">
        <v>5</v>
      </c>
      <c r="H641" t="n">
        <v>0</v>
      </c>
      <c r="I641" t="n">
        <v>0</v>
      </c>
      <c r="J641" t="n">
        <v>0</v>
      </c>
      <c r="K641" t="n">
        <v>0</v>
      </c>
      <c r="L641" t="n">
        <v>0</v>
      </c>
      <c r="M641" t="n">
        <v>0</v>
      </c>
      <c r="N641" t="n">
        <v>0</v>
      </c>
      <c r="O641" t="n">
        <v>0</v>
      </c>
      <c r="P641" t="n">
        <v>0</v>
      </c>
      <c r="Q641" t="n">
        <v>0</v>
      </c>
      <c r="R641" s="2" t="inlineStr"/>
    </row>
    <row r="642" ht="15" customHeight="1">
      <c r="A642" t="inlineStr">
        <is>
          <t>A 4135-2023</t>
        </is>
      </c>
      <c r="B642" s="1" t="n">
        <v>44952</v>
      </c>
      <c r="C642" s="1" t="n">
        <v>46013</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7549-2025</t>
        </is>
      </c>
      <c r="B643" s="1" t="n">
        <v>45705.57454861111</v>
      </c>
      <c r="C643" s="1" t="n">
        <v>46013</v>
      </c>
      <c r="D643" t="inlineStr">
        <is>
          <t>JÄMTLANDS LÄN</t>
        </is>
      </c>
      <c r="E643" t="inlineStr">
        <is>
          <t>ÖSTERSUND</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6067-2025</t>
        </is>
      </c>
      <c r="B644" s="1" t="n">
        <v>45696.34405092592</v>
      </c>
      <c r="C644" s="1" t="n">
        <v>46013</v>
      </c>
      <c r="D644" t="inlineStr">
        <is>
          <t>JÄMTLANDS LÄN</t>
        </is>
      </c>
      <c r="E644" t="inlineStr">
        <is>
          <t>ÖSTERSUND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54663-2022</t>
        </is>
      </c>
      <c r="B645" s="1" t="n">
        <v>44883.44737268519</v>
      </c>
      <c r="C645" s="1" t="n">
        <v>46013</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18578-2025</t>
        </is>
      </c>
      <c r="B646" s="1" t="n">
        <v>45763</v>
      </c>
      <c r="C646" s="1" t="n">
        <v>46013</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43511-2022</t>
        </is>
      </c>
      <c r="B647" s="1" t="n">
        <v>44837.36724537037</v>
      </c>
      <c r="C647" s="1" t="n">
        <v>46013</v>
      </c>
      <c r="D647" t="inlineStr">
        <is>
          <t>JÄMTLANDS LÄN</t>
        </is>
      </c>
      <c r="E647" t="inlineStr">
        <is>
          <t>ÖSTERSUND</t>
        </is>
      </c>
      <c r="G647" t="n">
        <v>3.7</v>
      </c>
      <c r="H647" t="n">
        <v>0</v>
      </c>
      <c r="I647" t="n">
        <v>0</v>
      </c>
      <c r="J647" t="n">
        <v>0</v>
      </c>
      <c r="K647" t="n">
        <v>0</v>
      </c>
      <c r="L647" t="n">
        <v>0</v>
      </c>
      <c r="M647" t="n">
        <v>0</v>
      </c>
      <c r="N647" t="n">
        <v>0</v>
      </c>
      <c r="O647" t="n">
        <v>0</v>
      </c>
      <c r="P647" t="n">
        <v>0</v>
      </c>
      <c r="Q647" t="n">
        <v>0</v>
      </c>
      <c r="R647" s="2" t="inlineStr"/>
    </row>
    <row r="648" ht="15" customHeight="1">
      <c r="A648" t="inlineStr">
        <is>
          <t>A 2730-2025</t>
        </is>
      </c>
      <c r="B648" s="1" t="n">
        <v>45677.44393518518</v>
      </c>
      <c r="C648" s="1" t="n">
        <v>46013</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42151-2023</t>
        </is>
      </c>
      <c r="B649" s="1" t="n">
        <v>45177.93612268518</v>
      </c>
      <c r="C649" s="1" t="n">
        <v>46013</v>
      </c>
      <c r="D649" t="inlineStr">
        <is>
          <t>JÄMTLANDS LÄN</t>
        </is>
      </c>
      <c r="E649" t="inlineStr">
        <is>
          <t>ÖSTERSUND</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43016-2024</t>
        </is>
      </c>
      <c r="B650" s="1" t="n">
        <v>45567.39192129629</v>
      </c>
      <c r="C650" s="1" t="n">
        <v>46013</v>
      </c>
      <c r="D650" t="inlineStr">
        <is>
          <t>JÄMTLANDS LÄN</t>
        </is>
      </c>
      <c r="E650" t="inlineStr">
        <is>
          <t>ÖSTERSUND</t>
        </is>
      </c>
      <c r="G650" t="n">
        <v>5.3</v>
      </c>
      <c r="H650" t="n">
        <v>0</v>
      </c>
      <c r="I650" t="n">
        <v>0</v>
      </c>
      <c r="J650" t="n">
        <v>0</v>
      </c>
      <c r="K650" t="n">
        <v>0</v>
      </c>
      <c r="L650" t="n">
        <v>0</v>
      </c>
      <c r="M650" t="n">
        <v>0</v>
      </c>
      <c r="N650" t="n">
        <v>0</v>
      </c>
      <c r="O650" t="n">
        <v>0</v>
      </c>
      <c r="P650" t="n">
        <v>0</v>
      </c>
      <c r="Q650" t="n">
        <v>0</v>
      </c>
      <c r="R650" s="2" t="inlineStr"/>
    </row>
    <row r="651" ht="15" customHeight="1">
      <c r="A651" t="inlineStr">
        <is>
          <t>A 51865-2024</t>
        </is>
      </c>
      <c r="B651" s="1" t="n">
        <v>45607.55260416667</v>
      </c>
      <c r="C651" s="1" t="n">
        <v>46013</v>
      </c>
      <c r="D651" t="inlineStr">
        <is>
          <t>JÄMTLANDS LÄN</t>
        </is>
      </c>
      <c r="E651" t="inlineStr">
        <is>
          <t>ÖSTERSUND</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58364-2024</t>
        </is>
      </c>
      <c r="B652" s="1" t="n">
        <v>45632.68814814815</v>
      </c>
      <c r="C652" s="1" t="n">
        <v>46013</v>
      </c>
      <c r="D652" t="inlineStr">
        <is>
          <t>JÄMTLANDS LÄN</t>
        </is>
      </c>
      <c r="E652" t="inlineStr">
        <is>
          <t>ÖSTERSUND</t>
        </is>
      </c>
      <c r="G652" t="n">
        <v>5.5</v>
      </c>
      <c r="H652" t="n">
        <v>0</v>
      </c>
      <c r="I652" t="n">
        <v>0</v>
      </c>
      <c r="J652" t="n">
        <v>0</v>
      </c>
      <c r="K652" t="n">
        <v>0</v>
      </c>
      <c r="L652" t="n">
        <v>0</v>
      </c>
      <c r="M652" t="n">
        <v>0</v>
      </c>
      <c r="N652" t="n">
        <v>0</v>
      </c>
      <c r="O652" t="n">
        <v>0</v>
      </c>
      <c r="P652" t="n">
        <v>0</v>
      </c>
      <c r="Q652" t="n">
        <v>0</v>
      </c>
      <c r="R652" s="2" t="inlineStr"/>
    </row>
    <row r="653" ht="15" customHeight="1">
      <c r="A653" t="inlineStr">
        <is>
          <t>A 44489-2024</t>
        </is>
      </c>
      <c r="B653" s="1" t="n">
        <v>45574.38943287037</v>
      </c>
      <c r="C653" s="1" t="n">
        <v>46013</v>
      </c>
      <c r="D653" t="inlineStr">
        <is>
          <t>JÄMTLANDS LÄN</t>
        </is>
      </c>
      <c r="E653" t="inlineStr">
        <is>
          <t>ÖSTERSUND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56111-2022</t>
        </is>
      </c>
      <c r="B654" s="1" t="n">
        <v>44889</v>
      </c>
      <c r="C654" s="1" t="n">
        <v>46013</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4521-2025</t>
        </is>
      </c>
      <c r="B655" s="1" t="n">
        <v>45686</v>
      </c>
      <c r="C655" s="1" t="n">
        <v>46013</v>
      </c>
      <c r="D655" t="inlineStr">
        <is>
          <t>JÄMTLANDS LÄN</t>
        </is>
      </c>
      <c r="E655" t="inlineStr">
        <is>
          <t>ÖSTERSUND</t>
        </is>
      </c>
      <c r="G655" t="n">
        <v>28.4</v>
      </c>
      <c r="H655" t="n">
        <v>0</v>
      </c>
      <c r="I655" t="n">
        <v>0</v>
      </c>
      <c r="J655" t="n">
        <v>0</v>
      </c>
      <c r="K655" t="n">
        <v>0</v>
      </c>
      <c r="L655" t="n">
        <v>0</v>
      </c>
      <c r="M655" t="n">
        <v>0</v>
      </c>
      <c r="N655" t="n">
        <v>0</v>
      </c>
      <c r="O655" t="n">
        <v>0</v>
      </c>
      <c r="P655" t="n">
        <v>0</v>
      </c>
      <c r="Q655" t="n">
        <v>0</v>
      </c>
      <c r="R655" s="2" t="inlineStr"/>
    </row>
    <row r="656" ht="15" customHeight="1">
      <c r="A656" t="inlineStr">
        <is>
          <t>A 6578-2021</t>
        </is>
      </c>
      <c r="B656" s="1" t="n">
        <v>44236</v>
      </c>
      <c r="C656" s="1" t="n">
        <v>46013</v>
      </c>
      <c r="D656" t="inlineStr">
        <is>
          <t>JÄMTLANDS LÄN</t>
        </is>
      </c>
      <c r="E656" t="inlineStr">
        <is>
          <t>ÖSTERSUND</t>
        </is>
      </c>
      <c r="G656" t="n">
        <v>1.4</v>
      </c>
      <c r="H656" t="n">
        <v>0</v>
      </c>
      <c r="I656" t="n">
        <v>0</v>
      </c>
      <c r="J656" t="n">
        <v>0</v>
      </c>
      <c r="K656" t="n">
        <v>0</v>
      </c>
      <c r="L656" t="n">
        <v>0</v>
      </c>
      <c r="M656" t="n">
        <v>0</v>
      </c>
      <c r="N656" t="n">
        <v>0</v>
      </c>
      <c r="O656" t="n">
        <v>0</v>
      </c>
      <c r="P656" t="n">
        <v>0</v>
      </c>
      <c r="Q656" t="n">
        <v>0</v>
      </c>
      <c r="R656" s="2" t="inlineStr"/>
    </row>
    <row r="657" ht="15" customHeight="1">
      <c r="A657" t="inlineStr">
        <is>
          <t>A 51826-2024</t>
        </is>
      </c>
      <c r="B657" s="1" t="n">
        <v>45607.50137731482</v>
      </c>
      <c r="C657" s="1" t="n">
        <v>46013</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17570-2025</t>
        </is>
      </c>
      <c r="B658" s="1" t="n">
        <v>45757.64563657407</v>
      </c>
      <c r="C658" s="1" t="n">
        <v>46013</v>
      </c>
      <c r="D658" t="inlineStr">
        <is>
          <t>JÄMTLANDS LÄN</t>
        </is>
      </c>
      <c r="E658" t="inlineStr">
        <is>
          <t>ÖSTERSUND</t>
        </is>
      </c>
      <c r="G658" t="n">
        <v>2.4</v>
      </c>
      <c r="H658" t="n">
        <v>0</v>
      </c>
      <c r="I658" t="n">
        <v>0</v>
      </c>
      <c r="J658" t="n">
        <v>0</v>
      </c>
      <c r="K658" t="n">
        <v>0</v>
      </c>
      <c r="L658" t="n">
        <v>0</v>
      </c>
      <c r="M658" t="n">
        <v>0</v>
      </c>
      <c r="N658" t="n">
        <v>0</v>
      </c>
      <c r="O658" t="n">
        <v>0</v>
      </c>
      <c r="P658" t="n">
        <v>0</v>
      </c>
      <c r="Q658" t="n">
        <v>0</v>
      </c>
      <c r="R658" s="2" t="inlineStr"/>
    </row>
    <row r="659" ht="15" customHeight="1">
      <c r="A659" t="inlineStr">
        <is>
          <t>A 60681-2022</t>
        </is>
      </c>
      <c r="B659" s="1" t="n">
        <v>44911.93994212963</v>
      </c>
      <c r="C659" s="1" t="n">
        <v>46013</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48696-2024</t>
        </is>
      </c>
      <c r="B660" s="1" t="n">
        <v>45593.51123842593</v>
      </c>
      <c r="C660" s="1" t="n">
        <v>46013</v>
      </c>
      <c r="D660" t="inlineStr">
        <is>
          <t>JÄMTLANDS LÄN</t>
        </is>
      </c>
      <c r="E660" t="inlineStr">
        <is>
          <t>ÖSTERSUND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22126-2021</t>
        </is>
      </c>
      <c r="B661" s="1" t="n">
        <v>44323</v>
      </c>
      <c r="C661" s="1" t="n">
        <v>46013</v>
      </c>
      <c r="D661" t="inlineStr">
        <is>
          <t>JÄMTLANDS LÄN</t>
        </is>
      </c>
      <c r="E661" t="inlineStr">
        <is>
          <t>ÖSTERSUND</t>
        </is>
      </c>
      <c r="G661" t="n">
        <v>1.4</v>
      </c>
      <c r="H661" t="n">
        <v>0</v>
      </c>
      <c r="I661" t="n">
        <v>0</v>
      </c>
      <c r="J661" t="n">
        <v>0</v>
      </c>
      <c r="K661" t="n">
        <v>0</v>
      </c>
      <c r="L661" t="n">
        <v>0</v>
      </c>
      <c r="M661" t="n">
        <v>0</v>
      </c>
      <c r="N661" t="n">
        <v>0</v>
      </c>
      <c r="O661" t="n">
        <v>0</v>
      </c>
      <c r="P661" t="n">
        <v>0</v>
      </c>
      <c r="Q661" t="n">
        <v>0</v>
      </c>
      <c r="R661" s="2" t="inlineStr"/>
    </row>
    <row r="662" ht="15" customHeight="1">
      <c r="A662" t="inlineStr">
        <is>
          <t>A 39975-2024</t>
        </is>
      </c>
      <c r="B662" s="1" t="n">
        <v>45553.60474537037</v>
      </c>
      <c r="C662" s="1" t="n">
        <v>46013</v>
      </c>
      <c r="D662" t="inlineStr">
        <is>
          <t>JÄMTLANDS LÄN</t>
        </is>
      </c>
      <c r="E662" t="inlineStr">
        <is>
          <t>ÖSTERSUND</t>
        </is>
      </c>
      <c r="G662" t="n">
        <v>3.8</v>
      </c>
      <c r="H662" t="n">
        <v>0</v>
      </c>
      <c r="I662" t="n">
        <v>0</v>
      </c>
      <c r="J662" t="n">
        <v>0</v>
      </c>
      <c r="K662" t="n">
        <v>0</v>
      </c>
      <c r="L662" t="n">
        <v>0</v>
      </c>
      <c r="M662" t="n">
        <v>0</v>
      </c>
      <c r="N662" t="n">
        <v>0</v>
      </c>
      <c r="O662" t="n">
        <v>0</v>
      </c>
      <c r="P662" t="n">
        <v>0</v>
      </c>
      <c r="Q662" t="n">
        <v>0</v>
      </c>
      <c r="R662" s="2" t="inlineStr"/>
    </row>
    <row r="663" ht="15" customHeight="1">
      <c r="A663" t="inlineStr">
        <is>
          <t>A 51936-2023</t>
        </is>
      </c>
      <c r="B663" s="1" t="n">
        <v>45223.5036574074</v>
      </c>
      <c r="C663" s="1" t="n">
        <v>46013</v>
      </c>
      <c r="D663" t="inlineStr">
        <is>
          <t>JÄMTLANDS LÄN</t>
        </is>
      </c>
      <c r="E663" t="inlineStr">
        <is>
          <t>ÖSTERSUND</t>
        </is>
      </c>
      <c r="G663" t="n">
        <v>8.4</v>
      </c>
      <c r="H663" t="n">
        <v>0</v>
      </c>
      <c r="I663" t="n">
        <v>0</v>
      </c>
      <c r="J663" t="n">
        <v>0</v>
      </c>
      <c r="K663" t="n">
        <v>0</v>
      </c>
      <c r="L663" t="n">
        <v>0</v>
      </c>
      <c r="M663" t="n">
        <v>0</v>
      </c>
      <c r="N663" t="n">
        <v>0</v>
      </c>
      <c r="O663" t="n">
        <v>0</v>
      </c>
      <c r="P663" t="n">
        <v>0</v>
      </c>
      <c r="Q663" t="n">
        <v>0</v>
      </c>
      <c r="R663" s="2" t="inlineStr"/>
    </row>
    <row r="664" ht="15" customHeight="1">
      <c r="A664" t="inlineStr">
        <is>
          <t>A 51941-2023</t>
        </is>
      </c>
      <c r="B664" s="1" t="n">
        <v>45223</v>
      </c>
      <c r="C664" s="1" t="n">
        <v>46013</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14523-2023</t>
        </is>
      </c>
      <c r="B665" s="1" t="n">
        <v>45012</v>
      </c>
      <c r="C665" s="1" t="n">
        <v>46013</v>
      </c>
      <c r="D665" t="inlineStr">
        <is>
          <t>JÄMTLANDS LÄN</t>
        </is>
      </c>
      <c r="E665" t="inlineStr">
        <is>
          <t>ÖSTERSUND</t>
        </is>
      </c>
      <c r="G665" t="n">
        <v>4.5</v>
      </c>
      <c r="H665" t="n">
        <v>0</v>
      </c>
      <c r="I665" t="n">
        <v>0</v>
      </c>
      <c r="J665" t="n">
        <v>0</v>
      </c>
      <c r="K665" t="n">
        <v>0</v>
      </c>
      <c r="L665" t="n">
        <v>0</v>
      </c>
      <c r="M665" t="n">
        <v>0</v>
      </c>
      <c r="N665" t="n">
        <v>0</v>
      </c>
      <c r="O665" t="n">
        <v>0</v>
      </c>
      <c r="P665" t="n">
        <v>0</v>
      </c>
      <c r="Q665" t="n">
        <v>0</v>
      </c>
      <c r="R665" s="2" t="inlineStr"/>
    </row>
    <row r="666" ht="15" customHeight="1">
      <c r="A666" t="inlineStr">
        <is>
          <t>A 13282-2023</t>
        </is>
      </c>
      <c r="B666" s="1" t="n">
        <v>45004</v>
      </c>
      <c r="C666" s="1" t="n">
        <v>46013</v>
      </c>
      <c r="D666" t="inlineStr">
        <is>
          <t>JÄMTLANDS LÄN</t>
        </is>
      </c>
      <c r="E666" t="inlineStr">
        <is>
          <t>ÖSTERSUND</t>
        </is>
      </c>
      <c r="G666" t="n">
        <v>28.5</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45236.92776620371</v>
      </c>
      <c r="C667" s="1" t="n">
        <v>46013</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4901-2025</t>
        </is>
      </c>
      <c r="B668" s="1" t="n">
        <v>45688.67965277778</v>
      </c>
      <c r="C668" s="1" t="n">
        <v>46013</v>
      </c>
      <c r="D668" t="inlineStr">
        <is>
          <t>JÄMTLANDS LÄN</t>
        </is>
      </c>
      <c r="E668" t="inlineStr">
        <is>
          <t>ÖSTERSUND</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47727-2023</t>
        </is>
      </c>
      <c r="B669" s="1" t="n">
        <v>45203</v>
      </c>
      <c r="C669" s="1" t="n">
        <v>46013</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47804-2024</t>
        </is>
      </c>
      <c r="B670" s="1" t="n">
        <v>45588.61498842593</v>
      </c>
      <c r="C670" s="1" t="n">
        <v>46013</v>
      </c>
      <c r="D670" t="inlineStr">
        <is>
          <t>JÄMTLANDS LÄN</t>
        </is>
      </c>
      <c r="E670" t="inlineStr">
        <is>
          <t>ÖSTERSUND</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10306-2023</t>
        </is>
      </c>
      <c r="B671" s="1" t="n">
        <v>44986.94196759259</v>
      </c>
      <c r="C671" s="1" t="n">
        <v>46013</v>
      </c>
      <c r="D671" t="inlineStr">
        <is>
          <t>JÄMTLANDS LÄN</t>
        </is>
      </c>
      <c r="E671" t="inlineStr">
        <is>
          <t>ÖSTERSUND</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8261-2025</t>
        </is>
      </c>
      <c r="B672" s="1" t="n">
        <v>45708.50256944444</v>
      </c>
      <c r="C672" s="1" t="n">
        <v>46013</v>
      </c>
      <c r="D672" t="inlineStr">
        <is>
          <t>JÄMTLANDS LÄN</t>
        </is>
      </c>
      <c r="E672" t="inlineStr">
        <is>
          <t>ÖSTERSUND</t>
        </is>
      </c>
      <c r="G672" t="n">
        <v>5.4</v>
      </c>
      <c r="H672" t="n">
        <v>0</v>
      </c>
      <c r="I672" t="n">
        <v>0</v>
      </c>
      <c r="J672" t="n">
        <v>0</v>
      </c>
      <c r="K672" t="n">
        <v>0</v>
      </c>
      <c r="L672" t="n">
        <v>0</v>
      </c>
      <c r="M672" t="n">
        <v>0</v>
      </c>
      <c r="N672" t="n">
        <v>0</v>
      </c>
      <c r="O672" t="n">
        <v>0</v>
      </c>
      <c r="P672" t="n">
        <v>0</v>
      </c>
      <c r="Q672" t="n">
        <v>0</v>
      </c>
      <c r="R672" s="2" t="inlineStr"/>
    </row>
    <row r="673" ht="15" customHeight="1">
      <c r="A673" t="inlineStr">
        <is>
          <t>A 12352-2025</t>
        </is>
      </c>
      <c r="B673" s="1" t="n">
        <v>45730.36263888889</v>
      </c>
      <c r="C673" s="1" t="n">
        <v>46013</v>
      </c>
      <c r="D673" t="inlineStr">
        <is>
          <t>JÄMTLANDS LÄN</t>
        </is>
      </c>
      <c r="E673" t="inlineStr">
        <is>
          <t>ÖSTERSUND</t>
        </is>
      </c>
      <c r="G673" t="n">
        <v>7.8</v>
      </c>
      <c r="H673" t="n">
        <v>0</v>
      </c>
      <c r="I673" t="n">
        <v>0</v>
      </c>
      <c r="J673" t="n">
        <v>0</v>
      </c>
      <c r="K673" t="n">
        <v>0</v>
      </c>
      <c r="L673" t="n">
        <v>0</v>
      </c>
      <c r="M673" t="n">
        <v>0</v>
      </c>
      <c r="N673" t="n">
        <v>0</v>
      </c>
      <c r="O673" t="n">
        <v>0</v>
      </c>
      <c r="P673" t="n">
        <v>0</v>
      </c>
      <c r="Q673" t="n">
        <v>0</v>
      </c>
      <c r="R673" s="2" t="inlineStr"/>
    </row>
    <row r="674" ht="15" customHeight="1">
      <c r="A674" t="inlineStr">
        <is>
          <t>A 296-2023</t>
        </is>
      </c>
      <c r="B674" s="1" t="n">
        <v>44922</v>
      </c>
      <c r="C674" s="1" t="n">
        <v>46013</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5553-2025</t>
        </is>
      </c>
      <c r="B675" s="1" t="n">
        <v>45693</v>
      </c>
      <c r="C675" s="1" t="n">
        <v>46013</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64314-2023</t>
        </is>
      </c>
      <c r="B676" s="1" t="n">
        <v>45280</v>
      </c>
      <c r="C676" s="1" t="n">
        <v>46013</v>
      </c>
      <c r="D676" t="inlineStr">
        <is>
          <t>JÄMTLANDS LÄN</t>
        </is>
      </c>
      <c r="E676" t="inlineStr">
        <is>
          <t>ÖSTERSUND</t>
        </is>
      </c>
      <c r="G676" t="n">
        <v>0.6</v>
      </c>
      <c r="H676" t="n">
        <v>0</v>
      </c>
      <c r="I676" t="n">
        <v>0</v>
      </c>
      <c r="J676" t="n">
        <v>0</v>
      </c>
      <c r="K676" t="n">
        <v>0</v>
      </c>
      <c r="L676" t="n">
        <v>0</v>
      </c>
      <c r="M676" t="n">
        <v>0</v>
      </c>
      <c r="N676" t="n">
        <v>0</v>
      </c>
      <c r="O676" t="n">
        <v>0</v>
      </c>
      <c r="P676" t="n">
        <v>0</v>
      </c>
      <c r="Q676" t="n">
        <v>0</v>
      </c>
      <c r="R676" s="2" t="inlineStr"/>
    </row>
    <row r="677" ht="15" customHeight="1">
      <c r="A677" t="inlineStr">
        <is>
          <t>A 13655-2025</t>
        </is>
      </c>
      <c r="B677" s="1" t="n">
        <v>45736.71956018519</v>
      </c>
      <c r="C677" s="1" t="n">
        <v>46013</v>
      </c>
      <c r="D677" t="inlineStr">
        <is>
          <t>JÄMTLANDS LÄN</t>
        </is>
      </c>
      <c r="E677" t="inlineStr">
        <is>
          <t>ÖSTERSUND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32998-2021</t>
        </is>
      </c>
      <c r="B678" s="1" t="n">
        <v>44375</v>
      </c>
      <c r="C678" s="1" t="n">
        <v>46013</v>
      </c>
      <c r="D678" t="inlineStr">
        <is>
          <t>JÄMTLANDS LÄN</t>
        </is>
      </c>
      <c r="E678" t="inlineStr">
        <is>
          <t>ÖSTERSUND</t>
        </is>
      </c>
      <c r="G678" t="n">
        <v>0.1</v>
      </c>
      <c r="H678" t="n">
        <v>0</v>
      </c>
      <c r="I678" t="n">
        <v>0</v>
      </c>
      <c r="J678" t="n">
        <v>0</v>
      </c>
      <c r="K678" t="n">
        <v>0</v>
      </c>
      <c r="L678" t="n">
        <v>0</v>
      </c>
      <c r="M678" t="n">
        <v>0</v>
      </c>
      <c r="N678" t="n">
        <v>0</v>
      </c>
      <c r="O678" t="n">
        <v>0</v>
      </c>
      <c r="P678" t="n">
        <v>0</v>
      </c>
      <c r="Q678" t="n">
        <v>0</v>
      </c>
      <c r="R678" s="2" t="inlineStr"/>
    </row>
    <row r="679" ht="15" customHeight="1">
      <c r="A679" t="inlineStr">
        <is>
          <t>A 60575-2022</t>
        </is>
      </c>
      <c r="B679" s="1" t="n">
        <v>44911.5662037037</v>
      </c>
      <c r="C679" s="1" t="n">
        <v>46013</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1211-2025</t>
        </is>
      </c>
      <c r="B680" s="1" t="n">
        <v>45667.40662037037</v>
      </c>
      <c r="C680" s="1" t="n">
        <v>46013</v>
      </c>
      <c r="D680" t="inlineStr">
        <is>
          <t>JÄMTLANDS LÄN</t>
        </is>
      </c>
      <c r="E680" t="inlineStr">
        <is>
          <t>ÖSTERSUND</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37597-2023</t>
        </is>
      </c>
      <c r="B681" s="1" t="n">
        <v>45159.42180555555</v>
      </c>
      <c r="C681" s="1" t="n">
        <v>46013</v>
      </c>
      <c r="D681" t="inlineStr">
        <is>
          <t>JÄMTLANDS LÄN</t>
        </is>
      </c>
      <c r="E681" t="inlineStr">
        <is>
          <t>ÖSTERSUND</t>
        </is>
      </c>
      <c r="G681" t="n">
        <v>4.7</v>
      </c>
      <c r="H681" t="n">
        <v>0</v>
      </c>
      <c r="I681" t="n">
        <v>0</v>
      </c>
      <c r="J681" t="n">
        <v>0</v>
      </c>
      <c r="K681" t="n">
        <v>0</v>
      </c>
      <c r="L681" t="n">
        <v>0</v>
      </c>
      <c r="M681" t="n">
        <v>0</v>
      </c>
      <c r="N681" t="n">
        <v>0</v>
      </c>
      <c r="O681" t="n">
        <v>0</v>
      </c>
      <c r="P681" t="n">
        <v>0</v>
      </c>
      <c r="Q681" t="n">
        <v>0</v>
      </c>
      <c r="R681" s="2" t="inlineStr"/>
    </row>
    <row r="682" ht="15" customHeight="1">
      <c r="A682" t="inlineStr">
        <is>
          <t>A 3997-2025</t>
        </is>
      </c>
      <c r="B682" s="1" t="n">
        <v>45684.56725694444</v>
      </c>
      <c r="C682" s="1" t="n">
        <v>46013</v>
      </c>
      <c r="D682" t="inlineStr">
        <is>
          <t>JÄMTLANDS LÄN</t>
        </is>
      </c>
      <c r="E682" t="inlineStr">
        <is>
          <t>ÖSTERSUND</t>
        </is>
      </c>
      <c r="G682" t="n">
        <v>1.9</v>
      </c>
      <c r="H682" t="n">
        <v>0</v>
      </c>
      <c r="I682" t="n">
        <v>0</v>
      </c>
      <c r="J682" t="n">
        <v>0</v>
      </c>
      <c r="K682" t="n">
        <v>0</v>
      </c>
      <c r="L682" t="n">
        <v>0</v>
      </c>
      <c r="M682" t="n">
        <v>0</v>
      </c>
      <c r="N682" t="n">
        <v>0</v>
      </c>
      <c r="O682" t="n">
        <v>0</v>
      </c>
      <c r="P682" t="n">
        <v>0</v>
      </c>
      <c r="Q682" t="n">
        <v>0</v>
      </c>
      <c r="R682" s="2" t="inlineStr"/>
    </row>
    <row r="683" ht="15" customHeight="1">
      <c r="A683" t="inlineStr">
        <is>
          <t>A 54587-2024</t>
        </is>
      </c>
      <c r="B683" s="1" t="n">
        <v>45617.65800925926</v>
      </c>
      <c r="C683" s="1" t="n">
        <v>46013</v>
      </c>
      <c r="D683" t="inlineStr">
        <is>
          <t>JÄMTLANDS LÄN</t>
        </is>
      </c>
      <c r="E683" t="inlineStr">
        <is>
          <t>ÖSTERSUND</t>
        </is>
      </c>
      <c r="G683" t="n">
        <v>14</v>
      </c>
      <c r="H683" t="n">
        <v>0</v>
      </c>
      <c r="I683" t="n">
        <v>0</v>
      </c>
      <c r="J683" t="n">
        <v>0</v>
      </c>
      <c r="K683" t="n">
        <v>0</v>
      </c>
      <c r="L683" t="n">
        <v>0</v>
      </c>
      <c r="M683" t="n">
        <v>0</v>
      </c>
      <c r="N683" t="n">
        <v>0</v>
      </c>
      <c r="O683" t="n">
        <v>0</v>
      </c>
      <c r="P683" t="n">
        <v>0</v>
      </c>
      <c r="Q683" t="n">
        <v>0</v>
      </c>
      <c r="R683" s="2" t="inlineStr"/>
    </row>
    <row r="684" ht="15" customHeight="1">
      <c r="A684" t="inlineStr">
        <is>
          <t>A 61506-2023</t>
        </is>
      </c>
      <c r="B684" s="1" t="n">
        <v>45264</v>
      </c>
      <c r="C684" s="1" t="n">
        <v>46013</v>
      </c>
      <c r="D684" t="inlineStr">
        <is>
          <t>JÄMTLANDS LÄN</t>
        </is>
      </c>
      <c r="E684" t="inlineStr">
        <is>
          <t>ÖSTERSUND</t>
        </is>
      </c>
      <c r="G684" t="n">
        <v>3</v>
      </c>
      <c r="H684" t="n">
        <v>0</v>
      </c>
      <c r="I684" t="n">
        <v>0</v>
      </c>
      <c r="J684" t="n">
        <v>0</v>
      </c>
      <c r="K684" t="n">
        <v>0</v>
      </c>
      <c r="L684" t="n">
        <v>0</v>
      </c>
      <c r="M684" t="n">
        <v>0</v>
      </c>
      <c r="N684" t="n">
        <v>0</v>
      </c>
      <c r="O684" t="n">
        <v>0</v>
      </c>
      <c r="P684" t="n">
        <v>0</v>
      </c>
      <c r="Q684" t="n">
        <v>0</v>
      </c>
      <c r="R684" s="2" t="inlineStr"/>
    </row>
    <row r="685" ht="15" customHeight="1">
      <c r="A685" t="inlineStr">
        <is>
          <t>A 16336-2025</t>
        </is>
      </c>
      <c r="B685" s="1" t="n">
        <v>45751.36519675926</v>
      </c>
      <c r="C685" s="1" t="n">
        <v>46013</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207-2025</t>
        </is>
      </c>
      <c r="B686" s="1" t="n">
        <v>45660.32672453704</v>
      </c>
      <c r="C686" s="1" t="n">
        <v>46013</v>
      </c>
      <c r="D686" t="inlineStr">
        <is>
          <t>JÄMTLANDS LÄN</t>
        </is>
      </c>
      <c r="E686" t="inlineStr">
        <is>
          <t>ÖSTERSUND</t>
        </is>
      </c>
      <c r="G686" t="n">
        <v>4</v>
      </c>
      <c r="H686" t="n">
        <v>0</v>
      </c>
      <c r="I686" t="n">
        <v>0</v>
      </c>
      <c r="J686" t="n">
        <v>0</v>
      </c>
      <c r="K686" t="n">
        <v>0</v>
      </c>
      <c r="L686" t="n">
        <v>0</v>
      </c>
      <c r="M686" t="n">
        <v>0</v>
      </c>
      <c r="N686" t="n">
        <v>0</v>
      </c>
      <c r="O686" t="n">
        <v>0</v>
      </c>
      <c r="P686" t="n">
        <v>0</v>
      </c>
      <c r="Q686" t="n">
        <v>0</v>
      </c>
      <c r="R686" s="2" t="inlineStr"/>
    </row>
    <row r="687" ht="15" customHeight="1">
      <c r="A687" t="inlineStr">
        <is>
          <t>A 61332-2024</t>
        </is>
      </c>
      <c r="B687" s="1" t="n">
        <v>45646.35685185185</v>
      </c>
      <c r="C687" s="1" t="n">
        <v>46013</v>
      </c>
      <c r="D687" t="inlineStr">
        <is>
          <t>JÄMTLANDS LÄN</t>
        </is>
      </c>
      <c r="E687" t="inlineStr">
        <is>
          <t>ÖSTERSUND</t>
        </is>
      </c>
      <c r="G687" t="n">
        <v>3.2</v>
      </c>
      <c r="H687" t="n">
        <v>0</v>
      </c>
      <c r="I687" t="n">
        <v>0</v>
      </c>
      <c r="J687" t="n">
        <v>0</v>
      </c>
      <c r="K687" t="n">
        <v>0</v>
      </c>
      <c r="L687" t="n">
        <v>0</v>
      </c>
      <c r="M687" t="n">
        <v>0</v>
      </c>
      <c r="N687" t="n">
        <v>0</v>
      </c>
      <c r="O687" t="n">
        <v>0</v>
      </c>
      <c r="P687" t="n">
        <v>0</v>
      </c>
      <c r="Q687" t="n">
        <v>0</v>
      </c>
      <c r="R687" s="2" t="inlineStr"/>
    </row>
    <row r="688" ht="15" customHeight="1">
      <c r="A688" t="inlineStr">
        <is>
          <t>A 17709-2024</t>
        </is>
      </c>
      <c r="B688" s="1" t="n">
        <v>45418.4843287037</v>
      </c>
      <c r="C688" s="1" t="n">
        <v>46013</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21060-2025</t>
        </is>
      </c>
      <c r="B689" s="1" t="n">
        <v>45777.58025462963</v>
      </c>
      <c r="C689" s="1" t="n">
        <v>46013</v>
      </c>
      <c r="D689" t="inlineStr">
        <is>
          <t>JÄMTLANDS LÄN</t>
        </is>
      </c>
      <c r="E689" t="inlineStr">
        <is>
          <t>ÖSTERSUND</t>
        </is>
      </c>
      <c r="G689" t="n">
        <v>2.9</v>
      </c>
      <c r="H689" t="n">
        <v>0</v>
      </c>
      <c r="I689" t="n">
        <v>0</v>
      </c>
      <c r="J689" t="n">
        <v>0</v>
      </c>
      <c r="K689" t="n">
        <v>0</v>
      </c>
      <c r="L689" t="n">
        <v>0</v>
      </c>
      <c r="M689" t="n">
        <v>0</v>
      </c>
      <c r="N689" t="n">
        <v>0</v>
      </c>
      <c r="O689" t="n">
        <v>0</v>
      </c>
      <c r="P689" t="n">
        <v>0</v>
      </c>
      <c r="Q689" t="n">
        <v>0</v>
      </c>
      <c r="R689" s="2" t="inlineStr"/>
    </row>
    <row r="690" ht="15" customHeight="1">
      <c r="A690" t="inlineStr">
        <is>
          <t>A 21094-2025</t>
        </is>
      </c>
      <c r="B690" s="1" t="n">
        <v>45777.62665509259</v>
      </c>
      <c r="C690" s="1" t="n">
        <v>46013</v>
      </c>
      <c r="D690" t="inlineStr">
        <is>
          <t>JÄMTLANDS LÄN</t>
        </is>
      </c>
      <c r="E690" t="inlineStr">
        <is>
          <t>ÖSTERSUND</t>
        </is>
      </c>
      <c r="G690" t="n">
        <v>3.3</v>
      </c>
      <c r="H690" t="n">
        <v>0</v>
      </c>
      <c r="I690" t="n">
        <v>0</v>
      </c>
      <c r="J690" t="n">
        <v>0</v>
      </c>
      <c r="K690" t="n">
        <v>0</v>
      </c>
      <c r="L690" t="n">
        <v>0</v>
      </c>
      <c r="M690" t="n">
        <v>0</v>
      </c>
      <c r="N690" t="n">
        <v>0</v>
      </c>
      <c r="O690" t="n">
        <v>0</v>
      </c>
      <c r="P690" t="n">
        <v>0</v>
      </c>
      <c r="Q690" t="n">
        <v>0</v>
      </c>
      <c r="R690" s="2" t="inlineStr"/>
    </row>
    <row r="691" ht="15" customHeight="1">
      <c r="A691" t="inlineStr">
        <is>
          <t>A 21237-2025</t>
        </is>
      </c>
      <c r="B691" s="1" t="n">
        <v>45779</v>
      </c>
      <c r="C691" s="1" t="n">
        <v>46013</v>
      </c>
      <c r="D691" t="inlineStr">
        <is>
          <t>JÄMTLANDS LÄN</t>
        </is>
      </c>
      <c r="E691" t="inlineStr">
        <is>
          <t>ÖSTERSUND</t>
        </is>
      </c>
      <c r="G691" t="n">
        <v>0.4</v>
      </c>
      <c r="H691" t="n">
        <v>0</v>
      </c>
      <c r="I691" t="n">
        <v>0</v>
      </c>
      <c r="J691" t="n">
        <v>0</v>
      </c>
      <c r="K691" t="n">
        <v>0</v>
      </c>
      <c r="L691" t="n">
        <v>0</v>
      </c>
      <c r="M691" t="n">
        <v>0</v>
      </c>
      <c r="N691" t="n">
        <v>0</v>
      </c>
      <c r="O691" t="n">
        <v>0</v>
      </c>
      <c r="P691" t="n">
        <v>0</v>
      </c>
      <c r="Q691" t="n">
        <v>0</v>
      </c>
      <c r="R691" s="2" t="inlineStr"/>
    </row>
    <row r="692" ht="15" customHeight="1">
      <c r="A692" t="inlineStr">
        <is>
          <t>A 14848-2025</t>
        </is>
      </c>
      <c r="B692" s="1" t="n">
        <v>45743.39528935185</v>
      </c>
      <c r="C692" s="1" t="n">
        <v>46013</v>
      </c>
      <c r="D692" t="inlineStr">
        <is>
          <t>JÄMTLANDS LÄN</t>
        </is>
      </c>
      <c r="E692" t="inlineStr">
        <is>
          <t>ÖSTERSUND</t>
        </is>
      </c>
      <c r="G692" t="n">
        <v>12.1</v>
      </c>
      <c r="H692" t="n">
        <v>0</v>
      </c>
      <c r="I692" t="n">
        <v>0</v>
      </c>
      <c r="J692" t="n">
        <v>0</v>
      </c>
      <c r="K692" t="n">
        <v>0</v>
      </c>
      <c r="L692" t="n">
        <v>0</v>
      </c>
      <c r="M692" t="n">
        <v>0</v>
      </c>
      <c r="N692" t="n">
        <v>0</v>
      </c>
      <c r="O692" t="n">
        <v>0</v>
      </c>
      <c r="P692" t="n">
        <v>0</v>
      </c>
      <c r="Q692" t="n">
        <v>0</v>
      </c>
      <c r="R692" s="2" t="inlineStr"/>
    </row>
    <row r="693" ht="15" customHeight="1">
      <c r="A693" t="inlineStr">
        <is>
          <t>A 16812-2025</t>
        </is>
      </c>
      <c r="B693" s="1" t="n">
        <v>45754</v>
      </c>
      <c r="C693" s="1" t="n">
        <v>46013</v>
      </c>
      <c r="D693" t="inlineStr">
        <is>
          <t>JÄMTLANDS LÄN</t>
        </is>
      </c>
      <c r="E693" t="inlineStr">
        <is>
          <t>ÖSTERSUND</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16725-2025</t>
        </is>
      </c>
      <c r="B694" s="1" t="n">
        <v>45754</v>
      </c>
      <c r="C694" s="1" t="n">
        <v>46013</v>
      </c>
      <c r="D694" t="inlineStr">
        <is>
          <t>JÄMTLANDS LÄN</t>
        </is>
      </c>
      <c r="E694" t="inlineStr">
        <is>
          <t>ÖSTERSUND</t>
        </is>
      </c>
      <c r="F694" t="inlineStr">
        <is>
          <t>Övriga statliga verk och myndigheter</t>
        </is>
      </c>
      <c r="G694" t="n">
        <v>3.7</v>
      </c>
      <c r="H694" t="n">
        <v>0</v>
      </c>
      <c r="I694" t="n">
        <v>0</v>
      </c>
      <c r="J694" t="n">
        <v>0</v>
      </c>
      <c r="K694" t="n">
        <v>0</v>
      </c>
      <c r="L694" t="n">
        <v>0</v>
      </c>
      <c r="M694" t="n">
        <v>0</v>
      </c>
      <c r="N694" t="n">
        <v>0</v>
      </c>
      <c r="O694" t="n">
        <v>0</v>
      </c>
      <c r="P694" t="n">
        <v>0</v>
      </c>
      <c r="Q694" t="n">
        <v>0</v>
      </c>
      <c r="R694" s="2" t="inlineStr"/>
    </row>
    <row r="695" ht="15" customHeight="1">
      <c r="A695" t="inlineStr">
        <is>
          <t>A 4480-2025</t>
        </is>
      </c>
      <c r="B695" s="1" t="n">
        <v>45686.64175925926</v>
      </c>
      <c r="C695" s="1" t="n">
        <v>46013</v>
      </c>
      <c r="D695" t="inlineStr">
        <is>
          <t>JÄMTLANDS LÄN</t>
        </is>
      </c>
      <c r="E695" t="inlineStr">
        <is>
          <t>ÖSTERSUND</t>
        </is>
      </c>
      <c r="G695" t="n">
        <v>27.7</v>
      </c>
      <c r="H695" t="n">
        <v>0</v>
      </c>
      <c r="I695" t="n">
        <v>0</v>
      </c>
      <c r="J695" t="n">
        <v>0</v>
      </c>
      <c r="K695" t="n">
        <v>0</v>
      </c>
      <c r="L695" t="n">
        <v>0</v>
      </c>
      <c r="M695" t="n">
        <v>0</v>
      </c>
      <c r="N695" t="n">
        <v>0</v>
      </c>
      <c r="O695" t="n">
        <v>0</v>
      </c>
      <c r="P695" t="n">
        <v>0</v>
      </c>
      <c r="Q695" t="n">
        <v>0</v>
      </c>
      <c r="R695" s="2" t="inlineStr"/>
    </row>
    <row r="696" ht="15" customHeight="1">
      <c r="A696" t="inlineStr">
        <is>
          <t>A 22612-2025</t>
        </is>
      </c>
      <c r="B696" s="1" t="n">
        <v>45789.42538194444</v>
      </c>
      <c r="C696" s="1" t="n">
        <v>46013</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22384-2025</t>
        </is>
      </c>
      <c r="B697" s="1" t="n">
        <v>45786</v>
      </c>
      <c r="C697" s="1" t="n">
        <v>46013</v>
      </c>
      <c r="D697" t="inlineStr">
        <is>
          <t>JÄMTLANDS LÄN</t>
        </is>
      </c>
      <c r="E697" t="inlineStr">
        <is>
          <t>ÖSTERSUND</t>
        </is>
      </c>
      <c r="G697" t="n">
        <v>1.4</v>
      </c>
      <c r="H697" t="n">
        <v>0</v>
      </c>
      <c r="I697" t="n">
        <v>0</v>
      </c>
      <c r="J697" t="n">
        <v>0</v>
      </c>
      <c r="K697" t="n">
        <v>0</v>
      </c>
      <c r="L697" t="n">
        <v>0</v>
      </c>
      <c r="M697" t="n">
        <v>0</v>
      </c>
      <c r="N697" t="n">
        <v>0</v>
      </c>
      <c r="O697" t="n">
        <v>0</v>
      </c>
      <c r="P697" t="n">
        <v>0</v>
      </c>
      <c r="Q697" t="n">
        <v>0</v>
      </c>
      <c r="R697" s="2" t="inlineStr"/>
    </row>
    <row r="698" ht="15" customHeight="1">
      <c r="A698" t="inlineStr">
        <is>
          <t>A 17948-2025</t>
        </is>
      </c>
      <c r="B698" s="1" t="n">
        <v>45760.66995370371</v>
      </c>
      <c r="C698" s="1" t="n">
        <v>46013</v>
      </c>
      <c r="D698" t="inlineStr">
        <is>
          <t>JÄMTLANDS LÄN</t>
        </is>
      </c>
      <c r="E698" t="inlineStr">
        <is>
          <t>ÖSTERSUND</t>
        </is>
      </c>
      <c r="G698" t="n">
        <v>3.9</v>
      </c>
      <c r="H698" t="n">
        <v>0</v>
      </c>
      <c r="I698" t="n">
        <v>0</v>
      </c>
      <c r="J698" t="n">
        <v>0</v>
      </c>
      <c r="K698" t="n">
        <v>0</v>
      </c>
      <c r="L698" t="n">
        <v>0</v>
      </c>
      <c r="M698" t="n">
        <v>0</v>
      </c>
      <c r="N698" t="n">
        <v>0</v>
      </c>
      <c r="O698" t="n">
        <v>0</v>
      </c>
      <c r="P698" t="n">
        <v>0</v>
      </c>
      <c r="Q698" t="n">
        <v>0</v>
      </c>
      <c r="R698" s="2" t="inlineStr"/>
    </row>
    <row r="699" ht="15" customHeight="1">
      <c r="A699" t="inlineStr">
        <is>
          <t>A 4520-2025</t>
        </is>
      </c>
      <c r="B699" s="1" t="n">
        <v>45686.92384259259</v>
      </c>
      <c r="C699" s="1" t="n">
        <v>46013</v>
      </c>
      <c r="D699" t="inlineStr">
        <is>
          <t>JÄMTLANDS LÄN</t>
        </is>
      </c>
      <c r="E699" t="inlineStr">
        <is>
          <t>ÖSTERSUND</t>
        </is>
      </c>
      <c r="G699" t="n">
        <v>15.2</v>
      </c>
      <c r="H699" t="n">
        <v>0</v>
      </c>
      <c r="I699" t="n">
        <v>0</v>
      </c>
      <c r="J699" t="n">
        <v>0</v>
      </c>
      <c r="K699" t="n">
        <v>0</v>
      </c>
      <c r="L699" t="n">
        <v>0</v>
      </c>
      <c r="M699" t="n">
        <v>0</v>
      </c>
      <c r="N699" t="n">
        <v>0</v>
      </c>
      <c r="O699" t="n">
        <v>0</v>
      </c>
      <c r="P699" t="n">
        <v>0</v>
      </c>
      <c r="Q699" t="n">
        <v>0</v>
      </c>
      <c r="R699" s="2" t="inlineStr"/>
    </row>
    <row r="700" ht="15" customHeight="1">
      <c r="A700" t="inlineStr">
        <is>
          <t>A 4523-2025</t>
        </is>
      </c>
      <c r="B700" s="1" t="n">
        <v>45686.92864583333</v>
      </c>
      <c r="C700" s="1" t="n">
        <v>46013</v>
      </c>
      <c r="D700" t="inlineStr">
        <is>
          <t>JÄMTLANDS LÄN</t>
        </is>
      </c>
      <c r="E700" t="inlineStr">
        <is>
          <t>ÖSTERSUND</t>
        </is>
      </c>
      <c r="G700" t="n">
        <v>15.2</v>
      </c>
      <c r="H700" t="n">
        <v>0</v>
      </c>
      <c r="I700" t="n">
        <v>0</v>
      </c>
      <c r="J700" t="n">
        <v>0</v>
      </c>
      <c r="K700" t="n">
        <v>0</v>
      </c>
      <c r="L700" t="n">
        <v>0</v>
      </c>
      <c r="M700" t="n">
        <v>0</v>
      </c>
      <c r="N700" t="n">
        <v>0</v>
      </c>
      <c r="O700" t="n">
        <v>0</v>
      </c>
      <c r="P700" t="n">
        <v>0</v>
      </c>
      <c r="Q700" t="n">
        <v>0</v>
      </c>
      <c r="R700" s="2" t="inlineStr"/>
    </row>
    <row r="701" ht="15" customHeight="1">
      <c r="A701" t="inlineStr">
        <is>
          <t>A 22713-2025</t>
        </is>
      </c>
      <c r="B701" s="1" t="n">
        <v>45789.56414351852</v>
      </c>
      <c r="C701" s="1" t="n">
        <v>46013</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22822-2025</t>
        </is>
      </c>
      <c r="B702" s="1" t="n">
        <v>45789</v>
      </c>
      <c r="C702" s="1" t="n">
        <v>46013</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22920-2025</t>
        </is>
      </c>
      <c r="B703" s="1" t="n">
        <v>45790.43905092592</v>
      </c>
      <c r="C703" s="1" t="n">
        <v>46013</v>
      </c>
      <c r="D703" t="inlineStr">
        <is>
          <t>JÄMTLANDS LÄN</t>
        </is>
      </c>
      <c r="E703" t="inlineStr">
        <is>
          <t>ÖSTERSUND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23249-2025</t>
        </is>
      </c>
      <c r="B704" s="1" t="n">
        <v>45791</v>
      </c>
      <c r="C704" s="1" t="n">
        <v>46013</v>
      </c>
      <c r="D704" t="inlineStr">
        <is>
          <t>JÄMTLANDS LÄN</t>
        </is>
      </c>
      <c r="E704" t="inlineStr">
        <is>
          <t>ÖSTERSUND</t>
        </is>
      </c>
      <c r="G704" t="n">
        <v>10</v>
      </c>
      <c r="H704" t="n">
        <v>0</v>
      </c>
      <c r="I704" t="n">
        <v>0</v>
      </c>
      <c r="J704" t="n">
        <v>0</v>
      </c>
      <c r="K704" t="n">
        <v>0</v>
      </c>
      <c r="L704" t="n">
        <v>0</v>
      </c>
      <c r="M704" t="n">
        <v>0</v>
      </c>
      <c r="N704" t="n">
        <v>0</v>
      </c>
      <c r="O704" t="n">
        <v>0</v>
      </c>
      <c r="P704" t="n">
        <v>0</v>
      </c>
      <c r="Q704" t="n">
        <v>0</v>
      </c>
      <c r="R704" s="2" t="inlineStr"/>
    </row>
    <row r="705" ht="15" customHeight="1">
      <c r="A705" t="inlineStr">
        <is>
          <t>A 23100-2025</t>
        </is>
      </c>
      <c r="B705" s="1" t="n">
        <v>45791.35212962963</v>
      </c>
      <c r="C705" s="1" t="n">
        <v>46013</v>
      </c>
      <c r="D705" t="inlineStr">
        <is>
          <t>JÄMTLANDS LÄN</t>
        </is>
      </c>
      <c r="E705" t="inlineStr">
        <is>
          <t>ÖSTERSUND</t>
        </is>
      </c>
      <c r="G705" t="n">
        <v>4.5</v>
      </c>
      <c r="H705" t="n">
        <v>0</v>
      </c>
      <c r="I705" t="n">
        <v>0</v>
      </c>
      <c r="J705" t="n">
        <v>0</v>
      </c>
      <c r="K705" t="n">
        <v>0</v>
      </c>
      <c r="L705" t="n">
        <v>0</v>
      </c>
      <c r="M705" t="n">
        <v>0</v>
      </c>
      <c r="N705" t="n">
        <v>0</v>
      </c>
      <c r="O705" t="n">
        <v>0</v>
      </c>
      <c r="P705" t="n">
        <v>0</v>
      </c>
      <c r="Q705" t="n">
        <v>0</v>
      </c>
      <c r="R705" s="2" t="inlineStr"/>
    </row>
    <row r="706" ht="15" customHeight="1">
      <c r="A706" t="inlineStr">
        <is>
          <t>A 23078-2025</t>
        </is>
      </c>
      <c r="B706" s="1" t="n">
        <v>45791.27984953704</v>
      </c>
      <c r="C706" s="1" t="n">
        <v>46013</v>
      </c>
      <c r="D706" t="inlineStr">
        <is>
          <t>JÄMTLANDS LÄN</t>
        </is>
      </c>
      <c r="E706" t="inlineStr">
        <is>
          <t>ÖSTERSUND</t>
        </is>
      </c>
      <c r="G706" t="n">
        <v>2.8</v>
      </c>
      <c r="H706" t="n">
        <v>0</v>
      </c>
      <c r="I706" t="n">
        <v>0</v>
      </c>
      <c r="J706" t="n">
        <v>0</v>
      </c>
      <c r="K706" t="n">
        <v>0</v>
      </c>
      <c r="L706" t="n">
        <v>0</v>
      </c>
      <c r="M706" t="n">
        <v>0</v>
      </c>
      <c r="N706" t="n">
        <v>0</v>
      </c>
      <c r="O706" t="n">
        <v>0</v>
      </c>
      <c r="P706" t="n">
        <v>0</v>
      </c>
      <c r="Q706" t="n">
        <v>0</v>
      </c>
      <c r="R706" s="2" t="inlineStr"/>
    </row>
    <row r="707" ht="15" customHeight="1">
      <c r="A707" t="inlineStr">
        <is>
          <t>A 23110-2025</t>
        </is>
      </c>
      <c r="B707" s="1" t="n">
        <v>45791.36526620371</v>
      </c>
      <c r="C707" s="1" t="n">
        <v>46013</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c r="A708" t="inlineStr">
        <is>
          <t>A 7938-2025</t>
        </is>
      </c>
      <c r="B708" s="1" t="n">
        <v>45707</v>
      </c>
      <c r="C708" s="1" t="n">
        <v>46013</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2025-12-22T10:27:25Z</dcterms:created>
  <dcterms:modified xmlns:dcterms="http://purl.org/dc/terms/" xmlns:xsi="http://www.w3.org/2001/XMLSchema-instance" xsi:type="dcterms:W3CDTF">2025-12-22T10:27:25Z</dcterms:modified>
</cp:coreProperties>
</file>