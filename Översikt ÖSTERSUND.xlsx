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45698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45698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45698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45698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45698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45698</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45698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45698</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45698</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45698</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45698</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45698</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45698</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45698</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45698</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45698</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45698</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45698</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45698</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45698</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45698</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45698</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45698</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45698</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45698</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45698</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45698</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45698</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45698</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45698</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45698</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45698</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45698</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45698</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45698</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45698</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45698</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45698</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45698</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45698</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45698</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45698</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45698</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45698</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45698</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45698</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45698</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45698</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45698</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45698</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45698</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45698</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45698</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45698</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45698</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45698</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45698</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45698</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45698</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45698</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45698</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45698</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29135-2022</t>
        </is>
      </c>
      <c r="B65" s="1" t="n">
        <v>44750</v>
      </c>
      <c r="C65" s="1" t="n">
        <v>45698</v>
      </c>
      <c r="D65" t="inlineStr">
        <is>
          <t>JÄMTLANDS LÄN</t>
        </is>
      </c>
      <c r="E65" t="inlineStr">
        <is>
          <t>ÖSTERSUND</t>
        </is>
      </c>
      <c r="G65" t="n">
        <v>2.3</v>
      </c>
      <c r="H65" t="n">
        <v>3</v>
      </c>
      <c r="I65" t="n">
        <v>2</v>
      </c>
      <c r="J65" t="n">
        <v>0</v>
      </c>
      <c r="K65" t="n">
        <v>0</v>
      </c>
      <c r="L65" t="n">
        <v>0</v>
      </c>
      <c r="M65" t="n">
        <v>0</v>
      </c>
      <c r="N65" t="n">
        <v>0</v>
      </c>
      <c r="O65" t="n">
        <v>0</v>
      </c>
      <c r="P65" t="n">
        <v>0</v>
      </c>
      <c r="Q65" t="n">
        <v>4</v>
      </c>
      <c r="R65" s="2" t="inlineStr">
        <is>
          <t>Finbräken
Grönkulla
Fläcknycklar
Blåsippa</t>
        </is>
      </c>
      <c r="S65">
        <f>HYPERLINK("https://klasma.github.io/Logging_2380/artfynd/A 29135-2022 artfynd.xlsx", "A 29135-2022")</f>
        <v/>
      </c>
      <c r="T65">
        <f>HYPERLINK("https://klasma.github.io/Logging_2380/kartor/A 29135-2022 karta.png", "A 29135-2022")</f>
        <v/>
      </c>
      <c r="V65">
        <f>HYPERLINK("https://klasma.github.io/Logging_2380/klagomål/A 29135-2022 FSC-klagomål.docx", "A 29135-2022")</f>
        <v/>
      </c>
      <c r="W65">
        <f>HYPERLINK("https://klasma.github.io/Logging_2380/klagomålsmail/A 29135-2022 FSC-klagomål mail.docx", "A 29135-2022")</f>
        <v/>
      </c>
      <c r="X65">
        <f>HYPERLINK("https://klasma.github.io/Logging_2380/tillsyn/A 29135-2022 tillsynsbegäran.docx", "A 29135-2022")</f>
        <v/>
      </c>
      <c r="Y65">
        <f>HYPERLINK("https://klasma.github.io/Logging_2380/tillsynsmail/A 29135-2022 tillsynsbegäran mail.docx", "A 29135-2022")</f>
        <v/>
      </c>
    </row>
    <row r="66" ht="15" customHeight="1">
      <c r="A66" t="inlineStr">
        <is>
          <t>A 59291-2022</t>
        </is>
      </c>
      <c r="B66" s="1" t="n">
        <v>44904</v>
      </c>
      <c r="C66" s="1" t="n">
        <v>45698</v>
      </c>
      <c r="D66" t="inlineStr">
        <is>
          <t>JÄMTLANDS LÄN</t>
        </is>
      </c>
      <c r="E66" t="inlineStr">
        <is>
          <t>ÖSTERSUND</t>
        </is>
      </c>
      <c r="G66" t="n">
        <v>9.199999999999999</v>
      </c>
      <c r="H66" t="n">
        <v>1</v>
      </c>
      <c r="I66" t="n">
        <v>0</v>
      </c>
      <c r="J66" t="n">
        <v>3</v>
      </c>
      <c r="K66" t="n">
        <v>0</v>
      </c>
      <c r="L66" t="n">
        <v>0</v>
      </c>
      <c r="M66" t="n">
        <v>0</v>
      </c>
      <c r="N66" t="n">
        <v>0</v>
      </c>
      <c r="O66" t="n">
        <v>3</v>
      </c>
      <c r="P66" t="n">
        <v>0</v>
      </c>
      <c r="Q66" t="n">
        <v>4</v>
      </c>
      <c r="R66" s="2" t="inlineStr">
        <is>
          <t>Garnlav
Lunglav
Skrovellav
Revlummer</t>
        </is>
      </c>
      <c r="S66">
        <f>HYPERLINK("https://klasma.github.io/Logging_2380/artfynd/A 59291-2022 artfynd.xlsx", "A 59291-2022")</f>
        <v/>
      </c>
      <c r="T66">
        <f>HYPERLINK("https://klasma.github.io/Logging_2380/kartor/A 59291-2022 karta.png", "A 59291-2022")</f>
        <v/>
      </c>
      <c r="V66">
        <f>HYPERLINK("https://klasma.github.io/Logging_2380/klagomål/A 59291-2022 FSC-klagomål.docx", "A 59291-2022")</f>
        <v/>
      </c>
      <c r="W66">
        <f>HYPERLINK("https://klasma.github.io/Logging_2380/klagomålsmail/A 59291-2022 FSC-klagomål mail.docx", "A 59291-2022")</f>
        <v/>
      </c>
      <c r="X66">
        <f>HYPERLINK("https://klasma.github.io/Logging_2380/tillsyn/A 59291-2022 tillsynsbegäran.docx", "A 59291-2022")</f>
        <v/>
      </c>
      <c r="Y66">
        <f>HYPERLINK("https://klasma.github.io/Logging_2380/tillsynsmail/A 59291-2022 tillsynsbegäran mail.docx", "A 59291-2022")</f>
        <v/>
      </c>
    </row>
    <row r="67" ht="15" customHeight="1">
      <c r="A67" t="inlineStr">
        <is>
          <t>A 2962-2023</t>
        </is>
      </c>
      <c r="B67" s="1" t="n">
        <v>44945</v>
      </c>
      <c r="C67" s="1" t="n">
        <v>45698</v>
      </c>
      <c r="D67" t="inlineStr">
        <is>
          <t>JÄMTLANDS LÄN</t>
        </is>
      </c>
      <c r="E67" t="inlineStr">
        <is>
          <t>ÖSTERSUND</t>
        </is>
      </c>
      <c r="F67" t="inlineStr">
        <is>
          <t>Övriga Aktiebolag</t>
        </is>
      </c>
      <c r="G67" t="n">
        <v>14.4</v>
      </c>
      <c r="H67" t="n">
        <v>2</v>
      </c>
      <c r="I67" t="n">
        <v>0</v>
      </c>
      <c r="J67" t="n">
        <v>3</v>
      </c>
      <c r="K67" t="n">
        <v>0</v>
      </c>
      <c r="L67" t="n">
        <v>0</v>
      </c>
      <c r="M67" t="n">
        <v>0</v>
      </c>
      <c r="N67" t="n">
        <v>0</v>
      </c>
      <c r="O67" t="n">
        <v>3</v>
      </c>
      <c r="P67" t="n">
        <v>0</v>
      </c>
      <c r="Q67" t="n">
        <v>4</v>
      </c>
      <c r="R67" s="2" t="inlineStr">
        <is>
          <t>Garnlav
Lunglav
Tretåig hackspett
Revlummer</t>
        </is>
      </c>
      <c r="S67">
        <f>HYPERLINK("https://klasma.github.io/Logging_2380/artfynd/A 2962-2023 artfynd.xlsx", "A 2962-2023")</f>
        <v/>
      </c>
      <c r="T67">
        <f>HYPERLINK("https://klasma.github.io/Logging_2380/kartor/A 2962-2023 karta.png", "A 2962-2023")</f>
        <v/>
      </c>
      <c r="V67">
        <f>HYPERLINK("https://klasma.github.io/Logging_2380/klagomål/A 2962-2023 FSC-klagomål.docx", "A 2962-2023")</f>
        <v/>
      </c>
      <c r="W67">
        <f>HYPERLINK("https://klasma.github.io/Logging_2380/klagomålsmail/A 2962-2023 FSC-klagomål mail.docx", "A 2962-2023")</f>
        <v/>
      </c>
      <c r="X67">
        <f>HYPERLINK("https://klasma.github.io/Logging_2380/tillsyn/A 2962-2023 tillsynsbegäran.docx", "A 2962-2023")</f>
        <v/>
      </c>
      <c r="Y67">
        <f>HYPERLINK("https://klasma.github.io/Logging_2380/tillsynsmail/A 2962-2023 tillsynsbegäran mail.docx", "A 2962-2023")</f>
        <v/>
      </c>
      <c r="Z67">
        <f>HYPERLINK("https://klasma.github.io/Logging_2380/fåglar/A 2962-2023 prioriterade fågelarter.docx", "A 2962-2023")</f>
        <v/>
      </c>
    </row>
    <row r="68" ht="15" customHeight="1">
      <c r="A68" t="inlineStr">
        <is>
          <t>A 55344-2023</t>
        </is>
      </c>
      <c r="B68" s="1" t="n">
        <v>45237</v>
      </c>
      <c r="C68" s="1" t="n">
        <v>45698</v>
      </c>
      <c r="D68" t="inlineStr">
        <is>
          <t>JÄMTLANDS LÄN</t>
        </is>
      </c>
      <c r="E68" t="inlineStr">
        <is>
          <t>ÖSTERSUND</t>
        </is>
      </c>
      <c r="F68" t="inlineStr">
        <is>
          <t>SCA</t>
        </is>
      </c>
      <c r="G68" t="n">
        <v>1.5</v>
      </c>
      <c r="H68" t="n">
        <v>1</v>
      </c>
      <c r="I68" t="n">
        <v>1</v>
      </c>
      <c r="J68" t="n">
        <v>2</v>
      </c>
      <c r="K68" t="n">
        <v>1</v>
      </c>
      <c r="L68" t="n">
        <v>0</v>
      </c>
      <c r="M68" t="n">
        <v>0</v>
      </c>
      <c r="N68" t="n">
        <v>0</v>
      </c>
      <c r="O68" t="n">
        <v>3</v>
      </c>
      <c r="P68" t="n">
        <v>1</v>
      </c>
      <c r="Q68" t="n">
        <v>4</v>
      </c>
      <c r="R68" s="2" t="inlineStr">
        <is>
          <t>Lappuggla
Garnlav
Lunglav
Stuplav</t>
        </is>
      </c>
      <c r="S68">
        <f>HYPERLINK("https://klasma.github.io/Logging_2380/artfynd/A 55344-2023 artfynd.xlsx", "A 55344-2023")</f>
        <v/>
      </c>
      <c r="T68">
        <f>HYPERLINK("https://klasma.github.io/Logging_2380/kartor/A 55344-2023 karta.png", "A 55344-2023")</f>
        <v/>
      </c>
      <c r="V68">
        <f>HYPERLINK("https://klasma.github.io/Logging_2380/klagomål/A 55344-2023 FSC-klagomål.docx", "A 55344-2023")</f>
        <v/>
      </c>
      <c r="W68">
        <f>HYPERLINK("https://klasma.github.io/Logging_2380/klagomålsmail/A 55344-2023 FSC-klagomål mail.docx", "A 55344-2023")</f>
        <v/>
      </c>
      <c r="X68">
        <f>HYPERLINK("https://klasma.github.io/Logging_2380/tillsyn/A 55344-2023 tillsynsbegäran.docx", "A 55344-2023")</f>
        <v/>
      </c>
      <c r="Y68">
        <f>HYPERLINK("https://klasma.github.io/Logging_2380/tillsynsmail/A 55344-2023 tillsynsbegäran mail.docx", "A 55344-2023")</f>
        <v/>
      </c>
      <c r="Z68">
        <f>HYPERLINK("https://klasma.github.io/Logging_2380/fåglar/A 55344-2023 prioriterade fågelarter.docx", "A 55344-2023")</f>
        <v/>
      </c>
    </row>
    <row r="69" ht="15" customHeight="1">
      <c r="A69" t="inlineStr">
        <is>
          <t>A 25369-2024</t>
        </is>
      </c>
      <c r="B69" s="1" t="n">
        <v>45463</v>
      </c>
      <c r="C69" s="1" t="n">
        <v>45698</v>
      </c>
      <c r="D69" t="inlineStr">
        <is>
          <t>JÄMTLANDS LÄN</t>
        </is>
      </c>
      <c r="E69" t="inlineStr">
        <is>
          <t>ÖSTERSUND</t>
        </is>
      </c>
      <c r="G69" t="n">
        <v>14.7</v>
      </c>
      <c r="H69" t="n">
        <v>1</v>
      </c>
      <c r="I69" t="n">
        <v>2</v>
      </c>
      <c r="J69" t="n">
        <v>1</v>
      </c>
      <c r="K69" t="n">
        <v>0</v>
      </c>
      <c r="L69" t="n">
        <v>0</v>
      </c>
      <c r="M69" t="n">
        <v>0</v>
      </c>
      <c r="N69" t="n">
        <v>0</v>
      </c>
      <c r="O69" t="n">
        <v>1</v>
      </c>
      <c r="P69" t="n">
        <v>0</v>
      </c>
      <c r="Q69" t="n">
        <v>4</v>
      </c>
      <c r="R69" s="2" t="inlineStr">
        <is>
          <t>Ullticka
Kransrams
Underviol
Blåsippa</t>
        </is>
      </c>
      <c r="S69">
        <f>HYPERLINK("https://klasma.github.io/Logging_2380/artfynd/A 25369-2024 artfynd.xlsx", "A 25369-2024")</f>
        <v/>
      </c>
      <c r="T69">
        <f>HYPERLINK("https://klasma.github.io/Logging_2380/kartor/A 25369-2024 karta.png", "A 25369-2024")</f>
        <v/>
      </c>
      <c r="V69">
        <f>HYPERLINK("https://klasma.github.io/Logging_2380/klagomål/A 25369-2024 FSC-klagomål.docx", "A 25369-2024")</f>
        <v/>
      </c>
      <c r="W69">
        <f>HYPERLINK("https://klasma.github.io/Logging_2380/klagomålsmail/A 25369-2024 FSC-klagomål mail.docx", "A 25369-2024")</f>
        <v/>
      </c>
      <c r="X69">
        <f>HYPERLINK("https://klasma.github.io/Logging_2380/tillsyn/A 25369-2024 tillsynsbegäran.docx", "A 25369-2024")</f>
        <v/>
      </c>
      <c r="Y69">
        <f>HYPERLINK("https://klasma.github.io/Logging_2380/tillsynsmail/A 25369-2024 tillsynsbegäran mail.docx", "A 25369-2024")</f>
        <v/>
      </c>
    </row>
    <row r="70" ht="15" customHeight="1">
      <c r="A70" t="inlineStr">
        <is>
          <t>A 41754-2024</t>
        </is>
      </c>
      <c r="B70" s="1" t="n">
        <v>45561</v>
      </c>
      <c r="C70" s="1" t="n">
        <v>45698</v>
      </c>
      <c r="D70" t="inlineStr">
        <is>
          <t>JÄMTLANDS LÄN</t>
        </is>
      </c>
      <c r="E70" t="inlineStr">
        <is>
          <t>ÖSTERSUND</t>
        </is>
      </c>
      <c r="F70" t="inlineStr">
        <is>
          <t>SCA</t>
        </is>
      </c>
      <c r="G70" t="n">
        <v>2.3</v>
      </c>
      <c r="H70" t="n">
        <v>0</v>
      </c>
      <c r="I70" t="n">
        <v>1</v>
      </c>
      <c r="J70" t="n">
        <v>3</v>
      </c>
      <c r="K70" t="n">
        <v>0</v>
      </c>
      <c r="L70" t="n">
        <v>0</v>
      </c>
      <c r="M70" t="n">
        <v>0</v>
      </c>
      <c r="N70" t="n">
        <v>0</v>
      </c>
      <c r="O70" t="n">
        <v>3</v>
      </c>
      <c r="P70" t="n">
        <v>0</v>
      </c>
      <c r="Q70" t="n">
        <v>4</v>
      </c>
      <c r="R70" s="2" t="inlineStr">
        <is>
          <t>Dvärgbägarlav
Kolflarnlav
Lunglav
Dropptaggsvamp</t>
        </is>
      </c>
      <c r="S70">
        <f>HYPERLINK("https://klasma.github.io/Logging_2380/artfynd/A 41754-2024 artfynd.xlsx", "A 41754-2024")</f>
        <v/>
      </c>
      <c r="T70">
        <f>HYPERLINK("https://klasma.github.io/Logging_2380/kartor/A 41754-2024 karta.png", "A 41754-2024")</f>
        <v/>
      </c>
      <c r="V70">
        <f>HYPERLINK("https://klasma.github.io/Logging_2380/klagomål/A 41754-2024 FSC-klagomål.docx", "A 41754-2024")</f>
        <v/>
      </c>
      <c r="W70">
        <f>HYPERLINK("https://klasma.github.io/Logging_2380/klagomålsmail/A 41754-2024 FSC-klagomål mail.docx", "A 41754-2024")</f>
        <v/>
      </c>
      <c r="X70">
        <f>HYPERLINK("https://klasma.github.io/Logging_2380/tillsyn/A 41754-2024 tillsynsbegäran.docx", "A 41754-2024")</f>
        <v/>
      </c>
      <c r="Y70">
        <f>HYPERLINK("https://klasma.github.io/Logging_2380/tillsynsmail/A 41754-2024 tillsynsbegäran mail.docx", "A 41754-2024")</f>
        <v/>
      </c>
    </row>
    <row r="71" ht="15" customHeight="1">
      <c r="A71" t="inlineStr">
        <is>
          <t>A 48753-2024</t>
        </is>
      </c>
      <c r="B71" s="1" t="n">
        <v>45593</v>
      </c>
      <c r="C71" s="1" t="n">
        <v>45698</v>
      </c>
      <c r="D71" t="inlineStr">
        <is>
          <t>JÄMTLANDS LÄN</t>
        </is>
      </c>
      <c r="E71" t="inlineStr">
        <is>
          <t>ÖSTERSUND</t>
        </is>
      </c>
      <c r="F71" t="inlineStr">
        <is>
          <t>Övriga statliga verk och myndigheter</t>
        </is>
      </c>
      <c r="G71" t="n">
        <v>2.2</v>
      </c>
      <c r="H71" t="n">
        <v>1</v>
      </c>
      <c r="I71" t="n">
        <v>0</v>
      </c>
      <c r="J71" t="n">
        <v>3</v>
      </c>
      <c r="K71" t="n">
        <v>0</v>
      </c>
      <c r="L71" t="n">
        <v>0</v>
      </c>
      <c r="M71" t="n">
        <v>0</v>
      </c>
      <c r="N71" t="n">
        <v>0</v>
      </c>
      <c r="O71" t="n">
        <v>3</v>
      </c>
      <c r="P71" t="n">
        <v>0</v>
      </c>
      <c r="Q71" t="n">
        <v>4</v>
      </c>
      <c r="R71" s="2" t="inlineStr">
        <is>
          <t>Granticka
Gränsticka
Ullticka
Revlummer</t>
        </is>
      </c>
      <c r="S71">
        <f>HYPERLINK("https://klasma.github.io/Logging_2380/artfynd/A 48753-2024 artfynd.xlsx", "A 48753-2024")</f>
        <v/>
      </c>
      <c r="T71">
        <f>HYPERLINK("https://klasma.github.io/Logging_2380/kartor/A 48753-2024 karta.png", "A 48753-2024")</f>
        <v/>
      </c>
      <c r="V71">
        <f>HYPERLINK("https://klasma.github.io/Logging_2380/klagomål/A 48753-2024 FSC-klagomål.docx", "A 48753-2024")</f>
        <v/>
      </c>
      <c r="W71">
        <f>HYPERLINK("https://klasma.github.io/Logging_2380/klagomålsmail/A 48753-2024 FSC-klagomål mail.docx", "A 48753-2024")</f>
        <v/>
      </c>
      <c r="X71">
        <f>HYPERLINK("https://klasma.github.io/Logging_2380/tillsyn/A 48753-2024 tillsynsbegäran.docx", "A 48753-2024")</f>
        <v/>
      </c>
      <c r="Y71">
        <f>HYPERLINK("https://klasma.github.io/Logging_2380/tillsynsmail/A 48753-2024 tillsynsbegäran mail.docx", "A 48753-2024")</f>
        <v/>
      </c>
    </row>
    <row r="72" ht="15" customHeight="1">
      <c r="A72" t="inlineStr">
        <is>
          <t>A 55818-2024</t>
        </is>
      </c>
      <c r="B72" s="1" t="n">
        <v>45623</v>
      </c>
      <c r="C72" s="1" t="n">
        <v>45698</v>
      </c>
      <c r="D72" t="inlineStr">
        <is>
          <t>JÄMTLANDS LÄN</t>
        </is>
      </c>
      <c r="E72" t="inlineStr">
        <is>
          <t>ÖSTERSUND</t>
        </is>
      </c>
      <c r="G72" t="n">
        <v>9.5</v>
      </c>
      <c r="H72" t="n">
        <v>0</v>
      </c>
      <c r="I72" t="n">
        <v>1</v>
      </c>
      <c r="J72" t="n">
        <v>2</v>
      </c>
      <c r="K72" t="n">
        <v>1</v>
      </c>
      <c r="L72" t="n">
        <v>0</v>
      </c>
      <c r="M72" t="n">
        <v>0</v>
      </c>
      <c r="N72" t="n">
        <v>0</v>
      </c>
      <c r="O72" t="n">
        <v>3</v>
      </c>
      <c r="P72" t="n">
        <v>1</v>
      </c>
      <c r="Q72" t="n">
        <v>4</v>
      </c>
      <c r="R72" s="2" t="inlineStr">
        <is>
          <t>Gräddporing
Kolflarnlav
Lunglav
Dropptaggsvamp</t>
        </is>
      </c>
      <c r="S72">
        <f>HYPERLINK("https://klasma.github.io/Logging_2380/artfynd/A 55818-2024 artfynd.xlsx", "A 55818-2024")</f>
        <v/>
      </c>
      <c r="T72">
        <f>HYPERLINK("https://klasma.github.io/Logging_2380/kartor/A 55818-2024 karta.png", "A 55818-2024")</f>
        <v/>
      </c>
      <c r="V72">
        <f>HYPERLINK("https://klasma.github.io/Logging_2380/klagomål/A 55818-2024 FSC-klagomål.docx", "A 55818-2024")</f>
        <v/>
      </c>
      <c r="W72">
        <f>HYPERLINK("https://klasma.github.io/Logging_2380/klagomålsmail/A 55818-2024 FSC-klagomål mail.docx", "A 55818-2024")</f>
        <v/>
      </c>
      <c r="X72">
        <f>HYPERLINK("https://klasma.github.io/Logging_2380/tillsyn/A 55818-2024 tillsynsbegäran.docx", "A 55818-2024")</f>
        <v/>
      </c>
      <c r="Y72">
        <f>HYPERLINK("https://klasma.github.io/Logging_2380/tillsynsmail/A 55818-2024 tillsynsbegäran mail.docx", "A 55818-2024")</f>
        <v/>
      </c>
    </row>
    <row r="73" ht="15" customHeight="1">
      <c r="A73" t="inlineStr">
        <is>
          <t>A 60109-2024</t>
        </is>
      </c>
      <c r="B73" s="1" t="n">
        <v>45642</v>
      </c>
      <c r="C73" s="1" t="n">
        <v>45698</v>
      </c>
      <c r="D73" t="inlineStr">
        <is>
          <t>JÄMTLANDS LÄN</t>
        </is>
      </c>
      <c r="E73" t="inlineStr">
        <is>
          <t>ÖSTERSUND</t>
        </is>
      </c>
      <c r="G73" t="n">
        <v>10.2</v>
      </c>
      <c r="H73" t="n">
        <v>1</v>
      </c>
      <c r="I73" t="n">
        <v>0</v>
      </c>
      <c r="J73" t="n">
        <v>4</v>
      </c>
      <c r="K73" t="n">
        <v>0</v>
      </c>
      <c r="L73" t="n">
        <v>0</v>
      </c>
      <c r="M73" t="n">
        <v>0</v>
      </c>
      <c r="N73" t="n">
        <v>0</v>
      </c>
      <c r="O73" t="n">
        <v>4</v>
      </c>
      <c r="P73" t="n">
        <v>0</v>
      </c>
      <c r="Q73" t="n">
        <v>4</v>
      </c>
      <c r="R73" s="2" t="inlineStr">
        <is>
          <t>Garnlav
Granticka
Spillkråka
Ullticka</t>
        </is>
      </c>
      <c r="S73">
        <f>HYPERLINK("https://klasma.github.io/Logging_2380/artfynd/A 60109-2024 artfynd.xlsx", "A 60109-2024")</f>
        <v/>
      </c>
      <c r="T73">
        <f>HYPERLINK("https://klasma.github.io/Logging_2380/kartor/A 60109-2024 karta.png", "A 60109-2024")</f>
        <v/>
      </c>
      <c r="V73">
        <f>HYPERLINK("https://klasma.github.io/Logging_2380/klagomål/A 60109-2024 FSC-klagomål.docx", "A 60109-2024")</f>
        <v/>
      </c>
      <c r="W73">
        <f>HYPERLINK("https://klasma.github.io/Logging_2380/klagomålsmail/A 60109-2024 FSC-klagomål mail.docx", "A 60109-2024")</f>
        <v/>
      </c>
      <c r="X73">
        <f>HYPERLINK("https://klasma.github.io/Logging_2380/tillsyn/A 60109-2024 tillsynsbegäran.docx", "A 60109-2024")</f>
        <v/>
      </c>
      <c r="Y73">
        <f>HYPERLINK("https://klasma.github.io/Logging_2380/tillsynsmail/A 60109-2024 tillsynsbegäran mail.docx", "A 60109-2024")</f>
        <v/>
      </c>
      <c r="Z73">
        <f>HYPERLINK("https://klasma.github.io/Logging_2380/fåglar/A 60109-2024 prioriterade fågelarter.docx", "A 60109-2024")</f>
        <v/>
      </c>
    </row>
    <row r="74" ht="15" customHeight="1">
      <c r="A74" t="inlineStr">
        <is>
          <t>A 60580-2024</t>
        </is>
      </c>
      <c r="B74" s="1" t="n">
        <v>45644</v>
      </c>
      <c r="C74" s="1" t="n">
        <v>45698</v>
      </c>
      <c r="D74" t="inlineStr">
        <is>
          <t>JÄMTLANDS LÄN</t>
        </is>
      </c>
      <c r="E74" t="inlineStr">
        <is>
          <t>ÖSTERSUND</t>
        </is>
      </c>
      <c r="G74" t="n">
        <v>13.5</v>
      </c>
      <c r="H74" t="n">
        <v>2</v>
      </c>
      <c r="I74" t="n">
        <v>0</v>
      </c>
      <c r="J74" t="n">
        <v>4</v>
      </c>
      <c r="K74" t="n">
        <v>0</v>
      </c>
      <c r="L74" t="n">
        <v>0</v>
      </c>
      <c r="M74" t="n">
        <v>0</v>
      </c>
      <c r="N74" t="n">
        <v>0</v>
      </c>
      <c r="O74" t="n">
        <v>4</v>
      </c>
      <c r="P74" t="n">
        <v>0</v>
      </c>
      <c r="Q74" t="n">
        <v>4</v>
      </c>
      <c r="R74" s="2" t="inlineStr">
        <is>
          <t>Granticka
Lunglav
Spillkråka
Tretåig hackspett</t>
        </is>
      </c>
      <c r="S74">
        <f>HYPERLINK("https://klasma.github.io/Logging_2380/artfynd/A 60580-2024 artfynd.xlsx", "A 60580-2024")</f>
        <v/>
      </c>
      <c r="T74">
        <f>HYPERLINK("https://klasma.github.io/Logging_2380/kartor/A 60580-2024 karta.png", "A 60580-2024")</f>
        <v/>
      </c>
      <c r="V74">
        <f>HYPERLINK("https://klasma.github.io/Logging_2380/klagomål/A 60580-2024 FSC-klagomål.docx", "A 60580-2024")</f>
        <v/>
      </c>
      <c r="W74">
        <f>HYPERLINK("https://klasma.github.io/Logging_2380/klagomålsmail/A 60580-2024 FSC-klagomål mail.docx", "A 60580-2024")</f>
        <v/>
      </c>
      <c r="X74">
        <f>HYPERLINK("https://klasma.github.io/Logging_2380/tillsyn/A 60580-2024 tillsynsbegäran.docx", "A 60580-2024")</f>
        <v/>
      </c>
      <c r="Y74">
        <f>HYPERLINK("https://klasma.github.io/Logging_2380/tillsynsmail/A 60580-2024 tillsynsbegäran mail.docx", "A 60580-2024")</f>
        <v/>
      </c>
      <c r="Z74">
        <f>HYPERLINK("https://klasma.github.io/Logging_2380/fåglar/A 60580-2024 prioriterade fågelarter.docx", "A 60580-2024")</f>
        <v/>
      </c>
    </row>
    <row r="75" ht="15" customHeight="1">
      <c r="A75" t="inlineStr">
        <is>
          <t>A 61153-2024</t>
        </is>
      </c>
      <c r="B75" s="1" t="n">
        <v>45645</v>
      </c>
      <c r="C75" s="1" t="n">
        <v>45698</v>
      </c>
      <c r="D75" t="inlineStr">
        <is>
          <t>JÄMTLANDS LÄN</t>
        </is>
      </c>
      <c r="E75" t="inlineStr">
        <is>
          <t>ÖSTERSUND</t>
        </is>
      </c>
      <c r="G75" t="n">
        <v>8.699999999999999</v>
      </c>
      <c r="H75" t="n">
        <v>3</v>
      </c>
      <c r="I75" t="n">
        <v>0</v>
      </c>
      <c r="J75" t="n">
        <v>3</v>
      </c>
      <c r="K75" t="n">
        <v>1</v>
      </c>
      <c r="L75" t="n">
        <v>0</v>
      </c>
      <c r="M75" t="n">
        <v>0</v>
      </c>
      <c r="N75" t="n">
        <v>0</v>
      </c>
      <c r="O75" t="n">
        <v>4</v>
      </c>
      <c r="P75" t="n">
        <v>1</v>
      </c>
      <c r="Q75" t="n">
        <v>4</v>
      </c>
      <c r="R75" s="2" t="inlineStr">
        <is>
          <t>Knärot
Garnlav
Spillkråka
Talltita</t>
        </is>
      </c>
      <c r="S75">
        <f>HYPERLINK("https://klasma.github.io/Logging_2380/artfynd/A 61153-2024 artfynd.xlsx", "A 61153-2024")</f>
        <v/>
      </c>
      <c r="T75">
        <f>HYPERLINK("https://klasma.github.io/Logging_2380/kartor/A 61153-2024 karta.png", "A 61153-2024")</f>
        <v/>
      </c>
      <c r="U75">
        <f>HYPERLINK("https://klasma.github.io/Logging_2380/knärot/A 61153-2024 karta knärot.png", "A 61153-2024")</f>
        <v/>
      </c>
      <c r="V75">
        <f>HYPERLINK("https://klasma.github.io/Logging_2380/klagomål/A 61153-2024 FSC-klagomål.docx", "A 61153-2024")</f>
        <v/>
      </c>
      <c r="W75">
        <f>HYPERLINK("https://klasma.github.io/Logging_2380/klagomålsmail/A 61153-2024 FSC-klagomål mail.docx", "A 61153-2024")</f>
        <v/>
      </c>
      <c r="X75">
        <f>HYPERLINK("https://klasma.github.io/Logging_2380/tillsyn/A 61153-2024 tillsynsbegäran.docx", "A 61153-2024")</f>
        <v/>
      </c>
      <c r="Y75">
        <f>HYPERLINK("https://klasma.github.io/Logging_2380/tillsynsmail/A 61153-2024 tillsynsbegäran mail.docx", "A 61153-2024")</f>
        <v/>
      </c>
      <c r="Z75">
        <f>HYPERLINK("https://klasma.github.io/Logging_2380/fåglar/A 61153-2024 prioriterade fågelarter.docx", "A 61153-2024")</f>
        <v/>
      </c>
    </row>
    <row r="76" ht="15" customHeight="1">
      <c r="A76" t="inlineStr">
        <is>
          <t>A 23410-2019</t>
        </is>
      </c>
      <c r="B76" s="1" t="n">
        <v>43592</v>
      </c>
      <c r="C76" s="1" t="n">
        <v>45698</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45698</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45698</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45698</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45698</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45698</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45698</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45698</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45698</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45698</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45698</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45698</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45698</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45698</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45698</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45698</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45698</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45698</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45698</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45698</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45698</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45698</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45698</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45698</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45698</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45698</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45698</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45698</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45698</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45698</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45698</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45698</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45698</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45698</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45698</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45698</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45698</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45698</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45698</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45698</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45698</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45698</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45698</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45698</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45698</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45698</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45698</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45698</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45698</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45698</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45698</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45698</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45698</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45698</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45698</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45698</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45698</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45698</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45698</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45698</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45698</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45698</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45698</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45698</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45698</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45698</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45698</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45698</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45698</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45698</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45698</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45698</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45698</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45698</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45698</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45698</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45698</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45698</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45698</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45698</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45698</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45698</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45698</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45698</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45698</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45698</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45698</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45698</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45698</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45698</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45698</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45698</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45698</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45698</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45698</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45698</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45698</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45698</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45698</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45698</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45698</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45698</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45698</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45698</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45698</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45698</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45698</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45698</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45698</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45698</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45698</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45698</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45698</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45698</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45698</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45698</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45698</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45698</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45698</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45698</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45698</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45698</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45698</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45698</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45698</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45698</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45698</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45698</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45698</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45698</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45698</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45698</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45698</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45698</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45698</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45698</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45698</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45698</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45698</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45698</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45698</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45698</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45698</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45698</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45698</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45698</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45698</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45698</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45698</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45698</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45698</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45698</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45698</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45698</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45698</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45698</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45698</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45698</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45698</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45698</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45698</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45698</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45698</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45698</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45698</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45698</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45698</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45698</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45698</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45698</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45698</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45698</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45698</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45698</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45698</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45698</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45698</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45698</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45698</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45698</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45698</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45698</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45698</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45698</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45698</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45698</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45698</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45698</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45698</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45698</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45698</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45698</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45698</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45698</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45698</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45698</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45698</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45698</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45698</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45698</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45698</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45698</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45698</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45698</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45698</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45698</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45698</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45698</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45698</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45698</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45698</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45698</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45698</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45698</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45698</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45698</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45698</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45698</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45698</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45698</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45698</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45698</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45698</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45698</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45698</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45698</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45698</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45698</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45698</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45698</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45698</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45698</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45698</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45698</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45698</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45698</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45698</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45698</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45698</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45698</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45698</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45698</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45698</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45698</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45698</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45698</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45698</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45698</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45698</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45698</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45698</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45698</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45698</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45698</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45698</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45698</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45698</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45698</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45698</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45698</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45698</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45698</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45698</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45698</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45698</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45698</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45698</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45698</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45698</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45698</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45698</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45698</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45698</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45698</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45698</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45698</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45698</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45698</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45698</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45698</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45698</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45698</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45698</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45698</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45698</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45698</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45698</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45698</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45698</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45698</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45698</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45698</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45698</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45698</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45698</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45698</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45698</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45698</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45698</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45698</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45698</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45698</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45698</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45698</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45698</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45698</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45698</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45698</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45698</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45698</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45698</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45698</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45698</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45698</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45698</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45698</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45698</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45698</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45698</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45698</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45698</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45698</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45698</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45698</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45698</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45698</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45698</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45698</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45698</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45698</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45698</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45698</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45698</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45698</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45698</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45698</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45698</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45698</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45698</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45698</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45698</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45698</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45698</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45698</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45698</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45698</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45698</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45698</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45698</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45698</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45698</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45698</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45698</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45698</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45698</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45698</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45698</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45698</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45698</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45698</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45698</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45698</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45698</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45698</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45698</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45698</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45698</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45698</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45698</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45698</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45698</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45698</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45698</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45698</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45698</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45698</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45698</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45698</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45698</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45698</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45698</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45698</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45698</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45698</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45698</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45698</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45698</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45698</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45698</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45698</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45698</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45698</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45698</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45698</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45698</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45698</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45698</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45698</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45698</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45698</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45698</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45698</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45698</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45698</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45698</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45698</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45698</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45698</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45698</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45698</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45698</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45698</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45698</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45698</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45698</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45698</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45698</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45698</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45698</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45698</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45698</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45698</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45698</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45698</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45698</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45698</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45698</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45698</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45698</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45698</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45698</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45698</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45698</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45698</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45698</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45698</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45698</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45698</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45698</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45698</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45698</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45698</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45698</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45698</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45698</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45698</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45698</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45698</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45698</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45698</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45698</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45698</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45698</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45698</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45698</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45698</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45698</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45698</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45698</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45698</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45698</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45698</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45698</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45698</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45698</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45698</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45698</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45698</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45698</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45698</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45698</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45698</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45698</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45698</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45698</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45698</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45698</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45698</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45698</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45698</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45698</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45698</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45698</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45698</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45698</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45698</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45698</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45698</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45698</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45698</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45698</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45698</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45698</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45698</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45698</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45698</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45698</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45698</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45698</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45698</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45698</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45698</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45698</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45698</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45698</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45698</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45698</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45698</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45698</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45698</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45698</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45698</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45698</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45698</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45698</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45698</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45698</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45698</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45698</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45698</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45698</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45698</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45698</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45698</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45698</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45698</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45698</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45698</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45698</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45698</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45698</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45698</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45698</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45698</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45698</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45698</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45698</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45698</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45698</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45698</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45698</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45698</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45698</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45698</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45698</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45698</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45698</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45698</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45698</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45698</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45698</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45698</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45698</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45698</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45698</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45698</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45698</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45698</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45698</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45698</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45698</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45698</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45698</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45698</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45698</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45698</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45698</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45698</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45698</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45698</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45698</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45698</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45698</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45698</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45698</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45698</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45698</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45698</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45698</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45698</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45698</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45698</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45698</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45698</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45698</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45698</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45698</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45698</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45698</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45698</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45698</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45698</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45698</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45698</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45698</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45698</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45698</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45698</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45698</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45698</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45698</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45698</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45698</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45698</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45698</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45698</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45698</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45698</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45698</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45698</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45698</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45698</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45698</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45698</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45698</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45698</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45698</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45698</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45698</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45698</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45698</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45698</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45698</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45698</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45698</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45698</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45698</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45698</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45698</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45698</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45698</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45698</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45698</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45698</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45698</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45698</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45698</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45698</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45698</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45698</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45698</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45698</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45698</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45698</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45698</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45698</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45698</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45698</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45698</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45698</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45698</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45698</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45698</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45698</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45698</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45698</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45698</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45698</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45698</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45698</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45698</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45698</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45698</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45698</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45698</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45698</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45698</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45698</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45698</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45698</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45698</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45698</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45698</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45698</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45698</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45698</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45698</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45698</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45698</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45698</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45698</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45698</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45698</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45698</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45698</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45698</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45698</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45698</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45698</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45698</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45698</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45698</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45698</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45698</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45698</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45698</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45698</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45698</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45698</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45698</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45698</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45698</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45698</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45698</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45698</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45698</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45698</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45698</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45698</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45698</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45698</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45698</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45698</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45698</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45698</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45698</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45698</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45698</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45698</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45698</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45698</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45698</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45698</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45698</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45698</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45698</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45698</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45698</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45698</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45698</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45698</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45698</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45698</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45698</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45698</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45698</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45698</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45698</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45698</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45698</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45698</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45698</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45698</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45698</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45698</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45698</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45698</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45698</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45698</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45698</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45698</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45698</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45698</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45698</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45698</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45698</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45698</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45698</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45698</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45698</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45698</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45698</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45698</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45698</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45698</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45698</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45698</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45698</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45698</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45698</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45698</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45698</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45698</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45698</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45698</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45698</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45698</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45698</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45698</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45698</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45698</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45698</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45698</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45698</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45698</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45698</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45698</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45698</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45698</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45698</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45698</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45698</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45698</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45698</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45698</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45698</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45698</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45698</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45698</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45698</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45698</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45698</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45698</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45698</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45698</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45698</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45698</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45698</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45698</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45698</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45698</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45698</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45698</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45698</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45698</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45698</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45698</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45698</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45698</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45698</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45698</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45698</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45698</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45698</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45698</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45698</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45698</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45698</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45698</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45698</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45698</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45698</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45698</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45698</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45698</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45698</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45698</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45698</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45698</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45698</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45698</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45698</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45698</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45698</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45698</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45698</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45698</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45698</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45698</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45698</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45698</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45698</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45698</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45698</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45698</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45698</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45698</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45698</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45698</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45698</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45698</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45698</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45698</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45698</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45698</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45698</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45698</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45698</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45698</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45698</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45698</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45698</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45698</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45698</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45698</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45698</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45698</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45698</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45698</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45698</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45698</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45698</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45698</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45698</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45698</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45698</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45698</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45698</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45698</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45698</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45698</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45698</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45698</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45698</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45698</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45698</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45698</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45698</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45698</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45698</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45698</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45698</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45698</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45698</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45698</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45698</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45698</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45698</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45698</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45698</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45698</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45698</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45698</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45698</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45698</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45698</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45698</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45698</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45698</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45698</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45698</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45698</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45698</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45698</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45698</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45698</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45698</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45698</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45698</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45698</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45698</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45698</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45698</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45698</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45698</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45698</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45698</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45698</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45698</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1211-2025</t>
        </is>
      </c>
      <c r="B1015" s="1" t="n">
        <v>45667</v>
      </c>
      <c r="C1015" s="1" t="n">
        <v>45698</v>
      </c>
      <c r="D1015" t="inlineStr">
        <is>
          <t>JÄMTLANDS LÄN</t>
        </is>
      </c>
      <c r="E1015" t="inlineStr">
        <is>
          <t>ÖSTERSUND</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45698</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45698</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45698</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2730-2025</t>
        </is>
      </c>
      <c r="B1019" s="1" t="n">
        <v>45677</v>
      </c>
      <c r="C1019" s="1" t="n">
        <v>45698</v>
      </c>
      <c r="D1019" t="inlineStr">
        <is>
          <t>JÄMTLANDS LÄN</t>
        </is>
      </c>
      <c r="E1019" t="inlineStr">
        <is>
          <t>ÖSTERSUND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2747-2025</t>
        </is>
      </c>
      <c r="B1020" s="1" t="n">
        <v>45677</v>
      </c>
      <c r="C1020" s="1" t="n">
        <v>45698</v>
      </c>
      <c r="D1020" t="inlineStr">
        <is>
          <t>JÄMTLANDS LÄN</t>
        </is>
      </c>
      <c r="E1020" t="inlineStr">
        <is>
          <t>ÖSTERSUND</t>
        </is>
      </c>
      <c r="F1020" t="inlineStr">
        <is>
          <t>Sveaskog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2706-2025</t>
        </is>
      </c>
      <c r="B1021" s="1" t="n">
        <v>45677</v>
      </c>
      <c r="C1021" s="1" t="n">
        <v>45698</v>
      </c>
      <c r="D1021" t="inlineStr">
        <is>
          <t>JÄMTLANDS LÄN</t>
        </is>
      </c>
      <c r="E1021" t="inlineStr">
        <is>
          <t>ÖSTERSUND</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2753-2025</t>
        </is>
      </c>
      <c r="B1022" s="1" t="n">
        <v>45677</v>
      </c>
      <c r="C1022" s="1" t="n">
        <v>45698</v>
      </c>
      <c r="D1022" t="inlineStr">
        <is>
          <t>JÄMTLANDS LÄN</t>
        </is>
      </c>
      <c r="E1022" t="inlineStr">
        <is>
          <t>ÖSTERSUND</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45698</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45698</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3204-2025</t>
        </is>
      </c>
      <c r="B1025" s="1" t="n">
        <v>45679</v>
      </c>
      <c r="C1025" s="1" t="n">
        <v>45698</v>
      </c>
      <c r="D1025" t="inlineStr">
        <is>
          <t>JÄMTLANDS LÄN</t>
        </is>
      </c>
      <c r="E1025" t="inlineStr">
        <is>
          <t>ÖSTERSUND</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3265-2025</t>
        </is>
      </c>
      <c r="B1026" s="1" t="n">
        <v>45679</v>
      </c>
      <c r="C1026" s="1" t="n">
        <v>45698</v>
      </c>
      <c r="D1026" t="inlineStr">
        <is>
          <t>JÄMTLANDS LÄN</t>
        </is>
      </c>
      <c r="E1026" t="inlineStr">
        <is>
          <t>ÖSTERSUND</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45698</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3615-2025</t>
        </is>
      </c>
      <c r="B1028" s="1" t="n">
        <v>45681</v>
      </c>
      <c r="C1028" s="1" t="n">
        <v>45698</v>
      </c>
      <c r="D1028" t="inlineStr">
        <is>
          <t>JÄMTLANDS LÄN</t>
        </is>
      </c>
      <c r="E1028" t="inlineStr">
        <is>
          <t>ÖSTERSUND</t>
        </is>
      </c>
      <c r="F1028" t="inlineStr">
        <is>
          <t>SCA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3651-2025</t>
        </is>
      </c>
      <c r="B1029" s="1" t="n">
        <v>45681</v>
      </c>
      <c r="C1029" s="1" t="n">
        <v>45698</v>
      </c>
      <c r="D1029" t="inlineStr">
        <is>
          <t>JÄMTLANDS LÄN</t>
        </is>
      </c>
      <c r="E1029" t="inlineStr">
        <is>
          <t>ÖSTERSUND</t>
        </is>
      </c>
      <c r="F1029" t="inlineStr">
        <is>
          <t>SCA</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3664-2025</t>
        </is>
      </c>
      <c r="B1030" s="1" t="n">
        <v>45681</v>
      </c>
      <c r="C1030" s="1" t="n">
        <v>45698</v>
      </c>
      <c r="D1030" t="inlineStr">
        <is>
          <t>JÄMTLANDS LÄN</t>
        </is>
      </c>
      <c r="E1030" t="inlineStr">
        <is>
          <t>ÖSTERSUND</t>
        </is>
      </c>
      <c r="F1030" t="inlineStr">
        <is>
          <t>SCA</t>
        </is>
      </c>
      <c r="G1030" t="n">
        <v>10.9</v>
      </c>
      <c r="H1030" t="n">
        <v>0</v>
      </c>
      <c r="I1030" t="n">
        <v>0</v>
      </c>
      <c r="J1030" t="n">
        <v>0</v>
      </c>
      <c r="K1030" t="n">
        <v>0</v>
      </c>
      <c r="L1030" t="n">
        <v>0</v>
      </c>
      <c r="M1030" t="n">
        <v>0</v>
      </c>
      <c r="N1030" t="n">
        <v>0</v>
      </c>
      <c r="O1030" t="n">
        <v>0</v>
      </c>
      <c r="P1030" t="n">
        <v>0</v>
      </c>
      <c r="Q1030" t="n">
        <v>0</v>
      </c>
      <c r="R1030" s="2" t="inlineStr"/>
    </row>
    <row r="1031" ht="15" customHeight="1">
      <c r="A1031" t="inlineStr">
        <is>
          <t>A 3914-2025</t>
        </is>
      </c>
      <c r="B1031" s="1" t="n">
        <v>45684</v>
      </c>
      <c r="C1031" s="1" t="n">
        <v>45698</v>
      </c>
      <c r="D1031" t="inlineStr">
        <is>
          <t>JÄMTLANDS LÄN</t>
        </is>
      </c>
      <c r="E1031" t="inlineStr">
        <is>
          <t>ÖSTERSUND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4063-2025</t>
        </is>
      </c>
      <c r="B1032" s="1" t="n">
        <v>45684</v>
      </c>
      <c r="C1032" s="1" t="n">
        <v>45698</v>
      </c>
      <c r="D1032" t="inlineStr">
        <is>
          <t>JÄMTLANDS LÄN</t>
        </is>
      </c>
      <c r="E1032" t="inlineStr">
        <is>
          <t>ÖSTERSUND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3985-2025</t>
        </is>
      </c>
      <c r="B1033" s="1" t="n">
        <v>45684</v>
      </c>
      <c r="C1033" s="1" t="n">
        <v>45698</v>
      </c>
      <c r="D1033" t="inlineStr">
        <is>
          <t>JÄMTLANDS LÄN</t>
        </is>
      </c>
      <c r="E1033" t="inlineStr">
        <is>
          <t>ÖSTERSUND</t>
        </is>
      </c>
      <c r="F1033" t="inlineStr">
        <is>
          <t>SCA</t>
        </is>
      </c>
      <c r="G1033" t="n">
        <v>11.5</v>
      </c>
      <c r="H1033" t="n">
        <v>0</v>
      </c>
      <c r="I1033" t="n">
        <v>0</v>
      </c>
      <c r="J1033" t="n">
        <v>0</v>
      </c>
      <c r="K1033" t="n">
        <v>0</v>
      </c>
      <c r="L1033" t="n">
        <v>0</v>
      </c>
      <c r="M1033" t="n">
        <v>0</v>
      </c>
      <c r="N1033" t="n">
        <v>0</v>
      </c>
      <c r="O1033" t="n">
        <v>0</v>
      </c>
      <c r="P1033" t="n">
        <v>0</v>
      </c>
      <c r="Q1033" t="n">
        <v>0</v>
      </c>
      <c r="R1033" s="2" t="inlineStr"/>
    </row>
    <row r="1034" ht="15" customHeight="1">
      <c r="A1034" t="inlineStr">
        <is>
          <t>A 3997-2025</t>
        </is>
      </c>
      <c r="B1034" s="1" t="n">
        <v>45684</v>
      </c>
      <c r="C1034" s="1" t="n">
        <v>45698</v>
      </c>
      <c r="D1034" t="inlineStr">
        <is>
          <t>JÄMTLANDS LÄN</t>
        </is>
      </c>
      <c r="E1034" t="inlineStr">
        <is>
          <t>ÖSTERSUND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45698</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45698</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4384-2025</t>
        </is>
      </c>
      <c r="B1037" s="1" t="n">
        <v>45686</v>
      </c>
      <c r="C1037" s="1" t="n">
        <v>45698</v>
      </c>
      <c r="D1037" t="inlineStr">
        <is>
          <t>JÄMTLANDS LÄN</t>
        </is>
      </c>
      <c r="E1037" t="inlineStr">
        <is>
          <t>ÖSTERSUND</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4480-2025</t>
        </is>
      </c>
      <c r="B1038" s="1" t="n">
        <v>45686</v>
      </c>
      <c r="C1038" s="1" t="n">
        <v>45698</v>
      </c>
      <c r="D1038" t="inlineStr">
        <is>
          <t>JÄMTLANDS LÄN</t>
        </is>
      </c>
      <c r="E1038" t="inlineStr">
        <is>
          <t>ÖSTERSUND</t>
        </is>
      </c>
      <c r="G1038" t="n">
        <v>27.7</v>
      </c>
      <c r="H1038" t="n">
        <v>0</v>
      </c>
      <c r="I1038" t="n">
        <v>0</v>
      </c>
      <c r="J1038" t="n">
        <v>0</v>
      </c>
      <c r="K1038" t="n">
        <v>0</v>
      </c>
      <c r="L1038" t="n">
        <v>0</v>
      </c>
      <c r="M1038" t="n">
        <v>0</v>
      </c>
      <c r="N1038" t="n">
        <v>0</v>
      </c>
      <c r="O1038" t="n">
        <v>0</v>
      </c>
      <c r="P1038" t="n">
        <v>0</v>
      </c>
      <c r="Q1038" t="n">
        <v>0</v>
      </c>
      <c r="R1038" s="2" t="inlineStr"/>
    </row>
    <row r="1039" ht="15" customHeight="1">
      <c r="A1039" t="inlineStr">
        <is>
          <t>A 4500-2025</t>
        </is>
      </c>
      <c r="B1039" s="1" t="n">
        <v>45686</v>
      </c>
      <c r="C1039" s="1" t="n">
        <v>45698</v>
      </c>
      <c r="D1039" t="inlineStr">
        <is>
          <t>JÄMTLANDS LÄN</t>
        </is>
      </c>
      <c r="E1039" t="inlineStr">
        <is>
          <t>ÖSTERSUND</t>
        </is>
      </c>
      <c r="G1039" t="n">
        <v>28.4</v>
      </c>
      <c r="H1039" t="n">
        <v>0</v>
      </c>
      <c r="I1039" t="n">
        <v>0</v>
      </c>
      <c r="J1039" t="n">
        <v>0</v>
      </c>
      <c r="K1039" t="n">
        <v>0</v>
      </c>
      <c r="L1039" t="n">
        <v>0</v>
      </c>
      <c r="M1039" t="n">
        <v>0</v>
      </c>
      <c r="N1039" t="n">
        <v>0</v>
      </c>
      <c r="O1039" t="n">
        <v>0</v>
      </c>
      <c r="P1039" t="n">
        <v>0</v>
      </c>
      <c r="Q1039" t="n">
        <v>0</v>
      </c>
      <c r="R1039" s="2" t="inlineStr"/>
    </row>
    <row r="1040" ht="15" customHeight="1">
      <c r="A1040" t="inlineStr">
        <is>
          <t>A 4520-2025</t>
        </is>
      </c>
      <c r="B1040" s="1" t="n">
        <v>45686</v>
      </c>
      <c r="C1040" s="1" t="n">
        <v>45698</v>
      </c>
      <c r="D1040" t="inlineStr">
        <is>
          <t>JÄMTLANDS LÄN</t>
        </is>
      </c>
      <c r="E1040" t="inlineStr">
        <is>
          <t>ÖSTERSUND</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4522-2025</t>
        </is>
      </c>
      <c r="B1041" s="1" t="n">
        <v>45686</v>
      </c>
      <c r="C1041" s="1" t="n">
        <v>45698</v>
      </c>
      <c r="D1041" t="inlineStr">
        <is>
          <t>JÄMTLANDS LÄN</t>
        </is>
      </c>
      <c r="E1041" t="inlineStr">
        <is>
          <t>ÖSTERSUND</t>
        </is>
      </c>
      <c r="G1041" t="n">
        <v>27.7</v>
      </c>
      <c r="H1041" t="n">
        <v>0</v>
      </c>
      <c r="I1041" t="n">
        <v>0</v>
      </c>
      <c r="J1041" t="n">
        <v>0</v>
      </c>
      <c r="K1041" t="n">
        <v>0</v>
      </c>
      <c r="L1041" t="n">
        <v>0</v>
      </c>
      <c r="M1041" t="n">
        <v>0</v>
      </c>
      <c r="N1041" t="n">
        <v>0</v>
      </c>
      <c r="O1041" t="n">
        <v>0</v>
      </c>
      <c r="P1041" t="n">
        <v>0</v>
      </c>
      <c r="Q1041" t="n">
        <v>0</v>
      </c>
      <c r="R1041" s="2" t="inlineStr"/>
    </row>
    <row r="1042" ht="15" customHeight="1">
      <c r="A1042" t="inlineStr">
        <is>
          <t>A 4491-2025</t>
        </is>
      </c>
      <c r="B1042" s="1" t="n">
        <v>45686</v>
      </c>
      <c r="C1042" s="1" t="n">
        <v>45698</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4521-2025</t>
        </is>
      </c>
      <c r="B1043" s="1" t="n">
        <v>45686</v>
      </c>
      <c r="C1043" s="1" t="n">
        <v>45698</v>
      </c>
      <c r="D1043" t="inlineStr">
        <is>
          <t>JÄMTLANDS LÄN</t>
        </is>
      </c>
      <c r="E1043" t="inlineStr">
        <is>
          <t>ÖSTERSUND</t>
        </is>
      </c>
      <c r="G1043" t="n">
        <v>28.4</v>
      </c>
      <c r="H1043" t="n">
        <v>0</v>
      </c>
      <c r="I1043" t="n">
        <v>0</v>
      </c>
      <c r="J1043" t="n">
        <v>0</v>
      </c>
      <c r="K1043" t="n">
        <v>0</v>
      </c>
      <c r="L1043" t="n">
        <v>0</v>
      </c>
      <c r="M1043" t="n">
        <v>0</v>
      </c>
      <c r="N1043" t="n">
        <v>0</v>
      </c>
      <c r="O1043" t="n">
        <v>0</v>
      </c>
      <c r="P1043" t="n">
        <v>0</v>
      </c>
      <c r="Q1043" t="n">
        <v>0</v>
      </c>
      <c r="R1043" s="2" t="inlineStr"/>
    </row>
    <row r="1044" ht="15" customHeight="1">
      <c r="A1044" t="inlineStr">
        <is>
          <t>A 4523-2025</t>
        </is>
      </c>
      <c r="B1044" s="1" t="n">
        <v>45686</v>
      </c>
      <c r="C1044" s="1" t="n">
        <v>45698</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4864-2025</t>
        </is>
      </c>
      <c r="B1045" s="1" t="n">
        <v>45688</v>
      </c>
      <c r="C1045" s="1" t="n">
        <v>45698</v>
      </c>
      <c r="D1045" t="inlineStr">
        <is>
          <t>JÄMTLANDS LÄN</t>
        </is>
      </c>
      <c r="E1045" t="inlineStr">
        <is>
          <t>ÖSTERSUND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4901-2025</t>
        </is>
      </c>
      <c r="B1046" s="1" t="n">
        <v>45688</v>
      </c>
      <c r="C1046" s="1" t="n">
        <v>45698</v>
      </c>
      <c r="D1046" t="inlineStr">
        <is>
          <t>JÄMTLANDS LÄN</t>
        </is>
      </c>
      <c r="E1046" t="inlineStr">
        <is>
          <t>ÖSTERSUND</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4892-2025</t>
        </is>
      </c>
      <c r="B1047" s="1" t="n">
        <v>45688</v>
      </c>
      <c r="C1047" s="1" t="n">
        <v>45698</v>
      </c>
      <c r="D1047" t="inlineStr">
        <is>
          <t>JÄMTLANDS LÄN</t>
        </is>
      </c>
      <c r="E1047" t="inlineStr">
        <is>
          <t>ÖSTERSUND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4936-2025</t>
        </is>
      </c>
      <c r="B1048" s="1" t="n">
        <v>45688</v>
      </c>
      <c r="C1048" s="1" t="n">
        <v>45698</v>
      </c>
      <c r="D1048" t="inlineStr">
        <is>
          <t>JÄMTLANDS LÄN</t>
        </is>
      </c>
      <c r="E1048" t="inlineStr">
        <is>
          <t>ÖSTERSUND</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4967-2025</t>
        </is>
      </c>
      <c r="B1049" s="1" t="n">
        <v>45690</v>
      </c>
      <c r="C1049" s="1" t="n">
        <v>45698</v>
      </c>
      <c r="D1049" t="inlineStr">
        <is>
          <t>JÄMTLANDS LÄN</t>
        </is>
      </c>
      <c r="E1049" t="inlineStr">
        <is>
          <t>ÖSTERSUND</t>
        </is>
      </c>
      <c r="G1049" t="n">
        <v>26.9</v>
      </c>
      <c r="H1049" t="n">
        <v>0</v>
      </c>
      <c r="I1049" t="n">
        <v>0</v>
      </c>
      <c r="J1049" t="n">
        <v>0</v>
      </c>
      <c r="K1049" t="n">
        <v>0</v>
      </c>
      <c r="L1049" t="n">
        <v>0</v>
      </c>
      <c r="M1049" t="n">
        <v>0</v>
      </c>
      <c r="N1049" t="n">
        <v>0</v>
      </c>
      <c r="O1049" t="n">
        <v>0</v>
      </c>
      <c r="P1049" t="n">
        <v>0</v>
      </c>
      <c r="Q1049" t="n">
        <v>0</v>
      </c>
      <c r="R1049" s="2" t="inlineStr"/>
    </row>
    <row r="1050" ht="15" customHeight="1">
      <c r="A1050" t="inlineStr">
        <is>
          <t>A 4966-2025</t>
        </is>
      </c>
      <c r="B1050" s="1" t="n">
        <v>45690</v>
      </c>
      <c r="C1050" s="1" t="n">
        <v>45698</v>
      </c>
      <c r="D1050" t="inlineStr">
        <is>
          <t>JÄMTLANDS LÄN</t>
        </is>
      </c>
      <c r="E1050" t="inlineStr">
        <is>
          <t>ÖSTERSUND</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5024-2025</t>
        </is>
      </c>
      <c r="B1051" s="1" t="n">
        <v>45691</v>
      </c>
      <c r="C1051" s="1" t="n">
        <v>45698</v>
      </c>
      <c r="D1051" t="inlineStr">
        <is>
          <t>JÄMTLANDS LÄN</t>
        </is>
      </c>
      <c r="E1051" t="inlineStr">
        <is>
          <t>ÖSTERSUND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5140-2025</t>
        </is>
      </c>
      <c r="B1052" s="1" t="n">
        <v>45691</v>
      </c>
      <c r="C1052" s="1" t="n">
        <v>45698</v>
      </c>
      <c r="D1052" t="inlineStr">
        <is>
          <t>JÄMTLANDS LÄN</t>
        </is>
      </c>
      <c r="E1052" t="inlineStr">
        <is>
          <t>ÖSTERSUND</t>
        </is>
      </c>
      <c r="F1052" t="inlineStr">
        <is>
          <t>Övriga Aktiebolag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5025-2025</t>
        </is>
      </c>
      <c r="B1053" s="1" t="n">
        <v>45691</v>
      </c>
      <c r="C1053" s="1" t="n">
        <v>45698</v>
      </c>
      <c r="D1053" t="inlineStr">
        <is>
          <t>JÄMTLANDS LÄN</t>
        </is>
      </c>
      <c r="E1053" t="inlineStr">
        <is>
          <t>ÖSTERSUND</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5135-2025</t>
        </is>
      </c>
      <c r="B1054" s="1" t="n">
        <v>45691</v>
      </c>
      <c r="C1054" s="1" t="n">
        <v>45698</v>
      </c>
      <c r="D1054" t="inlineStr">
        <is>
          <t>JÄMTLANDS LÄN</t>
        </is>
      </c>
      <c r="E1054" t="inlineStr">
        <is>
          <t>ÖSTERSUND</t>
        </is>
      </c>
      <c r="F1054" t="inlineStr">
        <is>
          <t>Övriga Aktiebolag</t>
        </is>
      </c>
      <c r="G1054" t="n">
        <v>126.9</v>
      </c>
      <c r="H1054" t="n">
        <v>0</v>
      </c>
      <c r="I1054" t="n">
        <v>0</v>
      </c>
      <c r="J1054" t="n">
        <v>0</v>
      </c>
      <c r="K1054" t="n">
        <v>0</v>
      </c>
      <c r="L1054" t="n">
        <v>0</v>
      </c>
      <c r="M1054" t="n">
        <v>0</v>
      </c>
      <c r="N1054" t="n">
        <v>0</v>
      </c>
      <c r="O1054" t="n">
        <v>0</v>
      </c>
      <c r="P1054" t="n">
        <v>0</v>
      </c>
      <c r="Q1054" t="n">
        <v>0</v>
      </c>
      <c r="R1054" s="2" t="inlineStr"/>
    </row>
    <row r="1055" ht="15" customHeight="1">
      <c r="A1055" t="inlineStr">
        <is>
          <t>A 5138-2025</t>
        </is>
      </c>
      <c r="B1055" s="1" t="n">
        <v>45691</v>
      </c>
      <c r="C1055" s="1" t="n">
        <v>45698</v>
      </c>
      <c r="D1055" t="inlineStr">
        <is>
          <t>JÄMTLANDS LÄN</t>
        </is>
      </c>
      <c r="E1055" t="inlineStr">
        <is>
          <t>ÖSTERSUND</t>
        </is>
      </c>
      <c r="F1055" t="inlineStr">
        <is>
          <t>Övriga Aktiebolag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45698</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5544-2025</t>
        </is>
      </c>
      <c r="B1057" s="1" t="n">
        <v>45693</v>
      </c>
      <c r="C1057" s="1" t="n">
        <v>45698</v>
      </c>
      <c r="D1057" t="inlineStr">
        <is>
          <t>JÄMTLANDS LÄN</t>
        </is>
      </c>
      <c r="E1057" t="inlineStr">
        <is>
          <t>ÖSTERSUND</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5564-2025</t>
        </is>
      </c>
      <c r="B1058" s="1" t="n">
        <v>45693</v>
      </c>
      <c r="C1058" s="1" t="n">
        <v>45698</v>
      </c>
      <c r="D1058" t="inlineStr">
        <is>
          <t>JÄMTLANDS LÄN</t>
        </is>
      </c>
      <c r="E1058" t="inlineStr">
        <is>
          <t>ÖSTERSUND</t>
        </is>
      </c>
      <c r="G1058" t="n">
        <v>14.1</v>
      </c>
      <c r="H1058" t="n">
        <v>0</v>
      </c>
      <c r="I1058" t="n">
        <v>0</v>
      </c>
      <c r="J1058" t="n">
        <v>0</v>
      </c>
      <c r="K1058" t="n">
        <v>0</v>
      </c>
      <c r="L1058" t="n">
        <v>0</v>
      </c>
      <c r="M1058" t="n">
        <v>0</v>
      </c>
      <c r="N1058" t="n">
        <v>0</v>
      </c>
      <c r="O1058" t="n">
        <v>0</v>
      </c>
      <c r="P1058" t="n">
        <v>0</v>
      </c>
      <c r="Q1058" t="n">
        <v>0</v>
      </c>
      <c r="R1058" s="2" t="inlineStr"/>
    </row>
    <row r="1059" ht="15" customHeight="1">
      <c r="A1059" t="inlineStr">
        <is>
          <t>A 5626-2025</t>
        </is>
      </c>
      <c r="B1059" s="1" t="n">
        <v>45693</v>
      </c>
      <c r="C1059" s="1" t="n">
        <v>45698</v>
      </c>
      <c r="D1059" t="inlineStr">
        <is>
          <t>JÄMTLANDS LÄN</t>
        </is>
      </c>
      <c r="E1059" t="inlineStr">
        <is>
          <t>ÖSTERSUND</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5549-2025</t>
        </is>
      </c>
      <c r="B1060" s="1" t="n">
        <v>45693</v>
      </c>
      <c r="C1060" s="1" t="n">
        <v>45698</v>
      </c>
      <c r="D1060" t="inlineStr">
        <is>
          <t>JÄMTLANDS LÄN</t>
        </is>
      </c>
      <c r="E1060" t="inlineStr">
        <is>
          <t>ÖSTERSUND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5553-2025</t>
        </is>
      </c>
      <c r="B1061" s="1" t="n">
        <v>45693</v>
      </c>
      <c r="C1061" s="1" t="n">
        <v>45698</v>
      </c>
      <c r="D1061" t="inlineStr">
        <is>
          <t>JÄMTLANDS LÄN</t>
        </is>
      </c>
      <c r="E1061" t="inlineStr">
        <is>
          <t>ÖSTERSUND</t>
        </is>
      </c>
      <c r="G1061" t="n">
        <v>0.7</v>
      </c>
      <c r="H1061" t="n">
        <v>0</v>
      </c>
      <c r="I1061" t="n">
        <v>0</v>
      </c>
      <c r="J1061" t="n">
        <v>0</v>
      </c>
      <c r="K1061" t="n">
        <v>0</v>
      </c>
      <c r="L1061" t="n">
        <v>0</v>
      </c>
      <c r="M1061" t="n">
        <v>0</v>
      </c>
      <c r="N1061" t="n">
        <v>0</v>
      </c>
      <c r="O1061" t="n">
        <v>0</v>
      </c>
      <c r="P1061" t="n">
        <v>0</v>
      </c>
      <c r="Q1061" t="n">
        <v>0</v>
      </c>
      <c r="R1061" s="2" t="inlineStr"/>
    </row>
    <row r="1062">
      <c r="A1062" t="inlineStr">
        <is>
          <t>A 6067-2025</t>
        </is>
      </c>
      <c r="B1062" s="1" t="n">
        <v>45696</v>
      </c>
      <c r="C1062" s="1" t="n">
        <v>45698</v>
      </c>
      <c r="D1062" t="inlineStr">
        <is>
          <t>JÄMTLANDS LÄN</t>
        </is>
      </c>
      <c r="E1062" t="inlineStr">
        <is>
          <t>ÖSTERSUND</t>
        </is>
      </c>
      <c r="G1062" t="n">
        <v>2.1</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2025-02-10T17:00:56Z</dcterms:created>
  <dcterms:modified xmlns:dcterms="http://purl.org/dc/terms/" xmlns:xsi="http://www.w3.org/2001/XMLSchema-instance" xsi:type="dcterms:W3CDTF">2025-02-10T17:00:57Z</dcterms:modified>
</cp:coreProperties>
</file>